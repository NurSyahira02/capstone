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(1) SYAHIRA- UMK FOLDER\3RD YEAR\SEM 5\JIE32602 - CAPSTONE I\NINJAVAN DATA\2022\"/>
    </mc:Choice>
  </mc:AlternateContent>
  <xr:revisionPtr revIDLastSave="0" documentId="13_ncr:1_{B88FFF63-6F53-4D3A-84E2-1C85C646C7B6}" xr6:coauthVersionLast="47" xr6:coauthVersionMax="47" xr10:uidLastSave="{00000000-0000-0000-0000-000000000000}"/>
  <bookViews>
    <workbookView xWindow="-108" yWindow="-108" windowWidth="23256" windowHeight="12456" xr2:uid="{3F3125A3-A52A-4785-B1B4-8207542DD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75" i="1" l="1"/>
  <c r="AI175" i="1"/>
  <c r="AH175" i="1"/>
  <c r="AG175" i="1"/>
  <c r="AF175" i="1"/>
  <c r="AE175" i="1"/>
  <c r="AD175" i="1"/>
  <c r="AD173" i="1"/>
  <c r="AD172" i="1"/>
  <c r="AI171" i="1"/>
  <c r="AD171" i="1"/>
  <c r="AJ171" i="1" s="1"/>
  <c r="AD170" i="1"/>
  <c r="AI169" i="1"/>
  <c r="AD169" i="1"/>
  <c r="AJ169" i="1" s="1"/>
  <c r="AJ168" i="1"/>
  <c r="AI168" i="1"/>
  <c r="AD168" i="1"/>
  <c r="AI167" i="1"/>
  <c r="AJ167" i="1" s="1"/>
  <c r="AD167" i="1"/>
  <c r="AD166" i="1"/>
  <c r="AD165" i="1"/>
  <c r="AD164" i="1"/>
  <c r="AI164" i="1" s="1"/>
  <c r="AJ164" i="1" s="1"/>
  <c r="AI163" i="1"/>
  <c r="AD163" i="1"/>
  <c r="AJ163" i="1" s="1"/>
  <c r="AD162" i="1"/>
  <c r="AD161" i="1"/>
  <c r="AD160" i="1"/>
  <c r="AI160" i="1" s="1"/>
  <c r="AJ160" i="1" s="1"/>
  <c r="AI159" i="1"/>
  <c r="AJ159" i="1" s="1"/>
  <c r="AD159" i="1"/>
  <c r="AD158" i="1"/>
  <c r="AI157" i="1"/>
  <c r="AD157" i="1"/>
  <c r="AJ157" i="1" s="1"/>
  <c r="AD156" i="1"/>
  <c r="AI156" i="1" s="1"/>
  <c r="AJ156" i="1" s="1"/>
  <c r="AI155" i="1"/>
  <c r="AJ155" i="1" s="1"/>
  <c r="AD155" i="1"/>
  <c r="AD154" i="1"/>
  <c r="AI154" i="1" s="1"/>
  <c r="AJ154" i="1" s="1"/>
  <c r="AD153" i="1"/>
  <c r="AD152" i="1"/>
  <c r="AI152" i="1" s="1"/>
  <c r="AJ152" i="1" s="1"/>
  <c r="AI151" i="1"/>
  <c r="AJ151" i="1" s="1"/>
  <c r="AD151" i="1"/>
  <c r="AD150" i="1"/>
  <c r="AI149" i="1"/>
  <c r="AD149" i="1"/>
  <c r="AJ149" i="1" s="1"/>
  <c r="AD148" i="1"/>
  <c r="AI148" i="1" s="1"/>
  <c r="AJ148" i="1" s="1"/>
  <c r="AI147" i="1"/>
  <c r="AJ147" i="1" s="1"/>
  <c r="AD147" i="1"/>
  <c r="AD146" i="1"/>
  <c r="AI146" i="1" s="1"/>
  <c r="AJ146" i="1" s="1"/>
  <c r="AD145" i="1"/>
  <c r="AD144" i="1"/>
  <c r="AI144" i="1" s="1"/>
  <c r="AJ144" i="1" s="1"/>
  <c r="AI143" i="1"/>
  <c r="AJ143" i="1" s="1"/>
  <c r="AD143" i="1"/>
  <c r="AD142" i="1"/>
  <c r="AI141" i="1"/>
  <c r="AD141" i="1"/>
  <c r="AJ141" i="1" s="1"/>
  <c r="AD140" i="1"/>
  <c r="AI140" i="1" s="1"/>
  <c r="AJ140" i="1" s="1"/>
  <c r="AI139" i="1"/>
  <c r="AJ139" i="1" s="1"/>
  <c r="AD139" i="1"/>
  <c r="AD138" i="1"/>
  <c r="AI138" i="1" s="1"/>
  <c r="AJ138" i="1" s="1"/>
  <c r="AD137" i="1"/>
  <c r="AD136" i="1"/>
  <c r="AI136" i="1" s="1"/>
  <c r="AJ136" i="1" s="1"/>
  <c r="AI135" i="1"/>
  <c r="AJ135" i="1" s="1"/>
  <c r="AD135" i="1"/>
  <c r="AD134" i="1"/>
  <c r="AI133" i="1"/>
  <c r="AD133" i="1"/>
  <c r="AJ133" i="1" s="1"/>
  <c r="AD132" i="1"/>
  <c r="AI132" i="1" s="1"/>
  <c r="AJ132" i="1" s="1"/>
  <c r="AI131" i="1"/>
  <c r="AJ131" i="1" s="1"/>
  <c r="AD131" i="1"/>
  <c r="AD130" i="1"/>
  <c r="AI130" i="1" s="1"/>
  <c r="AJ130" i="1" s="1"/>
  <c r="AD129" i="1"/>
  <c r="AD128" i="1"/>
  <c r="AI128" i="1" s="1"/>
  <c r="AJ128" i="1" s="1"/>
  <c r="AI127" i="1"/>
  <c r="AD127" i="1"/>
  <c r="AJ127" i="1" s="1"/>
  <c r="AD126" i="1"/>
  <c r="AI125" i="1"/>
  <c r="AD125" i="1"/>
  <c r="AJ125" i="1" s="1"/>
  <c r="AD124" i="1"/>
  <c r="AI124" i="1" s="1"/>
  <c r="AJ124" i="1" s="1"/>
  <c r="AI123" i="1"/>
  <c r="AJ123" i="1" s="1"/>
  <c r="AD123" i="1"/>
  <c r="AD122" i="1"/>
  <c r="AI122" i="1" s="1"/>
  <c r="AJ122" i="1" s="1"/>
  <c r="AD121" i="1"/>
  <c r="AD120" i="1"/>
  <c r="AI120" i="1" s="1"/>
  <c r="AJ120" i="1" s="1"/>
  <c r="AI119" i="1"/>
  <c r="AD119" i="1"/>
  <c r="AJ119" i="1" s="1"/>
  <c r="AD118" i="1"/>
  <c r="AI117" i="1"/>
  <c r="AD117" i="1"/>
  <c r="AJ117" i="1" s="1"/>
  <c r="AD116" i="1"/>
  <c r="AI116" i="1" s="1"/>
  <c r="AJ116" i="1" s="1"/>
  <c r="AI115" i="1"/>
  <c r="AJ115" i="1" s="1"/>
  <c r="AD115" i="1"/>
  <c r="AD114" i="1"/>
  <c r="AI114" i="1" s="1"/>
  <c r="AJ114" i="1" s="1"/>
  <c r="AD113" i="1"/>
  <c r="AD112" i="1"/>
  <c r="AI112" i="1" s="1"/>
  <c r="AJ112" i="1" s="1"/>
  <c r="AI111" i="1"/>
  <c r="AD111" i="1"/>
  <c r="AJ111" i="1" s="1"/>
  <c r="AD110" i="1"/>
  <c r="AI109" i="1"/>
  <c r="AD109" i="1"/>
  <c r="AJ109" i="1" s="1"/>
  <c r="AD108" i="1"/>
  <c r="AI108" i="1" s="1"/>
  <c r="AJ108" i="1" s="1"/>
  <c r="AI107" i="1"/>
  <c r="AJ107" i="1" s="1"/>
  <c r="AD107" i="1"/>
  <c r="AD106" i="1"/>
  <c r="AI106" i="1" s="1"/>
  <c r="AJ106" i="1" s="1"/>
  <c r="AD105" i="1"/>
  <c r="AD104" i="1"/>
  <c r="AI104" i="1" s="1"/>
  <c r="AJ104" i="1" s="1"/>
  <c r="AI103" i="1"/>
  <c r="AD103" i="1"/>
  <c r="AJ103" i="1" s="1"/>
  <c r="AD102" i="1"/>
  <c r="AI101" i="1"/>
  <c r="AD101" i="1"/>
  <c r="AJ101" i="1" s="1"/>
  <c r="AD100" i="1"/>
  <c r="AI99" i="1"/>
  <c r="AJ99" i="1" s="1"/>
  <c r="AD99" i="1"/>
  <c r="AD98" i="1"/>
  <c r="AI98" i="1" s="1"/>
  <c r="AJ98" i="1" s="1"/>
  <c r="AD97" i="1"/>
  <c r="AD96" i="1"/>
  <c r="AI96" i="1" s="1"/>
  <c r="AJ96" i="1" s="1"/>
  <c r="AI95" i="1"/>
  <c r="AJ95" i="1" s="1"/>
  <c r="AD95" i="1"/>
  <c r="AD94" i="1"/>
  <c r="AI93" i="1"/>
  <c r="AD93" i="1"/>
  <c r="AJ93" i="1" s="1"/>
  <c r="AD92" i="1"/>
  <c r="AI91" i="1"/>
  <c r="AJ91" i="1" s="1"/>
  <c r="AD91" i="1"/>
  <c r="AD90" i="1"/>
  <c r="AI90" i="1" s="1"/>
  <c r="AJ90" i="1" s="1"/>
  <c r="AD89" i="1"/>
  <c r="AD88" i="1"/>
  <c r="AI88" i="1" s="1"/>
  <c r="AJ88" i="1" s="1"/>
  <c r="AD87" i="1"/>
  <c r="AD86" i="1"/>
  <c r="AI85" i="1"/>
  <c r="AD85" i="1"/>
  <c r="AJ85" i="1" s="1"/>
  <c r="AD84" i="1"/>
  <c r="AI83" i="1"/>
  <c r="AJ83" i="1" s="1"/>
  <c r="AD83" i="1"/>
  <c r="AD82" i="1"/>
  <c r="AI82" i="1" s="1"/>
  <c r="AJ82" i="1" s="1"/>
  <c r="AD81" i="1"/>
  <c r="AD80" i="1"/>
  <c r="AI80" i="1" s="1"/>
  <c r="AJ80" i="1" s="1"/>
  <c r="AI79" i="1"/>
  <c r="AJ79" i="1" s="1"/>
  <c r="AD79" i="1"/>
  <c r="AD78" i="1"/>
  <c r="AI77" i="1"/>
  <c r="AD77" i="1"/>
  <c r="AJ77" i="1" s="1"/>
  <c r="AD76" i="1"/>
  <c r="AI76" i="1" s="1"/>
  <c r="AJ76" i="1" s="1"/>
  <c r="AI75" i="1"/>
  <c r="AJ75" i="1" s="1"/>
  <c r="AD75" i="1"/>
  <c r="AD74" i="1"/>
  <c r="AI74" i="1" s="1"/>
  <c r="AJ74" i="1" s="1"/>
  <c r="AD73" i="1"/>
  <c r="AD72" i="1"/>
  <c r="AI72" i="1" s="1"/>
  <c r="AJ72" i="1" s="1"/>
  <c r="AI71" i="1"/>
  <c r="AD71" i="1"/>
  <c r="AJ71" i="1" s="1"/>
  <c r="AD70" i="1"/>
  <c r="AI69" i="1"/>
  <c r="AD69" i="1"/>
  <c r="AJ69" i="1" s="1"/>
  <c r="AD68" i="1"/>
  <c r="AI67" i="1"/>
  <c r="AJ67" i="1" s="1"/>
  <c r="AD67" i="1"/>
  <c r="AD66" i="1"/>
  <c r="AI66" i="1" s="1"/>
  <c r="AJ66" i="1" s="1"/>
  <c r="AI65" i="1"/>
  <c r="AD65" i="1"/>
  <c r="AJ65" i="1" s="1"/>
  <c r="AD64" i="1"/>
  <c r="AI64" i="1" s="1"/>
  <c r="AJ64" i="1" s="1"/>
  <c r="AI63" i="1"/>
  <c r="AJ63" i="1" s="1"/>
  <c r="AD63" i="1"/>
  <c r="AD62" i="1"/>
  <c r="AI61" i="1"/>
  <c r="AD61" i="1"/>
  <c r="AJ61" i="1" s="1"/>
  <c r="AD60" i="1"/>
  <c r="AI59" i="1"/>
  <c r="AJ59" i="1" s="1"/>
  <c r="AD59" i="1"/>
  <c r="AD58" i="1"/>
  <c r="AI58" i="1" s="1"/>
  <c r="AJ58" i="1" s="1"/>
  <c r="AI57" i="1"/>
  <c r="AD57" i="1"/>
  <c r="AJ57" i="1" s="1"/>
  <c r="AD56" i="1"/>
  <c r="AI56" i="1" s="1"/>
  <c r="AJ56" i="1" s="1"/>
  <c r="AI55" i="1"/>
  <c r="AJ55" i="1" s="1"/>
  <c r="AD55" i="1"/>
  <c r="AD54" i="1"/>
  <c r="AI53" i="1"/>
  <c r="AD53" i="1"/>
  <c r="AJ53" i="1" s="1"/>
  <c r="AD52" i="1"/>
  <c r="AI51" i="1"/>
  <c r="AJ51" i="1" s="1"/>
  <c r="AD51" i="1"/>
  <c r="AD50" i="1"/>
  <c r="AI50" i="1" s="1"/>
  <c r="AJ50" i="1" s="1"/>
  <c r="AI49" i="1"/>
  <c r="AD49" i="1"/>
  <c r="AJ49" i="1" s="1"/>
  <c r="AD48" i="1"/>
  <c r="AI48" i="1" s="1"/>
  <c r="AJ48" i="1" s="1"/>
  <c r="AI47" i="1"/>
  <c r="AJ47" i="1" s="1"/>
  <c r="AD47" i="1"/>
  <c r="AD46" i="1"/>
  <c r="AI45" i="1"/>
  <c r="AD45" i="1"/>
  <c r="AJ45" i="1" s="1"/>
  <c r="AD44" i="1"/>
  <c r="AI43" i="1"/>
  <c r="AJ43" i="1" s="1"/>
  <c r="AD43" i="1"/>
  <c r="AI42" i="1"/>
  <c r="AJ42" i="1" s="1"/>
  <c r="AD42" i="1"/>
  <c r="AI41" i="1"/>
  <c r="AD41" i="1"/>
  <c r="AJ41" i="1" s="1"/>
  <c r="AD40" i="1"/>
  <c r="AI40" i="1" s="1"/>
  <c r="AJ40" i="1" s="1"/>
  <c r="AJ39" i="1"/>
  <c r="AI39" i="1"/>
  <c r="AD39" i="1"/>
  <c r="AD38" i="1"/>
  <c r="AD37" i="1"/>
  <c r="AD36" i="1"/>
  <c r="AI35" i="1"/>
  <c r="AJ35" i="1" s="1"/>
  <c r="AD35" i="1"/>
  <c r="AI34" i="1"/>
  <c r="AJ34" i="1" s="1"/>
  <c r="AD34" i="1"/>
  <c r="AI33" i="1"/>
  <c r="AD33" i="1"/>
  <c r="AJ33" i="1" s="1"/>
  <c r="AD32" i="1"/>
  <c r="AI32" i="1" s="1"/>
  <c r="AJ32" i="1" s="1"/>
  <c r="AJ31" i="1"/>
  <c r="AI31" i="1"/>
  <c r="AD31" i="1"/>
  <c r="AD30" i="1"/>
  <c r="AD29" i="1"/>
  <c r="AD28" i="1"/>
  <c r="AI27" i="1"/>
  <c r="AJ27" i="1" s="1"/>
  <c r="AD27" i="1"/>
  <c r="AI26" i="1"/>
  <c r="AJ26" i="1" s="1"/>
  <c r="AD26" i="1"/>
  <c r="AI25" i="1"/>
  <c r="AD25" i="1"/>
  <c r="AJ25" i="1" s="1"/>
  <c r="AD24" i="1"/>
  <c r="AI24" i="1" s="1"/>
  <c r="AJ24" i="1" s="1"/>
  <c r="AJ23" i="1"/>
  <c r="AI23" i="1"/>
  <c r="AD23" i="1"/>
  <c r="AD22" i="1"/>
  <c r="AD21" i="1"/>
  <c r="AD20" i="1"/>
  <c r="AI19" i="1"/>
  <c r="AJ19" i="1" s="1"/>
  <c r="AD19" i="1"/>
  <c r="AI18" i="1"/>
  <c r="AJ18" i="1" s="1"/>
  <c r="AD18" i="1"/>
  <c r="AI17" i="1"/>
  <c r="AD17" i="1"/>
  <c r="AJ17" i="1" s="1"/>
  <c r="AD16" i="1"/>
  <c r="AI16" i="1" s="1"/>
  <c r="AJ16" i="1" s="1"/>
  <c r="AJ15" i="1"/>
  <c r="AI15" i="1"/>
  <c r="AD15" i="1"/>
  <c r="AD14" i="1"/>
  <c r="AD13" i="1"/>
  <c r="AD12" i="1"/>
  <c r="AI11" i="1"/>
  <c r="AJ11" i="1" s="1"/>
  <c r="AD11" i="1"/>
  <c r="AI10" i="1"/>
  <c r="AJ10" i="1" s="1"/>
  <c r="AD10" i="1"/>
  <c r="AI9" i="1"/>
  <c r="AD9" i="1"/>
  <c r="AJ9" i="1" s="1"/>
  <c r="AD8" i="1"/>
  <c r="AI8" i="1" s="1"/>
  <c r="AJ8" i="1" s="1"/>
  <c r="AJ7" i="1"/>
  <c r="AI7" i="1"/>
  <c r="AD7" i="1"/>
  <c r="AD6" i="1"/>
  <c r="AD5" i="1"/>
  <c r="AD4" i="1"/>
  <c r="AI3" i="1"/>
  <c r="AJ3" i="1" s="1"/>
  <c r="AD3" i="1"/>
  <c r="AI2" i="1"/>
  <c r="AJ2" i="1" s="1"/>
  <c r="AD2" i="1"/>
  <c r="AJ100" i="1" l="1"/>
  <c r="AJ158" i="1"/>
  <c r="AJ60" i="1"/>
  <c r="AJ118" i="1"/>
  <c r="AJ20" i="1"/>
  <c r="AJ142" i="1"/>
  <c r="AJ78" i="1"/>
  <c r="AJ102" i="1"/>
  <c r="AJ92" i="1"/>
  <c r="AJ150" i="1"/>
  <c r="AI6" i="1"/>
  <c r="AJ6" i="1" s="1"/>
  <c r="AI14" i="1"/>
  <c r="AJ14" i="1" s="1"/>
  <c r="AI22" i="1"/>
  <c r="AJ22" i="1" s="1"/>
  <c r="AI30" i="1"/>
  <c r="AJ30" i="1" s="1"/>
  <c r="AI38" i="1"/>
  <c r="AJ38" i="1" s="1"/>
  <c r="AI46" i="1"/>
  <c r="AJ46" i="1" s="1"/>
  <c r="AI54" i="1"/>
  <c r="AJ54" i="1" s="1"/>
  <c r="AI62" i="1"/>
  <c r="AJ62" i="1" s="1"/>
  <c r="AI70" i="1"/>
  <c r="AJ70" i="1" s="1"/>
  <c r="AI78" i="1"/>
  <c r="AI86" i="1"/>
  <c r="AJ86" i="1" s="1"/>
  <c r="AI94" i="1"/>
  <c r="AJ94" i="1" s="1"/>
  <c r="AI102" i="1"/>
  <c r="AI110" i="1"/>
  <c r="AJ110" i="1" s="1"/>
  <c r="AI118" i="1"/>
  <c r="AI126" i="1"/>
  <c r="AJ126" i="1" s="1"/>
  <c r="AI134" i="1"/>
  <c r="AJ134" i="1" s="1"/>
  <c r="AI142" i="1"/>
  <c r="AI150" i="1"/>
  <c r="AI158" i="1"/>
  <c r="AI166" i="1"/>
  <c r="AJ166" i="1" s="1"/>
  <c r="AI73" i="1"/>
  <c r="AJ73" i="1" s="1"/>
  <c r="AI81" i="1"/>
  <c r="AJ81" i="1" s="1"/>
  <c r="AI89" i="1"/>
  <c r="AJ89" i="1" s="1"/>
  <c r="AI97" i="1"/>
  <c r="AJ97" i="1" s="1"/>
  <c r="AI105" i="1"/>
  <c r="AJ105" i="1" s="1"/>
  <c r="AI113" i="1"/>
  <c r="AJ113" i="1" s="1"/>
  <c r="AI121" i="1"/>
  <c r="AJ121" i="1" s="1"/>
  <c r="AI129" i="1"/>
  <c r="AJ129" i="1" s="1"/>
  <c r="AI137" i="1"/>
  <c r="AJ137" i="1" s="1"/>
  <c r="AI145" i="1"/>
  <c r="AJ145" i="1" s="1"/>
  <c r="AI153" i="1"/>
  <c r="AJ153" i="1" s="1"/>
  <c r="AI161" i="1"/>
  <c r="AJ161" i="1" s="1"/>
  <c r="AI4" i="1"/>
  <c r="AJ4" i="1" s="1"/>
  <c r="AI12" i="1"/>
  <c r="AJ12" i="1" s="1"/>
  <c r="AI20" i="1"/>
  <c r="AI28" i="1"/>
  <c r="AJ28" i="1" s="1"/>
  <c r="AI36" i="1"/>
  <c r="AJ36" i="1" s="1"/>
  <c r="AI44" i="1"/>
  <c r="AJ44" i="1" s="1"/>
  <c r="AI52" i="1"/>
  <c r="AJ52" i="1" s="1"/>
  <c r="AI60" i="1"/>
  <c r="AI68" i="1"/>
  <c r="AJ68" i="1" s="1"/>
  <c r="AI84" i="1"/>
  <c r="AJ84" i="1" s="1"/>
  <c r="AI92" i="1"/>
  <c r="AI100" i="1"/>
  <c r="AI172" i="1"/>
  <c r="AJ172" i="1" s="1"/>
  <c r="AI87" i="1"/>
  <c r="AJ87" i="1" s="1"/>
  <c r="AI162" i="1"/>
  <c r="AJ162" i="1" s="1"/>
  <c r="AI170" i="1"/>
  <c r="AJ170" i="1" s="1"/>
  <c r="AI5" i="1"/>
  <c r="AJ5" i="1" s="1"/>
  <c r="AI13" i="1"/>
  <c r="AJ13" i="1" s="1"/>
  <c r="AI21" i="1"/>
  <c r="AJ21" i="1" s="1"/>
  <c r="AI29" i="1"/>
  <c r="AJ29" i="1" s="1"/>
  <c r="AI37" i="1"/>
  <c r="AJ37" i="1" s="1"/>
  <c r="AI165" i="1"/>
  <c r="AJ165" i="1" s="1"/>
  <c r="AI173" i="1"/>
  <c r="AJ173" i="1" s="1"/>
</calcChain>
</file>

<file path=xl/sharedStrings.xml><?xml version="1.0" encoding="utf-8"?>
<sst xmlns="http://schemas.openxmlformats.org/spreadsheetml/2006/main" count="3305" uniqueCount="599">
  <si>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</si>
  <si>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</si>
  <si>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</si>
  <si>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</si>
  <si>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</si>
  <si>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</si>
  <si>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</si>
  <si>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</si>
  <si>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</si>
  <si>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</si>
  <si>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</si>
  <si>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</si>
  <si>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</si>
  <si>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</si>
  <si>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</si>
  <si>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</si>
  <si>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</si>
  <si>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</si>
  <si>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</si>
  <si>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</si>
  <si>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</si>
  <si>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</si>
  <si>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</si>
  <si>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</si>
  <si>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</si>
  <si>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</si>
  <si>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</si>
  <si>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</si>
  <si>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</si>
  <si>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</si>
  <si>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</si>
  <si>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</si>
  <si>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</si>
  <si>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</si>
  <si>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</si>
  <si>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</si>
  <si>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</si>
  <si>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</si>
  <si>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</si>
  <si>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</si>
  <si>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NVMY34535000000002</t>
  </si>
  <si>
    <t>Completed</t>
  </si>
  <si>
    <t>RUMAH RAKAN ISLAH</t>
  </si>
  <si>
    <t>DELIVERY_THREE_DAYS_ANYTIME</t>
  </si>
  <si>
    <t>Parcel</t>
  </si>
  <si>
    <t>STANDARD</t>
  </si>
  <si>
    <t>SMALL</t>
  </si>
  <si>
    <t>WMSIA</t>
  </si>
  <si>
    <t>KBR1-KBR1</t>
  </si>
  <si>
    <t>Terengganu</t>
  </si>
  <si>
    <t>LOT 245 KG BARI BESAR, SETIU   Terengganu  my 21010</t>
  </si>
  <si>
    <t>KEL-KEL</t>
  </si>
  <si>
    <t>AHMAD ASN</t>
  </si>
  <si>
    <t>NVMY34535000000006</t>
  </si>
  <si>
    <t>NOOR ASREEN AB WAHID</t>
  </si>
  <si>
    <t>TEMPAT SEWA KERETA LOT 106, BELAKANG PASAR CHABANG TIGA    Terengganu  21000</t>
  </si>
  <si>
    <t>TGG-TGG</t>
  </si>
  <si>
    <t>NVMY34535000000004</t>
  </si>
  <si>
    <t>NOOR ASZEELA AB WAHID</t>
  </si>
  <si>
    <t>Pahang</t>
  </si>
  <si>
    <t>UNIT PRIMER, PEJABAT KESIHATAN DAERAH LIPIS    Pahang  27200</t>
  </si>
  <si>
    <t>NVMY34535000000011</t>
  </si>
  <si>
    <t>ROHAIZA BT SEMAN</t>
  </si>
  <si>
    <t>LARGE</t>
  </si>
  <si>
    <t>NO26 LRG SERI DAMAI PERDANA 19, TAMAN IMPIAN PERDANA,    Pahang  my 25150</t>
  </si>
  <si>
    <t>6-KUA-33</t>
  </si>
  <si>
    <t>NVMY34535000000010</t>
  </si>
  <si>
    <t>MUAMMAD ADAM CHWA NIM ABDULLAH</t>
  </si>
  <si>
    <t>MEDIUM</t>
  </si>
  <si>
    <t>Pulau Pinang</t>
  </si>
  <si>
    <t>1ST FLOOR, PLAZA MWE, 8, FARQUHAR STREET   Pulau Pinang  10200</t>
  </si>
  <si>
    <t>5-GEO-31</t>
  </si>
  <si>
    <t>NVMY34535000000016</t>
  </si>
  <si>
    <t>WANI SOFIA BT UDIN</t>
  </si>
  <si>
    <t>Kelantan</t>
  </si>
  <si>
    <t>PT8428 BELAKANG TNB PERGAU, JALAN PEKELILING    Kelantan  17600</t>
  </si>
  <si>
    <t>NVMY34535000000005</t>
  </si>
  <si>
    <t>NOOR ASLINDA AB WAHID</t>
  </si>
  <si>
    <t>Melaka</t>
  </si>
  <si>
    <t>DT 2055, JALAN 26, TAMAN ANGKASA NUR, DURIAN TUNGGALI,    Melaka  76100</t>
  </si>
  <si>
    <t>MM-MM</t>
  </si>
  <si>
    <t>NVMY34535000000023</t>
  </si>
  <si>
    <t>MUHAMMAD SAHIR BIN AB HADI</t>
  </si>
  <si>
    <t>1221 KUATERS LOJI AIR KUALA LEPAR    Pahang  26650</t>
  </si>
  <si>
    <t>PHG-PHG</t>
  </si>
  <si>
    <t>NVMY34535000000017</t>
  </si>
  <si>
    <t>WAN KHIRIL ASHRAF BIN WAN HUSAIN</t>
  </si>
  <si>
    <t>BLOK Y-251 PERUMAHAN UPN KUSIAL BARU   Kelantan  17500</t>
  </si>
  <si>
    <t>1-MAC-3</t>
  </si>
  <si>
    <t>NVMY34535000000008</t>
  </si>
  <si>
    <t>FATIN AMALINA</t>
  </si>
  <si>
    <t>Kuala Lumpur</t>
  </si>
  <si>
    <t>UNIT 505, BLK D17 JLN 4/27A SEK 2   Kuala Lumpur  53300</t>
  </si>
  <si>
    <t>10-WMJ-73</t>
  </si>
  <si>
    <t>NVMY34535000000015</t>
  </si>
  <si>
    <t>ZEINILAH BT ZAIN</t>
  </si>
  <si>
    <t>Kedah</t>
  </si>
  <si>
    <t>1905 TAMAN SERAI WANGI LORONG 8/4 TAMAN SERAI WANGI 2 PADANG SERAI    Kedah  my 09400</t>
  </si>
  <si>
    <t>NVMY34535000000001</t>
  </si>
  <si>
    <t>GOOSE &amp; GOOSEY TRADING (Arissa Closet)</t>
  </si>
  <si>
    <t>Selangor</t>
  </si>
  <si>
    <t>A-4-1, Ostia Bangi Business Avenue, Taman Ostia Bangi  Selangor   Selangor  my 43650</t>
  </si>
  <si>
    <t>NVMY34535000000013</t>
  </si>
  <si>
    <t>NORFAKHIRA ABDULLAH</t>
  </si>
  <si>
    <t>B3-1-2, JALAN BUKIT RAWANG PUTRA 15,TAMAN BUKIT RAWANG PUTRA   Selangor  48000</t>
  </si>
  <si>
    <t>NVMY34535000000009</t>
  </si>
  <si>
    <t>KHAIRENY BT MOHD KHALID</t>
  </si>
  <si>
    <t>NO.2 JALAN KEMBOJA 5 SEK BB4 BUKIT BERUNTUNG    Kuala Lumpur  48300</t>
  </si>
  <si>
    <t>12-RWG-93</t>
  </si>
  <si>
    <t>NVMY34535000000014</t>
  </si>
  <si>
    <t>AZILA BT MOHD ARIF</t>
  </si>
  <si>
    <t>NO.13 JALAN KU 6 TAMAN KRUBONG UTAMA   Melaka  75260</t>
  </si>
  <si>
    <t>NVMY34535000000007</t>
  </si>
  <si>
    <t>AHMAD ASMEZEE AB WAHID</t>
  </si>
  <si>
    <t>5-2-13 APARTMENT KASTURI, JALAN TASIK PERMAISURI 3, CHERAS   Kuala Lumpur  56000</t>
  </si>
  <si>
    <t>NVMY34535000000012</t>
  </si>
  <si>
    <t>AINUL HASNIDA AB MANAF</t>
  </si>
  <si>
    <t>A-1-08 SURIA RESIDENCE APARTMENT, JALAN RESIDENCE BANDAR MAHKOTA CHERAS   Selangor  43200</t>
  </si>
  <si>
    <t>NVMY34535000000046</t>
  </si>
  <si>
    <t>AYAHSU NASIR BOOM</t>
  </si>
  <si>
    <t>NO2 KEDIAMAN PPRT TMN PER TELAGA DAING SEB TAKIR, KUALA NERUS   Terengganu  21300</t>
  </si>
  <si>
    <t>NVMY34535000000019</t>
  </si>
  <si>
    <t>ANAS FAHMI</t>
  </si>
  <si>
    <t>2-1-5 PERSIARAN PANTAI JERJAK, TAMAN MAS, SUNGAI NIBONG    Pulau Pinang  11950</t>
  </si>
  <si>
    <t>PEN-PEN</t>
  </si>
  <si>
    <t>NVMY34535000000003</t>
  </si>
  <si>
    <t>BALQIS</t>
  </si>
  <si>
    <t>UNIT 502 BLOCK C7, WANGSA MAJU, SEKSYEN 2  Kuala Lumpur  Kuala Lumpur  53300</t>
  </si>
  <si>
    <t>NVMY34535000000024</t>
  </si>
  <si>
    <t>YUYU</t>
  </si>
  <si>
    <t>NO 31 JALAN K/P 3/2 TAMAN KAJANG PRIMA   Selangor  43000</t>
  </si>
  <si>
    <t>NVMY34535000000044</t>
  </si>
  <si>
    <t>NOOR AMIRA BT MOHD ZAINAL</t>
  </si>
  <si>
    <t>92241 TAMAN MUTIARA DURIAN GULING MARANG    Terengganu  21400</t>
  </si>
  <si>
    <t>NVMY34535000000039</t>
  </si>
  <si>
    <t>AMARINA SUAIMI</t>
  </si>
  <si>
    <t>LOT 1730 TAMAN KUB CENDANA CHICA KUBANG KERIAN   Kelantan  16150</t>
  </si>
  <si>
    <t>NVMY34535000000021</t>
  </si>
  <si>
    <t>ANA</t>
  </si>
  <si>
    <t>Negeri Sembilan</t>
  </si>
  <si>
    <t>575 LORONG NUSARI AMAN 2/2M NUSARI AMAN 1   Negeri Sembilan  71950</t>
  </si>
  <si>
    <t>NVMY34535000000053</t>
  </si>
  <si>
    <t>SITI NUR AISHAH BT ISMAIL</t>
  </si>
  <si>
    <t>PT 7583 LORONG KETAPANG 2E/3 PERUMAHAN PERMAI INDAH TAMAN BUKIT KUANG SEJAHTERA    Terengganu  24000</t>
  </si>
  <si>
    <t>NVMY34535000000022</t>
  </si>
  <si>
    <t>NORFARAHIND BINTI MD NASIR</t>
  </si>
  <si>
    <t>C-03-12, BLOK C, RESIDENSI ZAMRUD JALAN ZAMRUD 1 SUNGAI TANGKAS   Selangor  43000</t>
  </si>
  <si>
    <t>NVMY34535000000020</t>
  </si>
  <si>
    <t>AFIQAH HASLAM</t>
  </si>
  <si>
    <t>LOT 1668 KAMPUNG TOK BOK    Kelantan  18000</t>
  </si>
  <si>
    <t>NVMY34535000000027</t>
  </si>
  <si>
    <t>WAN NUR FAIRUZ WAN IDRIS</t>
  </si>
  <si>
    <t>NO.12 JALAN PP 6/11, TAMAN PUTRA PERDANA   Selangor  47130</t>
  </si>
  <si>
    <t>12-CJY-96</t>
  </si>
  <si>
    <t>NVMY34535000000036</t>
  </si>
  <si>
    <t>NORAZIZAH BT MOHD IDERIS</t>
  </si>
  <si>
    <t>Perak</t>
  </si>
  <si>
    <t>LOT 72560 (RUMAH PANJANG 4 PINTU) PSRN KUALA PARI, KUALA PARI MENGLEMBU   Perak  31450</t>
  </si>
  <si>
    <t>PRK-PRK</t>
  </si>
  <si>
    <t>NVMY34535000000018</t>
  </si>
  <si>
    <t>EN. NAJIE</t>
  </si>
  <si>
    <t>LOT 4789-B, SAFARUDIN HOMESTAY, JALAN PAIP MERU   Selangor  41050</t>
  </si>
  <si>
    <t>12-MRU-90</t>
  </si>
  <si>
    <t>NVMY34535000000045</t>
  </si>
  <si>
    <t>NURUL SHAHIDA AZMIRA BT AZMIZAN</t>
  </si>
  <si>
    <t>C2-2-18 LORONG BUKIT PANCHOR 4, TAMAN BUKIT PANCHOR, NIBONG TEBAL   Pulau Pinang  14300</t>
  </si>
  <si>
    <t>NVMY34535000000050</t>
  </si>
  <si>
    <t>NORAISHAH BT AMAN CHE</t>
  </si>
  <si>
    <t>Johor</t>
  </si>
  <si>
    <t>NO95 B (RUMAH BELAKANG) FELDA PASIR RAJA   Johor  81450</t>
  </si>
  <si>
    <t>4-KLI-19</t>
  </si>
  <si>
    <t>NVMY34535000000067</t>
  </si>
  <si>
    <t>MUZE YASRAN</t>
  </si>
  <si>
    <t>BJOUX ART DESIGN, B50 JALAN BALOK DARAT13, BALOK CENTRAL   Pahang  26100</t>
  </si>
  <si>
    <t>NVMY34535000000054</t>
  </si>
  <si>
    <t>CHE MAHTOM BT HAT</t>
  </si>
  <si>
    <t>A 38 TAMAN BAHTERA JALAN KUALA KEDAH   Kedah  06600</t>
  </si>
  <si>
    <t>KDH-KDH</t>
  </si>
  <si>
    <t>NVMY34535000000026</t>
  </si>
  <si>
    <t>AZAMAN BIN HARUN</t>
  </si>
  <si>
    <t>NO 19 JALAN SALAK PERMAI 2 DESA SALAK PERMAI    Selangor  43900</t>
  </si>
  <si>
    <t>13-STG-99</t>
  </si>
  <si>
    <t>NVMY34535000000035</t>
  </si>
  <si>
    <t>MOHD AL-FAKHRI BIN ZULKIFLI</t>
  </si>
  <si>
    <t>E-G-07-APARTMENT BAYU, JALAN PJU 10/4, PJU10, DAMANSARA DAMAI,PETALING JAYA   Selangor  47830</t>
  </si>
  <si>
    <t>NVMY34535000000028</t>
  </si>
  <si>
    <t>EMMA</t>
  </si>
  <si>
    <t>DIMAN TYRES SDN BHD 5704 GM 4939 JALAN DATOK AMAR MUKIM TANGGOL AJIL   Terengganu  Terengganu  21800</t>
  </si>
  <si>
    <t>2-AJL-9</t>
  </si>
  <si>
    <t>NVMY34535000000025</t>
  </si>
  <si>
    <t>QILA</t>
  </si>
  <si>
    <t>NO 73, JALAN 18/141, KG MALAYSIA TAMBAHAN   Kuala Lumpur  57100</t>
  </si>
  <si>
    <t>12-BTR-88</t>
  </si>
  <si>
    <t>NVMY34535000000029</t>
  </si>
  <si>
    <t>IRENA RUSLAN</t>
  </si>
  <si>
    <t>NO 205, KG SEMPAM BARU    Pahang  27600</t>
  </si>
  <si>
    <t>NVMY34535000000059</t>
  </si>
  <si>
    <t>LIJA LASHIRA</t>
  </si>
  <si>
    <t>NO.216 BLOK 9 KERATONG 3,    Pahang  26900</t>
  </si>
  <si>
    <t>6-MSH-41</t>
  </si>
  <si>
    <t>NVMY34535000000048</t>
  </si>
  <si>
    <t>ASFELA BT MOHD NAZIR</t>
  </si>
  <si>
    <t>NO 7, JLN BAKAWALI 2b/5 TAMAN BAKAWALI BUKIT SENTOSA    Selangor  48300</t>
  </si>
  <si>
    <t>NVMY34535000000040</t>
  </si>
  <si>
    <t>NUR SYAFIQA SALWANI</t>
  </si>
  <si>
    <t>LOT PT 881 JLN TALI OFF JLN BAYAM    Kelantan  15200</t>
  </si>
  <si>
    <t>NVMY34535000000033</t>
  </si>
  <si>
    <t>SITI SUHANA</t>
  </si>
  <si>
    <t>BLOCK C-07-12A APARTMENT TAMAN MEDAN JAYA PJS 2/1 TAMAN MEDAN   Selangor  46000</t>
  </si>
  <si>
    <t>NVMY34535000000060</t>
  </si>
  <si>
    <t>HEETI UMI</t>
  </si>
  <si>
    <t>405 BLOK M TAMAN BATIN PERDANA KUALA NERUS   Terengganu  21300</t>
  </si>
  <si>
    <t>NVMY34535000000051</t>
  </si>
  <si>
    <t>ERRY</t>
  </si>
  <si>
    <t>NO 66, JALAN 2 TAMAN SRI CHERAS JAYA   Selangor  43200</t>
  </si>
  <si>
    <t>NVMY34535000000068</t>
  </si>
  <si>
    <t>JOM CETAK STOP CENTRE</t>
  </si>
  <si>
    <t>PT480 TINGKAT BAWAH, LORONG PECHONG 3, JALAN HOSPITAL, TANAH MERAH   Kelantan  17500</t>
  </si>
  <si>
    <t>NVMY34535000000042</t>
  </si>
  <si>
    <t>VIE RATNA</t>
  </si>
  <si>
    <t>2117, LORONG ANGSANA 54 TAMAN  KELADI   Kedah  08000</t>
  </si>
  <si>
    <t>NVMY34535000000037</t>
  </si>
  <si>
    <t>NORMASITAH ABIDIN</t>
  </si>
  <si>
    <t>NO 103 JALAN PERMATANG JAMBU   Perak  34900</t>
  </si>
  <si>
    <t>NVMY34535000000030</t>
  </si>
  <si>
    <t>NVMY34535000000066</t>
  </si>
  <si>
    <t>NONITA BINTI ZAKARIA</t>
  </si>
  <si>
    <t>LOT 002/1754 JALAN TOK MAT, KAMPUNG LUBUK PUYU LUAR, TAMAN TAS    Pahang  25150</t>
  </si>
  <si>
    <t>NVMY34535000000031</t>
  </si>
  <si>
    <t>SALWA NASUTION BINTI PADZLAN</t>
  </si>
  <si>
    <t>NO.20 KAMPUNG BARU JALAN TAMBAHTIN, SIMPANG PERTANG, JELEBU   Negeri Sembilan  72300</t>
  </si>
  <si>
    <t>NVMY34535000000064</t>
  </si>
  <si>
    <t>NORHAYATI BINTI IBRAHIM</t>
  </si>
  <si>
    <t>BLOK A-01-04, PANGSAPURI MELOR, PSN PRIMA UTAMA, TAMAN PUCHONG PRIMA , PUCHONG   Selangor  47150</t>
  </si>
  <si>
    <t>NVMY34535000000062</t>
  </si>
  <si>
    <t>NOORMALINA BT SOBRI</t>
  </si>
  <si>
    <t>A22, KG TEBOK JLN KUALA SEPETANG   Perak  34750</t>
  </si>
  <si>
    <t>NVMY34535000000038</t>
  </si>
  <si>
    <t>NORANISAH BAHARUDDIN</t>
  </si>
  <si>
    <t>541 FASA 2A TAMAN MAHSURI    Kedah  06000</t>
  </si>
  <si>
    <t>NVMY34535000000061</t>
  </si>
  <si>
    <t>EMYLIA ALIESYA</t>
  </si>
  <si>
    <t>NO.40 JALAN BENDAHARA FELCRA CHANGKAT LADA    Perak  36800</t>
  </si>
  <si>
    <t>NVMY34535000000056</t>
  </si>
  <si>
    <t>JURAIDA BTE JAMAIN</t>
  </si>
  <si>
    <t>KLINIK KESIHATAN CHAAH   Johor  85400</t>
  </si>
  <si>
    <t>7-SGT-44</t>
  </si>
  <si>
    <t>NVMY34535000000058</t>
  </si>
  <si>
    <t>NVMY34535000000057</t>
  </si>
  <si>
    <t>NVMY34535000000079</t>
  </si>
  <si>
    <t>NURUASIKIN</t>
  </si>
  <si>
    <t>NO 250 FELDA TEMBANGAU 01   Pahang  28380</t>
  </si>
  <si>
    <t>NVMY34535000000041</t>
  </si>
  <si>
    <t>NOR NADIA BINTI MOHAMAD ASLAM</t>
  </si>
  <si>
    <t>PEJABAT FELDA KETEREH 6, KETENGAH JAYA DUNGUN   Terengganu  23300</t>
  </si>
  <si>
    <t>NVMY34535000000055</t>
  </si>
  <si>
    <t>CHIK EJA PAKARCOWAY</t>
  </si>
  <si>
    <t>483 (SEBELAH SURAU) BLOK H MK 12 JALAN BARU BATU MAUNG   Pulau Pinang  11960</t>
  </si>
  <si>
    <t>NVMY34535000000081</t>
  </si>
  <si>
    <t>MOHD FAIZAL</t>
  </si>
  <si>
    <t>E-17-04 BLOK E, PPA1M SELASIH, JLN P17E PRESINT 7   Putrajaya  62150</t>
  </si>
  <si>
    <t>NVMY34535000000069</t>
  </si>
  <si>
    <t>JULIAWATI SENU</t>
  </si>
  <si>
    <t>LOT 6237-B ,JALAN BUKIT JATI SHAHBANDARAYA,41000 KLANG   Selangor  41000</t>
  </si>
  <si>
    <t>NVMY34535000000065</t>
  </si>
  <si>
    <t>IRASHIMA BINTI IRSAP</t>
  </si>
  <si>
    <t>NO 106 JLN BANANG HEIGHT 3, TMN BANANG HEIGHT   Johor  83000</t>
  </si>
  <si>
    <t>YPG-YPG</t>
  </si>
  <si>
    <t>NVMY34535000000074</t>
  </si>
  <si>
    <t>HAZWANI HANISAH</t>
  </si>
  <si>
    <t>NO 14,LORONG PANGLIMA 8,BERTAM PERDANA 3, 13200 KEPALA BATAS,PULAU PINANG   Pulau Pinang  my 13200</t>
  </si>
  <si>
    <t>NVMY34535000000078</t>
  </si>
  <si>
    <t>MISS WANIE</t>
  </si>
  <si>
    <t>NO 96, JALAN PUTERI 5/5, BANDAR PUTERI PUCHONG    Selangor  47100</t>
  </si>
  <si>
    <t>NVMY34535000000043</t>
  </si>
  <si>
    <t>NURULSYUHADAH BINTI ZAINAL</t>
  </si>
  <si>
    <t>LHDN CAWANGAN PETALING JAYA, MENARA HASIL PJ TRADE CENTER, NO 8 JALAN PJU 8/8A BANDAR DAMANASARA PERDANA    Selangor  47820</t>
  </si>
  <si>
    <t>NVMY34535000000089</t>
  </si>
  <si>
    <t>SITI NOR ANIZA</t>
  </si>
  <si>
    <t>BLOK G 4282-0-7 JLN MERDEKA 2, KEM SG BESI   Kuala Lumpur  57000</t>
  </si>
  <si>
    <t>NVMY34535000000063</t>
  </si>
  <si>
    <t>NURAIN ZULKIFLI</t>
  </si>
  <si>
    <t>D411, PALM SPRING CONDO,JLN PJU 3/29, PERSIARAN SURIAN   Selangor  47810</t>
  </si>
  <si>
    <t>NVMY34535000000076</t>
  </si>
  <si>
    <t>SITI NUR AIESYAH BT ISMAIL</t>
  </si>
  <si>
    <t>NO 66,BLOK F,RPA BATU 2, 33300 GERIK PERAK   Perak  33300</t>
  </si>
  <si>
    <t>8-GER-48</t>
  </si>
  <si>
    <t>NVMY34535000000083</t>
  </si>
  <si>
    <t>MOHD NUR IMAN</t>
  </si>
  <si>
    <t>91A, KG KELADI   Kedah  09000</t>
  </si>
  <si>
    <t>NVMY34535000000071</t>
  </si>
  <si>
    <t>FINIE FADZLY</t>
  </si>
  <si>
    <t>B-10,MUTIARA TROPICANA NO.74 PERSIARAN TROPICANA,PJU 3 47410 PETALING JAYA SELANGOR   Selangor  47410</t>
  </si>
  <si>
    <t>NVMY34535000000121</t>
  </si>
  <si>
    <t>MOHAMAD KHAIRUL ANUAR BIN ISHAK</t>
  </si>
  <si>
    <t>PT 8879, TAMAN TEGUH ARIF    Kelantan  17500</t>
  </si>
  <si>
    <t>NVMY34535000000090</t>
  </si>
  <si>
    <t>CHE WAN SUHAIZA</t>
  </si>
  <si>
    <t>PPRT LOT 3215 KG DABONG PAYA MEMPUYU, JLN AYER PUTIH   Terengganu  my 24050</t>
  </si>
  <si>
    <t>NVMY34535000000099</t>
  </si>
  <si>
    <t>AMIRA FAZZILAH BINTI AZHAR</t>
  </si>
  <si>
    <t>NO 42,  KAMPUNG KOLAM ABU   Kelantan  18500</t>
  </si>
  <si>
    <t>NVMY34535000000103</t>
  </si>
  <si>
    <t>NIK SUHAILA</t>
  </si>
  <si>
    <t>LOT 502 LORONG HJ AWANG,KG CHERANG MELINTANG, CHABANG EMPAT , 16210 TUMPAT KELANTAN   Kelantan  16210</t>
  </si>
  <si>
    <t>NVMY34535000000049</t>
  </si>
  <si>
    <t>MAISARAH WATERCOFAR EAST SDN BHD</t>
  </si>
  <si>
    <t>LOT 832 JLN KUSTA KAWASAN PERINDUSTRIAN SB JAYA   Selangor  47000</t>
  </si>
  <si>
    <t>NVMY34535000000091</t>
  </si>
  <si>
    <t>NIK SHAHARIAH NIK MOHAMED</t>
  </si>
  <si>
    <t>7467, BDR.BARU BUKIT MENTOK   Terengganu  24000</t>
  </si>
  <si>
    <t>NVMY34535000000105</t>
  </si>
  <si>
    <t>NORLIZA</t>
  </si>
  <si>
    <t>LOT 1093 JALAN KANDIS CHABANG 4 REPEK , 16310 BACHOK,KELANTAN   Kelantan  16310</t>
  </si>
  <si>
    <t>NVMY34535000000032</t>
  </si>
  <si>
    <t>ZAKIAH ABIDIN</t>
  </si>
  <si>
    <t>NO.C22-2 JALAN SUNGKAI KAMPUNG CEGAR, BIDOR BATANG PADANG    Perak  35500</t>
  </si>
  <si>
    <t>NVMY34535000000088</t>
  </si>
  <si>
    <t>SUHAILA</t>
  </si>
  <si>
    <t>NO.3 LORONG SENTOSA 2, KG BARU PAARIT 5   Selangor  45400</t>
  </si>
  <si>
    <t>NVMY34535000000094</t>
  </si>
  <si>
    <t>SITI SAFINAH HUSSIN</t>
  </si>
  <si>
    <t>SK FELDA PADANG PIOL   Pahang  27040</t>
  </si>
  <si>
    <t>NVMY34535000000070</t>
  </si>
  <si>
    <t>WENDY ASRINA</t>
  </si>
  <si>
    <t>NO.34 JALAN 8/3,SEKSYEN 8 , BANDAR BARU BANGI , 43650 SELANGOR    Selangor  43650</t>
  </si>
  <si>
    <t>NVMY34535000000126</t>
  </si>
  <si>
    <t>KHALESA</t>
  </si>
  <si>
    <t>LOT 61175 JALAN SEPELAI 1,  KAMPUNG PELA   Terengganu  21810</t>
  </si>
  <si>
    <t>NVMY34535000000086</t>
  </si>
  <si>
    <t>NORSUHADAH</t>
  </si>
  <si>
    <t>NO 5A, KG SIONG   Pahang  26600</t>
  </si>
  <si>
    <t>NVMY34535000000072</t>
  </si>
  <si>
    <t>GAN ALMA DAUD</t>
  </si>
  <si>
    <t>NO 11A,JALAN SANTERA II 42/1L , TAMAN TTDI JAYA 40150 SHAH ALAM SELANGOR   Selangor  40150</t>
  </si>
  <si>
    <t>NVMY34535000000093</t>
  </si>
  <si>
    <t>ROSHIDA BT DAUD</t>
  </si>
  <si>
    <t>NO.30 A, KG KUBANG LINTAH MUKIM LEPAI   Kedah  05350</t>
  </si>
  <si>
    <t>NVMY34535000000101</t>
  </si>
  <si>
    <t>ZAIDAH</t>
  </si>
  <si>
    <t>NO.11 KAWASAN RAWA 17610 KUALA BALAH JELI KELANTAN   Kelantan  17610</t>
  </si>
  <si>
    <t>NVMY34535000000085</t>
  </si>
  <si>
    <t>NURUL IZAIDA</t>
  </si>
  <si>
    <t>81, JLN TMN MELATI 6, TMN MELATI   Kuala Lumpur  53100</t>
  </si>
  <si>
    <t>NVMY34535000000080</t>
  </si>
  <si>
    <t>ZAMZUHANA</t>
  </si>
  <si>
    <t>LOT 99 B, KG SRI INDAH B,  LORONG 10 B  Selangor   Selangor  my 47000</t>
  </si>
  <si>
    <t>NVMY34535000000084</t>
  </si>
  <si>
    <t>TENGKU MASTURA</t>
  </si>
  <si>
    <t>SK FELDA KANANG BARAT JLN MEMPELAM, FELDA KANANG BARAT   Johor  86000</t>
  </si>
  <si>
    <t>NVMY34535000000082</t>
  </si>
  <si>
    <t>ZAHLIA RAHIM</t>
  </si>
  <si>
    <t>JKR 770-6 BEREK POLIS SG AMBAT   Johor  86810</t>
  </si>
  <si>
    <t>NVMY34535000000153</t>
  </si>
  <si>
    <t>SHAMIRRA HAZLINDA BT MOHD RUSLI</t>
  </si>
  <si>
    <t>A73, JALAN WAN AHMAD,    Kelantan  17500</t>
  </si>
  <si>
    <t>NVMY34535000000102</t>
  </si>
  <si>
    <t>NOR AINAA</t>
  </si>
  <si>
    <t>NO 409, BLOK A3 GUGUSAN MAWAR , NO1 JALAN CAMAR 415B , SEKSYEN 4 KOTA DAMANSARA 47810 PETALING JAYA SELANGOR   Selangor  47810</t>
  </si>
  <si>
    <t>NVMY34535000000097</t>
  </si>
  <si>
    <t>NOR AINI SUNGIP</t>
  </si>
  <si>
    <t>105 JLN CEMPAKA SARI TAMAN SRI CEMPAKA JLN JUNNID   Johor  84000</t>
  </si>
  <si>
    <t>NVMY34535000000148</t>
  </si>
  <si>
    <t>ZAHIDA ZUBAIDI</t>
  </si>
  <si>
    <t>PT1148P, JALAN KENANGA OFF JALAN KAMARUDDIN   Terengganu  20400</t>
  </si>
  <si>
    <t>NVMY34535000000128</t>
  </si>
  <si>
    <t>HASNAH BTE ABD WAHAB</t>
  </si>
  <si>
    <t>NO 5 JALAN 1/1A, TAMAN SRI KLUANG   Johor  86000</t>
  </si>
  <si>
    <t>7-KLU-43</t>
  </si>
  <si>
    <t>NVMY34535000000096</t>
  </si>
  <si>
    <t>NOR ANITA BT ZAINON</t>
  </si>
  <si>
    <t>PEJABAT MARA DAERAH JASIN NOJA 9963-1A BANDAR BARU JASIN 3   Melaka  77000</t>
  </si>
  <si>
    <t>NVMY34535000000118</t>
  </si>
  <si>
    <t>NORANIZA AB RAHIM</t>
  </si>
  <si>
    <t>LOT 3, JALAN SERI AMAN MAS 2, KAMPUNG SERI AMAN MAS,47150 PUCHONG SELANGOR   Selangor  47150</t>
  </si>
  <si>
    <t>NVMY34535000000098</t>
  </si>
  <si>
    <t>NANI MUSTAPA</t>
  </si>
  <si>
    <t>NO 30 BATU 16 1/2 KAMPUNG TERACHI    Negeri Sembilan  71500</t>
  </si>
  <si>
    <t>NVMY34535000000108</t>
  </si>
  <si>
    <t>SHAFIKA</t>
  </si>
  <si>
    <t>NO 5 JALAN SAGA 8 , TAMAN SAGA 68000 AMPANG SELANGOR   Selangor  68000</t>
  </si>
  <si>
    <t>NVMY34535000000124</t>
  </si>
  <si>
    <t>MIMY</t>
  </si>
  <si>
    <t>UNIT 26-03 RESIDENSI LANAI @ BUKIT JALIL, JALAN 2/155A   Kuala Lumpur  57000</t>
  </si>
  <si>
    <t>NVMY34535000000034</t>
  </si>
  <si>
    <t>SITI FATIMAH MOHD SHAIDI</t>
  </si>
  <si>
    <t>Sabah</t>
  </si>
  <si>
    <t>RUMAH TERES NO 4 KAMPUNG SUANGAN OFF LORONG KINARUT JAYA 1, KINARUT    Sabah  89500</t>
  </si>
  <si>
    <t>EMSIA</t>
  </si>
  <si>
    <t>NVMY34535000000109</t>
  </si>
  <si>
    <t>FAZRINA</t>
  </si>
  <si>
    <t>A174 KM18 , SUNGAI HJ DORANI,45300 SG BESAR SELANGOR   Selangor  45300</t>
  </si>
  <si>
    <t>NVMY34535000000073</t>
  </si>
  <si>
    <t>INTAN BT JAMALUDIN</t>
  </si>
  <si>
    <t>NO 1 KG SUNGAI LEBAH, JALAN BANDAR TINGGI 71600 KUALA KLAWANG , JELEBU NEGERI SEMBILAN   Negeri Sembilan  71600</t>
  </si>
  <si>
    <t>NVMY34535000000087</t>
  </si>
  <si>
    <t>NORHIDAYU</t>
  </si>
  <si>
    <t>BATU 4, KG KEPALA PULAU LAYANG-LAYANG KANAN  Perak  Perak  32800</t>
  </si>
  <si>
    <t>NVMY34535000000154</t>
  </si>
  <si>
    <t>NURA BT ISMAIL</t>
  </si>
  <si>
    <t>KG BUKIT JERING, KUALA BALAH   Kelantan  17610</t>
  </si>
  <si>
    <t>NVMY34535000000077</t>
  </si>
  <si>
    <t>AISHAH NADHIRAH</t>
  </si>
  <si>
    <t>NO2 KEDIAMAN PPRT TMN PER TELAGA DAING SEB TAKIR    Terengganu  21300</t>
  </si>
  <si>
    <t>NVMY34535000000047</t>
  </si>
  <si>
    <t>HASRAF RADZI</t>
  </si>
  <si>
    <t>169 A TAMAN GUNUNG BONGSU FASA 2,    Kedah  05400</t>
  </si>
  <si>
    <t>NVMY34535000000113</t>
  </si>
  <si>
    <t>SITI NORDIANA</t>
  </si>
  <si>
    <t>NO 7 JALAN SERI BUDIMAN 1/4 TAMAN SERI BUDIMAN 43100 MAHKOTA CHERAS SELANGOR   Selangor  43100</t>
  </si>
  <si>
    <t>NVMY34535000000125</t>
  </si>
  <si>
    <t>NUR AZIRAH BINTI MAT BAHARIN</t>
  </si>
  <si>
    <t>JALAN KUINI KAMPUNG BUKIT BANGKONG , SUNGAI PELEK SEPANG   Selangor  43950</t>
  </si>
  <si>
    <t>NVMY34535000000117</t>
  </si>
  <si>
    <t>NUR ZULITA</t>
  </si>
  <si>
    <t>NO4 JALAN AMPANG 16 TAMAN AMPANG PECAH 44000 KUALA KUBU BHARU SELANGOR   Selangor  44000</t>
  </si>
  <si>
    <t>NVMY34535000000127</t>
  </si>
  <si>
    <t>CHIN HUNG LEONG</t>
  </si>
  <si>
    <t>10 JALAN RT 8B TAMAN RAWANG TIN   Selangor  48000</t>
  </si>
  <si>
    <t>NVMY34535000000149</t>
  </si>
  <si>
    <t>LIDYA KL APPAREL</t>
  </si>
  <si>
    <t>NO. 40-2F, JALAN SETIA PERDANA BF, U13/BF, SETIA ALAM, SEKSYEN U13   Selangor  40170</t>
  </si>
  <si>
    <t>NVMY34535000000136</t>
  </si>
  <si>
    <t>NORFARAH LIYANA NORZLEE</t>
  </si>
  <si>
    <t>KLINIK KESIHATAN MERSING KANAN KM1 JALAN ENDAU    Johor  86800</t>
  </si>
  <si>
    <t>7-MSG-42</t>
  </si>
  <si>
    <t>NVMY34535000000131</t>
  </si>
  <si>
    <t>NVMY34535000000134</t>
  </si>
  <si>
    <t>NVMY34535000000133</t>
  </si>
  <si>
    <t>NVMY34535000000132</t>
  </si>
  <si>
    <t>NVMY34535000000075</t>
  </si>
  <si>
    <t>NORIZZATI BT ABD MOIN</t>
  </si>
  <si>
    <t>NO 2978,JALAN MUTIARA 9/5 TAMAN MUTIARA,SUNGAI KOB 09700 KARANGAN,KEDAH  Kedah  Kedah  09700</t>
  </si>
  <si>
    <t>NVMY34535000000164</t>
  </si>
  <si>
    <t>ANA HARITH</t>
  </si>
  <si>
    <t>NO.64, LORONG IM15/21, BANDAR INDERA MAHKOTA   Pahang  25200</t>
  </si>
  <si>
    <t>NVMY34535000000052</t>
  </si>
  <si>
    <t>MUHD BAZLIE IKRAM BIN AZMI</t>
  </si>
  <si>
    <t>Labuan</t>
  </si>
  <si>
    <t>JABATAN LAUT MALAYSIA W.P.LABUAN JALAN MERDEKA   Sabah  87020</t>
  </si>
  <si>
    <t>15-LBN-111</t>
  </si>
  <si>
    <t>NVMY34535000000168</t>
  </si>
  <si>
    <t>NORSITAH BT M.SAIT</t>
  </si>
  <si>
    <t>KG LALANG PEPUYU   Kelantan  17500</t>
  </si>
  <si>
    <t>NVMY34535000000151</t>
  </si>
  <si>
    <t>HAFIZAH ABDUL SALAM</t>
  </si>
  <si>
    <t>LOT 1322 KG MAT KILAU 1   Pahang  27000</t>
  </si>
  <si>
    <t>NVMY34535000000167</t>
  </si>
  <si>
    <t>NAZIANI BT AHMAD</t>
  </si>
  <si>
    <t>NO.1, LORONG 2, TAMAN FIRDAUS, ALOR PASIR    Kelantan  16800</t>
  </si>
  <si>
    <t>NVMY34535000000156</t>
  </si>
  <si>
    <t>HAMID B. MAT HAMMAD</t>
  </si>
  <si>
    <t>NO LOT 11309 KAMPUNG KALAI SEBERANG AIR KERAN   Kelantan  17600</t>
  </si>
  <si>
    <t>NVMY34535000000120</t>
  </si>
  <si>
    <t>MOHAMAD ISHAR BIN MOHD SHARIFF</t>
  </si>
  <si>
    <t>NO 35, JALAN 7/5a, SEKSYEN 7, BANDAR BARU BANGI   Selangor  43650</t>
  </si>
  <si>
    <t>12-BGI-91</t>
  </si>
  <si>
    <t>NVMY34535000000119</t>
  </si>
  <si>
    <t>ATIQAH NABIHAH</t>
  </si>
  <si>
    <t>NO30 JALAN SURADA 12 TAMAN DESA SURADA SEKSYEN 8 43650 BANDAR BARU BANGI SELANGOR   Selangor  43650</t>
  </si>
  <si>
    <t>NVMY34535000000166</t>
  </si>
  <si>
    <t>NURRULL</t>
  </si>
  <si>
    <t>NO 45 LORONG BUKIT RANGIN PERDANA 1/9 PERUMAHAN BUKIT RANGIN PERDANA 1   Pahang  25150</t>
  </si>
  <si>
    <t>NVMY34535000000116</t>
  </si>
  <si>
    <t>MOHD NASRUL</t>
  </si>
  <si>
    <t>NO27 JALAN NEBAN HAMID KG JONG 33310 GERIK PERAK   Perak  33310</t>
  </si>
  <si>
    <t>NVMY34535000000161</t>
  </si>
  <si>
    <t>NAJUHA ASHRI</t>
  </si>
  <si>
    <t>LOT 3586 KG MACHANG LIMBAT   Kelantan  16150</t>
  </si>
  <si>
    <t>NVMY34535000000104</t>
  </si>
  <si>
    <t>NOR HASLINDA</t>
  </si>
  <si>
    <t>NO 665B,KUARTERS KLINIK KESIHATAN DONG,27400 DONG,RAUB PAHANG   Pahang  27400</t>
  </si>
  <si>
    <t>NVMY34535000000107</t>
  </si>
  <si>
    <t>MIA IRDINA</t>
  </si>
  <si>
    <t>NO.39 JALAN PINGGIRAN 3/9 TAMAN PINGGIRAN BATU CAVES SELANGOR   Selangor  68100</t>
  </si>
  <si>
    <t>NVMY34535000000095</t>
  </si>
  <si>
    <t>FAIEZATUL AKMAL BT ZAINAL ABIDIN</t>
  </si>
  <si>
    <t>2-13-20 PANGSAPURI SAUJANA PERMAI 2 JALAN MUTIARA 4 MUTIARA HEIGHT   Selangor  43000</t>
  </si>
  <si>
    <t>NVMY34535000000123</t>
  </si>
  <si>
    <t>MOHD SHAHLAN</t>
  </si>
  <si>
    <t>NO 206 BLOK 10 (JR BANDLE) FELDA MEMPAGA SATU   Pahang  28700</t>
  </si>
  <si>
    <t>14A-BEN-104</t>
  </si>
  <si>
    <t>NVMY34535000000174</t>
  </si>
  <si>
    <t>YANNA MARIANA</t>
  </si>
  <si>
    <t>NO 40 KAMPUNG PENGADANG BULUH   Terengganu  21070</t>
  </si>
  <si>
    <t>NVMY34535000000162</t>
  </si>
  <si>
    <t>SITI NOR ANIZA BINTI NORASHID</t>
  </si>
  <si>
    <t>BLOK G 4282-0-7 JALAN MERDEKA 2, KEM SG BESI   Kuala Lumpur  57000</t>
  </si>
  <si>
    <t>NVMY34535000000100</t>
  </si>
  <si>
    <t>HAZURUAINY</t>
  </si>
  <si>
    <t>NO.31 JALAN KESUMA 6/1G BANDAR TASIK KESUMA 43700 BERANANG,SELANGOR   Selangor  43700</t>
  </si>
  <si>
    <t>NVMY34535000000144</t>
  </si>
  <si>
    <t>NOORAIDA ABU BAKAR</t>
  </si>
  <si>
    <t>C159 KG PAYA KERCHUT, MUKIM AIR PUTEH    Kedah  06700</t>
  </si>
  <si>
    <t>3-PDG-15</t>
  </si>
  <si>
    <t>NVMY34535000000092</t>
  </si>
  <si>
    <t>NUR SHARINA ELINDA</t>
  </si>
  <si>
    <t>LOT 1135C, JALAN DENAI 6 KEMPAS BARU   Johor  81200</t>
  </si>
  <si>
    <t>NVMY34535000000112</t>
  </si>
  <si>
    <t>ZARAH NAUMUL</t>
  </si>
  <si>
    <t>Perlis</t>
  </si>
  <si>
    <t>PERMAI UTAMA HOMESTAY 619 A JLN BELAKANG DEWAN KG PONDOK 01000 KANGAR PERLIS   Perlis  01000</t>
  </si>
  <si>
    <t>NVMY34535000000122</t>
  </si>
  <si>
    <t>NOOR ASYIKIN ROSLAN</t>
  </si>
  <si>
    <t>189 FELDA TELOI KANAN    Kedah  09300</t>
  </si>
  <si>
    <t>NVMY34535000000110</t>
  </si>
  <si>
    <t>SITI JUWIDA</t>
  </si>
  <si>
    <t>NO.27 KG PIDA 6 06150 AYER HITAM KEDAH   Kedah  06150</t>
  </si>
  <si>
    <t>NVMY34535000000146</t>
  </si>
  <si>
    <t>MOHD SHAHRIL BIN ARIFFIN</t>
  </si>
  <si>
    <t>LOT20350-1, LRG TANJUNG BATU 18    Selangor  48050</t>
  </si>
  <si>
    <t>NVMY34535000000170</t>
  </si>
  <si>
    <t>AZHAR BIN OTHMAN</t>
  </si>
  <si>
    <t>NO 15 JALAN 2 TAMAN BERNAM JAYA SABAK BERNAM    Selangor  45200</t>
  </si>
  <si>
    <t>NVMY34535000000130</t>
  </si>
  <si>
    <t>NUR FATIN NABILLA BINTI MOHD ZAINI</t>
  </si>
  <si>
    <t>KAMPUNG BENDANG SERA, JALAN KROH   Kedah  09100</t>
  </si>
  <si>
    <t>3-BAL-16</t>
  </si>
  <si>
    <t>NVMY34535000000114</t>
  </si>
  <si>
    <t>NURUL IFTIDAR</t>
  </si>
  <si>
    <t>NO 337 FASA 2B 32040 SERI MANJUNG PERAK   Perak  32040</t>
  </si>
  <si>
    <t>NVMY34535000000111</t>
  </si>
  <si>
    <t>NOR HASMIADILA BT MUKHTAR</t>
  </si>
  <si>
    <t>A-G-20 KENANGA APARTMENT JALAN TBK 1/10 TAMAN BUKIT KINRARA,47100 PUCHONG SELANGOR  Selangor  Selangor  47100</t>
  </si>
  <si>
    <t>14-TPK-118</t>
  </si>
  <si>
    <t>NVMY34535000000145</t>
  </si>
  <si>
    <t>YASMIN ZULKIFLI</t>
  </si>
  <si>
    <t>NO 853, JALAN PRIMA 28, RESIDENSI PRIMA BANDAR PUTERI JAYA 2   Kedah  08000</t>
  </si>
  <si>
    <t>3-SPT-17</t>
  </si>
  <si>
    <t>NVMY34535000000158</t>
  </si>
  <si>
    <t>POKCIK FIRDAUS</t>
  </si>
  <si>
    <t>34, JALAN HALIA 8 TAMAN LANGAT UTAMA 3    Selangor  42700</t>
  </si>
  <si>
    <t>NVMY34535000000165</t>
  </si>
  <si>
    <t>NORMAYA SUARI BINTI ROSLAN</t>
  </si>
  <si>
    <t>SUNWAY COLLEGE NO.2 JALAN UNIVERSIYT, BANDAR SUNWAY   Selangor  47500</t>
  </si>
  <si>
    <t>NVMY34535000000188</t>
  </si>
  <si>
    <t>ROSLAN MUSA</t>
  </si>
  <si>
    <t>KG LALANG PEPUYU   Kelantan  17510</t>
  </si>
  <si>
    <t>NVMY34535000000187</t>
  </si>
  <si>
    <t>USTAZ BADRULHISHAM MAHMOOD</t>
  </si>
  <si>
    <t>JALAN SAYYIDINA ALI, LOT 2884 TAMAN MAKA UTAMA, KG JAKAR   Kelantan  17000</t>
  </si>
  <si>
    <t>NVMY34535000000181</t>
  </si>
  <si>
    <t>SHAKILA BT AHMAD</t>
  </si>
  <si>
    <t>IPG KAMPUS SULTAN MIZAN    Terengganu  22200</t>
  </si>
  <si>
    <t>NVMY34535000000175</t>
  </si>
  <si>
    <t>AZIZAH DAUD</t>
  </si>
  <si>
    <t>NO 36 JALAN GR 1/3, CASSIA, GARDEN RESIDENCE CYBER 3, CYBERJAYA   Selangor  63000</t>
  </si>
  <si>
    <t>NVMY34535000000150</t>
  </si>
  <si>
    <t>NORSUHAILI BINTI SAYONOR</t>
  </si>
  <si>
    <t>NO. 14-E, JALAN SETIAWAN JAYA 2, TAMAN SERI JAYA   Perak  32000</t>
  </si>
  <si>
    <t>NVMY34535000000147</t>
  </si>
  <si>
    <t>KAMARIZAN B DAUD</t>
  </si>
  <si>
    <t>NO28 JALAN CHENG JAYA, TAMAN CHENG JAYA 4   Melaka  75250</t>
  </si>
  <si>
    <t>MKZ-MKZ</t>
  </si>
  <si>
    <t>NVMY34535000000169</t>
  </si>
  <si>
    <t>MOHAMMAD FIRDAUS BIN MAT YATIM</t>
  </si>
  <si>
    <t>NO 238 JALAN WIRA 12, TAMAN WIRA JAYA   Negeri Sembilan  72000</t>
  </si>
  <si>
    <t>NVMY34535000000182</t>
  </si>
  <si>
    <t>NOR HAYATI ISMAIL</t>
  </si>
  <si>
    <t>LOT 1808 TAMAN JANNATI   Kelantan  16800</t>
  </si>
  <si>
    <t>NVMY34535000000183</t>
  </si>
  <si>
    <t>2-KTR-8</t>
  </si>
  <si>
    <t>NVMY34535000000159</t>
  </si>
  <si>
    <t>MASHITOH BINTI ALIAS</t>
  </si>
  <si>
    <t>KAMPUNG KUBANG PALAS, KUALA NERANG   Kedah  06300</t>
  </si>
  <si>
    <t>NVMY34535000000178</t>
  </si>
  <si>
    <t>WAN SUHAIMI</t>
  </si>
  <si>
    <t>NO 4 JALAN NURI 7/17A KOTA DAMANSARA    Selangor  47810</t>
  </si>
  <si>
    <t>NVMY34535000000189</t>
  </si>
  <si>
    <t>AEN LILY</t>
  </si>
  <si>
    <t>PY 1309 JALAN CBG 3 PENDEK, TAMAN DESA FIRDAUS KG.BINJAI LARAK PENDEK   Kelantan  my 15100</t>
  </si>
  <si>
    <t>NVMY34535000000180</t>
  </si>
  <si>
    <t>SITI ROHAYU BT CHE RAHMA</t>
  </si>
  <si>
    <t>RUMAH PANGSA MAMPU MILIK, B-T3-09 SEMERAK, KAMPUNG MENGABANG BESAR  Terengganu  Terengganu  22300</t>
  </si>
  <si>
    <t>NVMY34535000000172</t>
  </si>
  <si>
    <t>NURUL HIDAYAH ABDUL RAHMAN</t>
  </si>
  <si>
    <t>NO 57 LORONG JAWI JAYA 10 TAMAN JAWI JAYA SUNGAI JAWI   Pulau Pinang  14200</t>
  </si>
  <si>
    <t>NVMY34535000000155</t>
  </si>
  <si>
    <t>TONGWEIMING</t>
  </si>
  <si>
    <t>NO 37 JALAN BESAR KAMPUNG BARU CHANGKAT KRUING   Perak  32500</t>
  </si>
  <si>
    <t>8-ATW-138</t>
  </si>
  <si>
    <t>NVMY34535000000171</t>
  </si>
  <si>
    <t>AZIAH AHMAD</t>
  </si>
  <si>
    <t>NO 104 KAMPUNG JALAN 6 KAKI, BERANANG    Selangor  43700</t>
  </si>
  <si>
    <t>NVMY34535000000152</t>
  </si>
  <si>
    <t>NURIN BATRISYA</t>
  </si>
  <si>
    <t>200 JALAN SERI IMPIAN 1/5 TAMAN SERI IMPIAN  1/5 TAMAN SERI IMPIAN   Johor  86000</t>
  </si>
  <si>
    <t>NVMY34535000000157</t>
  </si>
  <si>
    <t>SHAFIQA DAMIA BT HAIZARI</t>
  </si>
  <si>
    <t>D-6-03,BLOK D,TINGKAT 6 PPR LEMBAH SUBANG , DAMANSARA KELANA JALAN PJU 1A/44 PJU 1A. KELANA JAYA   Selangor  47301</t>
  </si>
  <si>
    <t>NVMY34535000000184</t>
  </si>
  <si>
    <t>ZAIHASNAN B. ZULKIFLI</t>
  </si>
  <si>
    <t>NO.27, LORONG MURNI 30, TAMAN DESA MURNI   Pulau Pinang  13800</t>
  </si>
  <si>
    <t>NVMY34535000000115</t>
  </si>
  <si>
    <t>NOR MIMIE</t>
  </si>
  <si>
    <t>NO 186 JALAN MERAK TAMAN TUN SYED NASIR TANJUNG AGAS 84000 MUAR JOHOR   Johor  84000</t>
  </si>
  <si>
    <t>NVMY34535000000160</t>
  </si>
  <si>
    <t>AHMAD SUKRI BIN HASAN</t>
  </si>
  <si>
    <t>237 RUMAH AWAM 4 BATU 3 1/2 JALAN MAHARAJALELA    Perak  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</si>
</sst>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5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4" borderId="0" xfId="0" applyFill="1"/>
    <xf numFmtId="22" fontId="0" fillId="0" borderId="0" xfId="0" applyNumberFormat="1"/>
    <xf numFmtId="14" fontId="0" fillId="0" borderId="0" xfId="0" applyNumberFormat="1"/>
    <xf numFmtId="164" fontId="2" fillId="7" borderId="0" xfId="0" applyNumberFormat="1" applyFont="1" applyFill="1"/>
    <xf numFmtId="164" fontId="0" fillId="10" borderId="0" xfId="0" applyNumberFormat="1" applyFill="1"/>
    <xf numFmtId="165" fontId="2" fillId="6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9F27-9E6C-448A-813E-F2758D287CCE}">
  <dimension ref="A1:AK175"/>
  <sheetViews>
    <sheetView tabSelected="1" workbookViewId="0">
      <selection sqref="A1:AK173"/>
    </sheetView>
  </sheetViews>
  <sheetFormatPr defaultRowHeight="14.4" x14ac:dyDescent="0.3"/>
  <cols>
    <col min="1" max="4" width="9.109375" customWidth="1"/>
    <col min="5" max="5" width="14.44140625" customWidth="1"/>
    <col min="6" max="37" width="9.109375" customWidth="1"/>
  </cols>
  <sheetData>
    <row r="1" spans="1:37" ht="1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">
      <c r="A2">
        <v>690929</v>
      </c>
      <c r="B2" t="s">
        <v>37</v>
      </c>
      <c r="C2" t="s">
        <v>38</v>
      </c>
      <c r="D2" s="9" t="s">
        <v>39</v>
      </c>
      <c r="E2" s="9" t="s">
        <v>37</v>
      </c>
      <c r="F2" s="10"/>
      <c r="G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t="s">
        <v>45</v>
      </c>
      <c r="O2" t="s">
        <v>46</v>
      </c>
      <c r="P2" s="5">
        <v>1</v>
      </c>
      <c r="Q2" s="11">
        <v>44668.414490740739</v>
      </c>
      <c r="R2" s="12">
        <v>44670</v>
      </c>
      <c r="T2" t="s">
        <v>47</v>
      </c>
      <c r="U2" t="s">
        <v>48</v>
      </c>
      <c r="V2" t="s">
        <v>49</v>
      </c>
      <c r="Y2" t="s">
        <v>50</v>
      </c>
      <c r="Z2">
        <v>21010</v>
      </c>
      <c r="AA2" t="s">
        <v>47</v>
      </c>
      <c r="AB2" t="s">
        <v>51</v>
      </c>
      <c r="AC2" t="s">
        <v>52</v>
      </c>
      <c r="AD2" s="13">
        <f t="shared" ref="AD2:AD33" si="0">IF(P2&lt;=1,4.9,4.9+0.8*ROUNDUP(P2-1,0))</f>
        <v>4.9000000000000004</v>
      </c>
      <c r="AE2" s="14">
        <v>0</v>
      </c>
      <c r="AF2" s="14">
        <v>0</v>
      </c>
      <c r="AG2" s="14">
        <v>0</v>
      </c>
      <c r="AH2" s="14">
        <v>0</v>
      </c>
      <c r="AI2" s="14">
        <f t="shared" ref="AI2:AI65" si="1">(AD2+AF2+AH2)*6%</f>
        <v>0.29399999999999998</v>
      </c>
      <c r="AJ2" s="14">
        <f t="shared" ref="AJ2:AJ65" si="2">AD2+AF2+AH2+AI2</f>
        <v>5.194</v>
      </c>
      <c r="AK2" t="s">
        <v>47</v>
      </c>
    </row>
    <row r="3" spans="1:37" ht="15" customHeight="1" x14ac:dyDescent="0.3">
      <c r="A3">
        <v>690929</v>
      </c>
      <c r="B3" t="s">
        <v>37</v>
      </c>
      <c r="C3" t="s">
        <v>38</v>
      </c>
      <c r="D3" s="9" t="s">
        <v>39</v>
      </c>
      <c r="E3" s="9" t="s">
        <v>37</v>
      </c>
      <c r="F3" s="10"/>
      <c r="G3" t="s">
        <v>53</v>
      </c>
      <c r="I3" t="s">
        <v>41</v>
      </c>
      <c r="J3" t="s">
        <v>54</v>
      </c>
      <c r="K3" t="s">
        <v>43</v>
      </c>
      <c r="L3">
        <v>2</v>
      </c>
      <c r="M3" t="s">
        <v>44</v>
      </c>
      <c r="N3" t="s">
        <v>45</v>
      </c>
      <c r="O3" t="s">
        <v>46</v>
      </c>
      <c r="P3" s="5">
        <v>1</v>
      </c>
      <c r="Q3" s="11">
        <v>44670.399409722224</v>
      </c>
      <c r="R3" s="12">
        <v>44671</v>
      </c>
      <c r="T3" t="s">
        <v>47</v>
      </c>
      <c r="U3" t="s">
        <v>48</v>
      </c>
      <c r="V3" t="s">
        <v>49</v>
      </c>
      <c r="Y3" t="s">
        <v>55</v>
      </c>
      <c r="Z3">
        <v>21000</v>
      </c>
      <c r="AA3" t="s">
        <v>47</v>
      </c>
      <c r="AB3" t="s">
        <v>56</v>
      </c>
      <c r="AC3" t="s">
        <v>52</v>
      </c>
      <c r="AD3" s="13">
        <f t="shared" si="0"/>
        <v>4.9000000000000004</v>
      </c>
      <c r="AE3" s="14">
        <v>0</v>
      </c>
      <c r="AF3" s="14">
        <v>0</v>
      </c>
      <c r="AG3" s="14">
        <v>0</v>
      </c>
      <c r="AH3" s="14">
        <v>0</v>
      </c>
      <c r="AI3" s="14">
        <f t="shared" si="1"/>
        <v>0.29399999999999998</v>
      </c>
      <c r="AJ3" s="14">
        <f t="shared" si="2"/>
        <v>5.194</v>
      </c>
      <c r="AK3" t="s">
        <v>47</v>
      </c>
    </row>
    <row r="4" spans="1:37" ht="15" customHeight="1" x14ac:dyDescent="0.3">
      <c r="A4">
        <v>690929</v>
      </c>
      <c r="B4" t="s">
        <v>37</v>
      </c>
      <c r="C4" t="s">
        <v>38</v>
      </c>
      <c r="D4" s="9" t="s">
        <v>39</v>
      </c>
      <c r="E4" s="9" t="s">
        <v>37</v>
      </c>
      <c r="F4" s="10"/>
      <c r="G4" t="s">
        <v>57</v>
      </c>
      <c r="I4" t="s">
        <v>41</v>
      </c>
      <c r="J4" t="s">
        <v>58</v>
      </c>
      <c r="K4" t="s">
        <v>43</v>
      </c>
      <c r="L4">
        <v>2</v>
      </c>
      <c r="M4" t="s">
        <v>44</v>
      </c>
      <c r="N4" t="s">
        <v>45</v>
      </c>
      <c r="O4" t="s">
        <v>46</v>
      </c>
      <c r="P4" s="5">
        <v>1</v>
      </c>
      <c r="Q4" s="11">
        <v>44670.390532407408</v>
      </c>
      <c r="R4" s="12">
        <v>44671</v>
      </c>
      <c r="T4" t="s">
        <v>47</v>
      </c>
      <c r="U4" t="s">
        <v>48</v>
      </c>
      <c r="V4" t="s">
        <v>59</v>
      </c>
      <c r="Y4" t="s">
        <v>60</v>
      </c>
      <c r="Z4">
        <v>27200</v>
      </c>
      <c r="AA4" t="s">
        <v>47</v>
      </c>
      <c r="AB4" t="s">
        <v>51</v>
      </c>
      <c r="AC4" t="s">
        <v>52</v>
      </c>
      <c r="AD4" s="13">
        <f t="shared" si="0"/>
        <v>4.9000000000000004</v>
      </c>
      <c r="AE4" s="14">
        <v>0</v>
      </c>
      <c r="AF4" s="14">
        <v>0</v>
      </c>
      <c r="AG4" s="14">
        <v>0</v>
      </c>
      <c r="AH4" s="14">
        <v>0</v>
      </c>
      <c r="AI4" s="14">
        <f t="shared" si="1"/>
        <v>0.29399999999999998</v>
      </c>
      <c r="AJ4" s="14">
        <f t="shared" si="2"/>
        <v>5.194</v>
      </c>
      <c r="AK4" t="s">
        <v>47</v>
      </c>
    </row>
    <row r="5" spans="1:37" ht="15" customHeight="1" x14ac:dyDescent="0.3">
      <c r="A5">
        <v>690929</v>
      </c>
      <c r="B5" t="s">
        <v>37</v>
      </c>
      <c r="C5" t="s">
        <v>38</v>
      </c>
      <c r="D5" s="9" t="s">
        <v>39</v>
      </c>
      <c r="E5" s="9" t="s">
        <v>37</v>
      </c>
      <c r="F5" s="10"/>
      <c r="G5" t="s">
        <v>61</v>
      </c>
      <c r="I5" t="s">
        <v>41</v>
      </c>
      <c r="J5" t="s">
        <v>62</v>
      </c>
      <c r="K5" t="s">
        <v>43</v>
      </c>
      <c r="L5">
        <v>2</v>
      </c>
      <c r="M5" t="s">
        <v>44</v>
      </c>
      <c r="N5" t="s">
        <v>45</v>
      </c>
      <c r="O5" t="s">
        <v>63</v>
      </c>
      <c r="P5" s="5">
        <v>2</v>
      </c>
      <c r="Q5" s="11">
        <v>44670.505289351851</v>
      </c>
      <c r="R5" s="12">
        <v>44671</v>
      </c>
      <c r="T5" t="s">
        <v>47</v>
      </c>
      <c r="U5" t="s">
        <v>48</v>
      </c>
      <c r="V5" t="s">
        <v>59</v>
      </c>
      <c r="Y5" t="s">
        <v>64</v>
      </c>
      <c r="Z5">
        <v>25150</v>
      </c>
      <c r="AA5" t="s">
        <v>47</v>
      </c>
      <c r="AB5" t="s">
        <v>65</v>
      </c>
      <c r="AC5" t="s">
        <v>52</v>
      </c>
      <c r="AD5" s="13">
        <f t="shared" si="0"/>
        <v>5.7</v>
      </c>
      <c r="AE5" s="14">
        <v>0</v>
      </c>
      <c r="AF5" s="14">
        <v>0</v>
      </c>
      <c r="AG5" s="14">
        <v>0</v>
      </c>
      <c r="AH5" s="14">
        <v>0</v>
      </c>
      <c r="AI5" s="14">
        <f t="shared" si="1"/>
        <v>0.34199999999999997</v>
      </c>
      <c r="AJ5" s="14">
        <f t="shared" si="2"/>
        <v>6.0419999999999998</v>
      </c>
      <c r="AK5" t="s">
        <v>47</v>
      </c>
    </row>
    <row r="6" spans="1:37" ht="15" customHeight="1" x14ac:dyDescent="0.3">
      <c r="A6">
        <v>690929</v>
      </c>
      <c r="B6" t="s">
        <v>37</v>
      </c>
      <c r="C6" t="s">
        <v>38</v>
      </c>
      <c r="D6" s="9" t="s">
        <v>39</v>
      </c>
      <c r="E6" s="9" t="s">
        <v>37</v>
      </c>
      <c r="F6" s="10"/>
      <c r="G6" t="s">
        <v>66</v>
      </c>
      <c r="I6" t="s">
        <v>41</v>
      </c>
      <c r="J6" t="s">
        <v>67</v>
      </c>
      <c r="K6" t="s">
        <v>43</v>
      </c>
      <c r="L6">
        <v>2</v>
      </c>
      <c r="M6" t="s">
        <v>44</v>
      </c>
      <c r="N6" t="s">
        <v>45</v>
      </c>
      <c r="O6" t="s">
        <v>68</v>
      </c>
      <c r="P6" s="5">
        <v>2</v>
      </c>
      <c r="Q6" s="11">
        <v>44670.500138888892</v>
      </c>
      <c r="R6" s="12">
        <v>44672</v>
      </c>
      <c r="T6" t="s">
        <v>47</v>
      </c>
      <c r="U6" t="s">
        <v>48</v>
      </c>
      <c r="V6" t="s">
        <v>69</v>
      </c>
      <c r="Y6" t="s">
        <v>70</v>
      </c>
      <c r="Z6">
        <v>10200</v>
      </c>
      <c r="AA6" t="s">
        <v>47</v>
      </c>
      <c r="AB6" t="s">
        <v>71</v>
      </c>
      <c r="AC6" t="s">
        <v>52</v>
      </c>
      <c r="AD6" s="13">
        <f t="shared" si="0"/>
        <v>5.7</v>
      </c>
      <c r="AE6" s="14">
        <v>0</v>
      </c>
      <c r="AF6" s="14">
        <v>0</v>
      </c>
      <c r="AG6" s="14">
        <v>0</v>
      </c>
      <c r="AH6" s="14">
        <v>0</v>
      </c>
      <c r="AI6" s="14">
        <f t="shared" si="1"/>
        <v>0.34199999999999997</v>
      </c>
      <c r="AJ6" s="14">
        <f t="shared" si="2"/>
        <v>6.0419999999999998</v>
      </c>
      <c r="AK6" t="s">
        <v>47</v>
      </c>
    </row>
    <row r="7" spans="1:37" ht="15" customHeight="1" x14ac:dyDescent="0.3">
      <c r="A7">
        <v>690929</v>
      </c>
      <c r="B7" t="s">
        <v>37</v>
      </c>
      <c r="C7" t="s">
        <v>38</v>
      </c>
      <c r="D7" s="9" t="s">
        <v>39</v>
      </c>
      <c r="E7" s="9" t="s">
        <v>37</v>
      </c>
      <c r="F7" s="10"/>
      <c r="G7" t="s">
        <v>72</v>
      </c>
      <c r="I7" t="s">
        <v>41</v>
      </c>
      <c r="J7" t="s">
        <v>73</v>
      </c>
      <c r="K7" t="s">
        <v>43</v>
      </c>
      <c r="L7">
        <v>2</v>
      </c>
      <c r="M7" t="s">
        <v>44</v>
      </c>
      <c r="N7" t="s">
        <v>45</v>
      </c>
      <c r="O7" t="s">
        <v>46</v>
      </c>
      <c r="P7" s="5">
        <v>1</v>
      </c>
      <c r="Q7" s="11">
        <v>44671.387835648151</v>
      </c>
      <c r="R7" s="12">
        <v>44672</v>
      </c>
      <c r="T7" t="s">
        <v>47</v>
      </c>
      <c r="U7" t="s">
        <v>48</v>
      </c>
      <c r="V7" t="s">
        <v>74</v>
      </c>
      <c r="Y7" t="s">
        <v>75</v>
      </c>
      <c r="Z7">
        <v>17600</v>
      </c>
      <c r="AA7" t="s">
        <v>47</v>
      </c>
      <c r="AB7" t="s">
        <v>51</v>
      </c>
      <c r="AC7" t="s">
        <v>52</v>
      </c>
      <c r="AD7" s="13">
        <f t="shared" si="0"/>
        <v>4.9000000000000004</v>
      </c>
      <c r="AE7" s="14">
        <v>0</v>
      </c>
      <c r="AF7" s="14">
        <v>0</v>
      </c>
      <c r="AG7" s="14">
        <v>0</v>
      </c>
      <c r="AH7" s="14">
        <v>0</v>
      </c>
      <c r="AI7" s="14">
        <f t="shared" si="1"/>
        <v>0.29399999999999998</v>
      </c>
      <c r="AJ7" s="14">
        <f t="shared" si="2"/>
        <v>5.194</v>
      </c>
      <c r="AK7" t="s">
        <v>47</v>
      </c>
    </row>
    <row r="8" spans="1:37" ht="15" customHeight="1" x14ac:dyDescent="0.3">
      <c r="A8">
        <v>690929</v>
      </c>
      <c r="B8" t="s">
        <v>37</v>
      </c>
      <c r="C8" t="s">
        <v>38</v>
      </c>
      <c r="D8" s="9" t="s">
        <v>39</v>
      </c>
      <c r="E8" s="9" t="s">
        <v>37</v>
      </c>
      <c r="F8" s="10"/>
      <c r="G8" t="s">
        <v>76</v>
      </c>
      <c r="I8" t="s">
        <v>41</v>
      </c>
      <c r="J8" t="s">
        <v>77</v>
      </c>
      <c r="K8" t="s">
        <v>43</v>
      </c>
      <c r="L8">
        <v>2</v>
      </c>
      <c r="M8" t="s">
        <v>44</v>
      </c>
      <c r="N8" t="s">
        <v>45</v>
      </c>
      <c r="O8" t="s">
        <v>46</v>
      </c>
      <c r="P8" s="5">
        <v>1</v>
      </c>
      <c r="Q8" s="11">
        <v>44670.396967592591</v>
      </c>
      <c r="R8" s="12">
        <v>44672</v>
      </c>
      <c r="T8" t="s">
        <v>47</v>
      </c>
      <c r="U8" t="s">
        <v>48</v>
      </c>
      <c r="V8" t="s">
        <v>78</v>
      </c>
      <c r="Y8" t="s">
        <v>79</v>
      </c>
      <c r="Z8">
        <v>76100</v>
      </c>
      <c r="AA8" t="s">
        <v>47</v>
      </c>
      <c r="AB8" t="s">
        <v>80</v>
      </c>
      <c r="AC8" t="s">
        <v>52</v>
      </c>
      <c r="AD8" s="13">
        <f t="shared" si="0"/>
        <v>4.9000000000000004</v>
      </c>
      <c r="AE8" s="14">
        <v>0</v>
      </c>
      <c r="AF8" s="14">
        <v>0</v>
      </c>
      <c r="AG8" s="14">
        <v>0</v>
      </c>
      <c r="AH8" s="14">
        <v>0</v>
      </c>
      <c r="AI8" s="14">
        <f t="shared" si="1"/>
        <v>0.29399999999999998</v>
      </c>
      <c r="AJ8" s="14">
        <f t="shared" si="2"/>
        <v>5.194</v>
      </c>
      <c r="AK8" t="s">
        <v>47</v>
      </c>
    </row>
    <row r="9" spans="1:37" ht="15" customHeight="1" x14ac:dyDescent="0.3">
      <c r="A9">
        <v>690929</v>
      </c>
      <c r="B9" t="s">
        <v>37</v>
      </c>
      <c r="C9" t="s">
        <v>38</v>
      </c>
      <c r="D9" s="9" t="s">
        <v>39</v>
      </c>
      <c r="E9" s="9" t="s">
        <v>37</v>
      </c>
      <c r="F9" s="10"/>
      <c r="G9" t="s">
        <v>81</v>
      </c>
      <c r="I9" t="s">
        <v>41</v>
      </c>
      <c r="J9" t="s">
        <v>82</v>
      </c>
      <c r="K9" t="s">
        <v>43</v>
      </c>
      <c r="L9">
        <v>2</v>
      </c>
      <c r="M9" t="s">
        <v>44</v>
      </c>
      <c r="N9" t="s">
        <v>45</v>
      </c>
      <c r="O9" t="s">
        <v>46</v>
      </c>
      <c r="P9" s="5">
        <v>1</v>
      </c>
      <c r="Q9" s="11">
        <v>44671.511250000003</v>
      </c>
      <c r="R9" s="12">
        <v>44672</v>
      </c>
      <c r="T9" t="s">
        <v>47</v>
      </c>
      <c r="U9" t="s">
        <v>48</v>
      </c>
      <c r="V9" t="s">
        <v>59</v>
      </c>
      <c r="Y9" t="s">
        <v>83</v>
      </c>
      <c r="Z9">
        <v>26650</v>
      </c>
      <c r="AA9" t="s">
        <v>47</v>
      </c>
      <c r="AB9" t="s">
        <v>84</v>
      </c>
      <c r="AC9" t="s">
        <v>52</v>
      </c>
      <c r="AD9" s="13">
        <f t="shared" si="0"/>
        <v>4.9000000000000004</v>
      </c>
      <c r="AE9" s="14">
        <v>0</v>
      </c>
      <c r="AF9" s="14">
        <v>0</v>
      </c>
      <c r="AG9" s="14">
        <v>0</v>
      </c>
      <c r="AH9" s="14">
        <v>0</v>
      </c>
      <c r="AI9" s="14">
        <f t="shared" si="1"/>
        <v>0.29399999999999998</v>
      </c>
      <c r="AJ9" s="14">
        <f t="shared" si="2"/>
        <v>5.194</v>
      </c>
      <c r="AK9" t="s">
        <v>47</v>
      </c>
    </row>
    <row r="10" spans="1:37" ht="15" customHeight="1" x14ac:dyDescent="0.3">
      <c r="A10">
        <v>690929</v>
      </c>
      <c r="B10" t="s">
        <v>37</v>
      </c>
      <c r="C10" t="s">
        <v>38</v>
      </c>
      <c r="D10" s="9" t="s">
        <v>39</v>
      </c>
      <c r="E10" s="9" t="s">
        <v>37</v>
      </c>
      <c r="F10" s="10"/>
      <c r="G10" t="s">
        <v>85</v>
      </c>
      <c r="I10" t="s">
        <v>41</v>
      </c>
      <c r="J10" t="s">
        <v>86</v>
      </c>
      <c r="K10" t="s">
        <v>43</v>
      </c>
      <c r="L10">
        <v>2</v>
      </c>
      <c r="M10" t="s">
        <v>44</v>
      </c>
      <c r="N10" t="s">
        <v>45</v>
      </c>
      <c r="O10" t="s">
        <v>46</v>
      </c>
      <c r="P10" s="5">
        <v>4</v>
      </c>
      <c r="Q10" s="11">
        <v>44671.392962962964</v>
      </c>
      <c r="R10" s="12">
        <v>44672</v>
      </c>
      <c r="T10" t="s">
        <v>47</v>
      </c>
      <c r="U10" t="s">
        <v>48</v>
      </c>
      <c r="V10" t="s">
        <v>74</v>
      </c>
      <c r="Y10" t="s">
        <v>87</v>
      </c>
      <c r="Z10">
        <v>17500</v>
      </c>
      <c r="AA10" t="s">
        <v>47</v>
      </c>
      <c r="AB10" t="s">
        <v>88</v>
      </c>
      <c r="AC10" t="s">
        <v>52</v>
      </c>
      <c r="AD10" s="13">
        <f t="shared" si="0"/>
        <v>7.3000000000000007</v>
      </c>
      <c r="AE10" s="14">
        <v>0</v>
      </c>
      <c r="AF10" s="14">
        <v>0</v>
      </c>
      <c r="AG10" s="14">
        <v>0</v>
      </c>
      <c r="AH10" s="14">
        <v>0</v>
      </c>
      <c r="AI10" s="14">
        <f t="shared" si="1"/>
        <v>0.438</v>
      </c>
      <c r="AJ10" s="14">
        <f t="shared" si="2"/>
        <v>7.7380000000000004</v>
      </c>
      <c r="AK10" t="s">
        <v>47</v>
      </c>
    </row>
    <row r="11" spans="1:37" ht="15" customHeight="1" x14ac:dyDescent="0.3">
      <c r="A11">
        <v>690929</v>
      </c>
      <c r="B11" t="s">
        <v>37</v>
      </c>
      <c r="C11" t="s">
        <v>38</v>
      </c>
      <c r="D11" s="9" t="s">
        <v>39</v>
      </c>
      <c r="E11" s="9" t="s">
        <v>37</v>
      </c>
      <c r="F11" s="10"/>
      <c r="G11" t="s">
        <v>89</v>
      </c>
      <c r="I11" t="s">
        <v>41</v>
      </c>
      <c r="J11" t="s">
        <v>90</v>
      </c>
      <c r="K11" t="s">
        <v>43</v>
      </c>
      <c r="L11">
        <v>2</v>
      </c>
      <c r="M11" t="s">
        <v>44</v>
      </c>
      <c r="N11" t="s">
        <v>45</v>
      </c>
      <c r="O11" t="s">
        <v>46</v>
      </c>
      <c r="P11" s="5">
        <v>2</v>
      </c>
      <c r="Q11" s="11">
        <v>44670.494189814817</v>
      </c>
      <c r="R11" s="12">
        <v>44672</v>
      </c>
      <c r="T11" t="s">
        <v>47</v>
      </c>
      <c r="U11" t="s">
        <v>48</v>
      </c>
      <c r="V11" t="s">
        <v>91</v>
      </c>
      <c r="Y11" t="s">
        <v>92</v>
      </c>
      <c r="Z11">
        <v>53300</v>
      </c>
      <c r="AA11" t="s">
        <v>47</v>
      </c>
      <c r="AB11" t="s">
        <v>93</v>
      </c>
      <c r="AC11" t="s">
        <v>52</v>
      </c>
      <c r="AD11" s="13">
        <f t="shared" si="0"/>
        <v>5.7</v>
      </c>
      <c r="AE11" s="14">
        <v>0</v>
      </c>
      <c r="AF11" s="14">
        <v>0</v>
      </c>
      <c r="AG11" s="14">
        <v>0</v>
      </c>
      <c r="AH11" s="14">
        <v>0</v>
      </c>
      <c r="AI11" s="14">
        <f t="shared" si="1"/>
        <v>0.34199999999999997</v>
      </c>
      <c r="AJ11" s="14">
        <f t="shared" si="2"/>
        <v>6.0419999999999998</v>
      </c>
      <c r="AK11" t="s">
        <v>47</v>
      </c>
    </row>
    <row r="12" spans="1:37" ht="15" customHeight="1" x14ac:dyDescent="0.3">
      <c r="A12">
        <v>690929</v>
      </c>
      <c r="B12" t="s">
        <v>37</v>
      </c>
      <c r="C12" t="s">
        <v>38</v>
      </c>
      <c r="D12" s="9" t="s">
        <v>39</v>
      </c>
      <c r="E12" s="9" t="s">
        <v>37</v>
      </c>
      <c r="F12" s="10"/>
      <c r="G12" t="s">
        <v>94</v>
      </c>
      <c r="I12" t="s">
        <v>41</v>
      </c>
      <c r="J12" t="s">
        <v>95</v>
      </c>
      <c r="K12" t="s">
        <v>43</v>
      </c>
      <c r="L12">
        <v>2</v>
      </c>
      <c r="M12" t="s">
        <v>44</v>
      </c>
      <c r="N12" t="s">
        <v>45</v>
      </c>
      <c r="O12" t="s">
        <v>46</v>
      </c>
      <c r="P12" s="5">
        <v>1</v>
      </c>
      <c r="Q12" s="11">
        <v>44670.660266203704</v>
      </c>
      <c r="R12" s="12">
        <v>44672</v>
      </c>
      <c r="T12" t="s">
        <v>47</v>
      </c>
      <c r="U12" t="s">
        <v>48</v>
      </c>
      <c r="V12" t="s">
        <v>96</v>
      </c>
      <c r="Y12" t="s">
        <v>97</v>
      </c>
      <c r="Z12">
        <v>9400</v>
      </c>
      <c r="AA12" t="s">
        <v>47</v>
      </c>
      <c r="AB12" t="s">
        <v>80</v>
      </c>
      <c r="AC12" t="s">
        <v>52</v>
      </c>
      <c r="AD12" s="13">
        <f t="shared" si="0"/>
        <v>4.9000000000000004</v>
      </c>
      <c r="AE12" s="14">
        <v>0</v>
      </c>
      <c r="AF12" s="14">
        <v>0</v>
      </c>
      <c r="AG12" s="14">
        <v>0</v>
      </c>
      <c r="AH12" s="14">
        <v>0</v>
      </c>
      <c r="AI12" s="14">
        <f t="shared" si="1"/>
        <v>0.29399999999999998</v>
      </c>
      <c r="AJ12" s="14">
        <f t="shared" si="2"/>
        <v>5.194</v>
      </c>
      <c r="AK12" t="s">
        <v>47</v>
      </c>
    </row>
    <row r="13" spans="1:37" ht="15" customHeight="1" x14ac:dyDescent="0.3">
      <c r="A13">
        <v>690929</v>
      </c>
      <c r="B13" t="s">
        <v>37</v>
      </c>
      <c r="C13" t="s">
        <v>38</v>
      </c>
      <c r="D13" s="9" t="s">
        <v>39</v>
      </c>
      <c r="E13" s="9" t="s">
        <v>37</v>
      </c>
      <c r="F13" s="10"/>
      <c r="G13" t="s">
        <v>98</v>
      </c>
      <c r="I13" t="s">
        <v>41</v>
      </c>
      <c r="J13" t="s">
        <v>99</v>
      </c>
      <c r="K13" t="s">
        <v>43</v>
      </c>
      <c r="L13">
        <v>2</v>
      </c>
      <c r="M13" t="s">
        <v>44</v>
      </c>
      <c r="N13" t="s">
        <v>45</v>
      </c>
      <c r="O13" t="s">
        <v>46</v>
      </c>
      <c r="P13" s="5">
        <v>1</v>
      </c>
      <c r="Q13" s="11">
        <v>44667.457407407404</v>
      </c>
      <c r="R13" s="12">
        <v>44672</v>
      </c>
      <c r="T13" t="s">
        <v>47</v>
      </c>
      <c r="U13" t="s">
        <v>48</v>
      </c>
      <c r="V13" t="s">
        <v>100</v>
      </c>
      <c r="Y13" t="s">
        <v>101</v>
      </c>
      <c r="Z13">
        <v>43650</v>
      </c>
      <c r="AA13" t="s">
        <v>47</v>
      </c>
      <c r="AB13" t="s">
        <v>51</v>
      </c>
      <c r="AC13" t="s">
        <v>52</v>
      </c>
      <c r="AD13" s="13">
        <f t="shared" si="0"/>
        <v>4.9000000000000004</v>
      </c>
      <c r="AE13" s="14">
        <v>0</v>
      </c>
      <c r="AF13" s="14">
        <v>0</v>
      </c>
      <c r="AG13" s="14">
        <v>0</v>
      </c>
      <c r="AH13" s="14">
        <v>0</v>
      </c>
      <c r="AI13" s="14">
        <f t="shared" si="1"/>
        <v>0.29399999999999998</v>
      </c>
      <c r="AJ13" s="14">
        <f t="shared" si="2"/>
        <v>5.194</v>
      </c>
      <c r="AK13" t="s">
        <v>47</v>
      </c>
    </row>
    <row r="14" spans="1:37" ht="15" customHeight="1" x14ac:dyDescent="0.3">
      <c r="A14">
        <v>690929</v>
      </c>
      <c r="B14" t="s">
        <v>37</v>
      </c>
      <c r="C14" t="s">
        <v>38</v>
      </c>
      <c r="D14" s="9" t="s">
        <v>39</v>
      </c>
      <c r="E14" s="9" t="s">
        <v>37</v>
      </c>
      <c r="F14" s="10"/>
      <c r="G14" t="s">
        <v>102</v>
      </c>
      <c r="I14" t="s">
        <v>41</v>
      </c>
      <c r="J14" t="s">
        <v>103</v>
      </c>
      <c r="K14" t="s">
        <v>43</v>
      </c>
      <c r="L14">
        <v>2</v>
      </c>
      <c r="M14" t="s">
        <v>44</v>
      </c>
      <c r="N14" t="s">
        <v>45</v>
      </c>
      <c r="O14" t="s">
        <v>46</v>
      </c>
      <c r="P14" s="5">
        <v>1</v>
      </c>
      <c r="Q14" s="11">
        <v>44670.652905092589</v>
      </c>
      <c r="R14" s="12">
        <v>44672</v>
      </c>
      <c r="T14" t="s">
        <v>47</v>
      </c>
      <c r="U14" t="s">
        <v>48</v>
      </c>
      <c r="V14" t="s">
        <v>100</v>
      </c>
      <c r="Y14" t="s">
        <v>104</v>
      </c>
      <c r="Z14">
        <v>48000</v>
      </c>
      <c r="AA14" t="s">
        <v>47</v>
      </c>
      <c r="AB14" t="s">
        <v>80</v>
      </c>
      <c r="AC14" t="s">
        <v>52</v>
      </c>
      <c r="AD14" s="13">
        <f t="shared" si="0"/>
        <v>4.9000000000000004</v>
      </c>
      <c r="AE14" s="14">
        <v>0</v>
      </c>
      <c r="AF14" s="14">
        <v>0</v>
      </c>
      <c r="AG14" s="14">
        <v>0</v>
      </c>
      <c r="AH14" s="14">
        <v>0</v>
      </c>
      <c r="AI14" s="14">
        <f t="shared" si="1"/>
        <v>0.29399999999999998</v>
      </c>
      <c r="AJ14" s="14">
        <f t="shared" si="2"/>
        <v>5.194</v>
      </c>
      <c r="AK14" t="s">
        <v>47</v>
      </c>
    </row>
    <row r="15" spans="1:37" ht="15" customHeight="1" x14ac:dyDescent="0.3">
      <c r="A15">
        <v>690929</v>
      </c>
      <c r="B15" t="s">
        <v>37</v>
      </c>
      <c r="C15" t="s">
        <v>38</v>
      </c>
      <c r="D15" s="9" t="s">
        <v>39</v>
      </c>
      <c r="E15" s="9" t="s">
        <v>37</v>
      </c>
      <c r="F15" s="10"/>
      <c r="G15" t="s">
        <v>105</v>
      </c>
      <c r="I15" t="s">
        <v>41</v>
      </c>
      <c r="J15" t="s">
        <v>106</v>
      </c>
      <c r="K15" t="s">
        <v>43</v>
      </c>
      <c r="L15">
        <v>2</v>
      </c>
      <c r="M15" t="s">
        <v>44</v>
      </c>
      <c r="N15" t="s">
        <v>45</v>
      </c>
      <c r="O15" t="s">
        <v>63</v>
      </c>
      <c r="P15" s="5">
        <v>2</v>
      </c>
      <c r="Q15" s="11">
        <v>44670.497071759259</v>
      </c>
      <c r="R15" s="12">
        <v>44672</v>
      </c>
      <c r="T15" t="s">
        <v>47</v>
      </c>
      <c r="U15" t="s">
        <v>48</v>
      </c>
      <c r="V15" t="s">
        <v>100</v>
      </c>
      <c r="Y15" t="s">
        <v>107</v>
      </c>
      <c r="Z15">
        <v>48300</v>
      </c>
      <c r="AA15" t="s">
        <v>47</v>
      </c>
      <c r="AB15" t="s">
        <v>108</v>
      </c>
      <c r="AC15" t="s">
        <v>52</v>
      </c>
      <c r="AD15" s="13">
        <f t="shared" si="0"/>
        <v>5.7</v>
      </c>
      <c r="AE15" s="14">
        <v>0</v>
      </c>
      <c r="AF15" s="14">
        <v>0</v>
      </c>
      <c r="AG15" s="14">
        <v>0</v>
      </c>
      <c r="AH15" s="14">
        <v>0</v>
      </c>
      <c r="AI15" s="14">
        <f t="shared" si="1"/>
        <v>0.34199999999999997</v>
      </c>
      <c r="AJ15" s="14">
        <f t="shared" si="2"/>
        <v>6.0419999999999998</v>
      </c>
      <c r="AK15" t="s">
        <v>47</v>
      </c>
    </row>
    <row r="16" spans="1:37" ht="15" customHeight="1" x14ac:dyDescent="0.3">
      <c r="A16">
        <v>690929</v>
      </c>
      <c r="B16" t="s">
        <v>37</v>
      </c>
      <c r="C16" t="s">
        <v>38</v>
      </c>
      <c r="D16" s="9" t="s">
        <v>39</v>
      </c>
      <c r="E16" s="9" t="s">
        <v>37</v>
      </c>
      <c r="F16" s="10"/>
      <c r="G16" t="s">
        <v>109</v>
      </c>
      <c r="I16" t="s">
        <v>41</v>
      </c>
      <c r="J16" t="s">
        <v>110</v>
      </c>
      <c r="K16" t="s">
        <v>43</v>
      </c>
      <c r="L16">
        <v>2</v>
      </c>
      <c r="M16" t="s">
        <v>44</v>
      </c>
      <c r="N16" t="s">
        <v>45</v>
      </c>
      <c r="O16" t="s">
        <v>46</v>
      </c>
      <c r="P16" s="5">
        <v>1</v>
      </c>
      <c r="Q16" s="11">
        <v>44670.65865740741</v>
      </c>
      <c r="R16" s="12">
        <v>44672</v>
      </c>
      <c r="T16" t="s">
        <v>47</v>
      </c>
      <c r="U16" t="s">
        <v>48</v>
      </c>
      <c r="V16" t="s">
        <v>78</v>
      </c>
      <c r="Y16" t="s">
        <v>111</v>
      </c>
      <c r="Z16">
        <v>75260</v>
      </c>
      <c r="AA16" t="s">
        <v>47</v>
      </c>
      <c r="AB16" t="s">
        <v>80</v>
      </c>
      <c r="AC16" t="s">
        <v>52</v>
      </c>
      <c r="AD16" s="13">
        <f t="shared" si="0"/>
        <v>4.9000000000000004</v>
      </c>
      <c r="AE16" s="14">
        <v>0</v>
      </c>
      <c r="AF16" s="14">
        <v>0</v>
      </c>
      <c r="AG16" s="14">
        <v>0</v>
      </c>
      <c r="AH16" s="14">
        <v>0</v>
      </c>
      <c r="AI16" s="14">
        <f t="shared" si="1"/>
        <v>0.29399999999999998</v>
      </c>
      <c r="AJ16" s="14">
        <f t="shared" si="2"/>
        <v>5.194</v>
      </c>
      <c r="AK16" t="s">
        <v>47</v>
      </c>
    </row>
    <row r="17" spans="1:37" ht="15" customHeight="1" x14ac:dyDescent="0.3">
      <c r="A17">
        <v>690929</v>
      </c>
      <c r="B17" t="s">
        <v>37</v>
      </c>
      <c r="C17" t="s">
        <v>38</v>
      </c>
      <c r="D17" s="9" t="s">
        <v>39</v>
      </c>
      <c r="E17" s="9" t="s">
        <v>37</v>
      </c>
      <c r="F17" s="10"/>
      <c r="G17" t="s">
        <v>112</v>
      </c>
      <c r="I17" t="s">
        <v>41</v>
      </c>
      <c r="J17" t="s">
        <v>113</v>
      </c>
      <c r="K17" t="s">
        <v>43</v>
      </c>
      <c r="L17">
        <v>2</v>
      </c>
      <c r="M17" t="s">
        <v>44</v>
      </c>
      <c r="N17" t="s">
        <v>45</v>
      </c>
      <c r="O17" t="s">
        <v>46</v>
      </c>
      <c r="P17" s="5">
        <v>1</v>
      </c>
      <c r="Q17" s="11">
        <v>44670.401504629626</v>
      </c>
      <c r="R17" s="12">
        <v>44672</v>
      </c>
      <c r="T17" t="s">
        <v>47</v>
      </c>
      <c r="U17" t="s">
        <v>48</v>
      </c>
      <c r="V17" t="s">
        <v>91</v>
      </c>
      <c r="Y17" t="s">
        <v>114</v>
      </c>
      <c r="Z17">
        <v>56000</v>
      </c>
      <c r="AA17" t="s">
        <v>47</v>
      </c>
      <c r="AB17" t="s">
        <v>80</v>
      </c>
      <c r="AC17" t="s">
        <v>52</v>
      </c>
      <c r="AD17" s="13">
        <f t="shared" si="0"/>
        <v>4.9000000000000004</v>
      </c>
      <c r="AE17" s="14">
        <v>0</v>
      </c>
      <c r="AF17" s="14">
        <v>0</v>
      </c>
      <c r="AG17" s="14">
        <v>0</v>
      </c>
      <c r="AH17" s="14">
        <v>0</v>
      </c>
      <c r="AI17" s="14">
        <f t="shared" si="1"/>
        <v>0.29399999999999998</v>
      </c>
      <c r="AJ17" s="14">
        <f t="shared" si="2"/>
        <v>5.194</v>
      </c>
      <c r="AK17" t="s">
        <v>47</v>
      </c>
    </row>
    <row r="18" spans="1:37" ht="15" customHeight="1" x14ac:dyDescent="0.3">
      <c r="A18">
        <v>690929</v>
      </c>
      <c r="B18" t="s">
        <v>37</v>
      </c>
      <c r="C18" t="s">
        <v>38</v>
      </c>
      <c r="D18" s="9" t="s">
        <v>39</v>
      </c>
      <c r="E18" s="9" t="s">
        <v>37</v>
      </c>
      <c r="F18" s="10"/>
      <c r="G18" t="s">
        <v>115</v>
      </c>
      <c r="I18" t="s">
        <v>41</v>
      </c>
      <c r="J18" t="s">
        <v>116</v>
      </c>
      <c r="K18" t="s">
        <v>43</v>
      </c>
      <c r="L18">
        <v>2</v>
      </c>
      <c r="M18" t="s">
        <v>44</v>
      </c>
      <c r="N18" t="s">
        <v>45</v>
      </c>
      <c r="O18" t="s">
        <v>46</v>
      </c>
      <c r="P18" s="5">
        <v>1</v>
      </c>
      <c r="Q18" s="11">
        <v>44670.650451388887</v>
      </c>
      <c r="R18" s="12">
        <v>44672</v>
      </c>
      <c r="T18" t="s">
        <v>47</v>
      </c>
      <c r="U18" t="s">
        <v>48</v>
      </c>
      <c r="V18" t="s">
        <v>100</v>
      </c>
      <c r="Y18" t="s">
        <v>117</v>
      </c>
      <c r="Z18">
        <v>43200</v>
      </c>
      <c r="AA18" t="s">
        <v>47</v>
      </c>
      <c r="AB18" t="s">
        <v>80</v>
      </c>
      <c r="AC18" t="s">
        <v>52</v>
      </c>
      <c r="AD18" s="13">
        <f t="shared" si="0"/>
        <v>4.9000000000000004</v>
      </c>
      <c r="AE18" s="14">
        <v>0</v>
      </c>
      <c r="AF18" s="14">
        <v>0</v>
      </c>
      <c r="AG18" s="14">
        <v>0</v>
      </c>
      <c r="AH18" s="14">
        <v>0</v>
      </c>
      <c r="AI18" s="14">
        <f t="shared" si="1"/>
        <v>0.29399999999999998</v>
      </c>
      <c r="AJ18" s="14">
        <f t="shared" si="2"/>
        <v>5.194</v>
      </c>
      <c r="AK18" t="s">
        <v>47</v>
      </c>
    </row>
    <row r="19" spans="1:37" ht="15" customHeight="1" x14ac:dyDescent="0.3">
      <c r="A19">
        <v>690929</v>
      </c>
      <c r="B19" t="s">
        <v>37</v>
      </c>
      <c r="C19" t="s">
        <v>38</v>
      </c>
      <c r="D19" s="9" t="s">
        <v>39</v>
      </c>
      <c r="E19" s="9" t="s">
        <v>37</v>
      </c>
      <c r="F19" s="10"/>
      <c r="G19" t="s">
        <v>118</v>
      </c>
      <c r="I19" t="s">
        <v>41</v>
      </c>
      <c r="J19" t="s">
        <v>119</v>
      </c>
      <c r="K19" t="s">
        <v>43</v>
      </c>
      <c r="L19">
        <v>2</v>
      </c>
      <c r="M19" t="s">
        <v>44</v>
      </c>
      <c r="N19" t="s">
        <v>45</v>
      </c>
      <c r="O19" t="s">
        <v>46</v>
      </c>
      <c r="P19" s="5">
        <v>2</v>
      </c>
      <c r="Q19" s="11">
        <v>44672.446689814817</v>
      </c>
      <c r="R19" s="12">
        <v>44673</v>
      </c>
      <c r="T19" t="s">
        <v>47</v>
      </c>
      <c r="U19" t="s">
        <v>48</v>
      </c>
      <c r="V19" t="s">
        <v>49</v>
      </c>
      <c r="Y19" t="s">
        <v>120</v>
      </c>
      <c r="Z19">
        <v>21300</v>
      </c>
      <c r="AA19" t="s">
        <v>47</v>
      </c>
      <c r="AB19" t="s">
        <v>56</v>
      </c>
      <c r="AC19" t="s">
        <v>52</v>
      </c>
      <c r="AD19" s="13">
        <f t="shared" si="0"/>
        <v>5.7</v>
      </c>
      <c r="AE19" s="14">
        <v>0</v>
      </c>
      <c r="AF19" s="14">
        <v>0</v>
      </c>
      <c r="AG19" s="14">
        <v>0</v>
      </c>
      <c r="AH19" s="14">
        <v>0</v>
      </c>
      <c r="AI19" s="14">
        <f t="shared" si="1"/>
        <v>0.34199999999999997</v>
      </c>
      <c r="AJ19" s="14">
        <f t="shared" si="2"/>
        <v>6.0419999999999998</v>
      </c>
      <c r="AK19" t="s">
        <v>47</v>
      </c>
    </row>
    <row r="20" spans="1:37" ht="15" customHeight="1" x14ac:dyDescent="0.3">
      <c r="A20">
        <v>690929</v>
      </c>
      <c r="B20" t="s">
        <v>37</v>
      </c>
      <c r="C20" t="s">
        <v>38</v>
      </c>
      <c r="D20" s="9" t="s">
        <v>39</v>
      </c>
      <c r="E20" s="9" t="s">
        <v>37</v>
      </c>
      <c r="F20" s="10"/>
      <c r="G20" t="s">
        <v>121</v>
      </c>
      <c r="I20" t="s">
        <v>41</v>
      </c>
      <c r="J20" t="s">
        <v>122</v>
      </c>
      <c r="K20" t="s">
        <v>43</v>
      </c>
      <c r="L20">
        <v>2</v>
      </c>
      <c r="M20" t="s">
        <v>44</v>
      </c>
      <c r="N20" t="s">
        <v>45</v>
      </c>
      <c r="O20" t="s">
        <v>46</v>
      </c>
      <c r="P20" s="5">
        <v>1</v>
      </c>
      <c r="Q20" s="11">
        <v>44671.48238425926</v>
      </c>
      <c r="R20" s="12">
        <v>44673</v>
      </c>
      <c r="T20" t="s">
        <v>47</v>
      </c>
      <c r="U20" t="s">
        <v>48</v>
      </c>
      <c r="V20" t="s">
        <v>69</v>
      </c>
      <c r="Y20" t="s">
        <v>123</v>
      </c>
      <c r="Z20">
        <v>11950</v>
      </c>
      <c r="AA20" t="s">
        <v>47</v>
      </c>
      <c r="AB20" t="s">
        <v>124</v>
      </c>
      <c r="AC20" t="s">
        <v>52</v>
      </c>
      <c r="AD20" s="13">
        <f t="shared" si="0"/>
        <v>4.9000000000000004</v>
      </c>
      <c r="AE20" s="14">
        <v>0</v>
      </c>
      <c r="AF20" s="14">
        <v>0</v>
      </c>
      <c r="AG20" s="14">
        <v>0</v>
      </c>
      <c r="AH20" s="14">
        <v>0</v>
      </c>
      <c r="AI20" s="14">
        <f t="shared" si="1"/>
        <v>0.29399999999999998</v>
      </c>
      <c r="AJ20" s="14">
        <f t="shared" si="2"/>
        <v>5.194</v>
      </c>
      <c r="AK20" t="s">
        <v>47</v>
      </c>
    </row>
    <row r="21" spans="1:37" ht="15" customHeight="1" x14ac:dyDescent="0.3">
      <c r="A21">
        <v>690929</v>
      </c>
      <c r="B21" t="s">
        <v>37</v>
      </c>
      <c r="C21" t="s">
        <v>38</v>
      </c>
      <c r="D21" s="9" t="s">
        <v>39</v>
      </c>
      <c r="E21" s="9" t="s">
        <v>37</v>
      </c>
      <c r="F21" s="10"/>
      <c r="G21" t="s">
        <v>125</v>
      </c>
      <c r="I21" t="s">
        <v>41</v>
      </c>
      <c r="J21" t="s">
        <v>126</v>
      </c>
      <c r="K21" t="s">
        <v>43</v>
      </c>
      <c r="L21">
        <v>2</v>
      </c>
      <c r="M21" t="s">
        <v>44</v>
      </c>
      <c r="N21" t="s">
        <v>45</v>
      </c>
      <c r="O21" t="s">
        <v>46</v>
      </c>
      <c r="P21" s="5">
        <v>2</v>
      </c>
      <c r="Q21" s="11">
        <v>44669.591793981483</v>
      </c>
      <c r="R21" s="12">
        <v>44673</v>
      </c>
      <c r="T21" t="s">
        <v>47</v>
      </c>
      <c r="U21" t="s">
        <v>48</v>
      </c>
      <c r="V21" t="s">
        <v>91</v>
      </c>
      <c r="Y21" t="s">
        <v>127</v>
      </c>
      <c r="Z21">
        <v>53300</v>
      </c>
      <c r="AA21" t="s">
        <v>47</v>
      </c>
      <c r="AB21" t="s">
        <v>93</v>
      </c>
      <c r="AC21" t="s">
        <v>52</v>
      </c>
      <c r="AD21" s="13">
        <f t="shared" si="0"/>
        <v>5.7</v>
      </c>
      <c r="AE21" s="14">
        <v>0</v>
      </c>
      <c r="AF21" s="14">
        <v>0</v>
      </c>
      <c r="AG21" s="14">
        <v>0</v>
      </c>
      <c r="AH21" s="14">
        <v>0</v>
      </c>
      <c r="AI21" s="14">
        <f t="shared" si="1"/>
        <v>0.34199999999999997</v>
      </c>
      <c r="AJ21" s="14">
        <f t="shared" si="2"/>
        <v>6.0419999999999998</v>
      </c>
      <c r="AK21" t="s">
        <v>47</v>
      </c>
    </row>
    <row r="22" spans="1:37" ht="15" customHeight="1" x14ac:dyDescent="0.3">
      <c r="A22">
        <v>690929</v>
      </c>
      <c r="B22" t="s">
        <v>37</v>
      </c>
      <c r="C22" t="s">
        <v>38</v>
      </c>
      <c r="D22" s="9" t="s">
        <v>39</v>
      </c>
      <c r="E22" s="9" t="s">
        <v>37</v>
      </c>
      <c r="F22" s="10"/>
      <c r="G22" t="s">
        <v>128</v>
      </c>
      <c r="I22" t="s">
        <v>41</v>
      </c>
      <c r="J22" t="s">
        <v>129</v>
      </c>
      <c r="K22" t="s">
        <v>43</v>
      </c>
      <c r="L22">
        <v>2</v>
      </c>
      <c r="M22" t="s">
        <v>44</v>
      </c>
      <c r="N22" t="s">
        <v>45</v>
      </c>
      <c r="O22" t="s">
        <v>46</v>
      </c>
      <c r="P22" s="5">
        <v>1</v>
      </c>
      <c r="Q22" s="11">
        <v>44671.513402777775</v>
      </c>
      <c r="R22" s="12">
        <v>44673</v>
      </c>
      <c r="T22" t="s">
        <v>47</v>
      </c>
      <c r="U22" t="s">
        <v>48</v>
      </c>
      <c r="V22" t="s">
        <v>100</v>
      </c>
      <c r="Y22" t="s">
        <v>130</v>
      </c>
      <c r="Z22">
        <v>43000</v>
      </c>
      <c r="AA22" t="s">
        <v>47</v>
      </c>
      <c r="AB22" t="s">
        <v>80</v>
      </c>
      <c r="AC22" t="s">
        <v>52</v>
      </c>
      <c r="AD22" s="13">
        <f t="shared" si="0"/>
        <v>4.9000000000000004</v>
      </c>
      <c r="AE22" s="14">
        <v>0</v>
      </c>
      <c r="AF22" s="14">
        <v>0</v>
      </c>
      <c r="AG22" s="14">
        <v>0</v>
      </c>
      <c r="AH22" s="14">
        <v>0</v>
      </c>
      <c r="AI22" s="14">
        <f t="shared" si="1"/>
        <v>0.29399999999999998</v>
      </c>
      <c r="AJ22" s="14">
        <f t="shared" si="2"/>
        <v>5.194</v>
      </c>
      <c r="AK22" t="s">
        <v>47</v>
      </c>
    </row>
    <row r="23" spans="1:37" ht="15" customHeight="1" x14ac:dyDescent="0.3">
      <c r="A23">
        <v>690929</v>
      </c>
      <c r="B23" t="s">
        <v>37</v>
      </c>
      <c r="C23" t="s">
        <v>38</v>
      </c>
      <c r="D23" s="9" t="s">
        <v>39</v>
      </c>
      <c r="E23" s="9" t="s">
        <v>37</v>
      </c>
      <c r="F23" s="10"/>
      <c r="G23" t="s">
        <v>131</v>
      </c>
      <c r="I23" t="s">
        <v>41</v>
      </c>
      <c r="J23" t="s">
        <v>132</v>
      </c>
      <c r="K23" t="s">
        <v>43</v>
      </c>
      <c r="L23">
        <v>2</v>
      </c>
      <c r="M23" t="s">
        <v>44</v>
      </c>
      <c r="N23" t="s">
        <v>45</v>
      </c>
      <c r="O23" t="s">
        <v>46</v>
      </c>
      <c r="P23" s="5">
        <v>1</v>
      </c>
      <c r="Q23" s="11">
        <v>44672.422071759262</v>
      </c>
      <c r="R23" s="12">
        <v>44673</v>
      </c>
      <c r="T23" t="s">
        <v>47</v>
      </c>
      <c r="U23" t="s">
        <v>48</v>
      </c>
      <c r="V23" t="s">
        <v>49</v>
      </c>
      <c r="Y23" t="s">
        <v>133</v>
      </c>
      <c r="Z23">
        <v>21400</v>
      </c>
      <c r="AA23" t="s">
        <v>47</v>
      </c>
      <c r="AB23" t="s">
        <v>56</v>
      </c>
      <c r="AC23" t="s">
        <v>52</v>
      </c>
      <c r="AD23" s="13">
        <f t="shared" si="0"/>
        <v>4.9000000000000004</v>
      </c>
      <c r="AE23" s="14">
        <v>0</v>
      </c>
      <c r="AF23" s="14">
        <v>0</v>
      </c>
      <c r="AG23" s="14">
        <v>0</v>
      </c>
      <c r="AH23" s="14">
        <v>0</v>
      </c>
      <c r="AI23" s="14">
        <f t="shared" si="1"/>
        <v>0.29399999999999998</v>
      </c>
      <c r="AJ23" s="14">
        <f t="shared" si="2"/>
        <v>5.194</v>
      </c>
      <c r="AK23" t="s">
        <v>47</v>
      </c>
    </row>
    <row r="24" spans="1:37" ht="15" customHeight="1" x14ac:dyDescent="0.3">
      <c r="A24">
        <v>690929</v>
      </c>
      <c r="B24" t="s">
        <v>37</v>
      </c>
      <c r="C24" t="s">
        <v>38</v>
      </c>
      <c r="D24" s="9" t="s">
        <v>39</v>
      </c>
      <c r="E24" s="9" t="s">
        <v>37</v>
      </c>
      <c r="F24" s="10"/>
      <c r="G24" t="s">
        <v>134</v>
      </c>
      <c r="I24" t="s">
        <v>41</v>
      </c>
      <c r="J24" t="s">
        <v>135</v>
      </c>
      <c r="K24" t="s">
        <v>43</v>
      </c>
      <c r="L24">
        <v>2</v>
      </c>
      <c r="M24" t="s">
        <v>44</v>
      </c>
      <c r="N24" t="s">
        <v>45</v>
      </c>
      <c r="O24" t="s">
        <v>46</v>
      </c>
      <c r="P24" s="5">
        <v>1</v>
      </c>
      <c r="Q24" s="11">
        <v>44672.402939814812</v>
      </c>
      <c r="R24" s="12">
        <v>44673</v>
      </c>
      <c r="T24" t="s">
        <v>47</v>
      </c>
      <c r="U24" t="s">
        <v>48</v>
      </c>
      <c r="V24" t="s">
        <v>74</v>
      </c>
      <c r="Y24" t="s">
        <v>136</v>
      </c>
      <c r="Z24">
        <v>16150</v>
      </c>
      <c r="AA24" t="s">
        <v>47</v>
      </c>
      <c r="AB24" t="s">
        <v>51</v>
      </c>
      <c r="AC24" t="s">
        <v>52</v>
      </c>
      <c r="AD24" s="13">
        <f t="shared" si="0"/>
        <v>4.9000000000000004</v>
      </c>
      <c r="AE24" s="14">
        <v>0</v>
      </c>
      <c r="AF24" s="14">
        <v>0</v>
      </c>
      <c r="AG24" s="14">
        <v>0</v>
      </c>
      <c r="AH24" s="14">
        <v>0</v>
      </c>
      <c r="AI24" s="14">
        <f t="shared" si="1"/>
        <v>0.29399999999999998</v>
      </c>
      <c r="AJ24" s="14">
        <f t="shared" si="2"/>
        <v>5.194</v>
      </c>
      <c r="AK24" t="s">
        <v>47</v>
      </c>
    </row>
    <row r="25" spans="1:37" ht="15" customHeight="1" x14ac:dyDescent="0.3">
      <c r="A25">
        <v>690929</v>
      </c>
      <c r="B25" t="s">
        <v>37</v>
      </c>
      <c r="C25" t="s">
        <v>38</v>
      </c>
      <c r="D25" s="9" t="s">
        <v>39</v>
      </c>
      <c r="E25" s="9" t="s">
        <v>37</v>
      </c>
      <c r="F25" s="10"/>
      <c r="G25" t="s">
        <v>137</v>
      </c>
      <c r="I25" t="s">
        <v>41</v>
      </c>
      <c r="J25" t="s">
        <v>138</v>
      </c>
      <c r="K25" t="s">
        <v>43</v>
      </c>
      <c r="L25">
        <v>2</v>
      </c>
      <c r="M25" t="s">
        <v>44</v>
      </c>
      <c r="N25" t="s">
        <v>45</v>
      </c>
      <c r="O25" t="s">
        <v>46</v>
      </c>
      <c r="P25" s="5">
        <v>1</v>
      </c>
      <c r="Q25" s="11">
        <v>44671.4921875</v>
      </c>
      <c r="R25" s="12">
        <v>44673</v>
      </c>
      <c r="T25" t="s">
        <v>47</v>
      </c>
      <c r="U25" t="s">
        <v>48</v>
      </c>
      <c r="V25" t="s">
        <v>139</v>
      </c>
      <c r="Y25" t="s">
        <v>140</v>
      </c>
      <c r="Z25">
        <v>71950</v>
      </c>
      <c r="AA25" t="s">
        <v>47</v>
      </c>
      <c r="AB25" t="s">
        <v>80</v>
      </c>
      <c r="AC25" t="s">
        <v>52</v>
      </c>
      <c r="AD25" s="13">
        <f t="shared" si="0"/>
        <v>4.9000000000000004</v>
      </c>
      <c r="AE25" s="14">
        <v>0</v>
      </c>
      <c r="AF25" s="14">
        <v>0</v>
      </c>
      <c r="AG25" s="14">
        <v>0</v>
      </c>
      <c r="AH25" s="14">
        <v>0</v>
      </c>
      <c r="AI25" s="14">
        <f t="shared" si="1"/>
        <v>0.29399999999999998</v>
      </c>
      <c r="AJ25" s="14">
        <f t="shared" si="2"/>
        <v>5.194</v>
      </c>
      <c r="AK25" t="s">
        <v>47</v>
      </c>
    </row>
    <row r="26" spans="1:37" ht="15" customHeight="1" x14ac:dyDescent="0.3">
      <c r="A26">
        <v>690929</v>
      </c>
      <c r="B26" t="s">
        <v>37</v>
      </c>
      <c r="C26" t="s">
        <v>38</v>
      </c>
      <c r="D26" s="9" t="s">
        <v>39</v>
      </c>
      <c r="E26" s="9" t="s">
        <v>37</v>
      </c>
      <c r="F26" s="10"/>
      <c r="G26" t="s">
        <v>141</v>
      </c>
      <c r="I26" t="s">
        <v>41</v>
      </c>
      <c r="J26" t="s">
        <v>142</v>
      </c>
      <c r="K26" t="s">
        <v>43</v>
      </c>
      <c r="L26">
        <v>2</v>
      </c>
      <c r="M26" t="s">
        <v>44</v>
      </c>
      <c r="N26" t="s">
        <v>45</v>
      </c>
      <c r="O26" t="s">
        <v>46</v>
      </c>
      <c r="P26" s="5">
        <v>1</v>
      </c>
      <c r="Q26" s="11">
        <v>44672.658888888887</v>
      </c>
      <c r="R26" s="12">
        <v>44673</v>
      </c>
      <c r="T26" t="s">
        <v>47</v>
      </c>
      <c r="U26" t="s">
        <v>48</v>
      </c>
      <c r="V26" t="s">
        <v>49</v>
      </c>
      <c r="Y26" t="s">
        <v>143</v>
      </c>
      <c r="Z26">
        <v>24000</v>
      </c>
      <c r="AA26" t="s">
        <v>47</v>
      </c>
      <c r="AB26" t="s">
        <v>84</v>
      </c>
      <c r="AC26" t="s">
        <v>52</v>
      </c>
      <c r="AD26" s="13">
        <f t="shared" si="0"/>
        <v>4.9000000000000004</v>
      </c>
      <c r="AE26" s="14">
        <v>0</v>
      </c>
      <c r="AF26" s="14">
        <v>0</v>
      </c>
      <c r="AG26" s="14">
        <v>0</v>
      </c>
      <c r="AH26" s="14">
        <v>0</v>
      </c>
      <c r="AI26" s="14">
        <f t="shared" si="1"/>
        <v>0.29399999999999998</v>
      </c>
      <c r="AJ26" s="14">
        <f t="shared" si="2"/>
        <v>5.194</v>
      </c>
      <c r="AK26" t="s">
        <v>47</v>
      </c>
    </row>
    <row r="27" spans="1:37" ht="15" customHeight="1" x14ac:dyDescent="0.3">
      <c r="A27">
        <v>690929</v>
      </c>
      <c r="B27" t="s">
        <v>37</v>
      </c>
      <c r="C27" t="s">
        <v>38</v>
      </c>
      <c r="D27" s="9" t="s">
        <v>39</v>
      </c>
      <c r="E27" s="9" t="s">
        <v>37</v>
      </c>
      <c r="F27" s="10"/>
      <c r="G27" t="s">
        <v>144</v>
      </c>
      <c r="I27" t="s">
        <v>41</v>
      </c>
      <c r="J27" t="s">
        <v>145</v>
      </c>
      <c r="K27" t="s">
        <v>43</v>
      </c>
      <c r="L27">
        <v>2</v>
      </c>
      <c r="M27" t="s">
        <v>44</v>
      </c>
      <c r="N27" t="s">
        <v>45</v>
      </c>
      <c r="O27" t="s">
        <v>46</v>
      </c>
      <c r="P27" s="5">
        <v>1</v>
      </c>
      <c r="Q27" s="11">
        <v>44671.508831018517</v>
      </c>
      <c r="R27" s="12">
        <v>44673</v>
      </c>
      <c r="T27" t="s">
        <v>47</v>
      </c>
      <c r="U27" t="s">
        <v>48</v>
      </c>
      <c r="V27" t="s">
        <v>100</v>
      </c>
      <c r="Y27" t="s">
        <v>146</v>
      </c>
      <c r="Z27">
        <v>43000</v>
      </c>
      <c r="AA27" t="s">
        <v>47</v>
      </c>
      <c r="AB27" t="s">
        <v>80</v>
      </c>
      <c r="AC27" t="s">
        <v>52</v>
      </c>
      <c r="AD27" s="13">
        <f t="shared" si="0"/>
        <v>4.9000000000000004</v>
      </c>
      <c r="AE27" s="14">
        <v>0</v>
      </c>
      <c r="AF27" s="14">
        <v>0</v>
      </c>
      <c r="AG27" s="14">
        <v>0</v>
      </c>
      <c r="AH27" s="14">
        <v>0</v>
      </c>
      <c r="AI27" s="14">
        <f t="shared" si="1"/>
        <v>0.29399999999999998</v>
      </c>
      <c r="AJ27" s="14">
        <f t="shared" si="2"/>
        <v>5.194</v>
      </c>
      <c r="AK27" t="s">
        <v>47</v>
      </c>
    </row>
    <row r="28" spans="1:37" ht="15" customHeight="1" x14ac:dyDescent="0.3">
      <c r="A28">
        <v>690929</v>
      </c>
      <c r="B28" t="s">
        <v>37</v>
      </c>
      <c r="C28" t="s">
        <v>38</v>
      </c>
      <c r="D28" s="9" t="s">
        <v>39</v>
      </c>
      <c r="E28" s="9" t="s">
        <v>37</v>
      </c>
      <c r="F28" s="10"/>
      <c r="G28" t="s">
        <v>147</v>
      </c>
      <c r="I28" t="s">
        <v>41</v>
      </c>
      <c r="J28" t="s">
        <v>148</v>
      </c>
      <c r="K28" t="s">
        <v>43</v>
      </c>
      <c r="L28">
        <v>2</v>
      </c>
      <c r="M28" t="s">
        <v>44</v>
      </c>
      <c r="N28" t="s">
        <v>45</v>
      </c>
      <c r="O28" t="s">
        <v>46</v>
      </c>
      <c r="P28" s="5">
        <v>1</v>
      </c>
      <c r="Q28" s="11">
        <v>44671.489444444444</v>
      </c>
      <c r="R28" s="12">
        <v>44674</v>
      </c>
      <c r="T28" t="s">
        <v>47</v>
      </c>
      <c r="U28" t="s">
        <v>48</v>
      </c>
      <c r="V28" t="s">
        <v>74</v>
      </c>
      <c r="Y28" t="s">
        <v>149</v>
      </c>
      <c r="Z28">
        <v>18000</v>
      </c>
      <c r="AA28" t="s">
        <v>47</v>
      </c>
      <c r="AB28" t="s">
        <v>80</v>
      </c>
      <c r="AC28" t="s">
        <v>52</v>
      </c>
      <c r="AD28" s="13">
        <f t="shared" si="0"/>
        <v>4.9000000000000004</v>
      </c>
      <c r="AE28" s="14">
        <v>0</v>
      </c>
      <c r="AF28" s="14">
        <v>0</v>
      </c>
      <c r="AG28" s="14">
        <v>0</v>
      </c>
      <c r="AH28" s="14">
        <v>0</v>
      </c>
      <c r="AI28" s="14">
        <f t="shared" si="1"/>
        <v>0.29399999999999998</v>
      </c>
      <c r="AJ28" s="14">
        <f t="shared" si="2"/>
        <v>5.194</v>
      </c>
      <c r="AK28" t="s">
        <v>47</v>
      </c>
    </row>
    <row r="29" spans="1:37" ht="15" customHeight="1" x14ac:dyDescent="0.3">
      <c r="A29">
        <v>690929</v>
      </c>
      <c r="B29" t="s">
        <v>37</v>
      </c>
      <c r="C29" t="s">
        <v>38</v>
      </c>
      <c r="D29" s="9" t="s">
        <v>39</v>
      </c>
      <c r="E29" s="9" t="s">
        <v>37</v>
      </c>
      <c r="F29" s="10"/>
      <c r="G29" t="s">
        <v>150</v>
      </c>
      <c r="I29" t="s">
        <v>41</v>
      </c>
      <c r="J29" t="s">
        <v>151</v>
      </c>
      <c r="K29" t="s">
        <v>43</v>
      </c>
      <c r="L29">
        <v>2</v>
      </c>
      <c r="M29" t="s">
        <v>44</v>
      </c>
      <c r="N29" t="s">
        <v>45</v>
      </c>
      <c r="O29" t="s">
        <v>68</v>
      </c>
      <c r="P29" s="5">
        <v>5</v>
      </c>
      <c r="Q29" s="11">
        <v>44671.753275462965</v>
      </c>
      <c r="R29" s="12">
        <v>44674</v>
      </c>
      <c r="T29" t="s">
        <v>47</v>
      </c>
      <c r="U29" t="s">
        <v>48</v>
      </c>
      <c r="V29" t="s">
        <v>100</v>
      </c>
      <c r="Y29" t="s">
        <v>152</v>
      </c>
      <c r="Z29">
        <v>47130</v>
      </c>
      <c r="AA29" t="s">
        <v>47</v>
      </c>
      <c r="AB29" t="s">
        <v>153</v>
      </c>
      <c r="AC29" t="s">
        <v>52</v>
      </c>
      <c r="AD29" s="13">
        <f t="shared" si="0"/>
        <v>8.1000000000000014</v>
      </c>
      <c r="AE29" s="14">
        <v>0</v>
      </c>
      <c r="AF29" s="14">
        <v>0</v>
      </c>
      <c r="AG29" s="14">
        <v>0</v>
      </c>
      <c r="AH29" s="14">
        <v>0</v>
      </c>
      <c r="AI29" s="14">
        <f t="shared" si="1"/>
        <v>0.48600000000000004</v>
      </c>
      <c r="AJ29" s="14">
        <f t="shared" si="2"/>
        <v>8.5860000000000021</v>
      </c>
      <c r="AK29" t="s">
        <v>47</v>
      </c>
    </row>
    <row r="30" spans="1:37" ht="15" customHeight="1" x14ac:dyDescent="0.3">
      <c r="A30">
        <v>690929</v>
      </c>
      <c r="B30" t="s">
        <v>37</v>
      </c>
      <c r="C30" t="s">
        <v>38</v>
      </c>
      <c r="D30" s="9" t="s">
        <v>39</v>
      </c>
      <c r="E30" s="9" t="s">
        <v>37</v>
      </c>
      <c r="F30" s="10"/>
      <c r="G30" t="s">
        <v>154</v>
      </c>
      <c r="I30" t="s">
        <v>41</v>
      </c>
      <c r="J30" t="s">
        <v>155</v>
      </c>
      <c r="K30" t="s">
        <v>43</v>
      </c>
      <c r="L30">
        <v>2</v>
      </c>
      <c r="M30" t="s">
        <v>44</v>
      </c>
      <c r="N30" t="s">
        <v>45</v>
      </c>
      <c r="O30" t="s">
        <v>46</v>
      </c>
      <c r="P30" s="5">
        <v>1</v>
      </c>
      <c r="Q30" s="11">
        <v>44672.39402777778</v>
      </c>
      <c r="R30" s="12">
        <v>44674</v>
      </c>
      <c r="T30" t="s">
        <v>47</v>
      </c>
      <c r="U30" t="s">
        <v>48</v>
      </c>
      <c r="V30" t="s">
        <v>156</v>
      </c>
      <c r="Y30" t="s">
        <v>157</v>
      </c>
      <c r="Z30">
        <v>31450</v>
      </c>
      <c r="AA30" t="s">
        <v>47</v>
      </c>
      <c r="AB30" t="s">
        <v>158</v>
      </c>
      <c r="AC30" t="s">
        <v>52</v>
      </c>
      <c r="AD30" s="13">
        <f t="shared" si="0"/>
        <v>4.9000000000000004</v>
      </c>
      <c r="AE30" s="14">
        <v>0</v>
      </c>
      <c r="AF30" s="14">
        <v>0</v>
      </c>
      <c r="AG30" s="14">
        <v>0</v>
      </c>
      <c r="AH30" s="14">
        <v>0</v>
      </c>
      <c r="AI30" s="14">
        <f t="shared" si="1"/>
        <v>0.29399999999999998</v>
      </c>
      <c r="AJ30" s="14">
        <f t="shared" si="2"/>
        <v>5.194</v>
      </c>
      <c r="AK30" t="s">
        <v>47</v>
      </c>
    </row>
    <row r="31" spans="1:37" ht="15" customHeight="1" x14ac:dyDescent="0.3">
      <c r="A31">
        <v>690929</v>
      </c>
      <c r="B31" t="s">
        <v>37</v>
      </c>
      <c r="C31" t="s">
        <v>38</v>
      </c>
      <c r="D31" s="9" t="s">
        <v>39</v>
      </c>
      <c r="E31" s="9" t="s">
        <v>37</v>
      </c>
      <c r="F31" s="10"/>
      <c r="G31" t="s">
        <v>159</v>
      </c>
      <c r="I31" t="s">
        <v>41</v>
      </c>
      <c r="J31" t="s">
        <v>160</v>
      </c>
      <c r="K31" t="s">
        <v>43</v>
      </c>
      <c r="L31">
        <v>2</v>
      </c>
      <c r="M31" t="s">
        <v>44</v>
      </c>
      <c r="N31" t="s">
        <v>45</v>
      </c>
      <c r="O31" t="s">
        <v>68</v>
      </c>
      <c r="P31" s="5">
        <v>4</v>
      </c>
      <c r="Q31" s="11">
        <v>44671.449976851851</v>
      </c>
      <c r="R31" s="12">
        <v>44674</v>
      </c>
      <c r="T31" t="s">
        <v>47</v>
      </c>
      <c r="U31" t="s">
        <v>48</v>
      </c>
      <c r="V31" t="s">
        <v>100</v>
      </c>
      <c r="Y31" t="s">
        <v>161</v>
      </c>
      <c r="Z31">
        <v>41050</v>
      </c>
      <c r="AA31" t="s">
        <v>47</v>
      </c>
      <c r="AB31" t="s">
        <v>162</v>
      </c>
      <c r="AC31" t="s">
        <v>52</v>
      </c>
      <c r="AD31" s="13">
        <f t="shared" si="0"/>
        <v>7.3000000000000007</v>
      </c>
      <c r="AE31" s="14">
        <v>0</v>
      </c>
      <c r="AF31" s="14">
        <v>0</v>
      </c>
      <c r="AG31" s="14">
        <v>0</v>
      </c>
      <c r="AH31" s="14">
        <v>0</v>
      </c>
      <c r="AI31" s="14">
        <f t="shared" si="1"/>
        <v>0.438</v>
      </c>
      <c r="AJ31" s="14">
        <f t="shared" si="2"/>
        <v>7.7380000000000004</v>
      </c>
      <c r="AK31" t="s">
        <v>47</v>
      </c>
    </row>
    <row r="32" spans="1:37" ht="15" customHeight="1" x14ac:dyDescent="0.3">
      <c r="A32">
        <v>690929</v>
      </c>
      <c r="B32" t="s">
        <v>37</v>
      </c>
      <c r="C32" t="s">
        <v>38</v>
      </c>
      <c r="D32" s="9" t="s">
        <v>39</v>
      </c>
      <c r="E32" s="9" t="s">
        <v>37</v>
      </c>
      <c r="F32" s="10"/>
      <c r="G32" t="s">
        <v>163</v>
      </c>
      <c r="I32" t="s">
        <v>41</v>
      </c>
      <c r="J32" t="s">
        <v>164</v>
      </c>
      <c r="K32" t="s">
        <v>43</v>
      </c>
      <c r="L32">
        <v>2</v>
      </c>
      <c r="M32" t="s">
        <v>44</v>
      </c>
      <c r="N32" t="s">
        <v>45</v>
      </c>
      <c r="O32" t="s">
        <v>46</v>
      </c>
      <c r="P32" s="5">
        <v>1</v>
      </c>
      <c r="Q32" s="11">
        <v>44672.425405092596</v>
      </c>
      <c r="R32" s="12">
        <v>44674</v>
      </c>
      <c r="T32" t="s">
        <v>47</v>
      </c>
      <c r="U32" t="s">
        <v>48</v>
      </c>
      <c r="V32" t="s">
        <v>69</v>
      </c>
      <c r="Y32" t="s">
        <v>165</v>
      </c>
      <c r="Z32">
        <v>14300</v>
      </c>
      <c r="AA32" t="s">
        <v>47</v>
      </c>
      <c r="AB32" t="s">
        <v>124</v>
      </c>
      <c r="AC32" t="s">
        <v>52</v>
      </c>
      <c r="AD32" s="13">
        <f t="shared" si="0"/>
        <v>4.9000000000000004</v>
      </c>
      <c r="AE32" s="14">
        <v>0</v>
      </c>
      <c r="AF32" s="14">
        <v>0</v>
      </c>
      <c r="AG32" s="14">
        <v>0</v>
      </c>
      <c r="AH32" s="14">
        <v>0</v>
      </c>
      <c r="AI32" s="14">
        <f t="shared" si="1"/>
        <v>0.29399999999999998</v>
      </c>
      <c r="AJ32" s="14">
        <f t="shared" si="2"/>
        <v>5.194</v>
      </c>
      <c r="AK32" t="s">
        <v>47</v>
      </c>
    </row>
    <row r="33" spans="1:37" ht="15" customHeight="1" x14ac:dyDescent="0.3">
      <c r="A33">
        <v>690929</v>
      </c>
      <c r="B33" t="s">
        <v>37</v>
      </c>
      <c r="C33" t="s">
        <v>38</v>
      </c>
      <c r="D33" s="9" t="s">
        <v>39</v>
      </c>
      <c r="E33" s="9" t="s">
        <v>37</v>
      </c>
      <c r="F33" s="10"/>
      <c r="G33" t="s">
        <v>166</v>
      </c>
      <c r="I33" t="s">
        <v>41</v>
      </c>
      <c r="J33" t="s">
        <v>167</v>
      </c>
      <c r="K33" t="s">
        <v>43</v>
      </c>
      <c r="L33">
        <v>2</v>
      </c>
      <c r="M33" t="s">
        <v>44</v>
      </c>
      <c r="N33" t="s">
        <v>45</v>
      </c>
      <c r="O33" t="s">
        <v>46</v>
      </c>
      <c r="P33" s="5">
        <v>1</v>
      </c>
      <c r="Q33" s="11">
        <v>44672.571064814816</v>
      </c>
      <c r="R33" s="12">
        <v>44674</v>
      </c>
      <c r="T33" t="s">
        <v>47</v>
      </c>
      <c r="U33" t="s">
        <v>48</v>
      </c>
      <c r="V33" t="s">
        <v>168</v>
      </c>
      <c r="Y33" t="s">
        <v>169</v>
      </c>
      <c r="Z33">
        <v>81450</v>
      </c>
      <c r="AA33" t="s">
        <v>47</v>
      </c>
      <c r="AB33" t="s">
        <v>170</v>
      </c>
      <c r="AC33" t="s">
        <v>52</v>
      </c>
      <c r="AD33" s="13">
        <f t="shared" si="0"/>
        <v>4.9000000000000004</v>
      </c>
      <c r="AE33" s="14">
        <v>0</v>
      </c>
      <c r="AF33" s="14">
        <v>0</v>
      </c>
      <c r="AG33" s="14">
        <v>0</v>
      </c>
      <c r="AH33" s="14">
        <v>0</v>
      </c>
      <c r="AI33" s="14">
        <f t="shared" si="1"/>
        <v>0.29399999999999998</v>
      </c>
      <c r="AJ33" s="14">
        <f t="shared" si="2"/>
        <v>5.194</v>
      </c>
      <c r="AK33" t="s">
        <v>47</v>
      </c>
    </row>
    <row r="34" spans="1:37" ht="15" customHeight="1" x14ac:dyDescent="0.3">
      <c r="A34">
        <v>690929</v>
      </c>
      <c r="B34" t="s">
        <v>37</v>
      </c>
      <c r="C34" t="s">
        <v>38</v>
      </c>
      <c r="D34" s="9" t="s">
        <v>39</v>
      </c>
      <c r="E34" s="9" t="s">
        <v>37</v>
      </c>
      <c r="F34" s="10"/>
      <c r="G34" t="s">
        <v>171</v>
      </c>
      <c r="I34" t="s">
        <v>41</v>
      </c>
      <c r="J34" t="s">
        <v>172</v>
      </c>
      <c r="K34" t="s">
        <v>43</v>
      </c>
      <c r="L34">
        <v>2</v>
      </c>
      <c r="M34" t="s">
        <v>44</v>
      </c>
      <c r="N34" t="s">
        <v>45</v>
      </c>
      <c r="O34" t="s">
        <v>46</v>
      </c>
      <c r="P34" s="5">
        <v>1</v>
      </c>
      <c r="Q34" s="11">
        <v>44672.785509259258</v>
      </c>
      <c r="R34" s="12">
        <v>44674</v>
      </c>
      <c r="T34" t="s">
        <v>47</v>
      </c>
      <c r="U34" t="s">
        <v>51</v>
      </c>
      <c r="V34" t="s">
        <v>59</v>
      </c>
      <c r="Y34" t="s">
        <v>173</v>
      </c>
      <c r="Z34">
        <v>26100</v>
      </c>
      <c r="AA34" t="s">
        <v>47</v>
      </c>
      <c r="AB34" t="s">
        <v>51</v>
      </c>
      <c r="AC34" t="s">
        <v>52</v>
      </c>
      <c r="AD34" s="13">
        <f t="shared" ref="AD34:AD65" si="3">IF(P34&lt;=1,4.9,4.9+0.8*ROUNDUP(P34-1,0))</f>
        <v>4.9000000000000004</v>
      </c>
      <c r="AE34" s="14">
        <v>0</v>
      </c>
      <c r="AF34" s="14">
        <v>0</v>
      </c>
      <c r="AG34" s="14">
        <v>0</v>
      </c>
      <c r="AH34" s="14">
        <v>0</v>
      </c>
      <c r="AI34" s="14">
        <f t="shared" si="1"/>
        <v>0.29399999999999998</v>
      </c>
      <c r="AJ34" s="14">
        <f t="shared" si="2"/>
        <v>5.194</v>
      </c>
      <c r="AK34" t="s">
        <v>47</v>
      </c>
    </row>
    <row r="35" spans="1:37" ht="15" customHeight="1" x14ac:dyDescent="0.3">
      <c r="A35">
        <v>690929</v>
      </c>
      <c r="B35" t="s">
        <v>37</v>
      </c>
      <c r="C35" t="s">
        <v>38</v>
      </c>
      <c r="D35" s="9" t="s">
        <v>39</v>
      </c>
      <c r="E35" s="9" t="s">
        <v>37</v>
      </c>
      <c r="F35" s="10"/>
      <c r="G35" t="s">
        <v>174</v>
      </c>
      <c r="I35" t="s">
        <v>41</v>
      </c>
      <c r="J35" t="s">
        <v>175</v>
      </c>
      <c r="K35" t="s">
        <v>43</v>
      </c>
      <c r="L35">
        <v>2</v>
      </c>
      <c r="M35" t="s">
        <v>44</v>
      </c>
      <c r="N35" t="s">
        <v>45</v>
      </c>
      <c r="O35" t="s">
        <v>46</v>
      </c>
      <c r="P35" s="5">
        <v>1</v>
      </c>
      <c r="Q35" s="11">
        <v>44672.66133101852</v>
      </c>
      <c r="R35" s="12">
        <v>44674</v>
      </c>
      <c r="T35" t="s">
        <v>47</v>
      </c>
      <c r="U35" t="s">
        <v>48</v>
      </c>
      <c r="V35" t="s">
        <v>96</v>
      </c>
      <c r="Y35" t="s">
        <v>176</v>
      </c>
      <c r="Z35">
        <v>6600</v>
      </c>
      <c r="AA35" t="s">
        <v>47</v>
      </c>
      <c r="AB35" t="s">
        <v>177</v>
      </c>
      <c r="AC35" t="s">
        <v>52</v>
      </c>
      <c r="AD35" s="13">
        <f t="shared" si="3"/>
        <v>4.9000000000000004</v>
      </c>
      <c r="AE35" s="14">
        <v>0</v>
      </c>
      <c r="AF35" s="14">
        <v>0</v>
      </c>
      <c r="AG35" s="14">
        <v>0</v>
      </c>
      <c r="AH35" s="14">
        <v>0</v>
      </c>
      <c r="AI35" s="14">
        <f t="shared" si="1"/>
        <v>0.29399999999999998</v>
      </c>
      <c r="AJ35" s="14">
        <f t="shared" si="2"/>
        <v>5.194</v>
      </c>
      <c r="AK35" t="s">
        <v>47</v>
      </c>
    </row>
    <row r="36" spans="1:37" ht="15" customHeight="1" x14ac:dyDescent="0.3">
      <c r="A36">
        <v>690929</v>
      </c>
      <c r="B36" t="s">
        <v>37</v>
      </c>
      <c r="C36" t="s">
        <v>38</v>
      </c>
      <c r="D36" s="9" t="s">
        <v>39</v>
      </c>
      <c r="E36" s="9" t="s">
        <v>37</v>
      </c>
      <c r="F36" s="10"/>
      <c r="G36" t="s">
        <v>178</v>
      </c>
      <c r="I36" t="s">
        <v>41</v>
      </c>
      <c r="J36" t="s">
        <v>179</v>
      </c>
      <c r="K36" t="s">
        <v>43</v>
      </c>
      <c r="L36">
        <v>2</v>
      </c>
      <c r="M36" t="s">
        <v>44</v>
      </c>
      <c r="N36" t="s">
        <v>45</v>
      </c>
      <c r="O36" t="s">
        <v>68</v>
      </c>
      <c r="P36" s="5">
        <v>6</v>
      </c>
      <c r="Q36" s="11">
        <v>44671.565416666665</v>
      </c>
      <c r="R36" s="12">
        <v>44674</v>
      </c>
      <c r="T36" t="s">
        <v>47</v>
      </c>
      <c r="U36" t="s">
        <v>48</v>
      </c>
      <c r="V36" t="s">
        <v>100</v>
      </c>
      <c r="Y36" t="s">
        <v>180</v>
      </c>
      <c r="Z36">
        <v>43900</v>
      </c>
      <c r="AA36" t="s">
        <v>47</v>
      </c>
      <c r="AB36" t="s">
        <v>181</v>
      </c>
      <c r="AC36" t="s">
        <v>52</v>
      </c>
      <c r="AD36" s="13">
        <f t="shared" si="3"/>
        <v>8.9</v>
      </c>
      <c r="AE36" s="14">
        <v>0</v>
      </c>
      <c r="AF36" s="14">
        <v>0</v>
      </c>
      <c r="AG36" s="14">
        <v>0</v>
      </c>
      <c r="AH36" s="14">
        <v>0</v>
      </c>
      <c r="AI36" s="14">
        <f t="shared" si="1"/>
        <v>0.53400000000000003</v>
      </c>
      <c r="AJ36" s="14">
        <f t="shared" si="2"/>
        <v>9.4340000000000011</v>
      </c>
      <c r="AK36" t="s">
        <v>47</v>
      </c>
    </row>
    <row r="37" spans="1:37" ht="15" customHeight="1" x14ac:dyDescent="0.3">
      <c r="A37">
        <v>690929</v>
      </c>
      <c r="B37" t="s">
        <v>37</v>
      </c>
      <c r="C37" t="s">
        <v>38</v>
      </c>
      <c r="D37" s="9" t="s">
        <v>39</v>
      </c>
      <c r="E37" s="9" t="s">
        <v>37</v>
      </c>
      <c r="F37" s="10"/>
      <c r="G37" t="s">
        <v>182</v>
      </c>
      <c r="I37" t="s">
        <v>41</v>
      </c>
      <c r="J37" t="s">
        <v>183</v>
      </c>
      <c r="K37" t="s">
        <v>43</v>
      </c>
      <c r="L37">
        <v>2</v>
      </c>
      <c r="M37" t="s">
        <v>44</v>
      </c>
      <c r="N37" t="s">
        <v>45</v>
      </c>
      <c r="O37" t="s">
        <v>46</v>
      </c>
      <c r="P37" s="5">
        <v>1</v>
      </c>
      <c r="Q37" s="11">
        <v>44672.390532407408</v>
      </c>
      <c r="R37" s="12">
        <v>44674</v>
      </c>
      <c r="T37" t="s">
        <v>47</v>
      </c>
      <c r="U37" t="s">
        <v>48</v>
      </c>
      <c r="V37" t="s">
        <v>100</v>
      </c>
      <c r="Y37" t="s">
        <v>184</v>
      </c>
      <c r="Z37">
        <v>47830</v>
      </c>
      <c r="AA37" t="s">
        <v>47</v>
      </c>
      <c r="AB37" t="s">
        <v>80</v>
      </c>
      <c r="AC37" t="s">
        <v>52</v>
      </c>
      <c r="AD37" s="13">
        <f t="shared" si="3"/>
        <v>4.9000000000000004</v>
      </c>
      <c r="AE37" s="14">
        <v>0</v>
      </c>
      <c r="AF37" s="14">
        <v>0</v>
      </c>
      <c r="AG37" s="14">
        <v>0</v>
      </c>
      <c r="AH37" s="14">
        <v>0</v>
      </c>
      <c r="AI37" s="14">
        <f t="shared" si="1"/>
        <v>0.29399999999999998</v>
      </c>
      <c r="AJ37" s="14">
        <f t="shared" si="2"/>
        <v>5.194</v>
      </c>
      <c r="AK37" t="s">
        <v>47</v>
      </c>
    </row>
    <row r="38" spans="1:37" ht="15" customHeight="1" x14ac:dyDescent="0.3">
      <c r="A38">
        <v>690929</v>
      </c>
      <c r="B38" t="s">
        <v>37</v>
      </c>
      <c r="C38" t="s">
        <v>38</v>
      </c>
      <c r="D38" s="9" t="s">
        <v>39</v>
      </c>
      <c r="E38" s="9" t="s">
        <v>37</v>
      </c>
      <c r="F38" s="10"/>
      <c r="G38" t="s">
        <v>185</v>
      </c>
      <c r="I38" t="s">
        <v>41</v>
      </c>
      <c r="J38" t="s">
        <v>186</v>
      </c>
      <c r="K38" t="s">
        <v>43</v>
      </c>
      <c r="L38">
        <v>2</v>
      </c>
      <c r="M38" t="s">
        <v>44</v>
      </c>
      <c r="N38" t="s">
        <v>45</v>
      </c>
      <c r="O38" t="s">
        <v>46</v>
      </c>
      <c r="P38" s="5">
        <v>5</v>
      </c>
      <c r="Q38" s="11">
        <v>44671.759131944447</v>
      </c>
      <c r="R38" s="12">
        <v>44674</v>
      </c>
      <c r="T38" t="s">
        <v>47</v>
      </c>
      <c r="U38" t="s">
        <v>48</v>
      </c>
      <c r="V38" t="s">
        <v>49</v>
      </c>
      <c r="Y38" t="s">
        <v>187</v>
      </c>
      <c r="Z38">
        <v>21800</v>
      </c>
      <c r="AA38" t="s">
        <v>47</v>
      </c>
      <c r="AB38" t="s">
        <v>188</v>
      </c>
      <c r="AC38" t="s">
        <v>52</v>
      </c>
      <c r="AD38" s="13">
        <f t="shared" si="3"/>
        <v>8.1000000000000014</v>
      </c>
      <c r="AE38" s="14">
        <v>0</v>
      </c>
      <c r="AF38" s="14">
        <v>0</v>
      </c>
      <c r="AG38" s="14">
        <v>0</v>
      </c>
      <c r="AH38" s="14">
        <v>0</v>
      </c>
      <c r="AI38" s="14">
        <f t="shared" si="1"/>
        <v>0.48600000000000004</v>
      </c>
      <c r="AJ38" s="14">
        <f t="shared" si="2"/>
        <v>8.5860000000000021</v>
      </c>
      <c r="AK38" t="s">
        <v>47</v>
      </c>
    </row>
    <row r="39" spans="1:37" ht="15" customHeight="1" x14ac:dyDescent="0.3">
      <c r="A39">
        <v>690929</v>
      </c>
      <c r="B39" t="s">
        <v>37</v>
      </c>
      <c r="C39" t="s">
        <v>38</v>
      </c>
      <c r="D39" s="9" t="s">
        <v>39</v>
      </c>
      <c r="E39" s="9" t="s">
        <v>37</v>
      </c>
      <c r="F39" s="10"/>
      <c r="G39" t="s">
        <v>189</v>
      </c>
      <c r="I39" t="s">
        <v>41</v>
      </c>
      <c r="J39" t="s">
        <v>190</v>
      </c>
      <c r="K39" t="s">
        <v>43</v>
      </c>
      <c r="L39">
        <v>2</v>
      </c>
      <c r="M39" t="s">
        <v>44</v>
      </c>
      <c r="N39" t="s">
        <v>45</v>
      </c>
      <c r="O39" t="s">
        <v>46</v>
      </c>
      <c r="P39" s="5">
        <v>1</v>
      </c>
      <c r="Q39" s="11">
        <v>44671.517731481479</v>
      </c>
      <c r="R39" s="12">
        <v>44674</v>
      </c>
      <c r="T39" t="s">
        <v>47</v>
      </c>
      <c r="U39" t="s">
        <v>48</v>
      </c>
      <c r="V39" t="s">
        <v>91</v>
      </c>
      <c r="Y39" t="s">
        <v>191</v>
      </c>
      <c r="Z39">
        <v>57100</v>
      </c>
      <c r="AA39" t="s">
        <v>47</v>
      </c>
      <c r="AB39" t="s">
        <v>192</v>
      </c>
      <c r="AC39" t="s">
        <v>52</v>
      </c>
      <c r="AD39" s="13">
        <f t="shared" si="3"/>
        <v>4.9000000000000004</v>
      </c>
      <c r="AE39" s="14">
        <v>0</v>
      </c>
      <c r="AF39" s="14">
        <v>0</v>
      </c>
      <c r="AG39" s="14">
        <v>0</v>
      </c>
      <c r="AH39" s="14">
        <v>0</v>
      </c>
      <c r="AI39" s="14">
        <f t="shared" si="1"/>
        <v>0.29399999999999998</v>
      </c>
      <c r="AJ39" s="14">
        <f t="shared" si="2"/>
        <v>5.194</v>
      </c>
      <c r="AK39" t="s">
        <v>47</v>
      </c>
    </row>
    <row r="40" spans="1:37" ht="15" customHeight="1" x14ac:dyDescent="0.3">
      <c r="A40">
        <v>690929</v>
      </c>
      <c r="B40" t="s">
        <v>37</v>
      </c>
      <c r="C40" t="s">
        <v>38</v>
      </c>
      <c r="D40" s="9" t="s">
        <v>39</v>
      </c>
      <c r="E40" s="9" t="s">
        <v>37</v>
      </c>
      <c r="F40" s="10"/>
      <c r="G40" t="s">
        <v>193</v>
      </c>
      <c r="I40" t="s">
        <v>41</v>
      </c>
      <c r="J40" t="s">
        <v>194</v>
      </c>
      <c r="K40" t="s">
        <v>43</v>
      </c>
      <c r="L40">
        <v>2</v>
      </c>
      <c r="M40" t="s">
        <v>44</v>
      </c>
      <c r="N40" t="s">
        <v>45</v>
      </c>
      <c r="O40" t="s">
        <v>46</v>
      </c>
      <c r="P40" s="5">
        <v>2</v>
      </c>
      <c r="Q40" s="11">
        <v>44671.76153935185</v>
      </c>
      <c r="R40" s="12">
        <v>44674</v>
      </c>
      <c r="T40" t="s">
        <v>47</v>
      </c>
      <c r="U40" t="s">
        <v>48</v>
      </c>
      <c r="V40" t="s">
        <v>59</v>
      </c>
      <c r="Y40" t="s">
        <v>195</v>
      </c>
      <c r="Z40">
        <v>27600</v>
      </c>
      <c r="AA40" t="s">
        <v>47</v>
      </c>
      <c r="AB40" t="s">
        <v>80</v>
      </c>
      <c r="AC40" t="s">
        <v>52</v>
      </c>
      <c r="AD40" s="13">
        <f t="shared" si="3"/>
        <v>5.7</v>
      </c>
      <c r="AE40" s="14">
        <v>0</v>
      </c>
      <c r="AF40" s="14">
        <v>0</v>
      </c>
      <c r="AG40" s="14">
        <v>0</v>
      </c>
      <c r="AH40" s="14">
        <v>0</v>
      </c>
      <c r="AI40" s="14">
        <f t="shared" si="1"/>
        <v>0.34199999999999997</v>
      </c>
      <c r="AJ40" s="14">
        <f t="shared" si="2"/>
        <v>6.0419999999999998</v>
      </c>
      <c r="AK40" t="s">
        <v>47</v>
      </c>
    </row>
    <row r="41" spans="1:37" ht="15" customHeight="1" x14ac:dyDescent="0.3">
      <c r="A41">
        <v>690929</v>
      </c>
      <c r="B41" t="s">
        <v>37</v>
      </c>
      <c r="C41" t="s">
        <v>38</v>
      </c>
      <c r="D41" s="9" t="s">
        <v>39</v>
      </c>
      <c r="E41" s="9" t="s">
        <v>37</v>
      </c>
      <c r="F41" s="10"/>
      <c r="G41" t="s">
        <v>196</v>
      </c>
      <c r="I41" t="s">
        <v>41</v>
      </c>
      <c r="J41" t="s">
        <v>197</v>
      </c>
      <c r="K41" t="s">
        <v>43</v>
      </c>
      <c r="L41">
        <v>2</v>
      </c>
      <c r="M41" t="s">
        <v>44</v>
      </c>
      <c r="N41" t="s">
        <v>45</v>
      </c>
      <c r="O41" t="s">
        <v>46</v>
      </c>
      <c r="P41" s="5">
        <v>2</v>
      </c>
      <c r="Q41" s="11">
        <v>44672.760960648149</v>
      </c>
      <c r="R41" s="12">
        <v>44674</v>
      </c>
      <c r="T41" t="s">
        <v>47</v>
      </c>
      <c r="U41" t="s">
        <v>51</v>
      </c>
      <c r="V41" t="s">
        <v>59</v>
      </c>
      <c r="Y41" t="s">
        <v>198</v>
      </c>
      <c r="Z41">
        <v>26900</v>
      </c>
      <c r="AA41" t="s">
        <v>47</v>
      </c>
      <c r="AB41" t="s">
        <v>199</v>
      </c>
      <c r="AC41" t="s">
        <v>52</v>
      </c>
      <c r="AD41" s="13">
        <f t="shared" si="3"/>
        <v>5.7</v>
      </c>
      <c r="AE41" s="14">
        <v>0</v>
      </c>
      <c r="AF41" s="14">
        <v>0</v>
      </c>
      <c r="AG41" s="14">
        <v>0</v>
      </c>
      <c r="AH41" s="14">
        <v>0</v>
      </c>
      <c r="AI41" s="14">
        <f t="shared" si="1"/>
        <v>0.34199999999999997</v>
      </c>
      <c r="AJ41" s="14">
        <f t="shared" si="2"/>
        <v>6.0419999999999998</v>
      </c>
      <c r="AK41" t="s">
        <v>47</v>
      </c>
    </row>
    <row r="42" spans="1:37" ht="15" customHeight="1" x14ac:dyDescent="0.3">
      <c r="A42">
        <v>690929</v>
      </c>
      <c r="B42" t="s">
        <v>37</v>
      </c>
      <c r="C42" t="s">
        <v>38</v>
      </c>
      <c r="D42" s="9" t="s">
        <v>39</v>
      </c>
      <c r="E42" s="9" t="s">
        <v>37</v>
      </c>
      <c r="F42" s="10"/>
      <c r="G42" t="s">
        <v>200</v>
      </c>
      <c r="I42" t="s">
        <v>41</v>
      </c>
      <c r="J42" t="s">
        <v>201</v>
      </c>
      <c r="K42" t="s">
        <v>43</v>
      </c>
      <c r="L42">
        <v>2</v>
      </c>
      <c r="M42" t="s">
        <v>44</v>
      </c>
      <c r="N42" t="s">
        <v>45</v>
      </c>
      <c r="O42" t="s">
        <v>46</v>
      </c>
      <c r="P42" s="5">
        <v>1</v>
      </c>
      <c r="Q42" s="11">
        <v>44672.564780092594</v>
      </c>
      <c r="R42" s="12">
        <v>44674</v>
      </c>
      <c r="T42" t="s">
        <v>47</v>
      </c>
      <c r="U42" t="s">
        <v>48</v>
      </c>
      <c r="V42" t="s">
        <v>100</v>
      </c>
      <c r="Y42" t="s">
        <v>202</v>
      </c>
      <c r="Z42">
        <v>48300</v>
      </c>
      <c r="AA42" t="s">
        <v>47</v>
      </c>
      <c r="AB42" t="s">
        <v>80</v>
      </c>
      <c r="AC42" t="s">
        <v>52</v>
      </c>
      <c r="AD42" s="13">
        <f t="shared" si="3"/>
        <v>4.9000000000000004</v>
      </c>
      <c r="AE42" s="14">
        <v>0</v>
      </c>
      <c r="AF42" s="14">
        <v>0</v>
      </c>
      <c r="AG42" s="14">
        <v>0</v>
      </c>
      <c r="AH42" s="14">
        <v>0</v>
      </c>
      <c r="AI42" s="14">
        <f t="shared" si="1"/>
        <v>0.29399999999999998</v>
      </c>
      <c r="AJ42" s="14">
        <f t="shared" si="2"/>
        <v>5.194</v>
      </c>
      <c r="AK42" t="s">
        <v>47</v>
      </c>
    </row>
    <row r="43" spans="1:37" ht="15" customHeight="1" x14ac:dyDescent="0.3">
      <c r="A43">
        <v>690929</v>
      </c>
      <c r="B43" t="s">
        <v>37</v>
      </c>
      <c r="C43" t="s">
        <v>38</v>
      </c>
      <c r="D43" s="9" t="s">
        <v>39</v>
      </c>
      <c r="E43" s="9" t="s">
        <v>37</v>
      </c>
      <c r="F43" s="10"/>
      <c r="G43" t="s">
        <v>203</v>
      </c>
      <c r="I43" t="s">
        <v>41</v>
      </c>
      <c r="J43" t="s">
        <v>204</v>
      </c>
      <c r="K43" t="s">
        <v>43</v>
      </c>
      <c r="L43">
        <v>2</v>
      </c>
      <c r="M43" t="s">
        <v>44</v>
      </c>
      <c r="N43" t="s">
        <v>45</v>
      </c>
      <c r="O43" t="s">
        <v>46</v>
      </c>
      <c r="P43" s="5">
        <v>1</v>
      </c>
      <c r="Q43" s="11">
        <v>44672.405370370368</v>
      </c>
      <c r="R43" s="12">
        <v>44674</v>
      </c>
      <c r="T43" t="s">
        <v>47</v>
      </c>
      <c r="U43" t="s">
        <v>48</v>
      </c>
      <c r="V43" t="s">
        <v>74</v>
      </c>
      <c r="Y43" t="s">
        <v>205</v>
      </c>
      <c r="Z43">
        <v>15200</v>
      </c>
      <c r="AA43" t="s">
        <v>47</v>
      </c>
      <c r="AB43" t="s">
        <v>51</v>
      </c>
      <c r="AC43" t="s">
        <v>52</v>
      </c>
      <c r="AD43" s="13">
        <f t="shared" si="3"/>
        <v>4.9000000000000004</v>
      </c>
      <c r="AE43" s="14">
        <v>0</v>
      </c>
      <c r="AF43" s="14">
        <v>0</v>
      </c>
      <c r="AG43" s="14">
        <v>0</v>
      </c>
      <c r="AH43" s="14">
        <v>0</v>
      </c>
      <c r="AI43" s="14">
        <f t="shared" si="1"/>
        <v>0.29399999999999998</v>
      </c>
      <c r="AJ43" s="14">
        <f t="shared" si="2"/>
        <v>5.194</v>
      </c>
      <c r="AK43" t="s">
        <v>47</v>
      </c>
    </row>
    <row r="44" spans="1:37" ht="15" customHeight="1" x14ac:dyDescent="0.3">
      <c r="A44">
        <v>690929</v>
      </c>
      <c r="B44" t="s">
        <v>37</v>
      </c>
      <c r="C44" t="s">
        <v>38</v>
      </c>
      <c r="D44" s="9" t="s">
        <v>39</v>
      </c>
      <c r="E44" s="9" t="s">
        <v>37</v>
      </c>
      <c r="F44" s="10"/>
      <c r="G44" t="s">
        <v>206</v>
      </c>
      <c r="I44" t="s">
        <v>41</v>
      </c>
      <c r="J44" t="s">
        <v>207</v>
      </c>
      <c r="K44" t="s">
        <v>43</v>
      </c>
      <c r="L44">
        <v>2</v>
      </c>
      <c r="M44" t="s">
        <v>44</v>
      </c>
      <c r="N44" t="s">
        <v>45</v>
      </c>
      <c r="O44" t="s">
        <v>46</v>
      </c>
      <c r="P44" s="5">
        <v>1</v>
      </c>
      <c r="Q44" s="11">
        <v>44671.776458333334</v>
      </c>
      <c r="R44" s="12">
        <v>44674</v>
      </c>
      <c r="T44" t="s">
        <v>47</v>
      </c>
      <c r="U44" t="s">
        <v>48</v>
      </c>
      <c r="V44" t="s">
        <v>100</v>
      </c>
      <c r="Y44" t="s">
        <v>208</v>
      </c>
      <c r="Z44">
        <v>46000</v>
      </c>
      <c r="AA44" t="s">
        <v>47</v>
      </c>
      <c r="AB44" t="s">
        <v>80</v>
      </c>
      <c r="AC44" t="s">
        <v>52</v>
      </c>
      <c r="AD44" s="13">
        <f t="shared" si="3"/>
        <v>4.9000000000000004</v>
      </c>
      <c r="AE44" s="14">
        <v>0</v>
      </c>
      <c r="AF44" s="14">
        <v>0</v>
      </c>
      <c r="AG44" s="14">
        <v>0</v>
      </c>
      <c r="AH44" s="14">
        <v>0</v>
      </c>
      <c r="AI44" s="14">
        <f t="shared" si="1"/>
        <v>0.29399999999999998</v>
      </c>
      <c r="AJ44" s="14">
        <f t="shared" si="2"/>
        <v>5.194</v>
      </c>
      <c r="AK44" t="s">
        <v>47</v>
      </c>
    </row>
    <row r="45" spans="1:37" ht="15" customHeight="1" x14ac:dyDescent="0.3">
      <c r="A45">
        <v>690929</v>
      </c>
      <c r="B45" t="s">
        <v>37</v>
      </c>
      <c r="C45" t="s">
        <v>38</v>
      </c>
      <c r="D45" s="9" t="s">
        <v>39</v>
      </c>
      <c r="E45" s="9" t="s">
        <v>37</v>
      </c>
      <c r="F45" s="10"/>
      <c r="G45" t="s">
        <v>209</v>
      </c>
      <c r="I45" t="s">
        <v>41</v>
      </c>
      <c r="J45" t="s">
        <v>210</v>
      </c>
      <c r="K45" t="s">
        <v>43</v>
      </c>
      <c r="L45">
        <v>2</v>
      </c>
      <c r="M45" t="s">
        <v>44</v>
      </c>
      <c r="N45" t="s">
        <v>45</v>
      </c>
      <c r="O45" t="s">
        <v>46</v>
      </c>
      <c r="P45" s="5">
        <v>2</v>
      </c>
      <c r="Q45" s="11">
        <v>44672.763043981482</v>
      </c>
      <c r="R45" s="12">
        <v>44674</v>
      </c>
      <c r="T45" t="s">
        <v>47</v>
      </c>
      <c r="U45" t="s">
        <v>51</v>
      </c>
      <c r="V45" t="s">
        <v>49</v>
      </c>
      <c r="Y45" t="s">
        <v>211</v>
      </c>
      <c r="Z45">
        <v>21300</v>
      </c>
      <c r="AA45" t="s">
        <v>47</v>
      </c>
      <c r="AB45" t="s">
        <v>51</v>
      </c>
      <c r="AC45" t="s">
        <v>52</v>
      </c>
      <c r="AD45" s="13">
        <f t="shared" si="3"/>
        <v>5.7</v>
      </c>
      <c r="AE45" s="14">
        <v>0</v>
      </c>
      <c r="AF45" s="14">
        <v>0</v>
      </c>
      <c r="AG45" s="14">
        <v>0</v>
      </c>
      <c r="AH45" s="14">
        <v>0</v>
      </c>
      <c r="AI45" s="14">
        <f t="shared" si="1"/>
        <v>0.34199999999999997</v>
      </c>
      <c r="AJ45" s="14">
        <f t="shared" si="2"/>
        <v>6.0419999999999998</v>
      </c>
      <c r="AK45" t="s">
        <v>47</v>
      </c>
    </row>
    <row r="46" spans="1:37" ht="15" customHeight="1" x14ac:dyDescent="0.3">
      <c r="A46">
        <v>690929</v>
      </c>
      <c r="B46" t="s">
        <v>37</v>
      </c>
      <c r="C46" t="s">
        <v>38</v>
      </c>
      <c r="D46" s="9" t="s">
        <v>39</v>
      </c>
      <c r="E46" s="9" t="s">
        <v>37</v>
      </c>
      <c r="F46" s="10"/>
      <c r="G46" t="s">
        <v>212</v>
      </c>
      <c r="I46" t="s">
        <v>41</v>
      </c>
      <c r="J46" t="s">
        <v>213</v>
      </c>
      <c r="K46" t="s">
        <v>43</v>
      </c>
      <c r="L46">
        <v>2</v>
      </c>
      <c r="M46" t="s">
        <v>44</v>
      </c>
      <c r="N46" t="s">
        <v>45</v>
      </c>
      <c r="O46" t="s">
        <v>46</v>
      </c>
      <c r="P46" s="5">
        <v>1</v>
      </c>
      <c r="Q46" s="11">
        <v>44672.573263888888</v>
      </c>
      <c r="R46" s="12">
        <v>44674</v>
      </c>
      <c r="T46" t="s">
        <v>47</v>
      </c>
      <c r="U46" t="s">
        <v>48</v>
      </c>
      <c r="V46" t="s">
        <v>100</v>
      </c>
      <c r="Y46" t="s">
        <v>214</v>
      </c>
      <c r="Z46">
        <v>43200</v>
      </c>
      <c r="AA46" t="s">
        <v>47</v>
      </c>
      <c r="AB46" t="s">
        <v>80</v>
      </c>
      <c r="AC46" t="s">
        <v>52</v>
      </c>
      <c r="AD46" s="13">
        <f t="shared" si="3"/>
        <v>4.9000000000000004</v>
      </c>
      <c r="AE46" s="14">
        <v>0</v>
      </c>
      <c r="AF46" s="14">
        <v>0</v>
      </c>
      <c r="AG46" s="14">
        <v>0</v>
      </c>
      <c r="AH46" s="14">
        <v>0</v>
      </c>
      <c r="AI46" s="14">
        <f t="shared" si="1"/>
        <v>0.29399999999999998</v>
      </c>
      <c r="AJ46" s="14">
        <f t="shared" si="2"/>
        <v>5.194</v>
      </c>
      <c r="AK46" t="s">
        <v>47</v>
      </c>
    </row>
    <row r="47" spans="1:37" ht="15" customHeight="1" x14ac:dyDescent="0.3">
      <c r="A47">
        <v>690929</v>
      </c>
      <c r="B47" t="s">
        <v>37</v>
      </c>
      <c r="C47" t="s">
        <v>38</v>
      </c>
      <c r="D47" s="9" t="s">
        <v>39</v>
      </c>
      <c r="E47" s="9" t="s">
        <v>37</v>
      </c>
      <c r="F47" s="10"/>
      <c r="G47" t="s">
        <v>215</v>
      </c>
      <c r="I47" t="s">
        <v>41</v>
      </c>
      <c r="J47" t="s">
        <v>216</v>
      </c>
      <c r="K47" t="s">
        <v>43</v>
      </c>
      <c r="L47">
        <v>2</v>
      </c>
      <c r="M47" t="s">
        <v>44</v>
      </c>
      <c r="N47" t="s">
        <v>45</v>
      </c>
      <c r="O47" t="s">
        <v>46</v>
      </c>
      <c r="P47" s="5">
        <v>1</v>
      </c>
      <c r="Q47" s="11">
        <v>44672.787523148145</v>
      </c>
      <c r="R47" s="12">
        <v>44674</v>
      </c>
      <c r="T47" t="s">
        <v>47</v>
      </c>
      <c r="U47" t="s">
        <v>51</v>
      </c>
      <c r="V47" t="s">
        <v>74</v>
      </c>
      <c r="Y47" t="s">
        <v>217</v>
      </c>
      <c r="Z47">
        <v>17500</v>
      </c>
      <c r="AA47" t="s">
        <v>47</v>
      </c>
      <c r="AB47" t="s">
        <v>51</v>
      </c>
      <c r="AC47" t="s">
        <v>52</v>
      </c>
      <c r="AD47" s="13">
        <f t="shared" si="3"/>
        <v>4.9000000000000004</v>
      </c>
      <c r="AE47" s="14">
        <v>0</v>
      </c>
      <c r="AF47" s="14">
        <v>0</v>
      </c>
      <c r="AG47" s="14">
        <v>0</v>
      </c>
      <c r="AH47" s="14">
        <v>0</v>
      </c>
      <c r="AI47" s="14">
        <f t="shared" si="1"/>
        <v>0.29399999999999998</v>
      </c>
      <c r="AJ47" s="14">
        <f t="shared" si="2"/>
        <v>5.194</v>
      </c>
      <c r="AK47" t="s">
        <v>47</v>
      </c>
    </row>
    <row r="48" spans="1:37" ht="15" customHeight="1" x14ac:dyDescent="0.3">
      <c r="A48">
        <v>690929</v>
      </c>
      <c r="B48" t="s">
        <v>37</v>
      </c>
      <c r="C48" t="s">
        <v>38</v>
      </c>
      <c r="D48" s="9" t="s">
        <v>39</v>
      </c>
      <c r="E48" s="9" t="s">
        <v>37</v>
      </c>
      <c r="F48" s="10"/>
      <c r="G48" t="s">
        <v>218</v>
      </c>
      <c r="I48" t="s">
        <v>41</v>
      </c>
      <c r="J48" t="s">
        <v>219</v>
      </c>
      <c r="K48" t="s">
        <v>43</v>
      </c>
      <c r="L48">
        <v>2</v>
      </c>
      <c r="M48" t="s">
        <v>44</v>
      </c>
      <c r="N48" t="s">
        <v>45</v>
      </c>
      <c r="O48" t="s">
        <v>46</v>
      </c>
      <c r="P48" s="5">
        <v>2</v>
      </c>
      <c r="Q48" s="11">
        <v>44672.411759259259</v>
      </c>
      <c r="R48" s="12">
        <v>44674</v>
      </c>
      <c r="T48" t="s">
        <v>47</v>
      </c>
      <c r="U48" t="s">
        <v>48</v>
      </c>
      <c r="V48" t="s">
        <v>96</v>
      </c>
      <c r="Y48" t="s">
        <v>220</v>
      </c>
      <c r="Z48">
        <v>8000</v>
      </c>
      <c r="AA48" t="s">
        <v>47</v>
      </c>
      <c r="AB48" t="s">
        <v>177</v>
      </c>
      <c r="AC48" t="s">
        <v>52</v>
      </c>
      <c r="AD48" s="13">
        <f t="shared" si="3"/>
        <v>5.7</v>
      </c>
      <c r="AE48" s="14">
        <v>0</v>
      </c>
      <c r="AF48" s="14">
        <v>0</v>
      </c>
      <c r="AG48" s="14">
        <v>0</v>
      </c>
      <c r="AH48" s="14">
        <v>0</v>
      </c>
      <c r="AI48" s="14">
        <f t="shared" si="1"/>
        <v>0.34199999999999997</v>
      </c>
      <c r="AJ48" s="14">
        <f t="shared" si="2"/>
        <v>6.0419999999999998</v>
      </c>
      <c r="AK48" t="s">
        <v>47</v>
      </c>
    </row>
    <row r="49" spans="1:37" ht="15" customHeight="1" x14ac:dyDescent="0.3">
      <c r="A49">
        <v>690929</v>
      </c>
      <c r="B49" t="s">
        <v>37</v>
      </c>
      <c r="C49" t="s">
        <v>38</v>
      </c>
      <c r="D49" s="9" t="s">
        <v>39</v>
      </c>
      <c r="E49" s="9" t="s">
        <v>37</v>
      </c>
      <c r="F49" s="10"/>
      <c r="G49" t="s">
        <v>221</v>
      </c>
      <c r="I49" t="s">
        <v>41</v>
      </c>
      <c r="J49" t="s">
        <v>222</v>
      </c>
      <c r="K49" t="s">
        <v>43</v>
      </c>
      <c r="L49">
        <v>2</v>
      </c>
      <c r="M49" t="s">
        <v>44</v>
      </c>
      <c r="N49" t="s">
        <v>45</v>
      </c>
      <c r="O49" t="s">
        <v>46</v>
      </c>
      <c r="P49" s="5">
        <v>1</v>
      </c>
      <c r="Q49" s="11">
        <v>44672.397476851853</v>
      </c>
      <c r="R49" s="12">
        <v>44674</v>
      </c>
      <c r="T49" t="s">
        <v>47</v>
      </c>
      <c r="U49" t="s">
        <v>48</v>
      </c>
      <c r="V49" t="s">
        <v>156</v>
      </c>
      <c r="Y49" t="s">
        <v>223</v>
      </c>
      <c r="Z49">
        <v>34900</v>
      </c>
      <c r="AA49" t="s">
        <v>47</v>
      </c>
      <c r="AB49" t="s">
        <v>158</v>
      </c>
      <c r="AC49" t="s">
        <v>52</v>
      </c>
      <c r="AD49" s="13">
        <f t="shared" si="3"/>
        <v>4.9000000000000004</v>
      </c>
      <c r="AE49" s="14">
        <v>0</v>
      </c>
      <c r="AF49" s="14">
        <v>0</v>
      </c>
      <c r="AG49" s="14">
        <v>0</v>
      </c>
      <c r="AH49" s="14">
        <v>0</v>
      </c>
      <c r="AI49" s="14">
        <f t="shared" si="1"/>
        <v>0.29399999999999998</v>
      </c>
      <c r="AJ49" s="14">
        <f t="shared" si="2"/>
        <v>5.194</v>
      </c>
      <c r="AK49" t="s">
        <v>47</v>
      </c>
    </row>
    <row r="50" spans="1:37" ht="15" customHeight="1" x14ac:dyDescent="0.3">
      <c r="A50">
        <v>690929</v>
      </c>
      <c r="B50" t="s">
        <v>37</v>
      </c>
      <c r="C50" t="s">
        <v>38</v>
      </c>
      <c r="D50" s="9" t="s">
        <v>39</v>
      </c>
      <c r="E50" s="9" t="s">
        <v>37</v>
      </c>
      <c r="F50" s="10"/>
      <c r="G50" t="s">
        <v>224</v>
      </c>
      <c r="I50" t="s">
        <v>41</v>
      </c>
      <c r="J50" t="s">
        <v>222</v>
      </c>
      <c r="K50" t="s">
        <v>43</v>
      </c>
      <c r="L50">
        <v>2</v>
      </c>
      <c r="M50" t="s">
        <v>44</v>
      </c>
      <c r="N50" t="s">
        <v>45</v>
      </c>
      <c r="O50" t="s">
        <v>46</v>
      </c>
      <c r="P50" s="5">
        <v>4</v>
      </c>
      <c r="Q50" s="11">
        <v>44671.764687499999</v>
      </c>
      <c r="R50" s="12">
        <v>44674</v>
      </c>
      <c r="T50" t="s">
        <v>47</v>
      </c>
      <c r="U50" t="s">
        <v>48</v>
      </c>
      <c r="V50" t="s">
        <v>156</v>
      </c>
      <c r="Y50" t="s">
        <v>223</v>
      </c>
      <c r="Z50">
        <v>34900</v>
      </c>
      <c r="AA50" t="s">
        <v>47</v>
      </c>
      <c r="AB50" t="s">
        <v>158</v>
      </c>
      <c r="AC50" t="s">
        <v>52</v>
      </c>
      <c r="AD50" s="13">
        <f t="shared" si="3"/>
        <v>7.3000000000000007</v>
      </c>
      <c r="AE50" s="14">
        <v>0</v>
      </c>
      <c r="AF50" s="14">
        <v>0</v>
      </c>
      <c r="AG50" s="14">
        <v>0</v>
      </c>
      <c r="AH50" s="14">
        <v>0</v>
      </c>
      <c r="AI50" s="14">
        <f t="shared" si="1"/>
        <v>0.438</v>
      </c>
      <c r="AJ50" s="14">
        <f t="shared" si="2"/>
        <v>7.7380000000000004</v>
      </c>
      <c r="AK50" t="s">
        <v>47</v>
      </c>
    </row>
    <row r="51" spans="1:37" ht="15" customHeight="1" x14ac:dyDescent="0.3">
      <c r="A51">
        <v>690929</v>
      </c>
      <c r="B51" t="s">
        <v>37</v>
      </c>
      <c r="C51" t="s">
        <v>38</v>
      </c>
      <c r="D51" s="9" t="s">
        <v>39</v>
      </c>
      <c r="E51" s="9" t="s">
        <v>37</v>
      </c>
      <c r="F51" s="10"/>
      <c r="G51" t="s">
        <v>225</v>
      </c>
      <c r="I51" t="s">
        <v>41</v>
      </c>
      <c r="J51" t="s">
        <v>226</v>
      </c>
      <c r="K51" t="s">
        <v>43</v>
      </c>
      <c r="L51">
        <v>2</v>
      </c>
      <c r="M51" t="s">
        <v>44</v>
      </c>
      <c r="N51" t="s">
        <v>45</v>
      </c>
      <c r="O51" t="s">
        <v>46</v>
      </c>
      <c r="P51" s="5">
        <v>1</v>
      </c>
      <c r="Q51" s="11">
        <v>44672.775648148148</v>
      </c>
      <c r="R51" s="12">
        <v>44674</v>
      </c>
      <c r="T51" t="s">
        <v>47</v>
      </c>
      <c r="U51" t="s">
        <v>51</v>
      </c>
      <c r="V51" t="s">
        <v>59</v>
      </c>
      <c r="Y51" t="s">
        <v>227</v>
      </c>
      <c r="Z51">
        <v>25150</v>
      </c>
      <c r="AA51" t="s">
        <v>47</v>
      </c>
      <c r="AB51" t="s">
        <v>65</v>
      </c>
      <c r="AC51" t="s">
        <v>52</v>
      </c>
      <c r="AD51" s="13">
        <f t="shared" si="3"/>
        <v>4.9000000000000004</v>
      </c>
      <c r="AE51" s="14">
        <v>0</v>
      </c>
      <c r="AF51" s="14">
        <v>0</v>
      </c>
      <c r="AG51" s="14">
        <v>0</v>
      </c>
      <c r="AH51" s="14">
        <v>0</v>
      </c>
      <c r="AI51" s="14">
        <f t="shared" si="1"/>
        <v>0.29399999999999998</v>
      </c>
      <c r="AJ51" s="14">
        <f t="shared" si="2"/>
        <v>5.194</v>
      </c>
      <c r="AK51" t="s">
        <v>47</v>
      </c>
    </row>
    <row r="52" spans="1:37" ht="15" customHeight="1" x14ac:dyDescent="0.3">
      <c r="A52">
        <v>690929</v>
      </c>
      <c r="B52" t="s">
        <v>37</v>
      </c>
      <c r="C52" t="s">
        <v>38</v>
      </c>
      <c r="D52" s="9" t="s">
        <v>39</v>
      </c>
      <c r="E52" s="9" t="s">
        <v>37</v>
      </c>
      <c r="F52" s="10"/>
      <c r="G52" t="s">
        <v>228</v>
      </c>
      <c r="I52" t="s">
        <v>41</v>
      </c>
      <c r="J52" t="s">
        <v>229</v>
      </c>
      <c r="K52" t="s">
        <v>43</v>
      </c>
      <c r="L52">
        <v>2</v>
      </c>
      <c r="M52" t="s">
        <v>44</v>
      </c>
      <c r="N52" t="s">
        <v>45</v>
      </c>
      <c r="O52" t="s">
        <v>46</v>
      </c>
      <c r="P52" s="5">
        <v>2</v>
      </c>
      <c r="Q52" s="11">
        <v>44671.767523148148</v>
      </c>
      <c r="R52" s="12">
        <v>44675</v>
      </c>
      <c r="T52" t="s">
        <v>47</v>
      </c>
      <c r="U52" t="s">
        <v>48</v>
      </c>
      <c r="V52" t="s">
        <v>139</v>
      </c>
      <c r="Y52" t="s">
        <v>230</v>
      </c>
      <c r="Z52">
        <v>72300</v>
      </c>
      <c r="AA52" t="s">
        <v>47</v>
      </c>
      <c r="AB52" t="s">
        <v>80</v>
      </c>
      <c r="AC52" t="s">
        <v>52</v>
      </c>
      <c r="AD52" s="13">
        <f t="shared" si="3"/>
        <v>5.7</v>
      </c>
      <c r="AE52" s="14">
        <v>0</v>
      </c>
      <c r="AF52" s="14">
        <v>0</v>
      </c>
      <c r="AG52" s="14">
        <v>0</v>
      </c>
      <c r="AH52" s="14">
        <v>0</v>
      </c>
      <c r="AI52" s="14">
        <f t="shared" si="1"/>
        <v>0.34199999999999997</v>
      </c>
      <c r="AJ52" s="14">
        <f t="shared" si="2"/>
        <v>6.0419999999999998</v>
      </c>
      <c r="AK52" t="s">
        <v>47</v>
      </c>
    </row>
    <row r="53" spans="1:37" ht="15" customHeight="1" x14ac:dyDescent="0.3">
      <c r="A53">
        <v>690929</v>
      </c>
      <c r="B53" t="s">
        <v>37</v>
      </c>
      <c r="C53" t="s">
        <v>38</v>
      </c>
      <c r="D53" s="9" t="s">
        <v>39</v>
      </c>
      <c r="E53" s="9" t="s">
        <v>37</v>
      </c>
      <c r="F53" s="10"/>
      <c r="G53" t="s">
        <v>231</v>
      </c>
      <c r="I53" t="s">
        <v>41</v>
      </c>
      <c r="J53" t="s">
        <v>232</v>
      </c>
      <c r="K53" t="s">
        <v>43</v>
      </c>
      <c r="L53">
        <v>2</v>
      </c>
      <c r="M53" t="s">
        <v>44</v>
      </c>
      <c r="N53" t="s">
        <v>45</v>
      </c>
      <c r="O53" t="s">
        <v>46</v>
      </c>
      <c r="P53" s="5">
        <v>1</v>
      </c>
      <c r="Q53" s="11">
        <v>44672.77244212963</v>
      </c>
      <c r="R53" s="12">
        <v>44675</v>
      </c>
      <c r="T53" t="s">
        <v>47</v>
      </c>
      <c r="U53" t="s">
        <v>51</v>
      </c>
      <c r="V53" t="s">
        <v>100</v>
      </c>
      <c r="Y53" t="s">
        <v>233</v>
      </c>
      <c r="Z53">
        <v>47150</v>
      </c>
      <c r="AA53" t="s">
        <v>47</v>
      </c>
      <c r="AB53" t="s">
        <v>80</v>
      </c>
      <c r="AC53" t="s">
        <v>52</v>
      </c>
      <c r="AD53" s="13">
        <f t="shared" si="3"/>
        <v>4.9000000000000004</v>
      </c>
      <c r="AE53" s="14">
        <v>0</v>
      </c>
      <c r="AF53" s="14">
        <v>0</v>
      </c>
      <c r="AG53" s="14">
        <v>0</v>
      </c>
      <c r="AH53" s="14">
        <v>0</v>
      </c>
      <c r="AI53" s="14">
        <f t="shared" si="1"/>
        <v>0.29399999999999998</v>
      </c>
      <c r="AJ53" s="14">
        <f t="shared" si="2"/>
        <v>5.194</v>
      </c>
      <c r="AK53" t="s">
        <v>47</v>
      </c>
    </row>
    <row r="54" spans="1:37" ht="15" customHeight="1" x14ac:dyDescent="0.3">
      <c r="A54">
        <v>690929</v>
      </c>
      <c r="B54" t="s">
        <v>37</v>
      </c>
      <c r="C54" t="s">
        <v>38</v>
      </c>
      <c r="D54" s="9" t="s">
        <v>39</v>
      </c>
      <c r="E54" s="9" t="s">
        <v>37</v>
      </c>
      <c r="F54" s="10"/>
      <c r="G54" t="s">
        <v>234</v>
      </c>
      <c r="I54" t="s">
        <v>41</v>
      </c>
      <c r="J54" t="s">
        <v>235</v>
      </c>
      <c r="K54" t="s">
        <v>43</v>
      </c>
      <c r="L54">
        <v>2</v>
      </c>
      <c r="M54" t="s">
        <v>44</v>
      </c>
      <c r="N54" t="s">
        <v>45</v>
      </c>
      <c r="O54" t="s">
        <v>46</v>
      </c>
      <c r="P54" s="5">
        <v>1</v>
      </c>
      <c r="Q54" s="11">
        <v>44672.768599537034</v>
      </c>
      <c r="R54" s="12">
        <v>44675</v>
      </c>
      <c r="T54" t="s">
        <v>47</v>
      </c>
      <c r="U54" t="s">
        <v>51</v>
      </c>
      <c r="V54" t="s">
        <v>156</v>
      </c>
      <c r="Y54" t="s">
        <v>236</v>
      </c>
      <c r="Z54">
        <v>34750</v>
      </c>
      <c r="AA54" t="s">
        <v>47</v>
      </c>
      <c r="AB54" t="s">
        <v>80</v>
      </c>
      <c r="AC54" t="s">
        <v>52</v>
      </c>
      <c r="AD54" s="13">
        <f t="shared" si="3"/>
        <v>4.9000000000000004</v>
      </c>
      <c r="AE54" s="14">
        <v>0</v>
      </c>
      <c r="AF54" s="14">
        <v>0</v>
      </c>
      <c r="AG54" s="14">
        <v>0</v>
      </c>
      <c r="AH54" s="14">
        <v>0</v>
      </c>
      <c r="AI54" s="14">
        <f t="shared" si="1"/>
        <v>0.29399999999999998</v>
      </c>
      <c r="AJ54" s="14">
        <f t="shared" si="2"/>
        <v>5.194</v>
      </c>
      <c r="AK54" t="s">
        <v>47</v>
      </c>
    </row>
    <row r="55" spans="1:37" ht="15" customHeight="1" x14ac:dyDescent="0.3">
      <c r="A55">
        <v>690929</v>
      </c>
      <c r="B55" t="s">
        <v>37</v>
      </c>
      <c r="C55" t="s">
        <v>38</v>
      </c>
      <c r="D55" s="9" t="s">
        <v>39</v>
      </c>
      <c r="E55" s="9" t="s">
        <v>37</v>
      </c>
      <c r="F55" s="10"/>
      <c r="G55" t="s">
        <v>237</v>
      </c>
      <c r="I55" t="s">
        <v>41</v>
      </c>
      <c r="J55" t="s">
        <v>238</v>
      </c>
      <c r="K55" t="s">
        <v>43</v>
      </c>
      <c r="L55">
        <v>2</v>
      </c>
      <c r="M55" t="s">
        <v>44</v>
      </c>
      <c r="N55" t="s">
        <v>45</v>
      </c>
      <c r="O55" t="s">
        <v>46</v>
      </c>
      <c r="P55" s="5">
        <v>1</v>
      </c>
      <c r="Q55" s="11">
        <v>44672.400208333333</v>
      </c>
      <c r="R55" s="12">
        <v>44675</v>
      </c>
      <c r="T55" t="s">
        <v>47</v>
      </c>
      <c r="U55" t="s">
        <v>48</v>
      </c>
      <c r="V55" t="s">
        <v>96</v>
      </c>
      <c r="Y55" t="s">
        <v>239</v>
      </c>
      <c r="Z55">
        <v>6000</v>
      </c>
      <c r="AA55" t="s">
        <v>47</v>
      </c>
      <c r="AB55" t="s">
        <v>177</v>
      </c>
      <c r="AC55" t="s">
        <v>52</v>
      </c>
      <c r="AD55" s="13">
        <f t="shared" si="3"/>
        <v>4.9000000000000004</v>
      </c>
      <c r="AE55" s="14">
        <v>0</v>
      </c>
      <c r="AF55" s="14">
        <v>0</v>
      </c>
      <c r="AG55" s="14">
        <v>0</v>
      </c>
      <c r="AH55" s="14">
        <v>0</v>
      </c>
      <c r="AI55" s="14">
        <f t="shared" si="1"/>
        <v>0.29399999999999998</v>
      </c>
      <c r="AJ55" s="14">
        <f t="shared" si="2"/>
        <v>5.194</v>
      </c>
      <c r="AK55" t="s">
        <v>47</v>
      </c>
    </row>
    <row r="56" spans="1:37" ht="15" customHeight="1" x14ac:dyDescent="0.3">
      <c r="A56">
        <v>690929</v>
      </c>
      <c r="B56" t="s">
        <v>37</v>
      </c>
      <c r="C56" t="s">
        <v>38</v>
      </c>
      <c r="D56" s="9" t="s">
        <v>39</v>
      </c>
      <c r="E56" s="9" t="s">
        <v>37</v>
      </c>
      <c r="F56" s="10"/>
      <c r="G56" t="s">
        <v>240</v>
      </c>
      <c r="I56" t="s">
        <v>41</v>
      </c>
      <c r="J56" t="s">
        <v>241</v>
      </c>
      <c r="K56" t="s">
        <v>43</v>
      </c>
      <c r="L56">
        <v>2</v>
      </c>
      <c r="M56" t="s">
        <v>44</v>
      </c>
      <c r="N56" t="s">
        <v>45</v>
      </c>
      <c r="O56" t="s">
        <v>46</v>
      </c>
      <c r="P56" s="5">
        <v>1</v>
      </c>
      <c r="Q56" s="11">
        <v>44672.766886574071</v>
      </c>
      <c r="R56" s="12">
        <v>44675</v>
      </c>
      <c r="T56" t="s">
        <v>47</v>
      </c>
      <c r="U56" t="s">
        <v>51</v>
      </c>
      <c r="V56" t="s">
        <v>156</v>
      </c>
      <c r="Y56" t="s">
        <v>242</v>
      </c>
      <c r="Z56">
        <v>36800</v>
      </c>
      <c r="AA56" t="s">
        <v>47</v>
      </c>
      <c r="AB56" t="s">
        <v>80</v>
      </c>
      <c r="AC56" t="s">
        <v>52</v>
      </c>
      <c r="AD56" s="13">
        <f t="shared" si="3"/>
        <v>4.9000000000000004</v>
      </c>
      <c r="AE56" s="14">
        <v>0</v>
      </c>
      <c r="AF56" s="14">
        <v>0</v>
      </c>
      <c r="AG56" s="14">
        <v>0</v>
      </c>
      <c r="AH56" s="14">
        <v>0</v>
      </c>
      <c r="AI56" s="14">
        <f t="shared" si="1"/>
        <v>0.29399999999999998</v>
      </c>
      <c r="AJ56" s="14">
        <f t="shared" si="2"/>
        <v>5.194</v>
      </c>
      <c r="AK56" t="s">
        <v>47</v>
      </c>
    </row>
    <row r="57" spans="1:37" ht="15" customHeight="1" x14ac:dyDescent="0.3">
      <c r="A57">
        <v>690929</v>
      </c>
      <c r="B57" t="s">
        <v>37</v>
      </c>
      <c r="C57" t="s">
        <v>38</v>
      </c>
      <c r="D57" s="9" t="s">
        <v>39</v>
      </c>
      <c r="E57" s="9" t="s">
        <v>37</v>
      </c>
      <c r="F57" s="10"/>
      <c r="G57" t="s">
        <v>243</v>
      </c>
      <c r="I57" t="s">
        <v>41</v>
      </c>
      <c r="J57" t="s">
        <v>244</v>
      </c>
      <c r="K57" t="s">
        <v>43</v>
      </c>
      <c r="L57">
        <v>2</v>
      </c>
      <c r="M57" t="s">
        <v>44</v>
      </c>
      <c r="N57" t="s">
        <v>45</v>
      </c>
      <c r="O57" t="s">
        <v>68</v>
      </c>
      <c r="P57" s="5">
        <v>4</v>
      </c>
      <c r="Q57" s="11">
        <v>44672.754479166666</v>
      </c>
      <c r="R57" s="12">
        <v>44675</v>
      </c>
      <c r="T57" t="s">
        <v>47</v>
      </c>
      <c r="U57" t="s">
        <v>51</v>
      </c>
      <c r="V57" t="s">
        <v>168</v>
      </c>
      <c r="Y57" t="s">
        <v>245</v>
      </c>
      <c r="Z57">
        <v>85400</v>
      </c>
      <c r="AA57" t="s">
        <v>47</v>
      </c>
      <c r="AB57" t="s">
        <v>246</v>
      </c>
      <c r="AC57" t="s">
        <v>52</v>
      </c>
      <c r="AD57" s="13">
        <f t="shared" si="3"/>
        <v>7.3000000000000007</v>
      </c>
      <c r="AE57" s="14">
        <v>0</v>
      </c>
      <c r="AF57" s="14">
        <v>0</v>
      </c>
      <c r="AG57" s="14">
        <v>0</v>
      </c>
      <c r="AH57" s="14">
        <v>0</v>
      </c>
      <c r="AI57" s="14">
        <f t="shared" si="1"/>
        <v>0.438</v>
      </c>
      <c r="AJ57" s="14">
        <f t="shared" si="2"/>
        <v>7.7380000000000004</v>
      </c>
      <c r="AK57" t="s">
        <v>47</v>
      </c>
    </row>
    <row r="58" spans="1:37" ht="15" customHeight="1" x14ac:dyDescent="0.3">
      <c r="A58">
        <v>690929</v>
      </c>
      <c r="B58" t="s">
        <v>37</v>
      </c>
      <c r="C58" t="s">
        <v>38</v>
      </c>
      <c r="D58" s="9" t="s">
        <v>39</v>
      </c>
      <c r="E58" s="9" t="s">
        <v>37</v>
      </c>
      <c r="F58" s="10"/>
      <c r="G58" t="s">
        <v>247</v>
      </c>
      <c r="I58" t="s">
        <v>41</v>
      </c>
      <c r="J58" t="s">
        <v>244</v>
      </c>
      <c r="K58" t="s">
        <v>43</v>
      </c>
      <c r="L58">
        <v>2</v>
      </c>
      <c r="M58" t="s">
        <v>44</v>
      </c>
      <c r="N58" t="s">
        <v>45</v>
      </c>
      <c r="O58" t="s">
        <v>68</v>
      </c>
      <c r="P58" s="5">
        <v>4</v>
      </c>
      <c r="Q58" s="11">
        <v>44672.759618055556</v>
      </c>
      <c r="R58" s="12">
        <v>44675</v>
      </c>
      <c r="T58" t="s">
        <v>47</v>
      </c>
      <c r="U58" t="s">
        <v>51</v>
      </c>
      <c r="V58" t="s">
        <v>168</v>
      </c>
      <c r="Y58" t="s">
        <v>245</v>
      </c>
      <c r="Z58">
        <v>85400</v>
      </c>
      <c r="AA58" t="s">
        <v>47</v>
      </c>
      <c r="AB58" t="s">
        <v>246</v>
      </c>
      <c r="AC58" t="s">
        <v>52</v>
      </c>
      <c r="AD58" s="13">
        <f t="shared" si="3"/>
        <v>7.3000000000000007</v>
      </c>
      <c r="AE58" s="14">
        <v>0</v>
      </c>
      <c r="AF58" s="14">
        <v>0</v>
      </c>
      <c r="AG58" s="14">
        <v>0</v>
      </c>
      <c r="AH58" s="14">
        <v>0</v>
      </c>
      <c r="AI58" s="14">
        <f t="shared" si="1"/>
        <v>0.438</v>
      </c>
      <c r="AJ58" s="14">
        <f t="shared" si="2"/>
        <v>7.7380000000000004</v>
      </c>
      <c r="AK58" t="s">
        <v>47</v>
      </c>
    </row>
    <row r="59" spans="1:37" ht="15" customHeight="1" x14ac:dyDescent="0.3">
      <c r="A59">
        <v>690929</v>
      </c>
      <c r="B59" t="s">
        <v>37</v>
      </c>
      <c r="C59" t="s">
        <v>38</v>
      </c>
      <c r="D59" s="9" t="s">
        <v>39</v>
      </c>
      <c r="E59" s="9" t="s">
        <v>37</v>
      </c>
      <c r="F59" s="10"/>
      <c r="G59" t="s">
        <v>248</v>
      </c>
      <c r="I59" t="s">
        <v>41</v>
      </c>
      <c r="J59" t="s">
        <v>244</v>
      </c>
      <c r="K59" t="s">
        <v>43</v>
      </c>
      <c r="L59">
        <v>2</v>
      </c>
      <c r="M59" t="s">
        <v>44</v>
      </c>
      <c r="N59" t="s">
        <v>45</v>
      </c>
      <c r="O59" t="s">
        <v>68</v>
      </c>
      <c r="P59" s="5">
        <v>4</v>
      </c>
      <c r="Q59" s="11">
        <v>44672.757962962962</v>
      </c>
      <c r="R59" s="12">
        <v>44675</v>
      </c>
      <c r="T59" t="s">
        <v>47</v>
      </c>
      <c r="U59" t="s">
        <v>51</v>
      </c>
      <c r="V59" t="s">
        <v>168</v>
      </c>
      <c r="Y59" t="s">
        <v>245</v>
      </c>
      <c r="Z59">
        <v>85400</v>
      </c>
      <c r="AA59" t="s">
        <v>47</v>
      </c>
      <c r="AB59" t="s">
        <v>246</v>
      </c>
      <c r="AC59" t="s">
        <v>52</v>
      </c>
      <c r="AD59" s="13">
        <f t="shared" si="3"/>
        <v>7.3000000000000007</v>
      </c>
      <c r="AE59" s="14">
        <v>0</v>
      </c>
      <c r="AF59" s="14">
        <v>0</v>
      </c>
      <c r="AG59" s="14">
        <v>0</v>
      </c>
      <c r="AH59" s="14">
        <v>0</v>
      </c>
      <c r="AI59" s="14">
        <f t="shared" si="1"/>
        <v>0.438</v>
      </c>
      <c r="AJ59" s="14">
        <f t="shared" si="2"/>
        <v>7.7380000000000004</v>
      </c>
      <c r="AK59" t="s">
        <v>47</v>
      </c>
    </row>
    <row r="60" spans="1:37" ht="15" customHeight="1" x14ac:dyDescent="0.3">
      <c r="A60">
        <v>690929</v>
      </c>
      <c r="B60" t="s">
        <v>37</v>
      </c>
      <c r="C60" t="s">
        <v>38</v>
      </c>
      <c r="D60" s="9" t="s">
        <v>39</v>
      </c>
      <c r="E60" s="9" t="s">
        <v>37</v>
      </c>
      <c r="F60" s="10"/>
      <c r="G60" t="s">
        <v>249</v>
      </c>
      <c r="I60" t="s">
        <v>41</v>
      </c>
      <c r="J60" t="s">
        <v>250</v>
      </c>
      <c r="K60" t="s">
        <v>43</v>
      </c>
      <c r="L60">
        <v>2</v>
      </c>
      <c r="M60" t="s">
        <v>44</v>
      </c>
      <c r="N60" t="s">
        <v>45</v>
      </c>
      <c r="O60" t="s">
        <v>46</v>
      </c>
      <c r="P60" s="5">
        <v>1</v>
      </c>
      <c r="Q60" s="11">
        <v>44674.401747685188</v>
      </c>
      <c r="R60" s="12">
        <v>44675</v>
      </c>
      <c r="T60" t="s">
        <v>47</v>
      </c>
      <c r="U60" t="s">
        <v>48</v>
      </c>
      <c r="V60" t="s">
        <v>59</v>
      </c>
      <c r="Y60" t="s">
        <v>251</v>
      </c>
      <c r="Z60">
        <v>28380</v>
      </c>
      <c r="AA60" t="s">
        <v>47</v>
      </c>
      <c r="AB60" t="s">
        <v>51</v>
      </c>
      <c r="AC60" t="s">
        <v>52</v>
      </c>
      <c r="AD60" s="13">
        <f t="shared" si="3"/>
        <v>4.9000000000000004</v>
      </c>
      <c r="AE60" s="14">
        <v>0</v>
      </c>
      <c r="AF60" s="14">
        <v>0</v>
      </c>
      <c r="AG60" s="14">
        <v>0</v>
      </c>
      <c r="AH60" s="14">
        <v>0</v>
      </c>
      <c r="AI60" s="14">
        <f t="shared" si="1"/>
        <v>0.29399999999999998</v>
      </c>
      <c r="AJ60" s="14">
        <f t="shared" si="2"/>
        <v>5.194</v>
      </c>
      <c r="AK60" t="s">
        <v>47</v>
      </c>
    </row>
    <row r="61" spans="1:37" ht="15" customHeight="1" x14ac:dyDescent="0.3">
      <c r="A61">
        <v>690929</v>
      </c>
      <c r="B61" t="s">
        <v>37</v>
      </c>
      <c r="C61" t="s">
        <v>38</v>
      </c>
      <c r="D61" s="9" t="s">
        <v>39</v>
      </c>
      <c r="E61" s="9" t="s">
        <v>37</v>
      </c>
      <c r="F61" s="10"/>
      <c r="G61" t="s">
        <v>252</v>
      </c>
      <c r="I61" t="s">
        <v>41</v>
      </c>
      <c r="J61" t="s">
        <v>253</v>
      </c>
      <c r="K61" t="s">
        <v>43</v>
      </c>
      <c r="L61">
        <v>2</v>
      </c>
      <c r="M61" t="s">
        <v>44</v>
      </c>
      <c r="N61" t="s">
        <v>45</v>
      </c>
      <c r="O61" t="s">
        <v>46</v>
      </c>
      <c r="P61" s="5">
        <v>3</v>
      </c>
      <c r="Q61" s="11">
        <v>44672.408437500002</v>
      </c>
      <c r="R61" s="12">
        <v>44675</v>
      </c>
      <c r="T61" t="s">
        <v>47</v>
      </c>
      <c r="U61" t="s">
        <v>48</v>
      </c>
      <c r="V61" t="s">
        <v>49</v>
      </c>
      <c r="Y61" t="s">
        <v>254</v>
      </c>
      <c r="Z61">
        <v>23300</v>
      </c>
      <c r="AA61" t="s">
        <v>47</v>
      </c>
      <c r="AB61" t="s">
        <v>56</v>
      </c>
      <c r="AC61" t="s">
        <v>52</v>
      </c>
      <c r="AD61" s="13">
        <f t="shared" si="3"/>
        <v>6.5</v>
      </c>
      <c r="AE61" s="14">
        <v>0</v>
      </c>
      <c r="AF61" s="14">
        <v>0</v>
      </c>
      <c r="AG61" s="14">
        <v>0</v>
      </c>
      <c r="AH61" s="14">
        <v>0</v>
      </c>
      <c r="AI61" s="14">
        <f t="shared" si="1"/>
        <v>0.39</v>
      </c>
      <c r="AJ61" s="14">
        <f t="shared" si="2"/>
        <v>6.89</v>
      </c>
      <c r="AK61" t="s">
        <v>47</v>
      </c>
    </row>
    <row r="62" spans="1:37" ht="15" customHeight="1" x14ac:dyDescent="0.3">
      <c r="A62">
        <v>690929</v>
      </c>
      <c r="B62" t="s">
        <v>37</v>
      </c>
      <c r="C62" t="s">
        <v>38</v>
      </c>
      <c r="D62" s="9" t="s">
        <v>39</v>
      </c>
      <c r="E62" s="9" t="s">
        <v>37</v>
      </c>
      <c r="F62" s="10"/>
      <c r="G62" t="s">
        <v>255</v>
      </c>
      <c r="I62" t="s">
        <v>41</v>
      </c>
      <c r="J62" t="s">
        <v>256</v>
      </c>
      <c r="K62" t="s">
        <v>43</v>
      </c>
      <c r="L62">
        <v>2</v>
      </c>
      <c r="M62" t="s">
        <v>44</v>
      </c>
      <c r="N62" t="s">
        <v>45</v>
      </c>
      <c r="O62" t="s">
        <v>46</v>
      </c>
      <c r="P62" s="5">
        <v>1</v>
      </c>
      <c r="Q62" s="11">
        <v>44672.75104166667</v>
      </c>
      <c r="R62" s="12">
        <v>44675</v>
      </c>
      <c r="T62" t="s">
        <v>47</v>
      </c>
      <c r="U62" t="s">
        <v>51</v>
      </c>
      <c r="V62" t="s">
        <v>69</v>
      </c>
      <c r="Y62" t="s">
        <v>257</v>
      </c>
      <c r="Z62">
        <v>11960</v>
      </c>
      <c r="AA62" t="s">
        <v>47</v>
      </c>
      <c r="AB62" t="s">
        <v>124</v>
      </c>
      <c r="AC62" t="s">
        <v>52</v>
      </c>
      <c r="AD62" s="13">
        <f t="shared" si="3"/>
        <v>4.9000000000000004</v>
      </c>
      <c r="AE62" s="14">
        <v>0</v>
      </c>
      <c r="AF62" s="14">
        <v>0</v>
      </c>
      <c r="AG62" s="14">
        <v>0</v>
      </c>
      <c r="AH62" s="14">
        <v>0</v>
      </c>
      <c r="AI62" s="14">
        <f t="shared" si="1"/>
        <v>0.29399999999999998</v>
      </c>
      <c r="AJ62" s="14">
        <f t="shared" si="2"/>
        <v>5.194</v>
      </c>
      <c r="AK62" t="s">
        <v>47</v>
      </c>
    </row>
    <row r="63" spans="1:37" ht="15" customHeight="1" x14ac:dyDescent="0.3">
      <c r="A63">
        <v>690929</v>
      </c>
      <c r="B63" t="s">
        <v>37</v>
      </c>
      <c r="C63" t="s">
        <v>38</v>
      </c>
      <c r="D63" s="9" t="s">
        <v>39</v>
      </c>
      <c r="E63" s="9" t="s">
        <v>37</v>
      </c>
      <c r="F63" s="10"/>
      <c r="G63" t="s">
        <v>258</v>
      </c>
      <c r="I63" t="s">
        <v>41</v>
      </c>
      <c r="J63" t="s">
        <v>259</v>
      </c>
      <c r="K63" t="s">
        <v>43</v>
      </c>
      <c r="L63">
        <v>2</v>
      </c>
      <c r="M63" t="s">
        <v>44</v>
      </c>
      <c r="N63" t="s">
        <v>45</v>
      </c>
      <c r="O63" t="s">
        <v>46</v>
      </c>
      <c r="P63" s="5">
        <v>1</v>
      </c>
      <c r="Q63" s="11">
        <v>44674.405057870368</v>
      </c>
      <c r="R63" s="12">
        <v>44676</v>
      </c>
      <c r="T63" t="s">
        <v>47</v>
      </c>
      <c r="U63" t="s">
        <v>48</v>
      </c>
      <c r="V63" t="s">
        <v>100</v>
      </c>
      <c r="Y63" t="s">
        <v>260</v>
      </c>
      <c r="Z63">
        <v>62150</v>
      </c>
      <c r="AA63" t="s">
        <v>47</v>
      </c>
      <c r="AB63" t="s">
        <v>51</v>
      </c>
      <c r="AC63" t="s">
        <v>52</v>
      </c>
      <c r="AD63" s="13">
        <f t="shared" si="3"/>
        <v>4.9000000000000004</v>
      </c>
      <c r="AE63" s="14">
        <v>0</v>
      </c>
      <c r="AF63" s="14">
        <v>0</v>
      </c>
      <c r="AG63" s="14">
        <v>0</v>
      </c>
      <c r="AH63" s="14">
        <v>0</v>
      </c>
      <c r="AI63" s="14">
        <f t="shared" si="1"/>
        <v>0.29399999999999998</v>
      </c>
      <c r="AJ63" s="14">
        <f t="shared" si="2"/>
        <v>5.194</v>
      </c>
      <c r="AK63" t="s">
        <v>47</v>
      </c>
    </row>
    <row r="64" spans="1:37" ht="15" customHeight="1" x14ac:dyDescent="0.3">
      <c r="A64">
        <v>690929</v>
      </c>
      <c r="B64" t="s">
        <v>37</v>
      </c>
      <c r="C64" t="s">
        <v>38</v>
      </c>
      <c r="D64" s="9" t="s">
        <v>39</v>
      </c>
      <c r="E64" s="9" t="s">
        <v>37</v>
      </c>
      <c r="F64" s="10"/>
      <c r="G64" t="s">
        <v>261</v>
      </c>
      <c r="I64" t="s">
        <v>41</v>
      </c>
      <c r="J64" t="s">
        <v>262</v>
      </c>
      <c r="K64" t="s">
        <v>43</v>
      </c>
      <c r="L64">
        <v>2</v>
      </c>
      <c r="M64" t="s">
        <v>44</v>
      </c>
      <c r="N64" t="s">
        <v>45</v>
      </c>
      <c r="O64" t="s">
        <v>46</v>
      </c>
      <c r="P64" s="5">
        <v>1</v>
      </c>
      <c r="Q64" s="11">
        <v>44673.489004629628</v>
      </c>
      <c r="R64" s="12">
        <v>44676</v>
      </c>
      <c r="T64" t="s">
        <v>47</v>
      </c>
      <c r="U64" t="s">
        <v>51</v>
      </c>
      <c r="V64" t="s">
        <v>100</v>
      </c>
      <c r="Y64" t="s">
        <v>263</v>
      </c>
      <c r="Z64">
        <v>41000</v>
      </c>
      <c r="AA64" t="s">
        <v>47</v>
      </c>
      <c r="AB64" t="s">
        <v>80</v>
      </c>
      <c r="AC64" t="s">
        <v>52</v>
      </c>
      <c r="AD64" s="13">
        <f t="shared" si="3"/>
        <v>4.9000000000000004</v>
      </c>
      <c r="AE64" s="14">
        <v>0</v>
      </c>
      <c r="AF64" s="14">
        <v>0</v>
      </c>
      <c r="AG64" s="14">
        <v>0</v>
      </c>
      <c r="AH64" s="14">
        <v>0</v>
      </c>
      <c r="AI64" s="14">
        <f t="shared" si="1"/>
        <v>0.29399999999999998</v>
      </c>
      <c r="AJ64" s="14">
        <f t="shared" si="2"/>
        <v>5.194</v>
      </c>
      <c r="AK64" t="s">
        <v>47</v>
      </c>
    </row>
    <row r="65" spans="1:37" ht="15" customHeight="1" x14ac:dyDescent="0.3">
      <c r="A65">
        <v>690929</v>
      </c>
      <c r="B65" t="s">
        <v>37</v>
      </c>
      <c r="C65" t="s">
        <v>38</v>
      </c>
      <c r="D65" s="9" t="s">
        <v>39</v>
      </c>
      <c r="E65" s="9" t="s">
        <v>37</v>
      </c>
      <c r="F65" s="10"/>
      <c r="G65" t="s">
        <v>264</v>
      </c>
      <c r="I65" t="s">
        <v>41</v>
      </c>
      <c r="J65" t="s">
        <v>265</v>
      </c>
      <c r="K65" t="s">
        <v>43</v>
      </c>
      <c r="L65">
        <v>2</v>
      </c>
      <c r="M65" t="s">
        <v>44</v>
      </c>
      <c r="N65" t="s">
        <v>45</v>
      </c>
      <c r="O65" t="s">
        <v>46</v>
      </c>
      <c r="P65" s="5">
        <v>1</v>
      </c>
      <c r="Q65" s="11">
        <v>44672.773877314816</v>
      </c>
      <c r="R65" s="12">
        <v>44676</v>
      </c>
      <c r="T65" t="s">
        <v>47</v>
      </c>
      <c r="U65" t="s">
        <v>51</v>
      </c>
      <c r="V65" t="s">
        <v>168</v>
      </c>
      <c r="Y65" t="s">
        <v>266</v>
      </c>
      <c r="Z65">
        <v>83000</v>
      </c>
      <c r="AA65" t="s">
        <v>47</v>
      </c>
      <c r="AB65" t="s">
        <v>267</v>
      </c>
      <c r="AC65" t="s">
        <v>52</v>
      </c>
      <c r="AD65" s="13">
        <f t="shared" si="3"/>
        <v>4.9000000000000004</v>
      </c>
      <c r="AE65" s="14">
        <v>0</v>
      </c>
      <c r="AF65" s="14">
        <v>0</v>
      </c>
      <c r="AG65" s="14">
        <v>0</v>
      </c>
      <c r="AH65" s="14">
        <v>0</v>
      </c>
      <c r="AI65" s="14">
        <f t="shared" si="1"/>
        <v>0.29399999999999998</v>
      </c>
      <c r="AJ65" s="14">
        <f t="shared" si="2"/>
        <v>5.194</v>
      </c>
      <c r="AK65" t="s">
        <v>47</v>
      </c>
    </row>
    <row r="66" spans="1:37" ht="15" customHeight="1" x14ac:dyDescent="0.3">
      <c r="A66">
        <v>690929</v>
      </c>
      <c r="B66" t="s">
        <v>37</v>
      </c>
      <c r="C66" t="s">
        <v>38</v>
      </c>
      <c r="D66" s="9" t="s">
        <v>39</v>
      </c>
      <c r="E66" s="9" t="s">
        <v>37</v>
      </c>
      <c r="F66" s="10"/>
      <c r="G66" t="s">
        <v>268</v>
      </c>
      <c r="I66" t="s">
        <v>41</v>
      </c>
      <c r="J66" t="s">
        <v>269</v>
      </c>
      <c r="K66" t="s">
        <v>43</v>
      </c>
      <c r="L66">
        <v>2</v>
      </c>
      <c r="M66" t="s">
        <v>44</v>
      </c>
      <c r="N66" t="s">
        <v>45</v>
      </c>
      <c r="O66" t="s">
        <v>46</v>
      </c>
      <c r="P66" s="5">
        <v>1</v>
      </c>
      <c r="Q66" s="11">
        <v>44673.682800925926</v>
      </c>
      <c r="R66" s="12">
        <v>44676</v>
      </c>
      <c r="T66" t="s">
        <v>47</v>
      </c>
      <c r="U66" t="s">
        <v>48</v>
      </c>
      <c r="V66" t="s">
        <v>69</v>
      </c>
      <c r="Y66" t="s">
        <v>270</v>
      </c>
      <c r="Z66">
        <v>13200</v>
      </c>
      <c r="AA66" t="s">
        <v>47</v>
      </c>
      <c r="AB66" t="s">
        <v>80</v>
      </c>
      <c r="AC66" t="s">
        <v>52</v>
      </c>
      <c r="AD66" s="13">
        <f t="shared" ref="AD66:AD97" si="4">IF(P66&lt;=1,4.9,4.9+0.8*ROUNDUP(P66-1,0))</f>
        <v>4.9000000000000004</v>
      </c>
      <c r="AE66" s="14">
        <v>0</v>
      </c>
      <c r="AF66" s="14">
        <v>0</v>
      </c>
      <c r="AG66" s="14">
        <v>0</v>
      </c>
      <c r="AH66" s="14">
        <v>0</v>
      </c>
      <c r="AI66" s="14">
        <f t="shared" ref="AI66:AI129" si="5">(AD66+AF66+AH66)*6%</f>
        <v>0.29399999999999998</v>
      </c>
      <c r="AJ66" s="14">
        <f t="shared" ref="AJ66:AJ129" si="6">AD66+AF66+AH66+AI66</f>
        <v>5.194</v>
      </c>
      <c r="AK66" t="s">
        <v>47</v>
      </c>
    </row>
    <row r="67" spans="1:37" ht="15" customHeight="1" x14ac:dyDescent="0.3">
      <c r="A67">
        <v>690929</v>
      </c>
      <c r="B67" t="s">
        <v>37</v>
      </c>
      <c r="C67" t="s">
        <v>38</v>
      </c>
      <c r="D67" s="9" t="s">
        <v>39</v>
      </c>
      <c r="E67" s="9" t="s">
        <v>37</v>
      </c>
      <c r="F67" s="10"/>
      <c r="G67" t="s">
        <v>271</v>
      </c>
      <c r="I67" t="s">
        <v>41</v>
      </c>
      <c r="J67" t="s">
        <v>272</v>
      </c>
      <c r="K67" t="s">
        <v>43</v>
      </c>
      <c r="L67">
        <v>2</v>
      </c>
      <c r="M67" t="s">
        <v>44</v>
      </c>
      <c r="N67" t="s">
        <v>45</v>
      </c>
      <c r="O67" t="s">
        <v>46</v>
      </c>
      <c r="P67" s="5">
        <v>1</v>
      </c>
      <c r="Q67" s="11">
        <v>44674.383680555555</v>
      </c>
      <c r="R67" s="12">
        <v>44676</v>
      </c>
      <c r="T67" t="s">
        <v>47</v>
      </c>
      <c r="U67" t="s">
        <v>48</v>
      </c>
      <c r="V67" t="s">
        <v>100</v>
      </c>
      <c r="Y67" t="s">
        <v>273</v>
      </c>
      <c r="Z67">
        <v>47100</v>
      </c>
      <c r="AA67" t="s">
        <v>47</v>
      </c>
      <c r="AB67" t="s">
        <v>51</v>
      </c>
      <c r="AC67" t="s">
        <v>52</v>
      </c>
      <c r="AD67" s="13">
        <f t="shared" si="4"/>
        <v>4.9000000000000004</v>
      </c>
      <c r="AE67" s="14">
        <v>0</v>
      </c>
      <c r="AF67" s="14">
        <v>0</v>
      </c>
      <c r="AG67" s="14">
        <v>0</v>
      </c>
      <c r="AH67" s="14">
        <v>0</v>
      </c>
      <c r="AI67" s="14">
        <f t="shared" si="5"/>
        <v>0.29399999999999998</v>
      </c>
      <c r="AJ67" s="14">
        <f t="shared" si="6"/>
        <v>5.194</v>
      </c>
      <c r="AK67" t="s">
        <v>47</v>
      </c>
    </row>
    <row r="68" spans="1:37" ht="15" customHeight="1" x14ac:dyDescent="0.3">
      <c r="A68">
        <v>690929</v>
      </c>
      <c r="B68" t="s">
        <v>37</v>
      </c>
      <c r="C68" t="s">
        <v>38</v>
      </c>
      <c r="D68" s="9" t="s">
        <v>39</v>
      </c>
      <c r="E68" s="9" t="s">
        <v>37</v>
      </c>
      <c r="F68" s="10"/>
      <c r="G68" t="s">
        <v>274</v>
      </c>
      <c r="I68" t="s">
        <v>41</v>
      </c>
      <c r="J68" t="s">
        <v>275</v>
      </c>
      <c r="K68" t="s">
        <v>43</v>
      </c>
      <c r="L68">
        <v>2</v>
      </c>
      <c r="M68" t="s">
        <v>44</v>
      </c>
      <c r="N68" t="s">
        <v>45</v>
      </c>
      <c r="O68" t="s">
        <v>46</v>
      </c>
      <c r="P68" s="5">
        <v>2</v>
      </c>
      <c r="Q68" s="11">
        <v>44672.416504629633</v>
      </c>
      <c r="R68" s="12">
        <v>44676</v>
      </c>
      <c r="T68" t="s">
        <v>47</v>
      </c>
      <c r="U68" t="s">
        <v>48</v>
      </c>
      <c r="V68" t="s">
        <v>91</v>
      </c>
      <c r="Y68" t="s">
        <v>276</v>
      </c>
      <c r="Z68">
        <v>47820</v>
      </c>
      <c r="AA68" t="s">
        <v>47</v>
      </c>
      <c r="AB68" t="s">
        <v>80</v>
      </c>
      <c r="AC68" t="s">
        <v>52</v>
      </c>
      <c r="AD68" s="13">
        <f t="shared" si="4"/>
        <v>5.7</v>
      </c>
      <c r="AE68" s="14">
        <v>0</v>
      </c>
      <c r="AF68" s="14">
        <v>0</v>
      </c>
      <c r="AG68" s="14">
        <v>0</v>
      </c>
      <c r="AH68" s="14">
        <v>0</v>
      </c>
      <c r="AI68" s="14">
        <f t="shared" si="5"/>
        <v>0.34199999999999997</v>
      </c>
      <c r="AJ68" s="14">
        <f t="shared" si="6"/>
        <v>6.0419999999999998</v>
      </c>
      <c r="AK68" t="s">
        <v>47</v>
      </c>
    </row>
    <row r="69" spans="1:37" ht="15" customHeight="1" x14ac:dyDescent="0.3">
      <c r="A69">
        <v>690929</v>
      </c>
      <c r="B69" t="s">
        <v>37</v>
      </c>
      <c r="C69" t="s">
        <v>38</v>
      </c>
      <c r="D69" s="9" t="s">
        <v>39</v>
      </c>
      <c r="E69" s="9" t="s">
        <v>37</v>
      </c>
      <c r="F69" s="10"/>
      <c r="G69" t="s">
        <v>277</v>
      </c>
      <c r="I69" t="s">
        <v>41</v>
      </c>
      <c r="J69" t="s">
        <v>278</v>
      </c>
      <c r="K69" t="s">
        <v>43</v>
      </c>
      <c r="L69">
        <v>2</v>
      </c>
      <c r="M69" t="s">
        <v>44</v>
      </c>
      <c r="N69" t="s">
        <v>45</v>
      </c>
      <c r="O69" t="s">
        <v>46</v>
      </c>
      <c r="P69" s="5">
        <v>1</v>
      </c>
      <c r="Q69" s="11">
        <v>44674.418240740742</v>
      </c>
      <c r="R69" s="12">
        <v>44676</v>
      </c>
      <c r="T69" t="s">
        <v>47</v>
      </c>
      <c r="U69" t="s">
        <v>48</v>
      </c>
      <c r="V69" t="s">
        <v>91</v>
      </c>
      <c r="Y69" t="s">
        <v>279</v>
      </c>
      <c r="Z69">
        <v>57000</v>
      </c>
      <c r="AA69" t="s">
        <v>47</v>
      </c>
      <c r="AB69" t="s">
        <v>51</v>
      </c>
      <c r="AC69" t="s">
        <v>52</v>
      </c>
      <c r="AD69" s="13">
        <f t="shared" si="4"/>
        <v>4.9000000000000004</v>
      </c>
      <c r="AE69" s="14">
        <v>0</v>
      </c>
      <c r="AF69" s="14">
        <v>0</v>
      </c>
      <c r="AG69" s="14">
        <v>0</v>
      </c>
      <c r="AH69" s="14">
        <v>0</v>
      </c>
      <c r="AI69" s="14">
        <f t="shared" si="5"/>
        <v>0.29399999999999998</v>
      </c>
      <c r="AJ69" s="14">
        <f t="shared" si="6"/>
        <v>5.194</v>
      </c>
      <c r="AK69" t="s">
        <v>47</v>
      </c>
    </row>
    <row r="70" spans="1:37" ht="15" customHeight="1" x14ac:dyDescent="0.3">
      <c r="A70">
        <v>690929</v>
      </c>
      <c r="B70" t="s">
        <v>37</v>
      </c>
      <c r="C70" t="s">
        <v>38</v>
      </c>
      <c r="D70" s="9" t="s">
        <v>39</v>
      </c>
      <c r="E70" s="9" t="s">
        <v>37</v>
      </c>
      <c r="F70" s="10"/>
      <c r="G70" t="s">
        <v>280</v>
      </c>
      <c r="I70" t="s">
        <v>41</v>
      </c>
      <c r="J70" t="s">
        <v>281</v>
      </c>
      <c r="K70" t="s">
        <v>43</v>
      </c>
      <c r="L70">
        <v>2</v>
      </c>
      <c r="M70" t="s">
        <v>44</v>
      </c>
      <c r="N70" t="s">
        <v>45</v>
      </c>
      <c r="O70" t="s">
        <v>46</v>
      </c>
      <c r="P70" s="5">
        <v>1</v>
      </c>
      <c r="Q70" s="11">
        <v>44672.770648148151</v>
      </c>
      <c r="R70" s="12">
        <v>44676</v>
      </c>
      <c r="T70" t="s">
        <v>47</v>
      </c>
      <c r="U70" t="s">
        <v>51</v>
      </c>
      <c r="V70" t="s">
        <v>100</v>
      </c>
      <c r="Y70" t="s">
        <v>282</v>
      </c>
      <c r="Z70">
        <v>47810</v>
      </c>
      <c r="AA70" t="s">
        <v>47</v>
      </c>
      <c r="AB70" t="s">
        <v>80</v>
      </c>
      <c r="AC70" t="s">
        <v>52</v>
      </c>
      <c r="AD70" s="13">
        <f t="shared" si="4"/>
        <v>4.9000000000000004</v>
      </c>
      <c r="AE70" s="14">
        <v>0</v>
      </c>
      <c r="AF70" s="14">
        <v>0</v>
      </c>
      <c r="AG70" s="14">
        <v>0</v>
      </c>
      <c r="AH70" s="14">
        <v>0</v>
      </c>
      <c r="AI70" s="14">
        <f t="shared" si="5"/>
        <v>0.29399999999999998</v>
      </c>
      <c r="AJ70" s="14">
        <f t="shared" si="6"/>
        <v>5.194</v>
      </c>
      <c r="AK70" t="s">
        <v>47</v>
      </c>
    </row>
    <row r="71" spans="1:37" ht="15" customHeight="1" x14ac:dyDescent="0.3">
      <c r="A71">
        <v>690929</v>
      </c>
      <c r="B71" t="s">
        <v>37</v>
      </c>
      <c r="C71" t="s">
        <v>38</v>
      </c>
      <c r="D71" s="9" t="s">
        <v>39</v>
      </c>
      <c r="E71" s="9" t="s">
        <v>37</v>
      </c>
      <c r="F71" s="10"/>
      <c r="G71" t="s">
        <v>283</v>
      </c>
      <c r="I71" t="s">
        <v>41</v>
      </c>
      <c r="J71" t="s">
        <v>284</v>
      </c>
      <c r="K71" t="s">
        <v>43</v>
      </c>
      <c r="L71">
        <v>2</v>
      </c>
      <c r="M71" t="s">
        <v>44</v>
      </c>
      <c r="N71" t="s">
        <v>45</v>
      </c>
      <c r="O71" t="s">
        <v>68</v>
      </c>
      <c r="P71" s="5">
        <v>3</v>
      </c>
      <c r="Q71" s="11">
        <v>44673.761203703703</v>
      </c>
      <c r="R71" s="12">
        <v>44676</v>
      </c>
      <c r="T71" t="s">
        <v>47</v>
      </c>
      <c r="U71" t="s">
        <v>48</v>
      </c>
      <c r="V71" t="s">
        <v>156</v>
      </c>
      <c r="Y71" t="s">
        <v>285</v>
      </c>
      <c r="Z71">
        <v>33300</v>
      </c>
      <c r="AA71" t="s">
        <v>47</v>
      </c>
      <c r="AB71" t="s">
        <v>286</v>
      </c>
      <c r="AC71" t="s">
        <v>52</v>
      </c>
      <c r="AD71" s="13">
        <f t="shared" si="4"/>
        <v>6.5</v>
      </c>
      <c r="AE71" s="14">
        <v>0</v>
      </c>
      <c r="AF71" s="14">
        <v>0</v>
      </c>
      <c r="AG71" s="14">
        <v>0</v>
      </c>
      <c r="AH71" s="14">
        <v>0</v>
      </c>
      <c r="AI71" s="14">
        <f t="shared" si="5"/>
        <v>0.39</v>
      </c>
      <c r="AJ71" s="14">
        <f t="shared" si="6"/>
        <v>6.89</v>
      </c>
      <c r="AK71" t="s">
        <v>47</v>
      </c>
    </row>
    <row r="72" spans="1:37" ht="15" customHeight="1" x14ac:dyDescent="0.3">
      <c r="A72">
        <v>690929</v>
      </c>
      <c r="B72" t="s">
        <v>37</v>
      </c>
      <c r="C72" t="s">
        <v>38</v>
      </c>
      <c r="D72" s="9" t="s">
        <v>39</v>
      </c>
      <c r="E72" s="9" t="s">
        <v>37</v>
      </c>
      <c r="F72" s="10"/>
      <c r="G72" t="s">
        <v>287</v>
      </c>
      <c r="I72" t="s">
        <v>41</v>
      </c>
      <c r="J72" t="s">
        <v>288</v>
      </c>
      <c r="K72" t="s">
        <v>43</v>
      </c>
      <c r="L72">
        <v>2</v>
      </c>
      <c r="M72" t="s">
        <v>44</v>
      </c>
      <c r="N72" t="s">
        <v>45</v>
      </c>
      <c r="O72" t="s">
        <v>46</v>
      </c>
      <c r="P72" s="5">
        <v>1</v>
      </c>
      <c r="Q72" s="11">
        <v>44674.40797453704</v>
      </c>
      <c r="R72" s="12">
        <v>44676</v>
      </c>
      <c r="T72" t="s">
        <v>47</v>
      </c>
      <c r="U72" t="s">
        <v>48</v>
      </c>
      <c r="V72" t="s">
        <v>96</v>
      </c>
      <c r="Y72" t="s">
        <v>289</v>
      </c>
      <c r="Z72">
        <v>9000</v>
      </c>
      <c r="AA72" t="s">
        <v>47</v>
      </c>
      <c r="AB72" t="s">
        <v>124</v>
      </c>
      <c r="AC72" t="s">
        <v>52</v>
      </c>
      <c r="AD72" s="13">
        <f t="shared" si="4"/>
        <v>4.9000000000000004</v>
      </c>
      <c r="AE72" s="14">
        <v>0</v>
      </c>
      <c r="AF72" s="14">
        <v>0</v>
      </c>
      <c r="AG72" s="14">
        <v>0</v>
      </c>
      <c r="AH72" s="14">
        <v>0</v>
      </c>
      <c r="AI72" s="14">
        <f t="shared" si="5"/>
        <v>0.29399999999999998</v>
      </c>
      <c r="AJ72" s="14">
        <f t="shared" si="6"/>
        <v>5.194</v>
      </c>
      <c r="AK72" t="s">
        <v>47</v>
      </c>
    </row>
    <row r="73" spans="1:37" ht="15" customHeight="1" x14ac:dyDescent="0.3">
      <c r="A73">
        <v>690929</v>
      </c>
      <c r="B73" t="s">
        <v>37</v>
      </c>
      <c r="C73" t="s">
        <v>38</v>
      </c>
      <c r="D73" s="9" t="s">
        <v>39</v>
      </c>
      <c r="E73" s="9" t="s">
        <v>37</v>
      </c>
      <c r="F73" s="10"/>
      <c r="G73" t="s">
        <v>290</v>
      </c>
      <c r="I73" t="s">
        <v>41</v>
      </c>
      <c r="J73" t="s">
        <v>291</v>
      </c>
      <c r="K73" t="s">
        <v>43</v>
      </c>
      <c r="L73">
        <v>2</v>
      </c>
      <c r="M73" t="s">
        <v>44</v>
      </c>
      <c r="N73" t="s">
        <v>45</v>
      </c>
      <c r="O73" t="s">
        <v>46</v>
      </c>
      <c r="P73" s="5">
        <v>1</v>
      </c>
      <c r="Q73" s="11">
        <v>44673.498194444444</v>
      </c>
      <c r="R73" s="12">
        <v>44676</v>
      </c>
      <c r="T73" t="s">
        <v>47</v>
      </c>
      <c r="U73" t="s">
        <v>51</v>
      </c>
      <c r="V73" t="s">
        <v>100</v>
      </c>
      <c r="Y73" t="s">
        <v>292</v>
      </c>
      <c r="Z73">
        <v>47410</v>
      </c>
      <c r="AA73" t="s">
        <v>47</v>
      </c>
      <c r="AB73" t="s">
        <v>80</v>
      </c>
      <c r="AC73" t="s">
        <v>52</v>
      </c>
      <c r="AD73" s="13">
        <f t="shared" si="4"/>
        <v>4.9000000000000004</v>
      </c>
      <c r="AE73" s="14">
        <v>0</v>
      </c>
      <c r="AF73" s="14">
        <v>0</v>
      </c>
      <c r="AG73" s="14">
        <v>0</v>
      </c>
      <c r="AH73" s="14">
        <v>0</v>
      </c>
      <c r="AI73" s="14">
        <f t="shared" si="5"/>
        <v>0.29399999999999998</v>
      </c>
      <c r="AJ73" s="14">
        <f t="shared" si="6"/>
        <v>5.194</v>
      </c>
      <c r="AK73" t="s">
        <v>47</v>
      </c>
    </row>
    <row r="74" spans="1:37" ht="15" customHeight="1" x14ac:dyDescent="0.3">
      <c r="A74">
        <v>690929</v>
      </c>
      <c r="B74" t="s">
        <v>37</v>
      </c>
      <c r="C74" t="s">
        <v>38</v>
      </c>
      <c r="D74" s="9" t="s">
        <v>39</v>
      </c>
      <c r="E74" s="9" t="s">
        <v>37</v>
      </c>
      <c r="F74" s="10"/>
      <c r="G74" t="s">
        <v>293</v>
      </c>
      <c r="I74" t="s">
        <v>41</v>
      </c>
      <c r="J74" t="s">
        <v>294</v>
      </c>
      <c r="K74" t="s">
        <v>43</v>
      </c>
      <c r="L74">
        <v>2</v>
      </c>
      <c r="M74" t="s">
        <v>44</v>
      </c>
      <c r="N74" t="s">
        <v>45</v>
      </c>
      <c r="O74" t="s">
        <v>46</v>
      </c>
      <c r="P74" s="5">
        <v>6</v>
      </c>
      <c r="Q74" s="11">
        <v>44675.394074074073</v>
      </c>
      <c r="R74" s="12">
        <v>44676</v>
      </c>
      <c r="T74" t="s">
        <v>47</v>
      </c>
      <c r="U74" t="s">
        <v>48</v>
      </c>
      <c r="V74" t="s">
        <v>74</v>
      </c>
      <c r="Y74" t="s">
        <v>295</v>
      </c>
      <c r="Z74">
        <v>17500</v>
      </c>
      <c r="AA74" t="s">
        <v>47</v>
      </c>
      <c r="AB74" t="s">
        <v>88</v>
      </c>
      <c r="AC74" t="s">
        <v>52</v>
      </c>
      <c r="AD74" s="13">
        <f t="shared" si="4"/>
        <v>8.9</v>
      </c>
      <c r="AE74" s="14">
        <v>0</v>
      </c>
      <c r="AF74" s="14">
        <v>0</v>
      </c>
      <c r="AG74" s="14">
        <v>0</v>
      </c>
      <c r="AH74" s="14">
        <v>0</v>
      </c>
      <c r="AI74" s="14">
        <f t="shared" si="5"/>
        <v>0.53400000000000003</v>
      </c>
      <c r="AJ74" s="14">
        <f t="shared" si="6"/>
        <v>9.4340000000000011</v>
      </c>
      <c r="AK74" t="s">
        <v>47</v>
      </c>
    </row>
    <row r="75" spans="1:37" ht="15" customHeight="1" x14ac:dyDescent="0.3">
      <c r="A75">
        <v>690929</v>
      </c>
      <c r="B75" t="s">
        <v>37</v>
      </c>
      <c r="C75" t="s">
        <v>38</v>
      </c>
      <c r="D75" s="9" t="s">
        <v>39</v>
      </c>
      <c r="E75" s="9" t="s">
        <v>37</v>
      </c>
      <c r="F75" s="10"/>
      <c r="G75" t="s">
        <v>296</v>
      </c>
      <c r="I75" t="s">
        <v>41</v>
      </c>
      <c r="J75" t="s">
        <v>297</v>
      </c>
      <c r="K75" t="s">
        <v>43</v>
      </c>
      <c r="L75">
        <v>2</v>
      </c>
      <c r="M75" t="s">
        <v>44</v>
      </c>
      <c r="N75" t="s">
        <v>45</v>
      </c>
      <c r="O75" t="s">
        <v>46</v>
      </c>
      <c r="P75" s="5">
        <v>1</v>
      </c>
      <c r="Q75" s="11">
        <v>44674.419722222221</v>
      </c>
      <c r="R75" s="12">
        <v>44676</v>
      </c>
      <c r="T75" t="s">
        <v>47</v>
      </c>
      <c r="U75" t="s">
        <v>48</v>
      </c>
      <c r="V75" t="s">
        <v>49</v>
      </c>
      <c r="Y75" t="s">
        <v>298</v>
      </c>
      <c r="Z75">
        <v>24050</v>
      </c>
      <c r="AA75" t="s">
        <v>47</v>
      </c>
      <c r="AB75" t="s">
        <v>84</v>
      </c>
      <c r="AC75" t="s">
        <v>52</v>
      </c>
      <c r="AD75" s="13">
        <f t="shared" si="4"/>
        <v>4.9000000000000004</v>
      </c>
      <c r="AE75" s="14">
        <v>0</v>
      </c>
      <c r="AF75" s="14">
        <v>0</v>
      </c>
      <c r="AG75" s="14">
        <v>0</v>
      </c>
      <c r="AH75" s="14">
        <v>0</v>
      </c>
      <c r="AI75" s="14">
        <f t="shared" si="5"/>
        <v>0.29399999999999998</v>
      </c>
      <c r="AJ75" s="14">
        <f t="shared" si="6"/>
        <v>5.194</v>
      </c>
      <c r="AK75" t="s">
        <v>47</v>
      </c>
    </row>
    <row r="76" spans="1:37" ht="15" customHeight="1" x14ac:dyDescent="0.3">
      <c r="A76">
        <v>690929</v>
      </c>
      <c r="B76" t="s">
        <v>37</v>
      </c>
      <c r="C76" t="s">
        <v>38</v>
      </c>
      <c r="D76" s="9" t="s">
        <v>39</v>
      </c>
      <c r="E76" s="9" t="s">
        <v>37</v>
      </c>
      <c r="F76" s="10"/>
      <c r="G76" t="s">
        <v>299</v>
      </c>
      <c r="I76" t="s">
        <v>41</v>
      </c>
      <c r="J76" t="s">
        <v>300</v>
      </c>
      <c r="K76" t="s">
        <v>43</v>
      </c>
      <c r="L76">
        <v>2</v>
      </c>
      <c r="M76" t="s">
        <v>44</v>
      </c>
      <c r="N76" t="s">
        <v>45</v>
      </c>
      <c r="O76" t="s">
        <v>46</v>
      </c>
      <c r="P76" s="5">
        <v>1</v>
      </c>
      <c r="Q76" s="11">
        <v>44674.687488425923</v>
      </c>
      <c r="R76" s="12">
        <v>44676</v>
      </c>
      <c r="T76" t="s">
        <v>47</v>
      </c>
      <c r="U76" t="s">
        <v>48</v>
      </c>
      <c r="V76" t="s">
        <v>74</v>
      </c>
      <c r="Y76" t="s">
        <v>301</v>
      </c>
      <c r="Z76">
        <v>18500</v>
      </c>
      <c r="AA76" t="s">
        <v>47</v>
      </c>
      <c r="AB76" t="s">
        <v>51</v>
      </c>
      <c r="AC76" t="s">
        <v>52</v>
      </c>
      <c r="AD76" s="13">
        <f t="shared" si="4"/>
        <v>4.9000000000000004</v>
      </c>
      <c r="AE76" s="14">
        <v>0</v>
      </c>
      <c r="AF76" s="14">
        <v>0</v>
      </c>
      <c r="AG76" s="14">
        <v>0</v>
      </c>
      <c r="AH76" s="14">
        <v>0</v>
      </c>
      <c r="AI76" s="14">
        <f t="shared" si="5"/>
        <v>0.29399999999999998</v>
      </c>
      <c r="AJ76" s="14">
        <f t="shared" si="6"/>
        <v>5.194</v>
      </c>
      <c r="AK76" t="s">
        <v>47</v>
      </c>
    </row>
    <row r="77" spans="1:37" ht="15" customHeight="1" x14ac:dyDescent="0.3">
      <c r="A77">
        <v>690929</v>
      </c>
      <c r="B77" t="s">
        <v>37</v>
      </c>
      <c r="C77" t="s">
        <v>38</v>
      </c>
      <c r="D77" s="9" t="s">
        <v>39</v>
      </c>
      <c r="E77" s="9" t="s">
        <v>37</v>
      </c>
      <c r="F77" s="10"/>
      <c r="G77" t="s">
        <v>302</v>
      </c>
      <c r="I77" t="s">
        <v>41</v>
      </c>
      <c r="J77" t="s">
        <v>303</v>
      </c>
      <c r="K77" t="s">
        <v>43</v>
      </c>
      <c r="L77">
        <v>2</v>
      </c>
      <c r="M77" t="s">
        <v>44</v>
      </c>
      <c r="N77" t="s">
        <v>45</v>
      </c>
      <c r="O77" t="s">
        <v>46</v>
      </c>
      <c r="P77" s="5">
        <v>1</v>
      </c>
      <c r="Q77" s="11">
        <v>44674.717523148145</v>
      </c>
      <c r="R77" s="12">
        <v>44676</v>
      </c>
      <c r="T77" t="s">
        <v>47</v>
      </c>
      <c r="U77" t="s">
        <v>48</v>
      </c>
      <c r="V77" t="s">
        <v>74</v>
      </c>
      <c r="Y77" t="s">
        <v>304</v>
      </c>
      <c r="Z77">
        <v>16210</v>
      </c>
      <c r="AA77" t="s">
        <v>47</v>
      </c>
      <c r="AB77" t="s">
        <v>51</v>
      </c>
      <c r="AC77" t="s">
        <v>52</v>
      </c>
      <c r="AD77" s="13">
        <f t="shared" si="4"/>
        <v>4.9000000000000004</v>
      </c>
      <c r="AE77" s="14">
        <v>0</v>
      </c>
      <c r="AF77" s="14">
        <v>0</v>
      </c>
      <c r="AG77" s="14">
        <v>0</v>
      </c>
      <c r="AH77" s="14">
        <v>0</v>
      </c>
      <c r="AI77" s="14">
        <f t="shared" si="5"/>
        <v>0.29399999999999998</v>
      </c>
      <c r="AJ77" s="14">
        <f t="shared" si="6"/>
        <v>5.194</v>
      </c>
      <c r="AK77" t="s">
        <v>47</v>
      </c>
    </row>
    <row r="78" spans="1:37" ht="15" customHeight="1" x14ac:dyDescent="0.3">
      <c r="A78">
        <v>690929</v>
      </c>
      <c r="B78" t="s">
        <v>37</v>
      </c>
      <c r="C78" t="s">
        <v>38</v>
      </c>
      <c r="D78" s="9" t="s">
        <v>39</v>
      </c>
      <c r="E78" s="9" t="s">
        <v>37</v>
      </c>
      <c r="F78" s="10"/>
      <c r="G78" t="s">
        <v>305</v>
      </c>
      <c r="I78" t="s">
        <v>41</v>
      </c>
      <c r="J78" t="s">
        <v>306</v>
      </c>
      <c r="K78" t="s">
        <v>43</v>
      </c>
      <c r="L78">
        <v>2</v>
      </c>
      <c r="M78" t="s">
        <v>44</v>
      </c>
      <c r="N78" t="s">
        <v>45</v>
      </c>
      <c r="O78" t="s">
        <v>46</v>
      </c>
      <c r="P78" s="5">
        <v>1</v>
      </c>
      <c r="Q78" s="11">
        <v>44672.568831018521</v>
      </c>
      <c r="R78" s="12">
        <v>44676</v>
      </c>
      <c r="T78" t="s">
        <v>47</v>
      </c>
      <c r="U78" t="s">
        <v>48</v>
      </c>
      <c r="V78" t="s">
        <v>100</v>
      </c>
      <c r="Y78" t="s">
        <v>307</v>
      </c>
      <c r="Z78">
        <v>47000</v>
      </c>
      <c r="AA78" t="s">
        <v>47</v>
      </c>
      <c r="AB78" t="s">
        <v>80</v>
      </c>
      <c r="AC78" t="s">
        <v>52</v>
      </c>
      <c r="AD78" s="13">
        <f t="shared" si="4"/>
        <v>4.9000000000000004</v>
      </c>
      <c r="AE78" s="14">
        <v>0</v>
      </c>
      <c r="AF78" s="14">
        <v>0</v>
      </c>
      <c r="AG78" s="14">
        <v>0</v>
      </c>
      <c r="AH78" s="14">
        <v>0</v>
      </c>
      <c r="AI78" s="14">
        <f t="shared" si="5"/>
        <v>0.29399999999999998</v>
      </c>
      <c r="AJ78" s="14">
        <f t="shared" si="6"/>
        <v>5.194</v>
      </c>
      <c r="AK78" t="s">
        <v>47</v>
      </c>
    </row>
    <row r="79" spans="1:37" ht="15" customHeight="1" x14ac:dyDescent="0.3">
      <c r="A79">
        <v>690929</v>
      </c>
      <c r="B79" t="s">
        <v>37</v>
      </c>
      <c r="C79" t="s">
        <v>38</v>
      </c>
      <c r="D79" s="9" t="s">
        <v>39</v>
      </c>
      <c r="E79" s="9" t="s">
        <v>37</v>
      </c>
      <c r="F79" s="10"/>
      <c r="G79" t="s">
        <v>308</v>
      </c>
      <c r="I79" t="s">
        <v>41</v>
      </c>
      <c r="J79" t="s">
        <v>309</v>
      </c>
      <c r="K79" t="s">
        <v>43</v>
      </c>
      <c r="L79">
        <v>2</v>
      </c>
      <c r="M79" t="s">
        <v>44</v>
      </c>
      <c r="N79" t="s">
        <v>45</v>
      </c>
      <c r="O79" t="s">
        <v>46</v>
      </c>
      <c r="P79" s="5">
        <v>1</v>
      </c>
      <c r="Q79" s="11">
        <v>44674.615347222221</v>
      </c>
      <c r="R79" s="12">
        <v>44676</v>
      </c>
      <c r="T79" t="s">
        <v>47</v>
      </c>
      <c r="U79" t="s">
        <v>48</v>
      </c>
      <c r="V79" t="s">
        <v>49</v>
      </c>
      <c r="Y79" t="s">
        <v>310</v>
      </c>
      <c r="Z79">
        <v>24000</v>
      </c>
      <c r="AA79" t="s">
        <v>47</v>
      </c>
      <c r="AB79" t="s">
        <v>84</v>
      </c>
      <c r="AC79" t="s">
        <v>52</v>
      </c>
      <c r="AD79" s="13">
        <f t="shared" si="4"/>
        <v>4.9000000000000004</v>
      </c>
      <c r="AE79" s="14">
        <v>0</v>
      </c>
      <c r="AF79" s="14">
        <v>0</v>
      </c>
      <c r="AG79" s="14">
        <v>0</v>
      </c>
      <c r="AH79" s="14">
        <v>0</v>
      </c>
      <c r="AI79" s="14">
        <f t="shared" si="5"/>
        <v>0.29399999999999998</v>
      </c>
      <c r="AJ79" s="14">
        <f t="shared" si="6"/>
        <v>5.194</v>
      </c>
      <c r="AK79" t="s">
        <v>47</v>
      </c>
    </row>
    <row r="80" spans="1:37" ht="15" customHeight="1" x14ac:dyDescent="0.3">
      <c r="A80">
        <v>690929</v>
      </c>
      <c r="B80" t="s">
        <v>37</v>
      </c>
      <c r="C80" t="s">
        <v>38</v>
      </c>
      <c r="D80" s="9" t="s">
        <v>39</v>
      </c>
      <c r="E80" s="9" t="s">
        <v>37</v>
      </c>
      <c r="F80" s="10"/>
      <c r="G80" t="s">
        <v>311</v>
      </c>
      <c r="I80" t="s">
        <v>41</v>
      </c>
      <c r="J80" t="s">
        <v>312</v>
      </c>
      <c r="K80" t="s">
        <v>43</v>
      </c>
      <c r="L80">
        <v>2</v>
      </c>
      <c r="M80" t="s">
        <v>44</v>
      </c>
      <c r="N80" t="s">
        <v>45</v>
      </c>
      <c r="O80" t="s">
        <v>46</v>
      </c>
      <c r="P80" s="5">
        <v>2</v>
      </c>
      <c r="Q80" s="11">
        <v>44674.721898148149</v>
      </c>
      <c r="R80" s="12">
        <v>44676</v>
      </c>
      <c r="T80" t="s">
        <v>47</v>
      </c>
      <c r="U80" t="s">
        <v>48</v>
      </c>
      <c r="V80" t="s">
        <v>74</v>
      </c>
      <c r="Y80" t="s">
        <v>313</v>
      </c>
      <c r="Z80">
        <v>16310</v>
      </c>
      <c r="AA80" t="s">
        <v>47</v>
      </c>
      <c r="AB80" t="s">
        <v>51</v>
      </c>
      <c r="AC80" t="s">
        <v>52</v>
      </c>
      <c r="AD80" s="13">
        <f t="shared" si="4"/>
        <v>5.7</v>
      </c>
      <c r="AE80" s="14">
        <v>0</v>
      </c>
      <c r="AF80" s="14">
        <v>0</v>
      </c>
      <c r="AG80" s="14">
        <v>0</v>
      </c>
      <c r="AH80" s="14">
        <v>0</v>
      </c>
      <c r="AI80" s="14">
        <f t="shared" si="5"/>
        <v>0.34199999999999997</v>
      </c>
      <c r="AJ80" s="14">
        <f t="shared" si="6"/>
        <v>6.0419999999999998</v>
      </c>
      <c r="AK80" t="s">
        <v>47</v>
      </c>
    </row>
    <row r="81" spans="1:37" ht="15" customHeight="1" x14ac:dyDescent="0.3">
      <c r="A81">
        <v>690929</v>
      </c>
      <c r="B81" t="s">
        <v>37</v>
      </c>
      <c r="C81" t="s">
        <v>38</v>
      </c>
      <c r="D81" s="9" t="s">
        <v>39</v>
      </c>
      <c r="E81" s="9" t="s">
        <v>37</v>
      </c>
      <c r="F81" s="10"/>
      <c r="G81" t="s">
        <v>314</v>
      </c>
      <c r="I81" t="s">
        <v>41</v>
      </c>
      <c r="J81" t="s">
        <v>315</v>
      </c>
      <c r="K81" t="s">
        <v>43</v>
      </c>
      <c r="L81">
        <v>2</v>
      </c>
      <c r="M81" t="s">
        <v>44</v>
      </c>
      <c r="N81" t="s">
        <v>45</v>
      </c>
      <c r="O81" t="s">
        <v>46</v>
      </c>
      <c r="P81" s="5">
        <v>3</v>
      </c>
      <c r="Q81" s="11">
        <v>44671.771319444444</v>
      </c>
      <c r="R81" s="12">
        <v>44676</v>
      </c>
      <c r="T81" t="s">
        <v>47</v>
      </c>
      <c r="U81" t="s">
        <v>48</v>
      </c>
      <c r="V81" t="s">
        <v>156</v>
      </c>
      <c r="Y81" t="s">
        <v>316</v>
      </c>
      <c r="Z81">
        <v>35500</v>
      </c>
      <c r="AA81" t="s">
        <v>47</v>
      </c>
      <c r="AB81" t="s">
        <v>158</v>
      </c>
      <c r="AC81" t="s">
        <v>52</v>
      </c>
      <c r="AD81" s="13">
        <f t="shared" si="4"/>
        <v>6.5</v>
      </c>
      <c r="AE81" s="14">
        <v>0</v>
      </c>
      <c r="AF81" s="14">
        <v>0</v>
      </c>
      <c r="AG81" s="14">
        <v>0</v>
      </c>
      <c r="AH81" s="14">
        <v>0</v>
      </c>
      <c r="AI81" s="14">
        <f t="shared" si="5"/>
        <v>0.39</v>
      </c>
      <c r="AJ81" s="14">
        <f t="shared" si="6"/>
        <v>6.89</v>
      </c>
      <c r="AK81" t="s">
        <v>47</v>
      </c>
    </row>
    <row r="82" spans="1:37" ht="15" customHeight="1" x14ac:dyDescent="0.3">
      <c r="A82">
        <v>690929</v>
      </c>
      <c r="B82" t="s">
        <v>37</v>
      </c>
      <c r="C82" t="s">
        <v>38</v>
      </c>
      <c r="D82" s="9" t="s">
        <v>39</v>
      </c>
      <c r="E82" s="9" t="s">
        <v>37</v>
      </c>
      <c r="F82" s="10"/>
      <c r="G82" t="s">
        <v>317</v>
      </c>
      <c r="I82" t="s">
        <v>41</v>
      </c>
      <c r="J82" t="s">
        <v>318</v>
      </c>
      <c r="K82" t="s">
        <v>43</v>
      </c>
      <c r="L82">
        <v>2</v>
      </c>
      <c r="M82" t="s">
        <v>44</v>
      </c>
      <c r="N82" t="s">
        <v>45</v>
      </c>
      <c r="O82" t="s">
        <v>46</v>
      </c>
      <c r="P82" s="5">
        <v>2</v>
      </c>
      <c r="Q82" s="11">
        <v>44674.416087962964</v>
      </c>
      <c r="R82" s="12">
        <v>44676</v>
      </c>
      <c r="T82" t="s">
        <v>47</v>
      </c>
      <c r="U82" t="s">
        <v>48</v>
      </c>
      <c r="V82" t="s">
        <v>100</v>
      </c>
      <c r="Y82" t="s">
        <v>319</v>
      </c>
      <c r="Z82">
        <v>45400</v>
      </c>
      <c r="AA82" t="s">
        <v>47</v>
      </c>
      <c r="AB82" t="s">
        <v>51</v>
      </c>
      <c r="AC82" t="s">
        <v>52</v>
      </c>
      <c r="AD82" s="13">
        <f t="shared" si="4"/>
        <v>5.7</v>
      </c>
      <c r="AE82" s="14">
        <v>0</v>
      </c>
      <c r="AF82" s="14">
        <v>0</v>
      </c>
      <c r="AG82" s="14">
        <v>0</v>
      </c>
      <c r="AH82" s="14">
        <v>0</v>
      </c>
      <c r="AI82" s="14">
        <f t="shared" si="5"/>
        <v>0.34199999999999997</v>
      </c>
      <c r="AJ82" s="14">
        <f t="shared" si="6"/>
        <v>6.0419999999999998</v>
      </c>
      <c r="AK82" t="s">
        <v>47</v>
      </c>
    </row>
    <row r="83" spans="1:37" ht="15" customHeight="1" x14ac:dyDescent="0.3">
      <c r="A83">
        <v>690929</v>
      </c>
      <c r="B83" t="s">
        <v>37</v>
      </c>
      <c r="C83" t="s">
        <v>38</v>
      </c>
      <c r="D83" s="9" t="s">
        <v>39</v>
      </c>
      <c r="E83" s="9" t="s">
        <v>37</v>
      </c>
      <c r="F83" s="10"/>
      <c r="G83" t="s">
        <v>320</v>
      </c>
      <c r="I83" t="s">
        <v>41</v>
      </c>
      <c r="J83" t="s">
        <v>321</v>
      </c>
      <c r="K83" t="s">
        <v>43</v>
      </c>
      <c r="L83">
        <v>2</v>
      </c>
      <c r="M83" t="s">
        <v>44</v>
      </c>
      <c r="N83" t="s">
        <v>45</v>
      </c>
      <c r="O83" t="s">
        <v>46</v>
      </c>
      <c r="P83" s="5">
        <v>1</v>
      </c>
      <c r="Q83" s="11">
        <v>44674.625439814816</v>
      </c>
      <c r="R83" s="12">
        <v>44676</v>
      </c>
      <c r="T83" t="s">
        <v>47</v>
      </c>
      <c r="U83" t="s">
        <v>48</v>
      </c>
      <c r="V83" t="s">
        <v>59</v>
      </c>
      <c r="Y83" t="s">
        <v>322</v>
      </c>
      <c r="Z83">
        <v>27040</v>
      </c>
      <c r="AA83" t="s">
        <v>47</v>
      </c>
      <c r="AB83" t="s">
        <v>84</v>
      </c>
      <c r="AC83" t="s">
        <v>52</v>
      </c>
      <c r="AD83" s="13">
        <f t="shared" si="4"/>
        <v>4.9000000000000004</v>
      </c>
      <c r="AE83" s="14">
        <v>0</v>
      </c>
      <c r="AF83" s="14">
        <v>0</v>
      </c>
      <c r="AG83" s="14">
        <v>0</v>
      </c>
      <c r="AH83" s="14">
        <v>0</v>
      </c>
      <c r="AI83" s="14">
        <f t="shared" si="5"/>
        <v>0.29399999999999998</v>
      </c>
      <c r="AJ83" s="14">
        <f t="shared" si="6"/>
        <v>5.194</v>
      </c>
      <c r="AK83" t="s">
        <v>47</v>
      </c>
    </row>
    <row r="84" spans="1:37" ht="15" customHeight="1" x14ac:dyDescent="0.3">
      <c r="A84">
        <v>690929</v>
      </c>
      <c r="B84" t="s">
        <v>37</v>
      </c>
      <c r="C84" t="s">
        <v>38</v>
      </c>
      <c r="D84" s="9" t="s">
        <v>39</v>
      </c>
      <c r="E84" s="9" t="s">
        <v>37</v>
      </c>
      <c r="F84" s="10"/>
      <c r="G84" t="s">
        <v>323</v>
      </c>
      <c r="I84" t="s">
        <v>41</v>
      </c>
      <c r="J84" t="s">
        <v>324</v>
      </c>
      <c r="K84" t="s">
        <v>43</v>
      </c>
      <c r="L84">
        <v>2</v>
      </c>
      <c r="M84" t="s">
        <v>44</v>
      </c>
      <c r="N84" t="s">
        <v>45</v>
      </c>
      <c r="O84" t="s">
        <v>46</v>
      </c>
      <c r="P84" s="5">
        <v>1</v>
      </c>
      <c r="Q84" s="11">
        <v>44673.493784722225</v>
      </c>
      <c r="R84" s="12">
        <v>44676</v>
      </c>
      <c r="T84" t="s">
        <v>47</v>
      </c>
      <c r="U84" t="s">
        <v>51</v>
      </c>
      <c r="V84" t="s">
        <v>100</v>
      </c>
      <c r="Y84" t="s">
        <v>325</v>
      </c>
      <c r="Z84">
        <v>43650</v>
      </c>
      <c r="AA84" t="s">
        <v>47</v>
      </c>
      <c r="AB84" t="s">
        <v>80</v>
      </c>
      <c r="AC84" t="s">
        <v>52</v>
      </c>
      <c r="AD84" s="13">
        <f t="shared" si="4"/>
        <v>4.9000000000000004</v>
      </c>
      <c r="AE84" s="14">
        <v>0</v>
      </c>
      <c r="AF84" s="14">
        <v>0</v>
      </c>
      <c r="AG84" s="14">
        <v>0</v>
      </c>
      <c r="AH84" s="14">
        <v>0</v>
      </c>
      <c r="AI84" s="14">
        <f t="shared" si="5"/>
        <v>0.29399999999999998</v>
      </c>
      <c r="AJ84" s="14">
        <f t="shared" si="6"/>
        <v>5.194</v>
      </c>
      <c r="AK84" t="s">
        <v>47</v>
      </c>
    </row>
    <row r="85" spans="1:37" ht="15" customHeight="1" x14ac:dyDescent="0.3">
      <c r="A85">
        <v>690929</v>
      </c>
      <c r="B85" t="s">
        <v>37</v>
      </c>
      <c r="C85" t="s">
        <v>38</v>
      </c>
      <c r="D85" s="9" t="s">
        <v>39</v>
      </c>
      <c r="E85" s="9" t="s">
        <v>37</v>
      </c>
      <c r="F85" s="10"/>
      <c r="G85" t="s">
        <v>326</v>
      </c>
      <c r="I85" t="s">
        <v>41</v>
      </c>
      <c r="J85" t="s">
        <v>327</v>
      </c>
      <c r="K85" t="s">
        <v>43</v>
      </c>
      <c r="L85">
        <v>2</v>
      </c>
      <c r="M85" t="s">
        <v>44</v>
      </c>
      <c r="N85" t="s">
        <v>45</v>
      </c>
      <c r="O85" t="s">
        <v>46</v>
      </c>
      <c r="P85" s="5">
        <v>1</v>
      </c>
      <c r="Q85" s="11">
        <v>44675.627372685187</v>
      </c>
      <c r="R85" s="12">
        <v>44676</v>
      </c>
      <c r="T85" t="s">
        <v>47</v>
      </c>
      <c r="U85" t="s">
        <v>48</v>
      </c>
      <c r="V85" t="s">
        <v>49</v>
      </c>
      <c r="Y85" t="s">
        <v>328</v>
      </c>
      <c r="Z85">
        <v>21810</v>
      </c>
      <c r="AA85" t="s">
        <v>47</v>
      </c>
      <c r="AB85" t="s">
        <v>56</v>
      </c>
      <c r="AC85" t="s">
        <v>52</v>
      </c>
      <c r="AD85" s="13">
        <f t="shared" si="4"/>
        <v>4.9000000000000004</v>
      </c>
      <c r="AE85" s="14">
        <v>0</v>
      </c>
      <c r="AF85" s="14">
        <v>0</v>
      </c>
      <c r="AG85" s="14">
        <v>0</v>
      </c>
      <c r="AH85" s="14">
        <v>0</v>
      </c>
      <c r="AI85" s="14">
        <f t="shared" si="5"/>
        <v>0.29399999999999998</v>
      </c>
      <c r="AJ85" s="14">
        <f t="shared" si="6"/>
        <v>5.194</v>
      </c>
      <c r="AK85" t="s">
        <v>47</v>
      </c>
    </row>
    <row r="86" spans="1:37" ht="15" customHeight="1" x14ac:dyDescent="0.3">
      <c r="A86">
        <v>690929</v>
      </c>
      <c r="B86" t="s">
        <v>37</v>
      </c>
      <c r="C86" t="s">
        <v>38</v>
      </c>
      <c r="D86" s="9" t="s">
        <v>39</v>
      </c>
      <c r="E86" s="9" t="s">
        <v>37</v>
      </c>
      <c r="F86" s="10"/>
      <c r="G86" t="s">
        <v>329</v>
      </c>
      <c r="I86" t="s">
        <v>41</v>
      </c>
      <c r="J86" t="s">
        <v>330</v>
      </c>
      <c r="K86" t="s">
        <v>43</v>
      </c>
      <c r="L86">
        <v>2</v>
      </c>
      <c r="M86" t="s">
        <v>44</v>
      </c>
      <c r="N86" t="s">
        <v>45</v>
      </c>
      <c r="O86" t="s">
        <v>46</v>
      </c>
      <c r="P86" s="5">
        <v>2</v>
      </c>
      <c r="Q86" s="11">
        <v>44674.412858796299</v>
      </c>
      <c r="R86" s="12">
        <v>44676</v>
      </c>
      <c r="T86" t="s">
        <v>47</v>
      </c>
      <c r="U86" t="s">
        <v>48</v>
      </c>
      <c r="V86" t="s">
        <v>59</v>
      </c>
      <c r="Y86" t="s">
        <v>331</v>
      </c>
      <c r="Z86">
        <v>26600</v>
      </c>
      <c r="AA86" t="s">
        <v>47</v>
      </c>
      <c r="AB86" t="s">
        <v>51</v>
      </c>
      <c r="AC86" t="s">
        <v>52</v>
      </c>
      <c r="AD86" s="13">
        <f t="shared" si="4"/>
        <v>5.7</v>
      </c>
      <c r="AE86" s="14">
        <v>0</v>
      </c>
      <c r="AF86" s="14">
        <v>0</v>
      </c>
      <c r="AG86" s="14">
        <v>0</v>
      </c>
      <c r="AH86" s="14">
        <v>0</v>
      </c>
      <c r="AI86" s="14">
        <f t="shared" si="5"/>
        <v>0.34199999999999997</v>
      </c>
      <c r="AJ86" s="14">
        <f t="shared" si="6"/>
        <v>6.0419999999999998</v>
      </c>
      <c r="AK86" t="s">
        <v>47</v>
      </c>
    </row>
    <row r="87" spans="1:37" ht="15" customHeight="1" x14ac:dyDescent="0.3">
      <c r="A87">
        <v>690929</v>
      </c>
      <c r="B87" t="s">
        <v>37</v>
      </c>
      <c r="C87" t="s">
        <v>38</v>
      </c>
      <c r="D87" s="9" t="s">
        <v>39</v>
      </c>
      <c r="E87" s="9" t="s">
        <v>37</v>
      </c>
      <c r="F87" s="10"/>
      <c r="G87" t="s">
        <v>332</v>
      </c>
      <c r="I87" t="s">
        <v>41</v>
      </c>
      <c r="J87" t="s">
        <v>333</v>
      </c>
      <c r="K87" t="s">
        <v>43</v>
      </c>
      <c r="L87">
        <v>2</v>
      </c>
      <c r="M87" t="s">
        <v>44</v>
      </c>
      <c r="N87" t="s">
        <v>45</v>
      </c>
      <c r="O87" t="s">
        <v>46</v>
      </c>
      <c r="P87" s="5">
        <v>2</v>
      </c>
      <c r="Q87" s="11">
        <v>44673.653194444443</v>
      </c>
      <c r="R87" s="12">
        <v>44676</v>
      </c>
      <c r="T87" t="s">
        <v>47</v>
      </c>
      <c r="U87" t="s">
        <v>48</v>
      </c>
      <c r="V87" t="s">
        <v>100</v>
      </c>
      <c r="Y87" t="s">
        <v>334</v>
      </c>
      <c r="Z87">
        <v>40150</v>
      </c>
      <c r="AA87" t="s">
        <v>47</v>
      </c>
      <c r="AB87" t="s">
        <v>51</v>
      </c>
      <c r="AC87" t="s">
        <v>52</v>
      </c>
      <c r="AD87" s="13">
        <f t="shared" si="4"/>
        <v>5.7</v>
      </c>
      <c r="AE87" s="14">
        <v>0</v>
      </c>
      <c r="AF87" s="14">
        <v>0</v>
      </c>
      <c r="AG87" s="14">
        <v>0</v>
      </c>
      <c r="AH87" s="14">
        <v>0</v>
      </c>
      <c r="AI87" s="14">
        <f t="shared" si="5"/>
        <v>0.34199999999999997</v>
      </c>
      <c r="AJ87" s="14">
        <f t="shared" si="6"/>
        <v>6.0419999999999998</v>
      </c>
      <c r="AK87" t="s">
        <v>47</v>
      </c>
    </row>
    <row r="88" spans="1:37" ht="15" customHeight="1" x14ac:dyDescent="0.3">
      <c r="A88">
        <v>690929</v>
      </c>
      <c r="B88" t="s">
        <v>37</v>
      </c>
      <c r="C88" t="s">
        <v>38</v>
      </c>
      <c r="D88" s="9" t="s">
        <v>39</v>
      </c>
      <c r="E88" s="9" t="s">
        <v>37</v>
      </c>
      <c r="F88" s="10"/>
      <c r="G88" t="s">
        <v>335</v>
      </c>
      <c r="I88" t="s">
        <v>41</v>
      </c>
      <c r="J88" t="s">
        <v>336</v>
      </c>
      <c r="K88" t="s">
        <v>43</v>
      </c>
      <c r="L88">
        <v>2</v>
      </c>
      <c r="M88" t="s">
        <v>44</v>
      </c>
      <c r="N88" t="s">
        <v>45</v>
      </c>
      <c r="O88" t="s">
        <v>46</v>
      </c>
      <c r="P88" s="5">
        <v>1</v>
      </c>
      <c r="Q88" s="11">
        <v>44674.621122685188</v>
      </c>
      <c r="R88" s="12">
        <v>44676</v>
      </c>
      <c r="T88" t="s">
        <v>47</v>
      </c>
      <c r="U88" t="s">
        <v>48</v>
      </c>
      <c r="V88" t="s">
        <v>96</v>
      </c>
      <c r="Y88" t="s">
        <v>337</v>
      </c>
      <c r="Z88">
        <v>5350</v>
      </c>
      <c r="AA88" t="s">
        <v>47</v>
      </c>
      <c r="AB88" t="s">
        <v>177</v>
      </c>
      <c r="AC88" t="s">
        <v>52</v>
      </c>
      <c r="AD88" s="13">
        <f t="shared" si="4"/>
        <v>4.9000000000000004</v>
      </c>
      <c r="AE88" s="14">
        <v>0</v>
      </c>
      <c r="AF88" s="14">
        <v>0</v>
      </c>
      <c r="AG88" s="14">
        <v>0</v>
      </c>
      <c r="AH88" s="14">
        <v>0</v>
      </c>
      <c r="AI88" s="14">
        <f t="shared" si="5"/>
        <v>0.29399999999999998</v>
      </c>
      <c r="AJ88" s="14">
        <f t="shared" si="6"/>
        <v>5.194</v>
      </c>
      <c r="AK88" t="s">
        <v>47</v>
      </c>
    </row>
    <row r="89" spans="1:37" ht="15" customHeight="1" x14ac:dyDescent="0.3">
      <c r="A89">
        <v>690929</v>
      </c>
      <c r="B89" t="s">
        <v>37</v>
      </c>
      <c r="C89" t="s">
        <v>38</v>
      </c>
      <c r="D89" s="9" t="s">
        <v>39</v>
      </c>
      <c r="E89" s="9" t="s">
        <v>37</v>
      </c>
      <c r="F89" s="10"/>
      <c r="G89" t="s">
        <v>338</v>
      </c>
      <c r="I89" t="s">
        <v>41</v>
      </c>
      <c r="J89" t="s">
        <v>339</v>
      </c>
      <c r="K89" t="s">
        <v>43</v>
      </c>
      <c r="L89">
        <v>2</v>
      </c>
      <c r="M89" t="s">
        <v>44</v>
      </c>
      <c r="N89" t="s">
        <v>45</v>
      </c>
      <c r="O89" t="s">
        <v>46</v>
      </c>
      <c r="P89" s="5">
        <v>2</v>
      </c>
      <c r="Q89" s="11">
        <v>44674.712500000001</v>
      </c>
      <c r="R89" s="12">
        <v>44676</v>
      </c>
      <c r="T89" t="s">
        <v>47</v>
      </c>
      <c r="U89" t="s">
        <v>48</v>
      </c>
      <c r="V89" t="s">
        <v>74</v>
      </c>
      <c r="Y89" t="s">
        <v>340</v>
      </c>
      <c r="Z89">
        <v>17610</v>
      </c>
      <c r="AA89" t="s">
        <v>47</v>
      </c>
      <c r="AB89" t="s">
        <v>51</v>
      </c>
      <c r="AC89" t="s">
        <v>52</v>
      </c>
      <c r="AD89" s="13">
        <f t="shared" si="4"/>
        <v>5.7</v>
      </c>
      <c r="AE89" s="14">
        <v>0</v>
      </c>
      <c r="AF89" s="14">
        <v>0</v>
      </c>
      <c r="AG89" s="14">
        <v>0</v>
      </c>
      <c r="AH89" s="14">
        <v>0</v>
      </c>
      <c r="AI89" s="14">
        <f t="shared" si="5"/>
        <v>0.34199999999999997</v>
      </c>
      <c r="AJ89" s="14">
        <f t="shared" si="6"/>
        <v>6.0419999999999998</v>
      </c>
      <c r="AK89" t="s">
        <v>47</v>
      </c>
    </row>
    <row r="90" spans="1:37" ht="15" customHeight="1" x14ac:dyDescent="0.3">
      <c r="A90">
        <v>690929</v>
      </c>
      <c r="B90" t="s">
        <v>37</v>
      </c>
      <c r="C90" t="s">
        <v>38</v>
      </c>
      <c r="D90" s="9" t="s">
        <v>39</v>
      </c>
      <c r="E90" s="9" t="s">
        <v>37</v>
      </c>
      <c r="F90" s="10"/>
      <c r="G90" t="s">
        <v>341</v>
      </c>
      <c r="I90" t="s">
        <v>41</v>
      </c>
      <c r="J90" t="s">
        <v>342</v>
      </c>
      <c r="K90" t="s">
        <v>43</v>
      </c>
      <c r="L90">
        <v>2</v>
      </c>
      <c r="M90" t="s">
        <v>44</v>
      </c>
      <c r="N90" t="s">
        <v>45</v>
      </c>
      <c r="O90" t="s">
        <v>46</v>
      </c>
      <c r="P90" s="5">
        <v>1</v>
      </c>
      <c r="Q90" s="11">
        <v>44674.41134259259</v>
      </c>
      <c r="R90" s="12">
        <v>44676</v>
      </c>
      <c r="T90" t="s">
        <v>47</v>
      </c>
      <c r="U90" t="s">
        <v>48</v>
      </c>
      <c r="V90" t="s">
        <v>91</v>
      </c>
      <c r="Y90" t="s">
        <v>343</v>
      </c>
      <c r="Z90">
        <v>53100</v>
      </c>
      <c r="AA90" t="s">
        <v>47</v>
      </c>
      <c r="AB90" t="s">
        <v>51</v>
      </c>
      <c r="AC90" t="s">
        <v>52</v>
      </c>
      <c r="AD90" s="13">
        <f t="shared" si="4"/>
        <v>4.9000000000000004</v>
      </c>
      <c r="AE90" s="14">
        <v>0</v>
      </c>
      <c r="AF90" s="14">
        <v>0</v>
      </c>
      <c r="AG90" s="14">
        <v>0</v>
      </c>
      <c r="AH90" s="14">
        <v>0</v>
      </c>
      <c r="AI90" s="14">
        <f t="shared" si="5"/>
        <v>0.29399999999999998</v>
      </c>
      <c r="AJ90" s="14">
        <f t="shared" si="6"/>
        <v>5.194</v>
      </c>
      <c r="AK90" t="s">
        <v>47</v>
      </c>
    </row>
    <row r="91" spans="1:37" ht="15" customHeight="1" x14ac:dyDescent="0.3">
      <c r="A91">
        <v>690929</v>
      </c>
      <c r="B91" t="s">
        <v>37</v>
      </c>
      <c r="C91" t="s">
        <v>38</v>
      </c>
      <c r="D91" s="9" t="s">
        <v>39</v>
      </c>
      <c r="E91" s="9" t="s">
        <v>37</v>
      </c>
      <c r="F91" s="10"/>
      <c r="G91" t="s">
        <v>344</v>
      </c>
      <c r="I91" t="s">
        <v>41</v>
      </c>
      <c r="J91" t="s">
        <v>345</v>
      </c>
      <c r="K91" t="s">
        <v>43</v>
      </c>
      <c r="L91">
        <v>2</v>
      </c>
      <c r="M91" t="s">
        <v>44</v>
      </c>
      <c r="N91" t="s">
        <v>45</v>
      </c>
      <c r="O91" t="s">
        <v>46</v>
      </c>
      <c r="P91" s="5">
        <v>1</v>
      </c>
      <c r="Q91" s="11">
        <v>44674.403402777774</v>
      </c>
      <c r="R91" s="12">
        <v>44677</v>
      </c>
      <c r="T91" t="s">
        <v>47</v>
      </c>
      <c r="U91" t="s">
        <v>48</v>
      </c>
      <c r="V91" t="s">
        <v>100</v>
      </c>
      <c r="Y91" t="s">
        <v>346</v>
      </c>
      <c r="Z91">
        <v>47000</v>
      </c>
      <c r="AA91" t="s">
        <v>47</v>
      </c>
      <c r="AB91" t="s">
        <v>51</v>
      </c>
      <c r="AC91" t="s">
        <v>52</v>
      </c>
      <c r="AD91" s="13">
        <f t="shared" si="4"/>
        <v>4.9000000000000004</v>
      </c>
      <c r="AE91" s="14">
        <v>0</v>
      </c>
      <c r="AF91" s="14">
        <v>0</v>
      </c>
      <c r="AG91" s="14">
        <v>0</v>
      </c>
      <c r="AH91" s="14">
        <v>0</v>
      </c>
      <c r="AI91" s="14">
        <f t="shared" si="5"/>
        <v>0.29399999999999998</v>
      </c>
      <c r="AJ91" s="14">
        <f t="shared" si="6"/>
        <v>5.194</v>
      </c>
      <c r="AK91" t="s">
        <v>47</v>
      </c>
    </row>
    <row r="92" spans="1:37" ht="15" customHeight="1" x14ac:dyDescent="0.3">
      <c r="A92">
        <v>690929</v>
      </c>
      <c r="B92" t="s">
        <v>37</v>
      </c>
      <c r="C92" t="s">
        <v>38</v>
      </c>
      <c r="D92" s="9" t="s">
        <v>39</v>
      </c>
      <c r="E92" s="9" t="s">
        <v>37</v>
      </c>
      <c r="F92" s="10"/>
      <c r="G92" t="s">
        <v>347</v>
      </c>
      <c r="I92" t="s">
        <v>41</v>
      </c>
      <c r="J92" t="s">
        <v>348</v>
      </c>
      <c r="K92" t="s">
        <v>43</v>
      </c>
      <c r="L92">
        <v>2</v>
      </c>
      <c r="M92" t="s">
        <v>44</v>
      </c>
      <c r="N92" t="s">
        <v>45</v>
      </c>
      <c r="O92" t="s">
        <v>46</v>
      </c>
      <c r="P92" s="5">
        <v>1</v>
      </c>
      <c r="Q92" s="11">
        <v>44674.409629629627</v>
      </c>
      <c r="R92" s="12">
        <v>44677</v>
      </c>
      <c r="T92" t="s">
        <v>47</v>
      </c>
      <c r="U92" t="s">
        <v>48</v>
      </c>
      <c r="V92" t="s">
        <v>168</v>
      </c>
      <c r="Y92" t="s">
        <v>349</v>
      </c>
      <c r="Z92">
        <v>86000</v>
      </c>
      <c r="AA92" t="s">
        <v>47</v>
      </c>
      <c r="AB92" t="s">
        <v>267</v>
      </c>
      <c r="AC92" t="s">
        <v>52</v>
      </c>
      <c r="AD92" s="13">
        <f t="shared" si="4"/>
        <v>4.9000000000000004</v>
      </c>
      <c r="AE92" s="14">
        <v>0</v>
      </c>
      <c r="AF92" s="14">
        <v>0</v>
      </c>
      <c r="AG92" s="14">
        <v>0</v>
      </c>
      <c r="AH92" s="14">
        <v>0</v>
      </c>
      <c r="AI92" s="14">
        <f t="shared" si="5"/>
        <v>0.29399999999999998</v>
      </c>
      <c r="AJ92" s="14">
        <f t="shared" si="6"/>
        <v>5.194</v>
      </c>
      <c r="AK92" t="s">
        <v>47</v>
      </c>
    </row>
    <row r="93" spans="1:37" ht="15" customHeight="1" x14ac:dyDescent="0.3">
      <c r="A93">
        <v>690929</v>
      </c>
      <c r="B93" t="s">
        <v>37</v>
      </c>
      <c r="C93" t="s">
        <v>38</v>
      </c>
      <c r="D93" s="9" t="s">
        <v>39</v>
      </c>
      <c r="E93" s="9" t="s">
        <v>37</v>
      </c>
      <c r="F93" s="10"/>
      <c r="G93" t="s">
        <v>350</v>
      </c>
      <c r="I93" t="s">
        <v>41</v>
      </c>
      <c r="J93" t="s">
        <v>351</v>
      </c>
      <c r="K93" t="s">
        <v>43</v>
      </c>
      <c r="L93">
        <v>2</v>
      </c>
      <c r="M93" t="s">
        <v>44</v>
      </c>
      <c r="N93" t="s">
        <v>45</v>
      </c>
      <c r="O93" t="s">
        <v>46</v>
      </c>
      <c r="P93" s="5">
        <v>1</v>
      </c>
      <c r="Q93" s="11">
        <v>44674.406689814816</v>
      </c>
      <c r="R93" s="12">
        <v>44677</v>
      </c>
      <c r="T93" t="s">
        <v>47</v>
      </c>
      <c r="U93" t="s">
        <v>48</v>
      </c>
      <c r="V93" t="s">
        <v>168</v>
      </c>
      <c r="Y93" t="s">
        <v>352</v>
      </c>
      <c r="Z93">
        <v>86810</v>
      </c>
      <c r="AA93" t="s">
        <v>47</v>
      </c>
      <c r="AB93" t="s">
        <v>267</v>
      </c>
      <c r="AC93" t="s">
        <v>52</v>
      </c>
      <c r="AD93" s="13">
        <f t="shared" si="4"/>
        <v>4.9000000000000004</v>
      </c>
      <c r="AE93" s="14">
        <v>0</v>
      </c>
      <c r="AF93" s="14">
        <v>0</v>
      </c>
      <c r="AG93" s="14">
        <v>0</v>
      </c>
      <c r="AH93" s="14">
        <v>0</v>
      </c>
      <c r="AI93" s="14">
        <f t="shared" si="5"/>
        <v>0.29399999999999998</v>
      </c>
      <c r="AJ93" s="14">
        <f t="shared" si="6"/>
        <v>5.194</v>
      </c>
      <c r="AK93" t="s">
        <v>47</v>
      </c>
    </row>
    <row r="94" spans="1:37" ht="15" customHeight="1" x14ac:dyDescent="0.3">
      <c r="A94">
        <v>690929</v>
      </c>
      <c r="B94" t="s">
        <v>37</v>
      </c>
      <c r="C94" t="s">
        <v>38</v>
      </c>
      <c r="D94" s="9" t="s">
        <v>39</v>
      </c>
      <c r="E94" s="9" t="s">
        <v>37</v>
      </c>
      <c r="F94" s="10"/>
      <c r="G94" t="s">
        <v>353</v>
      </c>
      <c r="I94" t="s">
        <v>41</v>
      </c>
      <c r="J94" t="s">
        <v>354</v>
      </c>
      <c r="K94" t="s">
        <v>43</v>
      </c>
      <c r="L94">
        <v>2</v>
      </c>
      <c r="M94" t="s">
        <v>44</v>
      </c>
      <c r="N94" t="s">
        <v>45</v>
      </c>
      <c r="O94" t="s">
        <v>46</v>
      </c>
      <c r="P94" s="5">
        <v>1</v>
      </c>
      <c r="Q94" s="11">
        <v>44676.720879629633</v>
      </c>
      <c r="R94" s="12">
        <v>44677</v>
      </c>
      <c r="T94" t="s">
        <v>47</v>
      </c>
      <c r="U94" t="s">
        <v>48</v>
      </c>
      <c r="V94" t="s">
        <v>74</v>
      </c>
      <c r="Y94" t="s">
        <v>355</v>
      </c>
      <c r="Z94">
        <v>17500</v>
      </c>
      <c r="AA94" t="s">
        <v>47</v>
      </c>
      <c r="AB94" t="s">
        <v>51</v>
      </c>
      <c r="AC94" t="s">
        <v>52</v>
      </c>
      <c r="AD94" s="13">
        <f t="shared" si="4"/>
        <v>4.9000000000000004</v>
      </c>
      <c r="AE94" s="14">
        <v>0</v>
      </c>
      <c r="AF94" s="14">
        <v>0</v>
      </c>
      <c r="AG94" s="14">
        <v>0</v>
      </c>
      <c r="AH94" s="14">
        <v>0</v>
      </c>
      <c r="AI94" s="14">
        <f t="shared" si="5"/>
        <v>0.29399999999999998</v>
      </c>
      <c r="AJ94" s="14">
        <f t="shared" si="6"/>
        <v>5.194</v>
      </c>
      <c r="AK94" t="s">
        <v>47</v>
      </c>
    </row>
    <row r="95" spans="1:37" ht="15" customHeight="1" x14ac:dyDescent="0.3">
      <c r="A95">
        <v>690929</v>
      </c>
      <c r="B95" t="s">
        <v>37</v>
      </c>
      <c r="C95" t="s">
        <v>38</v>
      </c>
      <c r="D95" s="9" t="s">
        <v>39</v>
      </c>
      <c r="E95" s="9" t="s">
        <v>37</v>
      </c>
      <c r="F95" s="10"/>
      <c r="G95" t="s">
        <v>356</v>
      </c>
      <c r="I95" t="s">
        <v>41</v>
      </c>
      <c r="J95" t="s">
        <v>357</v>
      </c>
      <c r="K95" t="s">
        <v>43</v>
      </c>
      <c r="L95">
        <v>2</v>
      </c>
      <c r="M95" t="s">
        <v>44</v>
      </c>
      <c r="N95" t="s">
        <v>45</v>
      </c>
      <c r="O95" t="s">
        <v>46</v>
      </c>
      <c r="P95" s="5">
        <v>1</v>
      </c>
      <c r="Q95" s="11">
        <v>44674.715127314812</v>
      </c>
      <c r="R95" s="12">
        <v>44677</v>
      </c>
      <c r="T95" t="s">
        <v>47</v>
      </c>
      <c r="U95" t="s">
        <v>48</v>
      </c>
      <c r="V95" t="s">
        <v>100</v>
      </c>
      <c r="Y95" t="s">
        <v>358</v>
      </c>
      <c r="Z95">
        <v>47810</v>
      </c>
      <c r="AA95" t="s">
        <v>47</v>
      </c>
      <c r="AB95" t="s">
        <v>51</v>
      </c>
      <c r="AC95" t="s">
        <v>52</v>
      </c>
      <c r="AD95" s="13">
        <f t="shared" si="4"/>
        <v>4.9000000000000004</v>
      </c>
      <c r="AE95" s="14">
        <v>0</v>
      </c>
      <c r="AF95" s="14">
        <v>0</v>
      </c>
      <c r="AG95" s="14">
        <v>0</v>
      </c>
      <c r="AH95" s="14">
        <v>0</v>
      </c>
      <c r="AI95" s="14">
        <f t="shared" si="5"/>
        <v>0.29399999999999998</v>
      </c>
      <c r="AJ95" s="14">
        <f t="shared" si="6"/>
        <v>5.194</v>
      </c>
      <c r="AK95" t="s">
        <v>47</v>
      </c>
    </row>
    <row r="96" spans="1:37" ht="15" customHeight="1" x14ac:dyDescent="0.3">
      <c r="A96">
        <v>690929</v>
      </c>
      <c r="B96" t="s">
        <v>37</v>
      </c>
      <c r="C96" t="s">
        <v>38</v>
      </c>
      <c r="D96" s="9" t="s">
        <v>39</v>
      </c>
      <c r="E96" s="9" t="s">
        <v>37</v>
      </c>
      <c r="F96" s="10"/>
      <c r="G96" t="s">
        <v>359</v>
      </c>
      <c r="I96" t="s">
        <v>41</v>
      </c>
      <c r="J96" t="s">
        <v>360</v>
      </c>
      <c r="K96" t="s">
        <v>43</v>
      </c>
      <c r="L96">
        <v>2</v>
      </c>
      <c r="M96" t="s">
        <v>44</v>
      </c>
      <c r="N96" t="s">
        <v>45</v>
      </c>
      <c r="O96" t="s">
        <v>46</v>
      </c>
      <c r="P96" s="5">
        <v>1</v>
      </c>
      <c r="Q96" s="11">
        <v>44674.635636574072</v>
      </c>
      <c r="R96" s="12">
        <v>44677</v>
      </c>
      <c r="T96" t="s">
        <v>47</v>
      </c>
      <c r="U96" t="s">
        <v>48</v>
      </c>
      <c r="V96" t="s">
        <v>168</v>
      </c>
      <c r="Y96" t="s">
        <v>361</v>
      </c>
      <c r="Z96">
        <v>84000</v>
      </c>
      <c r="AA96" t="s">
        <v>47</v>
      </c>
      <c r="AB96" t="s">
        <v>80</v>
      </c>
      <c r="AC96" t="s">
        <v>52</v>
      </c>
      <c r="AD96" s="13">
        <f t="shared" si="4"/>
        <v>4.9000000000000004</v>
      </c>
      <c r="AE96" s="14">
        <v>0</v>
      </c>
      <c r="AF96" s="14">
        <v>0</v>
      </c>
      <c r="AG96" s="14">
        <v>0</v>
      </c>
      <c r="AH96" s="14">
        <v>0</v>
      </c>
      <c r="AI96" s="14">
        <f t="shared" si="5"/>
        <v>0.29399999999999998</v>
      </c>
      <c r="AJ96" s="14">
        <f t="shared" si="6"/>
        <v>5.194</v>
      </c>
      <c r="AK96" t="s">
        <v>47</v>
      </c>
    </row>
    <row r="97" spans="1:37" ht="15" customHeight="1" x14ac:dyDescent="0.3">
      <c r="A97">
        <v>690929</v>
      </c>
      <c r="B97" t="s">
        <v>37</v>
      </c>
      <c r="C97" t="s">
        <v>38</v>
      </c>
      <c r="D97" s="9" t="s">
        <v>39</v>
      </c>
      <c r="E97" s="9" t="s">
        <v>37</v>
      </c>
      <c r="F97" s="10"/>
      <c r="G97" t="s">
        <v>362</v>
      </c>
      <c r="I97" t="s">
        <v>41</v>
      </c>
      <c r="J97" t="s">
        <v>363</v>
      </c>
      <c r="K97" t="s">
        <v>43</v>
      </c>
      <c r="L97">
        <v>2</v>
      </c>
      <c r="M97" t="s">
        <v>44</v>
      </c>
      <c r="N97" t="s">
        <v>45</v>
      </c>
      <c r="O97" t="s">
        <v>46</v>
      </c>
      <c r="P97" s="5">
        <v>1</v>
      </c>
      <c r="Q97" s="11">
        <v>44676.402337962965</v>
      </c>
      <c r="R97" s="12">
        <v>44677</v>
      </c>
      <c r="T97" t="s">
        <v>47</v>
      </c>
      <c r="U97" t="s">
        <v>48</v>
      </c>
      <c r="V97" t="s">
        <v>49</v>
      </c>
      <c r="Y97" t="s">
        <v>364</v>
      </c>
      <c r="Z97">
        <v>20400</v>
      </c>
      <c r="AA97" t="s">
        <v>47</v>
      </c>
      <c r="AB97" t="s">
        <v>56</v>
      </c>
      <c r="AC97" t="s">
        <v>52</v>
      </c>
      <c r="AD97" s="13">
        <f t="shared" si="4"/>
        <v>4.9000000000000004</v>
      </c>
      <c r="AE97" s="14">
        <v>0</v>
      </c>
      <c r="AF97" s="14">
        <v>0</v>
      </c>
      <c r="AG97" s="14">
        <v>0</v>
      </c>
      <c r="AH97" s="14">
        <v>0</v>
      </c>
      <c r="AI97" s="14">
        <f t="shared" si="5"/>
        <v>0.29399999999999998</v>
      </c>
      <c r="AJ97" s="14">
        <f t="shared" si="6"/>
        <v>5.194</v>
      </c>
      <c r="AK97" t="s">
        <v>47</v>
      </c>
    </row>
    <row r="98" spans="1:37" ht="15" customHeight="1" x14ac:dyDescent="0.3">
      <c r="A98">
        <v>690929</v>
      </c>
      <c r="B98" t="s">
        <v>37</v>
      </c>
      <c r="C98" t="s">
        <v>38</v>
      </c>
      <c r="D98" s="9" t="s">
        <v>39</v>
      </c>
      <c r="E98" s="9" t="s">
        <v>37</v>
      </c>
      <c r="F98" s="10"/>
      <c r="G98" t="s">
        <v>365</v>
      </c>
      <c r="I98" t="s">
        <v>41</v>
      </c>
      <c r="J98" t="s">
        <v>366</v>
      </c>
      <c r="K98" t="s">
        <v>43</v>
      </c>
      <c r="L98">
        <v>2</v>
      </c>
      <c r="M98" t="s">
        <v>44</v>
      </c>
      <c r="N98" t="s">
        <v>45</v>
      </c>
      <c r="O98" t="s">
        <v>68</v>
      </c>
      <c r="P98" s="5">
        <v>1</v>
      </c>
      <c r="Q98" s="11">
        <v>44675.716249999998</v>
      </c>
      <c r="R98" s="12">
        <v>44677</v>
      </c>
      <c r="T98" t="s">
        <v>47</v>
      </c>
      <c r="U98" t="s">
        <v>48</v>
      </c>
      <c r="V98" t="s">
        <v>168</v>
      </c>
      <c r="Y98" t="s">
        <v>367</v>
      </c>
      <c r="Z98">
        <v>86000</v>
      </c>
      <c r="AA98" t="s">
        <v>47</v>
      </c>
      <c r="AB98" t="s">
        <v>368</v>
      </c>
      <c r="AC98" t="s">
        <v>52</v>
      </c>
      <c r="AD98" s="13">
        <f t="shared" ref="AD98:AD103" si="7">IF(P98&lt;=1,4.9,4.9+0.8*ROUNDUP(P98-1,0))</f>
        <v>4.9000000000000004</v>
      </c>
      <c r="AE98" s="14">
        <v>0</v>
      </c>
      <c r="AF98" s="14">
        <v>0</v>
      </c>
      <c r="AG98" s="14">
        <v>0</v>
      </c>
      <c r="AH98" s="14">
        <v>0</v>
      </c>
      <c r="AI98" s="14">
        <f t="shared" si="5"/>
        <v>0.29399999999999998</v>
      </c>
      <c r="AJ98" s="14">
        <f t="shared" si="6"/>
        <v>5.194</v>
      </c>
      <c r="AK98" t="s">
        <v>47</v>
      </c>
    </row>
    <row r="99" spans="1:37" ht="15" customHeight="1" x14ac:dyDescent="0.3">
      <c r="A99">
        <v>690929</v>
      </c>
      <c r="B99" t="s">
        <v>37</v>
      </c>
      <c r="C99" t="s">
        <v>38</v>
      </c>
      <c r="D99" s="9" t="s">
        <v>39</v>
      </c>
      <c r="E99" s="9" t="s">
        <v>37</v>
      </c>
      <c r="F99" s="10"/>
      <c r="G99" t="s">
        <v>369</v>
      </c>
      <c r="I99" t="s">
        <v>41</v>
      </c>
      <c r="J99" t="s">
        <v>370</v>
      </c>
      <c r="K99" t="s">
        <v>43</v>
      </c>
      <c r="L99">
        <v>2</v>
      </c>
      <c r="M99" t="s">
        <v>44</v>
      </c>
      <c r="N99" t="s">
        <v>45</v>
      </c>
      <c r="O99" t="s">
        <v>46</v>
      </c>
      <c r="P99" s="5">
        <v>1</v>
      </c>
      <c r="Q99" s="11">
        <v>44674.634004629632</v>
      </c>
      <c r="R99" s="12">
        <v>44677</v>
      </c>
      <c r="T99" t="s">
        <v>47</v>
      </c>
      <c r="U99" t="s">
        <v>48</v>
      </c>
      <c r="V99" t="s">
        <v>78</v>
      </c>
      <c r="Y99" t="s">
        <v>371</v>
      </c>
      <c r="Z99">
        <v>77000</v>
      </c>
      <c r="AA99" t="s">
        <v>47</v>
      </c>
      <c r="AB99" t="s">
        <v>80</v>
      </c>
      <c r="AC99" t="s">
        <v>52</v>
      </c>
      <c r="AD99" s="13">
        <f t="shared" si="7"/>
        <v>4.9000000000000004</v>
      </c>
      <c r="AE99" s="14">
        <v>0</v>
      </c>
      <c r="AF99" s="14">
        <v>0</v>
      </c>
      <c r="AG99" s="14">
        <v>0</v>
      </c>
      <c r="AH99" s="14">
        <v>0</v>
      </c>
      <c r="AI99" s="14">
        <f t="shared" si="5"/>
        <v>0.29399999999999998</v>
      </c>
      <c r="AJ99" s="14">
        <f t="shared" si="6"/>
        <v>5.194</v>
      </c>
      <c r="AK99" t="s">
        <v>47</v>
      </c>
    </row>
    <row r="100" spans="1:37" ht="15" customHeight="1" x14ac:dyDescent="0.3">
      <c r="A100">
        <v>690929</v>
      </c>
      <c r="B100" t="s">
        <v>37</v>
      </c>
      <c r="C100" t="s">
        <v>38</v>
      </c>
      <c r="D100" s="9" t="s">
        <v>39</v>
      </c>
      <c r="E100" s="9" t="s">
        <v>37</v>
      </c>
      <c r="F100" s="10"/>
      <c r="G100" t="s">
        <v>372</v>
      </c>
      <c r="I100" t="s">
        <v>41</v>
      </c>
      <c r="J100" t="s">
        <v>373</v>
      </c>
      <c r="K100" t="s">
        <v>43</v>
      </c>
      <c r="L100">
        <v>2</v>
      </c>
      <c r="M100" t="s">
        <v>44</v>
      </c>
      <c r="N100" t="s">
        <v>45</v>
      </c>
      <c r="O100" t="s">
        <v>46</v>
      </c>
      <c r="P100" s="5">
        <v>1</v>
      </c>
      <c r="Q100" s="11">
        <v>44674.758773148147</v>
      </c>
      <c r="R100" s="12">
        <v>44677</v>
      </c>
      <c r="T100" t="s">
        <v>47</v>
      </c>
      <c r="U100" t="s">
        <v>48</v>
      </c>
      <c r="V100" t="s">
        <v>100</v>
      </c>
      <c r="Y100" t="s">
        <v>374</v>
      </c>
      <c r="Z100">
        <v>47150</v>
      </c>
      <c r="AA100" t="s">
        <v>47</v>
      </c>
      <c r="AB100" t="s">
        <v>51</v>
      </c>
      <c r="AC100" t="s">
        <v>52</v>
      </c>
      <c r="AD100" s="13">
        <f t="shared" si="7"/>
        <v>4.9000000000000004</v>
      </c>
      <c r="AE100" s="14">
        <v>0</v>
      </c>
      <c r="AF100" s="14">
        <v>0</v>
      </c>
      <c r="AG100" s="14">
        <v>0</v>
      </c>
      <c r="AH100" s="14">
        <v>0</v>
      </c>
      <c r="AI100" s="14">
        <f t="shared" si="5"/>
        <v>0.29399999999999998</v>
      </c>
      <c r="AJ100" s="14">
        <f t="shared" si="6"/>
        <v>5.194</v>
      </c>
      <c r="AK100" t="s">
        <v>47</v>
      </c>
    </row>
    <row r="101" spans="1:37" ht="15" customHeight="1" x14ac:dyDescent="0.3">
      <c r="A101">
        <v>690929</v>
      </c>
      <c r="B101" t="s">
        <v>37</v>
      </c>
      <c r="C101" t="s">
        <v>38</v>
      </c>
      <c r="D101" s="9" t="s">
        <v>39</v>
      </c>
      <c r="E101" s="9" t="s">
        <v>37</v>
      </c>
      <c r="F101" s="10"/>
      <c r="G101" t="s">
        <v>375</v>
      </c>
      <c r="I101" t="s">
        <v>41</v>
      </c>
      <c r="J101" t="s">
        <v>376</v>
      </c>
      <c r="K101" t="s">
        <v>43</v>
      </c>
      <c r="L101">
        <v>2</v>
      </c>
      <c r="M101" t="s">
        <v>44</v>
      </c>
      <c r="N101" t="s">
        <v>45</v>
      </c>
      <c r="O101" t="s">
        <v>46</v>
      </c>
      <c r="P101" s="5">
        <v>1</v>
      </c>
      <c r="Q101" s="11">
        <v>44674.638275462959</v>
      </c>
      <c r="R101" s="12">
        <v>44677</v>
      </c>
      <c r="T101" t="s">
        <v>47</v>
      </c>
      <c r="U101" t="s">
        <v>48</v>
      </c>
      <c r="V101" t="s">
        <v>139</v>
      </c>
      <c r="Y101" t="s">
        <v>377</v>
      </c>
      <c r="Z101">
        <v>71500</v>
      </c>
      <c r="AA101" t="s">
        <v>47</v>
      </c>
      <c r="AB101" t="s">
        <v>51</v>
      </c>
      <c r="AC101" t="s">
        <v>52</v>
      </c>
      <c r="AD101" s="13">
        <f t="shared" si="7"/>
        <v>4.9000000000000004</v>
      </c>
      <c r="AE101" s="14">
        <v>0</v>
      </c>
      <c r="AF101" s="14">
        <v>0</v>
      </c>
      <c r="AG101" s="14">
        <v>0</v>
      </c>
      <c r="AH101" s="14">
        <v>0</v>
      </c>
      <c r="AI101" s="14">
        <f t="shared" si="5"/>
        <v>0.29399999999999998</v>
      </c>
      <c r="AJ101" s="14">
        <f t="shared" si="6"/>
        <v>5.194</v>
      </c>
      <c r="AK101" t="s">
        <v>47</v>
      </c>
    </row>
    <row r="102" spans="1:37" ht="15" customHeight="1" x14ac:dyDescent="0.3">
      <c r="A102">
        <v>690929</v>
      </c>
      <c r="B102" t="s">
        <v>37</v>
      </c>
      <c r="C102" t="s">
        <v>38</v>
      </c>
      <c r="D102" s="9" t="s">
        <v>39</v>
      </c>
      <c r="E102" s="9" t="s">
        <v>37</v>
      </c>
      <c r="F102" s="10"/>
      <c r="G102" t="s">
        <v>378</v>
      </c>
      <c r="I102" t="s">
        <v>41</v>
      </c>
      <c r="J102" t="s">
        <v>379</v>
      </c>
      <c r="K102" t="s">
        <v>43</v>
      </c>
      <c r="L102">
        <v>2</v>
      </c>
      <c r="M102" t="s">
        <v>44</v>
      </c>
      <c r="N102" t="s">
        <v>45</v>
      </c>
      <c r="O102" t="s">
        <v>46</v>
      </c>
      <c r="P102" s="5">
        <v>1</v>
      </c>
      <c r="Q102" s="11">
        <v>44674.729594907411</v>
      </c>
      <c r="R102" s="12">
        <v>44677</v>
      </c>
      <c r="T102" t="s">
        <v>47</v>
      </c>
      <c r="U102" t="s">
        <v>48</v>
      </c>
      <c r="V102" t="s">
        <v>100</v>
      </c>
      <c r="Y102" t="s">
        <v>380</v>
      </c>
      <c r="Z102">
        <v>68000</v>
      </c>
      <c r="AA102" t="s">
        <v>47</v>
      </c>
      <c r="AB102" t="s">
        <v>51</v>
      </c>
      <c r="AC102" t="s">
        <v>52</v>
      </c>
      <c r="AD102" s="13">
        <f t="shared" si="7"/>
        <v>4.9000000000000004</v>
      </c>
      <c r="AE102" s="14">
        <v>0</v>
      </c>
      <c r="AF102" s="14">
        <v>0</v>
      </c>
      <c r="AG102" s="14">
        <v>0</v>
      </c>
      <c r="AH102" s="14">
        <v>0</v>
      </c>
      <c r="AI102" s="14">
        <f t="shared" si="5"/>
        <v>0.29399999999999998</v>
      </c>
      <c r="AJ102" s="14">
        <f t="shared" si="6"/>
        <v>5.194</v>
      </c>
      <c r="AK102" t="s">
        <v>47</v>
      </c>
    </row>
    <row r="103" spans="1:37" ht="15" customHeight="1" x14ac:dyDescent="0.3">
      <c r="A103">
        <v>690929</v>
      </c>
      <c r="B103" t="s">
        <v>37</v>
      </c>
      <c r="C103" t="s">
        <v>38</v>
      </c>
      <c r="D103" s="9" t="s">
        <v>39</v>
      </c>
      <c r="E103" s="9" t="s">
        <v>37</v>
      </c>
      <c r="F103" s="10"/>
      <c r="G103" t="s">
        <v>381</v>
      </c>
      <c r="I103" t="s">
        <v>41</v>
      </c>
      <c r="J103" t="s">
        <v>382</v>
      </c>
      <c r="K103" t="s">
        <v>43</v>
      </c>
      <c r="L103">
        <v>2</v>
      </c>
      <c r="M103" t="s">
        <v>44</v>
      </c>
      <c r="N103" t="s">
        <v>45</v>
      </c>
      <c r="O103" t="s">
        <v>46</v>
      </c>
      <c r="P103" s="5">
        <v>1</v>
      </c>
      <c r="Q103" s="11">
        <v>44675.615740740737</v>
      </c>
      <c r="R103" s="12">
        <v>44677</v>
      </c>
      <c r="T103" t="s">
        <v>47</v>
      </c>
      <c r="U103" t="s">
        <v>48</v>
      </c>
      <c r="V103" t="s">
        <v>91</v>
      </c>
      <c r="Y103" t="s">
        <v>383</v>
      </c>
      <c r="Z103">
        <v>57000</v>
      </c>
      <c r="AA103" t="s">
        <v>47</v>
      </c>
      <c r="AB103" t="s">
        <v>51</v>
      </c>
      <c r="AC103" t="s">
        <v>52</v>
      </c>
      <c r="AD103" s="13">
        <f t="shared" si="7"/>
        <v>4.9000000000000004</v>
      </c>
      <c r="AE103" s="14">
        <v>0</v>
      </c>
      <c r="AF103" s="14">
        <v>0</v>
      </c>
      <c r="AG103" s="14">
        <v>0</v>
      </c>
      <c r="AH103" s="14">
        <v>0</v>
      </c>
      <c r="AI103" s="14">
        <f t="shared" si="5"/>
        <v>0.29399999999999998</v>
      </c>
      <c r="AJ103" s="14">
        <f t="shared" si="6"/>
        <v>5.194</v>
      </c>
      <c r="AK103" t="s">
        <v>47</v>
      </c>
    </row>
    <row r="104" spans="1:37" ht="15" customHeight="1" x14ac:dyDescent="0.3">
      <c r="A104">
        <v>690929</v>
      </c>
      <c r="B104" t="s">
        <v>37</v>
      </c>
      <c r="C104" t="s">
        <v>38</v>
      </c>
      <c r="D104" s="9" t="s">
        <v>39</v>
      </c>
      <c r="E104" s="9" t="s">
        <v>37</v>
      </c>
      <c r="F104" s="10"/>
      <c r="G104" t="s">
        <v>384</v>
      </c>
      <c r="I104" t="s">
        <v>41</v>
      </c>
      <c r="J104" t="s">
        <v>385</v>
      </c>
      <c r="K104" t="s">
        <v>43</v>
      </c>
      <c r="L104">
        <v>2</v>
      </c>
      <c r="M104" t="s">
        <v>44</v>
      </c>
      <c r="N104" t="s">
        <v>45</v>
      </c>
      <c r="O104" t="s">
        <v>46</v>
      </c>
      <c r="P104" s="5">
        <v>1</v>
      </c>
      <c r="Q104" s="11">
        <v>44672.387349537035</v>
      </c>
      <c r="R104" s="12">
        <v>44677</v>
      </c>
      <c r="T104" t="s">
        <v>47</v>
      </c>
      <c r="U104" t="s">
        <v>48</v>
      </c>
      <c r="V104" t="s">
        <v>386</v>
      </c>
      <c r="Y104" t="s">
        <v>387</v>
      </c>
      <c r="Z104">
        <v>89500</v>
      </c>
      <c r="AA104" t="s">
        <v>388</v>
      </c>
      <c r="AB104" t="s">
        <v>80</v>
      </c>
      <c r="AC104" t="s">
        <v>52</v>
      </c>
      <c r="AD104" s="15">
        <f>IF(P104&lt;=1,13,IF(P104&lt;=2,23,IF(P104&lt;=3,35,IF(P104&lt;=4,43,IF(P104&lt;=5,53,IF(P104&lt;=6,63,IF(P104&lt;=7,71,IF(P104&lt;=8,79,IF(P104&lt;=9,87,IF(P104&lt;=10,95,IF(P104&lt;=11,105,IF(P104&lt;=12,114,IF(P104&lt;=13,119,IF(P104&lt;=14,127,IF(P104&lt;=15,135,IF(P104&lt;=16,143,IF(P104&lt;=17,153,IF(P104&lt;=18,163,IF(P104&lt;=19,171,IF(P104&lt;=20,185,IF(P104&lt;=21,193,IF(P104&lt;=22,201,IF(P104&lt;=23,210,IF(P104&lt;=24,220,IF(P104&lt;=25,230,IF(P104&lt;=26,240,IF(P104&lt;=27,250,IF(P104&lt;=28,260,IF(P104&lt;=29,270,IF(P104&lt;=30,280,280))))))))))))))))))))))))))))))</f>
        <v>13</v>
      </c>
      <c r="AE104" s="14">
        <v>0</v>
      </c>
      <c r="AF104" s="14">
        <v>0</v>
      </c>
      <c r="AG104" s="14">
        <v>0</v>
      </c>
      <c r="AH104" s="14">
        <v>0</v>
      </c>
      <c r="AI104" s="14">
        <f t="shared" si="5"/>
        <v>0.78</v>
      </c>
      <c r="AJ104" s="14">
        <f t="shared" si="6"/>
        <v>13.78</v>
      </c>
      <c r="AK104" t="s">
        <v>388</v>
      </c>
    </row>
    <row r="105" spans="1:37" ht="15" customHeight="1" x14ac:dyDescent="0.3">
      <c r="A105">
        <v>690929</v>
      </c>
      <c r="B105" t="s">
        <v>37</v>
      </c>
      <c r="C105" t="s">
        <v>38</v>
      </c>
      <c r="D105" s="9" t="s">
        <v>39</v>
      </c>
      <c r="E105" s="9" t="s">
        <v>37</v>
      </c>
      <c r="F105" s="10"/>
      <c r="G105" t="s">
        <v>389</v>
      </c>
      <c r="I105" t="s">
        <v>41</v>
      </c>
      <c r="J105" t="s">
        <v>390</v>
      </c>
      <c r="K105" t="s">
        <v>43</v>
      </c>
      <c r="L105">
        <v>2</v>
      </c>
      <c r="M105" t="s">
        <v>44</v>
      </c>
      <c r="N105" t="s">
        <v>45</v>
      </c>
      <c r="O105" t="s">
        <v>46</v>
      </c>
      <c r="P105" s="5">
        <v>1</v>
      </c>
      <c r="Q105" s="11">
        <v>44674.731469907405</v>
      </c>
      <c r="R105" s="12">
        <v>44677</v>
      </c>
      <c r="T105" t="s">
        <v>47</v>
      </c>
      <c r="U105" t="s">
        <v>48</v>
      </c>
      <c r="V105" t="s">
        <v>100</v>
      </c>
      <c r="Y105" t="s">
        <v>391</v>
      </c>
      <c r="Z105">
        <v>45300</v>
      </c>
      <c r="AA105" t="s">
        <v>47</v>
      </c>
      <c r="AB105" t="s">
        <v>51</v>
      </c>
      <c r="AC105" t="s">
        <v>52</v>
      </c>
      <c r="AD105" s="13">
        <f t="shared" ref="AD105:AD122" si="8">IF(P105&lt;=1,4.9,4.9+0.8*ROUNDUP(P105-1,0))</f>
        <v>4.9000000000000004</v>
      </c>
      <c r="AE105" s="14">
        <v>0</v>
      </c>
      <c r="AF105" s="14">
        <v>0</v>
      </c>
      <c r="AG105" s="14">
        <v>0</v>
      </c>
      <c r="AH105" s="14">
        <v>0</v>
      </c>
      <c r="AI105" s="14">
        <f t="shared" si="5"/>
        <v>0.29399999999999998</v>
      </c>
      <c r="AJ105" s="14">
        <f t="shared" si="6"/>
        <v>5.194</v>
      </c>
      <c r="AK105" t="s">
        <v>47</v>
      </c>
    </row>
    <row r="106" spans="1:37" ht="15" customHeight="1" x14ac:dyDescent="0.3">
      <c r="A106">
        <v>690929</v>
      </c>
      <c r="B106" t="s">
        <v>37</v>
      </c>
      <c r="C106" t="s">
        <v>38</v>
      </c>
      <c r="D106" s="9" t="s">
        <v>39</v>
      </c>
      <c r="E106" s="9" t="s">
        <v>37</v>
      </c>
      <c r="F106" s="10"/>
      <c r="G106" t="s">
        <v>392</v>
      </c>
      <c r="I106" t="s">
        <v>41</v>
      </c>
      <c r="J106" t="s">
        <v>393</v>
      </c>
      <c r="K106" t="s">
        <v>43</v>
      </c>
      <c r="L106">
        <v>2</v>
      </c>
      <c r="M106" t="s">
        <v>44</v>
      </c>
      <c r="N106" t="s">
        <v>45</v>
      </c>
      <c r="O106" t="s">
        <v>46</v>
      </c>
      <c r="P106" s="5">
        <v>1</v>
      </c>
      <c r="Q106" s="11">
        <v>44673.657210648147</v>
      </c>
      <c r="R106" s="12">
        <v>44677</v>
      </c>
      <c r="T106" t="s">
        <v>47</v>
      </c>
      <c r="U106" t="s">
        <v>48</v>
      </c>
      <c r="V106" t="s">
        <v>139</v>
      </c>
      <c r="Y106" t="s">
        <v>394</v>
      </c>
      <c r="Z106">
        <v>71600</v>
      </c>
      <c r="AA106" t="s">
        <v>47</v>
      </c>
      <c r="AB106" t="s">
        <v>51</v>
      </c>
      <c r="AC106" t="s">
        <v>52</v>
      </c>
      <c r="AD106" s="13">
        <f t="shared" si="8"/>
        <v>4.9000000000000004</v>
      </c>
      <c r="AE106" s="14">
        <v>0</v>
      </c>
      <c r="AF106" s="14">
        <v>0</v>
      </c>
      <c r="AG106" s="14">
        <v>0</v>
      </c>
      <c r="AH106" s="14">
        <v>0</v>
      </c>
      <c r="AI106" s="14">
        <f t="shared" si="5"/>
        <v>0.29399999999999998</v>
      </c>
      <c r="AJ106" s="14">
        <f t="shared" si="6"/>
        <v>5.194</v>
      </c>
      <c r="AK106" t="s">
        <v>47</v>
      </c>
    </row>
    <row r="107" spans="1:37" ht="15" customHeight="1" x14ac:dyDescent="0.3">
      <c r="A107">
        <v>690929</v>
      </c>
      <c r="B107" t="s">
        <v>37</v>
      </c>
      <c r="C107" t="s">
        <v>38</v>
      </c>
      <c r="D107" s="9" t="s">
        <v>39</v>
      </c>
      <c r="E107" s="9" t="s">
        <v>37</v>
      </c>
      <c r="F107" s="10"/>
      <c r="G107" t="s">
        <v>395</v>
      </c>
      <c r="I107" t="s">
        <v>41</v>
      </c>
      <c r="J107" t="s">
        <v>396</v>
      </c>
      <c r="K107" t="s">
        <v>43</v>
      </c>
      <c r="L107">
        <v>2</v>
      </c>
      <c r="M107" t="s">
        <v>44</v>
      </c>
      <c r="N107" t="s">
        <v>45</v>
      </c>
      <c r="O107" t="s">
        <v>46</v>
      </c>
      <c r="P107" s="5">
        <v>1</v>
      </c>
      <c r="Q107" s="11">
        <v>44674.414525462962</v>
      </c>
      <c r="R107" s="12">
        <v>44677</v>
      </c>
      <c r="T107" t="s">
        <v>47</v>
      </c>
      <c r="U107" t="s">
        <v>48</v>
      </c>
      <c r="V107" t="s">
        <v>156</v>
      </c>
      <c r="Y107" t="s">
        <v>397</v>
      </c>
      <c r="Z107">
        <v>32800</v>
      </c>
      <c r="AA107" t="s">
        <v>47</v>
      </c>
      <c r="AB107" t="s">
        <v>158</v>
      </c>
      <c r="AC107" t="s">
        <v>52</v>
      </c>
      <c r="AD107" s="13">
        <f t="shared" si="8"/>
        <v>4.9000000000000004</v>
      </c>
      <c r="AE107" s="14">
        <v>0</v>
      </c>
      <c r="AF107" s="14">
        <v>0</v>
      </c>
      <c r="AG107" s="14">
        <v>0</v>
      </c>
      <c r="AH107" s="14">
        <v>0</v>
      </c>
      <c r="AI107" s="14">
        <f t="shared" si="5"/>
        <v>0.29399999999999998</v>
      </c>
      <c r="AJ107" s="14">
        <f t="shared" si="6"/>
        <v>5.194</v>
      </c>
      <c r="AK107" t="s">
        <v>47</v>
      </c>
    </row>
    <row r="108" spans="1:37" ht="15" customHeight="1" x14ac:dyDescent="0.3">
      <c r="A108">
        <v>690929</v>
      </c>
      <c r="B108" t="s">
        <v>37</v>
      </c>
      <c r="C108" t="s">
        <v>38</v>
      </c>
      <c r="D108" s="9" t="s">
        <v>39</v>
      </c>
      <c r="E108" s="9" t="s">
        <v>37</v>
      </c>
      <c r="F108" s="10"/>
      <c r="G108" t="s">
        <v>398</v>
      </c>
      <c r="I108" t="s">
        <v>41</v>
      </c>
      <c r="J108" t="s">
        <v>399</v>
      </c>
      <c r="K108" t="s">
        <v>43</v>
      </c>
      <c r="L108">
        <v>2</v>
      </c>
      <c r="M108" t="s">
        <v>44</v>
      </c>
      <c r="N108" t="s">
        <v>45</v>
      </c>
      <c r="O108" t="s">
        <v>46</v>
      </c>
      <c r="P108" s="5">
        <v>1</v>
      </c>
      <c r="Q108" s="11">
        <v>44676.727326388886</v>
      </c>
      <c r="R108" s="12">
        <v>44677</v>
      </c>
      <c r="T108" t="s">
        <v>47</v>
      </c>
      <c r="U108" t="s">
        <v>48</v>
      </c>
      <c r="V108" t="s">
        <v>74</v>
      </c>
      <c r="Y108" t="s">
        <v>400</v>
      </c>
      <c r="Z108">
        <v>17610</v>
      </c>
      <c r="AA108" t="s">
        <v>47</v>
      </c>
      <c r="AB108" t="s">
        <v>51</v>
      </c>
      <c r="AC108" t="s">
        <v>52</v>
      </c>
      <c r="AD108" s="13">
        <f t="shared" si="8"/>
        <v>4.9000000000000004</v>
      </c>
      <c r="AE108" s="14">
        <v>0</v>
      </c>
      <c r="AF108" s="14">
        <v>0</v>
      </c>
      <c r="AG108" s="14">
        <v>0</v>
      </c>
      <c r="AH108" s="14">
        <v>0</v>
      </c>
      <c r="AI108" s="14">
        <f t="shared" si="5"/>
        <v>0.29399999999999998</v>
      </c>
      <c r="AJ108" s="14">
        <f t="shared" si="6"/>
        <v>5.194</v>
      </c>
      <c r="AK108" t="s">
        <v>47</v>
      </c>
    </row>
    <row r="109" spans="1:37" ht="15" customHeight="1" x14ac:dyDescent="0.3">
      <c r="A109">
        <v>690929</v>
      </c>
      <c r="B109" t="s">
        <v>37</v>
      </c>
      <c r="C109" t="s">
        <v>38</v>
      </c>
      <c r="D109" s="9" t="s">
        <v>39</v>
      </c>
      <c r="E109" s="9" t="s">
        <v>37</v>
      </c>
      <c r="F109" s="10"/>
      <c r="G109" t="s">
        <v>401</v>
      </c>
      <c r="I109" t="s">
        <v>41</v>
      </c>
      <c r="J109" t="s">
        <v>402</v>
      </c>
      <c r="K109" t="s">
        <v>43</v>
      </c>
      <c r="L109">
        <v>2</v>
      </c>
      <c r="M109" t="s">
        <v>44</v>
      </c>
      <c r="N109" t="s">
        <v>45</v>
      </c>
      <c r="O109" t="s">
        <v>46</v>
      </c>
      <c r="P109" s="5">
        <v>1</v>
      </c>
      <c r="Q109" s="11">
        <v>44674.381226851852</v>
      </c>
      <c r="R109" s="12">
        <v>44677</v>
      </c>
      <c r="T109" t="s">
        <v>47</v>
      </c>
      <c r="U109" t="s">
        <v>51</v>
      </c>
      <c r="V109" t="s">
        <v>49</v>
      </c>
      <c r="Y109" t="s">
        <v>403</v>
      </c>
      <c r="Z109">
        <v>21300</v>
      </c>
      <c r="AA109" t="s">
        <v>47</v>
      </c>
      <c r="AB109" t="s">
        <v>51</v>
      </c>
      <c r="AC109" t="s">
        <v>52</v>
      </c>
      <c r="AD109" s="13">
        <f t="shared" si="8"/>
        <v>4.9000000000000004</v>
      </c>
      <c r="AE109" s="14">
        <v>0</v>
      </c>
      <c r="AF109" s="14">
        <v>0</v>
      </c>
      <c r="AG109" s="14">
        <v>0</v>
      </c>
      <c r="AH109" s="14">
        <v>0</v>
      </c>
      <c r="AI109" s="14">
        <f t="shared" si="5"/>
        <v>0.29399999999999998</v>
      </c>
      <c r="AJ109" s="14">
        <f t="shared" si="6"/>
        <v>5.194</v>
      </c>
      <c r="AK109" t="s">
        <v>47</v>
      </c>
    </row>
    <row r="110" spans="1:37" ht="15" customHeight="1" x14ac:dyDescent="0.3">
      <c r="A110">
        <v>690929</v>
      </c>
      <c r="B110" t="s">
        <v>37</v>
      </c>
      <c r="C110" t="s">
        <v>38</v>
      </c>
      <c r="D110" s="9" t="s">
        <v>39</v>
      </c>
      <c r="E110" s="9" t="s">
        <v>37</v>
      </c>
      <c r="F110" s="10"/>
      <c r="G110" t="s">
        <v>404</v>
      </c>
      <c r="I110" t="s">
        <v>41</v>
      </c>
      <c r="J110" t="s">
        <v>405</v>
      </c>
      <c r="K110" t="s">
        <v>43</v>
      </c>
      <c r="L110">
        <v>2</v>
      </c>
      <c r="M110" t="s">
        <v>44</v>
      </c>
      <c r="N110" t="s">
        <v>45</v>
      </c>
      <c r="O110" t="s">
        <v>46</v>
      </c>
      <c r="P110" s="5">
        <v>1</v>
      </c>
      <c r="Q110" s="11">
        <v>44672.552858796298</v>
      </c>
      <c r="R110" s="12">
        <v>44677</v>
      </c>
      <c r="T110" t="s">
        <v>47</v>
      </c>
      <c r="U110" t="s">
        <v>48</v>
      </c>
      <c r="V110" t="s">
        <v>96</v>
      </c>
      <c r="Y110" t="s">
        <v>406</v>
      </c>
      <c r="Z110">
        <v>5400</v>
      </c>
      <c r="AA110" t="s">
        <v>47</v>
      </c>
      <c r="AB110" t="s">
        <v>80</v>
      </c>
      <c r="AC110" t="s">
        <v>52</v>
      </c>
      <c r="AD110" s="13">
        <f t="shared" si="8"/>
        <v>4.9000000000000004</v>
      </c>
      <c r="AE110" s="14">
        <v>0</v>
      </c>
      <c r="AF110" s="14">
        <v>0</v>
      </c>
      <c r="AG110" s="14">
        <v>0</v>
      </c>
      <c r="AH110" s="14">
        <v>0</v>
      </c>
      <c r="AI110" s="14">
        <f t="shared" si="5"/>
        <v>0.29399999999999998</v>
      </c>
      <c r="AJ110" s="14">
        <f t="shared" si="6"/>
        <v>5.194</v>
      </c>
      <c r="AK110" t="s">
        <v>47</v>
      </c>
    </row>
    <row r="111" spans="1:37" ht="15" customHeight="1" x14ac:dyDescent="0.3">
      <c r="A111">
        <v>690929</v>
      </c>
      <c r="B111" t="s">
        <v>37</v>
      </c>
      <c r="C111" t="s">
        <v>38</v>
      </c>
      <c r="D111" s="9" t="s">
        <v>39</v>
      </c>
      <c r="E111" s="9" t="s">
        <v>37</v>
      </c>
      <c r="F111" s="10"/>
      <c r="G111" t="s">
        <v>407</v>
      </c>
      <c r="I111" t="s">
        <v>41</v>
      </c>
      <c r="J111" t="s">
        <v>408</v>
      </c>
      <c r="K111" t="s">
        <v>43</v>
      </c>
      <c r="L111">
        <v>2</v>
      </c>
      <c r="M111" t="s">
        <v>44</v>
      </c>
      <c r="N111" t="s">
        <v>45</v>
      </c>
      <c r="O111" t="s">
        <v>46</v>
      </c>
      <c r="P111" s="5">
        <v>1</v>
      </c>
      <c r="Q111" s="11">
        <v>44674.741041666668</v>
      </c>
      <c r="R111" s="12">
        <v>44677</v>
      </c>
      <c r="T111" t="s">
        <v>47</v>
      </c>
      <c r="U111" t="s">
        <v>48</v>
      </c>
      <c r="V111" t="s">
        <v>100</v>
      </c>
      <c r="Y111" t="s">
        <v>409</v>
      </c>
      <c r="Z111">
        <v>43100</v>
      </c>
      <c r="AA111" t="s">
        <v>47</v>
      </c>
      <c r="AB111" t="s">
        <v>51</v>
      </c>
      <c r="AC111" t="s">
        <v>52</v>
      </c>
      <c r="AD111" s="13">
        <f t="shared" si="8"/>
        <v>4.9000000000000004</v>
      </c>
      <c r="AE111" s="14">
        <v>0</v>
      </c>
      <c r="AF111" s="14">
        <v>0</v>
      </c>
      <c r="AG111" s="14">
        <v>0</v>
      </c>
      <c r="AH111" s="14">
        <v>0</v>
      </c>
      <c r="AI111" s="14">
        <f t="shared" si="5"/>
        <v>0.29399999999999998</v>
      </c>
      <c r="AJ111" s="14">
        <f t="shared" si="6"/>
        <v>5.194</v>
      </c>
      <c r="AK111" t="s">
        <v>47</v>
      </c>
    </row>
    <row r="112" spans="1:37" ht="15" customHeight="1" x14ac:dyDescent="0.3">
      <c r="A112">
        <v>690929</v>
      </c>
      <c r="B112" t="s">
        <v>37</v>
      </c>
      <c r="C112" t="s">
        <v>38</v>
      </c>
      <c r="D112" s="9" t="s">
        <v>39</v>
      </c>
      <c r="E112" s="9" t="s">
        <v>37</v>
      </c>
      <c r="F112" s="10"/>
      <c r="G112" t="s">
        <v>410</v>
      </c>
      <c r="I112" t="s">
        <v>41</v>
      </c>
      <c r="J112" t="s">
        <v>411</v>
      </c>
      <c r="K112" t="s">
        <v>43</v>
      </c>
      <c r="L112">
        <v>2</v>
      </c>
      <c r="M112" t="s">
        <v>44</v>
      </c>
      <c r="N112" t="s">
        <v>45</v>
      </c>
      <c r="O112" t="s">
        <v>46</v>
      </c>
      <c r="P112" s="5">
        <v>1</v>
      </c>
      <c r="Q112" s="11">
        <v>44675.618483796294</v>
      </c>
      <c r="R112" s="12">
        <v>44677</v>
      </c>
      <c r="T112" t="s">
        <v>47</v>
      </c>
      <c r="U112" t="s">
        <v>48</v>
      </c>
      <c r="V112" t="s">
        <v>100</v>
      </c>
      <c r="Y112" t="s">
        <v>412</v>
      </c>
      <c r="Z112">
        <v>43950</v>
      </c>
      <c r="AA112" t="s">
        <v>47</v>
      </c>
      <c r="AB112" t="s">
        <v>51</v>
      </c>
      <c r="AC112" t="s">
        <v>52</v>
      </c>
      <c r="AD112" s="13">
        <f t="shared" si="8"/>
        <v>4.9000000000000004</v>
      </c>
      <c r="AE112" s="14">
        <v>0</v>
      </c>
      <c r="AF112" s="14">
        <v>0</v>
      </c>
      <c r="AG112" s="14">
        <v>0</v>
      </c>
      <c r="AH112" s="14">
        <v>0</v>
      </c>
      <c r="AI112" s="14">
        <f t="shared" si="5"/>
        <v>0.29399999999999998</v>
      </c>
      <c r="AJ112" s="14">
        <f t="shared" si="6"/>
        <v>5.194</v>
      </c>
      <c r="AK112" t="s">
        <v>47</v>
      </c>
    </row>
    <row r="113" spans="1:37" ht="15" customHeight="1" x14ac:dyDescent="0.3">
      <c r="A113">
        <v>690929</v>
      </c>
      <c r="B113" t="s">
        <v>37</v>
      </c>
      <c r="C113" t="s">
        <v>38</v>
      </c>
      <c r="D113" s="9" t="s">
        <v>39</v>
      </c>
      <c r="E113" s="9" t="s">
        <v>37</v>
      </c>
      <c r="F113" s="10"/>
      <c r="G113" t="s">
        <v>413</v>
      </c>
      <c r="I113" t="s">
        <v>41</v>
      </c>
      <c r="J113" t="s">
        <v>414</v>
      </c>
      <c r="K113" t="s">
        <v>43</v>
      </c>
      <c r="L113">
        <v>2</v>
      </c>
      <c r="M113" t="s">
        <v>44</v>
      </c>
      <c r="N113" t="s">
        <v>45</v>
      </c>
      <c r="O113" t="s">
        <v>46</v>
      </c>
      <c r="P113" s="5">
        <v>1</v>
      </c>
      <c r="Q113" s="11">
        <v>44674.747731481482</v>
      </c>
      <c r="R113" s="12">
        <v>44677</v>
      </c>
      <c r="T113" t="s">
        <v>47</v>
      </c>
      <c r="U113" t="s">
        <v>48</v>
      </c>
      <c r="V113" t="s">
        <v>100</v>
      </c>
      <c r="Y113" t="s">
        <v>415</v>
      </c>
      <c r="Z113">
        <v>44000</v>
      </c>
      <c r="AA113" t="s">
        <v>47</v>
      </c>
      <c r="AB113" t="s">
        <v>51</v>
      </c>
      <c r="AC113" t="s">
        <v>52</v>
      </c>
      <c r="AD113" s="13">
        <f t="shared" si="8"/>
        <v>4.9000000000000004</v>
      </c>
      <c r="AE113" s="14">
        <v>0</v>
      </c>
      <c r="AF113" s="14">
        <v>0</v>
      </c>
      <c r="AG113" s="14">
        <v>0</v>
      </c>
      <c r="AH113" s="14">
        <v>0</v>
      </c>
      <c r="AI113" s="14">
        <f t="shared" si="5"/>
        <v>0.29399999999999998</v>
      </c>
      <c r="AJ113" s="14">
        <f t="shared" si="6"/>
        <v>5.194</v>
      </c>
      <c r="AK113" t="s">
        <v>47</v>
      </c>
    </row>
    <row r="114" spans="1:37" ht="15" customHeight="1" x14ac:dyDescent="0.3">
      <c r="A114">
        <v>690929</v>
      </c>
      <c r="B114" t="s">
        <v>37</v>
      </c>
      <c r="C114" t="s">
        <v>38</v>
      </c>
      <c r="D114" s="9" t="s">
        <v>39</v>
      </c>
      <c r="E114" s="9" t="s">
        <v>37</v>
      </c>
      <c r="F114" s="10"/>
      <c r="G114" t="s">
        <v>416</v>
      </c>
      <c r="I114" t="s">
        <v>41</v>
      </c>
      <c r="J114" t="s">
        <v>417</v>
      </c>
      <c r="K114" t="s">
        <v>43</v>
      </c>
      <c r="L114">
        <v>2</v>
      </c>
      <c r="M114" t="s">
        <v>44</v>
      </c>
      <c r="N114" t="s">
        <v>45</v>
      </c>
      <c r="O114" t="s">
        <v>46</v>
      </c>
      <c r="P114" s="5">
        <v>1</v>
      </c>
      <c r="Q114" s="11">
        <v>44675.712418981479</v>
      </c>
      <c r="R114" s="12">
        <v>44677</v>
      </c>
      <c r="T114" t="s">
        <v>47</v>
      </c>
      <c r="U114" t="s">
        <v>48</v>
      </c>
      <c r="V114" t="s">
        <v>100</v>
      </c>
      <c r="Y114" t="s">
        <v>418</v>
      </c>
      <c r="Z114">
        <v>48000</v>
      </c>
      <c r="AA114" t="s">
        <v>47</v>
      </c>
      <c r="AB114" t="s">
        <v>51</v>
      </c>
      <c r="AC114" t="s">
        <v>52</v>
      </c>
      <c r="AD114" s="13">
        <f t="shared" si="8"/>
        <v>4.9000000000000004</v>
      </c>
      <c r="AE114" s="14">
        <v>0</v>
      </c>
      <c r="AF114" s="14">
        <v>0</v>
      </c>
      <c r="AG114" s="14">
        <v>0</v>
      </c>
      <c r="AH114" s="14">
        <v>0</v>
      </c>
      <c r="AI114" s="14">
        <f t="shared" si="5"/>
        <v>0.29399999999999998</v>
      </c>
      <c r="AJ114" s="14">
        <f t="shared" si="6"/>
        <v>5.194</v>
      </c>
      <c r="AK114" t="s">
        <v>47</v>
      </c>
    </row>
    <row r="115" spans="1:37" ht="15" customHeight="1" x14ac:dyDescent="0.3">
      <c r="A115">
        <v>690929</v>
      </c>
      <c r="B115" t="s">
        <v>37</v>
      </c>
      <c r="C115" t="s">
        <v>38</v>
      </c>
      <c r="D115" s="9" t="s">
        <v>39</v>
      </c>
      <c r="E115" s="9" t="s">
        <v>37</v>
      </c>
      <c r="F115" s="10"/>
      <c r="G115" t="s">
        <v>419</v>
      </c>
      <c r="I115" t="s">
        <v>41</v>
      </c>
      <c r="J115" t="s">
        <v>420</v>
      </c>
      <c r="K115" t="s">
        <v>43</v>
      </c>
      <c r="L115">
        <v>2</v>
      </c>
      <c r="M115" t="s">
        <v>44</v>
      </c>
      <c r="N115" t="s">
        <v>45</v>
      </c>
      <c r="O115" t="s">
        <v>46</v>
      </c>
      <c r="P115" s="5">
        <v>1</v>
      </c>
      <c r="Q115" s="11">
        <v>44676.407766203702</v>
      </c>
      <c r="R115" s="12">
        <v>44678</v>
      </c>
      <c r="T115" t="s">
        <v>47</v>
      </c>
      <c r="U115" t="s">
        <v>48</v>
      </c>
      <c r="V115" t="s">
        <v>100</v>
      </c>
      <c r="Y115" t="s">
        <v>421</v>
      </c>
      <c r="Z115">
        <v>40170</v>
      </c>
      <c r="AA115" t="s">
        <v>47</v>
      </c>
      <c r="AB115" t="s">
        <v>51</v>
      </c>
      <c r="AC115" t="s">
        <v>52</v>
      </c>
      <c r="AD115" s="13">
        <f t="shared" si="8"/>
        <v>4.9000000000000004</v>
      </c>
      <c r="AE115" s="14">
        <v>0</v>
      </c>
      <c r="AF115" s="14">
        <v>0</v>
      </c>
      <c r="AG115" s="14">
        <v>0</v>
      </c>
      <c r="AH115" s="14">
        <v>0</v>
      </c>
      <c r="AI115" s="14">
        <f t="shared" si="5"/>
        <v>0.29399999999999998</v>
      </c>
      <c r="AJ115" s="14">
        <f t="shared" si="6"/>
        <v>5.194</v>
      </c>
      <c r="AK115" t="s">
        <v>47</v>
      </c>
    </row>
    <row r="116" spans="1:37" ht="15" customHeight="1" x14ac:dyDescent="0.3">
      <c r="A116">
        <v>690929</v>
      </c>
      <c r="B116" t="s">
        <v>37</v>
      </c>
      <c r="C116" t="s">
        <v>38</v>
      </c>
      <c r="D116" s="9" t="s">
        <v>39</v>
      </c>
      <c r="E116" s="9" t="s">
        <v>37</v>
      </c>
      <c r="F116" s="10"/>
      <c r="G116" t="s">
        <v>422</v>
      </c>
      <c r="I116" t="s">
        <v>41</v>
      </c>
      <c r="J116" t="s">
        <v>423</v>
      </c>
      <c r="K116" t="s">
        <v>43</v>
      </c>
      <c r="L116">
        <v>2</v>
      </c>
      <c r="M116" t="s">
        <v>44</v>
      </c>
      <c r="N116" t="s">
        <v>45</v>
      </c>
      <c r="O116" t="s">
        <v>63</v>
      </c>
      <c r="P116" s="5">
        <v>6</v>
      </c>
      <c r="Q116" s="11">
        <v>44675.767071759263</v>
      </c>
      <c r="R116" s="12">
        <v>44678</v>
      </c>
      <c r="T116" t="s">
        <v>47</v>
      </c>
      <c r="U116" t="s">
        <v>48</v>
      </c>
      <c r="V116" t="s">
        <v>168</v>
      </c>
      <c r="Y116" t="s">
        <v>424</v>
      </c>
      <c r="Z116">
        <v>86800</v>
      </c>
      <c r="AA116" t="s">
        <v>47</v>
      </c>
      <c r="AB116" t="s">
        <v>425</v>
      </c>
      <c r="AC116" t="s">
        <v>52</v>
      </c>
      <c r="AD116" s="13">
        <f t="shared" si="8"/>
        <v>8.9</v>
      </c>
      <c r="AE116" s="14">
        <v>0</v>
      </c>
      <c r="AF116" s="14">
        <v>0</v>
      </c>
      <c r="AG116" s="14">
        <v>0</v>
      </c>
      <c r="AH116" s="14">
        <v>0</v>
      </c>
      <c r="AI116" s="14">
        <f t="shared" si="5"/>
        <v>0.53400000000000003</v>
      </c>
      <c r="AJ116" s="14">
        <f t="shared" si="6"/>
        <v>9.4340000000000011</v>
      </c>
      <c r="AK116" t="s">
        <v>47</v>
      </c>
    </row>
    <row r="117" spans="1:37" ht="15" customHeight="1" x14ac:dyDescent="0.3">
      <c r="A117">
        <v>690929</v>
      </c>
      <c r="B117" t="s">
        <v>37</v>
      </c>
      <c r="C117" t="s">
        <v>38</v>
      </c>
      <c r="D117" s="9" t="s">
        <v>39</v>
      </c>
      <c r="E117" s="9" t="s">
        <v>37</v>
      </c>
      <c r="F117" s="10"/>
      <c r="G117" t="s">
        <v>426</v>
      </c>
      <c r="I117" t="s">
        <v>41</v>
      </c>
      <c r="J117" t="s">
        <v>423</v>
      </c>
      <c r="K117" t="s">
        <v>43</v>
      </c>
      <c r="L117">
        <v>2</v>
      </c>
      <c r="M117" t="s">
        <v>44</v>
      </c>
      <c r="N117" t="s">
        <v>45</v>
      </c>
      <c r="O117" t="s">
        <v>63</v>
      </c>
      <c r="P117" s="5">
        <v>15</v>
      </c>
      <c r="Q117" s="11">
        <v>44675.759826388887</v>
      </c>
      <c r="R117" s="12">
        <v>44678</v>
      </c>
      <c r="T117" t="s">
        <v>47</v>
      </c>
      <c r="U117" t="s">
        <v>48</v>
      </c>
      <c r="V117" t="s">
        <v>168</v>
      </c>
      <c r="Y117" t="s">
        <v>424</v>
      </c>
      <c r="Z117">
        <v>86800</v>
      </c>
      <c r="AA117" t="s">
        <v>47</v>
      </c>
      <c r="AB117" t="s">
        <v>425</v>
      </c>
      <c r="AC117" t="s">
        <v>52</v>
      </c>
      <c r="AD117" s="13">
        <f t="shared" si="8"/>
        <v>16.100000000000001</v>
      </c>
      <c r="AE117" s="14">
        <v>0</v>
      </c>
      <c r="AF117" s="14">
        <v>0</v>
      </c>
      <c r="AG117" s="14">
        <v>0</v>
      </c>
      <c r="AH117" s="14">
        <v>0</v>
      </c>
      <c r="AI117" s="14">
        <f t="shared" si="5"/>
        <v>0.96600000000000008</v>
      </c>
      <c r="AJ117" s="14">
        <f t="shared" si="6"/>
        <v>17.066000000000003</v>
      </c>
      <c r="AK117" t="s">
        <v>47</v>
      </c>
    </row>
    <row r="118" spans="1:37" ht="15" customHeight="1" x14ac:dyDescent="0.3">
      <c r="A118">
        <v>690929</v>
      </c>
      <c r="B118" t="s">
        <v>37</v>
      </c>
      <c r="C118" t="s">
        <v>38</v>
      </c>
      <c r="D118" s="9" t="s">
        <v>39</v>
      </c>
      <c r="E118" s="9" t="s">
        <v>37</v>
      </c>
      <c r="F118" s="10"/>
      <c r="G118" t="s">
        <v>427</v>
      </c>
      <c r="I118" t="s">
        <v>41</v>
      </c>
      <c r="J118" t="s">
        <v>423</v>
      </c>
      <c r="K118" t="s">
        <v>43</v>
      </c>
      <c r="L118">
        <v>2</v>
      </c>
      <c r="M118" t="s">
        <v>44</v>
      </c>
      <c r="N118" t="s">
        <v>45</v>
      </c>
      <c r="O118" t="s">
        <v>63</v>
      </c>
      <c r="P118" s="5">
        <v>15</v>
      </c>
      <c r="Q118" s="11">
        <v>44675.765138888892</v>
      </c>
      <c r="R118" s="12">
        <v>44678</v>
      </c>
      <c r="T118" t="s">
        <v>47</v>
      </c>
      <c r="U118" t="s">
        <v>48</v>
      </c>
      <c r="V118" t="s">
        <v>168</v>
      </c>
      <c r="Y118" t="s">
        <v>424</v>
      </c>
      <c r="Z118">
        <v>86800</v>
      </c>
      <c r="AA118" t="s">
        <v>47</v>
      </c>
      <c r="AB118" t="s">
        <v>425</v>
      </c>
      <c r="AC118" t="s">
        <v>52</v>
      </c>
      <c r="AD118" s="13">
        <f t="shared" si="8"/>
        <v>16.100000000000001</v>
      </c>
      <c r="AE118" s="14">
        <v>0</v>
      </c>
      <c r="AF118" s="14">
        <v>0</v>
      </c>
      <c r="AG118" s="14">
        <v>0</v>
      </c>
      <c r="AH118" s="14">
        <v>0</v>
      </c>
      <c r="AI118" s="14">
        <f t="shared" si="5"/>
        <v>0.96600000000000008</v>
      </c>
      <c r="AJ118" s="14">
        <f t="shared" si="6"/>
        <v>17.066000000000003</v>
      </c>
      <c r="AK118" t="s">
        <v>47</v>
      </c>
    </row>
    <row r="119" spans="1:37" ht="15" customHeight="1" x14ac:dyDescent="0.3">
      <c r="A119">
        <v>690929</v>
      </c>
      <c r="B119" t="s">
        <v>37</v>
      </c>
      <c r="C119" t="s">
        <v>38</v>
      </c>
      <c r="D119" s="9" t="s">
        <v>39</v>
      </c>
      <c r="E119" s="9" t="s">
        <v>37</v>
      </c>
      <c r="F119" s="10"/>
      <c r="G119" t="s">
        <v>428</v>
      </c>
      <c r="I119" t="s">
        <v>41</v>
      </c>
      <c r="J119" t="s">
        <v>423</v>
      </c>
      <c r="K119" t="s">
        <v>43</v>
      </c>
      <c r="L119">
        <v>2</v>
      </c>
      <c r="M119" t="s">
        <v>44</v>
      </c>
      <c r="N119" t="s">
        <v>45</v>
      </c>
      <c r="O119" t="s">
        <v>63</v>
      </c>
      <c r="P119" s="5">
        <v>15</v>
      </c>
      <c r="Q119" s="11">
        <v>44675.764108796298</v>
      </c>
      <c r="R119" s="12">
        <v>44678</v>
      </c>
      <c r="T119" t="s">
        <v>47</v>
      </c>
      <c r="U119" t="s">
        <v>48</v>
      </c>
      <c r="V119" t="s">
        <v>168</v>
      </c>
      <c r="Y119" t="s">
        <v>424</v>
      </c>
      <c r="Z119">
        <v>86800</v>
      </c>
      <c r="AA119" t="s">
        <v>47</v>
      </c>
      <c r="AB119" t="s">
        <v>425</v>
      </c>
      <c r="AC119" t="s">
        <v>52</v>
      </c>
      <c r="AD119" s="13">
        <f t="shared" si="8"/>
        <v>16.100000000000001</v>
      </c>
      <c r="AE119" s="14">
        <v>0</v>
      </c>
      <c r="AF119" s="14">
        <v>0</v>
      </c>
      <c r="AG119" s="14">
        <v>0</v>
      </c>
      <c r="AH119" s="14">
        <v>0</v>
      </c>
      <c r="AI119" s="14">
        <f t="shared" si="5"/>
        <v>0.96600000000000008</v>
      </c>
      <c r="AJ119" s="14">
        <f t="shared" si="6"/>
        <v>17.066000000000003</v>
      </c>
      <c r="AK119" t="s">
        <v>47</v>
      </c>
    </row>
    <row r="120" spans="1:37" ht="15" customHeight="1" x14ac:dyDescent="0.3">
      <c r="A120">
        <v>690929</v>
      </c>
      <c r="B120" t="s">
        <v>37</v>
      </c>
      <c r="C120" t="s">
        <v>38</v>
      </c>
      <c r="D120" s="9" t="s">
        <v>39</v>
      </c>
      <c r="E120" s="9" t="s">
        <v>37</v>
      </c>
      <c r="F120" s="10"/>
      <c r="G120" t="s">
        <v>429</v>
      </c>
      <c r="I120" t="s">
        <v>41</v>
      </c>
      <c r="J120" t="s">
        <v>423</v>
      </c>
      <c r="K120" t="s">
        <v>43</v>
      </c>
      <c r="L120">
        <v>2</v>
      </c>
      <c r="M120" t="s">
        <v>44</v>
      </c>
      <c r="N120" t="s">
        <v>45</v>
      </c>
      <c r="O120" t="s">
        <v>63</v>
      </c>
      <c r="P120" s="5">
        <v>15</v>
      </c>
      <c r="Q120" s="11">
        <v>44675.763009259259</v>
      </c>
      <c r="R120" s="12">
        <v>44678</v>
      </c>
      <c r="T120" t="s">
        <v>47</v>
      </c>
      <c r="U120" t="s">
        <v>48</v>
      </c>
      <c r="V120" t="s">
        <v>168</v>
      </c>
      <c r="Y120" t="s">
        <v>424</v>
      </c>
      <c r="Z120">
        <v>86800</v>
      </c>
      <c r="AA120" t="s">
        <v>47</v>
      </c>
      <c r="AB120" t="s">
        <v>425</v>
      </c>
      <c r="AC120" t="s">
        <v>52</v>
      </c>
      <c r="AD120" s="13">
        <f t="shared" si="8"/>
        <v>16.100000000000001</v>
      </c>
      <c r="AE120" s="14">
        <v>0</v>
      </c>
      <c r="AF120" s="14">
        <v>0</v>
      </c>
      <c r="AG120" s="14">
        <v>0</v>
      </c>
      <c r="AH120" s="14">
        <v>0</v>
      </c>
      <c r="AI120" s="14">
        <f t="shared" si="5"/>
        <v>0.96600000000000008</v>
      </c>
      <c r="AJ120" s="14">
        <f t="shared" si="6"/>
        <v>17.066000000000003</v>
      </c>
      <c r="AK120" t="s">
        <v>47</v>
      </c>
    </row>
    <row r="121" spans="1:37" ht="15" customHeight="1" x14ac:dyDescent="0.3">
      <c r="A121">
        <v>690929</v>
      </c>
      <c r="B121" t="s">
        <v>37</v>
      </c>
      <c r="C121" t="s">
        <v>38</v>
      </c>
      <c r="D121" s="9" t="s">
        <v>39</v>
      </c>
      <c r="E121" s="9" t="s">
        <v>37</v>
      </c>
      <c r="F121" s="10"/>
      <c r="G121" t="s">
        <v>430</v>
      </c>
      <c r="I121" t="s">
        <v>41</v>
      </c>
      <c r="J121" t="s">
        <v>431</v>
      </c>
      <c r="K121" t="s">
        <v>43</v>
      </c>
      <c r="L121">
        <v>2</v>
      </c>
      <c r="M121" t="s">
        <v>44</v>
      </c>
      <c r="N121" t="s">
        <v>45</v>
      </c>
      <c r="O121" t="s">
        <v>46</v>
      </c>
      <c r="P121" s="5">
        <v>1</v>
      </c>
      <c r="Q121" s="11">
        <v>44673.751643518517</v>
      </c>
      <c r="R121" s="12">
        <v>44678</v>
      </c>
      <c r="T121" t="s">
        <v>47</v>
      </c>
      <c r="U121" t="s">
        <v>48</v>
      </c>
      <c r="V121" t="s">
        <v>96</v>
      </c>
      <c r="Y121" t="s">
        <v>432</v>
      </c>
      <c r="Z121">
        <v>9700</v>
      </c>
      <c r="AA121" t="s">
        <v>47</v>
      </c>
      <c r="AB121" t="s">
        <v>80</v>
      </c>
      <c r="AC121" t="s">
        <v>52</v>
      </c>
      <c r="AD121" s="13">
        <f t="shared" si="8"/>
        <v>4.9000000000000004</v>
      </c>
      <c r="AE121" s="14">
        <v>0</v>
      </c>
      <c r="AF121" s="14">
        <v>0</v>
      </c>
      <c r="AG121" s="14">
        <v>0</v>
      </c>
      <c r="AH121" s="14">
        <v>0</v>
      </c>
      <c r="AI121" s="14">
        <f t="shared" si="5"/>
        <v>0.29399999999999998</v>
      </c>
      <c r="AJ121" s="14">
        <f t="shared" si="6"/>
        <v>5.194</v>
      </c>
      <c r="AK121" t="s">
        <v>47</v>
      </c>
    </row>
    <row r="122" spans="1:37" ht="15" customHeight="1" x14ac:dyDescent="0.3">
      <c r="A122">
        <v>690929</v>
      </c>
      <c r="B122" t="s">
        <v>37</v>
      </c>
      <c r="C122" t="s">
        <v>38</v>
      </c>
      <c r="D122" s="9" t="s">
        <v>39</v>
      </c>
      <c r="E122" s="9" t="s">
        <v>37</v>
      </c>
      <c r="F122" s="10"/>
      <c r="G122" t="s">
        <v>433</v>
      </c>
      <c r="I122" t="s">
        <v>41</v>
      </c>
      <c r="J122" t="s">
        <v>434</v>
      </c>
      <c r="K122" t="s">
        <v>43</v>
      </c>
      <c r="L122">
        <v>2</v>
      </c>
      <c r="M122" t="s">
        <v>44</v>
      </c>
      <c r="N122" t="s">
        <v>45</v>
      </c>
      <c r="O122" t="s">
        <v>46</v>
      </c>
      <c r="P122" s="5">
        <v>1</v>
      </c>
      <c r="Q122" s="11">
        <v>44677.688055555554</v>
      </c>
      <c r="R122" s="12">
        <v>44678</v>
      </c>
      <c r="T122" t="s">
        <v>47</v>
      </c>
      <c r="U122" t="s">
        <v>48</v>
      </c>
      <c r="V122" t="s">
        <v>59</v>
      </c>
      <c r="Y122" t="s">
        <v>435</v>
      </c>
      <c r="Z122">
        <v>25200</v>
      </c>
      <c r="AA122" t="s">
        <v>47</v>
      </c>
      <c r="AB122" t="s">
        <v>84</v>
      </c>
      <c r="AC122" t="s">
        <v>52</v>
      </c>
      <c r="AD122" s="13">
        <f t="shared" si="8"/>
        <v>4.9000000000000004</v>
      </c>
      <c r="AE122" s="14">
        <v>0</v>
      </c>
      <c r="AF122" s="14">
        <v>0</v>
      </c>
      <c r="AG122" s="14">
        <v>0</v>
      </c>
      <c r="AH122" s="14">
        <v>0</v>
      </c>
      <c r="AI122" s="14">
        <f t="shared" si="5"/>
        <v>0.29399999999999998</v>
      </c>
      <c r="AJ122" s="14">
        <f t="shared" si="6"/>
        <v>5.194</v>
      </c>
      <c r="AK122" t="s">
        <v>47</v>
      </c>
    </row>
    <row r="123" spans="1:37" ht="15" customHeight="1" x14ac:dyDescent="0.3">
      <c r="A123">
        <v>690929</v>
      </c>
      <c r="B123" t="s">
        <v>37</v>
      </c>
      <c r="C123" t="s">
        <v>38</v>
      </c>
      <c r="D123" s="9" t="s">
        <v>39</v>
      </c>
      <c r="E123" s="9" t="s">
        <v>37</v>
      </c>
      <c r="F123" s="10"/>
      <c r="G123" t="s">
        <v>436</v>
      </c>
      <c r="I123" t="s">
        <v>41</v>
      </c>
      <c r="J123" t="s">
        <v>437</v>
      </c>
      <c r="K123" t="s">
        <v>43</v>
      </c>
      <c r="L123">
        <v>2</v>
      </c>
      <c r="M123" t="s">
        <v>44</v>
      </c>
      <c r="N123" t="s">
        <v>45</v>
      </c>
      <c r="O123" t="s">
        <v>68</v>
      </c>
      <c r="P123" s="5">
        <v>3</v>
      </c>
      <c r="Q123" s="11">
        <v>44672.620497685188</v>
      </c>
      <c r="R123" s="12">
        <v>44678</v>
      </c>
      <c r="T123" t="s">
        <v>47</v>
      </c>
      <c r="U123" t="s">
        <v>48</v>
      </c>
      <c r="V123" t="s">
        <v>438</v>
      </c>
      <c r="Y123" t="s">
        <v>439</v>
      </c>
      <c r="Z123">
        <v>87020</v>
      </c>
      <c r="AA123" t="s">
        <v>388</v>
      </c>
      <c r="AB123" t="s">
        <v>440</v>
      </c>
      <c r="AC123" t="s">
        <v>52</v>
      </c>
      <c r="AD123" s="15">
        <f>IF(P123&lt;=1,13,IF(P123&lt;=2,23,IF(P123&lt;=3,35,IF(P123&lt;=4,43,IF(P123&lt;=5,53,IF(P123&lt;=6,63,IF(P123&lt;=7,71,IF(P123&lt;=8,79,IF(P123&lt;=9,87,IF(P123&lt;=10,95,IF(P123&lt;=11,105,IF(P123&lt;=12,114,IF(P123&lt;=13,119,IF(P123&lt;=14,127,IF(P123&lt;=15,135,IF(P123&lt;=16,143,IF(P123&lt;=17,153,IF(P123&lt;=18,163,IF(P123&lt;=19,171,IF(P123&lt;=20,185,IF(P123&lt;=21,193,IF(P123&lt;=22,201,IF(P123&lt;=23,210,IF(P123&lt;=24,220,IF(P123&lt;=25,230,IF(P123&lt;=26,240,IF(P123&lt;=27,250,IF(P123&lt;=28,260,IF(P123&lt;=29,270,IF(P123&lt;=30,280,280))))))))))))))))))))))))))))))</f>
        <v>35</v>
      </c>
      <c r="AE123" s="14">
        <v>0</v>
      </c>
      <c r="AF123" s="14">
        <v>0</v>
      </c>
      <c r="AG123" s="14">
        <v>0</v>
      </c>
      <c r="AH123" s="14">
        <v>0</v>
      </c>
      <c r="AI123" s="14">
        <f t="shared" si="5"/>
        <v>2.1</v>
      </c>
      <c r="AJ123" s="14">
        <f t="shared" si="6"/>
        <v>37.1</v>
      </c>
      <c r="AK123" t="s">
        <v>388</v>
      </c>
    </row>
    <row r="124" spans="1:37" ht="15" customHeight="1" x14ac:dyDescent="0.3">
      <c r="A124">
        <v>690929</v>
      </c>
      <c r="B124" t="s">
        <v>37</v>
      </c>
      <c r="C124" t="s">
        <v>38</v>
      </c>
      <c r="D124" s="9" t="s">
        <v>39</v>
      </c>
      <c r="E124" s="9" t="s">
        <v>37</v>
      </c>
      <c r="F124" s="10"/>
      <c r="G124" t="s">
        <v>441</v>
      </c>
      <c r="I124" t="s">
        <v>41</v>
      </c>
      <c r="J124" t="s">
        <v>442</v>
      </c>
      <c r="K124" t="s">
        <v>43</v>
      </c>
      <c r="L124">
        <v>2</v>
      </c>
      <c r="M124" t="s">
        <v>44</v>
      </c>
      <c r="N124" t="s">
        <v>45</v>
      </c>
      <c r="O124" t="s">
        <v>46</v>
      </c>
      <c r="P124" s="5">
        <v>1</v>
      </c>
      <c r="Q124" s="11">
        <v>44677.72115740741</v>
      </c>
      <c r="R124" s="12">
        <v>44678</v>
      </c>
      <c r="T124" t="s">
        <v>47</v>
      </c>
      <c r="U124" t="s">
        <v>48</v>
      </c>
      <c r="V124" t="s">
        <v>74</v>
      </c>
      <c r="Y124" t="s">
        <v>443</v>
      </c>
      <c r="Z124">
        <v>17500</v>
      </c>
      <c r="AA124" t="s">
        <v>47</v>
      </c>
      <c r="AB124" t="s">
        <v>51</v>
      </c>
      <c r="AC124" t="s">
        <v>52</v>
      </c>
      <c r="AD124" s="13">
        <f t="shared" ref="AD124:AD155" si="9">IF(P124&lt;=1,4.9,4.9+0.8*ROUNDUP(P124-1,0))</f>
        <v>4.9000000000000004</v>
      </c>
      <c r="AE124" s="14">
        <v>0</v>
      </c>
      <c r="AF124" s="14">
        <v>0</v>
      </c>
      <c r="AG124" s="14">
        <v>0</v>
      </c>
      <c r="AH124" s="14">
        <v>0</v>
      </c>
      <c r="AI124" s="14">
        <f t="shared" si="5"/>
        <v>0.29399999999999998</v>
      </c>
      <c r="AJ124" s="14">
        <f t="shared" si="6"/>
        <v>5.194</v>
      </c>
      <c r="AK124" t="s">
        <v>47</v>
      </c>
    </row>
    <row r="125" spans="1:37" ht="15" customHeight="1" x14ac:dyDescent="0.3">
      <c r="A125">
        <v>690929</v>
      </c>
      <c r="B125" t="s">
        <v>37</v>
      </c>
      <c r="C125" t="s">
        <v>38</v>
      </c>
      <c r="D125" s="9" t="s">
        <v>39</v>
      </c>
      <c r="E125" s="9" t="s">
        <v>37</v>
      </c>
      <c r="F125" s="10"/>
      <c r="G125" t="s">
        <v>444</v>
      </c>
      <c r="I125" t="s">
        <v>41</v>
      </c>
      <c r="J125" t="s">
        <v>445</v>
      </c>
      <c r="K125" t="s">
        <v>43</v>
      </c>
      <c r="L125">
        <v>2</v>
      </c>
      <c r="M125" t="s">
        <v>44</v>
      </c>
      <c r="N125" t="s">
        <v>45</v>
      </c>
      <c r="O125" t="s">
        <v>46</v>
      </c>
      <c r="P125" s="5">
        <v>1</v>
      </c>
      <c r="Q125" s="11">
        <v>44676.584733796299</v>
      </c>
      <c r="R125" s="12">
        <v>44678</v>
      </c>
      <c r="T125" t="s">
        <v>47</v>
      </c>
      <c r="U125" t="s">
        <v>48</v>
      </c>
      <c r="V125" t="s">
        <v>59</v>
      </c>
      <c r="Y125" t="s">
        <v>446</v>
      </c>
      <c r="Z125">
        <v>27000</v>
      </c>
      <c r="AA125" t="s">
        <v>47</v>
      </c>
      <c r="AB125" t="s">
        <v>84</v>
      </c>
      <c r="AC125" t="s">
        <v>52</v>
      </c>
      <c r="AD125" s="13">
        <f t="shared" si="9"/>
        <v>4.9000000000000004</v>
      </c>
      <c r="AE125" s="14">
        <v>0</v>
      </c>
      <c r="AF125" s="14">
        <v>0</v>
      </c>
      <c r="AG125" s="14">
        <v>0</v>
      </c>
      <c r="AH125" s="14">
        <v>0</v>
      </c>
      <c r="AI125" s="14">
        <f t="shared" si="5"/>
        <v>0.29399999999999998</v>
      </c>
      <c r="AJ125" s="14">
        <f t="shared" si="6"/>
        <v>5.194</v>
      </c>
      <c r="AK125" t="s">
        <v>47</v>
      </c>
    </row>
    <row r="126" spans="1:37" ht="15" customHeight="1" x14ac:dyDescent="0.3">
      <c r="A126">
        <v>690929</v>
      </c>
      <c r="B126" t="s">
        <v>37</v>
      </c>
      <c r="C126" t="s">
        <v>38</v>
      </c>
      <c r="D126" s="9" t="s">
        <v>39</v>
      </c>
      <c r="E126" s="9" t="s">
        <v>37</v>
      </c>
      <c r="F126" s="10"/>
      <c r="G126" t="s">
        <v>447</v>
      </c>
      <c r="I126" t="s">
        <v>41</v>
      </c>
      <c r="J126" t="s">
        <v>448</v>
      </c>
      <c r="K126" t="s">
        <v>43</v>
      </c>
      <c r="L126">
        <v>2</v>
      </c>
      <c r="M126" t="s">
        <v>44</v>
      </c>
      <c r="N126" t="s">
        <v>45</v>
      </c>
      <c r="O126" t="s">
        <v>46</v>
      </c>
      <c r="P126" s="5">
        <v>1</v>
      </c>
      <c r="Q126" s="11">
        <v>44677.709537037037</v>
      </c>
      <c r="R126" s="12">
        <v>44678</v>
      </c>
      <c r="T126" t="s">
        <v>47</v>
      </c>
      <c r="U126" t="s">
        <v>48</v>
      </c>
      <c r="V126" t="s">
        <v>74</v>
      </c>
      <c r="Y126" t="s">
        <v>449</v>
      </c>
      <c r="Z126">
        <v>16800</v>
      </c>
      <c r="AA126" t="s">
        <v>47</v>
      </c>
      <c r="AB126" t="s">
        <v>51</v>
      </c>
      <c r="AC126" t="s">
        <v>52</v>
      </c>
      <c r="AD126" s="13">
        <f t="shared" si="9"/>
        <v>4.9000000000000004</v>
      </c>
      <c r="AE126" s="14">
        <v>0</v>
      </c>
      <c r="AF126" s="14">
        <v>0</v>
      </c>
      <c r="AG126" s="14">
        <v>0</v>
      </c>
      <c r="AH126" s="14">
        <v>0</v>
      </c>
      <c r="AI126" s="14">
        <f t="shared" si="5"/>
        <v>0.29399999999999998</v>
      </c>
      <c r="AJ126" s="14">
        <f t="shared" si="6"/>
        <v>5.194</v>
      </c>
      <c r="AK126" t="s">
        <v>47</v>
      </c>
    </row>
    <row r="127" spans="1:37" ht="15" customHeight="1" x14ac:dyDescent="0.3">
      <c r="A127">
        <v>690929</v>
      </c>
      <c r="B127" t="s">
        <v>37</v>
      </c>
      <c r="C127" t="s">
        <v>38</v>
      </c>
      <c r="D127" s="9" t="s">
        <v>39</v>
      </c>
      <c r="E127" s="9" t="s">
        <v>37</v>
      </c>
      <c r="F127" s="10"/>
      <c r="G127" t="s">
        <v>450</v>
      </c>
      <c r="I127" t="s">
        <v>41</v>
      </c>
      <c r="J127" t="s">
        <v>451</v>
      </c>
      <c r="K127" t="s">
        <v>43</v>
      </c>
      <c r="L127">
        <v>2</v>
      </c>
      <c r="M127" t="s">
        <v>44</v>
      </c>
      <c r="N127" t="s">
        <v>45</v>
      </c>
      <c r="O127" t="s">
        <v>46</v>
      </c>
      <c r="P127" s="5">
        <v>7</v>
      </c>
      <c r="Q127" s="11">
        <v>44677.519594907404</v>
      </c>
      <c r="R127" s="12">
        <v>44678</v>
      </c>
      <c r="T127" t="s">
        <v>47</v>
      </c>
      <c r="U127" t="s">
        <v>48</v>
      </c>
      <c r="V127" t="s">
        <v>74</v>
      </c>
      <c r="Y127" t="s">
        <v>452</v>
      </c>
      <c r="Z127">
        <v>17600</v>
      </c>
      <c r="AA127" t="s">
        <v>47</v>
      </c>
      <c r="AB127" t="s">
        <v>88</v>
      </c>
      <c r="AC127" t="s">
        <v>52</v>
      </c>
      <c r="AD127" s="13">
        <f t="shared" si="9"/>
        <v>9.7000000000000011</v>
      </c>
      <c r="AE127" s="14">
        <v>0</v>
      </c>
      <c r="AF127" s="14">
        <v>0</v>
      </c>
      <c r="AG127" s="14">
        <v>0</v>
      </c>
      <c r="AH127" s="14">
        <v>0</v>
      </c>
      <c r="AI127" s="14">
        <f t="shared" si="5"/>
        <v>0.58200000000000007</v>
      </c>
      <c r="AJ127" s="14">
        <f t="shared" si="6"/>
        <v>10.282000000000002</v>
      </c>
      <c r="AK127" t="s">
        <v>47</v>
      </c>
    </row>
    <row r="128" spans="1:37" ht="15" customHeight="1" x14ac:dyDescent="0.3">
      <c r="A128">
        <v>690929</v>
      </c>
      <c r="B128" t="s">
        <v>37</v>
      </c>
      <c r="C128" t="s">
        <v>38</v>
      </c>
      <c r="D128" s="9" t="s">
        <v>39</v>
      </c>
      <c r="E128" s="9" t="s">
        <v>37</v>
      </c>
      <c r="F128" s="10"/>
      <c r="G128" t="s">
        <v>453</v>
      </c>
      <c r="I128" t="s">
        <v>41</v>
      </c>
      <c r="J128" t="s">
        <v>454</v>
      </c>
      <c r="K128" t="s">
        <v>43</v>
      </c>
      <c r="L128">
        <v>2</v>
      </c>
      <c r="M128" t="s">
        <v>44</v>
      </c>
      <c r="N128" t="s">
        <v>45</v>
      </c>
      <c r="O128" t="s">
        <v>63</v>
      </c>
      <c r="P128" s="5">
        <v>8</v>
      </c>
      <c r="Q128" s="11">
        <v>44675.392164351855</v>
      </c>
      <c r="R128" s="12">
        <v>44678</v>
      </c>
      <c r="T128" t="s">
        <v>47</v>
      </c>
      <c r="U128" t="s">
        <v>48</v>
      </c>
      <c r="V128" t="s">
        <v>100</v>
      </c>
      <c r="Y128" t="s">
        <v>455</v>
      </c>
      <c r="Z128">
        <v>43650</v>
      </c>
      <c r="AA128" t="s">
        <v>47</v>
      </c>
      <c r="AB128" t="s">
        <v>456</v>
      </c>
      <c r="AC128" t="s">
        <v>52</v>
      </c>
      <c r="AD128" s="13">
        <f t="shared" si="9"/>
        <v>10.5</v>
      </c>
      <c r="AE128" s="14">
        <v>0</v>
      </c>
      <c r="AF128" s="14">
        <v>0</v>
      </c>
      <c r="AG128" s="14">
        <v>0</v>
      </c>
      <c r="AH128" s="14">
        <v>0</v>
      </c>
      <c r="AI128" s="14">
        <f t="shared" si="5"/>
        <v>0.63</v>
      </c>
      <c r="AJ128" s="14">
        <f t="shared" si="6"/>
        <v>11.13</v>
      </c>
      <c r="AK128" t="s">
        <v>47</v>
      </c>
    </row>
    <row r="129" spans="1:37" ht="15" customHeight="1" x14ac:dyDescent="0.3">
      <c r="A129">
        <v>690929</v>
      </c>
      <c r="B129" t="s">
        <v>37</v>
      </c>
      <c r="C129" t="s">
        <v>38</v>
      </c>
      <c r="D129" s="9" t="s">
        <v>39</v>
      </c>
      <c r="E129" s="9" t="s">
        <v>37</v>
      </c>
      <c r="F129" s="10"/>
      <c r="G129" t="s">
        <v>457</v>
      </c>
      <c r="I129" t="s">
        <v>41</v>
      </c>
      <c r="J129" t="s">
        <v>458</v>
      </c>
      <c r="K129" t="s">
        <v>43</v>
      </c>
      <c r="L129">
        <v>2</v>
      </c>
      <c r="M129" t="s">
        <v>44</v>
      </c>
      <c r="N129" t="s">
        <v>45</v>
      </c>
      <c r="O129" t="s">
        <v>63</v>
      </c>
      <c r="P129" s="5">
        <v>4</v>
      </c>
      <c r="Q129" s="11">
        <v>44674.76090277778</v>
      </c>
      <c r="R129" s="12">
        <v>44678</v>
      </c>
      <c r="T129" t="s">
        <v>47</v>
      </c>
      <c r="U129" t="s">
        <v>48</v>
      </c>
      <c r="V129" t="s">
        <v>100</v>
      </c>
      <c r="Y129" t="s">
        <v>459</v>
      </c>
      <c r="Z129">
        <v>43650</v>
      </c>
      <c r="AA129" t="s">
        <v>47</v>
      </c>
      <c r="AB129" t="s">
        <v>456</v>
      </c>
      <c r="AC129" t="s">
        <v>52</v>
      </c>
      <c r="AD129" s="13">
        <f t="shared" si="9"/>
        <v>7.3000000000000007</v>
      </c>
      <c r="AE129" s="14">
        <v>0</v>
      </c>
      <c r="AF129" s="14">
        <v>0</v>
      </c>
      <c r="AG129" s="14">
        <v>0</v>
      </c>
      <c r="AH129" s="14">
        <v>0</v>
      </c>
      <c r="AI129" s="14">
        <f t="shared" si="5"/>
        <v>0.438</v>
      </c>
      <c r="AJ129" s="14">
        <f t="shared" si="6"/>
        <v>7.7380000000000004</v>
      </c>
      <c r="AK129" t="s">
        <v>47</v>
      </c>
    </row>
    <row r="130" spans="1:37" ht="15" customHeight="1" x14ac:dyDescent="0.3">
      <c r="A130">
        <v>690929</v>
      </c>
      <c r="B130" t="s">
        <v>37</v>
      </c>
      <c r="C130" t="s">
        <v>38</v>
      </c>
      <c r="D130" s="9" t="s">
        <v>39</v>
      </c>
      <c r="E130" s="9" t="s">
        <v>37</v>
      </c>
      <c r="F130" s="10"/>
      <c r="G130" t="s">
        <v>460</v>
      </c>
      <c r="I130" t="s">
        <v>41</v>
      </c>
      <c r="J130" t="s">
        <v>461</v>
      </c>
      <c r="K130" t="s">
        <v>43</v>
      </c>
      <c r="L130">
        <v>2</v>
      </c>
      <c r="M130" t="s">
        <v>44</v>
      </c>
      <c r="N130" t="s">
        <v>45</v>
      </c>
      <c r="O130" t="s">
        <v>46</v>
      </c>
      <c r="P130" s="5">
        <v>2</v>
      </c>
      <c r="Q130" s="11">
        <v>44677.691666666666</v>
      </c>
      <c r="R130" s="12">
        <v>44678</v>
      </c>
      <c r="T130" t="s">
        <v>47</v>
      </c>
      <c r="U130" t="s">
        <v>48</v>
      </c>
      <c r="V130" t="s">
        <v>59</v>
      </c>
      <c r="Y130" t="s">
        <v>462</v>
      </c>
      <c r="Z130">
        <v>25150</v>
      </c>
      <c r="AA130" t="s">
        <v>47</v>
      </c>
      <c r="AB130" t="s">
        <v>84</v>
      </c>
      <c r="AC130" t="s">
        <v>52</v>
      </c>
      <c r="AD130" s="13">
        <f t="shared" si="9"/>
        <v>5.7</v>
      </c>
      <c r="AE130" s="14">
        <v>0</v>
      </c>
      <c r="AF130" s="14">
        <v>0</v>
      </c>
      <c r="AG130" s="14">
        <v>0</v>
      </c>
      <c r="AH130" s="14">
        <v>0</v>
      </c>
      <c r="AI130" s="14">
        <f t="shared" ref="AI130:AI173" si="10">(AD130+AF130+AH130)*6%</f>
        <v>0.34199999999999997</v>
      </c>
      <c r="AJ130" s="14">
        <f t="shared" ref="AJ130:AJ173" si="11">AD130+AF130+AH130+AI130</f>
        <v>6.0419999999999998</v>
      </c>
      <c r="AK130" t="s">
        <v>47</v>
      </c>
    </row>
    <row r="131" spans="1:37" ht="15" customHeight="1" x14ac:dyDescent="0.3">
      <c r="A131">
        <v>690929</v>
      </c>
      <c r="B131" t="s">
        <v>37</v>
      </c>
      <c r="C131" t="s">
        <v>38</v>
      </c>
      <c r="D131" s="9" t="s">
        <v>39</v>
      </c>
      <c r="E131" s="9" t="s">
        <v>37</v>
      </c>
      <c r="F131" s="10"/>
      <c r="G131" t="s">
        <v>463</v>
      </c>
      <c r="I131" t="s">
        <v>41</v>
      </c>
      <c r="J131" t="s">
        <v>464</v>
      </c>
      <c r="K131" t="s">
        <v>43</v>
      </c>
      <c r="L131">
        <v>2</v>
      </c>
      <c r="M131" t="s">
        <v>44</v>
      </c>
      <c r="N131" t="s">
        <v>45</v>
      </c>
      <c r="O131" t="s">
        <v>46</v>
      </c>
      <c r="P131" s="5">
        <v>1</v>
      </c>
      <c r="Q131" s="11">
        <v>44674.745995370373</v>
      </c>
      <c r="R131" s="12">
        <v>44678</v>
      </c>
      <c r="T131" t="s">
        <v>47</v>
      </c>
      <c r="U131" t="s">
        <v>48</v>
      </c>
      <c r="V131" t="s">
        <v>156</v>
      </c>
      <c r="Y131" t="s">
        <v>465</v>
      </c>
      <c r="Z131">
        <v>33310</v>
      </c>
      <c r="AA131" t="s">
        <v>47</v>
      </c>
      <c r="AB131" t="s">
        <v>158</v>
      </c>
      <c r="AC131" t="s">
        <v>52</v>
      </c>
      <c r="AD131" s="13">
        <f t="shared" si="9"/>
        <v>4.9000000000000004</v>
      </c>
      <c r="AE131" s="14">
        <v>0</v>
      </c>
      <c r="AF131" s="14">
        <v>0</v>
      </c>
      <c r="AG131" s="14">
        <v>0</v>
      </c>
      <c r="AH131" s="14">
        <v>0</v>
      </c>
      <c r="AI131" s="14">
        <f t="shared" si="10"/>
        <v>0.29399999999999998</v>
      </c>
      <c r="AJ131" s="14">
        <f t="shared" si="11"/>
        <v>5.194</v>
      </c>
      <c r="AK131" t="s">
        <v>47</v>
      </c>
    </row>
    <row r="132" spans="1:37" ht="15" customHeight="1" x14ac:dyDescent="0.3">
      <c r="A132">
        <v>690929</v>
      </c>
      <c r="B132" t="s">
        <v>37</v>
      </c>
      <c r="C132" t="s">
        <v>38</v>
      </c>
      <c r="D132" s="9" t="s">
        <v>39</v>
      </c>
      <c r="E132" s="9" t="s">
        <v>37</v>
      </c>
      <c r="F132" s="10"/>
      <c r="G132" t="s">
        <v>466</v>
      </c>
      <c r="I132" t="s">
        <v>41</v>
      </c>
      <c r="J132" t="s">
        <v>467</v>
      </c>
      <c r="K132" t="s">
        <v>43</v>
      </c>
      <c r="L132">
        <v>2</v>
      </c>
      <c r="M132" t="s">
        <v>44</v>
      </c>
      <c r="N132" t="s">
        <v>45</v>
      </c>
      <c r="O132" t="s">
        <v>46</v>
      </c>
      <c r="P132" s="5">
        <v>1</v>
      </c>
      <c r="Q132" s="11">
        <v>44677.678182870368</v>
      </c>
      <c r="R132" s="12">
        <v>44678</v>
      </c>
      <c r="T132" t="s">
        <v>47</v>
      </c>
      <c r="U132" t="s">
        <v>48</v>
      </c>
      <c r="V132" t="s">
        <v>74</v>
      </c>
      <c r="Y132" t="s">
        <v>468</v>
      </c>
      <c r="Z132">
        <v>16150</v>
      </c>
      <c r="AA132" t="s">
        <v>47</v>
      </c>
      <c r="AB132" t="s">
        <v>51</v>
      </c>
      <c r="AC132" t="s">
        <v>52</v>
      </c>
      <c r="AD132" s="13">
        <f t="shared" si="9"/>
        <v>4.9000000000000004</v>
      </c>
      <c r="AE132" s="14">
        <v>0</v>
      </c>
      <c r="AF132" s="14">
        <v>0</v>
      </c>
      <c r="AG132" s="14">
        <v>0</v>
      </c>
      <c r="AH132" s="14">
        <v>0</v>
      </c>
      <c r="AI132" s="14">
        <f t="shared" si="10"/>
        <v>0.29399999999999998</v>
      </c>
      <c r="AJ132" s="14">
        <f t="shared" si="11"/>
        <v>5.194</v>
      </c>
      <c r="AK132" t="s">
        <v>47</v>
      </c>
    </row>
    <row r="133" spans="1:37" ht="15" customHeight="1" x14ac:dyDescent="0.3">
      <c r="A133">
        <v>690929</v>
      </c>
      <c r="B133" t="s">
        <v>37</v>
      </c>
      <c r="C133" t="s">
        <v>38</v>
      </c>
      <c r="D133" s="9" t="s">
        <v>39</v>
      </c>
      <c r="E133" s="9" t="s">
        <v>37</v>
      </c>
      <c r="F133" s="10"/>
      <c r="G133" t="s">
        <v>469</v>
      </c>
      <c r="I133" t="s">
        <v>41</v>
      </c>
      <c r="J133" t="s">
        <v>470</v>
      </c>
      <c r="K133" t="s">
        <v>43</v>
      </c>
      <c r="L133">
        <v>2</v>
      </c>
      <c r="M133" t="s">
        <v>44</v>
      </c>
      <c r="N133" t="s">
        <v>45</v>
      </c>
      <c r="O133" t="s">
        <v>46</v>
      </c>
      <c r="P133" s="5">
        <v>1</v>
      </c>
      <c r="Q133" s="11">
        <v>44674.719687500001</v>
      </c>
      <c r="R133" s="12">
        <v>44678</v>
      </c>
      <c r="T133" t="s">
        <v>47</v>
      </c>
      <c r="U133" t="s">
        <v>48</v>
      </c>
      <c r="V133" t="s">
        <v>59</v>
      </c>
      <c r="Y133" t="s">
        <v>471</v>
      </c>
      <c r="Z133">
        <v>27400</v>
      </c>
      <c r="AA133" t="s">
        <v>47</v>
      </c>
      <c r="AB133" t="s">
        <v>51</v>
      </c>
      <c r="AC133" t="s">
        <v>52</v>
      </c>
      <c r="AD133" s="13">
        <f t="shared" si="9"/>
        <v>4.9000000000000004</v>
      </c>
      <c r="AE133" s="14">
        <v>0</v>
      </c>
      <c r="AF133" s="14">
        <v>0</v>
      </c>
      <c r="AG133" s="14">
        <v>0</v>
      </c>
      <c r="AH133" s="14">
        <v>0</v>
      </c>
      <c r="AI133" s="14">
        <f t="shared" si="10"/>
        <v>0.29399999999999998</v>
      </c>
      <c r="AJ133" s="14">
        <f t="shared" si="11"/>
        <v>5.194</v>
      </c>
      <c r="AK133" t="s">
        <v>47</v>
      </c>
    </row>
    <row r="134" spans="1:37" ht="15" customHeight="1" x14ac:dyDescent="0.3">
      <c r="A134">
        <v>690929</v>
      </c>
      <c r="B134" t="s">
        <v>37</v>
      </c>
      <c r="C134" t="s">
        <v>38</v>
      </c>
      <c r="D134" s="9" t="s">
        <v>39</v>
      </c>
      <c r="E134" s="9" t="s">
        <v>37</v>
      </c>
      <c r="F134" s="10"/>
      <c r="G134" t="s">
        <v>472</v>
      </c>
      <c r="I134" t="s">
        <v>41</v>
      </c>
      <c r="J134" t="s">
        <v>473</v>
      </c>
      <c r="K134" t="s">
        <v>43</v>
      </c>
      <c r="L134">
        <v>2</v>
      </c>
      <c r="M134" t="s">
        <v>44</v>
      </c>
      <c r="N134" t="s">
        <v>45</v>
      </c>
      <c r="O134" t="s">
        <v>46</v>
      </c>
      <c r="P134" s="5">
        <v>1</v>
      </c>
      <c r="Q134" s="11">
        <v>44674.727719907409</v>
      </c>
      <c r="R134" s="12">
        <v>44678</v>
      </c>
      <c r="T134" t="s">
        <v>47</v>
      </c>
      <c r="U134" t="s">
        <v>48</v>
      </c>
      <c r="V134" t="s">
        <v>100</v>
      </c>
      <c r="Y134" t="s">
        <v>474</v>
      </c>
      <c r="Z134">
        <v>68100</v>
      </c>
      <c r="AA134" t="s">
        <v>47</v>
      </c>
      <c r="AB134" t="s">
        <v>51</v>
      </c>
      <c r="AC134" t="s">
        <v>52</v>
      </c>
      <c r="AD134" s="13">
        <f t="shared" si="9"/>
        <v>4.9000000000000004</v>
      </c>
      <c r="AE134" s="14">
        <v>0</v>
      </c>
      <c r="AF134" s="14">
        <v>0</v>
      </c>
      <c r="AG134" s="14">
        <v>0</v>
      </c>
      <c r="AH134" s="14">
        <v>0</v>
      </c>
      <c r="AI134" s="14">
        <f t="shared" si="10"/>
        <v>0.29399999999999998</v>
      </c>
      <c r="AJ134" s="14">
        <f t="shared" si="11"/>
        <v>5.194</v>
      </c>
      <c r="AK134" t="s">
        <v>47</v>
      </c>
    </row>
    <row r="135" spans="1:37" ht="15" customHeight="1" x14ac:dyDescent="0.3">
      <c r="A135">
        <v>690929</v>
      </c>
      <c r="B135" t="s">
        <v>37</v>
      </c>
      <c r="C135" t="s">
        <v>38</v>
      </c>
      <c r="D135" s="9" t="s">
        <v>39</v>
      </c>
      <c r="E135" s="9" t="s">
        <v>37</v>
      </c>
      <c r="F135" s="10"/>
      <c r="G135" t="s">
        <v>475</v>
      </c>
      <c r="I135" t="s">
        <v>41</v>
      </c>
      <c r="J135" t="s">
        <v>476</v>
      </c>
      <c r="K135" t="s">
        <v>43</v>
      </c>
      <c r="L135">
        <v>2</v>
      </c>
      <c r="M135" t="s">
        <v>44</v>
      </c>
      <c r="N135" t="s">
        <v>45</v>
      </c>
      <c r="O135" t="s">
        <v>46</v>
      </c>
      <c r="P135" s="5">
        <v>1</v>
      </c>
      <c r="Q135" s="11">
        <v>44674.631643518522</v>
      </c>
      <c r="R135" s="12">
        <v>44678</v>
      </c>
      <c r="T135" t="s">
        <v>47</v>
      </c>
      <c r="U135" t="s">
        <v>48</v>
      </c>
      <c r="V135" t="s">
        <v>100</v>
      </c>
      <c r="Y135" t="s">
        <v>477</v>
      </c>
      <c r="Z135">
        <v>43000</v>
      </c>
      <c r="AA135" t="s">
        <v>47</v>
      </c>
      <c r="AB135" t="s">
        <v>51</v>
      </c>
      <c r="AC135" t="s">
        <v>52</v>
      </c>
      <c r="AD135" s="13">
        <f t="shared" si="9"/>
        <v>4.9000000000000004</v>
      </c>
      <c r="AE135" s="14">
        <v>0</v>
      </c>
      <c r="AF135" s="14">
        <v>0</v>
      </c>
      <c r="AG135" s="14">
        <v>0</v>
      </c>
      <c r="AH135" s="14">
        <v>0</v>
      </c>
      <c r="AI135" s="14">
        <f t="shared" si="10"/>
        <v>0.29399999999999998</v>
      </c>
      <c r="AJ135" s="14">
        <f t="shared" si="11"/>
        <v>5.194</v>
      </c>
      <c r="AK135" t="s">
        <v>47</v>
      </c>
    </row>
    <row r="136" spans="1:37" ht="15" customHeight="1" x14ac:dyDescent="0.3">
      <c r="A136">
        <v>690929</v>
      </c>
      <c r="B136" t="s">
        <v>37</v>
      </c>
      <c r="C136" t="s">
        <v>38</v>
      </c>
      <c r="D136" s="9" t="s">
        <v>39</v>
      </c>
      <c r="E136" s="9" t="s">
        <v>37</v>
      </c>
      <c r="F136" s="10"/>
      <c r="G136" t="s">
        <v>478</v>
      </c>
      <c r="I136" t="s">
        <v>41</v>
      </c>
      <c r="J136" t="s">
        <v>479</v>
      </c>
      <c r="K136" t="s">
        <v>43</v>
      </c>
      <c r="L136">
        <v>2</v>
      </c>
      <c r="M136" t="s">
        <v>44</v>
      </c>
      <c r="N136" t="s">
        <v>45</v>
      </c>
      <c r="O136" t="s">
        <v>68</v>
      </c>
      <c r="P136" s="5">
        <v>4</v>
      </c>
      <c r="Q136" s="11">
        <v>44675.465104166666</v>
      </c>
      <c r="R136" s="12">
        <v>44678</v>
      </c>
      <c r="T136" t="s">
        <v>47</v>
      </c>
      <c r="U136" t="s">
        <v>48</v>
      </c>
      <c r="V136" t="s">
        <v>59</v>
      </c>
      <c r="Y136" t="s">
        <v>480</v>
      </c>
      <c r="Z136">
        <v>28700</v>
      </c>
      <c r="AA136" t="s">
        <v>47</v>
      </c>
      <c r="AB136" t="s">
        <v>481</v>
      </c>
      <c r="AC136" t="s">
        <v>52</v>
      </c>
      <c r="AD136" s="13">
        <f t="shared" si="9"/>
        <v>7.3000000000000007</v>
      </c>
      <c r="AE136" s="14">
        <v>0</v>
      </c>
      <c r="AF136" s="14">
        <v>0</v>
      </c>
      <c r="AG136" s="14">
        <v>0</v>
      </c>
      <c r="AH136" s="14">
        <v>0</v>
      </c>
      <c r="AI136" s="14">
        <f t="shared" si="10"/>
        <v>0.438</v>
      </c>
      <c r="AJ136" s="14">
        <f t="shared" si="11"/>
        <v>7.7380000000000004</v>
      </c>
      <c r="AK136" t="s">
        <v>47</v>
      </c>
    </row>
    <row r="137" spans="1:37" ht="15" customHeight="1" x14ac:dyDescent="0.3">
      <c r="A137">
        <v>690929</v>
      </c>
      <c r="B137" t="s">
        <v>37</v>
      </c>
      <c r="C137" t="s">
        <v>38</v>
      </c>
      <c r="D137" s="9" t="s">
        <v>39</v>
      </c>
      <c r="E137" s="9" t="s">
        <v>37</v>
      </c>
      <c r="F137" s="10"/>
      <c r="G137" t="s">
        <v>482</v>
      </c>
      <c r="I137" t="s">
        <v>41</v>
      </c>
      <c r="J137" t="s">
        <v>483</v>
      </c>
      <c r="K137" t="s">
        <v>43</v>
      </c>
      <c r="L137">
        <v>2</v>
      </c>
      <c r="M137" t="s">
        <v>44</v>
      </c>
      <c r="N137" t="s">
        <v>45</v>
      </c>
      <c r="O137" t="s">
        <v>46</v>
      </c>
      <c r="P137" s="5">
        <v>1</v>
      </c>
      <c r="Q137" s="11">
        <v>44678.649629629632</v>
      </c>
      <c r="R137" s="12">
        <v>44679</v>
      </c>
      <c r="T137" t="s">
        <v>47</v>
      </c>
      <c r="U137" t="s">
        <v>48</v>
      </c>
      <c r="V137" t="s">
        <v>49</v>
      </c>
      <c r="Y137" t="s">
        <v>484</v>
      </c>
      <c r="Z137">
        <v>21070</v>
      </c>
      <c r="AA137" t="s">
        <v>47</v>
      </c>
      <c r="AB137" t="s">
        <v>56</v>
      </c>
      <c r="AC137" t="s">
        <v>52</v>
      </c>
      <c r="AD137" s="13">
        <f t="shared" si="9"/>
        <v>4.9000000000000004</v>
      </c>
      <c r="AE137" s="14">
        <v>0</v>
      </c>
      <c r="AF137" s="14">
        <v>0</v>
      </c>
      <c r="AG137" s="14">
        <v>0</v>
      </c>
      <c r="AH137" s="14">
        <v>0</v>
      </c>
      <c r="AI137" s="14">
        <f t="shared" si="10"/>
        <v>0.29399999999999998</v>
      </c>
      <c r="AJ137" s="14">
        <f t="shared" si="11"/>
        <v>5.194</v>
      </c>
      <c r="AK137" t="s">
        <v>47</v>
      </c>
    </row>
    <row r="138" spans="1:37" ht="15" customHeight="1" x14ac:dyDescent="0.3">
      <c r="A138">
        <v>690929</v>
      </c>
      <c r="B138" t="s">
        <v>37</v>
      </c>
      <c r="C138" t="s">
        <v>38</v>
      </c>
      <c r="D138" s="9" t="s">
        <v>39</v>
      </c>
      <c r="E138" s="9" t="s">
        <v>37</v>
      </c>
      <c r="F138" s="10"/>
      <c r="G138" t="s">
        <v>485</v>
      </c>
      <c r="I138" t="s">
        <v>41</v>
      </c>
      <c r="J138" t="s">
        <v>486</v>
      </c>
      <c r="K138" t="s">
        <v>43</v>
      </c>
      <c r="L138">
        <v>2</v>
      </c>
      <c r="M138" t="s">
        <v>44</v>
      </c>
      <c r="N138" t="s">
        <v>45</v>
      </c>
      <c r="O138" t="s">
        <v>46</v>
      </c>
      <c r="P138" s="5">
        <v>1</v>
      </c>
      <c r="Q138" s="11">
        <v>44677.680844907409</v>
      </c>
      <c r="R138" s="12">
        <v>44679</v>
      </c>
      <c r="T138" t="s">
        <v>47</v>
      </c>
      <c r="U138" t="s">
        <v>48</v>
      </c>
      <c r="V138" t="s">
        <v>91</v>
      </c>
      <c r="Y138" t="s">
        <v>487</v>
      </c>
      <c r="Z138">
        <v>57000</v>
      </c>
      <c r="AA138" t="s">
        <v>47</v>
      </c>
      <c r="AB138" t="s">
        <v>51</v>
      </c>
      <c r="AC138" t="s">
        <v>52</v>
      </c>
      <c r="AD138" s="13">
        <f t="shared" si="9"/>
        <v>4.9000000000000004</v>
      </c>
      <c r="AE138" s="14">
        <v>0</v>
      </c>
      <c r="AF138" s="14">
        <v>0</v>
      </c>
      <c r="AG138" s="14">
        <v>0</v>
      </c>
      <c r="AH138" s="14">
        <v>0</v>
      </c>
      <c r="AI138" s="14">
        <f t="shared" si="10"/>
        <v>0.29399999999999998</v>
      </c>
      <c r="AJ138" s="14">
        <f t="shared" si="11"/>
        <v>5.194</v>
      </c>
      <c r="AK138" t="s">
        <v>47</v>
      </c>
    </row>
    <row r="139" spans="1:37" ht="15" customHeight="1" x14ac:dyDescent="0.3">
      <c r="A139">
        <v>690929</v>
      </c>
      <c r="B139" t="s">
        <v>37</v>
      </c>
      <c r="C139" t="s">
        <v>38</v>
      </c>
      <c r="D139" s="9" t="s">
        <v>39</v>
      </c>
      <c r="E139" s="9" t="s">
        <v>37</v>
      </c>
      <c r="F139" s="10"/>
      <c r="G139" t="s">
        <v>488</v>
      </c>
      <c r="I139" t="s">
        <v>41</v>
      </c>
      <c r="J139" t="s">
        <v>489</v>
      </c>
      <c r="K139" t="s">
        <v>43</v>
      </c>
      <c r="L139">
        <v>2</v>
      </c>
      <c r="M139" t="s">
        <v>44</v>
      </c>
      <c r="N139" t="s">
        <v>45</v>
      </c>
      <c r="O139" t="s">
        <v>46</v>
      </c>
      <c r="P139" s="5">
        <v>1</v>
      </c>
      <c r="Q139" s="11">
        <v>44674.710196759261</v>
      </c>
      <c r="R139" s="12">
        <v>44679</v>
      </c>
      <c r="T139" t="s">
        <v>47</v>
      </c>
      <c r="U139" t="s">
        <v>48</v>
      </c>
      <c r="V139" t="s">
        <v>100</v>
      </c>
      <c r="Y139" t="s">
        <v>490</v>
      </c>
      <c r="Z139">
        <v>43700</v>
      </c>
      <c r="AA139" t="s">
        <v>47</v>
      </c>
      <c r="AB139" t="s">
        <v>51</v>
      </c>
      <c r="AC139" t="s">
        <v>52</v>
      </c>
      <c r="AD139" s="13">
        <f t="shared" si="9"/>
        <v>4.9000000000000004</v>
      </c>
      <c r="AE139" s="14">
        <v>0</v>
      </c>
      <c r="AF139" s="14">
        <v>0</v>
      </c>
      <c r="AG139" s="14">
        <v>0</v>
      </c>
      <c r="AH139" s="14">
        <v>0</v>
      </c>
      <c r="AI139" s="14">
        <f t="shared" si="10"/>
        <v>0.29399999999999998</v>
      </c>
      <c r="AJ139" s="14">
        <f t="shared" si="11"/>
        <v>5.194</v>
      </c>
      <c r="AK139" t="s">
        <v>47</v>
      </c>
    </row>
    <row r="140" spans="1:37" ht="15" customHeight="1" x14ac:dyDescent="0.3">
      <c r="A140">
        <v>690929</v>
      </c>
      <c r="B140" t="s">
        <v>37</v>
      </c>
      <c r="C140" t="s">
        <v>38</v>
      </c>
      <c r="D140" s="9" t="s">
        <v>39</v>
      </c>
      <c r="E140" s="9" t="s">
        <v>37</v>
      </c>
      <c r="F140" s="10"/>
      <c r="G140" t="s">
        <v>491</v>
      </c>
      <c r="I140" t="s">
        <v>41</v>
      </c>
      <c r="J140" t="s">
        <v>492</v>
      </c>
      <c r="K140" t="s">
        <v>43</v>
      </c>
      <c r="L140">
        <v>2</v>
      </c>
      <c r="M140" t="s">
        <v>44</v>
      </c>
      <c r="N140" t="s">
        <v>45</v>
      </c>
      <c r="O140" t="s">
        <v>68</v>
      </c>
      <c r="P140" s="5">
        <v>5</v>
      </c>
      <c r="Q140" s="11">
        <v>44675.778726851851</v>
      </c>
      <c r="R140" s="12">
        <v>44679</v>
      </c>
      <c r="T140" t="s">
        <v>47</v>
      </c>
      <c r="U140" t="s">
        <v>48</v>
      </c>
      <c r="V140" t="s">
        <v>96</v>
      </c>
      <c r="Y140" t="s">
        <v>493</v>
      </c>
      <c r="Z140">
        <v>6700</v>
      </c>
      <c r="AA140" t="s">
        <v>47</v>
      </c>
      <c r="AB140" t="s">
        <v>494</v>
      </c>
      <c r="AC140" t="s">
        <v>52</v>
      </c>
      <c r="AD140" s="13">
        <f t="shared" si="9"/>
        <v>8.1000000000000014</v>
      </c>
      <c r="AE140" s="14">
        <v>0</v>
      </c>
      <c r="AF140" s="14">
        <v>0</v>
      </c>
      <c r="AG140" s="14">
        <v>0</v>
      </c>
      <c r="AH140" s="14">
        <v>0</v>
      </c>
      <c r="AI140" s="14">
        <f t="shared" si="10"/>
        <v>0.48600000000000004</v>
      </c>
      <c r="AJ140" s="14">
        <f t="shared" si="11"/>
        <v>8.5860000000000021</v>
      </c>
      <c r="AK140" t="s">
        <v>47</v>
      </c>
    </row>
    <row r="141" spans="1:37" ht="15" customHeight="1" x14ac:dyDescent="0.3">
      <c r="A141">
        <v>690929</v>
      </c>
      <c r="B141" t="s">
        <v>37</v>
      </c>
      <c r="C141" t="s">
        <v>38</v>
      </c>
      <c r="D141" s="9" t="s">
        <v>39</v>
      </c>
      <c r="E141" s="9" t="s">
        <v>37</v>
      </c>
      <c r="F141" s="10"/>
      <c r="G141" t="s">
        <v>495</v>
      </c>
      <c r="I141" t="s">
        <v>41</v>
      </c>
      <c r="J141" t="s">
        <v>496</v>
      </c>
      <c r="K141" t="s">
        <v>43</v>
      </c>
      <c r="L141">
        <v>2</v>
      </c>
      <c r="M141" t="s">
        <v>44</v>
      </c>
      <c r="N141" t="s">
        <v>45</v>
      </c>
      <c r="O141" t="s">
        <v>46</v>
      </c>
      <c r="P141" s="5">
        <v>1</v>
      </c>
      <c r="Q141" s="11">
        <v>44674.61822916667</v>
      </c>
      <c r="R141" s="12">
        <v>44679</v>
      </c>
      <c r="T141" t="s">
        <v>47</v>
      </c>
      <c r="U141" t="s">
        <v>48</v>
      </c>
      <c r="V141" t="s">
        <v>168</v>
      </c>
      <c r="Y141" t="s">
        <v>497</v>
      </c>
      <c r="Z141">
        <v>81200</v>
      </c>
      <c r="AA141" t="s">
        <v>47</v>
      </c>
      <c r="AB141" t="s">
        <v>80</v>
      </c>
      <c r="AC141" t="s">
        <v>52</v>
      </c>
      <c r="AD141" s="13">
        <f t="shared" si="9"/>
        <v>4.9000000000000004</v>
      </c>
      <c r="AE141" s="14">
        <v>0</v>
      </c>
      <c r="AF141" s="14">
        <v>0</v>
      </c>
      <c r="AG141" s="14">
        <v>0</v>
      </c>
      <c r="AH141" s="14">
        <v>0</v>
      </c>
      <c r="AI141" s="14">
        <f t="shared" si="10"/>
        <v>0.29399999999999998</v>
      </c>
      <c r="AJ141" s="14">
        <f t="shared" si="11"/>
        <v>5.194</v>
      </c>
      <c r="AK141" t="s">
        <v>47</v>
      </c>
    </row>
    <row r="142" spans="1:37" ht="15" customHeight="1" x14ac:dyDescent="0.3">
      <c r="A142">
        <v>690929</v>
      </c>
      <c r="B142" t="s">
        <v>37</v>
      </c>
      <c r="C142" t="s">
        <v>38</v>
      </c>
      <c r="D142" s="9" t="s">
        <v>39</v>
      </c>
      <c r="E142" s="9" t="s">
        <v>37</v>
      </c>
      <c r="F142" s="10"/>
      <c r="G142" t="s">
        <v>498</v>
      </c>
      <c r="I142" t="s">
        <v>41</v>
      </c>
      <c r="J142" t="s">
        <v>499</v>
      </c>
      <c r="K142" t="s">
        <v>43</v>
      </c>
      <c r="L142">
        <v>2</v>
      </c>
      <c r="M142" t="s">
        <v>44</v>
      </c>
      <c r="N142" t="s">
        <v>45</v>
      </c>
      <c r="O142" t="s">
        <v>46</v>
      </c>
      <c r="P142" s="5">
        <v>1</v>
      </c>
      <c r="Q142" s="11">
        <v>44674.739236111112</v>
      </c>
      <c r="R142" s="12">
        <v>44679</v>
      </c>
      <c r="T142" t="s">
        <v>47</v>
      </c>
      <c r="U142" t="s">
        <v>48</v>
      </c>
      <c r="V142" t="s">
        <v>500</v>
      </c>
      <c r="Y142" t="s">
        <v>501</v>
      </c>
      <c r="Z142">
        <v>1000</v>
      </c>
      <c r="AA142" t="s">
        <v>47</v>
      </c>
      <c r="AB142" t="s">
        <v>177</v>
      </c>
      <c r="AC142" t="s">
        <v>52</v>
      </c>
      <c r="AD142" s="13">
        <f t="shared" si="9"/>
        <v>4.9000000000000004</v>
      </c>
      <c r="AE142" s="14">
        <v>0</v>
      </c>
      <c r="AF142" s="14">
        <v>0</v>
      </c>
      <c r="AG142" s="14">
        <v>0</v>
      </c>
      <c r="AH142" s="14">
        <v>0</v>
      </c>
      <c r="AI142" s="14">
        <f t="shared" si="10"/>
        <v>0.29399999999999998</v>
      </c>
      <c r="AJ142" s="14">
        <f t="shared" si="11"/>
        <v>5.194</v>
      </c>
      <c r="AK142" t="s">
        <v>47</v>
      </c>
    </row>
    <row r="143" spans="1:37" ht="15" customHeight="1" x14ac:dyDescent="0.3">
      <c r="A143">
        <v>690929</v>
      </c>
      <c r="B143" t="s">
        <v>37</v>
      </c>
      <c r="C143" t="s">
        <v>38</v>
      </c>
      <c r="D143" s="9" t="s">
        <v>39</v>
      </c>
      <c r="E143" s="9" t="s">
        <v>37</v>
      </c>
      <c r="F143" s="10"/>
      <c r="G143" t="s">
        <v>502</v>
      </c>
      <c r="I143" t="s">
        <v>41</v>
      </c>
      <c r="J143" t="s">
        <v>503</v>
      </c>
      <c r="K143" t="s">
        <v>43</v>
      </c>
      <c r="L143">
        <v>2</v>
      </c>
      <c r="M143" t="s">
        <v>44</v>
      </c>
      <c r="N143" t="s">
        <v>45</v>
      </c>
      <c r="O143" t="s">
        <v>46</v>
      </c>
      <c r="P143" s="5">
        <v>1</v>
      </c>
      <c r="Q143" s="11">
        <v>44675.405891203707</v>
      </c>
      <c r="R143" s="12">
        <v>44679</v>
      </c>
      <c r="T143" t="s">
        <v>47</v>
      </c>
      <c r="U143" t="s">
        <v>48</v>
      </c>
      <c r="V143" t="s">
        <v>96</v>
      </c>
      <c r="Y143" t="s">
        <v>504</v>
      </c>
      <c r="Z143">
        <v>9300</v>
      </c>
      <c r="AA143" t="s">
        <v>47</v>
      </c>
      <c r="AB143" t="s">
        <v>80</v>
      </c>
      <c r="AC143" t="s">
        <v>52</v>
      </c>
      <c r="AD143" s="13">
        <f t="shared" si="9"/>
        <v>4.9000000000000004</v>
      </c>
      <c r="AE143" s="14">
        <v>0</v>
      </c>
      <c r="AF143" s="14">
        <v>0</v>
      </c>
      <c r="AG143" s="14">
        <v>0</v>
      </c>
      <c r="AH143" s="14">
        <v>0</v>
      </c>
      <c r="AI143" s="14">
        <f t="shared" si="10"/>
        <v>0.29399999999999998</v>
      </c>
      <c r="AJ143" s="14">
        <f t="shared" si="11"/>
        <v>5.194</v>
      </c>
      <c r="AK143" t="s">
        <v>47</v>
      </c>
    </row>
    <row r="144" spans="1:37" ht="15" customHeight="1" x14ac:dyDescent="0.3">
      <c r="A144">
        <v>690929</v>
      </c>
      <c r="B144" t="s">
        <v>37</v>
      </c>
      <c r="C144" t="s">
        <v>38</v>
      </c>
      <c r="D144" s="9" t="s">
        <v>39</v>
      </c>
      <c r="E144" s="9" t="s">
        <v>37</v>
      </c>
      <c r="F144" s="10"/>
      <c r="G144" t="s">
        <v>505</v>
      </c>
      <c r="I144" t="s">
        <v>41</v>
      </c>
      <c r="J144" t="s">
        <v>506</v>
      </c>
      <c r="K144" t="s">
        <v>43</v>
      </c>
      <c r="L144">
        <v>2</v>
      </c>
      <c r="M144" t="s">
        <v>44</v>
      </c>
      <c r="N144" t="s">
        <v>45</v>
      </c>
      <c r="O144" t="s">
        <v>46</v>
      </c>
      <c r="P144" s="5">
        <v>1</v>
      </c>
      <c r="Q144" s="11">
        <v>44674.734942129631</v>
      </c>
      <c r="R144" s="12">
        <v>44679</v>
      </c>
      <c r="T144" t="s">
        <v>47</v>
      </c>
      <c r="U144" t="s">
        <v>48</v>
      </c>
      <c r="V144" t="s">
        <v>96</v>
      </c>
      <c r="Y144" t="s">
        <v>507</v>
      </c>
      <c r="Z144">
        <v>6150</v>
      </c>
      <c r="AA144" t="s">
        <v>47</v>
      </c>
      <c r="AB144" t="s">
        <v>177</v>
      </c>
      <c r="AC144" t="s">
        <v>52</v>
      </c>
      <c r="AD144" s="13">
        <f t="shared" si="9"/>
        <v>4.9000000000000004</v>
      </c>
      <c r="AE144" s="14">
        <v>0</v>
      </c>
      <c r="AF144" s="14">
        <v>0</v>
      </c>
      <c r="AG144" s="14">
        <v>0</v>
      </c>
      <c r="AH144" s="14">
        <v>0</v>
      </c>
      <c r="AI144" s="14">
        <f t="shared" si="10"/>
        <v>0.29399999999999998</v>
      </c>
      <c r="AJ144" s="14">
        <f t="shared" si="11"/>
        <v>5.194</v>
      </c>
      <c r="AK144" t="s">
        <v>47</v>
      </c>
    </row>
    <row r="145" spans="1:37" ht="15" customHeight="1" x14ac:dyDescent="0.3">
      <c r="A145">
        <v>690929</v>
      </c>
      <c r="B145" t="s">
        <v>37</v>
      </c>
      <c r="C145" t="s">
        <v>38</v>
      </c>
      <c r="D145" s="9" t="s">
        <v>39</v>
      </c>
      <c r="E145" s="9" t="s">
        <v>37</v>
      </c>
      <c r="F145" s="10"/>
      <c r="G145" t="s">
        <v>508</v>
      </c>
      <c r="I145" t="s">
        <v>41</v>
      </c>
      <c r="J145" t="s">
        <v>509</v>
      </c>
      <c r="K145" t="s">
        <v>43</v>
      </c>
      <c r="L145">
        <v>2</v>
      </c>
      <c r="M145" t="s">
        <v>44</v>
      </c>
      <c r="N145" t="s">
        <v>45</v>
      </c>
      <c r="O145" t="s">
        <v>46</v>
      </c>
      <c r="P145" s="5">
        <v>1</v>
      </c>
      <c r="Q145" s="11">
        <v>44676.37940972222</v>
      </c>
      <c r="R145" s="12">
        <v>44679</v>
      </c>
      <c r="T145" t="s">
        <v>47</v>
      </c>
      <c r="U145" t="s">
        <v>48</v>
      </c>
      <c r="V145" t="s">
        <v>100</v>
      </c>
      <c r="Y145" t="s">
        <v>510</v>
      </c>
      <c r="Z145">
        <v>48050</v>
      </c>
      <c r="AA145" t="s">
        <v>47</v>
      </c>
      <c r="AB145" t="s">
        <v>51</v>
      </c>
      <c r="AC145" t="s">
        <v>52</v>
      </c>
      <c r="AD145" s="13">
        <f t="shared" si="9"/>
        <v>4.9000000000000004</v>
      </c>
      <c r="AE145" s="14">
        <v>0</v>
      </c>
      <c r="AF145" s="14">
        <v>0</v>
      </c>
      <c r="AG145" s="14">
        <v>0</v>
      </c>
      <c r="AH145" s="14">
        <v>0</v>
      </c>
      <c r="AI145" s="14">
        <f t="shared" si="10"/>
        <v>0.29399999999999998</v>
      </c>
      <c r="AJ145" s="14">
        <f t="shared" si="11"/>
        <v>5.194</v>
      </c>
      <c r="AK145" t="s">
        <v>47</v>
      </c>
    </row>
    <row r="146" spans="1:37" ht="15" customHeight="1" x14ac:dyDescent="0.3">
      <c r="A146">
        <v>690929</v>
      </c>
      <c r="B146" t="s">
        <v>37</v>
      </c>
      <c r="C146" t="s">
        <v>38</v>
      </c>
      <c r="D146" s="9" t="s">
        <v>39</v>
      </c>
      <c r="E146" s="9" t="s">
        <v>37</v>
      </c>
      <c r="F146" s="10"/>
      <c r="G146" t="s">
        <v>511</v>
      </c>
      <c r="I146" t="s">
        <v>41</v>
      </c>
      <c r="J146" t="s">
        <v>512</v>
      </c>
      <c r="K146" t="s">
        <v>43</v>
      </c>
      <c r="L146">
        <v>2</v>
      </c>
      <c r="M146" t="s">
        <v>44</v>
      </c>
      <c r="N146" t="s">
        <v>45</v>
      </c>
      <c r="O146" t="s">
        <v>46</v>
      </c>
      <c r="P146" s="5">
        <v>1</v>
      </c>
      <c r="Q146" s="11">
        <v>44677.730671296296</v>
      </c>
      <c r="R146" s="12">
        <v>44679</v>
      </c>
      <c r="T146" t="s">
        <v>47</v>
      </c>
      <c r="U146" t="s">
        <v>48</v>
      </c>
      <c r="V146" t="s">
        <v>100</v>
      </c>
      <c r="Y146" t="s">
        <v>513</v>
      </c>
      <c r="Z146">
        <v>45200</v>
      </c>
      <c r="AA146" t="s">
        <v>47</v>
      </c>
      <c r="AB146" t="s">
        <v>51</v>
      </c>
      <c r="AC146" t="s">
        <v>52</v>
      </c>
      <c r="AD146" s="13">
        <f t="shared" si="9"/>
        <v>4.9000000000000004</v>
      </c>
      <c r="AE146" s="14">
        <v>0</v>
      </c>
      <c r="AF146" s="14">
        <v>0</v>
      </c>
      <c r="AG146" s="14">
        <v>0</v>
      </c>
      <c r="AH146" s="14">
        <v>0</v>
      </c>
      <c r="AI146" s="14">
        <f t="shared" si="10"/>
        <v>0.29399999999999998</v>
      </c>
      <c r="AJ146" s="14">
        <f t="shared" si="11"/>
        <v>5.194</v>
      </c>
      <c r="AK146" t="s">
        <v>47</v>
      </c>
    </row>
    <row r="147" spans="1:37" ht="15" customHeight="1" x14ac:dyDescent="0.3">
      <c r="A147">
        <v>690929</v>
      </c>
      <c r="B147" t="s">
        <v>37</v>
      </c>
      <c r="C147" t="s">
        <v>38</v>
      </c>
      <c r="D147" s="9" t="s">
        <v>39</v>
      </c>
      <c r="E147" s="9" t="s">
        <v>37</v>
      </c>
      <c r="F147" s="10"/>
      <c r="G147" t="s">
        <v>514</v>
      </c>
      <c r="I147" t="s">
        <v>41</v>
      </c>
      <c r="J147" t="s">
        <v>515</v>
      </c>
      <c r="K147" t="s">
        <v>43</v>
      </c>
      <c r="L147">
        <v>2</v>
      </c>
      <c r="M147" t="s">
        <v>44</v>
      </c>
      <c r="N147" t="s">
        <v>45</v>
      </c>
      <c r="O147" t="s">
        <v>46</v>
      </c>
      <c r="P147" s="5">
        <v>1</v>
      </c>
      <c r="Q147" s="11">
        <v>44675.75509259259</v>
      </c>
      <c r="R147" s="12">
        <v>44679</v>
      </c>
      <c r="T147" t="s">
        <v>47</v>
      </c>
      <c r="U147" t="s">
        <v>48</v>
      </c>
      <c r="V147" t="s">
        <v>96</v>
      </c>
      <c r="Y147" t="s">
        <v>516</v>
      </c>
      <c r="Z147">
        <v>9100</v>
      </c>
      <c r="AA147" t="s">
        <v>47</v>
      </c>
      <c r="AB147" t="s">
        <v>517</v>
      </c>
      <c r="AC147" t="s">
        <v>52</v>
      </c>
      <c r="AD147" s="13">
        <f t="shared" si="9"/>
        <v>4.9000000000000004</v>
      </c>
      <c r="AE147" s="14">
        <v>0</v>
      </c>
      <c r="AF147" s="14">
        <v>0</v>
      </c>
      <c r="AG147" s="14">
        <v>0</v>
      </c>
      <c r="AH147" s="14">
        <v>0</v>
      </c>
      <c r="AI147" s="14">
        <f t="shared" si="10"/>
        <v>0.29399999999999998</v>
      </c>
      <c r="AJ147" s="14">
        <f t="shared" si="11"/>
        <v>5.194</v>
      </c>
      <c r="AK147" t="s">
        <v>47</v>
      </c>
    </row>
    <row r="148" spans="1:37" ht="15" customHeight="1" x14ac:dyDescent="0.3">
      <c r="A148">
        <v>690929</v>
      </c>
      <c r="B148" t="s">
        <v>37</v>
      </c>
      <c r="C148" t="s">
        <v>38</v>
      </c>
      <c r="D148" s="9" t="s">
        <v>39</v>
      </c>
      <c r="E148" s="9" t="s">
        <v>37</v>
      </c>
      <c r="F148" s="10"/>
      <c r="G148" t="s">
        <v>518</v>
      </c>
      <c r="I148" t="s">
        <v>41</v>
      </c>
      <c r="J148" t="s">
        <v>519</v>
      </c>
      <c r="K148" t="s">
        <v>43</v>
      </c>
      <c r="L148">
        <v>2</v>
      </c>
      <c r="M148" t="s">
        <v>44</v>
      </c>
      <c r="N148" t="s">
        <v>45</v>
      </c>
      <c r="O148" t="s">
        <v>46</v>
      </c>
      <c r="P148" s="5">
        <v>1</v>
      </c>
      <c r="Q148" s="11">
        <v>44674.742708333331</v>
      </c>
      <c r="R148" s="12">
        <v>44679</v>
      </c>
      <c r="T148" t="s">
        <v>47</v>
      </c>
      <c r="U148" t="s">
        <v>48</v>
      </c>
      <c r="V148" t="s">
        <v>156</v>
      </c>
      <c r="Y148" t="s">
        <v>520</v>
      </c>
      <c r="Z148">
        <v>32040</v>
      </c>
      <c r="AA148" t="s">
        <v>47</v>
      </c>
      <c r="AB148" t="s">
        <v>158</v>
      </c>
      <c r="AC148" t="s">
        <v>52</v>
      </c>
      <c r="AD148" s="13">
        <f t="shared" si="9"/>
        <v>4.9000000000000004</v>
      </c>
      <c r="AE148" s="14">
        <v>0</v>
      </c>
      <c r="AF148" s="14">
        <v>0</v>
      </c>
      <c r="AG148" s="14">
        <v>0</v>
      </c>
      <c r="AH148" s="14">
        <v>0</v>
      </c>
      <c r="AI148" s="14">
        <f t="shared" si="10"/>
        <v>0.29399999999999998</v>
      </c>
      <c r="AJ148" s="14">
        <f t="shared" si="11"/>
        <v>5.194</v>
      </c>
      <c r="AK148" t="s">
        <v>47</v>
      </c>
    </row>
    <row r="149" spans="1:37" ht="15" customHeight="1" x14ac:dyDescent="0.3">
      <c r="A149">
        <v>690929</v>
      </c>
      <c r="B149" t="s">
        <v>37</v>
      </c>
      <c r="C149" t="s">
        <v>38</v>
      </c>
      <c r="D149" s="9" t="s">
        <v>39</v>
      </c>
      <c r="E149" s="9" t="s">
        <v>37</v>
      </c>
      <c r="F149" s="10"/>
      <c r="G149" t="s">
        <v>521</v>
      </c>
      <c r="I149" t="s">
        <v>41</v>
      </c>
      <c r="J149" t="s">
        <v>522</v>
      </c>
      <c r="K149" t="s">
        <v>43</v>
      </c>
      <c r="L149">
        <v>2</v>
      </c>
      <c r="M149" t="s">
        <v>44</v>
      </c>
      <c r="N149" t="s">
        <v>45</v>
      </c>
      <c r="O149" t="s">
        <v>68</v>
      </c>
      <c r="P149" s="5">
        <v>1</v>
      </c>
      <c r="Q149" s="11">
        <v>44674.737361111111</v>
      </c>
      <c r="R149" s="12">
        <v>44679</v>
      </c>
      <c r="T149" t="s">
        <v>47</v>
      </c>
      <c r="U149" t="s">
        <v>48</v>
      </c>
      <c r="V149" t="s">
        <v>100</v>
      </c>
      <c r="Y149" t="s">
        <v>523</v>
      </c>
      <c r="Z149">
        <v>47100</v>
      </c>
      <c r="AA149" t="s">
        <v>47</v>
      </c>
      <c r="AB149" t="s">
        <v>524</v>
      </c>
      <c r="AC149" t="s">
        <v>52</v>
      </c>
      <c r="AD149" s="13">
        <f t="shared" si="9"/>
        <v>4.9000000000000004</v>
      </c>
      <c r="AE149" s="14">
        <v>0</v>
      </c>
      <c r="AF149" s="14">
        <v>0</v>
      </c>
      <c r="AG149" s="14">
        <v>0</v>
      </c>
      <c r="AH149" s="14">
        <v>0</v>
      </c>
      <c r="AI149" s="14">
        <f t="shared" si="10"/>
        <v>0.29399999999999998</v>
      </c>
      <c r="AJ149" s="14">
        <f t="shared" si="11"/>
        <v>5.194</v>
      </c>
      <c r="AK149" t="s">
        <v>47</v>
      </c>
    </row>
    <row r="150" spans="1:37" ht="15" customHeight="1" x14ac:dyDescent="0.3">
      <c r="A150">
        <v>690929</v>
      </c>
      <c r="B150" t="s">
        <v>37</v>
      </c>
      <c r="C150" t="s">
        <v>38</v>
      </c>
      <c r="D150" s="9" t="s">
        <v>39</v>
      </c>
      <c r="E150" s="9" t="s">
        <v>37</v>
      </c>
      <c r="F150" s="10"/>
      <c r="G150" t="s">
        <v>525</v>
      </c>
      <c r="I150" t="s">
        <v>41</v>
      </c>
      <c r="J150" t="s">
        <v>526</v>
      </c>
      <c r="K150" t="s">
        <v>43</v>
      </c>
      <c r="L150">
        <v>2</v>
      </c>
      <c r="M150" t="s">
        <v>44</v>
      </c>
      <c r="N150" t="s">
        <v>45</v>
      </c>
      <c r="O150" t="s">
        <v>63</v>
      </c>
      <c r="P150" s="5">
        <v>10</v>
      </c>
      <c r="Q150" s="11">
        <v>44675.78019675926</v>
      </c>
      <c r="R150" s="12">
        <v>44679</v>
      </c>
      <c r="T150" t="s">
        <v>47</v>
      </c>
      <c r="U150" t="s">
        <v>48</v>
      </c>
      <c r="V150" t="s">
        <v>96</v>
      </c>
      <c r="Y150" t="s">
        <v>527</v>
      </c>
      <c r="Z150">
        <v>8000</v>
      </c>
      <c r="AA150" t="s">
        <v>47</v>
      </c>
      <c r="AB150" t="s">
        <v>528</v>
      </c>
      <c r="AC150" t="s">
        <v>52</v>
      </c>
      <c r="AD150" s="13">
        <f t="shared" si="9"/>
        <v>12.100000000000001</v>
      </c>
      <c r="AE150" s="14">
        <v>0</v>
      </c>
      <c r="AF150" s="14">
        <v>0</v>
      </c>
      <c r="AG150" s="14">
        <v>0</v>
      </c>
      <c r="AH150" s="14">
        <v>0</v>
      </c>
      <c r="AI150" s="14">
        <f t="shared" si="10"/>
        <v>0.72600000000000009</v>
      </c>
      <c r="AJ150" s="14">
        <f t="shared" si="11"/>
        <v>12.826000000000002</v>
      </c>
      <c r="AK150" t="s">
        <v>47</v>
      </c>
    </row>
    <row r="151" spans="1:37" ht="15" customHeight="1" x14ac:dyDescent="0.3">
      <c r="A151">
        <v>690929</v>
      </c>
      <c r="B151" t="s">
        <v>37</v>
      </c>
      <c r="C151" t="s">
        <v>38</v>
      </c>
      <c r="D151" s="9" t="s">
        <v>39</v>
      </c>
      <c r="E151" s="9" t="s">
        <v>37</v>
      </c>
      <c r="F151" s="10"/>
      <c r="G151" t="s">
        <v>529</v>
      </c>
      <c r="I151" t="s">
        <v>41</v>
      </c>
      <c r="J151" t="s">
        <v>530</v>
      </c>
      <c r="K151" t="s">
        <v>43</v>
      </c>
      <c r="L151">
        <v>2</v>
      </c>
      <c r="M151" t="s">
        <v>44</v>
      </c>
      <c r="N151" t="s">
        <v>45</v>
      </c>
      <c r="O151" t="s">
        <v>46</v>
      </c>
      <c r="P151" s="5">
        <v>1</v>
      </c>
      <c r="Q151" s="11">
        <v>44677.652604166666</v>
      </c>
      <c r="R151" s="12">
        <v>44679</v>
      </c>
      <c r="T151" t="s">
        <v>47</v>
      </c>
      <c r="U151" t="s">
        <v>48</v>
      </c>
      <c r="V151" t="s">
        <v>100</v>
      </c>
      <c r="Y151" t="s">
        <v>531</v>
      </c>
      <c r="Z151">
        <v>42700</v>
      </c>
      <c r="AA151" t="s">
        <v>47</v>
      </c>
      <c r="AB151" t="s">
        <v>51</v>
      </c>
      <c r="AC151" t="s">
        <v>52</v>
      </c>
      <c r="AD151" s="13">
        <f t="shared" si="9"/>
        <v>4.9000000000000004</v>
      </c>
      <c r="AE151" s="14">
        <v>0</v>
      </c>
      <c r="AF151" s="14">
        <v>0</v>
      </c>
      <c r="AG151" s="14">
        <v>0</v>
      </c>
      <c r="AH151" s="14">
        <v>0</v>
      </c>
      <c r="AI151" s="14">
        <f t="shared" si="10"/>
        <v>0.29399999999999998</v>
      </c>
      <c r="AJ151" s="14">
        <f t="shared" si="11"/>
        <v>5.194</v>
      </c>
      <c r="AK151" t="s">
        <v>47</v>
      </c>
    </row>
    <row r="152" spans="1:37" ht="15" customHeight="1" x14ac:dyDescent="0.3">
      <c r="A152">
        <v>690929</v>
      </c>
      <c r="B152" t="s">
        <v>37</v>
      </c>
      <c r="C152" t="s">
        <v>38</v>
      </c>
      <c r="D152" s="9" t="s">
        <v>39</v>
      </c>
      <c r="E152" s="9" t="s">
        <v>37</v>
      </c>
      <c r="F152" s="10"/>
      <c r="G152" t="s">
        <v>532</v>
      </c>
      <c r="I152" t="s">
        <v>41</v>
      </c>
      <c r="J152" t="s">
        <v>533</v>
      </c>
      <c r="K152" t="s">
        <v>43</v>
      </c>
      <c r="L152">
        <v>2</v>
      </c>
      <c r="M152" t="s">
        <v>44</v>
      </c>
      <c r="N152" t="s">
        <v>45</v>
      </c>
      <c r="O152" t="s">
        <v>46</v>
      </c>
      <c r="P152" s="5">
        <v>1</v>
      </c>
      <c r="Q152" s="11">
        <v>44677.690069444441</v>
      </c>
      <c r="R152" s="12">
        <v>44680</v>
      </c>
      <c r="T152" t="s">
        <v>47</v>
      </c>
      <c r="U152" t="s">
        <v>48</v>
      </c>
      <c r="V152" t="s">
        <v>100</v>
      </c>
      <c r="Y152" t="s">
        <v>534</v>
      </c>
      <c r="Z152">
        <v>47500</v>
      </c>
      <c r="AA152" t="s">
        <v>47</v>
      </c>
      <c r="AB152" t="s">
        <v>51</v>
      </c>
      <c r="AC152" t="s">
        <v>52</v>
      </c>
      <c r="AD152" s="13">
        <f t="shared" si="9"/>
        <v>4.9000000000000004</v>
      </c>
      <c r="AE152" s="14">
        <v>0</v>
      </c>
      <c r="AF152" s="14">
        <v>0</v>
      </c>
      <c r="AG152" s="14">
        <v>0</v>
      </c>
      <c r="AH152" s="14">
        <v>0</v>
      </c>
      <c r="AI152" s="14">
        <f t="shared" si="10"/>
        <v>0.29399999999999998</v>
      </c>
      <c r="AJ152" s="14">
        <f t="shared" si="11"/>
        <v>5.194</v>
      </c>
      <c r="AK152" t="s">
        <v>47</v>
      </c>
    </row>
    <row r="153" spans="1:37" ht="15" customHeight="1" x14ac:dyDescent="0.3">
      <c r="A153">
        <v>690929</v>
      </c>
      <c r="B153" t="s">
        <v>37</v>
      </c>
      <c r="C153" t="s">
        <v>38</v>
      </c>
      <c r="D153" s="9" t="s">
        <v>39</v>
      </c>
      <c r="E153" s="9" t="s">
        <v>37</v>
      </c>
      <c r="F153" s="10"/>
      <c r="G153" t="s">
        <v>535</v>
      </c>
      <c r="I153" t="s">
        <v>41</v>
      </c>
      <c r="J153" t="s">
        <v>536</v>
      </c>
      <c r="K153" t="s">
        <v>43</v>
      </c>
      <c r="L153">
        <v>2</v>
      </c>
      <c r="M153" t="s">
        <v>44</v>
      </c>
      <c r="N153" t="s">
        <v>45</v>
      </c>
      <c r="O153" t="s">
        <v>46</v>
      </c>
      <c r="P153" s="5">
        <v>1</v>
      </c>
      <c r="Q153" s="11">
        <v>44679.636180555557</v>
      </c>
      <c r="R153" s="12">
        <v>44680</v>
      </c>
      <c r="T153" t="s">
        <v>47</v>
      </c>
      <c r="U153" t="s">
        <v>48</v>
      </c>
      <c r="V153" t="s">
        <v>74</v>
      </c>
      <c r="Y153" t="s">
        <v>537</v>
      </c>
      <c r="Z153">
        <v>17510</v>
      </c>
      <c r="AA153" t="s">
        <v>47</v>
      </c>
      <c r="AB153" t="s">
        <v>51</v>
      </c>
      <c r="AC153" t="s">
        <v>52</v>
      </c>
      <c r="AD153" s="13">
        <f t="shared" si="9"/>
        <v>4.9000000000000004</v>
      </c>
      <c r="AE153" s="14">
        <v>0</v>
      </c>
      <c r="AF153" s="14">
        <v>0</v>
      </c>
      <c r="AG153" s="14">
        <v>0</v>
      </c>
      <c r="AH153" s="14">
        <v>0</v>
      </c>
      <c r="AI153" s="14">
        <f t="shared" si="10"/>
        <v>0.29399999999999998</v>
      </c>
      <c r="AJ153" s="14">
        <f t="shared" si="11"/>
        <v>5.194</v>
      </c>
      <c r="AK153" t="s">
        <v>47</v>
      </c>
    </row>
    <row r="154" spans="1:37" ht="15" customHeight="1" x14ac:dyDescent="0.3">
      <c r="A154">
        <v>690929</v>
      </c>
      <c r="B154" t="s">
        <v>37</v>
      </c>
      <c r="C154" t="s">
        <v>38</v>
      </c>
      <c r="D154" s="9" t="s">
        <v>39</v>
      </c>
      <c r="E154" s="9" t="s">
        <v>37</v>
      </c>
      <c r="F154" s="10"/>
      <c r="G154" t="s">
        <v>538</v>
      </c>
      <c r="I154" t="s">
        <v>41</v>
      </c>
      <c r="J154" t="s">
        <v>539</v>
      </c>
      <c r="K154" t="s">
        <v>43</v>
      </c>
      <c r="L154">
        <v>2</v>
      </c>
      <c r="M154" t="s">
        <v>44</v>
      </c>
      <c r="N154" t="s">
        <v>45</v>
      </c>
      <c r="O154" t="s">
        <v>46</v>
      </c>
      <c r="P154" s="5">
        <v>1</v>
      </c>
      <c r="Q154" s="11">
        <v>44679.633587962962</v>
      </c>
      <c r="R154" s="12">
        <v>44680</v>
      </c>
      <c r="T154" t="s">
        <v>47</v>
      </c>
      <c r="U154" t="s">
        <v>48</v>
      </c>
      <c r="V154" t="s">
        <v>74</v>
      </c>
      <c r="Y154" t="s">
        <v>540</v>
      </c>
      <c r="Z154">
        <v>17000</v>
      </c>
      <c r="AA154" t="s">
        <v>47</v>
      </c>
      <c r="AB154" t="s">
        <v>51</v>
      </c>
      <c r="AC154" t="s">
        <v>52</v>
      </c>
      <c r="AD154" s="13">
        <f t="shared" si="9"/>
        <v>4.9000000000000004</v>
      </c>
      <c r="AE154" s="14">
        <v>0</v>
      </c>
      <c r="AF154" s="14">
        <v>0</v>
      </c>
      <c r="AG154" s="14">
        <v>0</v>
      </c>
      <c r="AH154" s="14">
        <v>0</v>
      </c>
      <c r="AI154" s="14">
        <f t="shared" si="10"/>
        <v>0.29399999999999998</v>
      </c>
      <c r="AJ154" s="14">
        <f t="shared" si="11"/>
        <v>5.194</v>
      </c>
      <c r="AK154" t="s">
        <v>47</v>
      </c>
    </row>
    <row r="155" spans="1:37" ht="15" customHeight="1" x14ac:dyDescent="0.3">
      <c r="A155">
        <v>690929</v>
      </c>
      <c r="B155" t="s">
        <v>37</v>
      </c>
      <c r="C155" t="s">
        <v>38</v>
      </c>
      <c r="D155" s="9" t="s">
        <v>39</v>
      </c>
      <c r="E155" s="9" t="s">
        <v>37</v>
      </c>
      <c r="F155" s="10"/>
      <c r="G155" t="s">
        <v>541</v>
      </c>
      <c r="I155" t="s">
        <v>41</v>
      </c>
      <c r="J155" t="s">
        <v>542</v>
      </c>
      <c r="K155" t="s">
        <v>43</v>
      </c>
      <c r="L155">
        <v>2</v>
      </c>
      <c r="M155" t="s">
        <v>44</v>
      </c>
      <c r="N155" t="s">
        <v>45</v>
      </c>
      <c r="O155" t="s">
        <v>46</v>
      </c>
      <c r="P155" s="5">
        <v>1</v>
      </c>
      <c r="Q155" s="11">
        <v>44678.72252314815</v>
      </c>
      <c r="R155" s="12">
        <v>44680</v>
      </c>
      <c r="T155" t="s">
        <v>47</v>
      </c>
      <c r="U155" t="s">
        <v>48</v>
      </c>
      <c r="V155" t="s">
        <v>49</v>
      </c>
      <c r="Y155" t="s">
        <v>543</v>
      </c>
      <c r="Z155">
        <v>22200</v>
      </c>
      <c r="AA155" t="s">
        <v>47</v>
      </c>
      <c r="AB155" t="s">
        <v>51</v>
      </c>
      <c r="AC155" t="s">
        <v>52</v>
      </c>
      <c r="AD155" s="13">
        <f t="shared" si="9"/>
        <v>4.9000000000000004</v>
      </c>
      <c r="AE155" s="14">
        <v>0</v>
      </c>
      <c r="AF155" s="14">
        <v>0</v>
      </c>
      <c r="AG155" s="14">
        <v>0</v>
      </c>
      <c r="AH155" s="14">
        <v>0</v>
      </c>
      <c r="AI155" s="14">
        <f t="shared" si="10"/>
        <v>0.29399999999999998</v>
      </c>
      <c r="AJ155" s="14">
        <f t="shared" si="11"/>
        <v>5.194</v>
      </c>
      <c r="AK155" t="s">
        <v>47</v>
      </c>
    </row>
    <row r="156" spans="1:37" ht="15" customHeight="1" x14ac:dyDescent="0.3">
      <c r="A156">
        <v>690929</v>
      </c>
      <c r="B156" t="s">
        <v>37</v>
      </c>
      <c r="C156" t="s">
        <v>38</v>
      </c>
      <c r="D156" s="9" t="s">
        <v>39</v>
      </c>
      <c r="E156" s="9" t="s">
        <v>37</v>
      </c>
      <c r="F156" s="10"/>
      <c r="G156" t="s">
        <v>544</v>
      </c>
      <c r="I156" t="s">
        <v>41</v>
      </c>
      <c r="J156" t="s">
        <v>545</v>
      </c>
      <c r="K156" t="s">
        <v>43</v>
      </c>
      <c r="L156">
        <v>2</v>
      </c>
      <c r="M156" t="s">
        <v>44</v>
      </c>
      <c r="N156" t="s">
        <v>45</v>
      </c>
      <c r="O156" t="s">
        <v>46</v>
      </c>
      <c r="P156" s="5">
        <v>1</v>
      </c>
      <c r="Q156" s="11">
        <v>44678.657175925924</v>
      </c>
      <c r="R156" s="12">
        <v>44680</v>
      </c>
      <c r="T156" t="s">
        <v>47</v>
      </c>
      <c r="U156" t="s">
        <v>48</v>
      </c>
      <c r="V156" t="s">
        <v>100</v>
      </c>
      <c r="Y156" t="s">
        <v>546</v>
      </c>
      <c r="Z156">
        <v>63000</v>
      </c>
      <c r="AA156" t="s">
        <v>47</v>
      </c>
      <c r="AB156" t="s">
        <v>51</v>
      </c>
      <c r="AC156" t="s">
        <v>52</v>
      </c>
      <c r="AD156" s="13">
        <f t="shared" ref="AD156:AD173" si="12">IF(P156&lt;=1,4.9,4.9+0.8*ROUNDUP(P156-1,0))</f>
        <v>4.9000000000000004</v>
      </c>
      <c r="AE156" s="14">
        <v>0</v>
      </c>
      <c r="AF156" s="14">
        <v>0</v>
      </c>
      <c r="AG156" s="14">
        <v>0</v>
      </c>
      <c r="AH156" s="14">
        <v>0</v>
      </c>
      <c r="AI156" s="14">
        <f t="shared" si="10"/>
        <v>0.29399999999999998</v>
      </c>
      <c r="AJ156" s="14">
        <f t="shared" si="11"/>
        <v>5.194</v>
      </c>
      <c r="AK156" t="s">
        <v>47</v>
      </c>
    </row>
    <row r="157" spans="1:37" ht="15" customHeight="1" x14ac:dyDescent="0.3">
      <c r="A157">
        <v>690929</v>
      </c>
      <c r="B157" t="s">
        <v>37</v>
      </c>
      <c r="C157" t="s">
        <v>38</v>
      </c>
      <c r="D157" s="9" t="s">
        <v>39</v>
      </c>
      <c r="E157" s="9" t="s">
        <v>37</v>
      </c>
      <c r="F157" s="10"/>
      <c r="G157" t="s">
        <v>547</v>
      </c>
      <c r="I157" t="s">
        <v>41</v>
      </c>
      <c r="J157" t="s">
        <v>548</v>
      </c>
      <c r="K157" t="s">
        <v>43</v>
      </c>
      <c r="L157">
        <v>2</v>
      </c>
      <c r="M157" t="s">
        <v>44</v>
      </c>
      <c r="N157" t="s">
        <v>45</v>
      </c>
      <c r="O157" t="s">
        <v>46</v>
      </c>
      <c r="P157" s="5">
        <v>1</v>
      </c>
      <c r="Q157" s="11">
        <v>44676.418923611112</v>
      </c>
      <c r="R157" s="12">
        <v>44680</v>
      </c>
      <c r="T157" t="s">
        <v>47</v>
      </c>
      <c r="U157" t="s">
        <v>48</v>
      </c>
      <c r="V157" t="s">
        <v>156</v>
      </c>
      <c r="Y157" t="s">
        <v>549</v>
      </c>
      <c r="Z157">
        <v>32000</v>
      </c>
      <c r="AA157" t="s">
        <v>47</v>
      </c>
      <c r="AB157" t="s">
        <v>158</v>
      </c>
      <c r="AC157" t="s">
        <v>52</v>
      </c>
      <c r="AD157" s="13">
        <f t="shared" si="12"/>
        <v>4.9000000000000004</v>
      </c>
      <c r="AE157" s="14">
        <v>0</v>
      </c>
      <c r="AF157" s="14">
        <v>0</v>
      </c>
      <c r="AG157" s="14">
        <v>0</v>
      </c>
      <c r="AH157" s="14">
        <v>0</v>
      </c>
      <c r="AI157" s="14">
        <f t="shared" si="10"/>
        <v>0.29399999999999998</v>
      </c>
      <c r="AJ157" s="14">
        <f t="shared" si="11"/>
        <v>5.194</v>
      </c>
      <c r="AK157" t="s">
        <v>47</v>
      </c>
    </row>
    <row r="158" spans="1:37" ht="15" customHeight="1" x14ac:dyDescent="0.3">
      <c r="A158">
        <v>690929</v>
      </c>
      <c r="B158" t="s">
        <v>37</v>
      </c>
      <c r="C158" t="s">
        <v>38</v>
      </c>
      <c r="D158" s="9" t="s">
        <v>39</v>
      </c>
      <c r="E158" s="9" t="s">
        <v>37</v>
      </c>
      <c r="F158" s="10"/>
      <c r="G158" t="s">
        <v>550</v>
      </c>
      <c r="I158" t="s">
        <v>41</v>
      </c>
      <c r="J158" t="s">
        <v>551</v>
      </c>
      <c r="K158" t="s">
        <v>43</v>
      </c>
      <c r="L158">
        <v>2</v>
      </c>
      <c r="M158" t="s">
        <v>44</v>
      </c>
      <c r="N158" t="s">
        <v>45</v>
      </c>
      <c r="O158" t="s">
        <v>46</v>
      </c>
      <c r="P158" s="5">
        <v>1</v>
      </c>
      <c r="Q158" s="11">
        <v>44676.381053240744</v>
      </c>
      <c r="R158" s="12">
        <v>44680</v>
      </c>
      <c r="T158" t="s">
        <v>47</v>
      </c>
      <c r="U158" t="s">
        <v>48</v>
      </c>
      <c r="V158" t="s">
        <v>78</v>
      </c>
      <c r="Y158" t="s">
        <v>552</v>
      </c>
      <c r="Z158">
        <v>75250</v>
      </c>
      <c r="AA158" t="s">
        <v>47</v>
      </c>
      <c r="AB158" t="s">
        <v>553</v>
      </c>
      <c r="AC158" t="s">
        <v>52</v>
      </c>
      <c r="AD158" s="13">
        <f t="shared" si="12"/>
        <v>4.9000000000000004</v>
      </c>
      <c r="AE158" s="14">
        <v>0</v>
      </c>
      <c r="AF158" s="14">
        <v>0</v>
      </c>
      <c r="AG158" s="14">
        <v>0</v>
      </c>
      <c r="AH158" s="14">
        <v>0</v>
      </c>
      <c r="AI158" s="14">
        <f t="shared" si="10"/>
        <v>0.29399999999999998</v>
      </c>
      <c r="AJ158" s="14">
        <f t="shared" si="11"/>
        <v>5.194</v>
      </c>
      <c r="AK158" t="s">
        <v>47</v>
      </c>
    </row>
    <row r="159" spans="1:37" ht="15" customHeight="1" x14ac:dyDescent="0.3">
      <c r="A159">
        <v>690929</v>
      </c>
      <c r="B159" t="s">
        <v>37</v>
      </c>
      <c r="C159" t="s">
        <v>38</v>
      </c>
      <c r="D159" s="9" t="s">
        <v>39</v>
      </c>
      <c r="E159" s="9" t="s">
        <v>37</v>
      </c>
      <c r="F159" s="10"/>
      <c r="G159" t="s">
        <v>554</v>
      </c>
      <c r="I159" t="s">
        <v>41</v>
      </c>
      <c r="J159" t="s">
        <v>555</v>
      </c>
      <c r="K159" t="s">
        <v>43</v>
      </c>
      <c r="L159">
        <v>2</v>
      </c>
      <c r="M159" t="s">
        <v>44</v>
      </c>
      <c r="N159" t="s">
        <v>45</v>
      </c>
      <c r="O159" t="s">
        <v>46</v>
      </c>
      <c r="P159" s="5">
        <v>1</v>
      </c>
      <c r="Q159" s="11">
        <v>44677.726597222223</v>
      </c>
      <c r="R159" s="12">
        <v>44680</v>
      </c>
      <c r="T159" t="s">
        <v>47</v>
      </c>
      <c r="U159" t="s">
        <v>48</v>
      </c>
      <c r="V159" t="s">
        <v>139</v>
      </c>
      <c r="Y159" t="s">
        <v>556</v>
      </c>
      <c r="Z159">
        <v>72000</v>
      </c>
      <c r="AA159" t="s">
        <v>47</v>
      </c>
      <c r="AB159" t="s">
        <v>51</v>
      </c>
      <c r="AC159" t="s">
        <v>52</v>
      </c>
      <c r="AD159" s="13">
        <f t="shared" si="12"/>
        <v>4.9000000000000004</v>
      </c>
      <c r="AE159" s="14">
        <v>0</v>
      </c>
      <c r="AF159" s="14">
        <v>0</v>
      </c>
      <c r="AG159" s="14">
        <v>0</v>
      </c>
      <c r="AH159" s="14">
        <v>0</v>
      </c>
      <c r="AI159" s="14">
        <f t="shared" si="10"/>
        <v>0.29399999999999998</v>
      </c>
      <c r="AJ159" s="14">
        <f t="shared" si="11"/>
        <v>5.194</v>
      </c>
      <c r="AK159" t="s">
        <v>47</v>
      </c>
    </row>
    <row r="160" spans="1:37" ht="15" customHeight="1" x14ac:dyDescent="0.3">
      <c r="A160">
        <v>690929</v>
      </c>
      <c r="B160" t="s">
        <v>37</v>
      </c>
      <c r="C160" t="s">
        <v>38</v>
      </c>
      <c r="D160" s="9" t="s">
        <v>39</v>
      </c>
      <c r="E160" s="9" t="s">
        <v>37</v>
      </c>
      <c r="F160" s="10"/>
      <c r="G160" t="s">
        <v>557</v>
      </c>
      <c r="I160" t="s">
        <v>41</v>
      </c>
      <c r="J160" t="s">
        <v>558</v>
      </c>
      <c r="K160" t="s">
        <v>43</v>
      </c>
      <c r="L160">
        <v>2</v>
      </c>
      <c r="M160" t="s">
        <v>44</v>
      </c>
      <c r="N160" t="s">
        <v>45</v>
      </c>
      <c r="O160" t="s">
        <v>46</v>
      </c>
      <c r="P160" s="5">
        <v>3</v>
      </c>
      <c r="Q160" s="11">
        <v>44679.394976851851</v>
      </c>
      <c r="R160" s="12">
        <v>44680</v>
      </c>
      <c r="T160" t="s">
        <v>47</v>
      </c>
      <c r="U160" t="s">
        <v>48</v>
      </c>
      <c r="V160" t="s">
        <v>74</v>
      </c>
      <c r="Y160" t="s">
        <v>559</v>
      </c>
      <c r="Z160">
        <v>16800</v>
      </c>
      <c r="AA160" t="s">
        <v>47</v>
      </c>
      <c r="AB160" t="s">
        <v>51</v>
      </c>
      <c r="AC160" t="s">
        <v>52</v>
      </c>
      <c r="AD160" s="13">
        <f t="shared" si="12"/>
        <v>6.5</v>
      </c>
      <c r="AE160" s="14">
        <v>0</v>
      </c>
      <c r="AF160" s="14">
        <v>0</v>
      </c>
      <c r="AG160" s="14">
        <v>0</v>
      </c>
      <c r="AH160" s="14">
        <v>0</v>
      </c>
      <c r="AI160" s="14">
        <f t="shared" si="10"/>
        <v>0.39</v>
      </c>
      <c r="AJ160" s="14">
        <f t="shared" si="11"/>
        <v>6.89</v>
      </c>
      <c r="AK160" t="s">
        <v>47</v>
      </c>
    </row>
    <row r="161" spans="1:37" ht="15" customHeight="1" x14ac:dyDescent="0.3">
      <c r="A161">
        <v>690929</v>
      </c>
      <c r="B161" t="s">
        <v>37</v>
      </c>
      <c r="C161" t="s">
        <v>38</v>
      </c>
      <c r="D161" s="9" t="s">
        <v>39</v>
      </c>
      <c r="E161" s="9" t="s">
        <v>37</v>
      </c>
      <c r="F161" s="10"/>
      <c r="G161" t="s">
        <v>560</v>
      </c>
      <c r="I161" t="s">
        <v>41</v>
      </c>
      <c r="J161" t="s">
        <v>402</v>
      </c>
      <c r="K161" t="s">
        <v>43</v>
      </c>
      <c r="L161">
        <v>2</v>
      </c>
      <c r="M161" t="s">
        <v>44</v>
      </c>
      <c r="N161" t="s">
        <v>45</v>
      </c>
      <c r="O161" t="s">
        <v>46</v>
      </c>
      <c r="P161" s="5">
        <v>5</v>
      </c>
      <c r="Q161" s="11">
        <v>44679.398935185185</v>
      </c>
      <c r="R161" s="12">
        <v>44680</v>
      </c>
      <c r="T161" t="s">
        <v>47</v>
      </c>
      <c r="U161" t="s">
        <v>48</v>
      </c>
      <c r="V161" t="s">
        <v>49</v>
      </c>
      <c r="Y161" t="s">
        <v>120</v>
      </c>
      <c r="Z161">
        <v>21300</v>
      </c>
      <c r="AA161" t="s">
        <v>47</v>
      </c>
      <c r="AB161" t="s">
        <v>561</v>
      </c>
      <c r="AC161" t="s">
        <v>52</v>
      </c>
      <c r="AD161" s="13">
        <f t="shared" si="12"/>
        <v>8.1000000000000014</v>
      </c>
      <c r="AE161" s="14">
        <v>0</v>
      </c>
      <c r="AF161" s="14">
        <v>0</v>
      </c>
      <c r="AG161" s="14">
        <v>0</v>
      </c>
      <c r="AH161" s="14">
        <v>0</v>
      </c>
      <c r="AI161" s="14">
        <f t="shared" si="10"/>
        <v>0.48600000000000004</v>
      </c>
      <c r="AJ161" s="14">
        <f t="shared" si="11"/>
        <v>8.5860000000000021</v>
      </c>
      <c r="AK161" t="s">
        <v>47</v>
      </c>
    </row>
    <row r="162" spans="1:37" ht="15" customHeight="1" x14ac:dyDescent="0.3">
      <c r="A162">
        <v>690929</v>
      </c>
      <c r="B162" t="s">
        <v>37</v>
      </c>
      <c r="C162" t="s">
        <v>38</v>
      </c>
      <c r="D162" s="9" t="s">
        <v>39</v>
      </c>
      <c r="E162" s="9" t="s">
        <v>37</v>
      </c>
      <c r="F162" s="10"/>
      <c r="G162" t="s">
        <v>562</v>
      </c>
      <c r="I162" t="s">
        <v>41</v>
      </c>
      <c r="J162" t="s">
        <v>563</v>
      </c>
      <c r="K162" t="s">
        <v>43</v>
      </c>
      <c r="L162">
        <v>2</v>
      </c>
      <c r="M162" t="s">
        <v>44</v>
      </c>
      <c r="N162" t="s">
        <v>45</v>
      </c>
      <c r="O162" t="s">
        <v>46</v>
      </c>
      <c r="P162" s="5">
        <v>1</v>
      </c>
      <c r="Q162" s="11">
        <v>44677.661620370367</v>
      </c>
      <c r="R162" s="12">
        <v>44680</v>
      </c>
      <c r="T162" t="s">
        <v>47</v>
      </c>
      <c r="U162" t="s">
        <v>48</v>
      </c>
      <c r="V162" t="s">
        <v>96</v>
      </c>
      <c r="Y162" t="s">
        <v>564</v>
      </c>
      <c r="Z162">
        <v>6300</v>
      </c>
      <c r="AA162" t="s">
        <v>47</v>
      </c>
      <c r="AB162" t="s">
        <v>177</v>
      </c>
      <c r="AC162" t="s">
        <v>52</v>
      </c>
      <c r="AD162" s="13">
        <f t="shared" si="12"/>
        <v>4.9000000000000004</v>
      </c>
      <c r="AE162" s="14">
        <v>0</v>
      </c>
      <c r="AF162" s="14">
        <v>0</v>
      </c>
      <c r="AG162" s="14">
        <v>0</v>
      </c>
      <c r="AH162" s="14">
        <v>0</v>
      </c>
      <c r="AI162" s="14">
        <f t="shared" si="10"/>
        <v>0.29399999999999998</v>
      </c>
      <c r="AJ162" s="14">
        <f t="shared" si="11"/>
        <v>5.194</v>
      </c>
      <c r="AK162" t="s">
        <v>47</v>
      </c>
    </row>
    <row r="163" spans="1:37" ht="15" customHeight="1" x14ac:dyDescent="0.3">
      <c r="A163">
        <v>690929</v>
      </c>
      <c r="B163" t="s">
        <v>37</v>
      </c>
      <c r="C163" t="s">
        <v>38</v>
      </c>
      <c r="D163" s="9" t="s">
        <v>39</v>
      </c>
      <c r="E163" s="9" t="s">
        <v>37</v>
      </c>
      <c r="F163" s="10"/>
      <c r="G163" t="s">
        <v>565</v>
      </c>
      <c r="I163" t="s">
        <v>41</v>
      </c>
      <c r="J163" t="s">
        <v>566</v>
      </c>
      <c r="K163" t="s">
        <v>43</v>
      </c>
      <c r="L163">
        <v>2</v>
      </c>
      <c r="M163" t="s">
        <v>44</v>
      </c>
      <c r="N163" t="s">
        <v>45</v>
      </c>
      <c r="O163" t="s">
        <v>46</v>
      </c>
      <c r="P163" s="5">
        <v>1</v>
      </c>
      <c r="Q163" s="11">
        <v>44678.665266203701</v>
      </c>
      <c r="R163" s="12">
        <v>44681</v>
      </c>
      <c r="T163" t="s">
        <v>47</v>
      </c>
      <c r="U163" t="s">
        <v>48</v>
      </c>
      <c r="V163" t="s">
        <v>100</v>
      </c>
      <c r="Y163" t="s">
        <v>567</v>
      </c>
      <c r="Z163">
        <v>47810</v>
      </c>
      <c r="AA163" t="s">
        <v>47</v>
      </c>
      <c r="AB163" t="s">
        <v>80</v>
      </c>
      <c r="AC163" t="s">
        <v>52</v>
      </c>
      <c r="AD163" s="13">
        <f t="shared" si="12"/>
        <v>4.9000000000000004</v>
      </c>
      <c r="AE163" s="14">
        <v>0</v>
      </c>
      <c r="AF163" s="14">
        <v>0</v>
      </c>
      <c r="AG163" s="14">
        <v>0</v>
      </c>
      <c r="AH163" s="14">
        <v>0</v>
      </c>
      <c r="AI163" s="14">
        <f t="shared" si="10"/>
        <v>0.29399999999999998</v>
      </c>
      <c r="AJ163" s="14">
        <f t="shared" si="11"/>
        <v>5.194</v>
      </c>
      <c r="AK163" t="s">
        <v>47</v>
      </c>
    </row>
    <row r="164" spans="1:37" ht="15" customHeight="1" x14ac:dyDescent="0.3">
      <c r="A164">
        <v>690929</v>
      </c>
      <c r="B164" t="s">
        <v>37</v>
      </c>
      <c r="C164" t="s">
        <v>38</v>
      </c>
      <c r="D164" s="9" t="s">
        <v>39</v>
      </c>
      <c r="E164" s="9" t="s">
        <v>37</v>
      </c>
      <c r="F164" s="10"/>
      <c r="G164" t="s">
        <v>568</v>
      </c>
      <c r="I164" t="s">
        <v>41</v>
      </c>
      <c r="J164" t="s">
        <v>569</v>
      </c>
      <c r="K164" t="s">
        <v>43</v>
      </c>
      <c r="L164">
        <v>2</v>
      </c>
      <c r="M164" t="s">
        <v>44</v>
      </c>
      <c r="N164" t="s">
        <v>45</v>
      </c>
      <c r="O164" t="s">
        <v>46</v>
      </c>
      <c r="P164" s="5">
        <v>1</v>
      </c>
      <c r="Q164" s="11">
        <v>44679.709143518521</v>
      </c>
      <c r="R164" s="12">
        <v>44681</v>
      </c>
      <c r="T164" t="s">
        <v>47</v>
      </c>
      <c r="U164" t="s">
        <v>51</v>
      </c>
      <c r="V164" t="s">
        <v>74</v>
      </c>
      <c r="Y164" t="s">
        <v>570</v>
      </c>
      <c r="Z164">
        <v>15100</v>
      </c>
      <c r="AA164" t="s">
        <v>47</v>
      </c>
      <c r="AB164" t="s">
        <v>51</v>
      </c>
      <c r="AC164" t="s">
        <v>52</v>
      </c>
      <c r="AD164" s="13">
        <f t="shared" si="12"/>
        <v>4.9000000000000004</v>
      </c>
      <c r="AE164" s="14">
        <v>0</v>
      </c>
      <c r="AF164" s="14">
        <v>0</v>
      </c>
      <c r="AG164" s="14">
        <v>0</v>
      </c>
      <c r="AH164" s="14">
        <v>0</v>
      </c>
      <c r="AI164" s="14">
        <f t="shared" si="10"/>
        <v>0.29399999999999998</v>
      </c>
      <c r="AJ164" s="14">
        <f t="shared" si="11"/>
        <v>5.194</v>
      </c>
      <c r="AK164" t="s">
        <v>47</v>
      </c>
    </row>
    <row r="165" spans="1:37" ht="15" customHeight="1" x14ac:dyDescent="0.3">
      <c r="A165">
        <v>690929</v>
      </c>
      <c r="B165" t="s">
        <v>37</v>
      </c>
      <c r="C165" t="s">
        <v>38</v>
      </c>
      <c r="D165" s="9" t="s">
        <v>39</v>
      </c>
      <c r="E165" s="9" t="s">
        <v>37</v>
      </c>
      <c r="F165" s="10"/>
      <c r="G165" t="s">
        <v>571</v>
      </c>
      <c r="I165" t="s">
        <v>41</v>
      </c>
      <c r="J165" t="s">
        <v>572</v>
      </c>
      <c r="K165" t="s">
        <v>43</v>
      </c>
      <c r="L165">
        <v>2</v>
      </c>
      <c r="M165" t="s">
        <v>44</v>
      </c>
      <c r="N165" t="s">
        <v>45</v>
      </c>
      <c r="O165" t="s">
        <v>46</v>
      </c>
      <c r="P165" s="5">
        <v>1</v>
      </c>
      <c r="Q165" s="11">
        <v>44678.720532407409</v>
      </c>
      <c r="R165" s="12">
        <v>44681</v>
      </c>
      <c r="T165" t="s">
        <v>47</v>
      </c>
      <c r="U165" t="s">
        <v>48</v>
      </c>
      <c r="V165" t="s">
        <v>49</v>
      </c>
      <c r="Y165" t="s">
        <v>573</v>
      </c>
      <c r="Z165">
        <v>22300</v>
      </c>
      <c r="AA165" t="s">
        <v>47</v>
      </c>
      <c r="AB165" t="s">
        <v>51</v>
      </c>
      <c r="AC165" t="s">
        <v>52</v>
      </c>
      <c r="AD165" s="13">
        <f t="shared" si="12"/>
        <v>4.9000000000000004</v>
      </c>
      <c r="AE165" s="14">
        <v>0</v>
      </c>
      <c r="AF165" s="14">
        <v>0</v>
      </c>
      <c r="AG165" s="14">
        <v>0</v>
      </c>
      <c r="AH165" s="14">
        <v>0</v>
      </c>
      <c r="AI165" s="14">
        <f t="shared" si="10"/>
        <v>0.29399999999999998</v>
      </c>
      <c r="AJ165" s="14">
        <f t="shared" si="11"/>
        <v>5.194</v>
      </c>
      <c r="AK165" t="s">
        <v>47</v>
      </c>
    </row>
    <row r="166" spans="1:37" ht="15" customHeight="1" x14ac:dyDescent="0.3">
      <c r="A166">
        <v>690929</v>
      </c>
      <c r="B166" t="s">
        <v>37</v>
      </c>
      <c r="C166" t="s">
        <v>38</v>
      </c>
      <c r="D166" s="9" t="s">
        <v>39</v>
      </c>
      <c r="E166" s="9" t="s">
        <v>37</v>
      </c>
      <c r="F166" s="10"/>
      <c r="G166" t="s">
        <v>574</v>
      </c>
      <c r="I166" t="s">
        <v>41</v>
      </c>
      <c r="J166" t="s">
        <v>575</v>
      </c>
      <c r="K166" t="s">
        <v>43</v>
      </c>
      <c r="L166">
        <v>2</v>
      </c>
      <c r="M166" t="s">
        <v>44</v>
      </c>
      <c r="N166" t="s">
        <v>45</v>
      </c>
      <c r="O166" t="s">
        <v>46</v>
      </c>
      <c r="P166" s="5">
        <v>1</v>
      </c>
      <c r="Q166" s="11">
        <v>44678.386122685188</v>
      </c>
      <c r="R166" s="12">
        <v>44681</v>
      </c>
      <c r="T166" t="s">
        <v>47</v>
      </c>
      <c r="U166" t="s">
        <v>48</v>
      </c>
      <c r="V166" t="s">
        <v>69</v>
      </c>
      <c r="Y166" t="s">
        <v>576</v>
      </c>
      <c r="Z166">
        <v>14200</v>
      </c>
      <c r="AA166" t="s">
        <v>47</v>
      </c>
      <c r="AB166" t="s">
        <v>80</v>
      </c>
      <c r="AC166" t="s">
        <v>52</v>
      </c>
      <c r="AD166" s="13">
        <f t="shared" si="12"/>
        <v>4.9000000000000004</v>
      </c>
      <c r="AE166" s="14">
        <v>0</v>
      </c>
      <c r="AF166" s="14">
        <v>0</v>
      </c>
      <c r="AG166" s="14">
        <v>0</v>
      </c>
      <c r="AH166" s="14">
        <v>0</v>
      </c>
      <c r="AI166" s="14">
        <f t="shared" si="10"/>
        <v>0.29399999999999998</v>
      </c>
      <c r="AJ166" s="14">
        <f t="shared" si="11"/>
        <v>5.194</v>
      </c>
      <c r="AK166" t="s">
        <v>47</v>
      </c>
    </row>
    <row r="167" spans="1:37" ht="15" customHeight="1" x14ac:dyDescent="0.3">
      <c r="A167">
        <v>690929</v>
      </c>
      <c r="B167" t="s">
        <v>37</v>
      </c>
      <c r="C167" t="s">
        <v>38</v>
      </c>
      <c r="D167" s="9" t="s">
        <v>39</v>
      </c>
      <c r="E167" s="9" t="s">
        <v>37</v>
      </c>
      <c r="F167" s="10"/>
      <c r="G167" t="s">
        <v>577</v>
      </c>
      <c r="I167" t="s">
        <v>41</v>
      </c>
      <c r="J167" t="s">
        <v>578</v>
      </c>
      <c r="K167" t="s">
        <v>43</v>
      </c>
      <c r="L167">
        <v>2</v>
      </c>
      <c r="M167" t="s">
        <v>44</v>
      </c>
      <c r="N167" t="s">
        <v>45</v>
      </c>
      <c r="O167" t="s">
        <v>68</v>
      </c>
      <c r="P167" s="5">
        <v>1</v>
      </c>
      <c r="Q167" s="11">
        <v>44677.431759259256</v>
      </c>
      <c r="R167" s="12">
        <v>44681</v>
      </c>
      <c r="T167" t="s">
        <v>47</v>
      </c>
      <c r="U167" t="s">
        <v>48</v>
      </c>
      <c r="V167" t="s">
        <v>156</v>
      </c>
      <c r="Y167" t="s">
        <v>579</v>
      </c>
      <c r="Z167">
        <v>32500</v>
      </c>
      <c r="AA167" t="s">
        <v>47</v>
      </c>
      <c r="AB167" t="s">
        <v>580</v>
      </c>
      <c r="AC167" t="s">
        <v>52</v>
      </c>
      <c r="AD167" s="13">
        <f t="shared" si="12"/>
        <v>4.9000000000000004</v>
      </c>
      <c r="AE167" s="14">
        <v>0</v>
      </c>
      <c r="AF167" s="14">
        <v>0</v>
      </c>
      <c r="AG167" s="14">
        <v>0</v>
      </c>
      <c r="AH167" s="14">
        <v>0</v>
      </c>
      <c r="AI167" s="14">
        <f t="shared" si="10"/>
        <v>0.29399999999999998</v>
      </c>
      <c r="AJ167" s="14">
        <f t="shared" si="11"/>
        <v>5.194</v>
      </c>
      <c r="AK167" t="s">
        <v>47</v>
      </c>
    </row>
    <row r="168" spans="1:37" ht="15" customHeight="1" x14ac:dyDescent="0.3">
      <c r="A168">
        <v>690929</v>
      </c>
      <c r="B168" t="s">
        <v>37</v>
      </c>
      <c r="C168" t="s">
        <v>38</v>
      </c>
      <c r="D168" s="9" t="s">
        <v>39</v>
      </c>
      <c r="E168" s="9" t="s">
        <v>37</v>
      </c>
      <c r="F168" s="10"/>
      <c r="G168" t="s">
        <v>581</v>
      </c>
      <c r="I168" t="s">
        <v>41</v>
      </c>
      <c r="J168" t="s">
        <v>582</v>
      </c>
      <c r="K168" t="s">
        <v>43</v>
      </c>
      <c r="L168">
        <v>2</v>
      </c>
      <c r="M168" t="s">
        <v>44</v>
      </c>
      <c r="N168" t="s">
        <v>45</v>
      </c>
      <c r="O168" t="s">
        <v>46</v>
      </c>
      <c r="P168" s="5">
        <v>1</v>
      </c>
      <c r="Q168" s="11">
        <v>44677.770844907405</v>
      </c>
      <c r="R168" s="12">
        <v>44681</v>
      </c>
      <c r="T168" t="s">
        <v>47</v>
      </c>
      <c r="U168" t="s">
        <v>48</v>
      </c>
      <c r="V168" t="s">
        <v>100</v>
      </c>
      <c r="Y168" t="s">
        <v>583</v>
      </c>
      <c r="Z168">
        <v>43700</v>
      </c>
      <c r="AA168" t="s">
        <v>47</v>
      </c>
      <c r="AB168" t="s">
        <v>51</v>
      </c>
      <c r="AC168" t="s">
        <v>52</v>
      </c>
      <c r="AD168" s="13">
        <f t="shared" si="12"/>
        <v>4.9000000000000004</v>
      </c>
      <c r="AE168" s="14">
        <v>0</v>
      </c>
      <c r="AF168" s="14">
        <v>0</v>
      </c>
      <c r="AG168" s="14">
        <v>0</v>
      </c>
      <c r="AH168" s="14">
        <v>0</v>
      </c>
      <c r="AI168" s="14">
        <f t="shared" si="10"/>
        <v>0.29399999999999998</v>
      </c>
      <c r="AJ168" s="14">
        <f t="shared" si="11"/>
        <v>5.194</v>
      </c>
      <c r="AK168" t="s">
        <v>47</v>
      </c>
    </row>
    <row r="169" spans="1:37" ht="15" customHeight="1" x14ac:dyDescent="0.3">
      <c r="A169">
        <v>690929</v>
      </c>
      <c r="B169" t="s">
        <v>37</v>
      </c>
      <c r="C169" t="s">
        <v>38</v>
      </c>
      <c r="D169" s="9" t="s">
        <v>39</v>
      </c>
      <c r="E169" s="9" t="s">
        <v>37</v>
      </c>
      <c r="F169" s="10"/>
      <c r="G169" t="s">
        <v>584</v>
      </c>
      <c r="I169" t="s">
        <v>41</v>
      </c>
      <c r="J169" t="s">
        <v>585</v>
      </c>
      <c r="K169" t="s">
        <v>43</v>
      </c>
      <c r="L169">
        <v>2</v>
      </c>
      <c r="M169" t="s">
        <v>44</v>
      </c>
      <c r="N169" t="s">
        <v>45</v>
      </c>
      <c r="O169" t="s">
        <v>46</v>
      </c>
      <c r="P169" s="5">
        <v>1</v>
      </c>
      <c r="Q169" s="11">
        <v>44676.645891203705</v>
      </c>
      <c r="R169" s="12">
        <v>44681</v>
      </c>
      <c r="T169" t="s">
        <v>47</v>
      </c>
      <c r="U169" t="s">
        <v>48</v>
      </c>
      <c r="V169" t="s">
        <v>168</v>
      </c>
      <c r="Y169" t="s">
        <v>586</v>
      </c>
      <c r="Z169">
        <v>86000</v>
      </c>
      <c r="AA169" t="s">
        <v>47</v>
      </c>
      <c r="AB169" t="s">
        <v>267</v>
      </c>
      <c r="AC169" t="s">
        <v>52</v>
      </c>
      <c r="AD169" s="13">
        <f t="shared" si="12"/>
        <v>4.9000000000000004</v>
      </c>
      <c r="AE169" s="14">
        <v>0</v>
      </c>
      <c r="AF169" s="14">
        <v>0</v>
      </c>
      <c r="AG169" s="14">
        <v>0</v>
      </c>
      <c r="AH169" s="14">
        <v>0</v>
      </c>
      <c r="AI169" s="14">
        <f t="shared" si="10"/>
        <v>0.29399999999999998</v>
      </c>
      <c r="AJ169" s="14">
        <f t="shared" si="11"/>
        <v>5.194</v>
      </c>
      <c r="AK169" t="s">
        <v>47</v>
      </c>
    </row>
    <row r="170" spans="1:37" ht="15" customHeight="1" x14ac:dyDescent="0.3">
      <c r="A170">
        <v>690929</v>
      </c>
      <c r="B170" t="s">
        <v>37</v>
      </c>
      <c r="C170" t="s">
        <v>38</v>
      </c>
      <c r="D170" s="9" t="s">
        <v>39</v>
      </c>
      <c r="E170" s="9" t="s">
        <v>37</v>
      </c>
      <c r="F170" s="10"/>
      <c r="G170" t="s">
        <v>587</v>
      </c>
      <c r="I170" t="s">
        <v>41</v>
      </c>
      <c r="J170" t="s">
        <v>588</v>
      </c>
      <c r="K170" t="s">
        <v>43</v>
      </c>
      <c r="L170">
        <v>2</v>
      </c>
      <c r="M170" t="s">
        <v>44</v>
      </c>
      <c r="N170" t="s">
        <v>45</v>
      </c>
      <c r="O170" t="s">
        <v>46</v>
      </c>
      <c r="P170" s="5">
        <v>4</v>
      </c>
      <c r="Q170" s="11">
        <v>44677.635798611111</v>
      </c>
      <c r="R170" s="12">
        <v>44681</v>
      </c>
      <c r="T170" t="s">
        <v>47</v>
      </c>
      <c r="U170" t="s">
        <v>48</v>
      </c>
      <c r="V170" t="s">
        <v>100</v>
      </c>
      <c r="Y170" t="s">
        <v>589</v>
      </c>
      <c r="Z170">
        <v>47301</v>
      </c>
      <c r="AA170" t="s">
        <v>47</v>
      </c>
      <c r="AB170" t="s">
        <v>80</v>
      </c>
      <c r="AC170" t="s">
        <v>52</v>
      </c>
      <c r="AD170" s="13">
        <f t="shared" si="12"/>
        <v>7.3000000000000007</v>
      </c>
      <c r="AE170" s="14">
        <v>0</v>
      </c>
      <c r="AF170" s="14">
        <v>0</v>
      </c>
      <c r="AG170" s="14">
        <v>0</v>
      </c>
      <c r="AH170" s="14">
        <v>0</v>
      </c>
      <c r="AI170" s="14">
        <f t="shared" si="10"/>
        <v>0.438</v>
      </c>
      <c r="AJ170" s="14">
        <f t="shared" si="11"/>
        <v>7.7380000000000004</v>
      </c>
      <c r="AK170" t="s">
        <v>47</v>
      </c>
    </row>
    <row r="171" spans="1:37" ht="15" customHeight="1" x14ac:dyDescent="0.3">
      <c r="A171">
        <v>690929</v>
      </c>
      <c r="B171" t="s">
        <v>37</v>
      </c>
      <c r="C171" t="s">
        <v>38</v>
      </c>
      <c r="D171" s="9" t="s">
        <v>39</v>
      </c>
      <c r="E171" s="9" t="s">
        <v>37</v>
      </c>
      <c r="F171" s="10"/>
      <c r="G171" t="s">
        <v>590</v>
      </c>
      <c r="I171" t="s">
        <v>41</v>
      </c>
      <c r="J171" t="s">
        <v>591</v>
      </c>
      <c r="K171" t="s">
        <v>43</v>
      </c>
      <c r="L171">
        <v>2</v>
      </c>
      <c r="M171" t="s">
        <v>44</v>
      </c>
      <c r="N171" t="s">
        <v>45</v>
      </c>
      <c r="O171" t="s">
        <v>46</v>
      </c>
      <c r="P171" s="5">
        <v>1</v>
      </c>
      <c r="Q171" s="11">
        <v>44679.484884259262</v>
      </c>
      <c r="R171" s="12">
        <v>44681</v>
      </c>
      <c r="T171" t="s">
        <v>47</v>
      </c>
      <c r="U171" t="s">
        <v>48</v>
      </c>
      <c r="V171" t="s">
        <v>69</v>
      </c>
      <c r="Y171" t="s">
        <v>592</v>
      </c>
      <c r="Z171">
        <v>13800</v>
      </c>
      <c r="AA171" t="s">
        <v>47</v>
      </c>
      <c r="AB171" t="s">
        <v>80</v>
      </c>
      <c r="AC171" t="s">
        <v>52</v>
      </c>
      <c r="AD171" s="13">
        <f t="shared" si="12"/>
        <v>4.9000000000000004</v>
      </c>
      <c r="AE171" s="14">
        <v>0</v>
      </c>
      <c r="AF171" s="14">
        <v>0</v>
      </c>
      <c r="AG171" s="14">
        <v>0</v>
      </c>
      <c r="AH171" s="14">
        <v>0</v>
      </c>
      <c r="AI171" s="14">
        <f t="shared" si="10"/>
        <v>0.29399999999999998</v>
      </c>
      <c r="AJ171" s="14">
        <f t="shared" si="11"/>
        <v>5.194</v>
      </c>
      <c r="AK171" t="s">
        <v>47</v>
      </c>
    </row>
    <row r="172" spans="1:37" ht="15" customHeight="1" x14ac:dyDescent="0.3">
      <c r="A172">
        <v>690929</v>
      </c>
      <c r="B172" t="s">
        <v>37</v>
      </c>
      <c r="C172" t="s">
        <v>38</v>
      </c>
      <c r="D172" s="9" t="s">
        <v>39</v>
      </c>
      <c r="E172" s="9" t="s">
        <v>37</v>
      </c>
      <c r="F172" s="10"/>
      <c r="G172" t="s">
        <v>593</v>
      </c>
      <c r="I172" t="s">
        <v>41</v>
      </c>
      <c r="J172" t="s">
        <v>594</v>
      </c>
      <c r="K172" t="s">
        <v>43</v>
      </c>
      <c r="L172">
        <v>2</v>
      </c>
      <c r="M172" t="s">
        <v>44</v>
      </c>
      <c r="N172" t="s">
        <v>45</v>
      </c>
      <c r="O172" t="s">
        <v>46</v>
      </c>
      <c r="P172" s="5">
        <v>1</v>
      </c>
      <c r="Q172" s="11">
        <v>44674.744340277779</v>
      </c>
      <c r="R172" s="12">
        <v>44681</v>
      </c>
      <c r="T172" t="s">
        <v>47</v>
      </c>
      <c r="U172" t="s">
        <v>48</v>
      </c>
      <c r="V172" t="s">
        <v>168</v>
      </c>
      <c r="Y172" t="s">
        <v>595</v>
      </c>
      <c r="Z172">
        <v>84000</v>
      </c>
      <c r="AA172" t="s">
        <v>47</v>
      </c>
      <c r="AB172" t="s">
        <v>267</v>
      </c>
      <c r="AC172" t="s">
        <v>52</v>
      </c>
      <c r="AD172" s="13">
        <f t="shared" si="12"/>
        <v>4.9000000000000004</v>
      </c>
      <c r="AE172" s="14">
        <v>0</v>
      </c>
      <c r="AF172" s="14">
        <v>0</v>
      </c>
      <c r="AG172" s="14">
        <v>0</v>
      </c>
      <c r="AH172" s="14">
        <v>0</v>
      </c>
      <c r="AI172" s="14">
        <f t="shared" si="10"/>
        <v>0.29399999999999998</v>
      </c>
      <c r="AJ172" s="14">
        <f t="shared" si="11"/>
        <v>5.194</v>
      </c>
      <c r="AK172" t="s">
        <v>47</v>
      </c>
    </row>
    <row r="173" spans="1:37" ht="15" customHeight="1" x14ac:dyDescent="0.3">
      <c r="A173">
        <v>690929</v>
      </c>
      <c r="B173" t="s">
        <v>37</v>
      </c>
      <c r="C173" t="s">
        <v>38</v>
      </c>
      <c r="D173" s="9" t="s">
        <v>39</v>
      </c>
      <c r="E173" s="9" t="s">
        <v>37</v>
      </c>
      <c r="F173" s="10"/>
      <c r="G173" t="s">
        <v>596</v>
      </c>
      <c r="I173" t="s">
        <v>41</v>
      </c>
      <c r="J173" t="s">
        <v>597</v>
      </c>
      <c r="K173" t="s">
        <v>43</v>
      </c>
      <c r="L173">
        <v>2</v>
      </c>
      <c r="M173" t="s">
        <v>44</v>
      </c>
      <c r="N173" t="s">
        <v>45</v>
      </c>
      <c r="O173" t="s">
        <v>46</v>
      </c>
      <c r="P173" s="5">
        <v>1</v>
      </c>
      <c r="Q173" s="11">
        <v>44677.664074074077</v>
      </c>
      <c r="R173" s="12">
        <v>44681</v>
      </c>
      <c r="T173" t="s">
        <v>47</v>
      </c>
      <c r="U173" t="s">
        <v>48</v>
      </c>
      <c r="V173" t="s">
        <v>156</v>
      </c>
      <c r="Y173" t="s">
        <v>598</v>
      </c>
      <c r="Z173">
        <v>36000</v>
      </c>
      <c r="AA173" t="s">
        <v>47</v>
      </c>
      <c r="AB173" t="s">
        <v>158</v>
      </c>
      <c r="AC173" t="s">
        <v>52</v>
      </c>
      <c r="AD173" s="13">
        <f t="shared" si="12"/>
        <v>4.9000000000000004</v>
      </c>
      <c r="AE173" s="14">
        <v>0</v>
      </c>
      <c r="AF173" s="14">
        <v>0</v>
      </c>
      <c r="AG173" s="14">
        <v>0</v>
      </c>
      <c r="AH173" s="14">
        <v>0</v>
      </c>
      <c r="AI173" s="14">
        <f t="shared" si="10"/>
        <v>0.29399999999999998</v>
      </c>
      <c r="AJ173" s="14">
        <f t="shared" si="11"/>
        <v>5.194</v>
      </c>
      <c r="AK173" t="s">
        <v>47</v>
      </c>
    </row>
    <row r="175" spans="1:37" x14ac:dyDescent="0.3">
      <c r="AD175" s="16">
        <f t="shared" ref="AD175:AJ175" si="13">SUM(AD2:AD173)</f>
        <v>1010.5999999999981</v>
      </c>
      <c r="AE175" s="16">
        <f t="shared" si="13"/>
        <v>0</v>
      </c>
      <c r="AF175" s="16">
        <f t="shared" si="13"/>
        <v>0</v>
      </c>
      <c r="AG175" s="16">
        <f t="shared" si="13"/>
        <v>0</v>
      </c>
      <c r="AH175" s="16">
        <f t="shared" si="13"/>
        <v>0</v>
      </c>
      <c r="AI175" s="16">
        <f t="shared" si="13"/>
        <v>60.635999999999854</v>
      </c>
      <c r="AJ175" s="16">
        <f t="shared" si="13"/>
        <v>1071.2359999999978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cahayasyahira123@gmail.com</cp:lastModifiedBy>
  <dcterms:created xsi:type="dcterms:W3CDTF">2022-05-18T03:13:39Z</dcterms:created>
  <dcterms:modified xsi:type="dcterms:W3CDTF">2025-10-27T06:01:15Z</dcterms:modified>
</cp:coreProperties>
</file>