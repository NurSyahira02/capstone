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javan\Downloads\Ahmad Work\ASN Walk-in\"/>
    </mc:Choice>
  </mc:AlternateContent>
  <xr:revisionPtr revIDLastSave="0" documentId="8_{0079E4F1-6C3C-4248-8402-5E6F4ECEE83B}" xr6:coauthVersionLast="47" xr6:coauthVersionMax="47" xr10:uidLastSave="{00000000-0000-0000-0000-000000000000}"/>
  <bookViews>
    <workbookView xWindow="-110" yWindow="-110" windowWidth="38620" windowHeight="21220" xr2:uid="{2F469032-1627-4CD2-859B-F55603974C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49" i="1" l="1"/>
  <c r="AF349" i="1"/>
  <c r="AE349" i="1"/>
  <c r="AD349" i="1"/>
  <c r="AC349" i="1"/>
  <c r="AB349" i="1"/>
  <c r="AA349" i="1"/>
  <c r="AA347" i="1"/>
  <c r="AG346" i="1"/>
  <c r="AF346" i="1"/>
  <c r="AA346" i="1"/>
  <c r="AA345" i="1"/>
  <c r="AA344" i="1"/>
  <c r="AA343" i="1"/>
  <c r="AA342" i="1"/>
  <c r="AF342" i="1" s="1"/>
  <c r="AG342" i="1" s="1"/>
  <c r="AF341" i="1"/>
  <c r="AA341" i="1"/>
  <c r="AG341" i="1" s="1"/>
  <c r="AA340" i="1"/>
  <c r="AA339" i="1"/>
  <c r="AF339" i="1" s="1"/>
  <c r="AG339" i="1" s="1"/>
  <c r="AF338" i="1"/>
  <c r="AG338" i="1" s="1"/>
  <c r="AA338" i="1"/>
  <c r="AF337" i="1"/>
  <c r="AG337" i="1" s="1"/>
  <c r="AA337" i="1"/>
  <c r="AA336" i="1"/>
  <c r="AA335" i="1"/>
  <c r="AF335" i="1" s="1"/>
  <c r="AG335" i="1" s="1"/>
  <c r="AF334" i="1"/>
  <c r="AA334" i="1"/>
  <c r="AG334" i="1" s="1"/>
  <c r="AF333" i="1"/>
  <c r="AA333" i="1"/>
  <c r="AG333" i="1" s="1"/>
  <c r="AA332" i="1"/>
  <c r="AG331" i="1"/>
  <c r="AF331" i="1"/>
  <c r="AA331" i="1"/>
  <c r="AG330" i="1"/>
  <c r="AF330" i="1"/>
  <c r="AA330" i="1"/>
  <c r="AA329" i="1"/>
  <c r="AA328" i="1"/>
  <c r="AA327" i="1"/>
  <c r="AG326" i="1"/>
  <c r="AF326" i="1"/>
  <c r="AA326" i="1"/>
  <c r="AF325" i="1"/>
  <c r="AA325" i="1"/>
  <c r="AG325" i="1" s="1"/>
  <c r="AF324" i="1"/>
  <c r="AG324" i="1" s="1"/>
  <c r="AA324" i="1"/>
  <c r="AA323" i="1"/>
  <c r="AF323" i="1" s="1"/>
  <c r="AG323" i="1" s="1"/>
  <c r="AG322" i="1"/>
  <c r="AF322" i="1"/>
  <c r="AA322" i="1"/>
  <c r="AF321" i="1"/>
  <c r="AG321" i="1" s="1"/>
  <c r="AA321" i="1"/>
  <c r="AA320" i="1"/>
  <c r="AA319" i="1"/>
  <c r="AF319" i="1" s="1"/>
  <c r="AG319" i="1" s="1"/>
  <c r="AF318" i="1"/>
  <c r="AA318" i="1"/>
  <c r="AG318" i="1" s="1"/>
  <c r="AA317" i="1"/>
  <c r="AA316" i="1"/>
  <c r="AA315" i="1"/>
  <c r="AF315" i="1" s="1"/>
  <c r="AG315" i="1" s="1"/>
  <c r="AG314" i="1"/>
  <c r="AF314" i="1"/>
  <c r="AA314" i="1"/>
  <c r="AA313" i="1"/>
  <c r="AA312" i="1"/>
  <c r="AA311" i="1"/>
  <c r="AG310" i="1"/>
  <c r="AF310" i="1"/>
  <c r="AA310" i="1"/>
  <c r="AF309" i="1"/>
  <c r="AA309" i="1"/>
  <c r="AG309" i="1" s="1"/>
  <c r="AF308" i="1"/>
  <c r="AG308" i="1" s="1"/>
  <c r="AA308" i="1"/>
  <c r="AG307" i="1"/>
  <c r="AF307" i="1"/>
  <c r="AA307" i="1"/>
  <c r="AG306" i="1"/>
  <c r="AF306" i="1"/>
  <c r="AA306" i="1"/>
  <c r="AF305" i="1"/>
  <c r="AG305" i="1" s="1"/>
  <c r="AA305" i="1"/>
  <c r="AA304" i="1"/>
  <c r="AA303" i="1"/>
  <c r="AF303" i="1" s="1"/>
  <c r="AG303" i="1" s="1"/>
  <c r="AF302" i="1"/>
  <c r="AA302" i="1"/>
  <c r="AG302" i="1" s="1"/>
  <c r="AF301" i="1"/>
  <c r="AA301" i="1"/>
  <c r="AG301" i="1" s="1"/>
  <c r="AA300" i="1"/>
  <c r="AA299" i="1"/>
  <c r="AF299" i="1" s="1"/>
  <c r="AG299" i="1" s="1"/>
  <c r="AG298" i="1"/>
  <c r="AF298" i="1"/>
  <c r="AA298" i="1"/>
  <c r="AA297" i="1"/>
  <c r="AA296" i="1"/>
  <c r="AA295" i="1"/>
  <c r="AG294" i="1"/>
  <c r="AF294" i="1"/>
  <c r="AA294" i="1"/>
  <c r="AF293" i="1"/>
  <c r="AA293" i="1"/>
  <c r="AG293" i="1" s="1"/>
  <c r="AF292" i="1"/>
  <c r="AG292" i="1" s="1"/>
  <c r="AA292" i="1"/>
  <c r="AG291" i="1"/>
  <c r="AF291" i="1"/>
  <c r="AA291" i="1"/>
  <c r="AG290" i="1"/>
  <c r="AF290" i="1"/>
  <c r="AA290" i="1"/>
  <c r="AF289" i="1"/>
  <c r="AG289" i="1" s="1"/>
  <c r="AA289" i="1"/>
  <c r="AA288" i="1"/>
  <c r="AA287" i="1"/>
  <c r="AF287" i="1" s="1"/>
  <c r="AG287" i="1" s="1"/>
  <c r="AA286" i="1"/>
  <c r="AF285" i="1"/>
  <c r="AA285" i="1"/>
  <c r="AG285" i="1" s="1"/>
  <c r="AA284" i="1"/>
  <c r="AG283" i="1"/>
  <c r="AF283" i="1"/>
  <c r="AA283" i="1"/>
  <c r="AG282" i="1"/>
  <c r="AF282" i="1"/>
  <c r="AA282" i="1"/>
  <c r="AA281" i="1"/>
  <c r="AA280" i="1"/>
  <c r="AA279" i="1"/>
  <c r="AG278" i="1"/>
  <c r="AF278" i="1"/>
  <c r="AA278" i="1"/>
  <c r="AF277" i="1"/>
  <c r="AA277" i="1"/>
  <c r="AG277" i="1" s="1"/>
  <c r="AF276" i="1"/>
  <c r="AG276" i="1" s="1"/>
  <c r="AA276" i="1"/>
  <c r="AG275" i="1"/>
  <c r="AF275" i="1"/>
  <c r="AA275" i="1"/>
  <c r="AG274" i="1"/>
  <c r="AF274" i="1"/>
  <c r="AA274" i="1"/>
  <c r="AF273" i="1"/>
  <c r="AG273" i="1" s="1"/>
  <c r="AA273" i="1"/>
  <c r="AA272" i="1"/>
  <c r="AA271" i="1"/>
  <c r="AF270" i="1"/>
  <c r="AA270" i="1"/>
  <c r="AG270" i="1" s="1"/>
  <c r="AF269" i="1"/>
  <c r="AA269" i="1"/>
  <c r="AG269" i="1" s="1"/>
  <c r="AA268" i="1"/>
  <c r="AG267" i="1"/>
  <c r="AF267" i="1"/>
  <c r="AA267" i="1"/>
  <c r="AG266" i="1"/>
  <c r="AF266" i="1"/>
  <c r="AA266" i="1"/>
  <c r="AA265" i="1"/>
  <c r="AA264" i="1"/>
  <c r="AA263" i="1"/>
  <c r="AG262" i="1"/>
  <c r="AF262" i="1"/>
  <c r="AA262" i="1"/>
  <c r="AF261" i="1"/>
  <c r="AA261" i="1"/>
  <c r="AG261" i="1" s="1"/>
  <c r="AF260" i="1"/>
  <c r="AG260" i="1" s="1"/>
  <c r="AA260" i="1"/>
  <c r="AG259" i="1"/>
  <c r="AF259" i="1"/>
  <c r="AA259" i="1"/>
  <c r="AG258" i="1"/>
  <c r="AF258" i="1"/>
  <c r="AA258" i="1"/>
  <c r="AF257" i="1"/>
  <c r="AG257" i="1" s="1"/>
  <c r="AA257" i="1"/>
  <c r="AE256" i="1"/>
  <c r="AA256" i="1"/>
  <c r="AF255" i="1"/>
  <c r="AA255" i="1"/>
  <c r="AG255" i="1" s="1"/>
  <c r="AG254" i="1"/>
  <c r="AF254" i="1"/>
  <c r="AA254" i="1"/>
  <c r="AG253" i="1"/>
  <c r="AF253" i="1"/>
  <c r="AA253" i="1"/>
  <c r="AF252" i="1"/>
  <c r="AG252" i="1" s="1"/>
  <c r="AA252" i="1"/>
  <c r="AA251" i="1"/>
  <c r="AE250" i="1"/>
  <c r="AA250" i="1"/>
  <c r="AF250" i="1" s="1"/>
  <c r="AG249" i="1"/>
  <c r="AF249" i="1"/>
  <c r="AA249" i="1"/>
  <c r="AG248" i="1"/>
  <c r="AF248" i="1"/>
  <c r="AA248" i="1"/>
  <c r="AF247" i="1"/>
  <c r="AG247" i="1" s="1"/>
  <c r="AA247" i="1"/>
  <c r="AA246" i="1"/>
  <c r="AA245" i="1"/>
  <c r="AF244" i="1"/>
  <c r="AA244" i="1"/>
  <c r="AG244" i="1" s="1"/>
  <c r="AF243" i="1"/>
  <c r="AA243" i="1"/>
  <c r="AG243" i="1" s="1"/>
  <c r="AA242" i="1"/>
  <c r="AG241" i="1"/>
  <c r="AF241" i="1"/>
  <c r="AA241" i="1"/>
  <c r="AG240" i="1"/>
  <c r="AF240" i="1"/>
  <c r="AA240" i="1"/>
  <c r="AA239" i="1"/>
  <c r="AA238" i="1"/>
  <c r="AA237" i="1"/>
  <c r="AG236" i="1"/>
  <c r="AF236" i="1"/>
  <c r="AA236" i="1"/>
  <c r="AF235" i="1"/>
  <c r="AA235" i="1"/>
  <c r="AG235" i="1" s="1"/>
  <c r="AF234" i="1"/>
  <c r="AA234" i="1"/>
  <c r="AG234" i="1" s="1"/>
  <c r="AG233" i="1"/>
  <c r="AF233" i="1"/>
  <c r="AA233" i="1"/>
  <c r="AG232" i="1"/>
  <c r="AF232" i="1"/>
  <c r="AA232" i="1"/>
  <c r="AF231" i="1"/>
  <c r="AG231" i="1" s="1"/>
  <c r="AA231" i="1"/>
  <c r="AA230" i="1"/>
  <c r="AA229" i="1"/>
  <c r="AF228" i="1"/>
  <c r="AA228" i="1"/>
  <c r="AG228" i="1" s="1"/>
  <c r="AF227" i="1"/>
  <c r="AA227" i="1"/>
  <c r="AG227" i="1" s="1"/>
  <c r="AA226" i="1"/>
  <c r="AG225" i="1"/>
  <c r="AF225" i="1"/>
  <c r="AA225" i="1"/>
  <c r="AG224" i="1"/>
  <c r="AF224" i="1"/>
  <c r="AA224" i="1"/>
  <c r="AA223" i="1"/>
  <c r="AA222" i="1"/>
  <c r="AA221" i="1"/>
  <c r="AG220" i="1"/>
  <c r="AF220" i="1"/>
  <c r="AA220" i="1"/>
  <c r="AF219" i="1"/>
  <c r="AA219" i="1"/>
  <c r="AG219" i="1" s="1"/>
  <c r="AF218" i="1"/>
  <c r="AA218" i="1"/>
  <c r="AG218" i="1" s="1"/>
  <c r="AG217" i="1"/>
  <c r="AF217" i="1"/>
  <c r="AA217" i="1"/>
  <c r="AG216" i="1"/>
  <c r="AF216" i="1"/>
  <c r="AA216" i="1"/>
  <c r="AF215" i="1"/>
  <c r="AG215" i="1" s="1"/>
  <c r="AA215" i="1"/>
  <c r="AA214" i="1"/>
  <c r="AA213" i="1"/>
  <c r="AF212" i="1"/>
  <c r="AA212" i="1"/>
  <c r="AG212" i="1" s="1"/>
  <c r="AF211" i="1"/>
  <c r="AA211" i="1"/>
  <c r="AG211" i="1" s="1"/>
  <c r="AA210" i="1"/>
  <c r="AG209" i="1"/>
  <c r="AF209" i="1"/>
  <c r="AA209" i="1"/>
  <c r="AG208" i="1"/>
  <c r="AF208" i="1"/>
  <c r="AA208" i="1"/>
  <c r="AA207" i="1"/>
  <c r="AA206" i="1"/>
  <c r="AA205" i="1"/>
  <c r="AG204" i="1"/>
  <c r="AF204" i="1"/>
  <c r="AA204" i="1"/>
  <c r="AF203" i="1"/>
  <c r="AA203" i="1"/>
  <c r="AG203" i="1" s="1"/>
  <c r="AF202" i="1"/>
  <c r="AA202" i="1"/>
  <c r="AG202" i="1" s="1"/>
  <c r="AG201" i="1"/>
  <c r="AF201" i="1"/>
  <c r="AA201" i="1"/>
  <c r="AG200" i="1"/>
  <c r="AF200" i="1"/>
  <c r="AA200" i="1"/>
  <c r="AF199" i="1"/>
  <c r="AG199" i="1" s="1"/>
  <c r="AA199" i="1"/>
  <c r="AA198" i="1"/>
  <c r="AA197" i="1"/>
  <c r="AF196" i="1"/>
  <c r="AA196" i="1"/>
  <c r="AG196" i="1" s="1"/>
  <c r="AF195" i="1"/>
  <c r="AA195" i="1"/>
  <c r="AG195" i="1" s="1"/>
  <c r="AA194" i="1"/>
  <c r="AG193" i="1"/>
  <c r="AF193" i="1"/>
  <c r="AA193" i="1"/>
  <c r="AG192" i="1"/>
  <c r="AF192" i="1"/>
  <c r="AA192" i="1"/>
  <c r="AA191" i="1"/>
  <c r="AA190" i="1"/>
  <c r="AA189" i="1"/>
  <c r="AG188" i="1"/>
  <c r="AF188" i="1"/>
  <c r="AA188" i="1"/>
  <c r="AF187" i="1"/>
  <c r="AA187" i="1"/>
  <c r="AG187" i="1" s="1"/>
  <c r="AF186" i="1"/>
  <c r="AA186" i="1"/>
  <c r="AG186" i="1" s="1"/>
  <c r="AG185" i="1"/>
  <c r="AF185" i="1"/>
  <c r="AA185" i="1"/>
  <c r="AG184" i="1"/>
  <c r="AF184" i="1"/>
  <c r="AA184" i="1"/>
  <c r="AF183" i="1"/>
  <c r="AG183" i="1" s="1"/>
  <c r="AA183" i="1"/>
  <c r="AA182" i="1"/>
  <c r="AA181" i="1"/>
  <c r="AF180" i="1"/>
  <c r="AA180" i="1"/>
  <c r="AG180" i="1" s="1"/>
  <c r="AF179" i="1"/>
  <c r="AA179" i="1"/>
  <c r="AG179" i="1" s="1"/>
  <c r="AA178" i="1"/>
  <c r="AG177" i="1"/>
  <c r="AF177" i="1"/>
  <c r="AA177" i="1"/>
  <c r="AG176" i="1"/>
  <c r="AF176" i="1"/>
  <c r="AA176" i="1"/>
  <c r="AA175" i="1"/>
  <c r="AA174" i="1"/>
  <c r="AA173" i="1"/>
  <c r="AG172" i="1"/>
  <c r="AF172" i="1"/>
  <c r="AA172" i="1"/>
  <c r="AF171" i="1"/>
  <c r="AA171" i="1"/>
  <c r="AG171" i="1" s="1"/>
  <c r="AF170" i="1"/>
  <c r="AA170" i="1"/>
  <c r="AG170" i="1" s="1"/>
  <c r="AG169" i="1"/>
  <c r="AF169" i="1"/>
  <c r="AA169" i="1"/>
  <c r="AG168" i="1"/>
  <c r="AF168" i="1"/>
  <c r="AA168" i="1"/>
  <c r="AF167" i="1"/>
  <c r="AG167" i="1" s="1"/>
  <c r="AA167" i="1"/>
  <c r="AA166" i="1"/>
  <c r="AA165" i="1"/>
  <c r="AF164" i="1"/>
  <c r="AA164" i="1"/>
  <c r="AG164" i="1" s="1"/>
  <c r="AF163" i="1"/>
  <c r="AA163" i="1"/>
  <c r="AG163" i="1" s="1"/>
  <c r="AA162" i="1"/>
  <c r="AG161" i="1"/>
  <c r="AF161" i="1"/>
  <c r="AA161" i="1"/>
  <c r="AG160" i="1"/>
  <c r="AF160" i="1"/>
  <c r="AA160" i="1"/>
  <c r="AA159" i="1"/>
  <c r="AA158" i="1"/>
  <c r="AA157" i="1"/>
  <c r="AG156" i="1"/>
  <c r="AF156" i="1"/>
  <c r="AA156" i="1"/>
  <c r="AF155" i="1"/>
  <c r="AA155" i="1"/>
  <c r="AG155" i="1" s="1"/>
  <c r="AA154" i="1"/>
  <c r="AG153" i="1"/>
  <c r="AF153" i="1"/>
  <c r="AA153" i="1"/>
  <c r="AG152" i="1"/>
  <c r="AF152" i="1"/>
  <c r="AA152" i="1"/>
  <c r="AF151" i="1"/>
  <c r="AG151" i="1" s="1"/>
  <c r="AA151" i="1"/>
  <c r="AA150" i="1"/>
  <c r="AA149" i="1"/>
  <c r="AF148" i="1"/>
  <c r="AA148" i="1"/>
  <c r="AG148" i="1" s="1"/>
  <c r="AF147" i="1"/>
  <c r="AA147" i="1"/>
  <c r="AG147" i="1" s="1"/>
  <c r="AA146" i="1"/>
  <c r="AG145" i="1"/>
  <c r="AF145" i="1"/>
  <c r="AA145" i="1"/>
  <c r="AA144" i="1"/>
  <c r="AF144" i="1" s="1"/>
  <c r="AG144" i="1" s="1"/>
  <c r="AA143" i="1"/>
  <c r="AA142" i="1"/>
  <c r="AA141" i="1"/>
  <c r="AG140" i="1"/>
  <c r="AF140" i="1"/>
  <c r="AA140" i="1"/>
  <c r="AF139" i="1"/>
  <c r="AA139" i="1"/>
  <c r="AG139" i="1" s="1"/>
  <c r="AA138" i="1"/>
  <c r="AG137" i="1"/>
  <c r="AF137" i="1"/>
  <c r="AA137" i="1"/>
  <c r="AG136" i="1"/>
  <c r="AF136" i="1"/>
  <c r="AA136" i="1"/>
  <c r="AF135" i="1"/>
  <c r="AG135" i="1" s="1"/>
  <c r="AA135" i="1"/>
  <c r="AA134" i="1"/>
  <c r="AA133" i="1"/>
  <c r="AF132" i="1"/>
  <c r="AA132" i="1"/>
  <c r="AG132" i="1" s="1"/>
  <c r="AF131" i="1"/>
  <c r="AA131" i="1"/>
  <c r="AG131" i="1" s="1"/>
  <c r="AA130" i="1"/>
  <c r="AG129" i="1"/>
  <c r="AF129" i="1"/>
  <c r="AA129" i="1"/>
  <c r="AA128" i="1"/>
  <c r="AF128" i="1" s="1"/>
  <c r="AG128" i="1" s="1"/>
  <c r="AA127" i="1"/>
  <c r="AA126" i="1"/>
  <c r="AA125" i="1"/>
  <c r="AG124" i="1"/>
  <c r="AF124" i="1"/>
  <c r="AA124" i="1"/>
  <c r="AF123" i="1"/>
  <c r="AA123" i="1"/>
  <c r="AG123" i="1" s="1"/>
  <c r="AA122" i="1"/>
  <c r="AG121" i="1"/>
  <c r="AF121" i="1"/>
  <c r="AA121" i="1"/>
  <c r="AG120" i="1"/>
  <c r="AF120" i="1"/>
  <c r="AA120" i="1"/>
  <c r="AF119" i="1"/>
  <c r="AG119" i="1" s="1"/>
  <c r="AA119" i="1"/>
  <c r="AA118" i="1"/>
  <c r="AA117" i="1"/>
  <c r="AF116" i="1"/>
  <c r="AA116" i="1"/>
  <c r="AG116" i="1" s="1"/>
  <c r="AF115" i="1"/>
  <c r="AA115" i="1"/>
  <c r="AG115" i="1" s="1"/>
  <c r="AA114" i="1"/>
  <c r="AG113" i="1"/>
  <c r="AF113" i="1"/>
  <c r="AA113" i="1"/>
  <c r="AE112" i="1"/>
  <c r="AA112" i="1"/>
  <c r="AF112" i="1" s="1"/>
  <c r="AG112" i="1" s="1"/>
  <c r="AF111" i="1"/>
  <c r="AA111" i="1"/>
  <c r="AG111" i="1" s="1"/>
  <c r="AF110" i="1"/>
  <c r="AA110" i="1"/>
  <c r="AG110" i="1" s="1"/>
  <c r="AA109" i="1"/>
  <c r="AG108" i="1"/>
  <c r="AF108" i="1"/>
  <c r="AA108" i="1"/>
  <c r="AA107" i="1"/>
  <c r="AF107" i="1" s="1"/>
  <c r="AG107" i="1" s="1"/>
  <c r="AA106" i="1"/>
  <c r="AA105" i="1"/>
  <c r="AA104" i="1"/>
  <c r="AG103" i="1"/>
  <c r="AF103" i="1"/>
  <c r="AA103" i="1"/>
  <c r="AF102" i="1"/>
  <c r="AA102" i="1"/>
  <c r="AG102" i="1" s="1"/>
  <c r="AF101" i="1"/>
  <c r="AA101" i="1"/>
  <c r="AG101" i="1" s="1"/>
  <c r="AG100" i="1"/>
  <c r="AF100" i="1"/>
  <c r="AA100" i="1"/>
  <c r="AG99" i="1"/>
  <c r="AF99" i="1"/>
  <c r="AA99" i="1"/>
  <c r="AF98" i="1"/>
  <c r="AG98" i="1" s="1"/>
  <c r="AA98" i="1"/>
  <c r="AA97" i="1"/>
  <c r="AA96" i="1"/>
  <c r="AF95" i="1"/>
  <c r="AG95" i="1" s="1"/>
  <c r="AA95" i="1"/>
  <c r="AF94" i="1"/>
  <c r="AA94" i="1"/>
  <c r="AG94" i="1" s="1"/>
  <c r="AA93" i="1"/>
  <c r="AG92" i="1"/>
  <c r="AF92" i="1"/>
  <c r="AA92" i="1"/>
  <c r="AA91" i="1"/>
  <c r="AF91" i="1" s="1"/>
  <c r="AG91" i="1" s="1"/>
  <c r="AA90" i="1"/>
  <c r="AA89" i="1"/>
  <c r="AA88" i="1"/>
  <c r="AG87" i="1"/>
  <c r="AF87" i="1"/>
  <c r="AA87" i="1"/>
  <c r="AF86" i="1"/>
  <c r="AA86" i="1"/>
  <c r="AG86" i="1" s="1"/>
  <c r="AA85" i="1"/>
  <c r="AG84" i="1"/>
  <c r="AF84" i="1"/>
  <c r="AA84" i="1"/>
  <c r="AG83" i="1"/>
  <c r="AF83" i="1"/>
  <c r="AA83" i="1"/>
  <c r="AF82" i="1"/>
  <c r="AG82" i="1" s="1"/>
  <c r="AA82" i="1"/>
  <c r="AA81" i="1"/>
  <c r="AA80" i="1"/>
  <c r="AF79" i="1"/>
  <c r="AG79" i="1" s="1"/>
  <c r="AA79" i="1"/>
  <c r="AF78" i="1"/>
  <c r="AA78" i="1"/>
  <c r="AG78" i="1" s="1"/>
  <c r="AA77" i="1"/>
  <c r="AG76" i="1"/>
  <c r="AF76" i="1"/>
  <c r="AA76" i="1"/>
  <c r="AA75" i="1"/>
  <c r="AF75" i="1" s="1"/>
  <c r="AG75" i="1" s="1"/>
  <c r="AA74" i="1"/>
  <c r="AA73" i="1"/>
  <c r="AA72" i="1"/>
  <c r="AG71" i="1"/>
  <c r="AF71" i="1"/>
  <c r="AA71" i="1"/>
  <c r="AF70" i="1"/>
  <c r="AA70" i="1"/>
  <c r="AG70" i="1" s="1"/>
  <c r="AA69" i="1"/>
  <c r="AG68" i="1"/>
  <c r="AF68" i="1"/>
  <c r="AA68" i="1"/>
  <c r="AG67" i="1"/>
  <c r="AF67" i="1"/>
  <c r="AA67" i="1"/>
  <c r="AF66" i="1"/>
  <c r="AG66" i="1" s="1"/>
  <c r="AA66" i="1"/>
  <c r="AA65" i="1"/>
  <c r="AA64" i="1"/>
  <c r="AF63" i="1"/>
  <c r="AG63" i="1" s="1"/>
  <c r="AA63" i="1"/>
  <c r="AF62" i="1"/>
  <c r="AA62" i="1"/>
  <c r="AG62" i="1" s="1"/>
  <c r="AA61" i="1"/>
  <c r="AG60" i="1"/>
  <c r="AF60" i="1"/>
  <c r="AA60" i="1"/>
  <c r="AA59" i="1"/>
  <c r="AF59" i="1" s="1"/>
  <c r="AG59" i="1" s="1"/>
  <c r="AA58" i="1"/>
  <c r="AA57" i="1"/>
  <c r="AA56" i="1"/>
  <c r="AG55" i="1"/>
  <c r="AF55" i="1"/>
  <c r="AA55" i="1"/>
  <c r="AF54" i="1"/>
  <c r="AA54" i="1"/>
  <c r="AG54" i="1" s="1"/>
  <c r="AA53" i="1"/>
  <c r="AG52" i="1"/>
  <c r="AF52" i="1"/>
  <c r="AA52" i="1"/>
  <c r="AG51" i="1"/>
  <c r="AF51" i="1"/>
  <c r="AA51" i="1"/>
  <c r="AF50" i="1"/>
  <c r="AG50" i="1" s="1"/>
  <c r="AA50" i="1"/>
  <c r="AA49" i="1"/>
  <c r="AA48" i="1"/>
  <c r="AF47" i="1"/>
  <c r="AG47" i="1" s="1"/>
  <c r="AA47" i="1"/>
  <c r="AF46" i="1"/>
  <c r="AA46" i="1"/>
  <c r="AG46" i="1" s="1"/>
  <c r="AA45" i="1"/>
  <c r="AG44" i="1"/>
  <c r="AF44" i="1"/>
  <c r="AA44" i="1"/>
  <c r="AA43" i="1"/>
  <c r="AF43" i="1" s="1"/>
  <c r="AG43" i="1" s="1"/>
  <c r="AA42" i="1"/>
  <c r="AA41" i="1"/>
  <c r="AA40" i="1"/>
  <c r="AG39" i="1"/>
  <c r="AF39" i="1"/>
  <c r="AA39" i="1"/>
  <c r="AF38" i="1"/>
  <c r="AA38" i="1"/>
  <c r="AG38" i="1" s="1"/>
  <c r="AA37" i="1"/>
  <c r="AG36" i="1"/>
  <c r="AF36" i="1"/>
  <c r="AA36" i="1"/>
  <c r="AG35" i="1"/>
  <c r="AF35" i="1"/>
  <c r="AA35" i="1"/>
  <c r="AF34" i="1"/>
  <c r="AG34" i="1" s="1"/>
  <c r="AA34" i="1"/>
  <c r="AA33" i="1"/>
  <c r="AA32" i="1"/>
  <c r="AF31" i="1"/>
  <c r="AG31" i="1" s="1"/>
  <c r="AA31" i="1"/>
  <c r="AF30" i="1"/>
  <c r="AA30" i="1"/>
  <c r="AG30" i="1" s="1"/>
  <c r="AA29" i="1"/>
  <c r="AG28" i="1"/>
  <c r="AF28" i="1"/>
  <c r="AA28" i="1"/>
  <c r="AA27" i="1"/>
  <c r="AF27" i="1" s="1"/>
  <c r="AG27" i="1" s="1"/>
  <c r="AA26" i="1"/>
  <c r="AA25" i="1"/>
  <c r="AA24" i="1"/>
  <c r="AG23" i="1"/>
  <c r="AF23" i="1"/>
  <c r="AA23" i="1"/>
  <c r="AF22" i="1"/>
  <c r="AA22" i="1"/>
  <c r="AG22" i="1" s="1"/>
  <c r="AA21" i="1"/>
  <c r="AG20" i="1"/>
  <c r="AF20" i="1"/>
  <c r="AA20" i="1"/>
  <c r="AG19" i="1"/>
  <c r="AF19" i="1"/>
  <c r="AA19" i="1"/>
  <c r="AF18" i="1"/>
  <c r="AG18" i="1" s="1"/>
  <c r="AA18" i="1"/>
  <c r="AA17" i="1"/>
  <c r="AA16" i="1"/>
  <c r="AF15" i="1"/>
  <c r="AG15" i="1" s="1"/>
  <c r="AA15" i="1"/>
  <c r="AF14" i="1"/>
  <c r="AA14" i="1"/>
  <c r="AG14" i="1" s="1"/>
  <c r="AA13" i="1"/>
  <c r="AG12" i="1"/>
  <c r="AF12" i="1"/>
  <c r="AA12" i="1"/>
  <c r="AA11" i="1"/>
  <c r="AF11" i="1" s="1"/>
  <c r="AG11" i="1" s="1"/>
  <c r="AA10" i="1"/>
  <c r="AA9" i="1"/>
  <c r="AA8" i="1"/>
  <c r="AG7" i="1"/>
  <c r="AF7" i="1"/>
  <c r="AA7" i="1"/>
  <c r="AF6" i="1"/>
  <c r="AA6" i="1"/>
  <c r="AG6" i="1" s="1"/>
  <c r="AA5" i="1"/>
  <c r="AG4" i="1"/>
  <c r="AF4" i="1"/>
  <c r="AA4" i="1"/>
  <c r="AG3" i="1"/>
  <c r="AF3" i="1"/>
  <c r="AA3" i="1"/>
  <c r="AF2" i="1"/>
  <c r="AG2" i="1" s="1"/>
  <c r="AA2" i="1"/>
  <c r="AG329" i="1" l="1"/>
  <c r="AG24" i="1"/>
  <c r="AG226" i="1"/>
  <c r="AG162" i="1"/>
  <c r="AG245" i="1"/>
  <c r="AG37" i="1"/>
  <c r="AG213" i="1"/>
  <c r="AG230" i="1"/>
  <c r="AG286" i="1"/>
  <c r="AG56" i="1"/>
  <c r="AG198" i="1"/>
  <c r="AG205" i="1"/>
  <c r="AG57" i="1"/>
  <c r="AG189" i="1"/>
  <c r="AG223" i="1"/>
  <c r="AG332" i="1"/>
  <c r="AG343" i="1"/>
  <c r="AG130" i="1"/>
  <c r="AG344" i="1"/>
  <c r="AG13" i="1"/>
  <c r="AG77" i="1"/>
  <c r="AG149" i="1"/>
  <c r="AG256" i="1"/>
  <c r="AG150" i="1"/>
  <c r="AG263" i="1"/>
  <c r="AG280" i="1"/>
  <c r="AG159" i="1"/>
  <c r="AG265" i="1"/>
  <c r="AG317" i="1"/>
  <c r="AG242" i="1"/>
  <c r="AG250" i="1"/>
  <c r="AF13" i="1"/>
  <c r="AF29" i="1"/>
  <c r="AG29" i="1" s="1"/>
  <c r="AF45" i="1"/>
  <c r="AG45" i="1" s="1"/>
  <c r="AF61" i="1"/>
  <c r="AG61" i="1" s="1"/>
  <c r="AF77" i="1"/>
  <c r="AF93" i="1"/>
  <c r="AG93" i="1" s="1"/>
  <c r="AF109" i="1"/>
  <c r="AG109" i="1" s="1"/>
  <c r="AF114" i="1"/>
  <c r="AG114" i="1" s="1"/>
  <c r="AF130" i="1"/>
  <c r="AF146" i="1"/>
  <c r="AG146" i="1" s="1"/>
  <c r="AF162" i="1"/>
  <c r="AF178" i="1"/>
  <c r="AG178" i="1" s="1"/>
  <c r="AF194" i="1"/>
  <c r="AG194" i="1" s="1"/>
  <c r="AF210" i="1"/>
  <c r="AG210" i="1" s="1"/>
  <c r="AF226" i="1"/>
  <c r="AF242" i="1"/>
  <c r="AF268" i="1"/>
  <c r="AG268" i="1" s="1"/>
  <c r="AF284" i="1"/>
  <c r="AG284" i="1" s="1"/>
  <c r="AF300" i="1"/>
  <c r="AG300" i="1" s="1"/>
  <c r="AF316" i="1"/>
  <c r="AG316" i="1" s="1"/>
  <c r="AF332" i="1"/>
  <c r="AF8" i="1"/>
  <c r="AG8" i="1" s="1"/>
  <c r="AF24" i="1"/>
  <c r="AF40" i="1"/>
  <c r="AG40" i="1" s="1"/>
  <c r="AF56" i="1"/>
  <c r="AF72" i="1"/>
  <c r="AG72" i="1" s="1"/>
  <c r="AF88" i="1"/>
  <c r="AG88" i="1" s="1"/>
  <c r="AF104" i="1"/>
  <c r="AG104" i="1" s="1"/>
  <c r="AF125" i="1"/>
  <c r="AG125" i="1" s="1"/>
  <c r="AF141" i="1"/>
  <c r="AG141" i="1" s="1"/>
  <c r="AF157" i="1"/>
  <c r="AG157" i="1" s="1"/>
  <c r="AF173" i="1"/>
  <c r="AG173" i="1" s="1"/>
  <c r="AF189" i="1"/>
  <c r="AF205" i="1"/>
  <c r="AF221" i="1"/>
  <c r="AG221" i="1" s="1"/>
  <c r="AF237" i="1"/>
  <c r="AG237" i="1" s="1"/>
  <c r="AF263" i="1"/>
  <c r="AF279" i="1"/>
  <c r="AG279" i="1" s="1"/>
  <c r="AF295" i="1"/>
  <c r="AG295" i="1" s="1"/>
  <c r="AF311" i="1"/>
  <c r="AG311" i="1" s="1"/>
  <c r="AF327" i="1"/>
  <c r="AG327" i="1" s="1"/>
  <c r="AF343" i="1"/>
  <c r="AF317" i="1"/>
  <c r="AF9" i="1"/>
  <c r="AG9" i="1" s="1"/>
  <c r="AF25" i="1"/>
  <c r="AG25" i="1" s="1"/>
  <c r="AF41" i="1"/>
  <c r="AG41" i="1" s="1"/>
  <c r="AF57" i="1"/>
  <c r="AF73" i="1"/>
  <c r="AG73" i="1" s="1"/>
  <c r="AF89" i="1"/>
  <c r="AG89" i="1" s="1"/>
  <c r="AF105" i="1"/>
  <c r="AG105" i="1" s="1"/>
  <c r="AF126" i="1"/>
  <c r="AG126" i="1" s="1"/>
  <c r="AF142" i="1"/>
  <c r="AG142" i="1" s="1"/>
  <c r="AF158" i="1"/>
  <c r="AG158" i="1" s="1"/>
  <c r="AF174" i="1"/>
  <c r="AG174" i="1" s="1"/>
  <c r="AF190" i="1"/>
  <c r="AG190" i="1" s="1"/>
  <c r="AF206" i="1"/>
  <c r="AG206" i="1" s="1"/>
  <c r="AF222" i="1"/>
  <c r="AG222" i="1" s="1"/>
  <c r="AF238" i="1"/>
  <c r="AG238" i="1" s="1"/>
  <c r="AF264" i="1"/>
  <c r="AG264" i="1" s="1"/>
  <c r="AF280" i="1"/>
  <c r="AF296" i="1"/>
  <c r="AG296" i="1" s="1"/>
  <c r="AF312" i="1"/>
  <c r="AG312" i="1" s="1"/>
  <c r="AF328" i="1"/>
  <c r="AG328" i="1" s="1"/>
  <c r="AF344" i="1"/>
  <c r="AF286" i="1"/>
  <c r="AF10" i="1"/>
  <c r="AG10" i="1" s="1"/>
  <c r="AF26" i="1"/>
  <c r="AG26" i="1" s="1"/>
  <c r="AF42" i="1"/>
  <c r="AG42" i="1" s="1"/>
  <c r="AF58" i="1"/>
  <c r="AG58" i="1" s="1"/>
  <c r="AF74" i="1"/>
  <c r="AG74" i="1" s="1"/>
  <c r="AF90" i="1"/>
  <c r="AG90" i="1" s="1"/>
  <c r="AF106" i="1"/>
  <c r="AG106" i="1" s="1"/>
  <c r="AF127" i="1"/>
  <c r="AG127" i="1" s="1"/>
  <c r="AF143" i="1"/>
  <c r="AG143" i="1" s="1"/>
  <c r="AF159" i="1"/>
  <c r="AF175" i="1"/>
  <c r="AG175" i="1" s="1"/>
  <c r="AF191" i="1"/>
  <c r="AG191" i="1" s="1"/>
  <c r="AF207" i="1"/>
  <c r="AG207" i="1" s="1"/>
  <c r="AF223" i="1"/>
  <c r="AF239" i="1"/>
  <c r="AG239" i="1" s="1"/>
  <c r="AF265" i="1"/>
  <c r="AF281" i="1"/>
  <c r="AG281" i="1" s="1"/>
  <c r="AF297" i="1"/>
  <c r="AG297" i="1" s="1"/>
  <c r="AF313" i="1"/>
  <c r="AG313" i="1" s="1"/>
  <c r="AF329" i="1"/>
  <c r="AF345" i="1"/>
  <c r="AG345" i="1" s="1"/>
  <c r="AF5" i="1"/>
  <c r="AG5" i="1" s="1"/>
  <c r="AF21" i="1"/>
  <c r="AG21" i="1" s="1"/>
  <c r="AF37" i="1"/>
  <c r="AF53" i="1"/>
  <c r="AG53" i="1" s="1"/>
  <c r="AF69" i="1"/>
  <c r="AG69" i="1" s="1"/>
  <c r="AF85" i="1"/>
  <c r="AG85" i="1" s="1"/>
  <c r="AF122" i="1"/>
  <c r="AG122" i="1" s="1"/>
  <c r="AF138" i="1"/>
  <c r="AG138" i="1" s="1"/>
  <c r="AF154" i="1"/>
  <c r="AG154" i="1" s="1"/>
  <c r="AF340" i="1"/>
  <c r="AG340" i="1" s="1"/>
  <c r="AF16" i="1"/>
  <c r="AG16" i="1" s="1"/>
  <c r="AF32" i="1"/>
  <c r="AG32" i="1" s="1"/>
  <c r="AF48" i="1"/>
  <c r="AG48" i="1" s="1"/>
  <c r="AF64" i="1"/>
  <c r="AG64" i="1" s="1"/>
  <c r="AF80" i="1"/>
  <c r="AG80" i="1" s="1"/>
  <c r="AF96" i="1"/>
  <c r="AG96" i="1" s="1"/>
  <c r="AF117" i="1"/>
  <c r="AG117" i="1" s="1"/>
  <c r="AF133" i="1"/>
  <c r="AG133" i="1" s="1"/>
  <c r="AF149" i="1"/>
  <c r="AF165" i="1"/>
  <c r="AG165" i="1" s="1"/>
  <c r="AF181" i="1"/>
  <c r="AG181" i="1" s="1"/>
  <c r="AF197" i="1"/>
  <c r="AG197" i="1" s="1"/>
  <c r="AF213" i="1"/>
  <c r="AF229" i="1"/>
  <c r="AG229" i="1" s="1"/>
  <c r="AF245" i="1"/>
  <c r="AF271" i="1"/>
  <c r="AG271" i="1" s="1"/>
  <c r="AF17" i="1"/>
  <c r="AG17" i="1" s="1"/>
  <c r="AF33" i="1"/>
  <c r="AG33" i="1" s="1"/>
  <c r="AF49" i="1"/>
  <c r="AG49" i="1" s="1"/>
  <c r="AF65" i="1"/>
  <c r="AG65" i="1" s="1"/>
  <c r="AF81" i="1"/>
  <c r="AG81" i="1" s="1"/>
  <c r="AF97" i="1"/>
  <c r="AG97" i="1" s="1"/>
  <c r="AF118" i="1"/>
  <c r="AG118" i="1" s="1"/>
  <c r="AF134" i="1"/>
  <c r="AG134" i="1" s="1"/>
  <c r="AF150" i="1"/>
  <c r="AF166" i="1"/>
  <c r="AG166" i="1" s="1"/>
  <c r="AF182" i="1"/>
  <c r="AG182" i="1" s="1"/>
  <c r="AF198" i="1"/>
  <c r="AF214" i="1"/>
  <c r="AG214" i="1" s="1"/>
  <c r="AF230" i="1"/>
  <c r="AF246" i="1"/>
  <c r="AG246" i="1" s="1"/>
  <c r="AF251" i="1"/>
  <c r="AG251" i="1" s="1"/>
  <c r="AF256" i="1"/>
  <c r="AF272" i="1"/>
  <c r="AG272" i="1" s="1"/>
  <c r="AF288" i="1"/>
  <c r="AG288" i="1" s="1"/>
  <c r="AF304" i="1"/>
  <c r="AG304" i="1" s="1"/>
  <c r="AF320" i="1"/>
  <c r="AG320" i="1" s="1"/>
  <c r="AF336" i="1"/>
  <c r="AG336" i="1" s="1"/>
  <c r="AF347" i="1"/>
  <c r="AG347" i="1" s="1"/>
</calcChain>
</file>

<file path=xl/sharedStrings.xml><?xml version="1.0" encoding="utf-8"?>
<sst xmlns="http://schemas.openxmlformats.org/spreadsheetml/2006/main" count="6904" uniqueCount="1187">
  <si>
    <t>Global Shipper ID</t>
  </si>
  <si>
    <t>Legacy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</si>
  <si>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</si>
  <si>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</si>
  <si>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</si>
  <si>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</si>
  <si>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</si>
  <si>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</si>
  <si>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</si>
  <si>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</si>
  <si>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</si>
  <si>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</si>
  <si>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</si>
  <si>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</si>
  <si>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</si>
  <si>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</si>
  <si>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</si>
  <si>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</si>
  <si>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</si>
  <si>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</si>
  <si>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</si>
  <si>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</si>
  <si>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</si>
  <si>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</si>
  <si>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</si>
  <si>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</si>
  <si>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</si>
  <si>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</si>
  <si>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</si>
  <si>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</si>
  <si>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</si>
  <si>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</si>
  <si>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</si>
  <si>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</si>
  <si>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</si>
  <si>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</si>
  <si>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NVMY34535000006200</t>
  </si>
  <si>
    <t/>
  </si>
  <si>
    <t>Completed</t>
  </si>
  <si>
    <t>SOFEA MEDISPA BERTAM</t>
  </si>
  <si>
    <t>DELIVERY_THREE_DAYS_ANYTIME</t>
  </si>
  <si>
    <t>Parcel</t>
  </si>
  <si>
    <t>STANDARD</t>
  </si>
  <si>
    <t>SMALL</t>
  </si>
  <si>
    <t>WMSIA</t>
  </si>
  <si>
    <t>KEL-KEL</t>
  </si>
  <si>
    <t>Pulau Pinang</t>
  </si>
  <si>
    <t>NO 39-1 JLAN DAGANGAN 10 PUSAT BENDAR BERTAM PERDANA 13200 KEPALA BATAS PENANG  Pulau Pinang Kepala Batas Pulau Pinang - my 13200</t>
  </si>
  <si>
    <t>N5-BTS-42</t>
  </si>
  <si>
    <t>AHMAD RETAIL</t>
  </si>
  <si>
    <t>WM</t>
  </si>
  <si>
    <t>NVMY34535000006205</t>
  </si>
  <si>
    <t>NUR JUNAIDAH BT BAHRUDIN</t>
  </si>
  <si>
    <t>KBR1-KBR1</t>
  </si>
  <si>
    <t>Selangor</t>
  </si>
  <si>
    <t>DEWAN BEDAH HOSPITAL KAJANG JALAN SEMENYIH 43000 KAJANG SELANGOR  Kajang Selangor - my 43000</t>
  </si>
  <si>
    <t>K10A-KAJ-102</t>
  </si>
  <si>
    <t>NVMY34535000006206</t>
  </si>
  <si>
    <t>ARJUNAWIRA AHMAD</t>
  </si>
  <si>
    <t>Kelantan</t>
  </si>
  <si>
    <t>PT 1466 TAMAN TANJUNG CHAT 15400 KOTA BHARU KELANTAN   Kelantan my 15400</t>
  </si>
  <si>
    <t>NVMY34535000006202</t>
  </si>
  <si>
    <t>PN.SITI NORSHIDAH BT HASBULLAH</t>
  </si>
  <si>
    <t>AA 10 JALAN MASJID KG WIRA DAMAI (RUMAH BELAKANG) 68100 BATU CAVES SELANGOR  Batu Caves Selangor - my 68100</t>
  </si>
  <si>
    <t>K10-CAV-95</t>
  </si>
  <si>
    <t>NVMY34535000006218</t>
  </si>
  <si>
    <t>PING PING</t>
  </si>
  <si>
    <t>Pahang</t>
  </si>
  <si>
    <t>WAH SENG PEKAN ENTERPRISE, NO 17-19, LORONG KETAPANG MUALIM13, 26600 PEKAN PAHANG  Chini Pahang - my 26600</t>
  </si>
  <si>
    <t>N4A-PKN-26</t>
  </si>
  <si>
    <t>NVMY34535000006211</t>
  </si>
  <si>
    <t>KOPI THOR</t>
  </si>
  <si>
    <t>Terengganu</t>
  </si>
  <si>
    <t>LOT 8379 TAMAN RAKYAT HARMONI JABI 22000 JERTEH TERENGGANU  Jerteh Terengganu - my 22000</t>
  </si>
  <si>
    <t>E1A-JTH-9</t>
  </si>
  <si>
    <t>NVMY34535000006207</t>
  </si>
  <si>
    <t>RAINBOW PAPER SUPPLIES SDN BHD (ATTN: FATIN)</t>
  </si>
  <si>
    <t>1 &amp; 3 JALAN TPP 6/8 TAMAN PERINDUSTRIAN PUCHONG 47100 SELANGOR  Selangor Telok Panglima Garang Selangor - my 47100</t>
  </si>
  <si>
    <t>K14-TPK-140</t>
  </si>
  <si>
    <t>NVMY34535000006208</t>
  </si>
  <si>
    <t>WAN AMIRUN HAKIM (HR USTAZ SOFFIAN)</t>
  </si>
  <si>
    <t>Perak</t>
  </si>
  <si>
    <t>MRSM BAGAN DATUK,LOT 18202,JALAN BAGAN DATUK,36100 BAGAN DATUK PERAK  Bagan Datoh Perak - my 36100</t>
  </si>
  <si>
    <t>N6-HML-52</t>
  </si>
  <si>
    <t>NVMY34535000006203</t>
  </si>
  <si>
    <t>MOHD FITRI FAHMI BIN ABDULLAH</t>
  </si>
  <si>
    <t>7B-5-17 TANJUNG TOKONG PALM COURT SERI TANJUNG PINANG MUKIM 18 (TANJUNG TOKONG) TIMUR LAUT 11000 PULAU PINANG  Balik Pulau Pulau Pinang - my 11000</t>
  </si>
  <si>
    <t>MM-RTS</t>
  </si>
  <si>
    <t>NVMY34535000006212</t>
  </si>
  <si>
    <t>SAIDATUL AMIRAH</t>
  </si>
  <si>
    <t>1-10-20 APARTMENT SENTROVUE A JALAN PPAJ 5, 42300 BANDAR PUNCAK ALAM SELANGOR  Bandar Puncak Alam Selangor - my 42300</t>
  </si>
  <si>
    <t>K13-PCK-135</t>
  </si>
  <si>
    <t>NVMY34535000006235</t>
  </si>
  <si>
    <t>RAFEDAH RATIB</t>
  </si>
  <si>
    <t>PANGSAPURI SRI TANJUNG USJ 16, BLOCK CEMPAKA C-3-16, 47630 SELANGOR  Subang Jaya Selangor - my 47630</t>
  </si>
  <si>
    <t>K12-HTC-124</t>
  </si>
  <si>
    <t>NVMY34535000006221</t>
  </si>
  <si>
    <t>SIS ERIENA</t>
  </si>
  <si>
    <t>LOT 5425 JALAN SHEIKH JALALLUDIN, BT 29 KAMPUNG JENDERAM HULU 43800 DENGKIL SELANGOR  Telok Panglima Garang Selangor - my 43800</t>
  </si>
  <si>
    <t>K10-BSP-100</t>
  </si>
  <si>
    <t>NVMY34535000006246</t>
  </si>
  <si>
    <t>NUUR AMANIINA</t>
  </si>
  <si>
    <t>LOT 2671, BATU 39, JALAN HAJI WAHAB, KAMPUNG OLAK LEMPIT 42700 BANTING SELANGOR  Telok Panglima Garang Selangor - my 42700</t>
  </si>
  <si>
    <t>K13-BAN-132</t>
  </si>
  <si>
    <t>NVMY34535000006210</t>
  </si>
  <si>
    <t>FATHUL RAHMAN</t>
  </si>
  <si>
    <t>33A, JALAN MR 1/8 M-RESIDENCE 48020 RAWANG SELANGOR  Rawang Selangor - my 48020</t>
  </si>
  <si>
    <t>NVMY34535000006238</t>
  </si>
  <si>
    <t>FATIN AMIRA</t>
  </si>
  <si>
    <t>4957 KG PERMATANG CHICAR 26600 PEKAN PAHANG  Dong Pahang - my 26600</t>
  </si>
  <si>
    <t>NVMY34535000006213</t>
  </si>
  <si>
    <t>THAQIF ADIB MOHD AZAHAR</t>
  </si>
  <si>
    <t>ASRAMA KLINIKAL FAKULTI PERUBATAN DAN SAINS KESIHATAN USIM, JALAN PAK SAKO 4, TAMAN KENANGAN 28000 TEMERLOH PAHANG  Dong Pahang - my 28000</t>
  </si>
  <si>
    <t>NVMY34535000006250</t>
  </si>
  <si>
    <t>SITI NOORAZMALEEZA BINTI ARIFIN</t>
  </si>
  <si>
    <t>LOT 69, KAMPUNG TOK BETEK JLN PCB 15350 KOTA BHARU KELANTAN  Wakaf Bharu Kelantan - my 15350</t>
  </si>
  <si>
    <t>NVMY34535000006224</t>
  </si>
  <si>
    <t>NORLI BT MISKON</t>
  </si>
  <si>
    <t>NO 1,LORONG NANGKA KANAN,JALAN CHEMPAKA KANCHONG DARAT,42700 BANTING SELANGOR  Banting Selangor - my 42700</t>
  </si>
  <si>
    <t>NVMY34535000006222</t>
  </si>
  <si>
    <t>HASLINDA BINTI MOHD MUKHID</t>
  </si>
  <si>
    <t>LOT 577, JALAN CEMPAKA, KANCHONG DARAT 42700 BANTING SELANGOR  Banting Selangor - my 42700</t>
  </si>
  <si>
    <t>NVMY34535000006226</t>
  </si>
  <si>
    <t>NOOR AZLINA BINTI IBRAHIM</t>
  </si>
  <si>
    <t>NO 2-722, BLOK 2 JALAN MATAHARI U5/117, SEKSYEN U5, 40150 SHAH ALAM SELANGOR  Shah Alam Selangor - my 40150</t>
  </si>
  <si>
    <t>K10A-SZB-103</t>
  </si>
  <si>
    <t>NVMY34535000006216</t>
  </si>
  <si>
    <t>PIQAH</t>
  </si>
  <si>
    <t>NO 23 JALAN BB 2/2, TAMAN BANTING BARU 42700 BANTING SELANGOR  Banting Selangor - my 42700</t>
  </si>
  <si>
    <t>NVMY34535000006240</t>
  </si>
  <si>
    <t>NORADIRA SUHAIME</t>
  </si>
  <si>
    <t>NO 06, JALAN JD 3/2, TAMAN JENDERAM DAMAI 43800 DENGKIL SELANGOR  Telok Panglima Garang Selangor - my 43800</t>
  </si>
  <si>
    <t>NVMY34535000006215</t>
  </si>
  <si>
    <t>IXSUN SDN BHD</t>
  </si>
  <si>
    <t>Kuala Lumpur</t>
  </si>
  <si>
    <t>LOT 1.34, 1ST FLOOR PLAZA BERJAYA, NO 12, JLN IMBI 55100 KUALA LUMPUR  Kuala Lumpur Kuala Lumpur - my 55100</t>
  </si>
  <si>
    <t>MM-MM</t>
  </si>
  <si>
    <t>NVMY34535000006214</t>
  </si>
  <si>
    <t>HAZIRAH HASNAN</t>
  </si>
  <si>
    <t>17-1-2, BLOK 17 TERATAI MEWAH APARTMENT JALAN LANGKAWI, TMN TERATAI MEWAH 53000 KUALA LUMPUR  Kuala Lumpur Kuala Lumpur - my 53000</t>
  </si>
  <si>
    <t>K12A-DNK-130</t>
  </si>
  <si>
    <t>NVMY34535000006220</t>
  </si>
  <si>
    <t>ARIF SYAZWAN</t>
  </si>
  <si>
    <t>301, LORONG 2, TAMAN PEGAWAI KANAN KERAJAAN, ASSAM KUMBANG 34000 TAIPING PERAK  Temoh Perak - my 34000</t>
  </si>
  <si>
    <t>N6A-TPG-59</t>
  </si>
  <si>
    <t>NVMY34535000006230</t>
  </si>
  <si>
    <t>HAFIZAH ABDUL SALAM</t>
  </si>
  <si>
    <t>LOT 1322 KG MAT KILAU 1 27000 JERANTUT PAHANG  , - , Dong , Pahang Dong Pahang - MY 27000</t>
  </si>
  <si>
    <t>NVMY34535000006217</t>
  </si>
  <si>
    <t>DINI ZAIRANI</t>
  </si>
  <si>
    <t>A1-3 RUMAH PANGSA TAMAN PASIR INDAH, JALAN PASIR INDAH,  13500 PERMATANG PAUH, SEBERANG PERAI TENGAH, PULAU PINANG  Permatang Pauh Pulau Pinang - my 13500</t>
  </si>
  <si>
    <t>N5-BWH-41</t>
  </si>
  <si>
    <t>NVMY34535000006241</t>
  </si>
  <si>
    <t>NOR AISYA HANIM BINTI MOHD NADZRI</t>
  </si>
  <si>
    <t>LOT 1691, KG BARU, PULAU SERAI 26600 PEKAN PAHANG  Dong Pahang - my 26600</t>
  </si>
  <si>
    <t>NVMY34535000006245</t>
  </si>
  <si>
    <t>SITI ZUBAIDAH BINTI MAT JUSOH</t>
  </si>
  <si>
    <t>LOT 1034 KAMPUNG PANTAI MELAWI 16310 BACHOK KELANTAN  Melor Kelantan - my 16310</t>
  </si>
  <si>
    <t>NVMY34535000006227</t>
  </si>
  <si>
    <t>ABDUL RAHIM BIN MUHAMMAD DIN</t>
  </si>
  <si>
    <t>NO 10, JALAN KAJANG MEWAH 14, TAMAN KAJANG MEWAH 43000 KAJANG SELANGOR  Kajang Selangor - my 43000</t>
  </si>
  <si>
    <t>K12A-BGI-128</t>
  </si>
  <si>
    <t>NVMY34535000006225</t>
  </si>
  <si>
    <t>HAMIDAH BINTI YUSOFF</t>
  </si>
  <si>
    <t>NO 7 JALAN JAYA 6, TAMAN JAYA BANDAR TUN RAZAK, CHERAS 56000 KUALA LUMPUR  Kuala Lumpur Kuala Lumpur - my 56000</t>
  </si>
  <si>
    <t>NVMY34535000006228</t>
  </si>
  <si>
    <t>SITI NOOR SURIA ABU HANIFAH</t>
  </si>
  <si>
    <t>LOT 1230 KG TENGAH PERUPOK 16300 BACHOK KELANTAN  Melor Kelantan - my 16300</t>
  </si>
  <si>
    <t>NVMY34535000006248</t>
  </si>
  <si>
    <t>UMI SHAFAWI</t>
  </si>
  <si>
    <t>A-137 LRG CERMAI 2, TMN TAQWA, KETENGAH JAYA 23300 DUNGUN TERENGGANU  Ketengah Jaya Terengganu - my 23300</t>
  </si>
  <si>
    <t>NVMY34535000006236</t>
  </si>
  <si>
    <t>ZULAIQHA</t>
  </si>
  <si>
    <t>NO 24 JALAN KJ 1C/2 TAMAN KUNDANG JAYA, KUNDANG RAWANG 48020 SELANGOR  Rawang Selangor - my 48020</t>
  </si>
  <si>
    <t>K14-SGB-145</t>
  </si>
  <si>
    <t>NVMY34535000006264</t>
  </si>
  <si>
    <t>ABD MUTALIB ABD MANAF</t>
  </si>
  <si>
    <t>Negeri Sembilan</t>
  </si>
  <si>
    <t>9338 JALAN KEKWA 5 TAMAN GURU MELAYU 70450 SENAWANG SEREMBAN NEGERI SEMBILAN   Negeri Sembilan my 70450</t>
  </si>
  <si>
    <t>S9-SWG-83</t>
  </si>
  <si>
    <t>NVMY34535000006233</t>
  </si>
  <si>
    <t>WAN ROSLIZAWATI</t>
  </si>
  <si>
    <t>NO 13 PERUMAHAN AWWAM 2, 31600 GOPENG PERAK  Gopeng Perak - my 31600</t>
  </si>
  <si>
    <t>N6-GAJ-49</t>
  </si>
  <si>
    <t>NVMY34535000006262</t>
  </si>
  <si>
    <t>Zamhari bin Mokhtar</t>
  </si>
  <si>
    <t>Gate C Airod Subang, Jalan Lapangan Terbang Subang, 47200 Subang Airport, Selangor,Malaysia  Subang Jaya Selangor - my 47200</t>
  </si>
  <si>
    <t>NVMY34535000006258</t>
  </si>
  <si>
    <t>NUR SYAHIRAH MOHD WARI</t>
  </si>
  <si>
    <t>E24 DESA SRI BONGGOR KOMPLEKS PENJARA SUNGAI BULOH 47000 SUNGAI BULOH SELANGOR  Kuala Lumpur Kuala Lumpur - my 47000</t>
  </si>
  <si>
    <t>NVMY34535000006237</t>
  </si>
  <si>
    <t>PETRUS ANAK JINAI</t>
  </si>
  <si>
    <t>Sarawak</t>
  </si>
  <si>
    <t>NO 20, TAMAN SHUN LEE, BATU 11, JALAN KUCHING SERIAN 93250 KUCHING SARAWAK  Kota Samarahan Sarawak - my 93250</t>
  </si>
  <si>
    <t>EMSIA</t>
  </si>
  <si>
    <t>NVMY34535000006219</t>
  </si>
  <si>
    <t>SITI NORAINI BINTI AHMAD</t>
  </si>
  <si>
    <t>Johor</t>
  </si>
  <si>
    <t>NO 612 JALAN ANGGERIK 3/9, TAMAN ANGGERIK TENGGARA, BANDAR TENGGARA 81440 KULAI JOHOR  Skudai Johor - my 81440</t>
  </si>
  <si>
    <t>S7A-KLI-69</t>
  </si>
  <si>
    <t>NVMY34535000006253</t>
  </si>
  <si>
    <t>MISS TAN HUEY JUEN</t>
  </si>
  <si>
    <t>Melaka</t>
  </si>
  <si>
    <t>XEPA-SOUL PATTINSON MALAYSIA SDN BHD 1-5 CHENG INDUSTRIAL ESTATE 75250 MELAKA MALAYSIA   Melaka my 75250</t>
  </si>
  <si>
    <t>NVMY34535000006232</t>
  </si>
  <si>
    <t>AMIRUL PGEON STORE</t>
  </si>
  <si>
    <t>1-G-22 SUNTECH TOWER, LINTANG MAYANG PASIR 3, BAYAN BARU 11950 BAYAN LEPAS, PULAU PINANG  Bayan Lepas Pulau Pinang - my 11950</t>
  </si>
  <si>
    <t>N5-BAY-45</t>
  </si>
  <si>
    <t>NVMY34535000006231</t>
  </si>
  <si>
    <t>AZKAYRA</t>
  </si>
  <si>
    <t>Kedah</t>
  </si>
  <si>
    <t>565 TAMAN MERGONG JAYA FASA 1, 06250 ALOR SETAR KEDAH  Ayer Hitam Kedah - my 06250</t>
  </si>
  <si>
    <t>E3A-AOR-37</t>
  </si>
  <si>
    <t>NVMY34535000006249</t>
  </si>
  <si>
    <t>ROHANI BINTI MAHMUD</t>
  </si>
  <si>
    <t>LORONG PESONA KAMPUNG MANGGOL MUKIM MALAU 06000 JITRA KEDAH  Pokok Sena Kedah - my 06000</t>
  </si>
  <si>
    <t>NVMY34535000006239</t>
  </si>
  <si>
    <t>MASYITAH BT HAMRAN</t>
  </si>
  <si>
    <t>NO 67, SUSUR PADUKA SETIA 1, RPT PADUKA SETIA KG BOYAN 34000 TAIPING PERAK  Sitiawan Perak - my 34000</t>
  </si>
  <si>
    <t>NVMY34535000006244</t>
  </si>
  <si>
    <t>NOR HIDAYATI BINTI ABU</t>
  </si>
  <si>
    <t>NO 10, JALAN TAWAS BARU 11, TAMAN TASEK DAMAI 30010 IPOH PERAK  Sitiawan Perak - my 30010</t>
  </si>
  <si>
    <t>N6A-IPH-61</t>
  </si>
  <si>
    <t>NVMY34535000006261</t>
  </si>
  <si>
    <t>ARDA SYUHADA</t>
  </si>
  <si>
    <t>KOLEJ TUN SYED NASIR JALAN TEMERLOH 53200 KUALA LUMPUR  Kuala Lumpur Kuala Lumpur - my 53200</t>
  </si>
  <si>
    <t>K10A-WMJ-107</t>
  </si>
  <si>
    <t>NVMY34535000006252</t>
  </si>
  <si>
    <t>WAN NUR KHAIRUN NAZIHAH</t>
  </si>
  <si>
    <t>MAJLIS BANDARAYA KUANTAN, BAHAGIAN PENGURUSAN HARTA 25100 KUANTAN PAHANG  Dong Pahang - my 25100</t>
  </si>
  <si>
    <t>NVMY34535000006229</t>
  </si>
  <si>
    <t>MUHAMAD AZHAM BIN MUHAMAD DIN</t>
  </si>
  <si>
    <t>NO 44, JALAN MANGGA 17 TAMAN KOTA MASAI 81700 PASIR GUDANG JOHOR  Skudai Johor - my 81700</t>
  </si>
  <si>
    <t>S7A-MAS-70</t>
  </si>
  <si>
    <t>NVMY34535000006265</t>
  </si>
  <si>
    <t>Najemindin Hassan</t>
  </si>
  <si>
    <t>kg gunung senyum 28050 Kuala krau temerloh pahang  Chenor Pahang - my 28050</t>
  </si>
  <si>
    <t>NVMY34535000006223</t>
  </si>
  <si>
    <t>NOOR AZIZAH BINTI MD MUHAYATDIN</t>
  </si>
  <si>
    <t>NO 60 JALAN BESTARI 8/3, TAMAN BESTARI INDAH 81800 ULU TIRAM JOHOR  Skudai Johor - my 81800</t>
  </si>
  <si>
    <t>S7A-TRM-71</t>
  </si>
  <si>
    <t>NVMY34535000006234</t>
  </si>
  <si>
    <t>AISYAH HUSIN</t>
  </si>
  <si>
    <t>20, LORONG BERTAM INDAH 39, TMN BERTAM INDAH, KEPALA BATA, SEBERANG PERAI UTARA 13200 PULAU PINANG  Kepala Batas Pulau Pinang - my 13200</t>
  </si>
  <si>
    <t>NVMY34535000006251</t>
  </si>
  <si>
    <t>ROSLINA BT YUSOF</t>
  </si>
  <si>
    <t>CLUB MED CHERATING BEACH RESORT 26080 KUANTAN PAHANG  Dong Pahang - my 26080</t>
  </si>
  <si>
    <t>NVMY34535000006242</t>
  </si>
  <si>
    <t>JULIYAH BT SAYUTI</t>
  </si>
  <si>
    <t>NO 3 JALAN UTAMA WARUNG BILAL KG SEMANGAR DALAM 81900 KOTA TINGGI JOHOR  Skudai Johor - my 81900</t>
  </si>
  <si>
    <t>S7-TGI-62</t>
  </si>
  <si>
    <t>NVMY34535000006209</t>
  </si>
  <si>
    <t>SHIDA RAZAK</t>
  </si>
  <si>
    <t>RB2-1-2, PERSIARAN BAYAN 4, TAMAN TUNAS MUDA 11900 BAYAN LEPAS PULAU PINANG  Bayan Lepas Pulau Pinang - my 11900</t>
  </si>
  <si>
    <t>NVMY34535000006256</t>
  </si>
  <si>
    <t>NURALISA MOHD TINGKATAN 2 PATRIOTIK</t>
  </si>
  <si>
    <t>MAKTAB RENDAH SAINS MARA TUMPAT (MRSM) 1090 JALAN PENGKALAN KUBOR TUMPAT 16200 KELANTAN  Tumpat Kelantan - my 16200</t>
  </si>
  <si>
    <t>NVMY34535000006263</t>
  </si>
  <si>
    <t>muhd fairuz</t>
  </si>
  <si>
    <t>144B BATU 6 1/4 JLN SABAK ,PENGKALAN CHEPA , 16100 KOTA BHARU ,KELANTAN  Wakaf Bharu Kelantan - my 16100</t>
  </si>
  <si>
    <t>E1A-KBR-4</t>
  </si>
  <si>
    <t>NVMY34535000006243</t>
  </si>
  <si>
    <t>SUHAILA</t>
  </si>
  <si>
    <t>NO 8, LORONG 6, TAMAN DESA EKOR KUCHING, 13300 TASEK GELUGOR PULAU PINANG  Tasek Gelugor Pulau Pinang - my 13300</t>
  </si>
  <si>
    <t>NVMY34535000006257</t>
  </si>
  <si>
    <t>NUR</t>
  </si>
  <si>
    <t>S02-02-06 SIMFONI ECO MAJESTIC, 43500 SEMENYIH HULU LANGAT SELANGOR  Shah Alam Selangor - my 43500</t>
  </si>
  <si>
    <t>K13-SYH-136</t>
  </si>
  <si>
    <t>NVMY34535000006247</t>
  </si>
  <si>
    <t>SITI NOOR AFIQAH BINTI ISMAIL</t>
  </si>
  <si>
    <t>NO 6 JALAN MERANTI 11 TAMAN SRI PULAI 81300 SKUDAI JOHOR BAHRU  Skudai Johor - my 81300</t>
  </si>
  <si>
    <t>S7A-SEN-73</t>
  </si>
  <si>
    <t>NVMY34535000006279</t>
  </si>
  <si>
    <t>Nor Suzilawati bt Adzme</t>
  </si>
  <si>
    <t>No 13 Jalan 3, Taman Bukit Cermin, 28400 Mentakab, Pahang  Chenor Pahang - my 28400</t>
  </si>
  <si>
    <t>NVMY34535000006259</t>
  </si>
  <si>
    <t>TG NUR FADZLIANA TG MUDA</t>
  </si>
  <si>
    <t>NO 6920 JALAN SENA 35/2 BANDAR INDAHPURA 81000 KULAI JOHOR  Skudai Johor - my 81000</t>
  </si>
  <si>
    <t>NVMY34535000006281</t>
  </si>
  <si>
    <t>Nur hanini ahmad hayazim</t>
  </si>
  <si>
    <t>Lot 32 tingkat 5 bangunan cimb jalan bank 25050 kuantan pahang  Chenor Pahang - my 25050</t>
  </si>
  <si>
    <t>N4-KUA-18</t>
  </si>
  <si>
    <t>NVMY34535000006277</t>
  </si>
  <si>
    <t>Farah Hanim Abd Aziz</t>
  </si>
  <si>
    <t>Mahallah Halimatus Saadiah Universiti Islam Antarabangsa Malaysia Jalan Gombak 53100 Gombak Selangor  Hulu Langat Kuala Lumpur - my 53100</t>
  </si>
  <si>
    <t>NVMY34535000006255</t>
  </si>
  <si>
    <t>AFIFAH ZULAIKHA</t>
  </si>
  <si>
    <t>POS MINI KOLEJ MATRIKULASI KEDAH 06010 CHANGLUN KEDAH   Kedah my 06010</t>
  </si>
  <si>
    <t>E3A-JIT-36</t>
  </si>
  <si>
    <t>NVMY34535000006278</t>
  </si>
  <si>
    <t>Nurul Najiha</t>
  </si>
  <si>
    <t>1-3-3 Sri Lata Condominium, Jalan 5/125, Taman Desa Petaling, 57100 Kuala Lumpur, Wilayah Persekutuan  Kuala Lumpur  Kuala Lumpur Kuala Lumpur - my 57100</t>
  </si>
  <si>
    <t>K12A-BTR-125</t>
  </si>
  <si>
    <t>NVMY34535000006284</t>
  </si>
  <si>
    <t>Siraa Oi</t>
  </si>
  <si>
    <t>C1-G12 Zapin Apartment Taman Impian Ehsan III, 43300 Seri Kembangan, Selangor    Selangor my 43300</t>
  </si>
  <si>
    <t>NVMY34535000006269</t>
  </si>
  <si>
    <t>MOHD ASRI ABD TALIB</t>
  </si>
  <si>
    <t>Universiti kuala lumpur (institute of medical science technology) A1-1 jalan tks 1 tmn.kajang sentral 43000 kajang Selangor.  Kajang Selangor - my 43000</t>
  </si>
  <si>
    <t>NVMY34535000006268</t>
  </si>
  <si>
    <t>JURAINI CHE AZIZ</t>
  </si>
  <si>
    <t>378 FELDA CHIKU 1 18300 GUA MUSANG KELANTAN   Kelantan my 18300</t>
  </si>
  <si>
    <t>NVMY34535000006280</t>
  </si>
  <si>
    <t>Suhailah Sharei</t>
  </si>
  <si>
    <t xml:space="preserve"> LOT 41353N(Rumah sewa 2 tingkat) LORONG AMAN, KG SERI AMAN, BT 13, 47150 PUCHONG SELANGOR  Puchong Selangor - my 47150</t>
  </si>
  <si>
    <t>NVMY34535000006272</t>
  </si>
  <si>
    <t>SABRINA ARYSHA</t>
  </si>
  <si>
    <t>AUTO BAVARIA 362 JALAN TUN RAZAK 50400 KUALA LUMPUR  Kuala Lumpur Kuala Lumpur - my 50400</t>
  </si>
  <si>
    <t>K14-SHM-141</t>
  </si>
  <si>
    <t>NVMY34535000006260</t>
  </si>
  <si>
    <t>NUR RAHAYU RATNIE BT RAWI</t>
  </si>
  <si>
    <t>G11-G-04 KUARTERS PENJARA TAPAH KM 12, JALAN TAPAH 35400 TAPAH ROAD TAPAH PERAK  Tapah Road Perak - my 35400</t>
  </si>
  <si>
    <t>N6-TAP-51</t>
  </si>
  <si>
    <t>NVMY34535000006283</t>
  </si>
  <si>
    <t>Ida Zakaria</t>
  </si>
  <si>
    <t>No 8 Jalan Melati, Taman Idaman, 48200 Serendah, Selangor.  Serendah Selangor - my 48200</t>
  </si>
  <si>
    <t>K12-RWG-120</t>
  </si>
  <si>
    <t>NVMY34535000006254</t>
  </si>
  <si>
    <t>AZILE CHONG</t>
  </si>
  <si>
    <t>NO 89 JALAN MIDA 5 TAMAN MIDA PAYA PULAI 85000 SEGAMAT JOHOR    Johor my 85000</t>
  </si>
  <si>
    <t>S8-SGT-77</t>
  </si>
  <si>
    <t>NVMY34535000006286</t>
  </si>
  <si>
    <t>CHEE</t>
  </si>
  <si>
    <t>B-13-20 NO 1 JALAN PJU 1A/1 ARA DAMANSARA 47301 PETALING JAYA SELANGOR  Petaling Jaya Selangor - my 47301</t>
  </si>
  <si>
    <t>NVMY34535000006275</t>
  </si>
  <si>
    <t>Nor Ashikin bt Mohd Yassin</t>
  </si>
  <si>
    <t>No 1 kg masjid 28050 kuala krau temerloh PAHANG  Kuala Krau Pahang - my 28050</t>
  </si>
  <si>
    <t>NVMY34535000006285</t>
  </si>
  <si>
    <t>CAMPAP MARKERTING SDN BHD (ATTN: KEN,012-3483599)</t>
  </si>
  <si>
    <t>6428 LORONG MAK MANDIN TIGA MAK MANDIN INDUSTRIAL ESTATE 13400 BUTTERWORTH PENANG MALAYSIA (04-3332299)   Pulau Pinang my 13400</t>
  </si>
  <si>
    <t>NVMY34535000006282</t>
  </si>
  <si>
    <t>IKA</t>
  </si>
  <si>
    <t>974 permatang pauh 13100 penaga pulau pinang   Penaga Pulau Pinang - my 13100</t>
  </si>
  <si>
    <t>NVMY34535000006267</t>
  </si>
  <si>
    <t>RUHANI JAAFAR</t>
  </si>
  <si>
    <t>LOT 20 JLN LAREK PERMAI 2 KM 23 JLN KUALA NERANG 06300 KUALA NERANG KEDAH   Kedah my 06300</t>
  </si>
  <si>
    <t>E3-PSN-32</t>
  </si>
  <si>
    <t>NVMY34535000006266</t>
  </si>
  <si>
    <t>UMI SYAHIDAH</t>
  </si>
  <si>
    <t>NO 53 JALAN PI 8/3 TAMAN PULAU INDAH JOHOR BAHRU 81300 JOHOR   Johor my 81300</t>
  </si>
  <si>
    <t>S7-GLG-64</t>
  </si>
  <si>
    <t>NVMY34535000006290</t>
  </si>
  <si>
    <t>W. FARIDAH BT W. YAACOB</t>
  </si>
  <si>
    <t>LOT 2196 KG LARAK PENDEK 15100 KOTA BHARU KELANTAN  Melor Kelantan - my 15100</t>
  </si>
  <si>
    <t>NVMY34535000006288</t>
  </si>
  <si>
    <t>NOORAZILAH BT ABU BAKAR</t>
  </si>
  <si>
    <t>NO 63 JALAN SI 18, TAMAN SAUJANA INDAH, BUKIT KATIL 75450 MELAKA   Melaka my 75450</t>
  </si>
  <si>
    <t>S9A-MTG-90</t>
  </si>
  <si>
    <t>NVMY34535000006270</t>
  </si>
  <si>
    <t>LUKMEY MEY</t>
  </si>
  <si>
    <t>No 16d jalan padang 3 stulang bharu 81100 johor bharu, johor  Pulau Satu Johor - my 81100</t>
  </si>
  <si>
    <t>S7A-KEM-74</t>
  </si>
  <si>
    <t>NVMY34535000006287</t>
  </si>
  <si>
    <t>RUSNANI BINTI ABDULLAH</t>
  </si>
  <si>
    <t>LOT 427 LORONG 19/1 KAMPUNG PERAMU 26060 KUANTAN PAHANG   Pahang my 26060</t>
  </si>
  <si>
    <t>NVMY34535000006276</t>
  </si>
  <si>
    <t>Noor Shahirah</t>
  </si>
  <si>
    <t xml:space="preserve"> C-13-05 Bm city luxury condo-stay . Lorong Perda Selatan 1 , Bandar Perda . Seberang Perai Tengah 13700 . Pulau Pinang .   Perai Pulau Pinang - my 13700</t>
  </si>
  <si>
    <t>NVMY34535000006274</t>
  </si>
  <si>
    <t>Nur Amira Sharina Binti Rosmi</t>
  </si>
  <si>
    <t>56, Jalan Tasik Senangin 5/3 Bandar Tasik Senangin 71750 Mantin, Negeri Sembilan  Bandar Enstek Negeri Sembilan - my 71750</t>
  </si>
  <si>
    <t>S9-NIL-84</t>
  </si>
  <si>
    <t>NVMY34535000006296</t>
  </si>
  <si>
    <t>KOPI MESIN SETIA ALAM</t>
  </si>
  <si>
    <t>62A-G,JALAN ECO ARDENCE B ,U12/36B,ECO ARDENCE CREST SHAH ALAM,40170 SELANGOR  Shah Alam Selangor - my 40170</t>
  </si>
  <si>
    <t>K10-ALM-98</t>
  </si>
  <si>
    <t>NVMY34535000006300</t>
  </si>
  <si>
    <t>SITI HAJAR BT AB KARIM</t>
  </si>
  <si>
    <t>C-18-15 RESIDENSI VISTA WIRAJAYA 2, NO 36, JALAN TUMBUHAN, TAMAN MELATI SETAPAK 53300 KUALA LUMPUR  Kuala Lumpur Kuala Lumpur - my 53300</t>
  </si>
  <si>
    <t>NVMY34535000006271</t>
  </si>
  <si>
    <t>ZAINUDDIN ACO</t>
  </si>
  <si>
    <t>PTD 3413 TMN DESA SRI ENDAU 3 ENDAU, 86900 MERSING JOHOR  Johor Endau Johor - my 86900</t>
  </si>
  <si>
    <t>S8-MSG-75</t>
  </si>
  <si>
    <t>NVMY34535000006294</t>
  </si>
  <si>
    <t>MUHKRIZ</t>
  </si>
  <si>
    <t>JABATAN TENAGA MANUSIA,INSTITUT LATIHAN PERINDUSTRIAN MARANG,KAMPUNG BUKIT PARIT,21400 MARANG TERENGGANU  Bukit Payong Terengganu - my 21400</t>
  </si>
  <si>
    <t>NVMY34535000006292</t>
  </si>
  <si>
    <t>JAYANTHI VEJAYAN</t>
  </si>
  <si>
    <t>F89 JALAN TUNKU ISMAIL, TEMERLOH   PAHANG   Malaysia 28000</t>
  </si>
  <si>
    <t>N4-TMH-22</t>
  </si>
  <si>
    <t>NVMY34535000006303</t>
  </si>
  <si>
    <t>NURUL KHAMIZAH BINTI MOHAMAD NOOR</t>
  </si>
  <si>
    <t>NO 50 LORONG HAMZAH ALANG 77 TAMAN JAYA 42200 KAPAR KLANG SELANGOR  Kapar Selangor - my 42200</t>
  </si>
  <si>
    <t>NVMY34535000006289</t>
  </si>
  <si>
    <t>NVMY34535000006301</t>
  </si>
  <si>
    <t>LINDA RUSLIN</t>
  </si>
  <si>
    <t>NO 152 TAMAN RAUB UTAMA 27600 RAUB PAHANG  RAUB   MY 27600</t>
  </si>
  <si>
    <t>NVMY34535000006311</t>
  </si>
  <si>
    <t>ROHANI BINTI SAAFI</t>
  </si>
  <si>
    <t>NO 1 BLOK LANTANA, PERUMAHAN POLIS BUKIT MENTOK 24000 KEMAMAN TERENGGANU  KEMAMAN   MY 24000</t>
  </si>
  <si>
    <t>NVMY34535000006316</t>
  </si>
  <si>
    <t>rabiatul kamalia</t>
  </si>
  <si>
    <t>412-4 kampung labohan 24300 kerteh kemaman terengganu  Kerteh Terengganu - my 24300</t>
  </si>
  <si>
    <t>NVMY34535000006298</t>
  </si>
  <si>
    <t>KOPI MESIN PUTRAJAYA</t>
  </si>
  <si>
    <t>A2-G-2 AYER@8 COMPLEX JALAN P8G,PRESINT 8,PUTRAJAYA 62250 PUTRAJAYA  Putrajaya Putrajaya - my 62250</t>
  </si>
  <si>
    <t>K12-CJY-123</t>
  </si>
  <si>
    <t>NVMY34535000006310</t>
  </si>
  <si>
    <t>ZAHRA</t>
  </si>
  <si>
    <t>KELANTAN TRADE CENTRE, BANDAR KOTA BHARU KELANTAN  KOTA BHARU   MY 15200</t>
  </si>
  <si>
    <t>NVMY34535000006312</t>
  </si>
  <si>
    <t>FATIN NADILA</t>
  </si>
  <si>
    <t>A212 E MASS VILLA APARTMENT BANDAR BARU SALAK TINGGI 43900 SEPANG SELANGOR  Sepang Selangor - my 43900</t>
  </si>
  <si>
    <t>K13-STG-133</t>
  </si>
  <si>
    <t>NVMY34535000006297</t>
  </si>
  <si>
    <t>KOPI MESIN BUKIT JELUTONG</t>
  </si>
  <si>
    <t>G26,RADIA COMMERCIAL,PERSIARAN ARKED BUKIT JELUTONG,SHAH ALAM 40150 SELANGOR  Shah Alam Selangor - my 40150</t>
  </si>
  <si>
    <t>NVMY34535000006318</t>
  </si>
  <si>
    <t>Nor Aira Binti Hashim</t>
  </si>
  <si>
    <t>3325 Lorong Semarak 10,Taman Semarak Binjai 24000 Kemaman Terengganu  Ayer Puteh Terengganu - my 24000</t>
  </si>
  <si>
    <t>NVMY34535000006317</t>
  </si>
  <si>
    <t>nuratiqah binti mohd azmin</t>
  </si>
  <si>
    <t>no 15 jalan gau indah 6 taman gau indah 28000 temerloh pahang  Dong Pahang - my 28000</t>
  </si>
  <si>
    <t>NVMY34535000006308</t>
  </si>
  <si>
    <t>ABDUL HAKIM BIN SAMURI</t>
  </si>
  <si>
    <t>NO 1 JALAN MERANTI PUTIH 3 TAMAN PERMAI 2 BATU 7 1/2 MERU KLANG 41050 SELANGOR  Klang Selangor - my 41050</t>
  </si>
  <si>
    <t>K12A-MRU-127</t>
  </si>
  <si>
    <t>NVMY34535000006314</t>
  </si>
  <si>
    <t>LOT 2671,BATU 39,JALAN HAJI WAHAB, KAMPUNG OLAK LEMPIT, 42700 BANTING,SELANGOR  Telok Panglima Garang Selangor - my 42700</t>
  </si>
  <si>
    <t>NVMY34535000006315</t>
  </si>
  <si>
    <t>Ereena Amri</t>
  </si>
  <si>
    <t>No 29, Jalan 8/3, Seksyen 8, 43650, Bandar Baru Bangi, Selangor  Bandar Baru Bangi Selangor - my 43650</t>
  </si>
  <si>
    <t>NVMY34535000006273</t>
  </si>
  <si>
    <t>Nurelissa binti Elias</t>
  </si>
  <si>
    <t>No 154, Jalan Selar, Telok Sengat, 81940, Kota Tinggi, Johor.  Gugusan Taib Andak Johor - my 81490</t>
  </si>
  <si>
    <t>NVMY34535000006299</t>
  </si>
  <si>
    <t>ROSMAHAIDA JAMALUDIN</t>
  </si>
  <si>
    <t>23,JALAN ANDAMAN 3,TAMAN ANDAMAN UKAY 68000 AMPANG SELANGOR  Ampang Selangor - my 68000</t>
  </si>
  <si>
    <t>K10-MLT-94</t>
  </si>
  <si>
    <t>NVMY34535000006319</t>
  </si>
  <si>
    <t>No 1 kg masjid 28050 kuala krau temerloh PAHANG  Sungai Koyan Pahang - my 28050</t>
  </si>
  <si>
    <t>NVMY34535000006307</t>
  </si>
  <si>
    <t>AIZAD</t>
  </si>
  <si>
    <t>RAZA MOTORS SDN BHD (KIA SETAPAK) LOT PT5695 JLN USAHAWAN 6 OFF JLN GENTING KELANG 53300 SETAPAK KUALA LUMPUR  Kuala Lumpur Kuala Lumpur - my 53300</t>
  </si>
  <si>
    <t>NVMY34535000006302</t>
  </si>
  <si>
    <t>MOHD HASMADI BIN AZNAN</t>
  </si>
  <si>
    <t>NO 41 DESA KEDA NAGALILIT 09400 PADANG SERAI KEDAH  PADANG SERAI   MY 09400</t>
  </si>
  <si>
    <t>N5-KLM-40</t>
  </si>
  <si>
    <t>NVMY34535000006293</t>
  </si>
  <si>
    <t>LAU KOK KUAN</t>
  </si>
  <si>
    <t>Sabah</t>
  </si>
  <si>
    <t>Ka Ka Trading PLT, WDT 146, MDKNK 2331, Bangunan Kunak Plaza, 91207 Kunak, Sabah.  Kunak Sabah - my 91207</t>
  </si>
  <si>
    <t>M15A-KNK-167</t>
  </si>
  <si>
    <t>NVMY34535000006323</t>
  </si>
  <si>
    <t>ALBAQ</t>
  </si>
  <si>
    <t>KLINIK KESIHATAN REMBIA 78000 ALOR GAJAH MELAKA  ALOR GAJAH   MY 78000</t>
  </si>
  <si>
    <t>S9A-AGH-89</t>
  </si>
  <si>
    <t>NVMY34535000006291</t>
  </si>
  <si>
    <t>SELIANAH MOHAMAD</t>
  </si>
  <si>
    <t>QUATERS KOPERASI PEMBANGUNAN DESA RUMAH NO 2, PEKAN BELURAN BELURAN SABAH   Malaysia 90107</t>
  </si>
  <si>
    <t>M15A-KBT-166</t>
  </si>
  <si>
    <t>NVMY34535000006304</t>
  </si>
  <si>
    <t>RADEN AMIRULLAH</t>
  </si>
  <si>
    <t>PERWARIS ENT, D1-1 BLOK D, TINGKAT 1, PLAZA TANJUNG ARU, JALAN MAT SALLEH 88100 KOTA KINABALU SABAH - KOTA KINABALU   MY 88100</t>
  </si>
  <si>
    <t>SBH-SBH</t>
  </si>
  <si>
    <t>NVMY34535000006325</t>
  </si>
  <si>
    <t>NURYASMIN BINTI MAT FUAD</t>
  </si>
  <si>
    <t>NO 2A-1 JALAN RESIDENCE 3 CASA RESIDENCE BANDAR MAHKOTA CHERAS 43200 CHERAS SELANGOR  Kuala Lumpur Kuala Lumpur - my 43200</t>
  </si>
  <si>
    <t>NVMY34535000006326</t>
  </si>
  <si>
    <t>ATIQAH</t>
  </si>
  <si>
    <t>NO 57, JALAN 2/11, TAMAN INTAN PERDANA 71050 PORT DICKSON NEGERI SEMBILAN  Si Rusa Negeri Sembilan - my 71050</t>
  </si>
  <si>
    <t>S9-PDS-85</t>
  </si>
  <si>
    <t>NVMY34535000006305</t>
  </si>
  <si>
    <t>HASNAN (NORLINA)</t>
  </si>
  <si>
    <t>NO 16 JALAN DIAN 10 TAMAN MUNSYI IBRAHIM 81200 JOHOR BAHRU, JOHOR - JOHOR BAHRU   MY 81200</t>
  </si>
  <si>
    <t>NVMY34535000006329</t>
  </si>
  <si>
    <t>SITI AMINAH</t>
  </si>
  <si>
    <t>BLOK G1-9-3 KUARTERS HOSPITAL TENGKU AMPUAN RAHIMAH KLANG,41200 KLANG SELANGOR  Klang Selangor - my 41200</t>
  </si>
  <si>
    <t>K11A-PKL-118</t>
  </si>
  <si>
    <t>NVMY34535000006333</t>
  </si>
  <si>
    <t>SHIMA YAAKUB</t>
  </si>
  <si>
    <t>NO 5 ,TINGKAT 1 ,JALAN TEMERLOH - MENTAKAB,KAMPUNG GANTOK,28400 TEMERLOH PAHANG  Temerloh Pahang - my 28400</t>
  </si>
  <si>
    <t>NVMY34535000006313</t>
  </si>
  <si>
    <t>aina syahirah</t>
  </si>
  <si>
    <t>no 23 felda krau 1,27600 raub pahang  Dong Pahang - my 27600</t>
  </si>
  <si>
    <t>NVMY34535000006330</t>
  </si>
  <si>
    <t>HASLINA MOHD YUSSOFF</t>
  </si>
  <si>
    <t xml:space="preserve">LEMBAGA HASIL DALAM NEGERI MALAYSIA ,CAWANGAN WANGSA MAJU TINGKAT 1,6,7,9 &amp;10, MENARA TM JALAN SEMARAK NO 82,JALAN RAJA MUDA ABDULAZIZ 50300 KUALA LUMPUR  Kuala Lumpur Kuala Lumpur - my 50300 </t>
  </si>
  <si>
    <t>NVMY34535000006320</t>
  </si>
  <si>
    <t>Nur Fatin Nabilah</t>
  </si>
  <si>
    <t>No 4 Pos 220 Parit Tunggul, Parit Jawa 84150 Muar, Johor  Skudai Johor - my 84150</t>
  </si>
  <si>
    <t>NVMY34535000006328</t>
  </si>
  <si>
    <t>PBLT SDN.BHD</t>
  </si>
  <si>
    <t>UNIT D-3-5,BLOCK D,CBD PERDANA 3, JALAN PERDANA,CYBER 12,63000,CYBERJAYA SELANGOR  Cyberjaya Selangor - my 63000</t>
  </si>
  <si>
    <t>NVMY34535000006309</t>
  </si>
  <si>
    <t>AMER MUSRI</t>
  </si>
  <si>
    <t>KG ANSIP KENINGAU 89000 SABAH  KENINGAU   MY 89000</t>
  </si>
  <si>
    <t>NVMY34535000006306</t>
  </si>
  <si>
    <t>THANES0412</t>
  </si>
  <si>
    <t>746T, LORONG SEJATI 4, TAMAN SEJATI 3, MANJUNG 32000 PERAK  Sitiawan Perak - my 32000</t>
  </si>
  <si>
    <t>NVMY34535000006295</t>
  </si>
  <si>
    <t>AHMAD SAHAL BIN SJ MOHD ZAKI</t>
  </si>
  <si>
    <t>BANGKU SAYOR NO 37 38 PASAR BESAR CHUKAI 24000 KEMAMAN TERENGGANU  Ajil Terengganu - my 24000</t>
  </si>
  <si>
    <t>N4-CHU-19</t>
  </si>
  <si>
    <t>NVMY34535000006327</t>
  </si>
  <si>
    <t>WAN NURFARHANA BT WAN MOHD NASIR</t>
  </si>
  <si>
    <t>NO 9 JALAN ST 11 TAMAN SAUJANA TEHEL 77200 MELAKA  Bemban Melaka - my 77200</t>
  </si>
  <si>
    <t>S9A-JAS-91</t>
  </si>
  <si>
    <t>NVMY34535000006341</t>
  </si>
  <si>
    <t>EN IR NOOR HARIZAL BIN HUSSEIN</t>
  </si>
  <si>
    <t>KTA TENAGA SDN BHD D1-21 JALAN PJU 1/41 DATARAN PRIMA KELANA JAYA, 47301 PETALING JAYA SELANGOR  Petaling Jaya Selangor - my 47301</t>
  </si>
  <si>
    <t>K11-ARA-110</t>
  </si>
  <si>
    <t>NVMY34535000006334</t>
  </si>
  <si>
    <t>WAN ZUNAIDAH WAN AB RAHMAN</t>
  </si>
  <si>
    <t>11-2-1 KELUMPUK KEMUNTING B, JLN 30/56 KERAMAT WANGSA 54200 KUALA LUMPUR  Kuala Lumpur Kuala Lumpur - my 54200</t>
  </si>
  <si>
    <t>NVMY34535000006331</t>
  </si>
  <si>
    <t>NUR IZZARA DAMIA BT ZAINURI</t>
  </si>
  <si>
    <t>NO 911 TAMAN SAMUDERA , 32040 SERI MANJUNG PERAK  Seri Manjong Perak - my 32040</t>
  </si>
  <si>
    <t>N6A-STW-60</t>
  </si>
  <si>
    <t>NVMY34535000006343</t>
  </si>
  <si>
    <t>NAZ ASKYRA ROSLI</t>
  </si>
  <si>
    <t>NO 15 LORONG PERMAI 2, TAMAN PERMAI 28200 BANDAR BERA PAHANG  Bandar Bera Pahang - my 28200</t>
  </si>
  <si>
    <t>NVMY34535000006342</t>
  </si>
  <si>
    <t>AMIRAH ABDUL RAZAK</t>
  </si>
  <si>
    <t>18-04, PERMAI PUTERA APARTMENT, JALAN 13D, TAMAN DATO AHMAD RAZALI 68000 AMPANG SELANGOR  Ampang Selangor - my 68000</t>
  </si>
  <si>
    <t>NVMY34535000006324</t>
  </si>
  <si>
    <t>HUSNA ALIDARITHOUS</t>
  </si>
  <si>
    <t>6861, JALAN MENTIMUN, TAMAN SEJAHTERA FASA 2 TAMBAHAN PERAK  KAMPAR   Malaysia 31900</t>
  </si>
  <si>
    <t>NVMY34535000006339</t>
  </si>
  <si>
    <t>NURHASLINDA BT MAT HASSAN</t>
  </si>
  <si>
    <t>80 BLOCK BACHOK 17700 AYER LANAS JELI KELANTAN  Ayer Lanas Kelantan - my 17700</t>
  </si>
  <si>
    <t>NVMY34535000006332</t>
  </si>
  <si>
    <t>TOM</t>
  </si>
  <si>
    <t>SKYVIEW, 1A , LINTANG PENAWAR 3,TAMAN ARA,11600 JELUTONG PULAU PINANG   Pulau Pinang my 11600</t>
  </si>
  <si>
    <t>NVMY34535000006350</t>
  </si>
  <si>
    <t>NOORULHUDA BINTI CHE DAUD</t>
  </si>
  <si>
    <t>NO 108 LORONG 16 PERUMAHAN BALOK MAJU 26100 KUANTAN PAHANG  Kuantan Pahang - my 26100</t>
  </si>
  <si>
    <t>NVMY34535000006321</t>
  </si>
  <si>
    <t>Nur syazadatul Nisma</t>
  </si>
  <si>
    <t>Kampung jawa kongsi 10, rumah no 7, jalan sin onn, 91000 Tawau, Sabah  Pamol Sabah - my 91000</t>
  </si>
  <si>
    <t>NVMY34535000006346</t>
  </si>
  <si>
    <t>ZY COSMETICS SDN BHD</t>
  </si>
  <si>
    <t>NO 10A JALAN TIAJ 2/9 TAMAN INDUSTRI ALAM JAYA 42300 BANDAR PUNCAK ALAM SELANGOR  Bandar Puncak Alam Selangor - my 42300</t>
  </si>
  <si>
    <t>NVMY34535000006353</t>
  </si>
  <si>
    <t>ZEMPIREX REPAIR HQ</t>
  </si>
  <si>
    <t>45-2, JALAN RAMPAI NIAGA 5, WANGSA MAJU 53300 KUALA LUMPUR  Kuala Lumpur Kuala Lumpur - my 53300</t>
  </si>
  <si>
    <t>NVMY34535000006335</t>
  </si>
  <si>
    <t>SITI ANGGUN HQ</t>
  </si>
  <si>
    <t>NO 153, JALAN MUTIARA 3/2 TAMAN MUTIARA  09700 KARANGAN KEDAH (0174741879)  Karangan Kedah - my 09700</t>
  </si>
  <si>
    <t>NVMY34535000006340</t>
  </si>
  <si>
    <t>LINA HASSAN</t>
  </si>
  <si>
    <t>NO 1 JALAN PUTERA PERDANA 5/8 TAMAN PUTERA PERDANA 47130 PUCHONG SELANGOR  Puchong Selangor - my 47130</t>
  </si>
  <si>
    <t>NVMY34535000006344</t>
  </si>
  <si>
    <t>ZATIL BAYANI</t>
  </si>
  <si>
    <t>B-16-01 RESIDENSI RAZAKMAS 2 NO 9 JALAN JUJUR BANDAR TUN RAZAK 56000 KUALA LUMPUR  Kuala Lumpur Kuala Lumpur - my 56000</t>
  </si>
  <si>
    <t>NVMY34535000006337</t>
  </si>
  <si>
    <t>Siti Hanipah Abdul Majid</t>
  </si>
  <si>
    <t>No 19 Jalan Lembing 22  Taman Puteri Wangsa 81800 Ulu Tiram  Johor  Ulu Tiram Johor - my 81800</t>
  </si>
  <si>
    <t>NVMY34535000006351</t>
  </si>
  <si>
    <t>YUSNITA</t>
  </si>
  <si>
    <t>D-05-07 SRI PUTRAMAS, JALAN PUTRAMAS 1, OFF JALAN KUCHING 51200 KUALA LUMPUR  Kuala Lumpur Kuala Lumpur - my 51200</t>
  </si>
  <si>
    <t>K12A-SEG-129</t>
  </si>
  <si>
    <t>NVMY34535000006347</t>
  </si>
  <si>
    <t>FARIDAH BT BUSRA</t>
  </si>
  <si>
    <t>NO 11 JALAN KEPAH 55100 KAMPUNG PANDAN KUALA LUMPUR  Kuala Lumpur Kuala Lumpur - my 55100</t>
  </si>
  <si>
    <t>NVMY34535000006352</t>
  </si>
  <si>
    <t>NNF MAJU JAYA ENT</t>
  </si>
  <si>
    <t>NNF MAJU JAYA ENT, K4 RUMAH KEDAI PKNP KG JERUAS 27660 RAUB PAHANG  Sega Pahang - my 27660</t>
  </si>
  <si>
    <t>NVMY34535000006338</t>
  </si>
  <si>
    <t>SITI ZALIKHA BT MOHD GHAZALI</t>
  </si>
  <si>
    <t>NO 4 JALAN LAMPAM 31 TMN TG PUTERI RESORT 81700 PASIR GUDANG  JOHOR  Pasir Gudang Johor - my 81700</t>
  </si>
  <si>
    <t>NVMY34535000006336</t>
  </si>
  <si>
    <t>Nora Mohd Nordin</t>
  </si>
  <si>
    <t>No 94, Jalan Jaya Putra 8/17, Taman Jaya Putra Perdana, 81100 Johor Bahru, Johor Darul Takzim.  Johor Bahru Johor - my 81100</t>
  </si>
  <si>
    <t>S7-AUS-67</t>
  </si>
  <si>
    <t>NVMY34535000006348</t>
  </si>
  <si>
    <t>MUHAMMAD  AZWARI BIN MAT YUSOF</t>
  </si>
  <si>
    <t>NO 8 JALAN BUNGA KEMBOJA 11 TAMAN MUDA 56100 KUALA LUMPUR  Kuala Lumpur Kuala Lumpur - my 56100</t>
  </si>
  <si>
    <t>K11-TMJ-113</t>
  </si>
  <si>
    <t>NVMY34535000006097</t>
  </si>
  <si>
    <t>NUR AMIRUL HAFIZI BIN NORDIN</t>
  </si>
  <si>
    <t>NO 45 KAMPUNG DAGANG 97200 TATAU SARAWAK   Sarawak my 97200</t>
  </si>
  <si>
    <t>NVMY34535000006345</t>
  </si>
  <si>
    <t>MAISARAH BT ABDUL AZIZ</t>
  </si>
  <si>
    <t>PEJABAT TENAGA KERJA TELUK INTAN, TINGKAT 1 BLOK B, BANGUNAN PERSEKUTUAN, 36000 TELUK INTAN,PERAK.   Teluk Intan Perak - my 36000</t>
  </si>
  <si>
    <t>N6-TIN-53</t>
  </si>
  <si>
    <t>NVMY34535000006349</t>
  </si>
  <si>
    <t>NUR AMYLIA HUSNA</t>
  </si>
  <si>
    <t>F344 JALAN TERUSAN TITI SERONG 34200 PARIT BUNTAR PERAK  Parit Buntar Perak - my 34200</t>
  </si>
  <si>
    <t>N6A-BAG-58</t>
  </si>
  <si>
    <t>NVMY34535000006322</t>
  </si>
  <si>
    <t>LIZAWATI BINTI HERMAN</t>
  </si>
  <si>
    <t>TB 19112 , LOT C 32 , TAMAN SEMARAK MEGAH , LORONG 2 , 91000 TAWAU SABAH   Sabah my 91000</t>
  </si>
  <si>
    <t>NVMY34535000006356</t>
  </si>
  <si>
    <t>NI CORPORATE SDN BHD</t>
  </si>
  <si>
    <t>NO 13A-8 MENARA SENTRAL VISTA JALAN SULTAN ABDUL SAMAD 50470 KUALA LUMPUR  Kuala Lumpur Kuala Lumpur - my 50470</t>
  </si>
  <si>
    <t>NVMY34535000006355</t>
  </si>
  <si>
    <t>SUHAILA MOHD HUSIN</t>
  </si>
  <si>
    <t>BERHADAPAN SEKOLAH KEBANGSAAN SERI KIAMBANG KAMPUNG REPEK 17070 PASIR MAS KELANTAN  Pasir Mas Kelantan - my 17070</t>
  </si>
  <si>
    <t>NVMY34535000006359</t>
  </si>
  <si>
    <t>PUSPA GOMEN</t>
  </si>
  <si>
    <t>NO 56 JALAN SAUJANA KLIA 3/4, TAMAN SAUJANA KLIA 43900 SEPANG SELANGOR  Sepang Selangor - my 43900</t>
  </si>
  <si>
    <t>NVMY34535000006360</t>
  </si>
  <si>
    <t>NVMY34535000006361</t>
  </si>
  <si>
    <t>NVMY34535000006358</t>
  </si>
  <si>
    <t>ZULYIANAN BT ROSLI</t>
  </si>
  <si>
    <t>NO 397 KAMPUNG TABUAN MELAYU, LOT NO 3, 93450 KUCHING SARAWAK  Kuching Sarawak - my 93450</t>
  </si>
  <si>
    <t>M16-KCH-169</t>
  </si>
  <si>
    <t>NVMY34535000006362</t>
  </si>
  <si>
    <t>NORAZLINA BINTI ZAINI</t>
  </si>
  <si>
    <t>613-1, KM12, KG PERNU 75460 MELAKA  Ayer Keroh Melaka - my 75460</t>
  </si>
  <si>
    <t>MKZ-MKZ</t>
  </si>
  <si>
    <t>NVMY34535000006357</t>
  </si>
  <si>
    <t>YASMIN JEFFRI</t>
  </si>
  <si>
    <t>138, LORONG BAKTI 1 JLN SULTAN TENGAH SEMARIANG 93050 KUCHING SARAWAK  Kuching Sarawak - my 93050</t>
  </si>
  <si>
    <t>SWK-SWK</t>
  </si>
  <si>
    <t>NVMY34535000006354</t>
  </si>
  <si>
    <t>ALMA BAZLAA SYIFAZANA</t>
  </si>
  <si>
    <t>YEOH MAZLINA &amp; PARTNERS A-22-13 LEVEL 22 MENARA UOA BANGSAR, NO 5 JALAN BANGSAR UTAMA 1 59000 KUALA LUMPUR   Kuala Lumpur my 59000</t>
  </si>
  <si>
    <t>K14-SPH-144</t>
  </si>
  <si>
    <t>NVMY34535000006363</t>
  </si>
  <si>
    <t>TENGKU MAHSURI BT TENGKU MANSOR</t>
  </si>
  <si>
    <t>Perlis</t>
  </si>
  <si>
    <t>MINI MART PELADANG KAWASAN BESERI KM 11 JALAN KAKI BUKIT 02400 KANGAR PERLIS  Kangar Perlis - my 02400</t>
  </si>
  <si>
    <t>E3-BSR-34</t>
  </si>
  <si>
    <t>NVMY34535000006368</t>
  </si>
  <si>
    <t>NIK NORASYIKIN BINTI NIK MOHAMAD RAPI</t>
  </si>
  <si>
    <t>LOT 2712 KAMPUNG PANGKAL PISANG PERINGAT 16400 KOTA BHARU KELANTAN  Melor Kelantan - my 16400</t>
  </si>
  <si>
    <t>NVMY34535000005899</t>
  </si>
  <si>
    <t>MAHRUF BIN AG BUNGSU</t>
  </si>
  <si>
    <t>KAMPUNG TUNGGUL TINGGI 89850 SIPITANG SABAH  Sabah - Sipitang Sabah - my 89850</t>
  </si>
  <si>
    <t>NVMY34535000006055</t>
  </si>
  <si>
    <t>HAPPIHOME OFFICIAL STORE</t>
  </si>
  <si>
    <t>67, LEBUH KATZ, GEORGETOWN 10300 PULAU PINANG  Tanjong Bungah Pulau Pinang - my 10300</t>
  </si>
  <si>
    <t>N5-GEO-44</t>
  </si>
  <si>
    <t>NVMY34535000006047</t>
  </si>
  <si>
    <t>PEJABAT</t>
  </si>
  <si>
    <t>SMK ST FRANCIS JLN PARAMESWARA 75000 MELAKA   Melaka my 75000</t>
  </si>
  <si>
    <t>NVMY34535000006049</t>
  </si>
  <si>
    <t>BADRULHUSAINI BIN AHMAD</t>
  </si>
  <si>
    <t>1168 LAHAR TAMBUN 13300 TASEK GELUGOR SEBERANG PERAI UTARA PULAU PINANG  Tasek Gelugor Pulau Pinang - my 13300</t>
  </si>
  <si>
    <t>NVMY34535000006053</t>
  </si>
  <si>
    <t>FIFARASOL GROUP</t>
  </si>
  <si>
    <t>NO 15 JALAN INDUSTRI TAMING MAS PUSAT INDUSTRI TAMING MAS 43300 SERI KEMBANGAN SELANGOR  Seri Kembangan Selangor - my 43300</t>
  </si>
  <si>
    <t>NVMY34535000006060</t>
  </si>
  <si>
    <t>MISS NELLAA</t>
  </si>
  <si>
    <t>NO 39 TAMAN AYAHNDA JALAN TEMPAYAN MAS 4 KG PAYA JARAS DALAM 47000 SUNGAI BULOH SELANGOR  Kuala Lumpur Kuala Lumpur - my 47000</t>
  </si>
  <si>
    <t>NVMY34535000006034</t>
  </si>
  <si>
    <t>MOHAMED ASMAWI</t>
  </si>
  <si>
    <t>NO 29 KG CHENDRONG JLN TANJUNG TUALANG 31000 BATU GAJAH PERAK   Perak my 31000</t>
  </si>
  <si>
    <t>NVMY34535000006065</t>
  </si>
  <si>
    <t>MOHD SAYUTI BIN OTHMAN</t>
  </si>
  <si>
    <t>1807 A KAMPUNG ALOR JEJAWI 22300, KUALA BESUT TERENGGANU  Jerteh Terengganu - my 22300</t>
  </si>
  <si>
    <t>NVMY34535000006045</t>
  </si>
  <si>
    <t>SITI HADIJA HJ KADIR</t>
  </si>
  <si>
    <t>BLOCK F 04-05 APARTMENT SRI BAIDURI JALAN UKAY PERDANA 3 HULU KELANG 68000 AMPANG SELANGOR  Ampang Selangor - my 68000</t>
  </si>
  <si>
    <t>NVMY34535000006012</t>
  </si>
  <si>
    <t>NOOR AZIZAH BINTI MOHD IBERAHIM</t>
  </si>
  <si>
    <t>F-01-02 PPR SERI CEMPAKA JALAN LEMBAH PANTAI, PANTAI DALAM 59200 KUALA LUMPUR  Kuala Lumpur Kuala Lumpur - my 59200</t>
  </si>
  <si>
    <t>NVMY34535000006067</t>
  </si>
  <si>
    <t>PUAN NOR HASNI BT ABDULLAH HASHIM</t>
  </si>
  <si>
    <t>KAMPUNG KADOK TANJONG BESAR 27300 BENTA PAHANG  Sungai Lembing Pahang - my 27300</t>
  </si>
  <si>
    <t>N4A-LIP-29</t>
  </si>
  <si>
    <t>NVMY34535000006048</t>
  </si>
  <si>
    <t>MASERAH BT DAIMAN</t>
  </si>
  <si>
    <t>JB 8887 LORONG RIM 2 TAMAN RIM BARU 77000 JASIN MELAKA   Melaka my 77000</t>
  </si>
  <si>
    <t>NVMY34535000006051</t>
  </si>
  <si>
    <t>MIRATUL NAFIZA</t>
  </si>
  <si>
    <t>MADRASAH MUSTAFAWIYAH JALAN ISTANA KAMPUNG TANJUNG KAPOR JITRA KEDAH   Kedah my 06000</t>
  </si>
  <si>
    <t>NVMY34535000006023</t>
  </si>
  <si>
    <t>NIK RIDHWAN</t>
  </si>
  <si>
    <t>ARAS 1 BLOK UTAMA PEJABAT PERDANA MENTERI BANGUNAN PERDANA PUTRA JABATAN PERDANA MENTERI PRESINT 1,62502 PUTRAJAYA  Putrajaya - Putrajaya Putrajaya - my 62502</t>
  </si>
  <si>
    <t>NVMY34535000006063</t>
  </si>
  <si>
    <t>FAZILA BT OTHMAN</t>
  </si>
  <si>
    <t>H-2-4 KIP SEAFIELD JLN USJ6/1 47610 SUBANG JAYA SELANGOR  Subang Jaya Selangor - my 47610</t>
  </si>
  <si>
    <t>NVMY34535000006066</t>
  </si>
  <si>
    <t>NIK AINI BT OMAR</t>
  </si>
  <si>
    <t>PT 19070 KAMPUNGRAWAI JALAN BAROH POK BELUNG BUKIT PAYUNG 21400 KUALA TERENGGANU  Bukit Payong Terengganu - my 21400</t>
  </si>
  <si>
    <t>NVMY34535000005921</t>
  </si>
  <si>
    <t>SUNTI BINTI HJ NENG</t>
  </si>
  <si>
    <t>NO 113 B KAMPUNG TENGAH BELADIN 94950 PUSA SARAWAK  Bintulu Sarawak - my 94950</t>
  </si>
  <si>
    <t>NVMY34535000006057</t>
  </si>
  <si>
    <t>FIRDAUS BIN MD AKHIR</t>
  </si>
  <si>
    <t>D404 BLOK D DESA MUTIARA JALAN PJU 7/16B MUTIARA DAMANSARA 47820 PETALING JAYA SELANGOR   Selangor my 47820</t>
  </si>
  <si>
    <t>K10A-DAM-106</t>
  </si>
  <si>
    <t>NVMY34535000006042</t>
  </si>
  <si>
    <t>DYG SITI ZAEIMAH</t>
  </si>
  <si>
    <t>LOT 556 LORONG 6 JALAN CENTURY, SARIKEI 96100 SARAWAK  Roban Sarawak - my 96100</t>
  </si>
  <si>
    <t>NVMY34535000006064</t>
  </si>
  <si>
    <t>WAN AB SAIFULBAHRI BIN WAN AB RAHMAN</t>
  </si>
  <si>
    <t>NO 140 KAMPUNG LUBOK BONGOR, KUALA BALAH 17610 JELI KELANTAN (0105495803)   Kelantan my 17610</t>
  </si>
  <si>
    <t>E1A-RAI-7</t>
  </si>
  <si>
    <t>NVMY34535000006052</t>
  </si>
  <si>
    <t>MUHAMMAD SAIFUDDIN</t>
  </si>
  <si>
    <t>LOT 2330 JALAN PUSARA KANAN BATU 8 DALAM SIJANGKANG 42500 TELOK PANGLIMA GARANG SELANGOR  Telok Panglima Garang Selangor - my 42500</t>
  </si>
  <si>
    <t>K14-RBY-138</t>
  </si>
  <si>
    <t>NVMY34535000006062</t>
  </si>
  <si>
    <t>SYAZLIA ERIKA</t>
  </si>
  <si>
    <t>Villa Siswi Kolej Kemahiran Tinggi MARA Ledang Serom 4&amp;5 Jalan Sungai Mati Tangkak, Johor, 84410   Johor my 84410</t>
  </si>
  <si>
    <t>S8-GMR-78</t>
  </si>
  <si>
    <t>NVMY34535000006083</t>
  </si>
  <si>
    <t>NOR AZURA BT TAIB</t>
  </si>
  <si>
    <t>1755-b,jalan panji alam, 21100 k.tganu  Kuala Terengganu Terengganu - my 21100</t>
  </si>
  <si>
    <t>E2-PYG-17</t>
  </si>
  <si>
    <t>NVMY34535000006082</t>
  </si>
  <si>
    <t>Norazila Bt Yaso</t>
  </si>
  <si>
    <t>Kampung Kual Baru Geting,16200 Tumpat Kelantan  Tumpat Kelantan - my 16200</t>
  </si>
  <si>
    <t>E1-WKB-1</t>
  </si>
  <si>
    <t>NVMY34535000006074</t>
  </si>
  <si>
    <t>ALYA</t>
  </si>
  <si>
    <t>THE VERTICAL CORPORATE TOWER, TOWER B. BANGSAR SOUTH CITY, UOA 59200 KL  Kuala Lumpur Kuala Lumpur - my 59200</t>
  </si>
  <si>
    <t>K11-DSA-111</t>
  </si>
  <si>
    <t>NVMY34535000006068</t>
  </si>
  <si>
    <t>KEMENTERIAN KESEJAHTERAAN BANDAR PERUMAHAN DAN KERAJAAN TEMPATAN</t>
  </si>
  <si>
    <t>BAHAGIAN PEMBANGUNAN DAN PELAKSANAAN PROJEK CAWANGAN PENGURUSAN PROJEK NO 51 ARAS 5-9 PERSIARAN PERDANA PRESINT 4 PUSAT PENTADBIRAN KERAJAAN PERSEKUTUAN 62100 PUTRAJAYA (UP: EN. MOHD SHAHRIZAL BIN GHAZALI)  Putrajaya Putrajaya - my 62100</t>
  </si>
  <si>
    <t>NVMY34535000006069</t>
  </si>
  <si>
    <t>ATEE MOHD BASIR</t>
  </si>
  <si>
    <t>NO 6 JALAN SP 15 TAMAN SRI PUTRA 47000 SUNGAI BULOH SELANGOR   Selangor my 47000</t>
  </si>
  <si>
    <t>NVMY34535000006061</t>
  </si>
  <si>
    <t>NURUL NAZILA</t>
  </si>
  <si>
    <t>No 138 jln lampam 8 ,taman tanjung puteri resort,81700 pasir gudang,johor  Layang-Layang Johor - my 81700</t>
  </si>
  <si>
    <t>NVMY34535000006079</t>
  </si>
  <si>
    <t>AZLEENNA</t>
  </si>
  <si>
    <t>A-13-1, KIARA 1888 CONDOMINIUM, JALAN KIARA 3, 50480 MONT KIARA KUALA LUMPUR  Kuala Lumpur Kuala Lumpur - my 50480</t>
  </si>
  <si>
    <t>NVMY34535000006073</t>
  </si>
  <si>
    <t>MOHAMAD SIDEQ HAQIM BIN IBRAHIM</t>
  </si>
  <si>
    <t>NO 457 FELDA KERATONG 2, BANDAR TUN RAZAK, 26900, PAHANG, MALAYSIA   Pahang my 26900</t>
  </si>
  <si>
    <t>N4A-MSH-27</t>
  </si>
  <si>
    <t>NVMY34535000006078</t>
  </si>
  <si>
    <t>STARRYENERGY</t>
  </si>
  <si>
    <t>PUCHONG NO 2-1 (1ST FLOOR) JALAN MU 1/1D SEKSYEN 1 TAMAN PERINDUSTRIAN MERANTI UTAMA 47120 PUCHONG SELANGOR  Puchong Selangor - my 47120</t>
  </si>
  <si>
    <t>K11A-PUC-116</t>
  </si>
  <si>
    <t>NVMY34535000006075</t>
  </si>
  <si>
    <t>NUR FARAHIN BINTI RAMLI</t>
  </si>
  <si>
    <t>NO 28 JALAN TANJUNG SHAWAL 9C/KU3 TAMAN SRI KLANG 41400 KLANG SELANGOR  Klang Selangor - my 41400</t>
  </si>
  <si>
    <t>K14-RPG-143</t>
  </si>
  <si>
    <t>NVMY34535000006076</t>
  </si>
  <si>
    <t>PUAN FARIDAH BT SHAFII</t>
  </si>
  <si>
    <t>4, JALAN 1/3P, SEKSYEN 1, BANDAR BARU BANGI 43650 BANGI SELANGOR  Bandar Baru Bangi Selangor - my 43650</t>
  </si>
  <si>
    <t>NVMY34535000006080</t>
  </si>
  <si>
    <t>MISK WANY</t>
  </si>
  <si>
    <t>SD TIARA APARTMENT D3-209 JALAN DAMAR SD 15/6 BANDAR SRI DAMANSARA 52200 KUALA LUMPUR  Kuala Lumpur Kuala Lumpur - my 52200</t>
  </si>
  <si>
    <t>K11A-KEP-115</t>
  </si>
  <si>
    <t>NVMY34535000006071</t>
  </si>
  <si>
    <t>NURUL NADILAH BINTI MOHD REJAB</t>
  </si>
  <si>
    <t>NO 522-A MUKIM 8 TANAH LIAT 14000 BUKIT MERTAJAM PULAU PINANG   Pulau Pinang my 14000</t>
  </si>
  <si>
    <t>N5-BKM-47</t>
  </si>
  <si>
    <t>NVMY34535000006077</t>
  </si>
  <si>
    <t>EN SIBOL NAIM</t>
  </si>
  <si>
    <t>NO 33 JALAN SETIA 12/12, TAMAN SETIA INDAH 81100 JOHOR BAHRU JOHOR  Skudai Johor - my 81100</t>
  </si>
  <si>
    <t>NVMY34535000006070</t>
  </si>
  <si>
    <t>NurSyuhada Bt Hussin</t>
  </si>
  <si>
    <t>348 Jalan Baiduri 1, Taman Nilam Baiduri, 09000 Kulim Kedah  Lunas Kedah - my 09000</t>
  </si>
  <si>
    <t>NVMY34535000006072</t>
  </si>
  <si>
    <t>SITI NOORSUHANA</t>
  </si>
  <si>
    <t>NO 1 TEPI TAMAN SERI BELIMBING JALAN TANJUNG BENDAHARA 05300 ALOR SETAR KEDAH   Kedah my 05300</t>
  </si>
  <si>
    <t>NVMY34535000006095</t>
  </si>
  <si>
    <t>BANK PERTANIAN MALAYSIA BERHAD (AGROBANK)</t>
  </si>
  <si>
    <t>TRADE FINANCE DEPARTMENT SUITE 8.0 , 8TH FLOOR WISMA MARAN NO 28 MEDAN PASAR 50050 KUALA LUMPUR (ATTN : TRADE OPERATIONS SECTION)  Kuala Lumpur Kuala Lumpur - my 50050</t>
  </si>
  <si>
    <t>NVMY34535000006081</t>
  </si>
  <si>
    <t>AHLIM</t>
  </si>
  <si>
    <t>62, JALAN HASAN KAMPONG BENTONG KLUANG 86000 JOHOR  Kluang Johor - my 86000</t>
  </si>
  <si>
    <t>S8-KLU-76</t>
  </si>
  <si>
    <t>NVMY34535000006093</t>
  </si>
  <si>
    <t>NANA</t>
  </si>
  <si>
    <t>8-10 ARTE SUBANG WEST PERSIARAN OLAHRAGA SEKSYEN 13 SHAH ALAM 40100 SELANGOR  Shah Alam Selangor - my 40100</t>
  </si>
  <si>
    <t>NVMY34535000006096</t>
  </si>
  <si>
    <t>NUR AYUNI SYAHIRAH</t>
  </si>
  <si>
    <t>MASJID PUTRA, PUTRAJAYA PUSAT PENTADBIRAN KERAJAAN PERSEKUTUAN 62502 PUTRAJAYA  Putrajaya Putrajaya - my 62502</t>
  </si>
  <si>
    <t>NVMY34535000006085</t>
  </si>
  <si>
    <t>AZLINA MUHAMAD</t>
  </si>
  <si>
    <t>9683 AIR MELINTAS BESAR, 13300 TASEK GELUGOR PULAU PINANG  Gelugor Pulau Pinang - my 13300</t>
  </si>
  <si>
    <t>NVMY34535000006092</t>
  </si>
  <si>
    <t>SHAHIDA</t>
  </si>
  <si>
    <t>A2-G-2 AYER@8 COMPLEX JALAN P8G PRESINT 8 62250 PUTRAJAYA  Putrajaya Putrajaya - my 62250</t>
  </si>
  <si>
    <t>NVMY34535000006058</t>
  </si>
  <si>
    <t>IWA BUNDLE</t>
  </si>
  <si>
    <t>JC2525 JALAN LESTARI 1 TAMAN MERBAU LESTARI 77000 JASIN MELAKA   Melaka my 77000</t>
  </si>
  <si>
    <t>NVMY34535000006087</t>
  </si>
  <si>
    <t>NOR AZLINI BT ABD YAMID</t>
  </si>
  <si>
    <t>LOT 1002 KG CHAKAH DUA PALOH RAWA 18500 MACHANG KELANTAN   Kelantan my 18500</t>
  </si>
  <si>
    <t>NVMY34535000006084</t>
  </si>
  <si>
    <t>NORWATIE BINTI ABU BAKAR</t>
  </si>
  <si>
    <t>NO 36,JALAN PI 15/5,BANDAR PUTERA INDAH,TONGKANG PECHAH,83010 BATU PAHAT,JOHOR  Batu Pahat Johor - my 83010</t>
  </si>
  <si>
    <t>S8-BPT-80</t>
  </si>
  <si>
    <t>NVMY34535000006101</t>
  </si>
  <si>
    <t>PUAN HALIMAH BT ABD RAHMAN</t>
  </si>
  <si>
    <t>BLOCK C 80A KG MELAYU SRI KUNDANG 48050 RAWANG SELANGOR   Selangor my 48050</t>
  </si>
  <si>
    <t>NVMY34535000006109</t>
  </si>
  <si>
    <t>NUREE ABDULLAH</t>
  </si>
  <si>
    <t>MEE CELUP WANGSA GERAI TEPI JALAN WANGSA MELAWATI 3 WANGSA MELAWATI 53300 WILAYAH PERSEKUTUAN KUALA LUMPUR  Kuala Lumpur Kuala Lumpur - my 53300</t>
  </si>
  <si>
    <t>NVMY34535000006089</t>
  </si>
  <si>
    <t>YAACOB BIN AWANG</t>
  </si>
  <si>
    <t>NO 2 JLN KALOI TMN INDAH JAYA 3 86000 KLUANG JOHOR   Johor my 86000</t>
  </si>
  <si>
    <t>NVMY34535000006098</t>
  </si>
  <si>
    <t>SITI FATIMAH BT ABDULLAH</t>
  </si>
  <si>
    <t>NO 116 JALAN T/C2 TAMAN CAHAYA 27200 KUALA LIPIS PAHANG   Pahang my 27200</t>
  </si>
  <si>
    <t>NVMY34535000006102</t>
  </si>
  <si>
    <t>SHAH</t>
  </si>
  <si>
    <t>LOT 02-G &amp; 03-G MENARA SYMPHONY 5 JALAN PROFESSOR KHOO KAY KIM SEKYEN 13 46200 PETALING JAYA SELANGOR  Petaling Jaya Selangor - my 46200</t>
  </si>
  <si>
    <t>K11A-PJY-114</t>
  </si>
  <si>
    <t>NVMY34535000006090</t>
  </si>
  <si>
    <t>SITI ASIAH BINTI IBRAHIM</t>
  </si>
  <si>
    <t>HADAPAN PONDOK POLIS KAMPUNG GULAU 08210 SIK KEDAH   Kedah my 08210</t>
  </si>
  <si>
    <t>E3A-BAL-39</t>
  </si>
  <si>
    <t>NVMY34535000006106</t>
  </si>
  <si>
    <t>CIK NOR ANIS NADIA</t>
  </si>
  <si>
    <t>NO 12-22 RESIDENSI MEDAN, JLN PJS 3/54, PJS 3, 46000 PETALING JAYA SELANGOR  Petaling Jaya Selangor - my 46000</t>
  </si>
  <si>
    <t>K10-SUN-97</t>
  </si>
  <si>
    <t>NVMY34535000006091</t>
  </si>
  <si>
    <t>REJOL LAMUDIN</t>
  </si>
  <si>
    <t>WINAWANG SDN BHD LOT 5-2 2ND FLOOR LINTAS PLAZA 88300 KOTA KINABALU SABAH  Penampang Sabah - my 88300</t>
  </si>
  <si>
    <t>NVMY34535000006088</t>
  </si>
  <si>
    <t>ELEENA BINTI JAIHAN</t>
  </si>
  <si>
    <t>POS 255 MUKIM 2 BAGAN KG PARIT MOIN 2 MUKIM 2 BAGAN 83000 BATU PAHAT JOHOR   Johor my 83000</t>
  </si>
  <si>
    <t>NVMY34535000006103</t>
  </si>
  <si>
    <t>KHAIRUL</t>
  </si>
  <si>
    <t>15-1 D'BAYU COMPLEX JALAN SERAMBI U8/24 BUKIT JELUTONG SHAH ALAM SELANGOR  Shah Alam Selangor - my 40150</t>
  </si>
  <si>
    <t>NVMY34535000006108</t>
  </si>
  <si>
    <t>HUSIN BIN HJ OMAR</t>
  </si>
  <si>
    <t>NO E.G.03 JLN TBK 1/10 PANGSAPURI MELUR TMN BKT KINRARA 47180 PUCHONG SELANGOR  Puchong Selangor - my 47180</t>
  </si>
  <si>
    <t>NVMY34535000006105</t>
  </si>
  <si>
    <t>ZAIFAZLINA ZAKARIA</t>
  </si>
  <si>
    <t>NO 33 KG WAKAF RAJA , 16800 PASIR PUTIH,KELANTAN  Pasir Puteh Kelantan - my 16800</t>
  </si>
  <si>
    <t>E1A-PTH-8</t>
  </si>
  <si>
    <t>NVMY34535000006094</t>
  </si>
  <si>
    <t>AINA</t>
  </si>
  <si>
    <t>NO 29 LORONG TOK HAJI DIEN KG GELONG MUKIM GELONG 06000 JITRA KEDAH   Kedah my 06000</t>
  </si>
  <si>
    <t>NVMY34535000006100</t>
  </si>
  <si>
    <t>CHE NONA BT YEOP ABD RAHMAN</t>
  </si>
  <si>
    <t>417C SIMPANG PULAI KG SUNGAI RAYA 31300 KG KEPAYANG PERAK  Kampung Kepayang Perak - my 31300</t>
  </si>
  <si>
    <t>N6-HLD-48</t>
  </si>
  <si>
    <t>NVMY34535000006104</t>
  </si>
  <si>
    <t>MUHAMMAD EIQBAL BIN MAT HUSAIN</t>
  </si>
  <si>
    <t>BAHAGIAN PENGURUSAN - PENTADBIRAN IPD CAMERON HIGHLAND BRICHANG 39100 PAHANG  Dong Pahang - my 39100</t>
  </si>
  <si>
    <t>NVMY34535000006086</t>
  </si>
  <si>
    <t>SAFIUDDIN BIN JULHI</t>
  </si>
  <si>
    <t>NO 37 LV5 IBRACO TOWN SQUARE JLN TUN AHMAD ZAIDI 97000 BINTULU SARAWAK   Sarawak my 97000</t>
  </si>
  <si>
    <t>NVMY34535000006110</t>
  </si>
  <si>
    <t>FIRMAN SHOP</t>
  </si>
  <si>
    <t>LOT6 1020 JALAN MASJID KG GONG PASIR , 22000 JERTEH ,TERENGGANU  Jerteh Terengganu - my 22000</t>
  </si>
  <si>
    <t>NVMY34535000006113</t>
  </si>
  <si>
    <t>Farhana Arissa</t>
  </si>
  <si>
    <t>smk bukit nenas, kampung tayor , 21500 setiu, terengganu  Sungai Tong Terengganu - my 21500</t>
  </si>
  <si>
    <t>NVMY34535000006111</t>
  </si>
  <si>
    <t>Naziroh Yahaya</t>
  </si>
  <si>
    <t>No 19.taman wawasan 06700 pendang kedah   Kedah my 06700</t>
  </si>
  <si>
    <t>E3A-PDG-38</t>
  </si>
  <si>
    <t>NVMY34535000006131</t>
  </si>
  <si>
    <t>Eija Sohami</t>
  </si>
  <si>
    <t>SURIA IXORA,B-02-18,JALAN SETIA PERDANA U13/28,SETIA ALAM,SEKSYEN U13,SHAH ALAM 40170, SELANGOR SETIA ALAM  Shah Alam Selangor - my 40170</t>
  </si>
  <si>
    <t>NVMY34535000006116</t>
  </si>
  <si>
    <t>CHOIZES CONCEPT STORE SDN BHD</t>
  </si>
  <si>
    <t>UNIT NO D6-3A-17 BANGUNAN PERDAGANGAN D6, SENTUL RAYA, 801 JLN SENTUL 51100 KUALA LUMPUR  Kuala Lumpur Kuala Lumpur - my 51100</t>
  </si>
  <si>
    <t>NVMY34535000006118</t>
  </si>
  <si>
    <t>Nurul Huda</t>
  </si>
  <si>
    <t>No 44 jalan sierra perdana 2/13taman sierra perdana 81750masai johor bahru  Iskandar Puteri Johor - my 81750</t>
  </si>
  <si>
    <t>NVMY34535000006099</t>
  </si>
  <si>
    <t>ZALAILA HASSAN</t>
  </si>
  <si>
    <t>69 SUASANA DAMAI BANDAR DARULAMAN 06000 JITRA KEDAH   Kedah my 06000</t>
  </si>
  <si>
    <t>NVMY34535000006128</t>
  </si>
  <si>
    <t>NOOR AZNIERA BINTI DAUD</t>
  </si>
  <si>
    <t>NO 3 VILLA D RUMAH KOPERASI FELDA KECHAU 01 27100 KUALA LIPIS PAHANG  Padang Tengku Pahang - my 27100</t>
  </si>
  <si>
    <t>NVMY34535000006112</t>
  </si>
  <si>
    <t>LUQMAN HAKIM</t>
  </si>
  <si>
    <t>33A-12 PANGSAPURI SERVIS MERITUS JALAN LAGUNA 1 PERAI PULAU PINANG  Perai Pulau Pinang - my 13700</t>
  </si>
  <si>
    <t>NVMY34535000006125</t>
  </si>
  <si>
    <t>EN.BIDIN BIN JUSOH</t>
  </si>
  <si>
    <t>LOT 8795 KG DUSUN MELINTANG 21200 KUALA TERENGGANU   Terengganu my 21200</t>
  </si>
  <si>
    <t>NVMY34535000006121</t>
  </si>
  <si>
    <t>LYNN AZLAN</t>
  </si>
  <si>
    <t>LOT 2537, BLOK G5 LORONG KENANGA, KM 28, 48050 RAWANG SELANGOR  Rawang Selangor - my 48050</t>
  </si>
  <si>
    <t>NVMY34535000006119</t>
  </si>
  <si>
    <t>Norfaidzah Binti Hussin</t>
  </si>
  <si>
    <t>C tingkat 3 no 01 apartment persiaran tanjung 81200 johor bahru  Layang-Layang Johor - my 81200</t>
  </si>
  <si>
    <t>NVMY34535000006043</t>
  </si>
  <si>
    <t>KOPERASI PEMBANGUNAN DESA RUMAH NO 2, 90107 BELURAN SABAH  Sabah Pamol Sabah - my 90107</t>
  </si>
  <si>
    <t>NVMY34535000006124</t>
  </si>
  <si>
    <t>PUAN HARLINA MOHD. ALI</t>
  </si>
  <si>
    <t>50 JALAN BUKIT PERMAI 2 TAMAN BUKIT PERMAI 56100 AMPANG SELANGOR  Kuala Lumpur Kuala Lumpur - my 56100</t>
  </si>
  <si>
    <t>NVMY34535000006117</t>
  </si>
  <si>
    <t>Wan Norfadilah Binti Wan Zulkifli</t>
  </si>
  <si>
    <t>No,239,Manjung Point Seksyen 1, 32040 Manjung Perak  Seri Manjong Perak - my 32040</t>
  </si>
  <si>
    <t>NVMY34535000006122</t>
  </si>
  <si>
    <t>NIK AZIZAH</t>
  </si>
  <si>
    <t>NO 32 TINGKAT 4 BLOCK TAMARA ASTARIA APARTMENT 68000 TAMAN KASAS AMPANG SELANGOR  Ampang Selangor - my 68000</t>
  </si>
  <si>
    <t>K10A-AMP-105</t>
  </si>
  <si>
    <t>NVMY34535000006123</t>
  </si>
  <si>
    <t>EN.JAAFAR BIN YUSOF</t>
  </si>
  <si>
    <t>406 BLOK D10 SEKSYEN 2 WANGSA MAJU 53300 KUALA LUMPUR WP KL  Kuala Lumpur Kuala Lumpur - my 53300</t>
  </si>
  <si>
    <t>NVMY34535000006120</t>
  </si>
  <si>
    <t>MOHD ZULKIFLI ISMAIL</t>
  </si>
  <si>
    <t>RUMAH BILAL 2 MASJID KG TELUK BAYU 22300 TERENGGANU  Bukit Payong Terengganu - my 22300</t>
  </si>
  <si>
    <t>NVMY34535000006115</t>
  </si>
  <si>
    <t>SAIYIDAH FADHILAH</t>
  </si>
  <si>
    <t>NO 226 LBOK 11 FELDA BUKIT DAMAR 28500 LANCHANG PAHANG  Dong Pahang - my 28500</t>
  </si>
  <si>
    <t>NVMY34535000006114</t>
  </si>
  <si>
    <t>RONAID CHIA</t>
  </si>
  <si>
    <t>BLOCK 28/12G JALAN LOKE YEW 55200 WP KUALA LUMPUR  Kuala Lumpur Kuala Lumpur - my 55200</t>
  </si>
  <si>
    <t>NVMY34535000006126</t>
  </si>
  <si>
    <t>FATIN AIMI</t>
  </si>
  <si>
    <t>VS-3-30 VISTA SAUJANA JLN WANGSA 2/6 TAMAN WANGSA PERMAI 52200 KUALA LUMPUR  Kuala Lumpur Kuala Lumpur - my 52200</t>
  </si>
  <si>
    <t>NVMY34535000006141</t>
  </si>
  <si>
    <t>CHE SOM IDRIS</t>
  </si>
  <si>
    <t>34 JALAN USJ 6/3A 47610 SUBANG JAYA SELANGOR  Subang Jaya Selangor - my 47610</t>
  </si>
  <si>
    <t>NVMY34535000006135</t>
  </si>
  <si>
    <t>Azli bin Mohamed</t>
  </si>
  <si>
    <t>130 blok B,lorong selayang Kampung baru nelayan 16200 Tumpat Kelantan  Tumpat Kelantan - my 16200</t>
  </si>
  <si>
    <t>NVMY34535000006145</t>
  </si>
  <si>
    <t>BANGKU SAYOR NO 37 38 PASAR BESAR CHUKAI 24000 KEMAMAN TERENGGANU  Ayer Puteh Terengganu - my 24000</t>
  </si>
  <si>
    <t>NVMY34535000006147</t>
  </si>
  <si>
    <t>NUR AYUNI</t>
  </si>
  <si>
    <t>LOT 20223 KAMPUNG BALAI MARAS KUALA  NERUS 2 KUALA NERUS TERENGGANU   Terengganu my 21030</t>
  </si>
  <si>
    <t>E2-GBK-11</t>
  </si>
  <si>
    <t>NVMY34535000006143</t>
  </si>
  <si>
    <t>FAIRUZ FAJILAH BTE FAUDZI</t>
  </si>
  <si>
    <t>NO 51 JLN KG.KOLAM JAYA 4,TAMAN KG.KOLAM JAYA 26800 KUALA ROMPIN PAHANG  Chini Pahang - my 26800</t>
  </si>
  <si>
    <t>NVMY34535000006129</t>
  </si>
  <si>
    <t>NIK NUR ASYIKIN</t>
  </si>
  <si>
    <t>NO 469 JALAN KENANGA 4 PERSIARAN AMAN JAYA 5 BANDAR AMAN JAYA SUNGAI PETANI KEDAH   Kedah my 08000</t>
  </si>
  <si>
    <t>NVMY34535000006140</t>
  </si>
  <si>
    <t>HAZRI ABD RAZAK</t>
  </si>
  <si>
    <t>A-01-01 TOWER A MARC SERVICE RESIDENCE NO 3 JLN PINANG 50450 KL  Kuala Lumpur Kuala Lumpur - my 50450</t>
  </si>
  <si>
    <t>K11-CKT-112</t>
  </si>
  <si>
    <t>NVMY34535000006139</t>
  </si>
  <si>
    <t>FAIZAH BT MAT AIL</t>
  </si>
  <si>
    <t>NO 10 PERUMHAN MESRA RAKYAT TAMAN SERI INTAN SUNGAI TONG SETIU TERENGGANU  Sungai Tong Terengganu - my 21500</t>
  </si>
  <si>
    <t>NVMY34535000006144</t>
  </si>
  <si>
    <t>Nor azirah binti rahadi</t>
  </si>
  <si>
    <t>Dh49 kampung kempadang  25350 kuantan pahang  Bukit Kuin Pahang - my 25350</t>
  </si>
  <si>
    <t>NVMY34535000006149</t>
  </si>
  <si>
    <t>Haizatul nurmariah binti Roslam</t>
  </si>
  <si>
    <t>1008, KAMPUNG FIKRI 22100 Setiu Terengganu  Permaisuri Terengganu - my 22100</t>
  </si>
  <si>
    <t>E2-STU-15</t>
  </si>
  <si>
    <t>NVMY34535000006150</t>
  </si>
  <si>
    <t>Nor Azlina Abdullah</t>
  </si>
  <si>
    <t>C-17-12 PPR KERINCHI Pantai Dalam , Bangsar 59200 KL  Kuala Lumpur Kuala Lumpur - my 59200</t>
  </si>
  <si>
    <t>NVMY34535000006130</t>
  </si>
  <si>
    <t>Norfarahin bt saiman</t>
  </si>
  <si>
    <t>T01-02, blok 32 jalan cendana 6, taman cendana pasir gudang 81700 johor bahru  Layang-Layang Johor - my 81700</t>
  </si>
  <si>
    <t>NVMY34535000006127</t>
  </si>
  <si>
    <t>NO 29 LORONG TOK HAJI DIEN KG GELONG MUKIM GELONG 06000 JITRA KEDAH  Changloon Kedah - my 06000</t>
  </si>
  <si>
    <t>NVMY34535000006151</t>
  </si>
  <si>
    <t>HARJIT SINGH A/L KAKA SINGH</t>
  </si>
  <si>
    <t>NO 83 TAMAN DESA PERMAI JALAN NANAS 5, 71650 TITI JELEBU NEGERI SEMBILAN  Bandar Enstek Negeri Sembilan - my 71650</t>
  </si>
  <si>
    <t>S9-BHU-82</t>
  </si>
  <si>
    <t>NVMY34535000006153</t>
  </si>
  <si>
    <t>UMI TASNEEM BT AMIR</t>
  </si>
  <si>
    <t>NO 12 LORONG 1/5 BANDAR BARU CHENDOR 26080 KUANTAN PAHANG  Bukit Kuin Pahang - my 26080</t>
  </si>
  <si>
    <t>PHG-PHG</t>
  </si>
  <si>
    <t>NVMY34535000006133</t>
  </si>
  <si>
    <t>WINDAH PERMATASARI</t>
  </si>
  <si>
    <t>23 JALAN HARMONI 4/4 TAMAN DESA HARMONI 81100 JOHOR  Skudai Johor - my 81100</t>
  </si>
  <si>
    <t>NVMY34535000006154</t>
  </si>
  <si>
    <t>KLINIK HAZCARE</t>
  </si>
  <si>
    <t>NO 3 TINGKAT BAWAH JALAN CHENGAL BARU 2 PUSAT PERNIAGAAN CHENGAL 28000 TEMERLOH PAHANG   Pahang my 28000</t>
  </si>
  <si>
    <t>NVMY34535000006137</t>
  </si>
  <si>
    <t>SITI SAZRINI BT MD SAKRI</t>
  </si>
  <si>
    <t>15717 JLN CAMAR 3 81000 BANDAR PUTRA KULAI JOHOR  Layang-Layang Johor - my 81000</t>
  </si>
  <si>
    <t>NVMY34535000006136</t>
  </si>
  <si>
    <t>AHMAD RADZI BIN CHE DAN</t>
  </si>
  <si>
    <t>F570 SUNGAI RAWA SIMPANG LIMA PARIT BUNTAR 34200 PERAK  Parit Buntar Perak - my 34200</t>
  </si>
  <si>
    <t>NVMY34535000006138</t>
  </si>
  <si>
    <t>JUHAIDA BT AHMAD</t>
  </si>
  <si>
    <t>B-32 BANDAR SERI BANDI KEMAMAN TERENGGANU   Terengganu my 24200</t>
  </si>
  <si>
    <t>NVMY34535000006156</t>
  </si>
  <si>
    <t>CHE MOHD KAMARUL ZAMAN</t>
  </si>
  <si>
    <t>NO 50 RKT KESEDAR LEBIR 01 18300 GUA MUSANG KELANTAN  Pulai Chondong Kelantan - my 18300</t>
  </si>
  <si>
    <t>NVMY34535000006142</t>
  </si>
  <si>
    <t>Suziena binti Omar wahat</t>
  </si>
  <si>
    <t>Flat jabatan kerja Raya putatan, Block D ,tingkat 2 no14, 88200 kota kinabalu sabah  Pamol Sabah - my 88200</t>
  </si>
  <si>
    <t>NVMY34535000006170</t>
  </si>
  <si>
    <t>KATHERINE LOW</t>
  </si>
  <si>
    <t>2 JALAN SRI KENARI 8 TAMAN SRI KENARI 43000 KAJANG SELANGOR  Kajang Selangor - my 43000</t>
  </si>
  <si>
    <t>NVMY34535000006148</t>
  </si>
  <si>
    <t>9683 AIR MELINTAS BESAR, 13300 TASEK GELUGOR PULAU PINANG  Tasek Gelugor Pulau Pinang - my 13300</t>
  </si>
  <si>
    <t>NVMY34535000006172</t>
  </si>
  <si>
    <t>ILAZILL</t>
  </si>
  <si>
    <t>PERDANA PARKCITY SB C-3-1 (BASEMENT 1)NO 3 JLN INTISARI PERDANA DESA PARKCITY 52200 KL  Kuala Lumpur Kuala Lumpur - my 52200</t>
  </si>
  <si>
    <t>NVMY34535000006158</t>
  </si>
  <si>
    <t>ROSNANI BT MOHAMED</t>
  </si>
  <si>
    <t>Sekolah Kebangsaan Kuala Ayok, 27660 Raub Pahang  Sega Pahang - my 27660</t>
  </si>
  <si>
    <t>NVMY34535000006146</t>
  </si>
  <si>
    <t>NVMY34535000006134</t>
  </si>
  <si>
    <t>ROSHAZLINA BINTI YUSOFF</t>
  </si>
  <si>
    <t>NO 6 LOT 1567 A DEPAN IKS PARIT DAUN, PARIT RAJA 86400 BATU PAHAT JOHOR  Pagoh Johor - my 86400</t>
  </si>
  <si>
    <t>S8-HTM-81</t>
  </si>
  <si>
    <t>NVMY34535000006155</t>
  </si>
  <si>
    <t>AKADEMI BINAAN MALAYSIA</t>
  </si>
  <si>
    <t>PETI SEBUTHARGA PEJABAT PENTADBIRAN AKADEMI BINAAN MALAYSIA WILAYAH TIMUR JENAGOR 21700 KUALA BERANG TERENGGANU   Terengganu my 21700</t>
  </si>
  <si>
    <t>TGG-TGG</t>
  </si>
  <si>
    <t>NVMY34535000006171</t>
  </si>
  <si>
    <t>ASFARINA BT ISHAK</t>
  </si>
  <si>
    <t>9-0-1 PERUMAHAN POLIS DESA TASIK, JALAN 2A/146 DESA TASIK,SUNGAI BESI KUALA LUMPUR  Kuala Lumpur Kuala Lumpur - my 57000</t>
  </si>
  <si>
    <t>NVMY34535000006169</t>
  </si>
  <si>
    <t>NOR SHAFIKA BINTI SAFRIZIN</t>
  </si>
  <si>
    <t>BATU 22 1/2 KG AIR HITAM PANTAI TANJUNG BIDARA 78300 MASJID TANAH MELAKA   Melaka my 78300</t>
  </si>
  <si>
    <t>NVMY34535000006161</t>
  </si>
  <si>
    <t>RABIHAH AHMAD</t>
  </si>
  <si>
    <t>JABATAN INSOLVENSI CAW. TEMERLOH TINGKAT 4 BANGUNAN TABUNG HAJI 28400 TEMERLOH. PAHANG  Pahang  Pahang my 28400</t>
  </si>
  <si>
    <t>NVMY34535000006165</t>
  </si>
  <si>
    <t>ASMAH BT HASHIM</t>
  </si>
  <si>
    <t>NO41. TAMAN SEROJA 28700 BENTONG PAHANG DARUL MAKMUR   Pahang my 28700</t>
  </si>
  <si>
    <t>K14A-BEN-146</t>
  </si>
  <si>
    <t>NVMY34535000006166</t>
  </si>
  <si>
    <t>Siti Norlizawati rahman</t>
  </si>
  <si>
    <t>No. 1613-2A,  Kuarters Rumah Guru SMK Hutan Melintang, 36400 Hutan Melintang Perak   Perak my 36400</t>
  </si>
  <si>
    <t>NVMY34535000006152</t>
  </si>
  <si>
    <t>HANA ARALYNN</t>
  </si>
  <si>
    <t>NO 26 JALAN PUTRA HEIGHTS 26 BANDAR BARU PUTRA HEIGHTS 02600 ARAU PERLIS   Perak my 02600</t>
  </si>
  <si>
    <t>NVMY34535000006175</t>
  </si>
  <si>
    <t>TUAN ZAINAF</t>
  </si>
  <si>
    <t>NO 1, JLN JERAM 3, 8/22C, SEKSYEN 8, 40000 SHAH ALAM SELANGOR  Shah Alam Selangor - my 40000</t>
  </si>
  <si>
    <t>K10A-SHA-104</t>
  </si>
  <si>
    <t>NVMY34535000006162</t>
  </si>
  <si>
    <t>HELMISYAH AHMAD JALALUDIN</t>
  </si>
  <si>
    <t>A RUMAH BERKEMBAR KAWASAN PERUMAHAN KAMPUNG TALANG JALAN JERANGAU-JABOR 23200 BUKIT BESI DUNGUN TERENGGANU  Terengganu Bukit Besi Terengganu - my 23200</t>
  </si>
  <si>
    <t>E2-DGN-16</t>
  </si>
  <si>
    <t>NVMY34535000006157</t>
  </si>
  <si>
    <t>LEEN</t>
  </si>
  <si>
    <t>W15-08 AXIS RESIDENCE JALAN CEMPAKA TAMAN CEMPAKA 68000 AMPANG SELANGOR  Ampang Selangor - my 68000</t>
  </si>
  <si>
    <t>NVMY34535000006167</t>
  </si>
  <si>
    <t>NUR FADHLIANA BINTI KOSNIN</t>
  </si>
  <si>
    <t>LOT 70 JALAN MASJID RANCANGAN TANAH BELIA BUKIT CHANGGANG 42700 BANTING SELANGOR  Telok Panglima Garang Selangor - my 42700</t>
  </si>
  <si>
    <t>NVMY34535000006168</t>
  </si>
  <si>
    <t>NUR ASHIKIN BINTI MD ZAIB</t>
  </si>
  <si>
    <t>11/5 JALAN 1 LEMBAH JAYA UTARA 68000 AMPANG SELANGOR  Ampang Selangor - my 68000</t>
  </si>
  <si>
    <t>NVMY34535000006132</t>
  </si>
  <si>
    <t>KYYEE KIM YAN</t>
  </si>
  <si>
    <t>BIN BIN AUTO PARTS MDLD 2337 LOT 13 DAM INDUSTRIAL CENTRE KM 1 JALAN TENGAH NIPAH 91100 LAHAD DATU SABAH  Pamol Sabah - my 91100</t>
  </si>
  <si>
    <t>NVMY34535000006163</t>
  </si>
  <si>
    <t>Farhana adila bt sahak</t>
  </si>
  <si>
    <t>589-1,Jalan dang merdu, Jambatan duyung, 75460 melaka.   Melaka my 75460</t>
  </si>
  <si>
    <t>S9A-PIA-92</t>
  </si>
  <si>
    <t>NVMY34535000006159</t>
  </si>
  <si>
    <t>HALIMATUS SAADIAH BINTI SUDIRMAN</t>
  </si>
  <si>
    <t>NO 80 JALAN TAMAN GOMBAK, TAMAN GOMBAK, 68100 BATU CAVES, SELANGOR   Selangor my 68100</t>
  </si>
  <si>
    <t>NVMY34535000006176</t>
  </si>
  <si>
    <t>CEX MALACCA</t>
  </si>
  <si>
    <t>NO 24 PS 1074 JALAN PEGOH BARU 5, RUMAH AWAM PULAU SEBANG 73000 TAMPING NEGERI SEMBILAN  Pusat Bandar Palong Negeri Sembilan - my 73000</t>
  </si>
  <si>
    <t>NVMY34535000006196</t>
  </si>
  <si>
    <t>SYURA WAHAB</t>
  </si>
  <si>
    <t>B1-3 APT MAWAR BANDAR BARU SENTUL 51000 SENTUL KL  Kuala Lumpur Kuala Lumpur - my 51000</t>
  </si>
  <si>
    <t>NVMY34535000006193</t>
  </si>
  <si>
    <t>PENGARAH PUSAT KOREKSIONAL DUNGUN</t>
  </si>
  <si>
    <t>23200 BUKIT BESI DUNGUN TERENGGANU (UP: URUSETIA)  Bukit Besi Terengganu - my 23200</t>
  </si>
  <si>
    <t>NVMY34535000006185</t>
  </si>
  <si>
    <t>NUR WAFA IWANA BINTI SAMSURI (FAA LEVEL 3A)</t>
  </si>
  <si>
    <t>DAYTHREE SERVICES LEVEL 3A TOWER 7 UOA BUSINESS PARK NO 1 JALAN PENGATURCARA U1/51A SEKSYEN U1 SHAH ALAM 40150 SELANGOR  Shah Alam Selangor - my 40150</t>
  </si>
  <si>
    <t>NVMY34535000006178</t>
  </si>
  <si>
    <t>565 TAMAN MERGONG JAYA FASA 1 06250 ALOR SETAR KEDAH  Pokok Sena Kedah - my 06250</t>
  </si>
  <si>
    <t>NVMY34535000006177</t>
  </si>
  <si>
    <t>PUTRI ABDUL HALIM</t>
  </si>
  <si>
    <t>NO 57, JALAN TAMING SARI, TAMAN TAMING JAYA 43300 SERI KEMBANGAN SELANGOR  Seri Kembangan Selangor - my 43300</t>
  </si>
  <si>
    <t>NVMY34535000006164</t>
  </si>
  <si>
    <t>AZILAH BINTI JOKARIAH</t>
  </si>
  <si>
    <t>No 6 jalan mutiara emas 10/7 Austin residence 81100 Johor bahru, johor   Johor my 81100</t>
  </si>
  <si>
    <t>NVMY34535000006173</t>
  </si>
  <si>
    <t>NABILA BINTI ABDUL TALIB</t>
  </si>
  <si>
    <t>DT 725 LORONG 15 TAMAN BUKIT TAMBUN PERDANA DURIAN TUNGGAL 76100 MELAKA  Kuala Sungai Baru Melaka - my 76100</t>
  </si>
  <si>
    <t>NVMY34535000006184</t>
  </si>
  <si>
    <t>FARIDAH YASMIN</t>
  </si>
  <si>
    <t>NO 2A-1 AWANA SERI MEWAH JLN 2/6C TAMAN SERI MEWAH 43000 KAJANG SELANGOR  Kajang Selangor - my 43000</t>
  </si>
  <si>
    <t>NVMY34535000006174</t>
  </si>
  <si>
    <t>BTK INTEGRATED TRANSPORT SDN BHD</t>
  </si>
  <si>
    <t>LOT 1030 &amp; 1070, JALAN KUALA KANGSAR 34700 SIMPANG TAIPING, PERAK DARUL RIDZUAN  Simpang Perak - my 34700</t>
  </si>
  <si>
    <t>NVMY34535000006183</t>
  </si>
  <si>
    <t>MOHD SYAZWAN BIN MOHD AZMI</t>
  </si>
  <si>
    <t>BATU 7 TANJONG KARANG 45500 SELANGOR  Tanjong Karang Selangor - my 45500</t>
  </si>
  <si>
    <t>NVMY34535000006179</t>
  </si>
  <si>
    <t>AMIN</t>
  </si>
  <si>
    <t>20, JALAN MELAWIS 1 TAMAN MELAWIS, HANG TUAH JAYA 75450 AYER KEROH MELAKA  Bemban Melaka - my 75450</t>
  </si>
  <si>
    <t>NVMY34535000006187</t>
  </si>
  <si>
    <t>1 &amp; 3 JALAN TPP 6/8 TAMAN PERINDUSTRIAN PUCHONG 47100 SELANGOR  Telok Panglima Garang Selangor - my 47100</t>
  </si>
  <si>
    <t>NVMY34535000006191</t>
  </si>
  <si>
    <t>SITI ESAH</t>
  </si>
  <si>
    <t>LOT 410 KG KEDONDONG KOTA JEMBAL 16150 KOTA BHARU KELANTAN  Wakaf Bharu Kelantan - my 16150</t>
  </si>
  <si>
    <t>NVMY34535000006180</t>
  </si>
  <si>
    <t>ROSLAN BIN FAMRI</t>
  </si>
  <si>
    <t>NO 27 LOT 2105 LORONG 8, KG TENGAH TAMBAHAN KM10, GOMBAK   Hulu Langat Kuala Lumpur - my 53100</t>
  </si>
  <si>
    <t>NVMY34535000006192</t>
  </si>
  <si>
    <t>EN.RUSDI B. SHAARI</t>
  </si>
  <si>
    <t>NO 1118 JALAN IXORA LORONG 1 KAMPUNG SEBERANG 96100 SARIKEI SARAWAK  Kota Samarahan Sarawak - my 96100</t>
  </si>
  <si>
    <t>NVMY34535000006194</t>
  </si>
  <si>
    <t>PENGARAH PENJARA PENOR</t>
  </si>
  <si>
    <t>PEJABAT URUSETIA PENJARA PENOR KM18 JALAN KUANTAN-PEKAN 25150 KUANTAN PAHANG  Bukit Kuin Pahang - my 25150</t>
  </si>
  <si>
    <t>NVMY34535000006195</t>
  </si>
  <si>
    <t>PENGARAH KOMPLEKS PENJARA BENTONG</t>
  </si>
  <si>
    <t>KOMPLEKS PENJARA BENTONG  MEMPAGA KARAK BENTONG PAHANG  Bukit Kuin Pahang - my 28600</t>
  </si>
  <si>
    <t>NVMY34535000006197</t>
  </si>
  <si>
    <t>NIK HASBOLLAH</t>
  </si>
  <si>
    <t>NIK IKAN BAKAR NO 1 MEDAN SELERA MASJID KAYANGAN BRINCHANG 39100 CAMERON HIGHLANDS PAHANG  Brinchang Pahang - my 39100</t>
  </si>
  <si>
    <t>N6-CMN-54</t>
  </si>
  <si>
    <t>NVMY34535000006198</t>
  </si>
  <si>
    <t>NVMY34535000006199</t>
  </si>
  <si>
    <t>NVMY34535000006188</t>
  </si>
  <si>
    <t>MOHD SYUKRI</t>
  </si>
  <si>
    <t>NO 2A KG KEMUNTING 09700 KARANGAN KEDAH   Kedah my 09700</t>
  </si>
  <si>
    <t>NVMY34535000006186</t>
  </si>
  <si>
    <t>NUR HANANI / FAHMI YUSOF</t>
  </si>
  <si>
    <t>NO 310 JLN TS 5 TMN SAGA 28700 BENTONG PAHANG   Lurah Bilut Pahang - my 28700</t>
  </si>
  <si>
    <t>NVMY34535000006181</t>
  </si>
  <si>
    <t>MOHD JUZAILI BIN MOHAMOOD</t>
  </si>
  <si>
    <t>KLINIK DESA BATU 4, JALAN FELCRA 86600 KLUANG PALOH JOHOR  Paloh Johor - my 86600</t>
  </si>
  <si>
    <t>NVMY34535000006182</t>
  </si>
  <si>
    <t>NUR ATIKAH BINTI ROSIDI</t>
  </si>
  <si>
    <t>20 TAMAN SERI JITRA 06000 KEDAH DARUL AMAN  Kodiang Kedah - my 06000</t>
  </si>
  <si>
    <t>NVMY34535000006189</t>
  </si>
  <si>
    <t>EFFENDY BIN KAMIS</t>
  </si>
  <si>
    <t>NO 86 JLN PULAI 50 TAMAN PULAI UTAMA JOHOR BAHRU 81300 JOHOR   Johor my 81300</t>
  </si>
  <si>
    <t>S7-NSJ-65</t>
  </si>
  <si>
    <t>NVMY34535000006160</t>
  </si>
  <si>
    <t>Norsyarmila bt Abd Rahim</t>
  </si>
  <si>
    <t>D05 Perumahan Kastam Batu Asah, 07000, Kuah, Langkawi, kedah   Kedah my 07000</t>
  </si>
  <si>
    <t>NVMY34535000006204</t>
  </si>
  <si>
    <t>FALAH NEPHROCARE SDN BHD</t>
  </si>
  <si>
    <t>K1-G EXCELLA BUSSINESS PARK JALAN AMPANG PUTRA TAMAN AMPANG HILIR 55100 KUALA LUMPUR  Kuala Lumpur Kuala Lumpur - my 55100</t>
  </si>
  <si>
    <t>NVMY34535000006201</t>
  </si>
  <si>
    <t>NVMY34535000006190</t>
  </si>
  <si>
    <t>SHERLYN</t>
  </si>
  <si>
    <t>OCCAMAX ALUMINIUM &amp; ACCESSORY TRD S/B 19 JALAN OS 1/1 ONE SELAYANG 68100 BATU CAVES SELANGOR  Selangor - Batu Caves Selangor - my 68100</t>
  </si>
  <si>
    <t>K12-SLG-122</t>
  </si>
  <si>
    <t>NVMY34535000006366</t>
  </si>
  <si>
    <t>AB HAMID BIN MAT ARIF</t>
  </si>
  <si>
    <t>1113C JALAN MASJID TEBUK PULAI 45200 SABAK BERNAM SELANGOR  Sabak Bernam Selangor - my 45200</t>
  </si>
  <si>
    <t>NVMY34535000006364</t>
  </si>
  <si>
    <t>RAMLAN MANAGEMENT &amp; SERVICES</t>
  </si>
  <si>
    <t>NO 32-A SUITE 1 JALAN CEMPAKA 1 TAMAN SERI CEMPAKA 75400 PERINGGIT MELAKA  Melaka Melaka - my 75400</t>
  </si>
  <si>
    <t>NVMY34535000006369</t>
  </si>
  <si>
    <t>AYU JAMALUDIN</t>
  </si>
  <si>
    <t>NO 28 JALAN TASIK SENANGIN 16/3, BANDAR TASIK SENANGIN 71750 LENGGENG NEGERI SEMBILAN  Mantin Negeri Sembilan - my 71750</t>
  </si>
  <si>
    <t>NVMY34535000006371</t>
  </si>
  <si>
    <t>WAN NOR AKHLILI BINTI WAN MOHD AZLY</t>
  </si>
  <si>
    <t>LOT 42 KAMPUNG  BELUKAR BUKIT MARAK 16150 KOTA BHARU KELANTAN  Kota Bharu Kelantan - my 16150</t>
  </si>
  <si>
    <t>NVMY34535000006370</t>
  </si>
  <si>
    <t>BTK INTEGRATED TRANSPORT SDN BHD (ATTN: MISS SIEW)</t>
  </si>
  <si>
    <t>LOT 1030 &amp; 1070 JALAN KUALA KANGSAR 34700 SIMPANG TAIPING PERAK  Simpang Perak - my 34700</t>
  </si>
  <si>
    <t>NVMY34535000006374</t>
  </si>
  <si>
    <t>ROSTIJOY</t>
  </si>
  <si>
    <t>SALAM NOODLES 43 JALAN WARISAN MEGAH 1/5 KOTA WARISAN SEPANG 43900 SELANGOR (RUMAH ATAS KEDAI SALAM NOODLES TINGKAT 2 PINTU KIRI)  Sepang Selangor - my 43900</t>
  </si>
  <si>
    <t>NVMY34535000006367</t>
  </si>
  <si>
    <t>LYDIA OOI</t>
  </si>
  <si>
    <t>16 JALAN PUTRA PERMAI 10/3F PUTRA HEIGHTS 47650 SUBANG JAYA  Subang Jaya Selangor - my 47650</t>
  </si>
  <si>
    <t>K10-HGT-99</t>
  </si>
  <si>
    <t>NVMY34535000006373</t>
  </si>
  <si>
    <t>MOHAMAD AMIRUL FADZLY BIN MOHAMAD RAZALI</t>
  </si>
  <si>
    <t>LADANG LEPAR UTARA 10 PETI SURAT 72 26400 BANDAR JENGKA PAHANG  Bandar Pusat Jengka Pahang - my 26400</t>
  </si>
  <si>
    <t>NVMY34535000006365</t>
  </si>
  <si>
    <t>YEONG MEE PING</t>
  </si>
  <si>
    <t>NO 193 LOT 1384 LORONG 6 JALAN SENTEBU TAMAN SUSUR JAMBU 96100 SARIKEI SARAWAK   Sarawak my 96100</t>
  </si>
  <si>
    <t>NVMY34535000006376</t>
  </si>
  <si>
    <t>IKIN</t>
  </si>
  <si>
    <t>22 JALAN SUBANG 5 TAMAN KOBENA 81200 JOHOR BAHRU JOHOR  Johor Bahru Johor - my 81200</t>
  </si>
  <si>
    <t>NVMY34535000006372</t>
  </si>
  <si>
    <t>AHMAD SYIMER</t>
  </si>
  <si>
    <t>MUDAH OPTICAL STORE LOT F-22B FIRST FLOOR LOTUS'S TAIPING LOT 38 JALAN ISTANA LAUT 34000 TAIPING PERAK  Taiping Perak - my 34000</t>
  </si>
  <si>
    <t>NVMY34535000006375</t>
  </si>
  <si>
    <t>DATO W M SABARUDDIN</t>
  </si>
  <si>
    <t>LOT 3054 LORONG HJ HASSAN KG IKM ALOR LINTANG 22200 KG RAJA BESUT TERENGGANU  Terengganu Kampung Raja Terengganu - my 22200</t>
  </si>
  <si>
    <t>NVMY34535000006379</t>
  </si>
  <si>
    <t>KTA TENAGA SDN BHD (ATTN: EN.IR NOOR HARIZAL BIN HUSSEIN)</t>
  </si>
  <si>
    <t>D1-21 JALAN PJU 1/41 DATARAN PRIMA KELANA JAYA 47301 PETALING JAYA SELANGOR  Petaling Jaya Selangor - my 47301</t>
  </si>
  <si>
    <t>NVMY34535000006380</t>
  </si>
  <si>
    <t>AHMAD ZAFRAN BIN HAFIZI</t>
  </si>
  <si>
    <t>K02-06-16 PANGSAPURI KARISMA JALAN ECO MAJESTIC 3A/5 ECO MAJESTIC 43500 SEMENYIH ULU LANGAT SELANGOR  Shah Alam Selangor - my 43500</t>
  </si>
  <si>
    <t>NVMY34535000006389</t>
  </si>
  <si>
    <t>MOHD ABD. RAHIM BIN KAMARI</t>
  </si>
  <si>
    <t>BALAI POLIS PUCHONG JAYA JALAN KENARI 11 BANDAR PUCHONG JAYA 47100 PUCHONG SELANGOR  Puchong Selangor - my 47100</t>
  </si>
  <si>
    <t>NVMY34535000006381</t>
  </si>
  <si>
    <t>NVMY34535000006393</t>
  </si>
  <si>
    <t>KISOHKUMAR A/L TAMILSELVAN</t>
  </si>
  <si>
    <t>NO 27 JLN ABDUL HAMID 3 TAMAN SENTOSA 41200 KLANG SELANGOR  Klang Selangor - my 41200</t>
  </si>
  <si>
    <t>K14-BTK-139</t>
  </si>
  <si>
    <t>NVMY34535000006401</t>
  </si>
  <si>
    <t>AMIRAH LIYANA MUHD AZUHAN</t>
  </si>
  <si>
    <t>BLOK 5A-T06-U04, JALAN NURI P9B, FASA 5, PRESINT 9, 62250 PUTRAJAYA  Putrajaya Putrajaya - my 62250</t>
  </si>
  <si>
    <t>NVMY34535000006400</t>
  </si>
  <si>
    <t>HASLIDA ISMAIL</t>
  </si>
  <si>
    <t>LOT 3080 KG PAK PURA BERIS KUBOR BESAR 16050 BACHOK KELANTAN  Bachok Kelantan - my 16050</t>
  </si>
  <si>
    <t>NVMY34535000006403</t>
  </si>
  <si>
    <t>MUHAMMAD MUSTAQIM BIN ZAINAL ARIFFIN</t>
  </si>
  <si>
    <t>MAYBANK TEMERLOH NO 73 JALAN AHMAD SHAH 1 BANDAR SRI SEMANTAN 28000 TEMERLOH PAHANG   Temerloh Pahang - my 28000</t>
  </si>
  <si>
    <t>NVMY34535000006388</t>
  </si>
  <si>
    <t>MOHD IKHRAM QAMAL IKHMAL BIN ZAINUDDIN</t>
  </si>
  <si>
    <t>10-2-10 KELUMPUK MELATI JLN 29/56 AMPANG 68000 WILAYAH PERSEKUTUAN KUALA LUMPUR  Ampang Selangor - my 68000</t>
  </si>
  <si>
    <t>NVMY34535000006397</t>
  </si>
  <si>
    <t>MD ARIS REZA BIN ISHAK</t>
  </si>
  <si>
    <t>BLOK D1 TINGKAT 4 UNIT 1 TAMAN MELATI SETAPAK 53100 KUALA LUMPUR  Kuala Lumpur Kuala Lumpur - my 53100</t>
  </si>
  <si>
    <t>NVMY34535000006396</t>
  </si>
  <si>
    <t>KPL MD. LAKHABIR BIN AHMAD</t>
  </si>
  <si>
    <t>NO 303 TINGKAT 3 BLOK ANGGERIK PERUMAHAN PDRM BUKIT PELINDUNG 26100 KUANTAN PAHANG  Kuantan Pahang - my 26100</t>
  </si>
  <si>
    <t>NVMY34535000006398</t>
  </si>
  <si>
    <t>MR KENI NG</t>
  </si>
  <si>
    <t>NO 1 JALAN ARUNA 2, TAMAN M ARUNA 48020 RAWANG SELANGOR  Rawang Selangor - my 48020</t>
  </si>
  <si>
    <t>NVMY34535000006377</t>
  </si>
  <si>
    <t>HELAL</t>
  </si>
  <si>
    <t>KWC FASHION MALL LEAVE 5 SHOP NO 24 KUALA LUMPUR  Kuala Lumpur Kuala Lumpur - my 55200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</si>
</sst>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0" fillId="2" borderId="0" xfId="0" applyFill="1"/>
    <xf numFmtId="0" fontId="0" fillId="3" borderId="0" xfId="0" applyFill="1"/>
    <xf numFmtId="22" fontId="0" fillId="0" borderId="0" xfId="0" applyNumberFormat="1"/>
    <xf numFmtId="14" fontId="0" fillId="0" borderId="0" xfId="0" applyNumberFormat="1"/>
    <xf numFmtId="43" fontId="4" fillId="4" borderId="0" xfId="0" applyNumberFormat="1" applyFont="1" applyFill="1"/>
    <xf numFmtId="43" fontId="0" fillId="6" borderId="0" xfId="0" applyNumberFormat="1" applyFill="1"/>
    <xf numFmtId="43" fontId="0" fillId="7" borderId="0" xfId="1" applyFont="1" applyFill="1" applyBorder="1" applyAlignment="1" applyProtection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3CB3B-080E-4893-ADC0-98E130FEA36E}">
  <dimension ref="A1:AH349"/>
  <sheetViews>
    <sheetView tabSelected="1" workbookViewId="0">
      <selection sqref="A1:AH347"/>
    </sheetView>
  </sheetViews>
  <sheetFormatPr defaultRowHeight="14.5" x14ac:dyDescent="0.35"/>
  <cols>
    <col min="1" max="34" width="9.08984375" customWidth="1"/>
  </cols>
  <sheetData>
    <row r="1" spans="1:34" ht="15" customHeight="1" x14ac:dyDescent="0.3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</row>
    <row r="2" spans="1:34" ht="15" customHeight="1" x14ac:dyDescent="0.35">
      <c r="A2">
        <v>7547676</v>
      </c>
      <c r="B2">
        <v>690929</v>
      </c>
      <c r="C2" t="s">
        <v>34</v>
      </c>
      <c r="D2" t="s">
        <v>35</v>
      </c>
      <c r="E2" s="6" t="s">
        <v>34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>
        <v>2</v>
      </c>
      <c r="L2" t="s">
        <v>41</v>
      </c>
      <c r="M2" t="s">
        <v>42</v>
      </c>
      <c r="N2" t="s">
        <v>43</v>
      </c>
      <c r="O2" s="7">
        <v>12</v>
      </c>
      <c r="P2" s="8">
        <v>45148.750497685185</v>
      </c>
      <c r="Q2" s="9">
        <v>45152</v>
      </c>
      <c r="R2" t="s">
        <v>37</v>
      </c>
      <c r="S2" t="s">
        <v>44</v>
      </c>
      <c r="T2" t="s">
        <v>45</v>
      </c>
      <c r="U2" t="s">
        <v>46</v>
      </c>
      <c r="V2" t="s">
        <v>47</v>
      </c>
      <c r="W2">
        <v>13200</v>
      </c>
      <c r="X2" t="s">
        <v>44</v>
      </c>
      <c r="Y2" t="s">
        <v>48</v>
      </c>
      <c r="Z2" t="s">
        <v>49</v>
      </c>
      <c r="AA2" s="10">
        <f>IF(O2&lt;=1,7,7+0.8*ROUNDUP(O2-1,0))</f>
        <v>15.8</v>
      </c>
      <c r="AB2" s="11">
        <v>0</v>
      </c>
      <c r="AC2" s="11">
        <v>0</v>
      </c>
      <c r="AD2" s="11">
        <v>0</v>
      </c>
      <c r="AE2" s="11">
        <v>0</v>
      </c>
      <c r="AF2" s="11">
        <f t="shared" ref="AF2:AF13" si="0">(AA2+AC2+AE2)*6%</f>
        <v>0.94799999999999995</v>
      </c>
      <c r="AG2" s="11">
        <f t="shared" ref="AG2:AG13" si="1">AA2+AC2+AE2+AF2</f>
        <v>16.748000000000001</v>
      </c>
      <c r="AH2" t="s">
        <v>50</v>
      </c>
    </row>
    <row r="3" spans="1:34" ht="15" customHeight="1" x14ac:dyDescent="0.35">
      <c r="A3">
        <v>7547676</v>
      </c>
      <c r="B3">
        <v>690929</v>
      </c>
      <c r="C3" t="s">
        <v>34</v>
      </c>
      <c r="D3" t="s">
        <v>35</v>
      </c>
      <c r="E3" s="6" t="s">
        <v>34</v>
      </c>
      <c r="F3" t="s">
        <v>51</v>
      </c>
      <c r="G3" t="s">
        <v>37</v>
      </c>
      <c r="H3" t="s">
        <v>38</v>
      </c>
      <c r="I3" t="s">
        <v>52</v>
      </c>
      <c r="J3" t="s">
        <v>40</v>
      </c>
      <c r="K3">
        <v>2</v>
      </c>
      <c r="L3" t="s">
        <v>41</v>
      </c>
      <c r="M3" t="s">
        <v>42</v>
      </c>
      <c r="N3" t="s">
        <v>43</v>
      </c>
      <c r="O3" s="7">
        <v>3</v>
      </c>
      <c r="P3" s="8">
        <v>45151.408622685187</v>
      </c>
      <c r="Q3" s="9">
        <v>45152</v>
      </c>
      <c r="R3" t="s">
        <v>37</v>
      </c>
      <c r="S3" t="s">
        <v>44</v>
      </c>
      <c r="T3" t="s">
        <v>53</v>
      </c>
      <c r="U3" t="s">
        <v>54</v>
      </c>
      <c r="V3" t="s">
        <v>55</v>
      </c>
      <c r="W3">
        <v>43000</v>
      </c>
      <c r="X3" t="s">
        <v>44</v>
      </c>
      <c r="Y3" t="s">
        <v>56</v>
      </c>
      <c r="Z3" t="s">
        <v>49</v>
      </c>
      <c r="AA3" s="10">
        <f>IF(O3&lt;=1,7,7+0.8*ROUNDUP(O3-1,0))</f>
        <v>8.6</v>
      </c>
      <c r="AB3" s="11">
        <v>0</v>
      </c>
      <c r="AC3" s="11">
        <v>0</v>
      </c>
      <c r="AD3" s="11">
        <v>0</v>
      </c>
      <c r="AE3" s="11">
        <v>0</v>
      </c>
      <c r="AF3" s="11">
        <f t="shared" si="0"/>
        <v>0.51600000000000001</v>
      </c>
      <c r="AG3" s="11">
        <f t="shared" si="1"/>
        <v>9.1159999999999997</v>
      </c>
      <c r="AH3" t="s">
        <v>50</v>
      </c>
    </row>
    <row r="4" spans="1:34" ht="15" customHeight="1" x14ac:dyDescent="0.35">
      <c r="A4">
        <v>7547676</v>
      </c>
      <c r="B4">
        <v>690929</v>
      </c>
      <c r="C4" t="s">
        <v>34</v>
      </c>
      <c r="D4" t="s">
        <v>35</v>
      </c>
      <c r="E4" s="6" t="s">
        <v>34</v>
      </c>
      <c r="F4" t="s">
        <v>57</v>
      </c>
      <c r="G4" t="s">
        <v>37</v>
      </c>
      <c r="H4" t="s">
        <v>38</v>
      </c>
      <c r="I4" t="s">
        <v>58</v>
      </c>
      <c r="J4" t="s">
        <v>40</v>
      </c>
      <c r="K4">
        <v>2</v>
      </c>
      <c r="L4" t="s">
        <v>41</v>
      </c>
      <c r="M4" t="s">
        <v>42</v>
      </c>
      <c r="N4" t="s">
        <v>43</v>
      </c>
      <c r="O4" s="7">
        <v>1</v>
      </c>
      <c r="P4" s="8">
        <v>45151.414861111109</v>
      </c>
      <c r="Q4" s="9">
        <v>45152</v>
      </c>
      <c r="R4" t="s">
        <v>37</v>
      </c>
      <c r="S4" t="s">
        <v>44</v>
      </c>
      <c r="T4" t="s">
        <v>53</v>
      </c>
      <c r="U4" t="s">
        <v>59</v>
      </c>
      <c r="V4" t="s">
        <v>60</v>
      </c>
      <c r="W4">
        <v>15400</v>
      </c>
      <c r="X4" t="s">
        <v>44</v>
      </c>
      <c r="Y4" t="s">
        <v>53</v>
      </c>
      <c r="Z4" t="s">
        <v>49</v>
      </c>
      <c r="AA4" s="10">
        <f>IF(O4&lt;=1,7,7+0.8*ROUNDUP(O4-1,0))</f>
        <v>7</v>
      </c>
      <c r="AB4" s="11">
        <v>0</v>
      </c>
      <c r="AC4" s="11">
        <v>0</v>
      </c>
      <c r="AD4" s="11">
        <v>0</v>
      </c>
      <c r="AE4" s="11">
        <v>0</v>
      </c>
      <c r="AF4" s="11">
        <f t="shared" si="0"/>
        <v>0.42</v>
      </c>
      <c r="AG4" s="11">
        <f t="shared" si="1"/>
        <v>7.42</v>
      </c>
      <c r="AH4" t="s">
        <v>50</v>
      </c>
    </row>
    <row r="5" spans="1:34" ht="15" customHeight="1" x14ac:dyDescent="0.35">
      <c r="A5">
        <v>7547676</v>
      </c>
      <c r="B5">
        <v>690929</v>
      </c>
      <c r="C5" t="s">
        <v>34</v>
      </c>
      <c r="D5" t="s">
        <v>35</v>
      </c>
      <c r="E5" s="6" t="s">
        <v>34</v>
      </c>
      <c r="F5" t="s">
        <v>61</v>
      </c>
      <c r="G5" t="s">
        <v>37</v>
      </c>
      <c r="H5" t="s">
        <v>38</v>
      </c>
      <c r="I5" t="s">
        <v>62</v>
      </c>
      <c r="J5" t="s">
        <v>40</v>
      </c>
      <c r="K5">
        <v>2</v>
      </c>
      <c r="L5" t="s">
        <v>41</v>
      </c>
      <c r="M5" t="s">
        <v>42</v>
      </c>
      <c r="N5" t="s">
        <v>43</v>
      </c>
      <c r="O5" s="7">
        <v>4</v>
      </c>
      <c r="P5" s="8">
        <v>45150.614525462966</v>
      </c>
      <c r="Q5" s="9">
        <v>45152</v>
      </c>
      <c r="R5" t="s">
        <v>37</v>
      </c>
      <c r="S5" t="s">
        <v>44</v>
      </c>
      <c r="T5" t="s">
        <v>53</v>
      </c>
      <c r="U5" t="s">
        <v>54</v>
      </c>
      <c r="V5" t="s">
        <v>63</v>
      </c>
      <c r="W5">
        <v>68100</v>
      </c>
      <c r="X5" t="s">
        <v>44</v>
      </c>
      <c r="Y5" t="s">
        <v>64</v>
      </c>
      <c r="Z5" t="s">
        <v>49</v>
      </c>
      <c r="AA5" s="10">
        <f>IF(O5&lt;=1,7,7+0.8*ROUNDUP(O5-1,0))</f>
        <v>9.4</v>
      </c>
      <c r="AB5" s="11">
        <v>0</v>
      </c>
      <c r="AC5" s="11">
        <v>0</v>
      </c>
      <c r="AD5" s="11">
        <v>0</v>
      </c>
      <c r="AE5" s="11">
        <v>0</v>
      </c>
      <c r="AF5" s="11">
        <f t="shared" si="0"/>
        <v>0.56399999999999995</v>
      </c>
      <c r="AG5" s="11">
        <f t="shared" si="1"/>
        <v>9.9640000000000004</v>
      </c>
      <c r="AH5" t="s">
        <v>50</v>
      </c>
    </row>
    <row r="6" spans="1:34" ht="15" customHeight="1" x14ac:dyDescent="0.35">
      <c r="A6">
        <v>7547676</v>
      </c>
      <c r="B6">
        <v>690929</v>
      </c>
      <c r="C6" t="s">
        <v>34</v>
      </c>
      <c r="D6" t="s">
        <v>35</v>
      </c>
      <c r="E6" s="6" t="s">
        <v>34</v>
      </c>
      <c r="F6" t="s">
        <v>65</v>
      </c>
      <c r="G6" t="s">
        <v>37</v>
      </c>
      <c r="H6" t="s">
        <v>38</v>
      </c>
      <c r="I6" t="s">
        <v>66</v>
      </c>
      <c r="J6" t="s">
        <v>40</v>
      </c>
      <c r="K6">
        <v>2</v>
      </c>
      <c r="L6" t="s">
        <v>41</v>
      </c>
      <c r="M6" t="s">
        <v>42</v>
      </c>
      <c r="N6" t="s">
        <v>43</v>
      </c>
      <c r="O6" s="7">
        <v>7</v>
      </c>
      <c r="P6" s="8">
        <v>45152.599398148152</v>
      </c>
      <c r="Q6" s="9">
        <v>45153</v>
      </c>
      <c r="R6" t="s">
        <v>37</v>
      </c>
      <c r="S6" t="s">
        <v>44</v>
      </c>
      <c r="T6" t="s">
        <v>45</v>
      </c>
      <c r="U6" t="s">
        <v>67</v>
      </c>
      <c r="V6" t="s">
        <v>68</v>
      </c>
      <c r="W6">
        <v>26600</v>
      </c>
      <c r="X6" t="s">
        <v>44</v>
      </c>
      <c r="Y6" t="s">
        <v>69</v>
      </c>
      <c r="Z6" t="s">
        <v>49</v>
      </c>
      <c r="AA6" s="10">
        <f>IF(O6&lt;=1,7,7+0.8*ROUNDUP(O6-1,0))</f>
        <v>11.8</v>
      </c>
      <c r="AB6" s="11">
        <v>0</v>
      </c>
      <c r="AC6" s="11">
        <v>0</v>
      </c>
      <c r="AD6" s="11">
        <v>0</v>
      </c>
      <c r="AE6" s="11">
        <v>0</v>
      </c>
      <c r="AF6" s="11">
        <f t="shared" si="0"/>
        <v>0.70799999999999996</v>
      </c>
      <c r="AG6" s="11">
        <f t="shared" si="1"/>
        <v>12.508000000000001</v>
      </c>
      <c r="AH6" t="s">
        <v>50</v>
      </c>
    </row>
    <row r="7" spans="1:34" ht="15" customHeight="1" x14ac:dyDescent="0.35">
      <c r="A7">
        <v>7547676</v>
      </c>
      <c r="B7">
        <v>690929</v>
      </c>
      <c r="C7" t="s">
        <v>34</v>
      </c>
      <c r="D7" t="s">
        <v>35</v>
      </c>
      <c r="E7" s="6" t="s">
        <v>34</v>
      </c>
      <c r="F7" t="s">
        <v>70</v>
      </c>
      <c r="G7" t="s">
        <v>37</v>
      </c>
      <c r="H7" t="s">
        <v>38</v>
      </c>
      <c r="I7" t="s">
        <v>71</v>
      </c>
      <c r="J7" t="s">
        <v>40</v>
      </c>
      <c r="K7">
        <v>2</v>
      </c>
      <c r="L7" t="s">
        <v>41</v>
      </c>
      <c r="M7" t="s">
        <v>42</v>
      </c>
      <c r="N7" t="s">
        <v>43</v>
      </c>
      <c r="O7" s="7">
        <v>6</v>
      </c>
      <c r="P7" s="8">
        <v>45152.394386574073</v>
      </c>
      <c r="Q7" s="9">
        <v>45153</v>
      </c>
      <c r="R7" t="s">
        <v>37</v>
      </c>
      <c r="S7" t="s">
        <v>44</v>
      </c>
      <c r="T7" t="s">
        <v>45</v>
      </c>
      <c r="U7" t="s">
        <v>72</v>
      </c>
      <c r="V7" t="s">
        <v>73</v>
      </c>
      <c r="W7">
        <v>22000</v>
      </c>
      <c r="X7" t="s">
        <v>44</v>
      </c>
      <c r="Y7" t="s">
        <v>74</v>
      </c>
      <c r="Z7" t="s">
        <v>49</v>
      </c>
      <c r="AA7" s="10">
        <f>IF(O7&lt;=1,7,7+0.8*ROUNDUP(O7-1,0))</f>
        <v>11</v>
      </c>
      <c r="AB7" s="11">
        <v>0</v>
      </c>
      <c r="AC7" s="11">
        <v>0</v>
      </c>
      <c r="AD7" s="11">
        <v>0</v>
      </c>
      <c r="AE7" s="11">
        <v>0</v>
      </c>
      <c r="AF7" s="11">
        <f t="shared" si="0"/>
        <v>0.65999999999999992</v>
      </c>
      <c r="AG7" s="11">
        <f t="shared" si="1"/>
        <v>11.66</v>
      </c>
      <c r="AH7" t="s">
        <v>50</v>
      </c>
    </row>
    <row r="8" spans="1:34" ht="15" customHeight="1" x14ac:dyDescent="0.35">
      <c r="A8">
        <v>7547676</v>
      </c>
      <c r="B8">
        <v>690929</v>
      </c>
      <c r="C8" t="s">
        <v>34</v>
      </c>
      <c r="D8" t="s">
        <v>35</v>
      </c>
      <c r="E8" s="6" t="s">
        <v>34</v>
      </c>
      <c r="F8" t="s">
        <v>75</v>
      </c>
      <c r="G8" t="s">
        <v>37</v>
      </c>
      <c r="H8" t="s">
        <v>38</v>
      </c>
      <c r="I8" t="s">
        <v>76</v>
      </c>
      <c r="J8" t="s">
        <v>40</v>
      </c>
      <c r="K8">
        <v>2</v>
      </c>
      <c r="L8" t="s">
        <v>41</v>
      </c>
      <c r="M8" t="s">
        <v>42</v>
      </c>
      <c r="N8" t="s">
        <v>43</v>
      </c>
      <c r="O8" s="7">
        <v>1</v>
      </c>
      <c r="P8" s="8">
        <v>45151.675173611111</v>
      </c>
      <c r="Q8" s="9">
        <v>45153</v>
      </c>
      <c r="R8" t="s">
        <v>37</v>
      </c>
      <c r="S8" t="s">
        <v>44</v>
      </c>
      <c r="T8" t="s">
        <v>53</v>
      </c>
      <c r="U8" t="s">
        <v>54</v>
      </c>
      <c r="V8" t="s">
        <v>77</v>
      </c>
      <c r="W8">
        <v>47100</v>
      </c>
      <c r="X8" t="s">
        <v>44</v>
      </c>
      <c r="Y8" t="s">
        <v>78</v>
      </c>
      <c r="Z8" t="s">
        <v>49</v>
      </c>
      <c r="AA8" s="10">
        <f>IF(O8&lt;=1,7,7+0.8*ROUNDUP(O8-1,0))</f>
        <v>7</v>
      </c>
      <c r="AB8" s="11">
        <v>0</v>
      </c>
      <c r="AC8" s="11">
        <v>0</v>
      </c>
      <c r="AD8" s="11">
        <v>0</v>
      </c>
      <c r="AE8" s="11">
        <v>0</v>
      </c>
      <c r="AF8" s="11">
        <f t="shared" si="0"/>
        <v>0.42</v>
      </c>
      <c r="AG8" s="11">
        <f t="shared" si="1"/>
        <v>7.42</v>
      </c>
      <c r="AH8" t="s">
        <v>50</v>
      </c>
    </row>
    <row r="9" spans="1:34" ht="15" customHeight="1" x14ac:dyDescent="0.35">
      <c r="A9">
        <v>7547676</v>
      </c>
      <c r="B9">
        <v>690929</v>
      </c>
      <c r="C9" t="s">
        <v>34</v>
      </c>
      <c r="D9" t="s">
        <v>35</v>
      </c>
      <c r="E9" s="6" t="s">
        <v>34</v>
      </c>
      <c r="F9" t="s">
        <v>79</v>
      </c>
      <c r="G9" t="s">
        <v>37</v>
      </c>
      <c r="H9" t="s">
        <v>38</v>
      </c>
      <c r="I9" t="s">
        <v>80</v>
      </c>
      <c r="J9" t="s">
        <v>40</v>
      </c>
      <c r="K9">
        <v>2</v>
      </c>
      <c r="L9" t="s">
        <v>41</v>
      </c>
      <c r="M9" t="s">
        <v>42</v>
      </c>
      <c r="N9" t="s">
        <v>43</v>
      </c>
      <c r="O9" s="7">
        <v>5</v>
      </c>
      <c r="P9" s="8">
        <v>45151.698136574072</v>
      </c>
      <c r="Q9" s="9">
        <v>45153</v>
      </c>
      <c r="R9" t="s">
        <v>37</v>
      </c>
      <c r="S9" t="s">
        <v>44</v>
      </c>
      <c r="T9" t="s">
        <v>53</v>
      </c>
      <c r="U9" t="s">
        <v>81</v>
      </c>
      <c r="V9" t="s">
        <v>82</v>
      </c>
      <c r="W9">
        <v>36100</v>
      </c>
      <c r="X9" t="s">
        <v>44</v>
      </c>
      <c r="Y9" t="s">
        <v>83</v>
      </c>
      <c r="Z9" t="s">
        <v>49</v>
      </c>
      <c r="AA9" s="10">
        <f>IF(O9&lt;=1,7,7+0.8*ROUNDUP(O9-1,0))</f>
        <v>10.199999999999999</v>
      </c>
      <c r="AB9" s="11">
        <v>0</v>
      </c>
      <c r="AC9" s="11">
        <v>0</v>
      </c>
      <c r="AD9" s="11">
        <v>0</v>
      </c>
      <c r="AE9" s="11">
        <v>0</v>
      </c>
      <c r="AF9" s="11">
        <f t="shared" si="0"/>
        <v>0.61199999999999999</v>
      </c>
      <c r="AG9" s="11">
        <f t="shared" si="1"/>
        <v>10.811999999999999</v>
      </c>
      <c r="AH9" t="s">
        <v>50</v>
      </c>
    </row>
    <row r="10" spans="1:34" ht="15" customHeight="1" x14ac:dyDescent="0.35">
      <c r="A10">
        <v>7547676</v>
      </c>
      <c r="B10">
        <v>690929</v>
      </c>
      <c r="C10" t="s">
        <v>34</v>
      </c>
      <c r="D10" t="s">
        <v>35</v>
      </c>
      <c r="E10" s="6" t="s">
        <v>34</v>
      </c>
      <c r="F10" t="s">
        <v>84</v>
      </c>
      <c r="G10" t="s">
        <v>37</v>
      </c>
      <c r="H10" t="s">
        <v>38</v>
      </c>
      <c r="I10" t="s">
        <v>85</v>
      </c>
      <c r="J10" t="s">
        <v>40</v>
      </c>
      <c r="K10">
        <v>2</v>
      </c>
      <c r="L10" t="s">
        <v>41</v>
      </c>
      <c r="M10" t="s">
        <v>42</v>
      </c>
      <c r="N10" t="s">
        <v>43</v>
      </c>
      <c r="O10" s="7">
        <v>1</v>
      </c>
      <c r="P10" s="8">
        <v>45150.734652777777</v>
      </c>
      <c r="Q10" s="9">
        <v>45153</v>
      </c>
      <c r="R10" t="s">
        <v>37</v>
      </c>
      <c r="S10" t="s">
        <v>44</v>
      </c>
      <c r="T10" t="s">
        <v>53</v>
      </c>
      <c r="U10" t="s">
        <v>46</v>
      </c>
      <c r="V10" t="s">
        <v>86</v>
      </c>
      <c r="W10">
        <v>11000</v>
      </c>
      <c r="X10" t="s">
        <v>44</v>
      </c>
      <c r="Y10" t="s">
        <v>87</v>
      </c>
      <c r="Z10" t="s">
        <v>49</v>
      </c>
      <c r="AA10" s="10">
        <f>IF(O10&lt;=1,7,7+0.8*ROUNDUP(O10-1,0))</f>
        <v>7</v>
      </c>
      <c r="AB10" s="11">
        <v>0</v>
      </c>
      <c r="AC10" s="11">
        <v>0</v>
      </c>
      <c r="AD10" s="11">
        <v>0</v>
      </c>
      <c r="AE10" s="11">
        <v>0</v>
      </c>
      <c r="AF10" s="11">
        <f t="shared" si="0"/>
        <v>0.42</v>
      </c>
      <c r="AG10" s="11">
        <f t="shared" si="1"/>
        <v>7.42</v>
      </c>
      <c r="AH10" t="s">
        <v>50</v>
      </c>
    </row>
    <row r="11" spans="1:34" ht="15" customHeight="1" x14ac:dyDescent="0.35">
      <c r="A11">
        <v>7547676</v>
      </c>
      <c r="B11">
        <v>690929</v>
      </c>
      <c r="C11" t="s">
        <v>34</v>
      </c>
      <c r="D11" t="s">
        <v>35</v>
      </c>
      <c r="E11" s="6" t="s">
        <v>34</v>
      </c>
      <c r="F11" t="s">
        <v>88</v>
      </c>
      <c r="G11" t="s">
        <v>37</v>
      </c>
      <c r="H11" t="s">
        <v>38</v>
      </c>
      <c r="I11" t="s">
        <v>89</v>
      </c>
      <c r="J11" t="s">
        <v>40</v>
      </c>
      <c r="K11">
        <v>2</v>
      </c>
      <c r="L11" t="s">
        <v>41</v>
      </c>
      <c r="M11" t="s">
        <v>42</v>
      </c>
      <c r="N11" t="s">
        <v>43</v>
      </c>
      <c r="O11" s="7">
        <v>1</v>
      </c>
      <c r="P11" s="8">
        <v>45152.515555555554</v>
      </c>
      <c r="Q11" s="9">
        <v>45154</v>
      </c>
      <c r="R11" t="s">
        <v>37</v>
      </c>
      <c r="S11" t="s">
        <v>44</v>
      </c>
      <c r="T11" t="s">
        <v>45</v>
      </c>
      <c r="U11" t="s">
        <v>54</v>
      </c>
      <c r="V11" t="s">
        <v>90</v>
      </c>
      <c r="W11">
        <v>42300</v>
      </c>
      <c r="X11" t="s">
        <v>44</v>
      </c>
      <c r="Y11" t="s">
        <v>91</v>
      </c>
      <c r="Z11" t="s">
        <v>49</v>
      </c>
      <c r="AA11" s="10">
        <f>IF(O11&lt;=1,7,7+0.8*ROUNDUP(O11-1,0))</f>
        <v>7</v>
      </c>
      <c r="AB11" s="11">
        <v>0</v>
      </c>
      <c r="AC11" s="11">
        <v>0</v>
      </c>
      <c r="AD11" s="11">
        <v>0</v>
      </c>
      <c r="AE11" s="11">
        <v>0</v>
      </c>
      <c r="AF11" s="11">
        <f t="shared" si="0"/>
        <v>0.42</v>
      </c>
      <c r="AG11" s="11">
        <f t="shared" si="1"/>
        <v>7.42</v>
      </c>
      <c r="AH11" t="s">
        <v>50</v>
      </c>
    </row>
    <row r="12" spans="1:34" ht="15" customHeight="1" x14ac:dyDescent="0.35">
      <c r="A12">
        <v>7547676</v>
      </c>
      <c r="B12">
        <v>690929</v>
      </c>
      <c r="C12" t="s">
        <v>34</v>
      </c>
      <c r="D12" t="s">
        <v>35</v>
      </c>
      <c r="E12" s="6" t="s">
        <v>34</v>
      </c>
      <c r="F12" t="s">
        <v>92</v>
      </c>
      <c r="G12" t="s">
        <v>37</v>
      </c>
      <c r="H12" t="s">
        <v>38</v>
      </c>
      <c r="I12" t="s">
        <v>93</v>
      </c>
      <c r="J12" t="s">
        <v>40</v>
      </c>
      <c r="K12">
        <v>2</v>
      </c>
      <c r="L12" t="s">
        <v>41</v>
      </c>
      <c r="M12" t="s">
        <v>42</v>
      </c>
      <c r="N12" t="s">
        <v>43</v>
      </c>
      <c r="O12" s="7">
        <v>1</v>
      </c>
      <c r="P12" s="8">
        <v>45153.704189814816</v>
      </c>
      <c r="Q12" s="9">
        <v>45154</v>
      </c>
      <c r="R12" t="s">
        <v>37</v>
      </c>
      <c r="S12" t="s">
        <v>44</v>
      </c>
      <c r="T12" t="s">
        <v>53</v>
      </c>
      <c r="U12" t="s">
        <v>54</v>
      </c>
      <c r="V12" t="s">
        <v>94</v>
      </c>
      <c r="W12">
        <v>47630</v>
      </c>
      <c r="X12" t="s">
        <v>44</v>
      </c>
      <c r="Y12" t="s">
        <v>95</v>
      </c>
      <c r="Z12" t="s">
        <v>49</v>
      </c>
      <c r="AA12" s="10">
        <f>IF(O12&lt;=1,7,7+0.8*ROUNDUP(O12-1,0))</f>
        <v>7</v>
      </c>
      <c r="AB12" s="11">
        <v>0</v>
      </c>
      <c r="AC12" s="11">
        <v>0</v>
      </c>
      <c r="AD12" s="11">
        <v>0</v>
      </c>
      <c r="AE12" s="11">
        <v>0</v>
      </c>
      <c r="AF12" s="11">
        <f t="shared" si="0"/>
        <v>0.42</v>
      </c>
      <c r="AG12" s="11">
        <f t="shared" si="1"/>
        <v>7.42</v>
      </c>
      <c r="AH12" t="s">
        <v>50</v>
      </c>
    </row>
    <row r="13" spans="1:34" ht="15" customHeight="1" x14ac:dyDescent="0.35">
      <c r="A13">
        <v>7547676</v>
      </c>
      <c r="B13">
        <v>690929</v>
      </c>
      <c r="C13" t="s">
        <v>34</v>
      </c>
      <c r="D13" t="s">
        <v>35</v>
      </c>
      <c r="E13" s="6" t="s">
        <v>34</v>
      </c>
      <c r="F13" t="s">
        <v>96</v>
      </c>
      <c r="G13" t="s">
        <v>37</v>
      </c>
      <c r="H13" t="s">
        <v>38</v>
      </c>
      <c r="I13" t="s">
        <v>97</v>
      </c>
      <c r="J13" t="s">
        <v>40</v>
      </c>
      <c r="K13">
        <v>2</v>
      </c>
      <c r="L13" t="s">
        <v>41</v>
      </c>
      <c r="M13" t="s">
        <v>42</v>
      </c>
      <c r="N13" t="s">
        <v>43</v>
      </c>
      <c r="O13" s="7">
        <v>7</v>
      </c>
      <c r="P13" s="8">
        <v>45152.789456018516</v>
      </c>
      <c r="Q13" s="9">
        <v>45154</v>
      </c>
      <c r="R13" t="s">
        <v>37</v>
      </c>
      <c r="S13" t="s">
        <v>44</v>
      </c>
      <c r="T13" t="s">
        <v>45</v>
      </c>
      <c r="U13" t="s">
        <v>54</v>
      </c>
      <c r="V13" t="s">
        <v>98</v>
      </c>
      <c r="W13">
        <v>43800</v>
      </c>
      <c r="X13" t="s">
        <v>44</v>
      </c>
      <c r="Y13" t="s">
        <v>99</v>
      </c>
      <c r="Z13" t="s">
        <v>49</v>
      </c>
      <c r="AA13" s="10">
        <f>IF(O13&lt;=1,7,7+0.8*ROUNDUP(O13-1,0))</f>
        <v>11.8</v>
      </c>
      <c r="AB13" s="11">
        <v>0</v>
      </c>
      <c r="AC13" s="11">
        <v>0</v>
      </c>
      <c r="AD13" s="11">
        <v>0</v>
      </c>
      <c r="AE13" s="11">
        <v>0</v>
      </c>
      <c r="AF13" s="11">
        <f t="shared" si="0"/>
        <v>0.70799999999999996</v>
      </c>
      <c r="AG13" s="11">
        <f t="shared" si="1"/>
        <v>12.508000000000001</v>
      </c>
      <c r="AH13" t="s">
        <v>50</v>
      </c>
    </row>
    <row r="14" spans="1:34" ht="15" customHeight="1" x14ac:dyDescent="0.35">
      <c r="A14">
        <v>7547676</v>
      </c>
      <c r="B14">
        <v>690929</v>
      </c>
      <c r="C14" t="s">
        <v>34</v>
      </c>
      <c r="D14" t="s">
        <v>35</v>
      </c>
      <c r="E14" s="6" t="s">
        <v>34</v>
      </c>
      <c r="F14" t="s">
        <v>100</v>
      </c>
      <c r="G14" t="s">
        <v>37</v>
      </c>
      <c r="H14" t="s">
        <v>38</v>
      </c>
      <c r="I14" t="s">
        <v>101</v>
      </c>
      <c r="J14" t="s">
        <v>40</v>
      </c>
      <c r="K14">
        <v>2</v>
      </c>
      <c r="L14" t="s">
        <v>41</v>
      </c>
      <c r="M14" t="s">
        <v>42</v>
      </c>
      <c r="N14" t="s">
        <v>43</v>
      </c>
      <c r="O14" s="7">
        <v>1</v>
      </c>
      <c r="P14" s="8">
        <v>45153.704201388886</v>
      </c>
      <c r="Q14" s="9">
        <v>45154</v>
      </c>
      <c r="R14" t="s">
        <v>37</v>
      </c>
      <c r="S14" t="s">
        <v>44</v>
      </c>
      <c r="T14" t="s">
        <v>53</v>
      </c>
      <c r="U14" t="s">
        <v>54</v>
      </c>
      <c r="V14" t="s">
        <v>102</v>
      </c>
      <c r="W14">
        <v>42700</v>
      </c>
      <c r="X14" t="s">
        <v>44</v>
      </c>
      <c r="Y14" t="s">
        <v>103</v>
      </c>
      <c r="Z14" t="s">
        <v>49</v>
      </c>
      <c r="AA14" s="10">
        <f>IF(O14&lt;=1,7,7+0.8*ROUNDUP(O14-1,0))</f>
        <v>7</v>
      </c>
      <c r="AB14" s="11">
        <v>0</v>
      </c>
      <c r="AC14" s="11">
        <v>0</v>
      </c>
      <c r="AD14" s="11">
        <v>0</v>
      </c>
      <c r="AE14" s="11">
        <v>0</v>
      </c>
      <c r="AF14" s="11">
        <f>(AA14+AC14+AE14)*6%</f>
        <v>0.42</v>
      </c>
      <c r="AG14" s="11">
        <f>AA14+AC14+AE14+AF14</f>
        <v>7.42</v>
      </c>
      <c r="AH14" t="s">
        <v>50</v>
      </c>
    </row>
    <row r="15" spans="1:34" ht="15" customHeight="1" x14ac:dyDescent="0.35">
      <c r="A15">
        <v>7547676</v>
      </c>
      <c r="B15">
        <v>690929</v>
      </c>
      <c r="C15" t="s">
        <v>34</v>
      </c>
      <c r="D15" t="s">
        <v>35</v>
      </c>
      <c r="E15" s="6" t="s">
        <v>34</v>
      </c>
      <c r="F15" t="s">
        <v>104</v>
      </c>
      <c r="G15" t="s">
        <v>37</v>
      </c>
      <c r="H15" t="s">
        <v>38</v>
      </c>
      <c r="I15" t="s">
        <v>105</v>
      </c>
      <c r="J15" t="s">
        <v>40</v>
      </c>
      <c r="K15">
        <v>2</v>
      </c>
      <c r="L15" t="s">
        <v>41</v>
      </c>
      <c r="M15" t="s">
        <v>42</v>
      </c>
      <c r="N15" t="s">
        <v>43</v>
      </c>
      <c r="O15" s="7">
        <v>1</v>
      </c>
      <c r="P15" s="8">
        <v>45151.736817129633</v>
      </c>
      <c r="Q15" s="9">
        <v>45154</v>
      </c>
      <c r="R15" t="s">
        <v>37</v>
      </c>
      <c r="S15" t="s">
        <v>44</v>
      </c>
      <c r="T15" t="s">
        <v>45</v>
      </c>
      <c r="U15" t="s">
        <v>54</v>
      </c>
      <c r="V15" t="s">
        <v>106</v>
      </c>
      <c r="W15">
        <v>48020</v>
      </c>
      <c r="X15" t="s">
        <v>44</v>
      </c>
      <c r="Y15" t="s">
        <v>91</v>
      </c>
      <c r="Z15" t="s">
        <v>49</v>
      </c>
      <c r="AA15" s="10">
        <f>IF(O15&lt;=1,7,7+0.8*ROUNDUP(O15-1,0))</f>
        <v>7</v>
      </c>
      <c r="AB15" s="11">
        <v>0</v>
      </c>
      <c r="AC15" s="11">
        <v>0</v>
      </c>
      <c r="AD15" s="11">
        <v>0</v>
      </c>
      <c r="AE15" s="11">
        <v>0</v>
      </c>
      <c r="AF15" s="11">
        <f t="shared" ref="AF15:AF78" si="2">(AA15+AC15+AE15)*6%</f>
        <v>0.42</v>
      </c>
      <c r="AG15" s="11">
        <f t="shared" ref="AG15:AG78" si="3">AA15+AC15+AE15+AF15</f>
        <v>7.42</v>
      </c>
      <c r="AH15" t="s">
        <v>50</v>
      </c>
    </row>
    <row r="16" spans="1:34" ht="15" customHeight="1" x14ac:dyDescent="0.35">
      <c r="A16">
        <v>7547676</v>
      </c>
      <c r="B16">
        <v>690929</v>
      </c>
      <c r="C16" t="s">
        <v>34</v>
      </c>
      <c r="D16" t="s">
        <v>35</v>
      </c>
      <c r="E16" s="6" t="s">
        <v>34</v>
      </c>
      <c r="F16" t="s">
        <v>107</v>
      </c>
      <c r="G16" t="s">
        <v>37</v>
      </c>
      <c r="H16" t="s">
        <v>38</v>
      </c>
      <c r="I16" t="s">
        <v>108</v>
      </c>
      <c r="J16" t="s">
        <v>40</v>
      </c>
      <c r="K16">
        <v>2</v>
      </c>
      <c r="L16" t="s">
        <v>41</v>
      </c>
      <c r="M16" t="s">
        <v>42</v>
      </c>
      <c r="N16" t="s">
        <v>43</v>
      </c>
      <c r="O16" s="7">
        <v>1</v>
      </c>
      <c r="P16" s="8">
        <v>45153.704201388886</v>
      </c>
      <c r="Q16" s="9">
        <v>45154</v>
      </c>
      <c r="R16" t="s">
        <v>37</v>
      </c>
      <c r="S16" t="s">
        <v>44</v>
      </c>
      <c r="T16" t="s">
        <v>53</v>
      </c>
      <c r="U16" t="s">
        <v>67</v>
      </c>
      <c r="V16" t="s">
        <v>109</v>
      </c>
      <c r="W16">
        <v>26600</v>
      </c>
      <c r="X16" t="s">
        <v>44</v>
      </c>
      <c r="Y16" t="s">
        <v>53</v>
      </c>
      <c r="Z16" t="s">
        <v>49</v>
      </c>
      <c r="AA16" s="10">
        <f>IF(O16&lt;=1,7,7+0.8*ROUNDUP(O16-1,0))</f>
        <v>7</v>
      </c>
      <c r="AB16" s="11">
        <v>0</v>
      </c>
      <c r="AC16" s="11">
        <v>0</v>
      </c>
      <c r="AD16" s="11">
        <v>0</v>
      </c>
      <c r="AE16" s="11">
        <v>0</v>
      </c>
      <c r="AF16" s="11">
        <f t="shared" si="2"/>
        <v>0.42</v>
      </c>
      <c r="AG16" s="11">
        <f t="shared" si="3"/>
        <v>7.42</v>
      </c>
      <c r="AH16" t="s">
        <v>50</v>
      </c>
    </row>
    <row r="17" spans="1:34" ht="15" customHeight="1" x14ac:dyDescent="0.35">
      <c r="A17">
        <v>7547676</v>
      </c>
      <c r="B17">
        <v>690929</v>
      </c>
      <c r="C17" t="s">
        <v>34</v>
      </c>
      <c r="D17" t="s">
        <v>35</v>
      </c>
      <c r="E17" s="6" t="s">
        <v>34</v>
      </c>
      <c r="F17" t="s">
        <v>110</v>
      </c>
      <c r="G17" t="s">
        <v>37</v>
      </c>
      <c r="H17" t="s">
        <v>38</v>
      </c>
      <c r="I17" t="s">
        <v>111</v>
      </c>
      <c r="J17" t="s">
        <v>40</v>
      </c>
      <c r="K17">
        <v>2</v>
      </c>
      <c r="L17" t="s">
        <v>41</v>
      </c>
      <c r="M17" t="s">
        <v>42</v>
      </c>
      <c r="N17" t="s">
        <v>43</v>
      </c>
      <c r="O17" s="7">
        <v>1</v>
      </c>
      <c r="P17" s="8">
        <v>45152.515555555554</v>
      </c>
      <c r="Q17" s="9">
        <v>45154</v>
      </c>
      <c r="R17" t="s">
        <v>37</v>
      </c>
      <c r="S17" t="s">
        <v>44</v>
      </c>
      <c r="T17" t="s">
        <v>45</v>
      </c>
      <c r="U17" t="s">
        <v>67</v>
      </c>
      <c r="V17" t="s">
        <v>112</v>
      </c>
      <c r="W17">
        <v>28000</v>
      </c>
      <c r="X17" t="s">
        <v>44</v>
      </c>
      <c r="Y17" t="s">
        <v>45</v>
      </c>
      <c r="Z17" t="s">
        <v>49</v>
      </c>
      <c r="AA17" s="10">
        <f>IF(O17&lt;=1,7,7+0.8*ROUNDUP(O17-1,0))</f>
        <v>7</v>
      </c>
      <c r="AB17" s="11">
        <v>0</v>
      </c>
      <c r="AC17" s="11">
        <v>0</v>
      </c>
      <c r="AD17" s="11">
        <v>0</v>
      </c>
      <c r="AE17" s="11">
        <v>0</v>
      </c>
      <c r="AF17" s="11">
        <f t="shared" si="2"/>
        <v>0.42</v>
      </c>
      <c r="AG17" s="11">
        <f t="shared" si="3"/>
        <v>7.42</v>
      </c>
      <c r="AH17" t="s">
        <v>50</v>
      </c>
    </row>
    <row r="18" spans="1:34" ht="15" customHeight="1" x14ac:dyDescent="0.35">
      <c r="A18">
        <v>7547676</v>
      </c>
      <c r="B18">
        <v>690929</v>
      </c>
      <c r="C18" t="s">
        <v>34</v>
      </c>
      <c r="D18" t="s">
        <v>35</v>
      </c>
      <c r="E18" s="6" t="s">
        <v>34</v>
      </c>
      <c r="F18" t="s">
        <v>113</v>
      </c>
      <c r="G18" t="s">
        <v>37</v>
      </c>
      <c r="H18" t="s">
        <v>38</v>
      </c>
      <c r="I18" t="s">
        <v>114</v>
      </c>
      <c r="J18" t="s">
        <v>40</v>
      </c>
      <c r="K18">
        <v>2</v>
      </c>
      <c r="L18" t="s">
        <v>41</v>
      </c>
      <c r="M18" t="s">
        <v>42</v>
      </c>
      <c r="N18" t="s">
        <v>43</v>
      </c>
      <c r="O18" s="7">
        <v>1</v>
      </c>
      <c r="P18" s="8">
        <v>45153.704201388886</v>
      </c>
      <c r="Q18" s="9">
        <v>45154</v>
      </c>
      <c r="R18" t="s">
        <v>37</v>
      </c>
      <c r="S18" t="s">
        <v>44</v>
      </c>
      <c r="T18" t="s">
        <v>53</v>
      </c>
      <c r="U18" t="s">
        <v>59</v>
      </c>
      <c r="V18" t="s">
        <v>115</v>
      </c>
      <c r="W18">
        <v>15350</v>
      </c>
      <c r="X18" t="s">
        <v>44</v>
      </c>
      <c r="Y18" t="s">
        <v>53</v>
      </c>
      <c r="Z18" t="s">
        <v>49</v>
      </c>
      <c r="AA18" s="10">
        <f>IF(O18&lt;=1,7,7+0.8*ROUNDUP(O18-1,0))</f>
        <v>7</v>
      </c>
      <c r="AB18" s="11">
        <v>0</v>
      </c>
      <c r="AC18" s="11">
        <v>0</v>
      </c>
      <c r="AD18" s="11">
        <v>0</v>
      </c>
      <c r="AE18" s="11">
        <v>0</v>
      </c>
      <c r="AF18" s="11">
        <f t="shared" si="2"/>
        <v>0.42</v>
      </c>
      <c r="AG18" s="11">
        <f t="shared" si="3"/>
        <v>7.42</v>
      </c>
      <c r="AH18" t="s">
        <v>50</v>
      </c>
    </row>
    <row r="19" spans="1:34" ht="15" customHeight="1" x14ac:dyDescent="0.35">
      <c r="A19">
        <v>7547676</v>
      </c>
      <c r="B19">
        <v>690929</v>
      </c>
      <c r="C19" t="s">
        <v>34</v>
      </c>
      <c r="D19" t="s">
        <v>35</v>
      </c>
      <c r="E19" s="6" t="s">
        <v>34</v>
      </c>
      <c r="F19" t="s">
        <v>116</v>
      </c>
      <c r="G19" t="s">
        <v>37</v>
      </c>
      <c r="H19" t="s">
        <v>38</v>
      </c>
      <c r="I19" t="s">
        <v>117</v>
      </c>
      <c r="J19" t="s">
        <v>40</v>
      </c>
      <c r="K19">
        <v>2</v>
      </c>
      <c r="L19" t="s">
        <v>41</v>
      </c>
      <c r="M19" t="s">
        <v>42</v>
      </c>
      <c r="N19" t="s">
        <v>43</v>
      </c>
      <c r="O19" s="7">
        <v>3</v>
      </c>
      <c r="P19" s="8">
        <v>45152.789467592593</v>
      </c>
      <c r="Q19" s="9">
        <v>45154</v>
      </c>
      <c r="R19" t="s">
        <v>37</v>
      </c>
      <c r="S19" t="s">
        <v>44</v>
      </c>
      <c r="T19" t="s">
        <v>45</v>
      </c>
      <c r="U19" t="s">
        <v>54</v>
      </c>
      <c r="V19" t="s">
        <v>118</v>
      </c>
      <c r="W19">
        <v>42700</v>
      </c>
      <c r="X19" t="s">
        <v>44</v>
      </c>
      <c r="Y19" t="s">
        <v>103</v>
      </c>
      <c r="Z19" t="s">
        <v>49</v>
      </c>
      <c r="AA19" s="10">
        <f>IF(O19&lt;=1,7,7+0.8*ROUNDUP(O19-1,0))</f>
        <v>8.6</v>
      </c>
      <c r="AB19" s="11">
        <v>0</v>
      </c>
      <c r="AC19" s="11">
        <v>0</v>
      </c>
      <c r="AD19" s="11">
        <v>0</v>
      </c>
      <c r="AE19" s="11">
        <v>0</v>
      </c>
      <c r="AF19" s="11">
        <f t="shared" si="2"/>
        <v>0.51600000000000001</v>
      </c>
      <c r="AG19" s="11">
        <f t="shared" si="3"/>
        <v>9.1159999999999997</v>
      </c>
      <c r="AH19" t="s">
        <v>50</v>
      </c>
    </row>
    <row r="20" spans="1:34" ht="15" customHeight="1" x14ac:dyDescent="0.35">
      <c r="A20">
        <v>7547676</v>
      </c>
      <c r="B20">
        <v>690929</v>
      </c>
      <c r="C20" t="s">
        <v>34</v>
      </c>
      <c r="D20" t="s">
        <v>35</v>
      </c>
      <c r="E20" s="6" t="s">
        <v>34</v>
      </c>
      <c r="F20" t="s">
        <v>119</v>
      </c>
      <c r="G20" t="s">
        <v>37</v>
      </c>
      <c r="H20" t="s">
        <v>38</v>
      </c>
      <c r="I20" t="s">
        <v>120</v>
      </c>
      <c r="J20" t="s">
        <v>40</v>
      </c>
      <c r="K20">
        <v>2</v>
      </c>
      <c r="L20" t="s">
        <v>41</v>
      </c>
      <c r="M20" t="s">
        <v>42</v>
      </c>
      <c r="N20" t="s">
        <v>43</v>
      </c>
      <c r="O20" s="7">
        <v>1</v>
      </c>
      <c r="P20" s="8">
        <v>45152.789456018516</v>
      </c>
      <c r="Q20" s="9">
        <v>45154</v>
      </c>
      <c r="R20" t="s">
        <v>37</v>
      </c>
      <c r="S20" t="s">
        <v>44</v>
      </c>
      <c r="T20" t="s">
        <v>45</v>
      </c>
      <c r="U20" t="s">
        <v>54</v>
      </c>
      <c r="V20" t="s">
        <v>121</v>
      </c>
      <c r="W20">
        <v>42700</v>
      </c>
      <c r="X20" t="s">
        <v>44</v>
      </c>
      <c r="Y20" t="s">
        <v>103</v>
      </c>
      <c r="Z20" t="s">
        <v>49</v>
      </c>
      <c r="AA20" s="10">
        <f>IF(O20&lt;=1,7,7+0.8*ROUNDUP(O20-1,0))</f>
        <v>7</v>
      </c>
      <c r="AB20" s="11">
        <v>0</v>
      </c>
      <c r="AC20" s="11">
        <v>0</v>
      </c>
      <c r="AD20" s="11">
        <v>0</v>
      </c>
      <c r="AE20" s="11">
        <v>0</v>
      </c>
      <c r="AF20" s="11">
        <f t="shared" si="2"/>
        <v>0.42</v>
      </c>
      <c r="AG20" s="11">
        <f t="shared" si="3"/>
        <v>7.42</v>
      </c>
      <c r="AH20" t="s">
        <v>50</v>
      </c>
    </row>
    <row r="21" spans="1:34" ht="15" customHeight="1" x14ac:dyDescent="0.35">
      <c r="A21">
        <v>7547676</v>
      </c>
      <c r="B21">
        <v>690929</v>
      </c>
      <c r="C21" t="s">
        <v>34</v>
      </c>
      <c r="D21" t="s">
        <v>35</v>
      </c>
      <c r="E21" s="6" t="s">
        <v>34</v>
      </c>
      <c r="F21" t="s">
        <v>122</v>
      </c>
      <c r="G21" t="s">
        <v>37</v>
      </c>
      <c r="H21" t="s">
        <v>38</v>
      </c>
      <c r="I21" t="s">
        <v>123</v>
      </c>
      <c r="J21" t="s">
        <v>40</v>
      </c>
      <c r="K21">
        <v>2</v>
      </c>
      <c r="L21" t="s">
        <v>41</v>
      </c>
      <c r="M21" t="s">
        <v>42</v>
      </c>
      <c r="N21" t="s">
        <v>43</v>
      </c>
      <c r="O21" s="7">
        <v>9</v>
      </c>
      <c r="P21" s="8">
        <v>45153.386111111111</v>
      </c>
      <c r="Q21" s="9">
        <v>45154</v>
      </c>
      <c r="R21" t="s">
        <v>37</v>
      </c>
      <c r="S21" t="s">
        <v>44</v>
      </c>
      <c r="T21" t="s">
        <v>53</v>
      </c>
      <c r="U21" t="s">
        <v>54</v>
      </c>
      <c r="V21" t="s">
        <v>124</v>
      </c>
      <c r="W21">
        <v>40150</v>
      </c>
      <c r="X21" t="s">
        <v>44</v>
      </c>
      <c r="Y21" t="s">
        <v>125</v>
      </c>
      <c r="Z21" t="s">
        <v>49</v>
      </c>
      <c r="AA21" s="10">
        <f>IF(O21&lt;=1,7,7+0.8*ROUNDUP(O21-1,0))</f>
        <v>13.4</v>
      </c>
      <c r="AB21" s="11">
        <v>0</v>
      </c>
      <c r="AC21" s="11">
        <v>0</v>
      </c>
      <c r="AD21" s="11">
        <v>0</v>
      </c>
      <c r="AE21" s="11">
        <v>0</v>
      </c>
      <c r="AF21" s="11">
        <f t="shared" si="2"/>
        <v>0.80399999999999994</v>
      </c>
      <c r="AG21" s="11">
        <f t="shared" si="3"/>
        <v>14.204000000000001</v>
      </c>
      <c r="AH21" t="s">
        <v>50</v>
      </c>
    </row>
    <row r="22" spans="1:34" ht="15" customHeight="1" x14ac:dyDescent="0.35">
      <c r="A22">
        <v>7547676</v>
      </c>
      <c r="B22">
        <v>690929</v>
      </c>
      <c r="C22" t="s">
        <v>34</v>
      </c>
      <c r="D22" t="s">
        <v>35</v>
      </c>
      <c r="E22" s="6" t="s">
        <v>34</v>
      </c>
      <c r="F22" t="s">
        <v>126</v>
      </c>
      <c r="G22" t="s">
        <v>37</v>
      </c>
      <c r="H22" t="s">
        <v>38</v>
      </c>
      <c r="I22" t="s">
        <v>127</v>
      </c>
      <c r="J22" t="s">
        <v>40</v>
      </c>
      <c r="K22">
        <v>2</v>
      </c>
      <c r="L22" t="s">
        <v>41</v>
      </c>
      <c r="M22" t="s">
        <v>42</v>
      </c>
      <c r="N22" t="s">
        <v>43</v>
      </c>
      <c r="O22" s="7">
        <v>1</v>
      </c>
      <c r="P22" s="8">
        <v>45152.578888888886</v>
      </c>
      <c r="Q22" s="9">
        <v>45154</v>
      </c>
      <c r="R22" t="s">
        <v>37</v>
      </c>
      <c r="S22" t="s">
        <v>44</v>
      </c>
      <c r="T22" t="s">
        <v>45</v>
      </c>
      <c r="U22" t="s">
        <v>54</v>
      </c>
      <c r="V22" t="s">
        <v>128</v>
      </c>
      <c r="W22">
        <v>42700</v>
      </c>
      <c r="X22" t="s">
        <v>44</v>
      </c>
      <c r="Y22" t="s">
        <v>103</v>
      </c>
      <c r="Z22" t="s">
        <v>49</v>
      </c>
      <c r="AA22" s="10">
        <f>IF(O22&lt;=1,7,7+0.8*ROUNDUP(O22-1,0))</f>
        <v>7</v>
      </c>
      <c r="AB22" s="11">
        <v>0</v>
      </c>
      <c r="AC22" s="11">
        <v>0</v>
      </c>
      <c r="AD22" s="11">
        <v>0</v>
      </c>
      <c r="AE22" s="11">
        <v>0</v>
      </c>
      <c r="AF22" s="11">
        <f t="shared" si="2"/>
        <v>0.42</v>
      </c>
      <c r="AG22" s="11">
        <f t="shared" si="3"/>
        <v>7.42</v>
      </c>
      <c r="AH22" t="s">
        <v>50</v>
      </c>
    </row>
    <row r="23" spans="1:34" ht="15" customHeight="1" x14ac:dyDescent="0.35">
      <c r="A23">
        <v>7547676</v>
      </c>
      <c r="B23">
        <v>690929</v>
      </c>
      <c r="C23" t="s">
        <v>34</v>
      </c>
      <c r="D23" t="s">
        <v>35</v>
      </c>
      <c r="E23" s="6" t="s">
        <v>34</v>
      </c>
      <c r="F23" t="s">
        <v>129</v>
      </c>
      <c r="G23" t="s">
        <v>37</v>
      </c>
      <c r="H23" t="s">
        <v>38</v>
      </c>
      <c r="I23" t="s">
        <v>130</v>
      </c>
      <c r="J23" t="s">
        <v>40</v>
      </c>
      <c r="K23">
        <v>2</v>
      </c>
      <c r="L23" t="s">
        <v>41</v>
      </c>
      <c r="M23" t="s">
        <v>42</v>
      </c>
      <c r="N23" t="s">
        <v>43</v>
      </c>
      <c r="O23" s="7">
        <v>1</v>
      </c>
      <c r="P23" s="8">
        <v>45153.704201388886</v>
      </c>
      <c r="Q23" s="9">
        <v>45154</v>
      </c>
      <c r="R23" t="s">
        <v>37</v>
      </c>
      <c r="S23" t="s">
        <v>44</v>
      </c>
      <c r="T23" t="s">
        <v>53</v>
      </c>
      <c r="U23" t="s">
        <v>54</v>
      </c>
      <c r="V23" t="s">
        <v>131</v>
      </c>
      <c r="W23">
        <v>43800</v>
      </c>
      <c r="X23" t="s">
        <v>44</v>
      </c>
      <c r="Y23" t="s">
        <v>99</v>
      </c>
      <c r="Z23" t="s">
        <v>49</v>
      </c>
      <c r="AA23" s="10">
        <f>IF(O23&lt;=1,7,7+0.8*ROUNDUP(O23-1,0))</f>
        <v>7</v>
      </c>
      <c r="AB23" s="11">
        <v>0</v>
      </c>
      <c r="AC23" s="11">
        <v>0</v>
      </c>
      <c r="AD23" s="11">
        <v>0</v>
      </c>
      <c r="AE23" s="11">
        <v>0</v>
      </c>
      <c r="AF23" s="11">
        <f t="shared" si="2"/>
        <v>0.42</v>
      </c>
      <c r="AG23" s="11">
        <f t="shared" si="3"/>
        <v>7.42</v>
      </c>
      <c r="AH23" t="s">
        <v>50</v>
      </c>
    </row>
    <row r="24" spans="1:34" ht="15" customHeight="1" x14ac:dyDescent="0.35">
      <c r="A24">
        <v>7547676</v>
      </c>
      <c r="B24">
        <v>690929</v>
      </c>
      <c r="C24" t="s">
        <v>34</v>
      </c>
      <c r="D24" t="s">
        <v>35</v>
      </c>
      <c r="E24" s="6" t="s">
        <v>34</v>
      </c>
      <c r="F24" t="s">
        <v>132</v>
      </c>
      <c r="G24" t="s">
        <v>37</v>
      </c>
      <c r="H24" t="s">
        <v>38</v>
      </c>
      <c r="I24" t="s">
        <v>133</v>
      </c>
      <c r="J24" t="s">
        <v>40</v>
      </c>
      <c r="K24">
        <v>2</v>
      </c>
      <c r="L24" t="s">
        <v>41</v>
      </c>
      <c r="M24" t="s">
        <v>42</v>
      </c>
      <c r="N24" t="s">
        <v>43</v>
      </c>
      <c r="O24" s="7">
        <v>1</v>
      </c>
      <c r="P24" s="8">
        <v>45152.57</v>
      </c>
      <c r="Q24" s="9">
        <v>45154</v>
      </c>
      <c r="R24" t="s">
        <v>37</v>
      </c>
      <c r="S24" t="s">
        <v>44</v>
      </c>
      <c r="T24" t="s">
        <v>45</v>
      </c>
      <c r="U24" t="s">
        <v>134</v>
      </c>
      <c r="V24" t="s">
        <v>135</v>
      </c>
      <c r="W24">
        <v>55100</v>
      </c>
      <c r="X24" t="s">
        <v>44</v>
      </c>
      <c r="Y24" t="s">
        <v>136</v>
      </c>
      <c r="Z24" t="s">
        <v>49</v>
      </c>
      <c r="AA24" s="10">
        <f>IF(O24&lt;=1,7,7+0.8*ROUNDUP(O24-1,0))</f>
        <v>7</v>
      </c>
      <c r="AB24" s="11">
        <v>0</v>
      </c>
      <c r="AC24" s="11">
        <v>0</v>
      </c>
      <c r="AD24" s="11">
        <v>0</v>
      </c>
      <c r="AE24" s="11">
        <v>0</v>
      </c>
      <c r="AF24" s="11">
        <f t="shared" si="2"/>
        <v>0.42</v>
      </c>
      <c r="AG24" s="11">
        <f t="shared" si="3"/>
        <v>7.42</v>
      </c>
      <c r="AH24" t="s">
        <v>50</v>
      </c>
    </row>
    <row r="25" spans="1:34" ht="15" customHeight="1" x14ac:dyDescent="0.35">
      <c r="A25">
        <v>7547676</v>
      </c>
      <c r="B25">
        <v>690929</v>
      </c>
      <c r="C25" t="s">
        <v>34</v>
      </c>
      <c r="D25" t="s">
        <v>35</v>
      </c>
      <c r="E25" s="6" t="s">
        <v>34</v>
      </c>
      <c r="F25" t="s">
        <v>137</v>
      </c>
      <c r="G25" t="s">
        <v>37</v>
      </c>
      <c r="H25" t="s">
        <v>38</v>
      </c>
      <c r="I25" t="s">
        <v>138</v>
      </c>
      <c r="J25" t="s">
        <v>40</v>
      </c>
      <c r="K25">
        <v>2</v>
      </c>
      <c r="L25" t="s">
        <v>41</v>
      </c>
      <c r="M25" t="s">
        <v>42</v>
      </c>
      <c r="N25" t="s">
        <v>43</v>
      </c>
      <c r="O25" s="7">
        <v>3</v>
      </c>
      <c r="P25" s="8">
        <v>45152.544768518521</v>
      </c>
      <c r="Q25" s="9">
        <v>45154</v>
      </c>
      <c r="R25" t="s">
        <v>37</v>
      </c>
      <c r="S25" t="s">
        <v>44</v>
      </c>
      <c r="T25" t="s">
        <v>45</v>
      </c>
      <c r="U25" t="s">
        <v>134</v>
      </c>
      <c r="V25" t="s">
        <v>139</v>
      </c>
      <c r="W25">
        <v>53000</v>
      </c>
      <c r="X25" t="s">
        <v>44</v>
      </c>
      <c r="Y25" t="s">
        <v>140</v>
      </c>
      <c r="Z25" t="s">
        <v>49</v>
      </c>
      <c r="AA25" s="10">
        <f>IF(O25&lt;=1,7,7+0.8*ROUNDUP(O25-1,0))</f>
        <v>8.6</v>
      </c>
      <c r="AB25" s="11">
        <v>0</v>
      </c>
      <c r="AC25" s="11">
        <v>0</v>
      </c>
      <c r="AD25" s="11">
        <v>0</v>
      </c>
      <c r="AE25" s="11">
        <v>0</v>
      </c>
      <c r="AF25" s="11">
        <f t="shared" si="2"/>
        <v>0.51600000000000001</v>
      </c>
      <c r="AG25" s="11">
        <f t="shared" si="3"/>
        <v>9.1159999999999997</v>
      </c>
      <c r="AH25" t="s">
        <v>50</v>
      </c>
    </row>
    <row r="26" spans="1:34" ht="15" customHeight="1" x14ac:dyDescent="0.35">
      <c r="A26">
        <v>7547676</v>
      </c>
      <c r="B26">
        <v>690929</v>
      </c>
      <c r="C26" t="s">
        <v>34</v>
      </c>
      <c r="D26" t="s">
        <v>35</v>
      </c>
      <c r="E26" s="6" t="s">
        <v>34</v>
      </c>
      <c r="F26" t="s">
        <v>141</v>
      </c>
      <c r="G26" t="s">
        <v>37</v>
      </c>
      <c r="H26" t="s">
        <v>38</v>
      </c>
      <c r="I26" t="s">
        <v>142</v>
      </c>
      <c r="J26" t="s">
        <v>40</v>
      </c>
      <c r="K26">
        <v>2</v>
      </c>
      <c r="L26" t="s">
        <v>41</v>
      </c>
      <c r="M26" t="s">
        <v>42</v>
      </c>
      <c r="N26" t="s">
        <v>43</v>
      </c>
      <c r="O26" s="7">
        <v>1</v>
      </c>
      <c r="P26" s="8">
        <v>45152.705879629626</v>
      </c>
      <c r="Q26" s="9">
        <v>45154</v>
      </c>
      <c r="R26" t="s">
        <v>37</v>
      </c>
      <c r="S26" t="s">
        <v>44</v>
      </c>
      <c r="T26" t="s">
        <v>45</v>
      </c>
      <c r="U26" t="s">
        <v>81</v>
      </c>
      <c r="V26" t="s">
        <v>143</v>
      </c>
      <c r="W26">
        <v>34000</v>
      </c>
      <c r="X26" t="s">
        <v>44</v>
      </c>
      <c r="Y26" t="s">
        <v>144</v>
      </c>
      <c r="Z26" t="s">
        <v>49</v>
      </c>
      <c r="AA26" s="10">
        <f>IF(O26&lt;=1,7,7+0.8*ROUNDUP(O26-1,0))</f>
        <v>7</v>
      </c>
      <c r="AB26" s="11">
        <v>0</v>
      </c>
      <c r="AC26" s="11">
        <v>0</v>
      </c>
      <c r="AD26" s="11">
        <v>0</v>
      </c>
      <c r="AE26" s="11">
        <v>0</v>
      </c>
      <c r="AF26" s="11">
        <f t="shared" si="2"/>
        <v>0.42</v>
      </c>
      <c r="AG26" s="11">
        <f t="shared" si="3"/>
        <v>7.42</v>
      </c>
      <c r="AH26" t="s">
        <v>50</v>
      </c>
    </row>
    <row r="27" spans="1:34" ht="15" customHeight="1" x14ac:dyDescent="0.35">
      <c r="A27">
        <v>7547676</v>
      </c>
      <c r="B27">
        <v>690929</v>
      </c>
      <c r="C27" t="s">
        <v>34</v>
      </c>
      <c r="D27" t="s">
        <v>35</v>
      </c>
      <c r="E27" s="6" t="s">
        <v>34</v>
      </c>
      <c r="F27" t="s">
        <v>145</v>
      </c>
      <c r="G27" t="s">
        <v>37</v>
      </c>
      <c r="H27" t="s">
        <v>38</v>
      </c>
      <c r="I27" t="s">
        <v>146</v>
      </c>
      <c r="J27" t="s">
        <v>40</v>
      </c>
      <c r="K27">
        <v>2</v>
      </c>
      <c r="L27" t="s">
        <v>41</v>
      </c>
      <c r="M27" t="s">
        <v>42</v>
      </c>
      <c r="N27" t="s">
        <v>43</v>
      </c>
      <c r="O27" s="7">
        <v>1</v>
      </c>
      <c r="P27" s="8">
        <v>45153.5702662037</v>
      </c>
      <c r="Q27" s="9">
        <v>45154</v>
      </c>
      <c r="R27" t="s">
        <v>37</v>
      </c>
      <c r="S27" t="s">
        <v>44</v>
      </c>
      <c r="T27" t="s">
        <v>53</v>
      </c>
      <c r="U27" t="s">
        <v>67</v>
      </c>
      <c r="V27" t="s">
        <v>147</v>
      </c>
      <c r="W27">
        <v>27000</v>
      </c>
      <c r="X27" t="s">
        <v>44</v>
      </c>
      <c r="Y27" t="s">
        <v>53</v>
      </c>
      <c r="Z27" t="s">
        <v>49</v>
      </c>
      <c r="AA27" s="10">
        <f>IF(O27&lt;=1,7,7+0.8*ROUNDUP(O27-1,0))</f>
        <v>7</v>
      </c>
      <c r="AB27" s="11">
        <v>0</v>
      </c>
      <c r="AC27" s="11">
        <v>0</v>
      </c>
      <c r="AD27" s="11">
        <v>0</v>
      </c>
      <c r="AE27" s="11">
        <v>0</v>
      </c>
      <c r="AF27" s="11">
        <f t="shared" si="2"/>
        <v>0.42</v>
      </c>
      <c r="AG27" s="11">
        <f t="shared" si="3"/>
        <v>7.42</v>
      </c>
      <c r="AH27" t="s">
        <v>50</v>
      </c>
    </row>
    <row r="28" spans="1:34" ht="15" customHeight="1" x14ac:dyDescent="0.35">
      <c r="A28">
        <v>7547676</v>
      </c>
      <c r="B28">
        <v>690929</v>
      </c>
      <c r="C28" t="s">
        <v>34</v>
      </c>
      <c r="D28" t="s">
        <v>35</v>
      </c>
      <c r="E28" s="6" t="s">
        <v>34</v>
      </c>
      <c r="F28" t="s">
        <v>148</v>
      </c>
      <c r="G28" t="s">
        <v>37</v>
      </c>
      <c r="H28" t="s">
        <v>38</v>
      </c>
      <c r="I28" t="s">
        <v>149</v>
      </c>
      <c r="J28" t="s">
        <v>40</v>
      </c>
      <c r="K28">
        <v>2</v>
      </c>
      <c r="L28" t="s">
        <v>41</v>
      </c>
      <c r="M28" t="s">
        <v>42</v>
      </c>
      <c r="N28" t="s">
        <v>43</v>
      </c>
      <c r="O28" s="7">
        <v>1</v>
      </c>
      <c r="P28" s="8">
        <v>45152.592650462961</v>
      </c>
      <c r="Q28" s="9">
        <v>45154</v>
      </c>
      <c r="R28" t="s">
        <v>37</v>
      </c>
      <c r="S28" t="s">
        <v>44</v>
      </c>
      <c r="T28" t="s">
        <v>45</v>
      </c>
      <c r="U28" t="s">
        <v>46</v>
      </c>
      <c r="V28" t="s">
        <v>150</v>
      </c>
      <c r="W28">
        <v>13500</v>
      </c>
      <c r="X28" t="s">
        <v>44</v>
      </c>
      <c r="Y28" t="s">
        <v>151</v>
      </c>
      <c r="Z28" t="s">
        <v>49</v>
      </c>
      <c r="AA28" s="10">
        <f>IF(O28&lt;=1,7,7+0.8*ROUNDUP(O28-1,0))</f>
        <v>7</v>
      </c>
      <c r="AB28" s="11">
        <v>0</v>
      </c>
      <c r="AC28" s="11">
        <v>0</v>
      </c>
      <c r="AD28" s="11">
        <v>0</v>
      </c>
      <c r="AE28" s="11">
        <v>0</v>
      </c>
      <c r="AF28" s="11">
        <f t="shared" si="2"/>
        <v>0.42</v>
      </c>
      <c r="AG28" s="11">
        <f t="shared" si="3"/>
        <v>7.42</v>
      </c>
      <c r="AH28" t="s">
        <v>50</v>
      </c>
    </row>
    <row r="29" spans="1:34" ht="15" customHeight="1" x14ac:dyDescent="0.35">
      <c r="A29">
        <v>7547676</v>
      </c>
      <c r="B29">
        <v>690929</v>
      </c>
      <c r="C29" t="s">
        <v>34</v>
      </c>
      <c r="D29" t="s">
        <v>35</v>
      </c>
      <c r="E29" s="6" t="s">
        <v>34</v>
      </c>
      <c r="F29" t="s">
        <v>152</v>
      </c>
      <c r="G29" t="s">
        <v>37</v>
      </c>
      <c r="H29" t="s">
        <v>38</v>
      </c>
      <c r="I29" t="s">
        <v>153</v>
      </c>
      <c r="J29" t="s">
        <v>40</v>
      </c>
      <c r="K29">
        <v>2</v>
      </c>
      <c r="L29" t="s">
        <v>41</v>
      </c>
      <c r="M29" t="s">
        <v>42</v>
      </c>
      <c r="N29" t="s">
        <v>43</v>
      </c>
      <c r="O29" s="7">
        <v>1</v>
      </c>
      <c r="P29" s="8">
        <v>45153.704201388886</v>
      </c>
      <c r="Q29" s="9">
        <v>45154</v>
      </c>
      <c r="R29" t="s">
        <v>37</v>
      </c>
      <c r="S29" t="s">
        <v>44</v>
      </c>
      <c r="T29" t="s">
        <v>53</v>
      </c>
      <c r="U29" t="s">
        <v>67</v>
      </c>
      <c r="V29" t="s">
        <v>154</v>
      </c>
      <c r="W29">
        <v>26600</v>
      </c>
      <c r="X29" t="s">
        <v>44</v>
      </c>
      <c r="Y29" t="s">
        <v>53</v>
      </c>
      <c r="Z29" t="s">
        <v>49</v>
      </c>
      <c r="AA29" s="10">
        <f>IF(O29&lt;=1,7,7+0.8*ROUNDUP(O29-1,0))</f>
        <v>7</v>
      </c>
      <c r="AB29" s="11">
        <v>0</v>
      </c>
      <c r="AC29" s="11">
        <v>0</v>
      </c>
      <c r="AD29" s="11">
        <v>0</v>
      </c>
      <c r="AE29" s="11">
        <v>0</v>
      </c>
      <c r="AF29" s="11">
        <f t="shared" si="2"/>
        <v>0.42</v>
      </c>
      <c r="AG29" s="11">
        <f t="shared" si="3"/>
        <v>7.42</v>
      </c>
      <c r="AH29" t="s">
        <v>50</v>
      </c>
    </row>
    <row r="30" spans="1:34" ht="15" customHeight="1" x14ac:dyDescent="0.35">
      <c r="A30">
        <v>7547676</v>
      </c>
      <c r="B30">
        <v>690929</v>
      </c>
      <c r="C30" t="s">
        <v>34</v>
      </c>
      <c r="D30" t="s">
        <v>35</v>
      </c>
      <c r="E30" s="6" t="s">
        <v>34</v>
      </c>
      <c r="F30" t="s">
        <v>155</v>
      </c>
      <c r="G30" t="s">
        <v>37</v>
      </c>
      <c r="H30" t="s">
        <v>38</v>
      </c>
      <c r="I30" t="s">
        <v>156</v>
      </c>
      <c r="J30" t="s">
        <v>40</v>
      </c>
      <c r="K30">
        <v>2</v>
      </c>
      <c r="L30" t="s">
        <v>41</v>
      </c>
      <c r="M30" t="s">
        <v>42</v>
      </c>
      <c r="N30" t="s">
        <v>43</v>
      </c>
      <c r="O30" s="7">
        <v>1</v>
      </c>
      <c r="P30" s="8">
        <v>45153.704201388886</v>
      </c>
      <c r="Q30" s="9">
        <v>45154</v>
      </c>
      <c r="R30" t="s">
        <v>37</v>
      </c>
      <c r="S30" t="s">
        <v>44</v>
      </c>
      <c r="T30" t="s">
        <v>53</v>
      </c>
      <c r="U30" t="s">
        <v>59</v>
      </c>
      <c r="V30" t="s">
        <v>157</v>
      </c>
      <c r="W30">
        <v>16310</v>
      </c>
      <c r="X30" t="s">
        <v>44</v>
      </c>
      <c r="Y30" t="s">
        <v>53</v>
      </c>
      <c r="Z30" t="s">
        <v>49</v>
      </c>
      <c r="AA30" s="10">
        <f>IF(O30&lt;=1,7,7+0.8*ROUNDUP(O30-1,0))</f>
        <v>7</v>
      </c>
      <c r="AB30" s="11">
        <v>0</v>
      </c>
      <c r="AC30" s="11">
        <v>0</v>
      </c>
      <c r="AD30" s="11">
        <v>0</v>
      </c>
      <c r="AE30" s="11">
        <v>0</v>
      </c>
      <c r="AF30" s="11">
        <f t="shared" si="2"/>
        <v>0.42</v>
      </c>
      <c r="AG30" s="11">
        <f t="shared" si="3"/>
        <v>7.42</v>
      </c>
      <c r="AH30" t="s">
        <v>50</v>
      </c>
    </row>
    <row r="31" spans="1:34" ht="15" customHeight="1" x14ac:dyDescent="0.35">
      <c r="A31">
        <v>7547676</v>
      </c>
      <c r="B31">
        <v>690929</v>
      </c>
      <c r="C31" t="s">
        <v>34</v>
      </c>
      <c r="D31" t="s">
        <v>35</v>
      </c>
      <c r="E31" s="6" t="s">
        <v>34</v>
      </c>
      <c r="F31" t="s">
        <v>158</v>
      </c>
      <c r="G31" t="s">
        <v>37</v>
      </c>
      <c r="H31" t="s">
        <v>38</v>
      </c>
      <c r="I31" t="s">
        <v>159</v>
      </c>
      <c r="J31" t="s">
        <v>40</v>
      </c>
      <c r="K31">
        <v>2</v>
      </c>
      <c r="L31" t="s">
        <v>41</v>
      </c>
      <c r="M31" t="s">
        <v>42</v>
      </c>
      <c r="N31" t="s">
        <v>43</v>
      </c>
      <c r="O31" s="7">
        <v>1</v>
      </c>
      <c r="P31" s="8">
        <v>45153.450937499998</v>
      </c>
      <c r="Q31" s="9">
        <v>45154</v>
      </c>
      <c r="R31" t="s">
        <v>37</v>
      </c>
      <c r="S31" t="s">
        <v>44</v>
      </c>
      <c r="T31" t="s">
        <v>53</v>
      </c>
      <c r="U31" t="s">
        <v>54</v>
      </c>
      <c r="V31" t="s">
        <v>160</v>
      </c>
      <c r="W31">
        <v>43000</v>
      </c>
      <c r="X31" t="s">
        <v>44</v>
      </c>
      <c r="Y31" t="s">
        <v>161</v>
      </c>
      <c r="Z31" t="s">
        <v>49</v>
      </c>
      <c r="AA31" s="10">
        <f>IF(O31&lt;=1,7,7+0.8*ROUNDUP(O31-1,0))</f>
        <v>7</v>
      </c>
      <c r="AB31" s="11">
        <v>0</v>
      </c>
      <c r="AC31" s="11">
        <v>0</v>
      </c>
      <c r="AD31" s="11">
        <v>0</v>
      </c>
      <c r="AE31" s="11">
        <v>0</v>
      </c>
      <c r="AF31" s="11">
        <f t="shared" si="2"/>
        <v>0.42</v>
      </c>
      <c r="AG31" s="11">
        <f t="shared" si="3"/>
        <v>7.42</v>
      </c>
      <c r="AH31" t="s">
        <v>50</v>
      </c>
    </row>
    <row r="32" spans="1:34" ht="15" customHeight="1" x14ac:dyDescent="0.35">
      <c r="A32">
        <v>7547676</v>
      </c>
      <c r="B32">
        <v>690929</v>
      </c>
      <c r="C32" t="s">
        <v>34</v>
      </c>
      <c r="D32" t="s">
        <v>35</v>
      </c>
      <c r="E32" s="6" t="s">
        <v>34</v>
      </c>
      <c r="F32" t="s">
        <v>162</v>
      </c>
      <c r="G32" t="s">
        <v>37</v>
      </c>
      <c r="H32" t="s">
        <v>38</v>
      </c>
      <c r="I32" t="s">
        <v>163</v>
      </c>
      <c r="J32" t="s">
        <v>40</v>
      </c>
      <c r="K32">
        <v>2</v>
      </c>
      <c r="L32" t="s">
        <v>41</v>
      </c>
      <c r="M32" t="s">
        <v>42</v>
      </c>
      <c r="N32" t="s">
        <v>43</v>
      </c>
      <c r="O32" s="7">
        <v>3</v>
      </c>
      <c r="P32" s="8">
        <v>45152.798483796294</v>
      </c>
      <c r="Q32" s="9">
        <v>45154</v>
      </c>
      <c r="R32" t="s">
        <v>37</v>
      </c>
      <c r="S32" t="s">
        <v>44</v>
      </c>
      <c r="T32" t="s">
        <v>53</v>
      </c>
      <c r="U32" t="s">
        <v>134</v>
      </c>
      <c r="V32" t="s">
        <v>164</v>
      </c>
      <c r="W32">
        <v>56000</v>
      </c>
      <c r="X32" t="s">
        <v>44</v>
      </c>
      <c r="Y32" t="s">
        <v>136</v>
      </c>
      <c r="Z32" t="s">
        <v>49</v>
      </c>
      <c r="AA32" s="10">
        <f>IF(O32&lt;=1,7,7+0.8*ROUNDUP(O32-1,0))</f>
        <v>8.6</v>
      </c>
      <c r="AB32" s="11">
        <v>0</v>
      </c>
      <c r="AC32" s="11">
        <v>0</v>
      </c>
      <c r="AD32" s="11">
        <v>0</v>
      </c>
      <c r="AE32" s="11">
        <v>0</v>
      </c>
      <c r="AF32" s="11">
        <f t="shared" si="2"/>
        <v>0.51600000000000001</v>
      </c>
      <c r="AG32" s="11">
        <f t="shared" si="3"/>
        <v>9.1159999999999997</v>
      </c>
      <c r="AH32" t="s">
        <v>50</v>
      </c>
    </row>
    <row r="33" spans="1:34" ht="15" customHeight="1" x14ac:dyDescent="0.35">
      <c r="A33">
        <v>7547676</v>
      </c>
      <c r="B33">
        <v>690929</v>
      </c>
      <c r="C33" t="s">
        <v>34</v>
      </c>
      <c r="D33" t="s">
        <v>35</v>
      </c>
      <c r="E33" s="6" t="s">
        <v>34</v>
      </c>
      <c r="F33" t="s">
        <v>165</v>
      </c>
      <c r="G33" t="s">
        <v>37</v>
      </c>
      <c r="H33" t="s">
        <v>38</v>
      </c>
      <c r="I33" t="s">
        <v>166</v>
      </c>
      <c r="J33" t="s">
        <v>40</v>
      </c>
      <c r="K33">
        <v>2</v>
      </c>
      <c r="L33" t="s">
        <v>41</v>
      </c>
      <c r="M33" t="s">
        <v>42</v>
      </c>
      <c r="N33" t="s">
        <v>43</v>
      </c>
      <c r="O33" s="7">
        <v>1</v>
      </c>
      <c r="P33" s="8">
        <v>45153.450937499998</v>
      </c>
      <c r="Q33" s="9">
        <v>45154</v>
      </c>
      <c r="R33" t="s">
        <v>37</v>
      </c>
      <c r="S33" t="s">
        <v>44</v>
      </c>
      <c r="T33" t="s">
        <v>53</v>
      </c>
      <c r="U33" t="s">
        <v>59</v>
      </c>
      <c r="V33" t="s">
        <v>167</v>
      </c>
      <c r="W33">
        <v>16300</v>
      </c>
      <c r="X33" t="s">
        <v>44</v>
      </c>
      <c r="Y33" t="s">
        <v>53</v>
      </c>
      <c r="Z33" t="s">
        <v>49</v>
      </c>
      <c r="AA33" s="10">
        <f>IF(O33&lt;=1,7,7+0.8*ROUNDUP(O33-1,0))</f>
        <v>7</v>
      </c>
      <c r="AB33" s="11">
        <v>0</v>
      </c>
      <c r="AC33" s="11">
        <v>0</v>
      </c>
      <c r="AD33" s="11">
        <v>0</v>
      </c>
      <c r="AE33" s="11">
        <v>0</v>
      </c>
      <c r="AF33" s="11">
        <f t="shared" si="2"/>
        <v>0.42</v>
      </c>
      <c r="AG33" s="11">
        <f t="shared" si="3"/>
        <v>7.42</v>
      </c>
      <c r="AH33" t="s">
        <v>50</v>
      </c>
    </row>
    <row r="34" spans="1:34" ht="15" customHeight="1" x14ac:dyDescent="0.35">
      <c r="A34">
        <v>7547676</v>
      </c>
      <c r="B34">
        <v>690929</v>
      </c>
      <c r="C34" t="s">
        <v>34</v>
      </c>
      <c r="D34" t="s">
        <v>35</v>
      </c>
      <c r="E34" s="6" t="s">
        <v>34</v>
      </c>
      <c r="F34" t="s">
        <v>168</v>
      </c>
      <c r="G34" t="s">
        <v>37</v>
      </c>
      <c r="H34" t="s">
        <v>38</v>
      </c>
      <c r="I34" t="s">
        <v>169</v>
      </c>
      <c r="J34" t="s">
        <v>40</v>
      </c>
      <c r="K34">
        <v>2</v>
      </c>
      <c r="L34" t="s">
        <v>41</v>
      </c>
      <c r="M34" t="s">
        <v>42</v>
      </c>
      <c r="N34" t="s">
        <v>43</v>
      </c>
      <c r="O34" s="7">
        <v>1</v>
      </c>
      <c r="P34" s="8">
        <v>45153.704201388886</v>
      </c>
      <c r="Q34" s="9">
        <v>45154</v>
      </c>
      <c r="R34" t="s">
        <v>37</v>
      </c>
      <c r="S34" t="s">
        <v>44</v>
      </c>
      <c r="T34" t="s">
        <v>53</v>
      </c>
      <c r="U34" t="s">
        <v>72</v>
      </c>
      <c r="V34" t="s">
        <v>170</v>
      </c>
      <c r="W34">
        <v>23300</v>
      </c>
      <c r="X34" t="s">
        <v>44</v>
      </c>
      <c r="Y34" t="s">
        <v>53</v>
      </c>
      <c r="Z34" t="s">
        <v>49</v>
      </c>
      <c r="AA34" s="10">
        <f>IF(O34&lt;=1,7,7+0.8*ROUNDUP(O34-1,0))</f>
        <v>7</v>
      </c>
      <c r="AB34" s="11">
        <v>0</v>
      </c>
      <c r="AC34" s="11">
        <v>0</v>
      </c>
      <c r="AD34" s="11">
        <v>0</v>
      </c>
      <c r="AE34" s="11">
        <v>0</v>
      </c>
      <c r="AF34" s="11">
        <f t="shared" si="2"/>
        <v>0.42</v>
      </c>
      <c r="AG34" s="11">
        <f t="shared" si="3"/>
        <v>7.42</v>
      </c>
      <c r="AH34" t="s">
        <v>50</v>
      </c>
    </row>
    <row r="35" spans="1:34" ht="15" customHeight="1" x14ac:dyDescent="0.35">
      <c r="A35">
        <v>7547676</v>
      </c>
      <c r="B35">
        <v>690929</v>
      </c>
      <c r="C35" t="s">
        <v>34</v>
      </c>
      <c r="D35" t="s">
        <v>35</v>
      </c>
      <c r="E35" s="6" t="s">
        <v>34</v>
      </c>
      <c r="F35" t="s">
        <v>171</v>
      </c>
      <c r="G35" t="s">
        <v>37</v>
      </c>
      <c r="H35" t="s">
        <v>38</v>
      </c>
      <c r="I35" t="s">
        <v>172</v>
      </c>
      <c r="J35" t="s">
        <v>40</v>
      </c>
      <c r="K35">
        <v>2</v>
      </c>
      <c r="L35" t="s">
        <v>41</v>
      </c>
      <c r="M35" t="s">
        <v>42</v>
      </c>
      <c r="N35" t="s">
        <v>43</v>
      </c>
      <c r="O35" s="7">
        <v>1</v>
      </c>
      <c r="P35" s="8">
        <v>45153.704189814816</v>
      </c>
      <c r="Q35" s="9">
        <v>45154</v>
      </c>
      <c r="R35" t="s">
        <v>37</v>
      </c>
      <c r="S35" t="s">
        <v>44</v>
      </c>
      <c r="T35" t="s">
        <v>53</v>
      </c>
      <c r="U35" t="s">
        <v>54</v>
      </c>
      <c r="V35" t="s">
        <v>173</v>
      </c>
      <c r="W35">
        <v>48020</v>
      </c>
      <c r="X35" t="s">
        <v>44</v>
      </c>
      <c r="Y35" t="s">
        <v>174</v>
      </c>
      <c r="Z35" t="s">
        <v>49</v>
      </c>
      <c r="AA35" s="10">
        <f>IF(O35&lt;=1,7,7+0.8*ROUNDUP(O35-1,0))</f>
        <v>7</v>
      </c>
      <c r="AB35" s="11">
        <v>0</v>
      </c>
      <c r="AC35" s="11">
        <v>0</v>
      </c>
      <c r="AD35" s="11">
        <v>0</v>
      </c>
      <c r="AE35" s="11">
        <v>0</v>
      </c>
      <c r="AF35" s="11">
        <f t="shared" si="2"/>
        <v>0.42</v>
      </c>
      <c r="AG35" s="11">
        <f t="shared" si="3"/>
        <v>7.42</v>
      </c>
      <c r="AH35" t="s">
        <v>50</v>
      </c>
    </row>
    <row r="36" spans="1:34" ht="15" customHeight="1" x14ac:dyDescent="0.35">
      <c r="A36">
        <v>7547676</v>
      </c>
      <c r="B36">
        <v>690929</v>
      </c>
      <c r="C36" t="s">
        <v>34</v>
      </c>
      <c r="D36" t="s">
        <v>35</v>
      </c>
      <c r="E36" s="6" t="s">
        <v>34</v>
      </c>
      <c r="F36" t="s">
        <v>175</v>
      </c>
      <c r="G36" t="s">
        <v>37</v>
      </c>
      <c r="H36" t="s">
        <v>38</v>
      </c>
      <c r="I36" t="s">
        <v>176</v>
      </c>
      <c r="J36" t="s">
        <v>40</v>
      </c>
      <c r="K36">
        <v>2</v>
      </c>
      <c r="L36" t="s">
        <v>41</v>
      </c>
      <c r="M36" t="s">
        <v>42</v>
      </c>
      <c r="N36" t="s">
        <v>43</v>
      </c>
      <c r="O36" s="7">
        <v>1</v>
      </c>
      <c r="P36" s="8">
        <v>45154.728263888886</v>
      </c>
      <c r="Q36" s="9">
        <v>45155</v>
      </c>
      <c r="R36" t="s">
        <v>37</v>
      </c>
      <c r="S36" t="s">
        <v>44</v>
      </c>
      <c r="T36" t="s">
        <v>53</v>
      </c>
      <c r="U36" t="s">
        <v>177</v>
      </c>
      <c r="V36" t="s">
        <v>178</v>
      </c>
      <c r="W36">
        <v>70450</v>
      </c>
      <c r="X36" t="s">
        <v>44</v>
      </c>
      <c r="Y36" t="s">
        <v>179</v>
      </c>
      <c r="Z36" t="s">
        <v>49</v>
      </c>
      <c r="AA36" s="10">
        <f>IF(O36&lt;=1,7,7+0.8*ROUNDUP(O36-1,0))</f>
        <v>7</v>
      </c>
      <c r="AB36" s="11">
        <v>0</v>
      </c>
      <c r="AC36" s="11">
        <v>0</v>
      </c>
      <c r="AD36" s="11">
        <v>0</v>
      </c>
      <c r="AE36" s="11">
        <v>0</v>
      </c>
      <c r="AF36" s="11">
        <f t="shared" si="2"/>
        <v>0.42</v>
      </c>
      <c r="AG36" s="11">
        <f t="shared" si="3"/>
        <v>7.42</v>
      </c>
      <c r="AH36" t="s">
        <v>50</v>
      </c>
    </row>
    <row r="37" spans="1:34" ht="15" customHeight="1" x14ac:dyDescent="0.35">
      <c r="A37">
        <v>7547676</v>
      </c>
      <c r="B37">
        <v>690929</v>
      </c>
      <c r="C37" t="s">
        <v>34</v>
      </c>
      <c r="D37" t="s">
        <v>35</v>
      </c>
      <c r="E37" s="6" t="s">
        <v>34</v>
      </c>
      <c r="F37" t="s">
        <v>180</v>
      </c>
      <c r="G37" t="s">
        <v>37</v>
      </c>
      <c r="H37" t="s">
        <v>38</v>
      </c>
      <c r="I37" t="s">
        <v>181</v>
      </c>
      <c r="J37" t="s">
        <v>40</v>
      </c>
      <c r="K37">
        <v>2</v>
      </c>
      <c r="L37" t="s">
        <v>41</v>
      </c>
      <c r="M37" t="s">
        <v>42</v>
      </c>
      <c r="N37" t="s">
        <v>43</v>
      </c>
      <c r="O37" s="7">
        <v>2</v>
      </c>
      <c r="P37" s="8">
        <v>45153.619456018518</v>
      </c>
      <c r="Q37" s="9">
        <v>45155</v>
      </c>
      <c r="R37" t="s">
        <v>37</v>
      </c>
      <c r="S37" t="s">
        <v>44</v>
      </c>
      <c r="T37" t="s">
        <v>53</v>
      </c>
      <c r="U37" t="s">
        <v>81</v>
      </c>
      <c r="V37" t="s">
        <v>182</v>
      </c>
      <c r="W37">
        <v>31600</v>
      </c>
      <c r="X37" t="s">
        <v>44</v>
      </c>
      <c r="Y37" t="s">
        <v>183</v>
      </c>
      <c r="Z37" t="s">
        <v>49</v>
      </c>
      <c r="AA37" s="10">
        <f>IF(O37&lt;=1,7,7+0.8*ROUNDUP(O37-1,0))</f>
        <v>7.8</v>
      </c>
      <c r="AB37" s="11">
        <v>0</v>
      </c>
      <c r="AC37" s="11">
        <v>0</v>
      </c>
      <c r="AD37" s="11">
        <v>0</v>
      </c>
      <c r="AE37" s="11">
        <v>0</v>
      </c>
      <c r="AF37" s="11">
        <f t="shared" si="2"/>
        <v>0.46799999999999997</v>
      </c>
      <c r="AG37" s="11">
        <f t="shared" si="3"/>
        <v>8.2680000000000007</v>
      </c>
      <c r="AH37" t="s">
        <v>50</v>
      </c>
    </row>
    <row r="38" spans="1:34" ht="15" customHeight="1" x14ac:dyDescent="0.35">
      <c r="A38">
        <v>7547676</v>
      </c>
      <c r="B38">
        <v>690929</v>
      </c>
      <c r="C38" t="s">
        <v>34</v>
      </c>
      <c r="D38" t="s">
        <v>35</v>
      </c>
      <c r="E38" s="6" t="s">
        <v>34</v>
      </c>
      <c r="F38" t="s">
        <v>184</v>
      </c>
      <c r="G38" t="s">
        <v>37</v>
      </c>
      <c r="H38" t="s">
        <v>38</v>
      </c>
      <c r="I38" t="s">
        <v>185</v>
      </c>
      <c r="J38" t="s">
        <v>40</v>
      </c>
      <c r="K38">
        <v>2</v>
      </c>
      <c r="L38" t="s">
        <v>41</v>
      </c>
      <c r="M38" t="s">
        <v>42</v>
      </c>
      <c r="N38" t="s">
        <v>43</v>
      </c>
      <c r="O38" s="7">
        <v>1</v>
      </c>
      <c r="P38" s="8">
        <v>45154.72550925926</v>
      </c>
      <c r="Q38" s="9">
        <v>45155</v>
      </c>
      <c r="R38" t="s">
        <v>37</v>
      </c>
      <c r="S38" t="s">
        <v>44</v>
      </c>
      <c r="T38" t="s">
        <v>53</v>
      </c>
      <c r="U38" t="s">
        <v>54</v>
      </c>
      <c r="V38" t="s">
        <v>186</v>
      </c>
      <c r="W38">
        <v>47200</v>
      </c>
      <c r="X38" t="s">
        <v>44</v>
      </c>
      <c r="Y38" t="s">
        <v>125</v>
      </c>
      <c r="Z38" t="s">
        <v>49</v>
      </c>
      <c r="AA38" s="10">
        <f>IF(O38&lt;=1,7,7+0.8*ROUNDUP(O38-1,0))</f>
        <v>7</v>
      </c>
      <c r="AB38" s="11">
        <v>0</v>
      </c>
      <c r="AC38" s="11">
        <v>0</v>
      </c>
      <c r="AD38" s="11">
        <v>0</v>
      </c>
      <c r="AE38" s="11">
        <v>0</v>
      </c>
      <c r="AF38" s="11">
        <f t="shared" si="2"/>
        <v>0.42</v>
      </c>
      <c r="AG38" s="11">
        <f t="shared" si="3"/>
        <v>7.42</v>
      </c>
      <c r="AH38" t="s">
        <v>50</v>
      </c>
    </row>
    <row r="39" spans="1:34" ht="15" customHeight="1" x14ac:dyDescent="0.35">
      <c r="A39">
        <v>7547676</v>
      </c>
      <c r="B39">
        <v>690929</v>
      </c>
      <c r="C39" t="s">
        <v>34</v>
      </c>
      <c r="D39" t="s">
        <v>35</v>
      </c>
      <c r="E39" s="6" t="s">
        <v>34</v>
      </c>
      <c r="F39" t="s">
        <v>187</v>
      </c>
      <c r="G39" t="s">
        <v>37</v>
      </c>
      <c r="H39" t="s">
        <v>38</v>
      </c>
      <c r="I39" t="s">
        <v>188</v>
      </c>
      <c r="J39" t="s">
        <v>40</v>
      </c>
      <c r="K39">
        <v>2</v>
      </c>
      <c r="L39" t="s">
        <v>41</v>
      </c>
      <c r="M39" t="s">
        <v>42</v>
      </c>
      <c r="N39" t="s">
        <v>43</v>
      </c>
      <c r="O39" s="7">
        <v>1</v>
      </c>
      <c r="P39" s="8">
        <v>45154.704155092593</v>
      </c>
      <c r="Q39" s="9">
        <v>45155</v>
      </c>
      <c r="R39" t="s">
        <v>37</v>
      </c>
      <c r="S39" t="s">
        <v>44</v>
      </c>
      <c r="T39" t="s">
        <v>53</v>
      </c>
      <c r="U39" t="s">
        <v>54</v>
      </c>
      <c r="V39" t="s">
        <v>189</v>
      </c>
      <c r="W39">
        <v>47000</v>
      </c>
      <c r="X39" t="s">
        <v>44</v>
      </c>
      <c r="Y39" t="s">
        <v>91</v>
      </c>
      <c r="Z39" t="s">
        <v>49</v>
      </c>
      <c r="AA39" s="10">
        <f>IF(O39&lt;=1,7,7+0.8*ROUNDUP(O39-1,0))</f>
        <v>7</v>
      </c>
      <c r="AB39" s="11">
        <v>0</v>
      </c>
      <c r="AC39" s="11">
        <v>0</v>
      </c>
      <c r="AD39" s="11">
        <v>0</v>
      </c>
      <c r="AE39" s="11">
        <v>0</v>
      </c>
      <c r="AF39" s="11">
        <f t="shared" si="2"/>
        <v>0.42</v>
      </c>
      <c r="AG39" s="11">
        <f t="shared" si="3"/>
        <v>7.42</v>
      </c>
      <c r="AH39" t="s">
        <v>50</v>
      </c>
    </row>
    <row r="40" spans="1:34" ht="15" customHeight="1" x14ac:dyDescent="0.35">
      <c r="A40">
        <v>7547676</v>
      </c>
      <c r="B40">
        <v>690929</v>
      </c>
      <c r="C40" t="s">
        <v>34</v>
      </c>
      <c r="D40" t="s">
        <v>35</v>
      </c>
      <c r="E40" s="6" t="s">
        <v>34</v>
      </c>
      <c r="F40" t="s">
        <v>190</v>
      </c>
      <c r="G40" t="s">
        <v>37</v>
      </c>
      <c r="H40" t="s">
        <v>38</v>
      </c>
      <c r="I40" t="s">
        <v>191</v>
      </c>
      <c r="J40" t="s">
        <v>40</v>
      </c>
      <c r="K40">
        <v>2</v>
      </c>
      <c r="L40" t="s">
        <v>41</v>
      </c>
      <c r="M40" t="s">
        <v>42</v>
      </c>
      <c r="N40" t="s">
        <v>43</v>
      </c>
      <c r="O40" s="7">
        <v>1</v>
      </c>
      <c r="P40" s="8">
        <v>45153.704189814816</v>
      </c>
      <c r="Q40" s="9">
        <v>45155</v>
      </c>
      <c r="R40" t="s">
        <v>37</v>
      </c>
      <c r="S40" t="s">
        <v>44</v>
      </c>
      <c r="T40" t="s">
        <v>53</v>
      </c>
      <c r="U40" t="s">
        <v>192</v>
      </c>
      <c r="V40" t="s">
        <v>193</v>
      </c>
      <c r="W40">
        <v>93250</v>
      </c>
      <c r="X40" t="s">
        <v>194</v>
      </c>
      <c r="Y40" t="s">
        <v>136</v>
      </c>
      <c r="Z40" t="s">
        <v>49</v>
      </c>
      <c r="AA40" s="12">
        <f>IF(O40&lt;=1,13,IF(O40&lt;=2,23,IF(O40&lt;=3,35,IF(O40&lt;=4,43,IF(O40&lt;=5,53,IF(O40&lt;=6,63,IF(O40&lt;=7,71,IF(O40&lt;=8,79,IF(O40&lt;=9,87,IF(O40&lt;=10,95,IF(O40&lt;=11,105,IF(O40&lt;=12,114,IF(O40&lt;=13,119,IF(O40&lt;=14,127,IF(O40&lt;=15,135,IF(O40&lt;=16,143,IF(O40&lt;=17,153,IF(O40&lt;=18,163,IF(O40&lt;=19,171,IF(O40&lt;=20,185,IF(O40&lt;=21,193,IF(O40&lt;=22,201,IF(O40&lt;=23,210,IF(O40&lt;=24,220,IF(O40&lt;=25,230,IF(O40&lt;=26,240,IF(O40&lt;=27,250,IF(O40&lt;=28,260,IF(O40&lt;=29,270,IF(O40&lt;=30,280,280+10*ROUNDUP(O40-30,0)))))))))))))))))))))))))))))))</f>
        <v>13</v>
      </c>
      <c r="AB40" s="11">
        <v>0</v>
      </c>
      <c r="AC40" s="11">
        <v>0</v>
      </c>
      <c r="AD40" s="11">
        <v>0</v>
      </c>
      <c r="AE40" s="11">
        <v>0</v>
      </c>
      <c r="AF40" s="11">
        <f t="shared" si="2"/>
        <v>0.78</v>
      </c>
      <c r="AG40" s="11">
        <f t="shared" si="3"/>
        <v>13.78</v>
      </c>
      <c r="AH40" t="s">
        <v>194</v>
      </c>
    </row>
    <row r="41" spans="1:34" ht="15" customHeight="1" x14ac:dyDescent="0.35">
      <c r="A41">
        <v>7547676</v>
      </c>
      <c r="B41">
        <v>690929</v>
      </c>
      <c r="C41" t="s">
        <v>34</v>
      </c>
      <c r="D41" t="s">
        <v>35</v>
      </c>
      <c r="E41" s="6" t="s">
        <v>34</v>
      </c>
      <c r="F41" t="s">
        <v>195</v>
      </c>
      <c r="G41" t="s">
        <v>37</v>
      </c>
      <c r="H41" t="s">
        <v>38</v>
      </c>
      <c r="I41" t="s">
        <v>196</v>
      </c>
      <c r="J41" t="s">
        <v>40</v>
      </c>
      <c r="K41">
        <v>2</v>
      </c>
      <c r="L41" t="s">
        <v>41</v>
      </c>
      <c r="M41" t="s">
        <v>42</v>
      </c>
      <c r="N41" t="s">
        <v>43</v>
      </c>
      <c r="O41" s="7">
        <v>1</v>
      </c>
      <c r="P41" s="8">
        <v>45152.646643518521</v>
      </c>
      <c r="Q41" s="9">
        <v>45155</v>
      </c>
      <c r="R41" t="s">
        <v>37</v>
      </c>
      <c r="S41" t="s">
        <v>44</v>
      </c>
      <c r="T41" t="s">
        <v>45</v>
      </c>
      <c r="U41" t="s">
        <v>197</v>
      </c>
      <c r="V41" t="s">
        <v>198</v>
      </c>
      <c r="W41">
        <v>81440</v>
      </c>
      <c r="X41" t="s">
        <v>44</v>
      </c>
      <c r="Y41" t="s">
        <v>199</v>
      </c>
      <c r="Z41" t="s">
        <v>49</v>
      </c>
      <c r="AA41" s="10">
        <f>IF(O41&lt;=1,7,7+0.8*ROUNDUP(O41-1,0))</f>
        <v>7</v>
      </c>
      <c r="AB41" s="11">
        <v>0</v>
      </c>
      <c r="AC41" s="11">
        <v>0</v>
      </c>
      <c r="AD41" s="11">
        <v>0</v>
      </c>
      <c r="AE41" s="11">
        <v>0</v>
      </c>
      <c r="AF41" s="11">
        <f t="shared" si="2"/>
        <v>0.42</v>
      </c>
      <c r="AG41" s="11">
        <f t="shared" si="3"/>
        <v>7.42</v>
      </c>
      <c r="AH41" t="s">
        <v>50</v>
      </c>
    </row>
    <row r="42" spans="1:34" ht="15" customHeight="1" x14ac:dyDescent="0.35">
      <c r="A42">
        <v>7547676</v>
      </c>
      <c r="B42">
        <v>690929</v>
      </c>
      <c r="C42" t="s">
        <v>34</v>
      </c>
      <c r="D42" t="s">
        <v>35</v>
      </c>
      <c r="E42" s="6" t="s">
        <v>34</v>
      </c>
      <c r="F42" t="s">
        <v>200</v>
      </c>
      <c r="G42" t="s">
        <v>37</v>
      </c>
      <c r="H42" t="s">
        <v>38</v>
      </c>
      <c r="I42" t="s">
        <v>201</v>
      </c>
      <c r="J42" t="s">
        <v>40</v>
      </c>
      <c r="K42">
        <v>2</v>
      </c>
      <c r="L42" t="s">
        <v>41</v>
      </c>
      <c r="M42" t="s">
        <v>42</v>
      </c>
      <c r="N42" t="s">
        <v>43</v>
      </c>
      <c r="O42" s="7">
        <v>1</v>
      </c>
      <c r="P42" s="8">
        <v>45154.438969907409</v>
      </c>
      <c r="Q42" s="9">
        <v>45155</v>
      </c>
      <c r="R42" t="s">
        <v>37</v>
      </c>
      <c r="S42" t="s">
        <v>44</v>
      </c>
      <c r="T42" t="s">
        <v>53</v>
      </c>
      <c r="U42" t="s">
        <v>202</v>
      </c>
      <c r="V42" t="s">
        <v>203</v>
      </c>
      <c r="W42">
        <v>75250</v>
      </c>
      <c r="X42" t="s">
        <v>44</v>
      </c>
      <c r="Y42" t="s">
        <v>136</v>
      </c>
      <c r="Z42" t="s">
        <v>49</v>
      </c>
      <c r="AA42" s="10">
        <f>IF(O42&lt;=1,7,7+0.8*ROUNDUP(O42-1,0))</f>
        <v>7</v>
      </c>
      <c r="AB42" s="11">
        <v>0</v>
      </c>
      <c r="AC42" s="11">
        <v>0</v>
      </c>
      <c r="AD42" s="11">
        <v>0</v>
      </c>
      <c r="AE42" s="11">
        <v>0</v>
      </c>
      <c r="AF42" s="11">
        <f t="shared" si="2"/>
        <v>0.42</v>
      </c>
      <c r="AG42" s="11">
        <f t="shared" si="3"/>
        <v>7.42</v>
      </c>
      <c r="AH42" t="s">
        <v>50</v>
      </c>
    </row>
    <row r="43" spans="1:34" ht="15" customHeight="1" x14ac:dyDescent="0.35">
      <c r="A43">
        <v>7547676</v>
      </c>
      <c r="B43">
        <v>690929</v>
      </c>
      <c r="C43" t="s">
        <v>34</v>
      </c>
      <c r="D43" t="s">
        <v>35</v>
      </c>
      <c r="E43" s="6" t="s">
        <v>34</v>
      </c>
      <c r="F43" t="s">
        <v>204</v>
      </c>
      <c r="G43" t="s">
        <v>37</v>
      </c>
      <c r="H43" t="s">
        <v>38</v>
      </c>
      <c r="I43" t="s">
        <v>205</v>
      </c>
      <c r="J43" t="s">
        <v>40</v>
      </c>
      <c r="K43">
        <v>2</v>
      </c>
      <c r="L43" t="s">
        <v>41</v>
      </c>
      <c r="M43" t="s">
        <v>42</v>
      </c>
      <c r="N43" t="s">
        <v>43</v>
      </c>
      <c r="O43" s="7">
        <v>2</v>
      </c>
      <c r="P43" s="8">
        <v>45153.615347222221</v>
      </c>
      <c r="Q43" s="9">
        <v>45155</v>
      </c>
      <c r="R43" t="s">
        <v>37</v>
      </c>
      <c r="S43" t="s">
        <v>44</v>
      </c>
      <c r="T43" t="s">
        <v>53</v>
      </c>
      <c r="U43" t="s">
        <v>46</v>
      </c>
      <c r="V43" t="s">
        <v>206</v>
      </c>
      <c r="W43">
        <v>11950</v>
      </c>
      <c r="X43" t="s">
        <v>44</v>
      </c>
      <c r="Y43" t="s">
        <v>207</v>
      </c>
      <c r="Z43" t="s">
        <v>49</v>
      </c>
      <c r="AA43" s="10">
        <f>IF(O43&lt;=1,7,7+0.8*ROUNDUP(O43-1,0))</f>
        <v>7.8</v>
      </c>
      <c r="AB43" s="11">
        <v>0</v>
      </c>
      <c r="AC43" s="11">
        <v>0</v>
      </c>
      <c r="AD43" s="11">
        <v>0</v>
      </c>
      <c r="AE43" s="11">
        <v>0</v>
      </c>
      <c r="AF43" s="11">
        <f t="shared" si="2"/>
        <v>0.46799999999999997</v>
      </c>
      <c r="AG43" s="11">
        <f t="shared" si="3"/>
        <v>8.2680000000000007</v>
      </c>
      <c r="AH43" t="s">
        <v>50</v>
      </c>
    </row>
    <row r="44" spans="1:34" ht="15" customHeight="1" x14ac:dyDescent="0.35">
      <c r="A44">
        <v>7547676</v>
      </c>
      <c r="B44">
        <v>690929</v>
      </c>
      <c r="C44" t="s">
        <v>34</v>
      </c>
      <c r="D44" t="s">
        <v>35</v>
      </c>
      <c r="E44" s="6" t="s">
        <v>34</v>
      </c>
      <c r="F44" t="s">
        <v>208</v>
      </c>
      <c r="G44" t="s">
        <v>37</v>
      </c>
      <c r="H44" t="s">
        <v>38</v>
      </c>
      <c r="I44" t="s">
        <v>209</v>
      </c>
      <c r="J44" t="s">
        <v>40</v>
      </c>
      <c r="K44">
        <v>2</v>
      </c>
      <c r="L44" t="s">
        <v>41</v>
      </c>
      <c r="M44" t="s">
        <v>42</v>
      </c>
      <c r="N44" t="s">
        <v>43</v>
      </c>
      <c r="O44" s="7">
        <v>1</v>
      </c>
      <c r="P44" s="8">
        <v>45153.613819444443</v>
      </c>
      <c r="Q44" s="9">
        <v>45155</v>
      </c>
      <c r="R44" t="s">
        <v>37</v>
      </c>
      <c r="S44" t="s">
        <v>44</v>
      </c>
      <c r="T44" t="s">
        <v>53</v>
      </c>
      <c r="U44" t="s">
        <v>210</v>
      </c>
      <c r="V44" t="s">
        <v>211</v>
      </c>
      <c r="W44">
        <v>6250</v>
      </c>
      <c r="X44" t="s">
        <v>44</v>
      </c>
      <c r="Y44" t="s">
        <v>212</v>
      </c>
      <c r="Z44" t="s">
        <v>49</v>
      </c>
      <c r="AA44" s="10">
        <f>IF(O44&lt;=1,7,7+0.8*ROUNDUP(O44-1,0))</f>
        <v>7</v>
      </c>
      <c r="AB44" s="11">
        <v>0</v>
      </c>
      <c r="AC44" s="11">
        <v>0</v>
      </c>
      <c r="AD44" s="11">
        <v>0</v>
      </c>
      <c r="AE44" s="11">
        <v>0</v>
      </c>
      <c r="AF44" s="11">
        <f t="shared" si="2"/>
        <v>0.42</v>
      </c>
      <c r="AG44" s="11">
        <f t="shared" si="3"/>
        <v>7.42</v>
      </c>
      <c r="AH44" t="s">
        <v>50</v>
      </c>
    </row>
    <row r="45" spans="1:34" ht="15" customHeight="1" x14ac:dyDescent="0.35">
      <c r="A45">
        <v>7547676</v>
      </c>
      <c r="B45">
        <v>690929</v>
      </c>
      <c r="C45" t="s">
        <v>34</v>
      </c>
      <c r="D45" t="s">
        <v>35</v>
      </c>
      <c r="E45" s="6" t="s">
        <v>34</v>
      </c>
      <c r="F45" t="s">
        <v>213</v>
      </c>
      <c r="G45" t="s">
        <v>37</v>
      </c>
      <c r="H45" t="s">
        <v>38</v>
      </c>
      <c r="I45" t="s">
        <v>214</v>
      </c>
      <c r="J45" t="s">
        <v>40</v>
      </c>
      <c r="K45">
        <v>2</v>
      </c>
      <c r="L45" t="s">
        <v>41</v>
      </c>
      <c r="M45" t="s">
        <v>42</v>
      </c>
      <c r="N45" t="s">
        <v>43</v>
      </c>
      <c r="O45" s="7">
        <v>1</v>
      </c>
      <c r="P45" s="8">
        <v>45153.704201388886</v>
      </c>
      <c r="Q45" s="9">
        <v>45155</v>
      </c>
      <c r="R45" t="s">
        <v>37</v>
      </c>
      <c r="S45" t="s">
        <v>44</v>
      </c>
      <c r="T45" t="s">
        <v>53</v>
      </c>
      <c r="U45" t="s">
        <v>210</v>
      </c>
      <c r="V45" t="s">
        <v>215</v>
      </c>
      <c r="W45">
        <v>6000</v>
      </c>
      <c r="X45" t="s">
        <v>44</v>
      </c>
      <c r="Y45" t="s">
        <v>136</v>
      </c>
      <c r="Z45" t="s">
        <v>49</v>
      </c>
      <c r="AA45" s="10">
        <f>IF(O45&lt;=1,7,7+0.8*ROUNDUP(O45-1,0))</f>
        <v>7</v>
      </c>
      <c r="AB45" s="11">
        <v>0</v>
      </c>
      <c r="AC45" s="11">
        <v>0</v>
      </c>
      <c r="AD45" s="11">
        <v>0</v>
      </c>
      <c r="AE45" s="11">
        <v>0</v>
      </c>
      <c r="AF45" s="11">
        <f t="shared" si="2"/>
        <v>0.42</v>
      </c>
      <c r="AG45" s="11">
        <f t="shared" si="3"/>
        <v>7.42</v>
      </c>
      <c r="AH45" t="s">
        <v>50</v>
      </c>
    </row>
    <row r="46" spans="1:34" ht="15" customHeight="1" x14ac:dyDescent="0.35">
      <c r="A46">
        <v>7547676</v>
      </c>
      <c r="B46">
        <v>690929</v>
      </c>
      <c r="C46" t="s">
        <v>34</v>
      </c>
      <c r="D46" t="s">
        <v>35</v>
      </c>
      <c r="E46" s="6" t="s">
        <v>34</v>
      </c>
      <c r="F46" t="s">
        <v>216</v>
      </c>
      <c r="G46" t="s">
        <v>37</v>
      </c>
      <c r="H46" t="s">
        <v>38</v>
      </c>
      <c r="I46" t="s">
        <v>217</v>
      </c>
      <c r="J46" t="s">
        <v>40</v>
      </c>
      <c r="K46">
        <v>2</v>
      </c>
      <c r="L46" t="s">
        <v>41</v>
      </c>
      <c r="M46" t="s">
        <v>42</v>
      </c>
      <c r="N46" t="s">
        <v>43</v>
      </c>
      <c r="O46" s="7">
        <v>1</v>
      </c>
      <c r="P46" s="8">
        <v>45153.704201388886</v>
      </c>
      <c r="Q46" s="9">
        <v>45155</v>
      </c>
      <c r="R46" t="s">
        <v>37</v>
      </c>
      <c r="S46" t="s">
        <v>44</v>
      </c>
      <c r="T46" t="s">
        <v>53</v>
      </c>
      <c r="U46" t="s">
        <v>81</v>
      </c>
      <c r="V46" t="s">
        <v>218</v>
      </c>
      <c r="W46">
        <v>34000</v>
      </c>
      <c r="X46" t="s">
        <v>44</v>
      </c>
      <c r="Y46" t="s">
        <v>144</v>
      </c>
      <c r="Z46" t="s">
        <v>49</v>
      </c>
      <c r="AA46" s="10">
        <f>IF(O46&lt;=1,7,7+0.8*ROUNDUP(O46-1,0))</f>
        <v>7</v>
      </c>
      <c r="AB46" s="11">
        <v>0</v>
      </c>
      <c r="AC46" s="11">
        <v>0</v>
      </c>
      <c r="AD46" s="11">
        <v>0</v>
      </c>
      <c r="AE46" s="11">
        <v>0</v>
      </c>
      <c r="AF46" s="11">
        <f t="shared" si="2"/>
        <v>0.42</v>
      </c>
      <c r="AG46" s="11">
        <f t="shared" si="3"/>
        <v>7.42</v>
      </c>
      <c r="AH46" t="s">
        <v>50</v>
      </c>
    </row>
    <row r="47" spans="1:34" ht="15" customHeight="1" x14ac:dyDescent="0.35">
      <c r="A47">
        <v>7547676</v>
      </c>
      <c r="B47">
        <v>690929</v>
      </c>
      <c r="C47" t="s">
        <v>34</v>
      </c>
      <c r="D47" t="s">
        <v>35</v>
      </c>
      <c r="E47" s="6" t="s">
        <v>34</v>
      </c>
      <c r="F47" t="s">
        <v>219</v>
      </c>
      <c r="G47" t="s">
        <v>37</v>
      </c>
      <c r="H47" t="s">
        <v>38</v>
      </c>
      <c r="I47" t="s">
        <v>220</v>
      </c>
      <c r="J47" t="s">
        <v>40</v>
      </c>
      <c r="K47">
        <v>2</v>
      </c>
      <c r="L47" t="s">
        <v>41</v>
      </c>
      <c r="M47" t="s">
        <v>42</v>
      </c>
      <c r="N47" t="s">
        <v>43</v>
      </c>
      <c r="O47" s="7">
        <v>1</v>
      </c>
      <c r="P47" s="8">
        <v>45153.704201388886</v>
      </c>
      <c r="Q47" s="9">
        <v>45155</v>
      </c>
      <c r="R47" t="s">
        <v>37</v>
      </c>
      <c r="S47" t="s">
        <v>44</v>
      </c>
      <c r="T47" t="s">
        <v>53</v>
      </c>
      <c r="U47" t="s">
        <v>81</v>
      </c>
      <c r="V47" t="s">
        <v>221</v>
      </c>
      <c r="W47">
        <v>30010</v>
      </c>
      <c r="X47" t="s">
        <v>44</v>
      </c>
      <c r="Y47" t="s">
        <v>222</v>
      </c>
      <c r="Z47" t="s">
        <v>49</v>
      </c>
      <c r="AA47" s="10">
        <f>IF(O47&lt;=1,7,7+0.8*ROUNDUP(O47-1,0))</f>
        <v>7</v>
      </c>
      <c r="AB47" s="11">
        <v>0</v>
      </c>
      <c r="AC47" s="11">
        <v>0</v>
      </c>
      <c r="AD47" s="11">
        <v>0</v>
      </c>
      <c r="AE47" s="11">
        <v>0</v>
      </c>
      <c r="AF47" s="11">
        <f t="shared" si="2"/>
        <v>0.42</v>
      </c>
      <c r="AG47" s="11">
        <f t="shared" si="3"/>
        <v>7.42</v>
      </c>
      <c r="AH47" t="s">
        <v>50</v>
      </c>
    </row>
    <row r="48" spans="1:34" ht="15" customHeight="1" x14ac:dyDescent="0.35">
      <c r="A48">
        <v>7547676</v>
      </c>
      <c r="B48">
        <v>690929</v>
      </c>
      <c r="C48" t="s">
        <v>34</v>
      </c>
      <c r="D48" t="s">
        <v>35</v>
      </c>
      <c r="E48" s="6" t="s">
        <v>34</v>
      </c>
      <c r="F48" t="s">
        <v>223</v>
      </c>
      <c r="G48" t="s">
        <v>37</v>
      </c>
      <c r="H48" t="s">
        <v>38</v>
      </c>
      <c r="I48" t="s">
        <v>224</v>
      </c>
      <c r="J48" t="s">
        <v>40</v>
      </c>
      <c r="K48">
        <v>2</v>
      </c>
      <c r="L48" t="s">
        <v>41</v>
      </c>
      <c r="M48" t="s">
        <v>42</v>
      </c>
      <c r="N48" t="s">
        <v>43</v>
      </c>
      <c r="O48" s="7">
        <v>1</v>
      </c>
      <c r="P48" s="8">
        <v>45154.707662037035</v>
      </c>
      <c r="Q48" s="9">
        <v>45155</v>
      </c>
      <c r="R48" t="s">
        <v>37</v>
      </c>
      <c r="S48" t="s">
        <v>44</v>
      </c>
      <c r="T48" t="s">
        <v>53</v>
      </c>
      <c r="U48" t="s">
        <v>134</v>
      </c>
      <c r="V48" t="s">
        <v>225</v>
      </c>
      <c r="W48">
        <v>53200</v>
      </c>
      <c r="X48" t="s">
        <v>44</v>
      </c>
      <c r="Y48" t="s">
        <v>226</v>
      </c>
      <c r="Z48" t="s">
        <v>49</v>
      </c>
      <c r="AA48" s="10">
        <f>IF(O48&lt;=1,7,7+0.8*ROUNDUP(O48-1,0))</f>
        <v>7</v>
      </c>
      <c r="AB48" s="11">
        <v>0</v>
      </c>
      <c r="AC48" s="11">
        <v>0</v>
      </c>
      <c r="AD48" s="11">
        <v>0</v>
      </c>
      <c r="AE48" s="11">
        <v>0</v>
      </c>
      <c r="AF48" s="11">
        <f t="shared" si="2"/>
        <v>0.42</v>
      </c>
      <c r="AG48" s="11">
        <f t="shared" si="3"/>
        <v>7.42</v>
      </c>
      <c r="AH48" t="s">
        <v>50</v>
      </c>
    </row>
    <row r="49" spans="1:34" ht="15" customHeight="1" x14ac:dyDescent="0.35">
      <c r="A49">
        <v>7547676</v>
      </c>
      <c r="B49">
        <v>690929</v>
      </c>
      <c r="C49" t="s">
        <v>34</v>
      </c>
      <c r="D49" t="s">
        <v>35</v>
      </c>
      <c r="E49" s="6" t="s">
        <v>34</v>
      </c>
      <c r="F49" t="s">
        <v>227</v>
      </c>
      <c r="G49" t="s">
        <v>37</v>
      </c>
      <c r="H49" t="s">
        <v>38</v>
      </c>
      <c r="I49" t="s">
        <v>228</v>
      </c>
      <c r="J49" t="s">
        <v>40</v>
      </c>
      <c r="K49">
        <v>2</v>
      </c>
      <c r="L49" t="s">
        <v>41</v>
      </c>
      <c r="M49" t="s">
        <v>42</v>
      </c>
      <c r="N49" t="s">
        <v>43</v>
      </c>
      <c r="O49" s="7">
        <v>1</v>
      </c>
      <c r="P49" s="8">
        <v>45153.775046296294</v>
      </c>
      <c r="Q49" s="9">
        <v>45155</v>
      </c>
      <c r="R49" t="s">
        <v>37</v>
      </c>
      <c r="S49" t="s">
        <v>44</v>
      </c>
      <c r="T49" t="s">
        <v>53</v>
      </c>
      <c r="U49" t="s">
        <v>67</v>
      </c>
      <c r="V49" t="s">
        <v>229</v>
      </c>
      <c r="W49">
        <v>25100</v>
      </c>
      <c r="X49" t="s">
        <v>44</v>
      </c>
      <c r="Y49" t="s">
        <v>53</v>
      </c>
      <c r="Z49" t="s">
        <v>49</v>
      </c>
      <c r="AA49" s="10">
        <f>IF(O49&lt;=1,7,7+0.8*ROUNDUP(O49-1,0))</f>
        <v>7</v>
      </c>
      <c r="AB49" s="11">
        <v>0</v>
      </c>
      <c r="AC49" s="11">
        <v>0</v>
      </c>
      <c r="AD49" s="11">
        <v>0</v>
      </c>
      <c r="AE49" s="11">
        <v>0</v>
      </c>
      <c r="AF49" s="11">
        <f t="shared" si="2"/>
        <v>0.42</v>
      </c>
      <c r="AG49" s="11">
        <f t="shared" si="3"/>
        <v>7.42</v>
      </c>
      <c r="AH49" t="s">
        <v>50</v>
      </c>
    </row>
    <row r="50" spans="1:34" ht="15" customHeight="1" x14ac:dyDescent="0.35">
      <c r="A50">
        <v>7547676</v>
      </c>
      <c r="B50">
        <v>690929</v>
      </c>
      <c r="C50" t="s">
        <v>34</v>
      </c>
      <c r="D50" t="s">
        <v>35</v>
      </c>
      <c r="E50" s="6" t="s">
        <v>34</v>
      </c>
      <c r="F50" t="s">
        <v>230</v>
      </c>
      <c r="G50" t="s">
        <v>37</v>
      </c>
      <c r="H50" t="s">
        <v>38</v>
      </c>
      <c r="I50" t="s">
        <v>231</v>
      </c>
      <c r="J50" t="s">
        <v>40</v>
      </c>
      <c r="K50">
        <v>2</v>
      </c>
      <c r="L50" t="s">
        <v>41</v>
      </c>
      <c r="M50" t="s">
        <v>42</v>
      </c>
      <c r="N50" t="s">
        <v>43</v>
      </c>
      <c r="O50" s="7">
        <v>1</v>
      </c>
      <c r="P50" s="8">
        <v>45153.450937499998</v>
      </c>
      <c r="Q50" s="9">
        <v>45155</v>
      </c>
      <c r="R50" t="s">
        <v>37</v>
      </c>
      <c r="S50" t="s">
        <v>44</v>
      </c>
      <c r="T50" t="s">
        <v>53</v>
      </c>
      <c r="U50" t="s">
        <v>197</v>
      </c>
      <c r="V50" t="s">
        <v>232</v>
      </c>
      <c r="W50">
        <v>81700</v>
      </c>
      <c r="X50" t="s">
        <v>44</v>
      </c>
      <c r="Y50" t="s">
        <v>233</v>
      </c>
      <c r="Z50" t="s">
        <v>49</v>
      </c>
      <c r="AA50" s="10">
        <f>IF(O50&lt;=1,7,7+0.8*ROUNDUP(O50-1,0))</f>
        <v>7</v>
      </c>
      <c r="AB50" s="11">
        <v>0</v>
      </c>
      <c r="AC50" s="11">
        <v>0</v>
      </c>
      <c r="AD50" s="11">
        <v>0</v>
      </c>
      <c r="AE50" s="11">
        <v>0</v>
      </c>
      <c r="AF50" s="11">
        <f t="shared" si="2"/>
        <v>0.42</v>
      </c>
      <c r="AG50" s="11">
        <f t="shared" si="3"/>
        <v>7.42</v>
      </c>
      <c r="AH50" t="s">
        <v>50</v>
      </c>
    </row>
    <row r="51" spans="1:34" ht="15" customHeight="1" x14ac:dyDescent="0.35">
      <c r="A51">
        <v>7547676</v>
      </c>
      <c r="B51">
        <v>690929</v>
      </c>
      <c r="C51" t="s">
        <v>34</v>
      </c>
      <c r="D51" t="s">
        <v>35</v>
      </c>
      <c r="E51" s="6" t="s">
        <v>34</v>
      </c>
      <c r="F51" t="s">
        <v>234</v>
      </c>
      <c r="G51" t="s">
        <v>37</v>
      </c>
      <c r="H51" t="s">
        <v>38</v>
      </c>
      <c r="I51" t="s">
        <v>235</v>
      </c>
      <c r="J51" t="s">
        <v>40</v>
      </c>
      <c r="K51">
        <v>2</v>
      </c>
      <c r="L51" t="s">
        <v>41</v>
      </c>
      <c r="M51" t="s">
        <v>42</v>
      </c>
      <c r="N51" t="s">
        <v>43</v>
      </c>
      <c r="O51" s="7">
        <v>1</v>
      </c>
      <c r="P51" s="8">
        <v>45154.729467592595</v>
      </c>
      <c r="Q51" s="9">
        <v>45155</v>
      </c>
      <c r="R51" t="s">
        <v>37</v>
      </c>
      <c r="S51" t="s">
        <v>44</v>
      </c>
      <c r="T51" t="s">
        <v>53</v>
      </c>
      <c r="U51" t="s">
        <v>67</v>
      </c>
      <c r="V51" t="s">
        <v>236</v>
      </c>
      <c r="W51">
        <v>28050</v>
      </c>
      <c r="X51" t="s">
        <v>44</v>
      </c>
      <c r="Y51" t="s">
        <v>53</v>
      </c>
      <c r="Z51" t="s">
        <v>49</v>
      </c>
      <c r="AA51" s="10">
        <f>IF(O51&lt;=1,7,7+0.8*ROUNDUP(O51-1,0))</f>
        <v>7</v>
      </c>
      <c r="AB51" s="11">
        <v>0</v>
      </c>
      <c r="AC51" s="11">
        <v>0</v>
      </c>
      <c r="AD51" s="11">
        <v>0</v>
      </c>
      <c r="AE51" s="11">
        <v>0</v>
      </c>
      <c r="AF51" s="11">
        <f t="shared" si="2"/>
        <v>0.42</v>
      </c>
      <c r="AG51" s="11">
        <f t="shared" si="3"/>
        <v>7.42</v>
      </c>
      <c r="AH51" t="s">
        <v>50</v>
      </c>
    </row>
    <row r="52" spans="1:34" ht="15" customHeight="1" x14ac:dyDescent="0.35">
      <c r="A52">
        <v>7547676</v>
      </c>
      <c r="B52">
        <v>690929</v>
      </c>
      <c r="C52" t="s">
        <v>34</v>
      </c>
      <c r="D52" t="s">
        <v>35</v>
      </c>
      <c r="E52" s="6" t="s">
        <v>34</v>
      </c>
      <c r="F52" t="s">
        <v>237</v>
      </c>
      <c r="G52" t="s">
        <v>37</v>
      </c>
      <c r="H52" t="s">
        <v>38</v>
      </c>
      <c r="I52" t="s">
        <v>238</v>
      </c>
      <c r="J52" t="s">
        <v>40</v>
      </c>
      <c r="K52">
        <v>2</v>
      </c>
      <c r="L52" t="s">
        <v>41</v>
      </c>
      <c r="M52" t="s">
        <v>42</v>
      </c>
      <c r="N52" t="s">
        <v>43</v>
      </c>
      <c r="O52" s="7">
        <v>5</v>
      </c>
      <c r="P52" s="8">
        <v>45152.789456018516</v>
      </c>
      <c r="Q52" s="9">
        <v>45155</v>
      </c>
      <c r="R52" t="s">
        <v>37</v>
      </c>
      <c r="S52" t="s">
        <v>44</v>
      </c>
      <c r="T52" t="s">
        <v>45</v>
      </c>
      <c r="U52" t="s">
        <v>197</v>
      </c>
      <c r="V52" t="s">
        <v>239</v>
      </c>
      <c r="W52">
        <v>81800</v>
      </c>
      <c r="X52" t="s">
        <v>44</v>
      </c>
      <c r="Y52" t="s">
        <v>240</v>
      </c>
      <c r="Z52" t="s">
        <v>49</v>
      </c>
      <c r="AA52" s="10">
        <f>IF(O52&lt;=1,7,7+0.8*ROUNDUP(O52-1,0))</f>
        <v>10.199999999999999</v>
      </c>
      <c r="AB52" s="11">
        <v>0</v>
      </c>
      <c r="AC52" s="11">
        <v>0</v>
      </c>
      <c r="AD52" s="11">
        <v>0</v>
      </c>
      <c r="AE52" s="11">
        <v>0</v>
      </c>
      <c r="AF52" s="11">
        <f t="shared" si="2"/>
        <v>0.61199999999999999</v>
      </c>
      <c r="AG52" s="11">
        <f t="shared" si="3"/>
        <v>10.811999999999999</v>
      </c>
      <c r="AH52" t="s">
        <v>50</v>
      </c>
    </row>
    <row r="53" spans="1:34" ht="15" customHeight="1" x14ac:dyDescent="0.35">
      <c r="A53">
        <v>7547676</v>
      </c>
      <c r="B53">
        <v>690929</v>
      </c>
      <c r="C53" t="s">
        <v>34</v>
      </c>
      <c r="D53" t="s">
        <v>35</v>
      </c>
      <c r="E53" s="6" t="s">
        <v>34</v>
      </c>
      <c r="F53" t="s">
        <v>241</v>
      </c>
      <c r="G53" t="s">
        <v>37</v>
      </c>
      <c r="H53" t="s">
        <v>38</v>
      </c>
      <c r="I53" t="s">
        <v>242</v>
      </c>
      <c r="J53" t="s">
        <v>40</v>
      </c>
      <c r="K53">
        <v>2</v>
      </c>
      <c r="L53" t="s">
        <v>41</v>
      </c>
      <c r="M53" t="s">
        <v>42</v>
      </c>
      <c r="N53" t="s">
        <v>43</v>
      </c>
      <c r="O53" s="7">
        <v>3</v>
      </c>
      <c r="P53" s="8">
        <v>45153.619456018518</v>
      </c>
      <c r="Q53" s="9">
        <v>45155</v>
      </c>
      <c r="R53" t="s">
        <v>37</v>
      </c>
      <c r="S53" t="s">
        <v>44</v>
      </c>
      <c r="T53" t="s">
        <v>53</v>
      </c>
      <c r="U53" t="s">
        <v>46</v>
      </c>
      <c r="V53" t="s">
        <v>243</v>
      </c>
      <c r="W53">
        <v>13200</v>
      </c>
      <c r="X53" t="s">
        <v>44</v>
      </c>
      <c r="Y53" t="s">
        <v>48</v>
      </c>
      <c r="Z53" t="s">
        <v>49</v>
      </c>
      <c r="AA53" s="10">
        <f>IF(O53&lt;=1,7,7+0.8*ROUNDUP(O53-1,0))</f>
        <v>8.6</v>
      </c>
      <c r="AB53" s="11">
        <v>0</v>
      </c>
      <c r="AC53" s="11">
        <v>0</v>
      </c>
      <c r="AD53" s="11">
        <v>0</v>
      </c>
      <c r="AE53" s="11">
        <v>0</v>
      </c>
      <c r="AF53" s="11">
        <f t="shared" si="2"/>
        <v>0.51600000000000001</v>
      </c>
      <c r="AG53" s="11">
        <f t="shared" si="3"/>
        <v>9.1159999999999997</v>
      </c>
      <c r="AH53" t="s">
        <v>50</v>
      </c>
    </row>
    <row r="54" spans="1:34" ht="15" customHeight="1" x14ac:dyDescent="0.35">
      <c r="A54">
        <v>7547676</v>
      </c>
      <c r="B54">
        <v>690929</v>
      </c>
      <c r="C54" t="s">
        <v>34</v>
      </c>
      <c r="D54" t="s">
        <v>35</v>
      </c>
      <c r="E54" s="6" t="s">
        <v>34</v>
      </c>
      <c r="F54" t="s">
        <v>244</v>
      </c>
      <c r="G54" t="s">
        <v>37</v>
      </c>
      <c r="H54" t="s">
        <v>38</v>
      </c>
      <c r="I54" t="s">
        <v>245</v>
      </c>
      <c r="J54" t="s">
        <v>40</v>
      </c>
      <c r="K54">
        <v>2</v>
      </c>
      <c r="L54" t="s">
        <v>41</v>
      </c>
      <c r="M54" t="s">
        <v>42</v>
      </c>
      <c r="N54" t="s">
        <v>43</v>
      </c>
      <c r="O54" s="7">
        <v>1</v>
      </c>
      <c r="P54" s="8">
        <v>45153.775046296294</v>
      </c>
      <c r="Q54" s="9">
        <v>45155</v>
      </c>
      <c r="R54" t="s">
        <v>37</v>
      </c>
      <c r="S54" t="s">
        <v>44</v>
      </c>
      <c r="T54" t="s">
        <v>53</v>
      </c>
      <c r="U54" t="s">
        <v>67</v>
      </c>
      <c r="V54" t="s">
        <v>246</v>
      </c>
      <c r="W54">
        <v>26080</v>
      </c>
      <c r="X54" t="s">
        <v>44</v>
      </c>
      <c r="Y54" t="s">
        <v>53</v>
      </c>
      <c r="Z54" t="s">
        <v>49</v>
      </c>
      <c r="AA54" s="10">
        <f>IF(O54&lt;=1,7,7+0.8*ROUNDUP(O54-1,0))</f>
        <v>7</v>
      </c>
      <c r="AB54" s="11">
        <v>0</v>
      </c>
      <c r="AC54" s="11">
        <v>0</v>
      </c>
      <c r="AD54" s="11">
        <v>0</v>
      </c>
      <c r="AE54" s="11">
        <v>0</v>
      </c>
      <c r="AF54" s="11">
        <f t="shared" si="2"/>
        <v>0.42</v>
      </c>
      <c r="AG54" s="11">
        <f t="shared" si="3"/>
        <v>7.42</v>
      </c>
      <c r="AH54" t="s">
        <v>50</v>
      </c>
    </row>
    <row r="55" spans="1:34" ht="15" customHeight="1" x14ac:dyDescent="0.35">
      <c r="A55">
        <v>7547676</v>
      </c>
      <c r="B55">
        <v>690929</v>
      </c>
      <c r="C55" t="s">
        <v>34</v>
      </c>
      <c r="D55" t="s">
        <v>35</v>
      </c>
      <c r="E55" s="6" t="s">
        <v>34</v>
      </c>
      <c r="F55" t="s">
        <v>247</v>
      </c>
      <c r="G55" t="s">
        <v>37</v>
      </c>
      <c r="H55" t="s">
        <v>38</v>
      </c>
      <c r="I55" t="s">
        <v>248</v>
      </c>
      <c r="J55" t="s">
        <v>40</v>
      </c>
      <c r="K55">
        <v>2</v>
      </c>
      <c r="L55" t="s">
        <v>41</v>
      </c>
      <c r="M55" t="s">
        <v>42</v>
      </c>
      <c r="N55" t="s">
        <v>43</v>
      </c>
      <c r="O55" s="7">
        <v>1</v>
      </c>
      <c r="P55" s="8">
        <v>45153.704201388886</v>
      </c>
      <c r="Q55" s="9">
        <v>45155</v>
      </c>
      <c r="R55" t="s">
        <v>37</v>
      </c>
      <c r="S55" t="s">
        <v>44</v>
      </c>
      <c r="T55" t="s">
        <v>53</v>
      </c>
      <c r="U55" t="s">
        <v>197</v>
      </c>
      <c r="V55" t="s">
        <v>249</v>
      </c>
      <c r="W55">
        <v>81900</v>
      </c>
      <c r="X55" t="s">
        <v>44</v>
      </c>
      <c r="Y55" t="s">
        <v>250</v>
      </c>
      <c r="Z55" t="s">
        <v>49</v>
      </c>
      <c r="AA55" s="10">
        <f>IF(O55&lt;=1,7,7+0.8*ROUNDUP(O55-1,0))</f>
        <v>7</v>
      </c>
      <c r="AB55" s="11">
        <v>0</v>
      </c>
      <c r="AC55" s="11">
        <v>0</v>
      </c>
      <c r="AD55" s="11">
        <v>0</v>
      </c>
      <c r="AE55" s="11">
        <v>0</v>
      </c>
      <c r="AF55" s="11">
        <f t="shared" si="2"/>
        <v>0.42</v>
      </c>
      <c r="AG55" s="11">
        <f t="shared" si="3"/>
        <v>7.42</v>
      </c>
      <c r="AH55" t="s">
        <v>50</v>
      </c>
    </row>
    <row r="56" spans="1:34" ht="15" customHeight="1" x14ac:dyDescent="0.35">
      <c r="A56">
        <v>7547676</v>
      </c>
      <c r="B56">
        <v>690929</v>
      </c>
      <c r="C56" t="s">
        <v>34</v>
      </c>
      <c r="D56" t="s">
        <v>35</v>
      </c>
      <c r="E56" s="6" t="s">
        <v>34</v>
      </c>
      <c r="F56" t="s">
        <v>251</v>
      </c>
      <c r="G56" t="s">
        <v>37</v>
      </c>
      <c r="H56" t="s">
        <v>38</v>
      </c>
      <c r="I56" t="s">
        <v>252</v>
      </c>
      <c r="J56" t="s">
        <v>40</v>
      </c>
      <c r="K56">
        <v>2</v>
      </c>
      <c r="L56" t="s">
        <v>41</v>
      </c>
      <c r="M56" t="s">
        <v>42</v>
      </c>
      <c r="N56" t="s">
        <v>43</v>
      </c>
      <c r="O56" s="7">
        <v>1</v>
      </c>
      <c r="P56" s="8">
        <v>45151.73337962963</v>
      </c>
      <c r="Q56" s="9">
        <v>45155</v>
      </c>
      <c r="R56" t="s">
        <v>37</v>
      </c>
      <c r="S56" t="s">
        <v>44</v>
      </c>
      <c r="T56" t="s">
        <v>45</v>
      </c>
      <c r="U56" t="s">
        <v>46</v>
      </c>
      <c r="V56" t="s">
        <v>253</v>
      </c>
      <c r="W56">
        <v>11900</v>
      </c>
      <c r="X56" t="s">
        <v>44</v>
      </c>
      <c r="Y56" t="s">
        <v>207</v>
      </c>
      <c r="Z56" t="s">
        <v>49</v>
      </c>
      <c r="AA56" s="10">
        <f>IF(O56&lt;=1,7,7+0.8*ROUNDUP(O56-1,0))</f>
        <v>7</v>
      </c>
      <c r="AB56" s="11">
        <v>0</v>
      </c>
      <c r="AC56" s="11">
        <v>0</v>
      </c>
      <c r="AD56" s="11">
        <v>0</v>
      </c>
      <c r="AE56" s="11">
        <v>0</v>
      </c>
      <c r="AF56" s="11">
        <f t="shared" si="2"/>
        <v>0.42</v>
      </c>
      <c r="AG56" s="11">
        <f t="shared" si="3"/>
        <v>7.42</v>
      </c>
      <c r="AH56" t="s">
        <v>50</v>
      </c>
    </row>
    <row r="57" spans="1:34" ht="15" customHeight="1" x14ac:dyDescent="0.35">
      <c r="A57">
        <v>7547676</v>
      </c>
      <c r="B57">
        <v>690929</v>
      </c>
      <c r="C57" t="s">
        <v>34</v>
      </c>
      <c r="D57" t="s">
        <v>35</v>
      </c>
      <c r="E57" s="6" t="s">
        <v>34</v>
      </c>
      <c r="F57" t="s">
        <v>254</v>
      </c>
      <c r="G57" t="s">
        <v>37</v>
      </c>
      <c r="H57" t="s">
        <v>38</v>
      </c>
      <c r="I57" t="s">
        <v>255</v>
      </c>
      <c r="J57" t="s">
        <v>40</v>
      </c>
      <c r="K57">
        <v>2</v>
      </c>
      <c r="L57" t="s">
        <v>41</v>
      </c>
      <c r="M57" t="s">
        <v>42</v>
      </c>
      <c r="N57" t="s">
        <v>43</v>
      </c>
      <c r="O57" s="7">
        <v>1</v>
      </c>
      <c r="P57" s="8">
        <v>45154.636550925927</v>
      </c>
      <c r="Q57" s="9">
        <v>45155</v>
      </c>
      <c r="R57" t="s">
        <v>37</v>
      </c>
      <c r="S57" t="s">
        <v>44</v>
      </c>
      <c r="T57" t="s">
        <v>53</v>
      </c>
      <c r="U57" t="s">
        <v>59</v>
      </c>
      <c r="V57" t="s">
        <v>256</v>
      </c>
      <c r="W57">
        <v>16200</v>
      </c>
      <c r="X57" t="s">
        <v>44</v>
      </c>
      <c r="Y57" t="s">
        <v>53</v>
      </c>
      <c r="Z57" t="s">
        <v>49</v>
      </c>
      <c r="AA57" s="10">
        <f>IF(O57&lt;=1,7,7+0.8*ROUNDUP(O57-1,0))</f>
        <v>7</v>
      </c>
      <c r="AB57" s="11">
        <v>0</v>
      </c>
      <c r="AC57" s="11">
        <v>0</v>
      </c>
      <c r="AD57" s="11">
        <v>0</v>
      </c>
      <c r="AE57" s="11">
        <v>0</v>
      </c>
      <c r="AF57" s="11">
        <f t="shared" si="2"/>
        <v>0.42</v>
      </c>
      <c r="AG57" s="11">
        <f t="shared" si="3"/>
        <v>7.42</v>
      </c>
      <c r="AH57" t="s">
        <v>50</v>
      </c>
    </row>
    <row r="58" spans="1:34" ht="15" customHeight="1" x14ac:dyDescent="0.35">
      <c r="A58">
        <v>7547676</v>
      </c>
      <c r="B58">
        <v>690929</v>
      </c>
      <c r="C58" t="s">
        <v>34</v>
      </c>
      <c r="D58" t="s">
        <v>35</v>
      </c>
      <c r="E58" s="6" t="s">
        <v>34</v>
      </c>
      <c r="F58" t="s">
        <v>257</v>
      </c>
      <c r="G58" t="s">
        <v>37</v>
      </c>
      <c r="H58" t="s">
        <v>38</v>
      </c>
      <c r="I58" t="s">
        <v>258</v>
      </c>
      <c r="J58" t="s">
        <v>40</v>
      </c>
      <c r="K58">
        <v>2</v>
      </c>
      <c r="L58" t="s">
        <v>41</v>
      </c>
      <c r="M58" t="s">
        <v>42</v>
      </c>
      <c r="N58" t="s">
        <v>43</v>
      </c>
      <c r="O58" s="7">
        <v>1</v>
      </c>
      <c r="P58" s="8">
        <v>45154.725555555553</v>
      </c>
      <c r="Q58" s="9">
        <v>45155</v>
      </c>
      <c r="R58" t="s">
        <v>37</v>
      </c>
      <c r="S58" t="s">
        <v>44</v>
      </c>
      <c r="T58" t="s">
        <v>53</v>
      </c>
      <c r="U58" t="s">
        <v>59</v>
      </c>
      <c r="V58" t="s">
        <v>259</v>
      </c>
      <c r="W58">
        <v>16100</v>
      </c>
      <c r="X58" t="s">
        <v>44</v>
      </c>
      <c r="Y58" t="s">
        <v>260</v>
      </c>
      <c r="Z58" t="s">
        <v>49</v>
      </c>
      <c r="AA58" s="10">
        <f>IF(O58&lt;=1,7,7+0.8*ROUNDUP(O58-1,0))</f>
        <v>7</v>
      </c>
      <c r="AB58" s="11">
        <v>0</v>
      </c>
      <c r="AC58" s="11">
        <v>0</v>
      </c>
      <c r="AD58" s="11">
        <v>0</v>
      </c>
      <c r="AE58" s="11">
        <v>0</v>
      </c>
      <c r="AF58" s="11">
        <f t="shared" si="2"/>
        <v>0.42</v>
      </c>
      <c r="AG58" s="11">
        <f t="shared" si="3"/>
        <v>7.42</v>
      </c>
      <c r="AH58" t="s">
        <v>50</v>
      </c>
    </row>
    <row r="59" spans="1:34" ht="15" customHeight="1" x14ac:dyDescent="0.35">
      <c r="A59">
        <v>7547676</v>
      </c>
      <c r="B59">
        <v>690929</v>
      </c>
      <c r="C59" t="s">
        <v>34</v>
      </c>
      <c r="D59" t="s">
        <v>35</v>
      </c>
      <c r="E59" s="6" t="s">
        <v>34</v>
      </c>
      <c r="F59" t="s">
        <v>261</v>
      </c>
      <c r="G59" t="s">
        <v>37</v>
      </c>
      <c r="H59" t="s">
        <v>38</v>
      </c>
      <c r="I59" t="s">
        <v>262</v>
      </c>
      <c r="J59" t="s">
        <v>40</v>
      </c>
      <c r="K59">
        <v>2</v>
      </c>
      <c r="L59" t="s">
        <v>41</v>
      </c>
      <c r="M59" t="s">
        <v>42</v>
      </c>
      <c r="N59" t="s">
        <v>43</v>
      </c>
      <c r="O59" s="7">
        <v>1</v>
      </c>
      <c r="P59" s="8">
        <v>45153.704201388886</v>
      </c>
      <c r="Q59" s="9">
        <v>45155</v>
      </c>
      <c r="R59" t="s">
        <v>37</v>
      </c>
      <c r="S59" t="s">
        <v>44</v>
      </c>
      <c r="T59" t="s">
        <v>53</v>
      </c>
      <c r="U59" t="s">
        <v>46</v>
      </c>
      <c r="V59" t="s">
        <v>263</v>
      </c>
      <c r="W59">
        <v>13300</v>
      </c>
      <c r="X59" t="s">
        <v>44</v>
      </c>
      <c r="Y59" t="s">
        <v>136</v>
      </c>
      <c r="Z59" t="s">
        <v>49</v>
      </c>
      <c r="AA59" s="10">
        <f>IF(O59&lt;=1,7,7+0.8*ROUNDUP(O59-1,0))</f>
        <v>7</v>
      </c>
      <c r="AB59" s="11">
        <v>0</v>
      </c>
      <c r="AC59" s="11">
        <v>0</v>
      </c>
      <c r="AD59" s="11">
        <v>0</v>
      </c>
      <c r="AE59" s="11">
        <v>0</v>
      </c>
      <c r="AF59" s="11">
        <f t="shared" si="2"/>
        <v>0.42</v>
      </c>
      <c r="AG59" s="11">
        <f t="shared" si="3"/>
        <v>7.42</v>
      </c>
      <c r="AH59" t="s">
        <v>50</v>
      </c>
    </row>
    <row r="60" spans="1:34" ht="15" customHeight="1" x14ac:dyDescent="0.35">
      <c r="A60">
        <v>7547676</v>
      </c>
      <c r="B60">
        <v>690929</v>
      </c>
      <c r="C60" t="s">
        <v>34</v>
      </c>
      <c r="D60" t="s">
        <v>35</v>
      </c>
      <c r="E60" s="6" t="s">
        <v>34</v>
      </c>
      <c r="F60" t="s">
        <v>264</v>
      </c>
      <c r="G60" t="s">
        <v>37</v>
      </c>
      <c r="H60" t="s">
        <v>38</v>
      </c>
      <c r="I60" t="s">
        <v>265</v>
      </c>
      <c r="J60" t="s">
        <v>40</v>
      </c>
      <c r="K60">
        <v>2</v>
      </c>
      <c r="L60" t="s">
        <v>41</v>
      </c>
      <c r="M60" t="s">
        <v>42</v>
      </c>
      <c r="N60" t="s">
        <v>43</v>
      </c>
      <c r="O60" s="7">
        <v>2</v>
      </c>
      <c r="P60" s="8">
        <v>45154.704155092593</v>
      </c>
      <c r="Q60" s="9">
        <v>45155</v>
      </c>
      <c r="R60" t="s">
        <v>37</v>
      </c>
      <c r="S60" t="s">
        <v>44</v>
      </c>
      <c r="T60" t="s">
        <v>53</v>
      </c>
      <c r="U60" t="s">
        <v>54</v>
      </c>
      <c r="V60" t="s">
        <v>266</v>
      </c>
      <c r="W60">
        <v>43500</v>
      </c>
      <c r="X60" t="s">
        <v>44</v>
      </c>
      <c r="Y60" t="s">
        <v>267</v>
      </c>
      <c r="Z60" t="s">
        <v>49</v>
      </c>
      <c r="AA60" s="10">
        <f>IF(O60&lt;=1,7,7+0.8*ROUNDUP(O60-1,0))</f>
        <v>7.8</v>
      </c>
      <c r="AB60" s="11">
        <v>0</v>
      </c>
      <c r="AC60" s="11">
        <v>0</v>
      </c>
      <c r="AD60" s="11">
        <v>0</v>
      </c>
      <c r="AE60" s="11">
        <v>0</v>
      </c>
      <c r="AF60" s="11">
        <f t="shared" si="2"/>
        <v>0.46799999999999997</v>
      </c>
      <c r="AG60" s="11">
        <f t="shared" si="3"/>
        <v>8.2680000000000007</v>
      </c>
      <c r="AH60" t="s">
        <v>50</v>
      </c>
    </row>
    <row r="61" spans="1:34" ht="15" customHeight="1" x14ac:dyDescent="0.35">
      <c r="A61">
        <v>7547676</v>
      </c>
      <c r="B61">
        <v>690929</v>
      </c>
      <c r="C61" t="s">
        <v>34</v>
      </c>
      <c r="D61" t="s">
        <v>35</v>
      </c>
      <c r="E61" s="6" t="s">
        <v>34</v>
      </c>
      <c r="F61" t="s">
        <v>268</v>
      </c>
      <c r="G61" t="s">
        <v>37</v>
      </c>
      <c r="H61" t="s">
        <v>38</v>
      </c>
      <c r="I61" t="s">
        <v>269</v>
      </c>
      <c r="J61" t="s">
        <v>40</v>
      </c>
      <c r="K61">
        <v>2</v>
      </c>
      <c r="L61" t="s">
        <v>41</v>
      </c>
      <c r="M61" t="s">
        <v>42</v>
      </c>
      <c r="N61" t="s">
        <v>43</v>
      </c>
      <c r="O61" s="7">
        <v>1</v>
      </c>
      <c r="P61" s="8">
        <v>45153.704201388886</v>
      </c>
      <c r="Q61" s="9">
        <v>45155</v>
      </c>
      <c r="R61" t="s">
        <v>37</v>
      </c>
      <c r="S61" t="s">
        <v>44</v>
      </c>
      <c r="T61" t="s">
        <v>53</v>
      </c>
      <c r="U61" t="s">
        <v>197</v>
      </c>
      <c r="V61" t="s">
        <v>270</v>
      </c>
      <c r="W61">
        <v>81300</v>
      </c>
      <c r="X61" t="s">
        <v>44</v>
      </c>
      <c r="Y61" t="s">
        <v>271</v>
      </c>
      <c r="Z61" t="s">
        <v>49</v>
      </c>
      <c r="AA61" s="10">
        <f>IF(O61&lt;=1,7,7+0.8*ROUNDUP(O61-1,0))</f>
        <v>7</v>
      </c>
      <c r="AB61" s="11">
        <v>0</v>
      </c>
      <c r="AC61" s="11">
        <v>0</v>
      </c>
      <c r="AD61" s="11">
        <v>0</v>
      </c>
      <c r="AE61" s="11">
        <v>0</v>
      </c>
      <c r="AF61" s="11">
        <f t="shared" si="2"/>
        <v>0.42</v>
      </c>
      <c r="AG61" s="11">
        <f t="shared" si="3"/>
        <v>7.42</v>
      </c>
      <c r="AH61" t="s">
        <v>50</v>
      </c>
    </row>
    <row r="62" spans="1:34" ht="15" customHeight="1" x14ac:dyDescent="0.35">
      <c r="A62">
        <v>7547676</v>
      </c>
      <c r="B62">
        <v>690929</v>
      </c>
      <c r="C62" t="s">
        <v>34</v>
      </c>
      <c r="D62" t="s">
        <v>35</v>
      </c>
      <c r="E62" s="6" t="s">
        <v>34</v>
      </c>
      <c r="F62" t="s">
        <v>272</v>
      </c>
      <c r="G62" t="s">
        <v>37</v>
      </c>
      <c r="H62" t="s">
        <v>38</v>
      </c>
      <c r="I62" t="s">
        <v>273</v>
      </c>
      <c r="J62" t="s">
        <v>40</v>
      </c>
      <c r="K62">
        <v>2</v>
      </c>
      <c r="L62" t="s">
        <v>41</v>
      </c>
      <c r="M62" t="s">
        <v>42</v>
      </c>
      <c r="N62" t="s">
        <v>43</v>
      </c>
      <c r="O62" s="7">
        <v>1</v>
      </c>
      <c r="P62" s="8">
        <v>45155.650578703702</v>
      </c>
      <c r="Q62" s="9">
        <v>45156</v>
      </c>
      <c r="R62" t="s">
        <v>37</v>
      </c>
      <c r="S62" t="s">
        <v>44</v>
      </c>
      <c r="T62" t="s">
        <v>53</v>
      </c>
      <c r="U62" t="s">
        <v>67</v>
      </c>
      <c r="V62" t="s">
        <v>274</v>
      </c>
      <c r="W62">
        <v>28400</v>
      </c>
      <c r="X62" t="s">
        <v>44</v>
      </c>
      <c r="Y62" t="s">
        <v>53</v>
      </c>
      <c r="Z62" t="s">
        <v>49</v>
      </c>
      <c r="AA62" s="10">
        <f>IF(O62&lt;=1,7,7+0.8*ROUNDUP(O62-1,0))</f>
        <v>7</v>
      </c>
      <c r="AB62" s="11">
        <v>0</v>
      </c>
      <c r="AC62" s="11">
        <v>0</v>
      </c>
      <c r="AD62" s="11">
        <v>0</v>
      </c>
      <c r="AE62" s="11">
        <v>0</v>
      </c>
      <c r="AF62" s="11">
        <f t="shared" si="2"/>
        <v>0.42</v>
      </c>
      <c r="AG62" s="11">
        <f t="shared" si="3"/>
        <v>7.42</v>
      </c>
      <c r="AH62" t="s">
        <v>50</v>
      </c>
    </row>
    <row r="63" spans="1:34" ht="15" customHeight="1" x14ac:dyDescent="0.35">
      <c r="A63">
        <v>7547676</v>
      </c>
      <c r="B63">
        <v>690929</v>
      </c>
      <c r="C63" t="s">
        <v>34</v>
      </c>
      <c r="D63" t="s">
        <v>35</v>
      </c>
      <c r="E63" s="6" t="s">
        <v>34</v>
      </c>
      <c r="F63" t="s">
        <v>275</v>
      </c>
      <c r="G63" t="s">
        <v>37</v>
      </c>
      <c r="H63" t="s">
        <v>38</v>
      </c>
      <c r="I63" t="s">
        <v>276</v>
      </c>
      <c r="J63" t="s">
        <v>40</v>
      </c>
      <c r="K63">
        <v>2</v>
      </c>
      <c r="L63" t="s">
        <v>41</v>
      </c>
      <c r="M63" t="s">
        <v>42</v>
      </c>
      <c r="N63" t="s">
        <v>43</v>
      </c>
      <c r="O63" s="7">
        <v>1</v>
      </c>
      <c r="P63" s="8">
        <v>45154.707662037035</v>
      </c>
      <c r="Q63" s="9">
        <v>45156</v>
      </c>
      <c r="R63" t="s">
        <v>37</v>
      </c>
      <c r="S63" t="s">
        <v>44</v>
      </c>
      <c r="T63" t="s">
        <v>53</v>
      </c>
      <c r="U63" t="s">
        <v>197</v>
      </c>
      <c r="V63" t="s">
        <v>277</v>
      </c>
      <c r="W63">
        <v>81000</v>
      </c>
      <c r="X63" t="s">
        <v>44</v>
      </c>
      <c r="Y63" t="s">
        <v>199</v>
      </c>
      <c r="Z63" t="s">
        <v>49</v>
      </c>
      <c r="AA63" s="10">
        <f>IF(O63&lt;=1,7,7+0.8*ROUNDUP(O63-1,0))</f>
        <v>7</v>
      </c>
      <c r="AB63" s="11">
        <v>0</v>
      </c>
      <c r="AC63" s="11">
        <v>0</v>
      </c>
      <c r="AD63" s="11">
        <v>0</v>
      </c>
      <c r="AE63" s="11">
        <v>0</v>
      </c>
      <c r="AF63" s="11">
        <f t="shared" si="2"/>
        <v>0.42</v>
      </c>
      <c r="AG63" s="11">
        <f t="shared" si="3"/>
        <v>7.42</v>
      </c>
      <c r="AH63" t="s">
        <v>50</v>
      </c>
    </row>
    <row r="64" spans="1:34" ht="15" customHeight="1" x14ac:dyDescent="0.35">
      <c r="A64">
        <v>7547676</v>
      </c>
      <c r="B64">
        <v>690929</v>
      </c>
      <c r="C64" t="s">
        <v>34</v>
      </c>
      <c r="D64" t="s">
        <v>35</v>
      </c>
      <c r="E64" s="6" t="s">
        <v>34</v>
      </c>
      <c r="F64" t="s">
        <v>278</v>
      </c>
      <c r="G64" t="s">
        <v>37</v>
      </c>
      <c r="H64" t="s">
        <v>38</v>
      </c>
      <c r="I64" t="s">
        <v>279</v>
      </c>
      <c r="J64" t="s">
        <v>40</v>
      </c>
      <c r="K64">
        <v>2</v>
      </c>
      <c r="L64" t="s">
        <v>41</v>
      </c>
      <c r="M64" t="s">
        <v>42</v>
      </c>
      <c r="N64" t="s">
        <v>43</v>
      </c>
      <c r="O64" s="7">
        <v>1</v>
      </c>
      <c r="P64" s="8">
        <v>45155.650578703702</v>
      </c>
      <c r="Q64" s="9">
        <v>45156</v>
      </c>
      <c r="R64" t="s">
        <v>37</v>
      </c>
      <c r="S64" t="s">
        <v>44</v>
      </c>
      <c r="T64" t="s">
        <v>53</v>
      </c>
      <c r="U64" t="s">
        <v>67</v>
      </c>
      <c r="V64" t="s">
        <v>280</v>
      </c>
      <c r="W64">
        <v>25050</v>
      </c>
      <c r="X64" t="s">
        <v>44</v>
      </c>
      <c r="Y64" t="s">
        <v>281</v>
      </c>
      <c r="Z64" t="s">
        <v>49</v>
      </c>
      <c r="AA64" s="10">
        <f>IF(O64&lt;=1,7,7+0.8*ROUNDUP(O64-1,0))</f>
        <v>7</v>
      </c>
      <c r="AB64" s="11">
        <v>0</v>
      </c>
      <c r="AC64" s="11">
        <v>0</v>
      </c>
      <c r="AD64" s="11">
        <v>0</v>
      </c>
      <c r="AE64" s="11">
        <v>0</v>
      </c>
      <c r="AF64" s="11">
        <f t="shared" si="2"/>
        <v>0.42</v>
      </c>
      <c r="AG64" s="11">
        <f t="shared" si="3"/>
        <v>7.42</v>
      </c>
      <c r="AH64" t="s">
        <v>50</v>
      </c>
    </row>
    <row r="65" spans="1:34" ht="15" customHeight="1" x14ac:dyDescent="0.35">
      <c r="A65">
        <v>7547676</v>
      </c>
      <c r="B65">
        <v>690929</v>
      </c>
      <c r="C65" t="s">
        <v>34</v>
      </c>
      <c r="D65" t="s">
        <v>35</v>
      </c>
      <c r="E65" s="6" t="s">
        <v>34</v>
      </c>
      <c r="F65" t="s">
        <v>282</v>
      </c>
      <c r="G65" t="s">
        <v>37</v>
      </c>
      <c r="H65" t="s">
        <v>38</v>
      </c>
      <c r="I65" t="s">
        <v>283</v>
      </c>
      <c r="J65" t="s">
        <v>40</v>
      </c>
      <c r="K65">
        <v>2</v>
      </c>
      <c r="L65" t="s">
        <v>41</v>
      </c>
      <c r="M65" t="s">
        <v>42</v>
      </c>
      <c r="N65" t="s">
        <v>43</v>
      </c>
      <c r="O65" s="7">
        <v>1</v>
      </c>
      <c r="P65" s="8">
        <v>45155.650578703702</v>
      </c>
      <c r="Q65" s="9">
        <v>45156</v>
      </c>
      <c r="R65" t="s">
        <v>37</v>
      </c>
      <c r="S65" t="s">
        <v>44</v>
      </c>
      <c r="T65" t="s">
        <v>53</v>
      </c>
      <c r="U65" t="s">
        <v>54</v>
      </c>
      <c r="V65" t="s">
        <v>284</v>
      </c>
      <c r="W65">
        <v>53100</v>
      </c>
      <c r="X65" t="s">
        <v>44</v>
      </c>
      <c r="Y65" t="s">
        <v>136</v>
      </c>
      <c r="Z65" t="s">
        <v>49</v>
      </c>
      <c r="AA65" s="10">
        <f>IF(O65&lt;=1,7,7+0.8*ROUNDUP(O65-1,0))</f>
        <v>7</v>
      </c>
      <c r="AB65" s="11">
        <v>0</v>
      </c>
      <c r="AC65" s="11">
        <v>0</v>
      </c>
      <c r="AD65" s="11">
        <v>0</v>
      </c>
      <c r="AE65" s="11">
        <v>0</v>
      </c>
      <c r="AF65" s="11">
        <f t="shared" si="2"/>
        <v>0.42</v>
      </c>
      <c r="AG65" s="11">
        <f t="shared" si="3"/>
        <v>7.42</v>
      </c>
      <c r="AH65" t="s">
        <v>50</v>
      </c>
    </row>
    <row r="66" spans="1:34" ht="15" customHeight="1" x14ac:dyDescent="0.35">
      <c r="A66">
        <v>7547676</v>
      </c>
      <c r="B66">
        <v>690929</v>
      </c>
      <c r="C66" t="s">
        <v>34</v>
      </c>
      <c r="D66" t="s">
        <v>35</v>
      </c>
      <c r="E66" s="6" t="s">
        <v>34</v>
      </c>
      <c r="F66" t="s">
        <v>285</v>
      </c>
      <c r="G66" t="s">
        <v>37</v>
      </c>
      <c r="H66" t="s">
        <v>38</v>
      </c>
      <c r="I66" t="s">
        <v>286</v>
      </c>
      <c r="J66" t="s">
        <v>40</v>
      </c>
      <c r="K66">
        <v>2</v>
      </c>
      <c r="L66" t="s">
        <v>41</v>
      </c>
      <c r="M66" t="s">
        <v>42</v>
      </c>
      <c r="N66" t="s">
        <v>43</v>
      </c>
      <c r="O66" s="7">
        <v>2</v>
      </c>
      <c r="P66" s="8">
        <v>45154.63517361111</v>
      </c>
      <c r="Q66" s="9">
        <v>45156</v>
      </c>
      <c r="R66" t="s">
        <v>37</v>
      </c>
      <c r="S66" t="s">
        <v>44</v>
      </c>
      <c r="T66" t="s">
        <v>53</v>
      </c>
      <c r="U66" t="s">
        <v>210</v>
      </c>
      <c r="V66" t="s">
        <v>287</v>
      </c>
      <c r="W66">
        <v>6010</v>
      </c>
      <c r="X66" t="s">
        <v>44</v>
      </c>
      <c r="Y66" t="s">
        <v>288</v>
      </c>
      <c r="Z66" t="s">
        <v>49</v>
      </c>
      <c r="AA66" s="10">
        <f>IF(O66&lt;=1,7,7+0.8*ROUNDUP(O66-1,0))</f>
        <v>7.8</v>
      </c>
      <c r="AB66" s="11">
        <v>0</v>
      </c>
      <c r="AC66" s="11">
        <v>0</v>
      </c>
      <c r="AD66" s="11">
        <v>0</v>
      </c>
      <c r="AE66" s="11">
        <v>0</v>
      </c>
      <c r="AF66" s="11">
        <f t="shared" si="2"/>
        <v>0.46799999999999997</v>
      </c>
      <c r="AG66" s="11">
        <f t="shared" si="3"/>
        <v>8.2680000000000007</v>
      </c>
      <c r="AH66" t="s">
        <v>50</v>
      </c>
    </row>
    <row r="67" spans="1:34" ht="15" customHeight="1" x14ac:dyDescent="0.35">
      <c r="A67">
        <v>7547676</v>
      </c>
      <c r="B67">
        <v>690929</v>
      </c>
      <c r="C67" t="s">
        <v>34</v>
      </c>
      <c r="D67" t="s">
        <v>35</v>
      </c>
      <c r="E67" s="6" t="s">
        <v>34</v>
      </c>
      <c r="F67" t="s">
        <v>289</v>
      </c>
      <c r="G67" t="s">
        <v>37</v>
      </c>
      <c r="H67" t="s">
        <v>38</v>
      </c>
      <c r="I67" t="s">
        <v>290</v>
      </c>
      <c r="J67" t="s">
        <v>40</v>
      </c>
      <c r="K67">
        <v>2</v>
      </c>
      <c r="L67" t="s">
        <v>41</v>
      </c>
      <c r="M67" t="s">
        <v>42</v>
      </c>
      <c r="N67" t="s">
        <v>43</v>
      </c>
      <c r="O67" s="7">
        <v>1</v>
      </c>
      <c r="P67" s="8">
        <v>45155.650578703702</v>
      </c>
      <c r="Q67" s="9">
        <v>45156</v>
      </c>
      <c r="R67" t="s">
        <v>37</v>
      </c>
      <c r="S67" t="s">
        <v>44</v>
      </c>
      <c r="T67" t="s">
        <v>53</v>
      </c>
      <c r="U67" t="s">
        <v>134</v>
      </c>
      <c r="V67" t="s">
        <v>291</v>
      </c>
      <c r="W67">
        <v>57100</v>
      </c>
      <c r="X67" t="s">
        <v>44</v>
      </c>
      <c r="Y67" t="s">
        <v>292</v>
      </c>
      <c r="Z67" t="s">
        <v>49</v>
      </c>
      <c r="AA67" s="10">
        <f>IF(O67&lt;=1,7,7+0.8*ROUNDUP(O67-1,0))</f>
        <v>7</v>
      </c>
      <c r="AB67" s="11">
        <v>0</v>
      </c>
      <c r="AC67" s="11">
        <v>0</v>
      </c>
      <c r="AD67" s="11">
        <v>0</v>
      </c>
      <c r="AE67" s="11">
        <v>0</v>
      </c>
      <c r="AF67" s="11">
        <f t="shared" si="2"/>
        <v>0.42</v>
      </c>
      <c r="AG67" s="11">
        <f t="shared" si="3"/>
        <v>7.42</v>
      </c>
      <c r="AH67" t="s">
        <v>50</v>
      </c>
    </row>
    <row r="68" spans="1:34" ht="15" customHeight="1" x14ac:dyDescent="0.35">
      <c r="A68">
        <v>7547676</v>
      </c>
      <c r="B68">
        <v>690929</v>
      </c>
      <c r="C68" t="s">
        <v>34</v>
      </c>
      <c r="D68" t="s">
        <v>35</v>
      </c>
      <c r="E68" s="6" t="s">
        <v>34</v>
      </c>
      <c r="F68" t="s">
        <v>293</v>
      </c>
      <c r="G68" t="s">
        <v>37</v>
      </c>
      <c r="H68" t="s">
        <v>38</v>
      </c>
      <c r="I68" t="s">
        <v>294</v>
      </c>
      <c r="J68" t="s">
        <v>40</v>
      </c>
      <c r="K68">
        <v>2</v>
      </c>
      <c r="L68" t="s">
        <v>41</v>
      </c>
      <c r="M68" t="s">
        <v>42</v>
      </c>
      <c r="N68" t="s">
        <v>43</v>
      </c>
      <c r="O68" s="7">
        <v>1</v>
      </c>
      <c r="P68" s="8">
        <v>45155.650821759256</v>
      </c>
      <c r="Q68" s="9">
        <v>45156</v>
      </c>
      <c r="R68" t="s">
        <v>37</v>
      </c>
      <c r="S68" t="s">
        <v>44</v>
      </c>
      <c r="T68" t="s">
        <v>53</v>
      </c>
      <c r="U68" t="s">
        <v>54</v>
      </c>
      <c r="V68" t="s">
        <v>295</v>
      </c>
      <c r="W68">
        <v>43300</v>
      </c>
      <c r="X68" t="s">
        <v>44</v>
      </c>
      <c r="Y68" t="s">
        <v>136</v>
      </c>
      <c r="Z68" t="s">
        <v>49</v>
      </c>
      <c r="AA68" s="10">
        <f>IF(O68&lt;=1,7,7+0.8*ROUNDUP(O68-1,0))</f>
        <v>7</v>
      </c>
      <c r="AB68" s="11">
        <v>0</v>
      </c>
      <c r="AC68" s="11">
        <v>0</v>
      </c>
      <c r="AD68" s="11">
        <v>0</v>
      </c>
      <c r="AE68" s="11">
        <v>0</v>
      </c>
      <c r="AF68" s="11">
        <f t="shared" si="2"/>
        <v>0.42</v>
      </c>
      <c r="AG68" s="11">
        <f t="shared" si="3"/>
        <v>7.42</v>
      </c>
      <c r="AH68" t="s">
        <v>50</v>
      </c>
    </row>
    <row r="69" spans="1:34" ht="15" customHeight="1" x14ac:dyDescent="0.35">
      <c r="A69">
        <v>7547676</v>
      </c>
      <c r="B69">
        <v>690929</v>
      </c>
      <c r="C69" t="s">
        <v>34</v>
      </c>
      <c r="D69" t="s">
        <v>35</v>
      </c>
      <c r="E69" s="6" t="s">
        <v>34</v>
      </c>
      <c r="F69" t="s">
        <v>296</v>
      </c>
      <c r="G69" t="s">
        <v>37</v>
      </c>
      <c r="H69" t="s">
        <v>38</v>
      </c>
      <c r="I69" t="s">
        <v>297</v>
      </c>
      <c r="J69" t="s">
        <v>40</v>
      </c>
      <c r="K69">
        <v>2</v>
      </c>
      <c r="L69" t="s">
        <v>41</v>
      </c>
      <c r="M69" t="s">
        <v>42</v>
      </c>
      <c r="N69" t="s">
        <v>43</v>
      </c>
      <c r="O69" s="7">
        <v>1</v>
      </c>
      <c r="P69" s="8">
        <v>45155.521238425928</v>
      </c>
      <c r="Q69" s="9">
        <v>45156</v>
      </c>
      <c r="R69" t="s">
        <v>37</v>
      </c>
      <c r="S69" t="s">
        <v>44</v>
      </c>
      <c r="T69" t="s">
        <v>53</v>
      </c>
      <c r="U69" t="s">
        <v>54</v>
      </c>
      <c r="V69" t="s">
        <v>298</v>
      </c>
      <c r="W69">
        <v>43000</v>
      </c>
      <c r="X69" t="s">
        <v>44</v>
      </c>
      <c r="Y69" t="s">
        <v>56</v>
      </c>
      <c r="Z69" t="s">
        <v>49</v>
      </c>
      <c r="AA69" s="10">
        <f>IF(O69&lt;=1,7,7+0.8*ROUNDUP(O69-1,0))</f>
        <v>7</v>
      </c>
      <c r="AB69" s="11">
        <v>0</v>
      </c>
      <c r="AC69" s="11">
        <v>0</v>
      </c>
      <c r="AD69" s="11">
        <v>0</v>
      </c>
      <c r="AE69" s="11">
        <v>0</v>
      </c>
      <c r="AF69" s="11">
        <f t="shared" si="2"/>
        <v>0.42</v>
      </c>
      <c r="AG69" s="11">
        <f t="shared" si="3"/>
        <v>7.42</v>
      </c>
      <c r="AH69" t="s">
        <v>50</v>
      </c>
    </row>
    <row r="70" spans="1:34" ht="15" customHeight="1" x14ac:dyDescent="0.35">
      <c r="A70">
        <v>7547676</v>
      </c>
      <c r="B70">
        <v>690929</v>
      </c>
      <c r="C70" t="s">
        <v>34</v>
      </c>
      <c r="D70" t="s">
        <v>35</v>
      </c>
      <c r="E70" s="6" t="s">
        <v>34</v>
      </c>
      <c r="F70" t="s">
        <v>299</v>
      </c>
      <c r="G70" t="s">
        <v>37</v>
      </c>
      <c r="H70" t="s">
        <v>38</v>
      </c>
      <c r="I70" t="s">
        <v>300</v>
      </c>
      <c r="J70" t="s">
        <v>40</v>
      </c>
      <c r="K70">
        <v>2</v>
      </c>
      <c r="L70" t="s">
        <v>41</v>
      </c>
      <c r="M70" t="s">
        <v>42</v>
      </c>
      <c r="N70" t="s">
        <v>43</v>
      </c>
      <c r="O70" s="7">
        <v>1</v>
      </c>
      <c r="P70" s="8">
        <v>45155.513553240744</v>
      </c>
      <c r="Q70" s="9">
        <v>45156</v>
      </c>
      <c r="R70" t="s">
        <v>37</v>
      </c>
      <c r="S70" t="s">
        <v>44</v>
      </c>
      <c r="T70" t="s">
        <v>53</v>
      </c>
      <c r="U70" t="s">
        <v>59</v>
      </c>
      <c r="V70" t="s">
        <v>301</v>
      </c>
      <c r="W70">
        <v>18300</v>
      </c>
      <c r="X70" t="s">
        <v>44</v>
      </c>
      <c r="Y70" t="s">
        <v>53</v>
      </c>
      <c r="Z70" t="s">
        <v>49</v>
      </c>
      <c r="AA70" s="10">
        <f>IF(O70&lt;=1,7,7+0.8*ROUNDUP(O70-1,0))</f>
        <v>7</v>
      </c>
      <c r="AB70" s="11">
        <v>0</v>
      </c>
      <c r="AC70" s="11">
        <v>0</v>
      </c>
      <c r="AD70" s="11">
        <v>0</v>
      </c>
      <c r="AE70" s="11">
        <v>0</v>
      </c>
      <c r="AF70" s="11">
        <f t="shared" si="2"/>
        <v>0.42</v>
      </c>
      <c r="AG70" s="11">
        <f t="shared" si="3"/>
        <v>7.42</v>
      </c>
      <c r="AH70" t="s">
        <v>50</v>
      </c>
    </row>
    <row r="71" spans="1:34" ht="15" customHeight="1" x14ac:dyDescent="0.35">
      <c r="A71">
        <v>7547676</v>
      </c>
      <c r="B71">
        <v>690929</v>
      </c>
      <c r="C71" t="s">
        <v>34</v>
      </c>
      <c r="D71" t="s">
        <v>35</v>
      </c>
      <c r="E71" s="6" t="s">
        <v>34</v>
      </c>
      <c r="F71" t="s">
        <v>302</v>
      </c>
      <c r="G71" t="s">
        <v>37</v>
      </c>
      <c r="H71" t="s">
        <v>38</v>
      </c>
      <c r="I71" t="s">
        <v>303</v>
      </c>
      <c r="J71" t="s">
        <v>40</v>
      </c>
      <c r="K71">
        <v>2</v>
      </c>
      <c r="L71" t="s">
        <v>41</v>
      </c>
      <c r="M71" t="s">
        <v>42</v>
      </c>
      <c r="N71" t="s">
        <v>43</v>
      </c>
      <c r="O71" s="7">
        <v>1</v>
      </c>
      <c r="P71" s="8">
        <v>45155.650578703702</v>
      </c>
      <c r="Q71" s="9">
        <v>45156</v>
      </c>
      <c r="R71" t="s">
        <v>37</v>
      </c>
      <c r="S71" t="s">
        <v>44</v>
      </c>
      <c r="T71" t="s">
        <v>53</v>
      </c>
      <c r="U71" t="s">
        <v>54</v>
      </c>
      <c r="V71" t="s">
        <v>304</v>
      </c>
      <c r="W71">
        <v>47150</v>
      </c>
      <c r="X71" t="s">
        <v>44</v>
      </c>
      <c r="Y71" t="s">
        <v>136</v>
      </c>
      <c r="Z71" t="s">
        <v>49</v>
      </c>
      <c r="AA71" s="10">
        <f>IF(O71&lt;=1,7,7+0.8*ROUNDUP(O71-1,0))</f>
        <v>7</v>
      </c>
      <c r="AB71" s="11">
        <v>0</v>
      </c>
      <c r="AC71" s="11">
        <v>0</v>
      </c>
      <c r="AD71" s="11">
        <v>0</v>
      </c>
      <c r="AE71" s="11">
        <v>0</v>
      </c>
      <c r="AF71" s="11">
        <f t="shared" si="2"/>
        <v>0.42</v>
      </c>
      <c r="AG71" s="11">
        <f t="shared" si="3"/>
        <v>7.42</v>
      </c>
      <c r="AH71" t="s">
        <v>50</v>
      </c>
    </row>
    <row r="72" spans="1:34" ht="15" customHeight="1" x14ac:dyDescent="0.35">
      <c r="A72">
        <v>7547676</v>
      </c>
      <c r="B72">
        <v>690929</v>
      </c>
      <c r="C72" t="s">
        <v>34</v>
      </c>
      <c r="D72" t="s">
        <v>35</v>
      </c>
      <c r="E72" s="6" t="s">
        <v>34</v>
      </c>
      <c r="F72" t="s">
        <v>305</v>
      </c>
      <c r="G72" t="s">
        <v>37</v>
      </c>
      <c r="H72" t="s">
        <v>38</v>
      </c>
      <c r="I72" t="s">
        <v>306</v>
      </c>
      <c r="J72" t="s">
        <v>40</v>
      </c>
      <c r="K72">
        <v>2</v>
      </c>
      <c r="L72" t="s">
        <v>41</v>
      </c>
      <c r="M72" t="s">
        <v>42</v>
      </c>
      <c r="N72" t="s">
        <v>43</v>
      </c>
      <c r="O72" s="7">
        <v>1</v>
      </c>
      <c r="P72" s="8">
        <v>45155.531261574077</v>
      </c>
      <c r="Q72" s="9">
        <v>45156</v>
      </c>
      <c r="R72" t="s">
        <v>37</v>
      </c>
      <c r="S72" t="s">
        <v>44</v>
      </c>
      <c r="T72" t="s">
        <v>53</v>
      </c>
      <c r="U72" t="s">
        <v>134</v>
      </c>
      <c r="V72" t="s">
        <v>307</v>
      </c>
      <c r="W72">
        <v>50400</v>
      </c>
      <c r="X72" t="s">
        <v>44</v>
      </c>
      <c r="Y72" t="s">
        <v>308</v>
      </c>
      <c r="Z72" t="s">
        <v>49</v>
      </c>
      <c r="AA72" s="10">
        <f>IF(O72&lt;=1,7,7+0.8*ROUNDUP(O72-1,0))</f>
        <v>7</v>
      </c>
      <c r="AB72" s="11">
        <v>0</v>
      </c>
      <c r="AC72" s="11">
        <v>0</v>
      </c>
      <c r="AD72" s="11">
        <v>0</v>
      </c>
      <c r="AE72" s="11">
        <v>0</v>
      </c>
      <c r="AF72" s="11">
        <f t="shared" si="2"/>
        <v>0.42</v>
      </c>
      <c r="AG72" s="11">
        <f t="shared" si="3"/>
        <v>7.42</v>
      </c>
      <c r="AH72" t="s">
        <v>50</v>
      </c>
    </row>
    <row r="73" spans="1:34" ht="15" customHeight="1" x14ac:dyDescent="0.35">
      <c r="A73">
        <v>7547676</v>
      </c>
      <c r="B73">
        <v>690929</v>
      </c>
      <c r="C73" t="s">
        <v>34</v>
      </c>
      <c r="D73" t="s">
        <v>35</v>
      </c>
      <c r="E73" s="6" t="s">
        <v>34</v>
      </c>
      <c r="F73" t="s">
        <v>309</v>
      </c>
      <c r="G73" t="s">
        <v>37</v>
      </c>
      <c r="H73" t="s">
        <v>38</v>
      </c>
      <c r="I73" t="s">
        <v>310</v>
      </c>
      <c r="J73" t="s">
        <v>40</v>
      </c>
      <c r="K73">
        <v>2</v>
      </c>
      <c r="L73" t="s">
        <v>41</v>
      </c>
      <c r="M73" t="s">
        <v>42</v>
      </c>
      <c r="N73" t="s">
        <v>43</v>
      </c>
      <c r="O73" s="7">
        <v>1</v>
      </c>
      <c r="P73" s="8">
        <v>45154.707662037035</v>
      </c>
      <c r="Q73" s="9">
        <v>45156</v>
      </c>
      <c r="R73" t="s">
        <v>37</v>
      </c>
      <c r="S73" t="s">
        <v>44</v>
      </c>
      <c r="T73" t="s">
        <v>53</v>
      </c>
      <c r="U73" t="s">
        <v>81</v>
      </c>
      <c r="V73" t="s">
        <v>311</v>
      </c>
      <c r="W73">
        <v>35400</v>
      </c>
      <c r="X73" t="s">
        <v>44</v>
      </c>
      <c r="Y73" t="s">
        <v>312</v>
      </c>
      <c r="Z73" t="s">
        <v>49</v>
      </c>
      <c r="AA73" s="10">
        <f>IF(O73&lt;=1,7,7+0.8*ROUNDUP(O73-1,0))</f>
        <v>7</v>
      </c>
      <c r="AB73" s="11">
        <v>0</v>
      </c>
      <c r="AC73" s="11">
        <v>0</v>
      </c>
      <c r="AD73" s="11">
        <v>0</v>
      </c>
      <c r="AE73" s="11">
        <v>0</v>
      </c>
      <c r="AF73" s="11">
        <f t="shared" si="2"/>
        <v>0.42</v>
      </c>
      <c r="AG73" s="11">
        <f t="shared" si="3"/>
        <v>7.42</v>
      </c>
      <c r="AH73" t="s">
        <v>50</v>
      </c>
    </row>
    <row r="74" spans="1:34" ht="15" customHeight="1" x14ac:dyDescent="0.35">
      <c r="A74">
        <v>7547676</v>
      </c>
      <c r="B74">
        <v>690929</v>
      </c>
      <c r="C74" t="s">
        <v>34</v>
      </c>
      <c r="D74" t="s">
        <v>35</v>
      </c>
      <c r="E74" s="6" t="s">
        <v>34</v>
      </c>
      <c r="F74" t="s">
        <v>313</v>
      </c>
      <c r="G74" t="s">
        <v>37</v>
      </c>
      <c r="H74" t="s">
        <v>38</v>
      </c>
      <c r="I74" t="s">
        <v>314</v>
      </c>
      <c r="J74" t="s">
        <v>40</v>
      </c>
      <c r="K74">
        <v>2</v>
      </c>
      <c r="L74" t="s">
        <v>41</v>
      </c>
      <c r="M74" t="s">
        <v>42</v>
      </c>
      <c r="N74" t="s">
        <v>43</v>
      </c>
      <c r="O74" s="7">
        <v>1</v>
      </c>
      <c r="P74" s="8">
        <v>45155.650578703702</v>
      </c>
      <c r="Q74" s="9">
        <v>45156</v>
      </c>
      <c r="R74" t="s">
        <v>37</v>
      </c>
      <c r="S74" t="s">
        <v>44</v>
      </c>
      <c r="T74" t="s">
        <v>53</v>
      </c>
      <c r="U74" t="s">
        <v>54</v>
      </c>
      <c r="V74" t="s">
        <v>315</v>
      </c>
      <c r="W74">
        <v>48200</v>
      </c>
      <c r="X74" t="s">
        <v>44</v>
      </c>
      <c r="Y74" t="s">
        <v>316</v>
      </c>
      <c r="Z74" t="s">
        <v>49</v>
      </c>
      <c r="AA74" s="10">
        <f>IF(O74&lt;=1,7,7+0.8*ROUNDUP(O74-1,0))</f>
        <v>7</v>
      </c>
      <c r="AB74" s="11">
        <v>0</v>
      </c>
      <c r="AC74" s="11">
        <v>0</v>
      </c>
      <c r="AD74" s="11">
        <v>0</v>
      </c>
      <c r="AE74" s="11">
        <v>0</v>
      </c>
      <c r="AF74" s="11">
        <f t="shared" si="2"/>
        <v>0.42</v>
      </c>
      <c r="AG74" s="11">
        <f t="shared" si="3"/>
        <v>7.42</v>
      </c>
      <c r="AH74" t="s">
        <v>50</v>
      </c>
    </row>
    <row r="75" spans="1:34" ht="15" customHeight="1" x14ac:dyDescent="0.35">
      <c r="A75">
        <v>7547676</v>
      </c>
      <c r="B75">
        <v>690929</v>
      </c>
      <c r="C75" t="s">
        <v>34</v>
      </c>
      <c r="D75" t="s">
        <v>35</v>
      </c>
      <c r="E75" s="6" t="s">
        <v>34</v>
      </c>
      <c r="F75" t="s">
        <v>317</v>
      </c>
      <c r="G75" t="s">
        <v>37</v>
      </c>
      <c r="H75" t="s">
        <v>38</v>
      </c>
      <c r="I75" t="s">
        <v>318</v>
      </c>
      <c r="J75" t="s">
        <v>40</v>
      </c>
      <c r="K75">
        <v>2</v>
      </c>
      <c r="L75" t="s">
        <v>41</v>
      </c>
      <c r="M75" t="s">
        <v>42</v>
      </c>
      <c r="N75" t="s">
        <v>43</v>
      </c>
      <c r="O75" s="7">
        <v>2</v>
      </c>
      <c r="P75" s="8">
        <v>45154.581516203703</v>
      </c>
      <c r="Q75" s="9">
        <v>45156</v>
      </c>
      <c r="R75" t="s">
        <v>37</v>
      </c>
      <c r="S75" t="s">
        <v>44</v>
      </c>
      <c r="T75" t="s">
        <v>53</v>
      </c>
      <c r="U75" t="s">
        <v>197</v>
      </c>
      <c r="V75" t="s">
        <v>319</v>
      </c>
      <c r="W75">
        <v>85000</v>
      </c>
      <c r="X75" t="s">
        <v>44</v>
      </c>
      <c r="Y75" t="s">
        <v>320</v>
      </c>
      <c r="Z75" t="s">
        <v>49</v>
      </c>
      <c r="AA75" s="10">
        <f>IF(O75&lt;=1,7,7+0.8*ROUNDUP(O75-1,0))</f>
        <v>7.8</v>
      </c>
      <c r="AB75" s="11">
        <v>0</v>
      </c>
      <c r="AC75" s="11">
        <v>0</v>
      </c>
      <c r="AD75" s="11">
        <v>0</v>
      </c>
      <c r="AE75" s="11">
        <v>0</v>
      </c>
      <c r="AF75" s="11">
        <f t="shared" si="2"/>
        <v>0.46799999999999997</v>
      </c>
      <c r="AG75" s="11">
        <f t="shared" si="3"/>
        <v>8.2680000000000007</v>
      </c>
      <c r="AH75" t="s">
        <v>50</v>
      </c>
    </row>
    <row r="76" spans="1:34" ht="15" customHeight="1" x14ac:dyDescent="0.35">
      <c r="A76">
        <v>7547676</v>
      </c>
      <c r="B76">
        <v>690929</v>
      </c>
      <c r="C76" t="s">
        <v>34</v>
      </c>
      <c r="D76" t="s">
        <v>35</v>
      </c>
      <c r="E76" s="6" t="s">
        <v>34</v>
      </c>
      <c r="F76" t="s">
        <v>321</v>
      </c>
      <c r="G76" t="s">
        <v>37</v>
      </c>
      <c r="H76" t="s">
        <v>38</v>
      </c>
      <c r="I76" t="s">
        <v>322</v>
      </c>
      <c r="J76" t="s">
        <v>40</v>
      </c>
      <c r="K76">
        <v>2</v>
      </c>
      <c r="L76" t="s">
        <v>41</v>
      </c>
      <c r="M76" t="s">
        <v>42</v>
      </c>
      <c r="N76" t="s">
        <v>43</v>
      </c>
      <c r="O76" s="7">
        <v>1</v>
      </c>
      <c r="P76" s="8">
        <v>45155.706238425926</v>
      </c>
      <c r="Q76" s="9">
        <v>45156</v>
      </c>
      <c r="R76" t="s">
        <v>37</v>
      </c>
      <c r="S76" t="s">
        <v>44</v>
      </c>
      <c r="T76" t="s">
        <v>53</v>
      </c>
      <c r="U76" t="s">
        <v>54</v>
      </c>
      <c r="V76" t="s">
        <v>323</v>
      </c>
      <c r="W76">
        <v>47301</v>
      </c>
      <c r="X76" t="s">
        <v>44</v>
      </c>
      <c r="Y76" t="s">
        <v>136</v>
      </c>
      <c r="Z76" t="s">
        <v>49</v>
      </c>
      <c r="AA76" s="10">
        <f>IF(O76&lt;=1,7,7+0.8*ROUNDUP(O76-1,0))</f>
        <v>7</v>
      </c>
      <c r="AB76" s="11">
        <v>0</v>
      </c>
      <c r="AC76" s="11">
        <v>0</v>
      </c>
      <c r="AD76" s="11">
        <v>0</v>
      </c>
      <c r="AE76" s="11">
        <v>0</v>
      </c>
      <c r="AF76" s="11">
        <f t="shared" si="2"/>
        <v>0.42</v>
      </c>
      <c r="AG76" s="11">
        <f t="shared" si="3"/>
        <v>7.42</v>
      </c>
      <c r="AH76" t="s">
        <v>50</v>
      </c>
    </row>
    <row r="77" spans="1:34" ht="15" customHeight="1" x14ac:dyDescent="0.35">
      <c r="A77">
        <v>7547676</v>
      </c>
      <c r="B77">
        <v>690929</v>
      </c>
      <c r="C77" t="s">
        <v>34</v>
      </c>
      <c r="D77" t="s">
        <v>35</v>
      </c>
      <c r="E77" s="6" t="s">
        <v>34</v>
      </c>
      <c r="F77" t="s">
        <v>324</v>
      </c>
      <c r="G77" t="s">
        <v>37</v>
      </c>
      <c r="H77" t="s">
        <v>38</v>
      </c>
      <c r="I77" t="s">
        <v>325</v>
      </c>
      <c r="J77" t="s">
        <v>40</v>
      </c>
      <c r="K77">
        <v>2</v>
      </c>
      <c r="L77" t="s">
        <v>41</v>
      </c>
      <c r="M77" t="s">
        <v>42</v>
      </c>
      <c r="N77" t="s">
        <v>43</v>
      </c>
      <c r="O77" s="7">
        <v>1</v>
      </c>
      <c r="P77" s="8">
        <v>45155.650578703702</v>
      </c>
      <c r="Q77" s="9">
        <v>45156</v>
      </c>
      <c r="R77" t="s">
        <v>37</v>
      </c>
      <c r="S77" t="s">
        <v>44</v>
      </c>
      <c r="T77" t="s">
        <v>53</v>
      </c>
      <c r="U77" t="s">
        <v>67</v>
      </c>
      <c r="V77" t="s">
        <v>326</v>
      </c>
      <c r="W77">
        <v>28050</v>
      </c>
      <c r="X77" t="s">
        <v>44</v>
      </c>
      <c r="Y77" t="s">
        <v>53</v>
      </c>
      <c r="Z77" t="s">
        <v>49</v>
      </c>
      <c r="AA77" s="10">
        <f>IF(O77&lt;=1,7,7+0.8*ROUNDUP(O77-1,0))</f>
        <v>7</v>
      </c>
      <c r="AB77" s="11">
        <v>0</v>
      </c>
      <c r="AC77" s="11">
        <v>0</v>
      </c>
      <c r="AD77" s="11">
        <v>0</v>
      </c>
      <c r="AE77" s="11">
        <v>0</v>
      </c>
      <c r="AF77" s="11">
        <f t="shared" si="2"/>
        <v>0.42</v>
      </c>
      <c r="AG77" s="11">
        <f t="shared" si="3"/>
        <v>7.42</v>
      </c>
      <c r="AH77" t="s">
        <v>50</v>
      </c>
    </row>
    <row r="78" spans="1:34" ht="15" customHeight="1" x14ac:dyDescent="0.35">
      <c r="A78">
        <v>7547676</v>
      </c>
      <c r="B78">
        <v>690929</v>
      </c>
      <c r="C78" t="s">
        <v>34</v>
      </c>
      <c r="D78" t="s">
        <v>35</v>
      </c>
      <c r="E78" s="6" t="s">
        <v>34</v>
      </c>
      <c r="F78" t="s">
        <v>327</v>
      </c>
      <c r="G78" t="s">
        <v>37</v>
      </c>
      <c r="H78" t="s">
        <v>38</v>
      </c>
      <c r="I78" t="s">
        <v>328</v>
      </c>
      <c r="J78" t="s">
        <v>40</v>
      </c>
      <c r="K78">
        <v>2</v>
      </c>
      <c r="L78" t="s">
        <v>41</v>
      </c>
      <c r="M78" t="s">
        <v>42</v>
      </c>
      <c r="N78" t="s">
        <v>43</v>
      </c>
      <c r="O78" s="7">
        <v>1</v>
      </c>
      <c r="P78" s="8">
        <v>45155.685717592591</v>
      </c>
      <c r="Q78" s="9">
        <v>45157</v>
      </c>
      <c r="R78" t="s">
        <v>37</v>
      </c>
      <c r="S78" t="s">
        <v>44</v>
      </c>
      <c r="T78" t="s">
        <v>53</v>
      </c>
      <c r="U78" t="s">
        <v>46</v>
      </c>
      <c r="V78" t="s">
        <v>329</v>
      </c>
      <c r="W78">
        <v>13400</v>
      </c>
      <c r="X78" t="s">
        <v>44</v>
      </c>
      <c r="Y78" t="s">
        <v>151</v>
      </c>
      <c r="Z78" t="s">
        <v>49</v>
      </c>
      <c r="AA78" s="10">
        <f>IF(O78&lt;=1,7,7+0.8*ROUNDUP(O78-1,0))</f>
        <v>7</v>
      </c>
      <c r="AB78" s="11">
        <v>0</v>
      </c>
      <c r="AC78" s="11">
        <v>0</v>
      </c>
      <c r="AD78" s="11">
        <v>0</v>
      </c>
      <c r="AE78" s="11">
        <v>0</v>
      </c>
      <c r="AF78" s="11">
        <f t="shared" si="2"/>
        <v>0.42</v>
      </c>
      <c r="AG78" s="11">
        <f t="shared" si="3"/>
        <v>7.42</v>
      </c>
      <c r="AH78" t="s">
        <v>50</v>
      </c>
    </row>
    <row r="79" spans="1:34" ht="15" customHeight="1" x14ac:dyDescent="0.35">
      <c r="A79">
        <v>7547676</v>
      </c>
      <c r="B79">
        <v>690929</v>
      </c>
      <c r="C79" t="s">
        <v>34</v>
      </c>
      <c r="D79" t="s">
        <v>35</v>
      </c>
      <c r="E79" s="6" t="s">
        <v>34</v>
      </c>
      <c r="F79" t="s">
        <v>330</v>
      </c>
      <c r="G79" t="s">
        <v>37</v>
      </c>
      <c r="H79" t="s">
        <v>38</v>
      </c>
      <c r="I79" t="s">
        <v>331</v>
      </c>
      <c r="J79" t="s">
        <v>40</v>
      </c>
      <c r="K79">
        <v>2</v>
      </c>
      <c r="L79" t="s">
        <v>41</v>
      </c>
      <c r="M79" t="s">
        <v>42</v>
      </c>
      <c r="N79" t="s">
        <v>43</v>
      </c>
      <c r="O79" s="7">
        <v>3</v>
      </c>
      <c r="P79" s="8">
        <v>45155.650578703702</v>
      </c>
      <c r="Q79" s="9">
        <v>45157</v>
      </c>
      <c r="R79" t="s">
        <v>37</v>
      </c>
      <c r="S79" t="s">
        <v>44</v>
      </c>
      <c r="T79" t="s">
        <v>53</v>
      </c>
      <c r="U79" t="s">
        <v>46</v>
      </c>
      <c r="V79" t="s">
        <v>332</v>
      </c>
      <c r="W79">
        <v>13100</v>
      </c>
      <c r="X79" t="s">
        <v>44</v>
      </c>
      <c r="Y79" t="s">
        <v>48</v>
      </c>
      <c r="Z79" t="s">
        <v>49</v>
      </c>
      <c r="AA79" s="10">
        <f>IF(O79&lt;=1,7,7+0.8*ROUNDUP(O79-1,0))</f>
        <v>8.6</v>
      </c>
      <c r="AB79" s="11">
        <v>0</v>
      </c>
      <c r="AC79" s="11">
        <v>0</v>
      </c>
      <c r="AD79" s="11">
        <v>0</v>
      </c>
      <c r="AE79" s="11">
        <v>0</v>
      </c>
      <c r="AF79" s="11">
        <f t="shared" ref="AF79:AF142" si="4">(AA79+AC79+AE79)*6%</f>
        <v>0.51600000000000001</v>
      </c>
      <c r="AG79" s="11">
        <f t="shared" ref="AG79:AG142" si="5">AA79+AC79+AE79+AF79</f>
        <v>9.1159999999999997</v>
      </c>
      <c r="AH79" t="s">
        <v>50</v>
      </c>
    </row>
    <row r="80" spans="1:34" ht="15" customHeight="1" x14ac:dyDescent="0.35">
      <c r="A80">
        <v>7547676</v>
      </c>
      <c r="B80">
        <v>690929</v>
      </c>
      <c r="C80" t="s">
        <v>34</v>
      </c>
      <c r="D80" t="s">
        <v>35</v>
      </c>
      <c r="E80" s="6" t="s">
        <v>34</v>
      </c>
      <c r="F80" t="s">
        <v>333</v>
      </c>
      <c r="G80" t="s">
        <v>37</v>
      </c>
      <c r="H80" t="s">
        <v>38</v>
      </c>
      <c r="I80" t="s">
        <v>334</v>
      </c>
      <c r="J80" t="s">
        <v>40</v>
      </c>
      <c r="K80">
        <v>2</v>
      </c>
      <c r="L80" t="s">
        <v>41</v>
      </c>
      <c r="M80" t="s">
        <v>42</v>
      </c>
      <c r="N80" t="s">
        <v>43</v>
      </c>
      <c r="O80" s="7">
        <v>1</v>
      </c>
      <c r="P80" s="8">
        <v>45155.47016203704</v>
      </c>
      <c r="Q80" s="9">
        <v>45157</v>
      </c>
      <c r="R80" t="s">
        <v>37</v>
      </c>
      <c r="S80" t="s">
        <v>44</v>
      </c>
      <c r="T80" t="s">
        <v>53</v>
      </c>
      <c r="U80" t="s">
        <v>210</v>
      </c>
      <c r="V80" t="s">
        <v>335</v>
      </c>
      <c r="W80">
        <v>6300</v>
      </c>
      <c r="X80" t="s">
        <v>44</v>
      </c>
      <c r="Y80" t="s">
        <v>336</v>
      </c>
      <c r="Z80" t="s">
        <v>49</v>
      </c>
      <c r="AA80" s="10">
        <f>IF(O80&lt;=1,7,7+0.8*ROUNDUP(O80-1,0))</f>
        <v>7</v>
      </c>
      <c r="AB80" s="11">
        <v>0</v>
      </c>
      <c r="AC80" s="11">
        <v>0</v>
      </c>
      <c r="AD80" s="11">
        <v>0</v>
      </c>
      <c r="AE80" s="11">
        <v>0</v>
      </c>
      <c r="AF80" s="11">
        <f t="shared" si="4"/>
        <v>0.42</v>
      </c>
      <c r="AG80" s="11">
        <f t="shared" si="5"/>
        <v>7.42</v>
      </c>
      <c r="AH80" t="s">
        <v>50</v>
      </c>
    </row>
    <row r="81" spans="1:34" ht="15" customHeight="1" x14ac:dyDescent="0.35">
      <c r="A81">
        <v>7547676</v>
      </c>
      <c r="B81">
        <v>690929</v>
      </c>
      <c r="C81" t="s">
        <v>34</v>
      </c>
      <c r="D81" t="s">
        <v>35</v>
      </c>
      <c r="E81" s="6" t="s">
        <v>34</v>
      </c>
      <c r="F81" t="s">
        <v>337</v>
      </c>
      <c r="G81" t="s">
        <v>37</v>
      </c>
      <c r="H81" t="s">
        <v>38</v>
      </c>
      <c r="I81" t="s">
        <v>338</v>
      </c>
      <c r="J81" t="s">
        <v>40</v>
      </c>
      <c r="K81">
        <v>2</v>
      </c>
      <c r="L81" t="s">
        <v>41</v>
      </c>
      <c r="M81" t="s">
        <v>42</v>
      </c>
      <c r="N81" t="s">
        <v>43</v>
      </c>
      <c r="O81" s="7">
        <v>1</v>
      </c>
      <c r="P81" s="8">
        <v>45155.458356481482</v>
      </c>
      <c r="Q81" s="9">
        <v>45157</v>
      </c>
      <c r="R81" t="s">
        <v>37</v>
      </c>
      <c r="S81" t="s">
        <v>44</v>
      </c>
      <c r="T81" t="s">
        <v>53</v>
      </c>
      <c r="U81" t="s">
        <v>197</v>
      </c>
      <c r="V81" t="s">
        <v>339</v>
      </c>
      <c r="W81">
        <v>81300</v>
      </c>
      <c r="X81" t="s">
        <v>44</v>
      </c>
      <c r="Y81" t="s">
        <v>340</v>
      </c>
      <c r="Z81" t="s">
        <v>49</v>
      </c>
      <c r="AA81" s="10">
        <f>IF(O81&lt;=1,7,7+0.8*ROUNDUP(O81-1,0))</f>
        <v>7</v>
      </c>
      <c r="AB81" s="11">
        <v>0</v>
      </c>
      <c r="AC81" s="11">
        <v>0</v>
      </c>
      <c r="AD81" s="11">
        <v>0</v>
      </c>
      <c r="AE81" s="11">
        <v>0</v>
      </c>
      <c r="AF81" s="11">
        <f t="shared" si="4"/>
        <v>0.42</v>
      </c>
      <c r="AG81" s="11">
        <f t="shared" si="5"/>
        <v>7.42</v>
      </c>
      <c r="AH81" t="s">
        <v>50</v>
      </c>
    </row>
    <row r="82" spans="1:34" ht="15" customHeight="1" x14ac:dyDescent="0.35">
      <c r="A82">
        <v>7547676</v>
      </c>
      <c r="B82">
        <v>690929</v>
      </c>
      <c r="C82" t="s">
        <v>34</v>
      </c>
      <c r="D82" t="s">
        <v>35</v>
      </c>
      <c r="E82" s="6" t="s">
        <v>34</v>
      </c>
      <c r="F82" t="s">
        <v>341</v>
      </c>
      <c r="G82" t="s">
        <v>37</v>
      </c>
      <c r="H82" t="s">
        <v>38</v>
      </c>
      <c r="I82" t="s">
        <v>342</v>
      </c>
      <c r="J82" t="s">
        <v>40</v>
      </c>
      <c r="K82">
        <v>2</v>
      </c>
      <c r="L82" t="s">
        <v>41</v>
      </c>
      <c r="M82" t="s">
        <v>42</v>
      </c>
      <c r="N82" t="s">
        <v>43</v>
      </c>
      <c r="O82" s="7">
        <v>1</v>
      </c>
      <c r="P82" s="8">
        <v>45156.475462962961</v>
      </c>
      <c r="Q82" s="9">
        <v>45157</v>
      </c>
      <c r="R82" t="s">
        <v>37</v>
      </c>
      <c r="S82" t="s">
        <v>44</v>
      </c>
      <c r="T82" t="s">
        <v>45</v>
      </c>
      <c r="U82" t="s">
        <v>59</v>
      </c>
      <c r="V82" t="s">
        <v>343</v>
      </c>
      <c r="W82">
        <v>15100</v>
      </c>
      <c r="X82" t="s">
        <v>44</v>
      </c>
      <c r="Y82" t="s">
        <v>45</v>
      </c>
      <c r="Z82" t="s">
        <v>49</v>
      </c>
      <c r="AA82" s="10">
        <f>IF(O82&lt;=1,7,7+0.8*ROUNDUP(O82-1,0))</f>
        <v>7</v>
      </c>
      <c r="AB82" s="11">
        <v>0</v>
      </c>
      <c r="AC82" s="11">
        <v>0</v>
      </c>
      <c r="AD82" s="11">
        <v>0</v>
      </c>
      <c r="AE82" s="11">
        <v>0</v>
      </c>
      <c r="AF82" s="11">
        <f t="shared" si="4"/>
        <v>0.42</v>
      </c>
      <c r="AG82" s="11">
        <f t="shared" si="5"/>
        <v>7.42</v>
      </c>
      <c r="AH82" t="s">
        <v>50</v>
      </c>
    </row>
    <row r="83" spans="1:34" ht="15" customHeight="1" x14ac:dyDescent="0.35">
      <c r="A83">
        <v>7547676</v>
      </c>
      <c r="B83">
        <v>690929</v>
      </c>
      <c r="C83" t="s">
        <v>34</v>
      </c>
      <c r="D83" t="s">
        <v>35</v>
      </c>
      <c r="E83" s="6" t="s">
        <v>34</v>
      </c>
      <c r="F83" t="s">
        <v>344</v>
      </c>
      <c r="G83" t="s">
        <v>37</v>
      </c>
      <c r="H83" t="s">
        <v>38</v>
      </c>
      <c r="I83" t="s">
        <v>345</v>
      </c>
      <c r="J83" t="s">
        <v>40</v>
      </c>
      <c r="K83">
        <v>2</v>
      </c>
      <c r="L83" t="s">
        <v>41</v>
      </c>
      <c r="M83" t="s">
        <v>42</v>
      </c>
      <c r="N83" t="s">
        <v>43</v>
      </c>
      <c r="O83" s="7">
        <v>1</v>
      </c>
      <c r="P83" s="8">
        <v>45155.746608796297</v>
      </c>
      <c r="Q83" s="9">
        <v>45157</v>
      </c>
      <c r="R83" t="s">
        <v>37</v>
      </c>
      <c r="S83" t="s">
        <v>44</v>
      </c>
      <c r="T83" t="s">
        <v>45</v>
      </c>
      <c r="U83" t="s">
        <v>202</v>
      </c>
      <c r="V83" t="s">
        <v>346</v>
      </c>
      <c r="W83">
        <v>75450</v>
      </c>
      <c r="X83" t="s">
        <v>44</v>
      </c>
      <c r="Y83" t="s">
        <v>347</v>
      </c>
      <c r="Z83" t="s">
        <v>49</v>
      </c>
      <c r="AA83" s="10">
        <f>IF(O83&lt;=1,7,7+0.8*ROUNDUP(O83-1,0))</f>
        <v>7</v>
      </c>
      <c r="AB83" s="11">
        <v>0</v>
      </c>
      <c r="AC83" s="11">
        <v>0</v>
      </c>
      <c r="AD83" s="11">
        <v>0</v>
      </c>
      <c r="AE83" s="11">
        <v>0</v>
      </c>
      <c r="AF83" s="11">
        <f t="shared" si="4"/>
        <v>0.42</v>
      </c>
      <c r="AG83" s="11">
        <f t="shared" si="5"/>
        <v>7.42</v>
      </c>
      <c r="AH83" t="s">
        <v>50</v>
      </c>
    </row>
    <row r="84" spans="1:34" ht="15" customHeight="1" x14ac:dyDescent="0.35">
      <c r="A84">
        <v>7547676</v>
      </c>
      <c r="B84">
        <v>690929</v>
      </c>
      <c r="C84" t="s">
        <v>34</v>
      </c>
      <c r="D84" t="s">
        <v>35</v>
      </c>
      <c r="E84" s="6" t="s">
        <v>34</v>
      </c>
      <c r="F84" t="s">
        <v>348</v>
      </c>
      <c r="G84" t="s">
        <v>37</v>
      </c>
      <c r="H84" t="s">
        <v>38</v>
      </c>
      <c r="I84" t="s">
        <v>349</v>
      </c>
      <c r="J84" t="s">
        <v>40</v>
      </c>
      <c r="K84">
        <v>2</v>
      </c>
      <c r="L84" t="s">
        <v>41</v>
      </c>
      <c r="M84" t="s">
        <v>42</v>
      </c>
      <c r="N84" t="s">
        <v>43</v>
      </c>
      <c r="O84" s="7">
        <v>1</v>
      </c>
      <c r="P84" s="8">
        <v>45155.521238425928</v>
      </c>
      <c r="Q84" s="9">
        <v>45157</v>
      </c>
      <c r="R84" t="s">
        <v>37</v>
      </c>
      <c r="S84" t="s">
        <v>44</v>
      </c>
      <c r="T84" t="s">
        <v>53</v>
      </c>
      <c r="U84" t="s">
        <v>197</v>
      </c>
      <c r="V84" t="s">
        <v>350</v>
      </c>
      <c r="W84">
        <v>81100</v>
      </c>
      <c r="X84" t="s">
        <v>44</v>
      </c>
      <c r="Y84" t="s">
        <v>351</v>
      </c>
      <c r="Z84" t="s">
        <v>49</v>
      </c>
      <c r="AA84" s="10">
        <f>IF(O84&lt;=1,7,7+0.8*ROUNDUP(O84-1,0))</f>
        <v>7</v>
      </c>
      <c r="AB84" s="11">
        <v>0</v>
      </c>
      <c r="AC84" s="11">
        <v>0</v>
      </c>
      <c r="AD84" s="11">
        <v>0</v>
      </c>
      <c r="AE84" s="11">
        <v>0</v>
      </c>
      <c r="AF84" s="11">
        <f t="shared" si="4"/>
        <v>0.42</v>
      </c>
      <c r="AG84" s="11">
        <f t="shared" si="5"/>
        <v>7.42</v>
      </c>
      <c r="AH84" t="s">
        <v>50</v>
      </c>
    </row>
    <row r="85" spans="1:34" ht="15" customHeight="1" x14ac:dyDescent="0.35">
      <c r="A85">
        <v>7547676</v>
      </c>
      <c r="B85">
        <v>690929</v>
      </c>
      <c r="C85" t="s">
        <v>34</v>
      </c>
      <c r="D85" t="s">
        <v>35</v>
      </c>
      <c r="E85" s="6" t="s">
        <v>34</v>
      </c>
      <c r="F85" t="s">
        <v>352</v>
      </c>
      <c r="G85" t="s">
        <v>37</v>
      </c>
      <c r="H85" t="s">
        <v>38</v>
      </c>
      <c r="I85" t="s">
        <v>353</v>
      </c>
      <c r="J85" t="s">
        <v>40</v>
      </c>
      <c r="K85">
        <v>2</v>
      </c>
      <c r="L85" t="s">
        <v>41</v>
      </c>
      <c r="M85" t="s">
        <v>42</v>
      </c>
      <c r="N85" t="s">
        <v>43</v>
      </c>
      <c r="O85" s="7">
        <v>1</v>
      </c>
      <c r="P85" s="8">
        <v>45155.746574074074</v>
      </c>
      <c r="Q85" s="9">
        <v>45157</v>
      </c>
      <c r="R85" t="s">
        <v>37</v>
      </c>
      <c r="S85" t="s">
        <v>44</v>
      </c>
      <c r="T85" t="s">
        <v>45</v>
      </c>
      <c r="U85" t="s">
        <v>67</v>
      </c>
      <c r="V85" t="s">
        <v>354</v>
      </c>
      <c r="W85">
        <v>26060</v>
      </c>
      <c r="X85" t="s">
        <v>44</v>
      </c>
      <c r="Y85" t="s">
        <v>45</v>
      </c>
      <c r="Z85" t="s">
        <v>49</v>
      </c>
      <c r="AA85" s="10">
        <f>IF(O85&lt;=1,7,7+0.8*ROUNDUP(O85-1,0))</f>
        <v>7</v>
      </c>
      <c r="AB85" s="11">
        <v>0</v>
      </c>
      <c r="AC85" s="11">
        <v>0</v>
      </c>
      <c r="AD85" s="11">
        <v>0</v>
      </c>
      <c r="AE85" s="11">
        <v>0</v>
      </c>
      <c r="AF85" s="11">
        <f t="shared" si="4"/>
        <v>0.42</v>
      </c>
      <c r="AG85" s="11">
        <f t="shared" si="5"/>
        <v>7.42</v>
      </c>
      <c r="AH85" t="s">
        <v>50</v>
      </c>
    </row>
    <row r="86" spans="1:34" ht="15" customHeight="1" x14ac:dyDescent="0.35">
      <c r="A86">
        <v>7547676</v>
      </c>
      <c r="B86">
        <v>690929</v>
      </c>
      <c r="C86" t="s">
        <v>34</v>
      </c>
      <c r="D86" t="s">
        <v>35</v>
      </c>
      <c r="E86" s="6" t="s">
        <v>34</v>
      </c>
      <c r="F86" t="s">
        <v>355</v>
      </c>
      <c r="G86" t="s">
        <v>37</v>
      </c>
      <c r="H86" t="s">
        <v>38</v>
      </c>
      <c r="I86" t="s">
        <v>356</v>
      </c>
      <c r="J86" t="s">
        <v>40</v>
      </c>
      <c r="K86">
        <v>2</v>
      </c>
      <c r="L86" t="s">
        <v>41</v>
      </c>
      <c r="M86" t="s">
        <v>42</v>
      </c>
      <c r="N86" t="s">
        <v>43</v>
      </c>
      <c r="O86" s="7">
        <v>1</v>
      </c>
      <c r="P86" s="8">
        <v>45155.650578703702</v>
      </c>
      <c r="Q86" s="9">
        <v>45157</v>
      </c>
      <c r="R86" t="s">
        <v>37</v>
      </c>
      <c r="S86" t="s">
        <v>44</v>
      </c>
      <c r="T86" t="s">
        <v>53</v>
      </c>
      <c r="U86" t="s">
        <v>46</v>
      </c>
      <c r="V86" t="s">
        <v>357</v>
      </c>
      <c r="W86">
        <v>13700</v>
      </c>
      <c r="X86" t="s">
        <v>44</v>
      </c>
      <c r="Y86" t="s">
        <v>136</v>
      </c>
      <c r="Z86" t="s">
        <v>49</v>
      </c>
      <c r="AA86" s="10">
        <f>IF(O86&lt;=1,7,7+0.8*ROUNDUP(O86-1,0))</f>
        <v>7</v>
      </c>
      <c r="AB86" s="11">
        <v>0</v>
      </c>
      <c r="AC86" s="11">
        <v>0</v>
      </c>
      <c r="AD86" s="11">
        <v>0</v>
      </c>
      <c r="AE86" s="11">
        <v>0</v>
      </c>
      <c r="AF86" s="11">
        <f t="shared" si="4"/>
        <v>0.42</v>
      </c>
      <c r="AG86" s="11">
        <f t="shared" si="5"/>
        <v>7.42</v>
      </c>
      <c r="AH86" t="s">
        <v>50</v>
      </c>
    </row>
    <row r="87" spans="1:34" ht="15" customHeight="1" x14ac:dyDescent="0.35">
      <c r="A87">
        <v>7547676</v>
      </c>
      <c r="B87">
        <v>690929</v>
      </c>
      <c r="C87" t="s">
        <v>34</v>
      </c>
      <c r="D87" t="s">
        <v>35</v>
      </c>
      <c r="E87" s="6" t="s">
        <v>34</v>
      </c>
      <c r="F87" t="s">
        <v>358</v>
      </c>
      <c r="G87" t="s">
        <v>37</v>
      </c>
      <c r="H87" t="s">
        <v>38</v>
      </c>
      <c r="I87" t="s">
        <v>359</v>
      </c>
      <c r="J87" t="s">
        <v>40</v>
      </c>
      <c r="K87">
        <v>2</v>
      </c>
      <c r="L87" t="s">
        <v>41</v>
      </c>
      <c r="M87" t="s">
        <v>42</v>
      </c>
      <c r="N87" t="s">
        <v>43</v>
      </c>
      <c r="O87" s="7">
        <v>1</v>
      </c>
      <c r="P87" s="8">
        <v>45155.650578703702</v>
      </c>
      <c r="Q87" s="9">
        <v>45157</v>
      </c>
      <c r="R87" t="s">
        <v>37</v>
      </c>
      <c r="S87" t="s">
        <v>44</v>
      </c>
      <c r="T87" t="s">
        <v>53</v>
      </c>
      <c r="U87" t="s">
        <v>177</v>
      </c>
      <c r="V87" t="s">
        <v>360</v>
      </c>
      <c r="W87">
        <v>71750</v>
      </c>
      <c r="X87" t="s">
        <v>44</v>
      </c>
      <c r="Y87" t="s">
        <v>361</v>
      </c>
      <c r="Z87" t="s">
        <v>49</v>
      </c>
      <c r="AA87" s="10">
        <f>IF(O87&lt;=1,7,7+0.8*ROUNDUP(O87-1,0))</f>
        <v>7</v>
      </c>
      <c r="AB87" s="11">
        <v>0</v>
      </c>
      <c r="AC87" s="11">
        <v>0</v>
      </c>
      <c r="AD87" s="11">
        <v>0</v>
      </c>
      <c r="AE87" s="11">
        <v>0</v>
      </c>
      <c r="AF87" s="11">
        <f t="shared" si="4"/>
        <v>0.42</v>
      </c>
      <c r="AG87" s="11">
        <f t="shared" si="5"/>
        <v>7.42</v>
      </c>
      <c r="AH87" t="s">
        <v>50</v>
      </c>
    </row>
    <row r="88" spans="1:34" ht="15" customHeight="1" x14ac:dyDescent="0.35">
      <c r="A88">
        <v>7547676</v>
      </c>
      <c r="B88">
        <v>690929</v>
      </c>
      <c r="C88" t="s">
        <v>34</v>
      </c>
      <c r="D88" t="s">
        <v>35</v>
      </c>
      <c r="E88" s="6" t="s">
        <v>34</v>
      </c>
      <c r="F88" t="s">
        <v>362</v>
      </c>
      <c r="G88" t="s">
        <v>37</v>
      </c>
      <c r="H88" t="s">
        <v>38</v>
      </c>
      <c r="I88" t="s">
        <v>363</v>
      </c>
      <c r="J88" t="s">
        <v>40</v>
      </c>
      <c r="K88">
        <v>2</v>
      </c>
      <c r="L88" t="s">
        <v>41</v>
      </c>
      <c r="M88" t="s">
        <v>42</v>
      </c>
      <c r="N88" t="s">
        <v>43</v>
      </c>
      <c r="O88" s="7">
        <v>11</v>
      </c>
      <c r="P88" s="8">
        <v>45157.699074074073</v>
      </c>
      <c r="Q88" s="9">
        <v>45158</v>
      </c>
      <c r="R88" t="s">
        <v>37</v>
      </c>
      <c r="S88" t="s">
        <v>44</v>
      </c>
      <c r="T88" t="s">
        <v>53</v>
      </c>
      <c r="U88" t="s">
        <v>54</v>
      </c>
      <c r="V88" t="s">
        <v>364</v>
      </c>
      <c r="W88">
        <v>40170</v>
      </c>
      <c r="X88" t="s">
        <v>44</v>
      </c>
      <c r="Y88" t="s">
        <v>365</v>
      </c>
      <c r="Z88" t="s">
        <v>49</v>
      </c>
      <c r="AA88" s="10">
        <f>IF(O88&lt;=1,7,7+0.8*ROUNDUP(O88-1,0))</f>
        <v>15</v>
      </c>
      <c r="AB88" s="11">
        <v>0</v>
      </c>
      <c r="AC88" s="11">
        <v>0</v>
      </c>
      <c r="AD88" s="11">
        <v>0</v>
      </c>
      <c r="AE88" s="11">
        <v>0</v>
      </c>
      <c r="AF88" s="11">
        <f t="shared" si="4"/>
        <v>0.89999999999999991</v>
      </c>
      <c r="AG88" s="11">
        <f t="shared" si="5"/>
        <v>15.9</v>
      </c>
      <c r="AH88" t="s">
        <v>50</v>
      </c>
    </row>
    <row r="89" spans="1:34" ht="15" customHeight="1" x14ac:dyDescent="0.35">
      <c r="A89">
        <v>7547676</v>
      </c>
      <c r="B89">
        <v>690929</v>
      </c>
      <c r="C89" t="s">
        <v>34</v>
      </c>
      <c r="D89" t="s">
        <v>35</v>
      </c>
      <c r="E89" s="6" t="s">
        <v>34</v>
      </c>
      <c r="F89" t="s">
        <v>366</v>
      </c>
      <c r="G89" t="s">
        <v>37</v>
      </c>
      <c r="H89" t="s">
        <v>38</v>
      </c>
      <c r="I89" t="s">
        <v>367</v>
      </c>
      <c r="J89" t="s">
        <v>40</v>
      </c>
      <c r="K89">
        <v>2</v>
      </c>
      <c r="L89" t="s">
        <v>41</v>
      </c>
      <c r="M89" t="s">
        <v>42</v>
      </c>
      <c r="N89" t="s">
        <v>43</v>
      </c>
      <c r="O89" s="7">
        <v>1</v>
      </c>
      <c r="P89" s="8">
        <v>45157.725173611114</v>
      </c>
      <c r="Q89" s="9">
        <v>45158</v>
      </c>
      <c r="R89" t="s">
        <v>37</v>
      </c>
      <c r="S89" t="s">
        <v>44</v>
      </c>
      <c r="T89" t="s">
        <v>53</v>
      </c>
      <c r="U89" t="s">
        <v>134</v>
      </c>
      <c r="V89" t="s">
        <v>368</v>
      </c>
      <c r="W89">
        <v>53300</v>
      </c>
      <c r="X89" t="s">
        <v>44</v>
      </c>
      <c r="Y89" t="s">
        <v>140</v>
      </c>
      <c r="Z89" t="s">
        <v>49</v>
      </c>
      <c r="AA89" s="10">
        <f>IF(O89&lt;=1,7,7+0.8*ROUNDUP(O89-1,0))</f>
        <v>7</v>
      </c>
      <c r="AB89" s="11">
        <v>0</v>
      </c>
      <c r="AC89" s="11">
        <v>0</v>
      </c>
      <c r="AD89" s="11">
        <v>0</v>
      </c>
      <c r="AE89" s="11">
        <v>0</v>
      </c>
      <c r="AF89" s="11">
        <f t="shared" si="4"/>
        <v>0.42</v>
      </c>
      <c r="AG89" s="11">
        <f t="shared" si="5"/>
        <v>7.42</v>
      </c>
      <c r="AH89" t="s">
        <v>50</v>
      </c>
    </row>
    <row r="90" spans="1:34" ht="15" customHeight="1" x14ac:dyDescent="0.35">
      <c r="A90">
        <v>7547676</v>
      </c>
      <c r="B90">
        <v>690929</v>
      </c>
      <c r="C90" t="s">
        <v>34</v>
      </c>
      <c r="D90" t="s">
        <v>35</v>
      </c>
      <c r="E90" s="6" t="s">
        <v>34</v>
      </c>
      <c r="F90" t="s">
        <v>369</v>
      </c>
      <c r="G90" t="s">
        <v>37</v>
      </c>
      <c r="H90" t="s">
        <v>38</v>
      </c>
      <c r="I90" t="s">
        <v>370</v>
      </c>
      <c r="J90" t="s">
        <v>40</v>
      </c>
      <c r="K90">
        <v>2</v>
      </c>
      <c r="L90" t="s">
        <v>41</v>
      </c>
      <c r="M90" t="s">
        <v>42</v>
      </c>
      <c r="N90" t="s">
        <v>43</v>
      </c>
      <c r="O90" s="7">
        <v>1</v>
      </c>
      <c r="P90" s="8">
        <v>45155.521238425928</v>
      </c>
      <c r="Q90" s="9">
        <v>45158</v>
      </c>
      <c r="R90" t="s">
        <v>37</v>
      </c>
      <c r="S90" t="s">
        <v>44</v>
      </c>
      <c r="T90" t="s">
        <v>53</v>
      </c>
      <c r="U90" t="s">
        <v>197</v>
      </c>
      <c r="V90" t="s">
        <v>371</v>
      </c>
      <c r="W90">
        <v>86900</v>
      </c>
      <c r="X90" t="s">
        <v>44</v>
      </c>
      <c r="Y90" t="s">
        <v>372</v>
      </c>
      <c r="Z90" t="s">
        <v>49</v>
      </c>
      <c r="AA90" s="10">
        <f>IF(O90&lt;=1,7,7+0.8*ROUNDUP(O90-1,0))</f>
        <v>7</v>
      </c>
      <c r="AB90" s="11">
        <v>0</v>
      </c>
      <c r="AC90" s="11">
        <v>0</v>
      </c>
      <c r="AD90" s="11">
        <v>0</v>
      </c>
      <c r="AE90" s="11">
        <v>0</v>
      </c>
      <c r="AF90" s="11">
        <f t="shared" si="4"/>
        <v>0.42</v>
      </c>
      <c r="AG90" s="11">
        <f t="shared" si="5"/>
        <v>7.42</v>
      </c>
      <c r="AH90" t="s">
        <v>50</v>
      </c>
    </row>
    <row r="91" spans="1:34" ht="15" customHeight="1" x14ac:dyDescent="0.35">
      <c r="A91">
        <v>7547676</v>
      </c>
      <c r="B91">
        <v>690929</v>
      </c>
      <c r="C91" t="s">
        <v>34</v>
      </c>
      <c r="D91" t="s">
        <v>35</v>
      </c>
      <c r="E91" s="6" t="s">
        <v>34</v>
      </c>
      <c r="F91" t="s">
        <v>373</v>
      </c>
      <c r="G91" t="s">
        <v>37</v>
      </c>
      <c r="H91" t="s">
        <v>38</v>
      </c>
      <c r="I91" t="s">
        <v>374</v>
      </c>
      <c r="J91" t="s">
        <v>40</v>
      </c>
      <c r="K91">
        <v>2</v>
      </c>
      <c r="L91" t="s">
        <v>41</v>
      </c>
      <c r="M91" t="s">
        <v>42</v>
      </c>
      <c r="N91" t="s">
        <v>43</v>
      </c>
      <c r="O91" s="7">
        <v>1</v>
      </c>
      <c r="P91" s="8">
        <v>45157.55265046296</v>
      </c>
      <c r="Q91" s="9">
        <v>45158</v>
      </c>
      <c r="R91" t="s">
        <v>37</v>
      </c>
      <c r="S91" t="s">
        <v>44</v>
      </c>
      <c r="T91" t="s">
        <v>53</v>
      </c>
      <c r="U91" t="s">
        <v>72</v>
      </c>
      <c r="V91" t="s">
        <v>375</v>
      </c>
      <c r="W91">
        <v>21400</v>
      </c>
      <c r="X91" t="s">
        <v>44</v>
      </c>
      <c r="Y91" t="s">
        <v>53</v>
      </c>
      <c r="Z91" t="s">
        <v>49</v>
      </c>
      <c r="AA91" s="10">
        <f>IF(O91&lt;=1,7,7+0.8*ROUNDUP(O91-1,0))</f>
        <v>7</v>
      </c>
      <c r="AB91" s="11">
        <v>0</v>
      </c>
      <c r="AC91" s="11">
        <v>0</v>
      </c>
      <c r="AD91" s="11">
        <v>0</v>
      </c>
      <c r="AE91" s="11">
        <v>0</v>
      </c>
      <c r="AF91" s="11">
        <f t="shared" si="4"/>
        <v>0.42</v>
      </c>
      <c r="AG91" s="11">
        <f t="shared" si="5"/>
        <v>7.42</v>
      </c>
      <c r="AH91" t="s">
        <v>50</v>
      </c>
    </row>
    <row r="92" spans="1:34" ht="15" customHeight="1" x14ac:dyDescent="0.35">
      <c r="A92">
        <v>7547676</v>
      </c>
      <c r="B92">
        <v>690929</v>
      </c>
      <c r="C92" t="s">
        <v>34</v>
      </c>
      <c r="D92" t="s">
        <v>35</v>
      </c>
      <c r="E92" s="6" t="s">
        <v>34</v>
      </c>
      <c r="F92" t="s">
        <v>376</v>
      </c>
      <c r="G92" t="s">
        <v>37</v>
      </c>
      <c r="H92" t="s">
        <v>38</v>
      </c>
      <c r="I92" t="s">
        <v>377</v>
      </c>
      <c r="J92" t="s">
        <v>40</v>
      </c>
      <c r="K92">
        <v>2</v>
      </c>
      <c r="L92" t="s">
        <v>41</v>
      </c>
      <c r="M92" t="s">
        <v>42</v>
      </c>
      <c r="N92" t="s">
        <v>43</v>
      </c>
      <c r="O92" s="7">
        <v>1</v>
      </c>
      <c r="P92" s="8">
        <v>45156.521284722221</v>
      </c>
      <c r="Q92" s="9">
        <v>45158</v>
      </c>
      <c r="R92" t="s">
        <v>37</v>
      </c>
      <c r="S92" t="s">
        <v>44</v>
      </c>
      <c r="T92" t="s">
        <v>45</v>
      </c>
      <c r="U92" t="s">
        <v>67</v>
      </c>
      <c r="V92" t="s">
        <v>378</v>
      </c>
      <c r="W92">
        <v>28000</v>
      </c>
      <c r="X92" t="s">
        <v>44</v>
      </c>
      <c r="Y92" t="s">
        <v>379</v>
      </c>
      <c r="Z92" t="s">
        <v>49</v>
      </c>
      <c r="AA92" s="10">
        <f>IF(O92&lt;=1,7,7+0.8*ROUNDUP(O92-1,0))</f>
        <v>7</v>
      </c>
      <c r="AB92" s="11">
        <v>0</v>
      </c>
      <c r="AC92" s="11">
        <v>0</v>
      </c>
      <c r="AD92" s="11">
        <v>0</v>
      </c>
      <c r="AE92" s="11">
        <v>0</v>
      </c>
      <c r="AF92" s="11">
        <f t="shared" si="4"/>
        <v>0.42</v>
      </c>
      <c r="AG92" s="11">
        <f t="shared" si="5"/>
        <v>7.42</v>
      </c>
      <c r="AH92" t="s">
        <v>50</v>
      </c>
    </row>
    <row r="93" spans="1:34" ht="15" customHeight="1" x14ac:dyDescent="0.35">
      <c r="A93">
        <v>7547676</v>
      </c>
      <c r="B93">
        <v>690929</v>
      </c>
      <c r="C93" t="s">
        <v>34</v>
      </c>
      <c r="D93" t="s">
        <v>35</v>
      </c>
      <c r="E93" s="6" t="s">
        <v>34</v>
      </c>
      <c r="F93" t="s">
        <v>380</v>
      </c>
      <c r="G93" t="s">
        <v>37</v>
      </c>
      <c r="H93" t="s">
        <v>38</v>
      </c>
      <c r="I93" t="s">
        <v>381</v>
      </c>
      <c r="J93" t="s">
        <v>40</v>
      </c>
      <c r="K93">
        <v>2</v>
      </c>
      <c r="L93" t="s">
        <v>41</v>
      </c>
      <c r="M93" t="s">
        <v>42</v>
      </c>
      <c r="N93" t="s">
        <v>43</v>
      </c>
      <c r="O93" s="7">
        <v>1</v>
      </c>
      <c r="P93" s="8">
        <v>45157.735451388886</v>
      </c>
      <c r="Q93" s="9">
        <v>45159</v>
      </c>
      <c r="R93" t="s">
        <v>37</v>
      </c>
      <c r="S93" t="s">
        <v>44</v>
      </c>
      <c r="T93" t="s">
        <v>53</v>
      </c>
      <c r="U93" t="s">
        <v>54</v>
      </c>
      <c r="V93" t="s">
        <v>382</v>
      </c>
      <c r="W93">
        <v>42200</v>
      </c>
      <c r="X93" t="s">
        <v>44</v>
      </c>
      <c r="Y93" t="s">
        <v>136</v>
      </c>
      <c r="Z93" t="s">
        <v>49</v>
      </c>
      <c r="AA93" s="10">
        <f>IF(O93&lt;=1,7,7+0.8*ROUNDUP(O93-1,0))</f>
        <v>7</v>
      </c>
      <c r="AB93" s="11">
        <v>0</v>
      </c>
      <c r="AC93" s="11">
        <v>0</v>
      </c>
      <c r="AD93" s="11">
        <v>0</v>
      </c>
      <c r="AE93" s="11">
        <v>0</v>
      </c>
      <c r="AF93" s="11">
        <f t="shared" si="4"/>
        <v>0.42</v>
      </c>
      <c r="AG93" s="11">
        <f t="shared" si="5"/>
        <v>7.42</v>
      </c>
      <c r="AH93" t="s">
        <v>50</v>
      </c>
    </row>
    <row r="94" spans="1:34" ht="15" customHeight="1" x14ac:dyDescent="0.35">
      <c r="A94">
        <v>7547676</v>
      </c>
      <c r="B94">
        <v>690929</v>
      </c>
      <c r="C94" t="s">
        <v>34</v>
      </c>
      <c r="D94" t="s">
        <v>35</v>
      </c>
      <c r="E94" s="6" t="s">
        <v>34</v>
      </c>
      <c r="F94" t="s">
        <v>383</v>
      </c>
      <c r="G94" t="s">
        <v>37</v>
      </c>
      <c r="H94" t="s">
        <v>38</v>
      </c>
      <c r="I94" t="s">
        <v>76</v>
      </c>
      <c r="J94" t="s">
        <v>40</v>
      </c>
      <c r="K94">
        <v>2</v>
      </c>
      <c r="L94" t="s">
        <v>41</v>
      </c>
      <c r="M94" t="s">
        <v>42</v>
      </c>
      <c r="N94" t="s">
        <v>43</v>
      </c>
      <c r="O94" s="7">
        <v>1</v>
      </c>
      <c r="P94" s="8">
        <v>45156.455243055556</v>
      </c>
      <c r="Q94" s="9">
        <v>45159</v>
      </c>
      <c r="R94" t="s">
        <v>37</v>
      </c>
      <c r="S94" t="s">
        <v>44</v>
      </c>
      <c r="T94" t="s">
        <v>45</v>
      </c>
      <c r="U94" t="s">
        <v>54</v>
      </c>
      <c r="V94" t="s">
        <v>77</v>
      </c>
      <c r="W94">
        <v>47100</v>
      </c>
      <c r="X94" t="s">
        <v>44</v>
      </c>
      <c r="Y94" t="s">
        <v>136</v>
      </c>
      <c r="Z94" t="s">
        <v>49</v>
      </c>
      <c r="AA94" s="10">
        <f>IF(O94&lt;=1,7,7+0.8*ROUNDUP(O94-1,0))</f>
        <v>7</v>
      </c>
      <c r="AB94" s="11">
        <v>0</v>
      </c>
      <c r="AC94" s="11">
        <v>0</v>
      </c>
      <c r="AD94" s="11">
        <v>0</v>
      </c>
      <c r="AE94" s="11">
        <v>0</v>
      </c>
      <c r="AF94" s="11">
        <f t="shared" si="4"/>
        <v>0.42</v>
      </c>
      <c r="AG94" s="11">
        <f t="shared" si="5"/>
        <v>7.42</v>
      </c>
      <c r="AH94" t="s">
        <v>50</v>
      </c>
    </row>
    <row r="95" spans="1:34" ht="15" customHeight="1" x14ac:dyDescent="0.35">
      <c r="A95">
        <v>7547676</v>
      </c>
      <c r="B95">
        <v>690929</v>
      </c>
      <c r="C95" t="s">
        <v>34</v>
      </c>
      <c r="D95" t="s">
        <v>35</v>
      </c>
      <c r="E95" s="6" t="s">
        <v>34</v>
      </c>
      <c r="F95" t="s">
        <v>384</v>
      </c>
      <c r="G95" t="s">
        <v>37</v>
      </c>
      <c r="H95" t="s">
        <v>38</v>
      </c>
      <c r="I95" t="s">
        <v>385</v>
      </c>
      <c r="J95" t="s">
        <v>40</v>
      </c>
      <c r="K95">
        <v>2</v>
      </c>
      <c r="L95" t="s">
        <v>41</v>
      </c>
      <c r="M95" t="s">
        <v>42</v>
      </c>
      <c r="N95" t="s">
        <v>43</v>
      </c>
      <c r="O95" s="7">
        <v>1</v>
      </c>
      <c r="P95" s="8">
        <v>45157.726666666669</v>
      </c>
      <c r="Q95" s="9">
        <v>45159</v>
      </c>
      <c r="R95" t="s">
        <v>37</v>
      </c>
      <c r="S95" t="s">
        <v>44</v>
      </c>
      <c r="T95" t="s">
        <v>53</v>
      </c>
      <c r="U95" t="s">
        <v>67</v>
      </c>
      <c r="V95" t="s">
        <v>386</v>
      </c>
      <c r="W95">
        <v>27600</v>
      </c>
      <c r="X95" t="s">
        <v>44</v>
      </c>
      <c r="Y95" t="s">
        <v>136</v>
      </c>
      <c r="Z95" t="s">
        <v>49</v>
      </c>
      <c r="AA95" s="10">
        <f>IF(O95&lt;=1,7,7+0.8*ROUNDUP(O95-1,0))</f>
        <v>7</v>
      </c>
      <c r="AB95" s="11">
        <v>0</v>
      </c>
      <c r="AC95" s="11">
        <v>0</v>
      </c>
      <c r="AD95" s="11">
        <v>0</v>
      </c>
      <c r="AE95" s="11">
        <v>0</v>
      </c>
      <c r="AF95" s="11">
        <f t="shared" si="4"/>
        <v>0.42</v>
      </c>
      <c r="AG95" s="11">
        <f t="shared" si="5"/>
        <v>7.42</v>
      </c>
      <c r="AH95" t="s">
        <v>50</v>
      </c>
    </row>
    <row r="96" spans="1:34" ht="15" customHeight="1" x14ac:dyDescent="0.35">
      <c r="A96">
        <v>7547676</v>
      </c>
      <c r="B96">
        <v>690929</v>
      </c>
      <c r="C96" t="s">
        <v>34</v>
      </c>
      <c r="D96" t="s">
        <v>35</v>
      </c>
      <c r="E96" s="6" t="s">
        <v>34</v>
      </c>
      <c r="F96" t="s">
        <v>387</v>
      </c>
      <c r="G96" t="s">
        <v>37</v>
      </c>
      <c r="H96" t="s">
        <v>38</v>
      </c>
      <c r="I96" t="s">
        <v>388</v>
      </c>
      <c r="J96" t="s">
        <v>40</v>
      </c>
      <c r="K96">
        <v>2</v>
      </c>
      <c r="L96" t="s">
        <v>41</v>
      </c>
      <c r="M96" t="s">
        <v>42</v>
      </c>
      <c r="N96" t="s">
        <v>43</v>
      </c>
      <c r="O96" s="7">
        <v>1</v>
      </c>
      <c r="P96" s="8">
        <v>45158.66914351852</v>
      </c>
      <c r="Q96" s="9">
        <v>45159</v>
      </c>
      <c r="R96" t="s">
        <v>37</v>
      </c>
      <c r="S96" t="s">
        <v>44</v>
      </c>
      <c r="T96" t="s">
        <v>53</v>
      </c>
      <c r="U96" t="s">
        <v>72</v>
      </c>
      <c r="V96" t="s">
        <v>389</v>
      </c>
      <c r="W96">
        <v>24000</v>
      </c>
      <c r="X96" t="s">
        <v>44</v>
      </c>
      <c r="Y96" t="s">
        <v>53</v>
      </c>
      <c r="Z96" t="s">
        <v>49</v>
      </c>
      <c r="AA96" s="10">
        <f>IF(O96&lt;=1,7,7+0.8*ROUNDUP(O96-1,0))</f>
        <v>7</v>
      </c>
      <c r="AB96" s="11">
        <v>0</v>
      </c>
      <c r="AC96" s="11">
        <v>0</v>
      </c>
      <c r="AD96" s="11">
        <v>0</v>
      </c>
      <c r="AE96" s="11">
        <v>0</v>
      </c>
      <c r="AF96" s="11">
        <f t="shared" si="4"/>
        <v>0.42</v>
      </c>
      <c r="AG96" s="11">
        <f t="shared" si="5"/>
        <v>7.42</v>
      </c>
      <c r="AH96" t="s">
        <v>50</v>
      </c>
    </row>
    <row r="97" spans="1:34" ht="15" customHeight="1" x14ac:dyDescent="0.35">
      <c r="A97">
        <v>7547676</v>
      </c>
      <c r="B97">
        <v>690929</v>
      </c>
      <c r="C97" t="s">
        <v>34</v>
      </c>
      <c r="D97" t="s">
        <v>35</v>
      </c>
      <c r="E97" s="6" t="s">
        <v>34</v>
      </c>
      <c r="F97" t="s">
        <v>390</v>
      </c>
      <c r="G97" t="s">
        <v>37</v>
      </c>
      <c r="H97" t="s">
        <v>38</v>
      </c>
      <c r="I97" t="s">
        <v>391</v>
      </c>
      <c r="J97" t="s">
        <v>40</v>
      </c>
      <c r="K97">
        <v>2</v>
      </c>
      <c r="L97" t="s">
        <v>41</v>
      </c>
      <c r="M97" t="s">
        <v>42</v>
      </c>
      <c r="N97" t="s">
        <v>43</v>
      </c>
      <c r="O97" s="7">
        <v>2</v>
      </c>
      <c r="P97" s="8">
        <v>45158.690462962964</v>
      </c>
      <c r="Q97" s="9">
        <v>45159</v>
      </c>
      <c r="R97" t="s">
        <v>37</v>
      </c>
      <c r="S97" t="s">
        <v>44</v>
      </c>
      <c r="T97" t="s">
        <v>53</v>
      </c>
      <c r="U97" t="s">
        <v>72</v>
      </c>
      <c r="V97" t="s">
        <v>392</v>
      </c>
      <c r="W97">
        <v>24300</v>
      </c>
      <c r="X97" t="s">
        <v>44</v>
      </c>
      <c r="Y97" t="s">
        <v>53</v>
      </c>
      <c r="Z97" t="s">
        <v>49</v>
      </c>
      <c r="AA97" s="10">
        <f>IF(O97&lt;=1,7,7+0.8*ROUNDUP(O97-1,0))</f>
        <v>7.8</v>
      </c>
      <c r="AB97" s="11">
        <v>0</v>
      </c>
      <c r="AC97" s="11">
        <v>0</v>
      </c>
      <c r="AD97" s="11">
        <v>0</v>
      </c>
      <c r="AE97" s="11">
        <v>0</v>
      </c>
      <c r="AF97" s="11">
        <f t="shared" si="4"/>
        <v>0.46799999999999997</v>
      </c>
      <c r="AG97" s="11">
        <f t="shared" si="5"/>
        <v>8.2680000000000007</v>
      </c>
      <c r="AH97" t="s">
        <v>50</v>
      </c>
    </row>
    <row r="98" spans="1:34" ht="15" customHeight="1" x14ac:dyDescent="0.35">
      <c r="A98">
        <v>7547676</v>
      </c>
      <c r="B98">
        <v>690929</v>
      </c>
      <c r="C98" t="s">
        <v>34</v>
      </c>
      <c r="D98" t="s">
        <v>35</v>
      </c>
      <c r="E98" s="6" t="s">
        <v>34</v>
      </c>
      <c r="F98" t="s">
        <v>393</v>
      </c>
      <c r="G98" t="s">
        <v>37</v>
      </c>
      <c r="H98" t="s">
        <v>38</v>
      </c>
      <c r="I98" t="s">
        <v>394</v>
      </c>
      <c r="J98" t="s">
        <v>40</v>
      </c>
      <c r="K98">
        <v>2</v>
      </c>
      <c r="L98" t="s">
        <v>41</v>
      </c>
      <c r="M98" t="s">
        <v>42</v>
      </c>
      <c r="N98" t="s">
        <v>43</v>
      </c>
      <c r="O98" s="7">
        <v>11</v>
      </c>
      <c r="P98" s="8">
        <v>45157.699074074073</v>
      </c>
      <c r="Q98" s="9">
        <v>45159</v>
      </c>
      <c r="R98" t="s">
        <v>37</v>
      </c>
      <c r="S98" t="s">
        <v>44</v>
      </c>
      <c r="T98" t="s">
        <v>53</v>
      </c>
      <c r="U98" t="s">
        <v>54</v>
      </c>
      <c r="V98" t="s">
        <v>395</v>
      </c>
      <c r="W98">
        <v>62250</v>
      </c>
      <c r="X98" t="s">
        <v>44</v>
      </c>
      <c r="Y98" t="s">
        <v>396</v>
      </c>
      <c r="Z98" t="s">
        <v>49</v>
      </c>
      <c r="AA98" s="10">
        <f>IF(O98&lt;=1,7,7+0.8*ROUNDUP(O98-1,0))</f>
        <v>15</v>
      </c>
      <c r="AB98" s="11">
        <v>0</v>
      </c>
      <c r="AC98" s="11">
        <v>0</v>
      </c>
      <c r="AD98" s="11">
        <v>0</v>
      </c>
      <c r="AE98" s="11">
        <v>0</v>
      </c>
      <c r="AF98" s="11">
        <f t="shared" si="4"/>
        <v>0.89999999999999991</v>
      </c>
      <c r="AG98" s="11">
        <f t="shared" si="5"/>
        <v>15.9</v>
      </c>
      <c r="AH98" t="s">
        <v>50</v>
      </c>
    </row>
    <row r="99" spans="1:34" ht="15" customHeight="1" x14ac:dyDescent="0.35">
      <c r="A99">
        <v>7547676</v>
      </c>
      <c r="B99">
        <v>690929</v>
      </c>
      <c r="C99" t="s">
        <v>34</v>
      </c>
      <c r="D99" t="s">
        <v>35</v>
      </c>
      <c r="E99" s="6" t="s">
        <v>34</v>
      </c>
      <c r="F99" t="s">
        <v>397</v>
      </c>
      <c r="G99" t="s">
        <v>37</v>
      </c>
      <c r="H99" t="s">
        <v>38</v>
      </c>
      <c r="I99" t="s">
        <v>398</v>
      </c>
      <c r="J99" t="s">
        <v>40</v>
      </c>
      <c r="K99">
        <v>2</v>
      </c>
      <c r="L99" t="s">
        <v>41</v>
      </c>
      <c r="M99" t="s">
        <v>42</v>
      </c>
      <c r="N99" t="s">
        <v>43</v>
      </c>
      <c r="O99" s="7">
        <v>1</v>
      </c>
      <c r="P99" s="8">
        <v>45158.667372685188</v>
      </c>
      <c r="Q99" s="9">
        <v>45159</v>
      </c>
      <c r="R99" t="s">
        <v>37</v>
      </c>
      <c r="S99" t="s">
        <v>44</v>
      </c>
      <c r="T99" t="s">
        <v>53</v>
      </c>
      <c r="U99" t="s">
        <v>59</v>
      </c>
      <c r="V99" t="s">
        <v>399</v>
      </c>
      <c r="W99">
        <v>15200</v>
      </c>
      <c r="X99" t="s">
        <v>44</v>
      </c>
      <c r="Y99" t="s">
        <v>53</v>
      </c>
      <c r="Z99" t="s">
        <v>49</v>
      </c>
      <c r="AA99" s="10">
        <f>IF(O99&lt;=1,7,7+0.8*ROUNDUP(O99-1,0))</f>
        <v>7</v>
      </c>
      <c r="AB99" s="11">
        <v>0</v>
      </c>
      <c r="AC99" s="11">
        <v>0</v>
      </c>
      <c r="AD99" s="11">
        <v>0</v>
      </c>
      <c r="AE99" s="11">
        <v>0</v>
      </c>
      <c r="AF99" s="11">
        <f t="shared" si="4"/>
        <v>0.42</v>
      </c>
      <c r="AG99" s="11">
        <f t="shared" si="5"/>
        <v>7.42</v>
      </c>
      <c r="AH99" t="s">
        <v>50</v>
      </c>
    </row>
    <row r="100" spans="1:34" ht="15" customHeight="1" x14ac:dyDescent="0.35">
      <c r="A100">
        <v>7547676</v>
      </c>
      <c r="B100">
        <v>690929</v>
      </c>
      <c r="C100" t="s">
        <v>34</v>
      </c>
      <c r="D100" t="s">
        <v>35</v>
      </c>
      <c r="E100" s="6" t="s">
        <v>34</v>
      </c>
      <c r="F100" t="s">
        <v>400</v>
      </c>
      <c r="G100" t="s">
        <v>37</v>
      </c>
      <c r="H100" t="s">
        <v>38</v>
      </c>
      <c r="I100" t="s">
        <v>401</v>
      </c>
      <c r="J100" t="s">
        <v>40</v>
      </c>
      <c r="K100">
        <v>2</v>
      </c>
      <c r="L100" t="s">
        <v>41</v>
      </c>
      <c r="M100" t="s">
        <v>42</v>
      </c>
      <c r="N100" t="s">
        <v>43</v>
      </c>
      <c r="O100" s="7">
        <v>1</v>
      </c>
      <c r="P100" s="8">
        <v>45158.681631944448</v>
      </c>
      <c r="Q100" s="9">
        <v>45159</v>
      </c>
      <c r="R100" t="s">
        <v>37</v>
      </c>
      <c r="S100" t="s">
        <v>44</v>
      </c>
      <c r="T100" t="s">
        <v>53</v>
      </c>
      <c r="U100" t="s">
        <v>54</v>
      </c>
      <c r="V100" t="s">
        <v>402</v>
      </c>
      <c r="W100">
        <v>43900</v>
      </c>
      <c r="X100" t="s">
        <v>44</v>
      </c>
      <c r="Y100" t="s">
        <v>403</v>
      </c>
      <c r="Z100" t="s">
        <v>49</v>
      </c>
      <c r="AA100" s="10">
        <f>IF(O100&lt;=1,7,7+0.8*ROUNDUP(O100-1,0))</f>
        <v>7</v>
      </c>
      <c r="AB100" s="11">
        <v>0</v>
      </c>
      <c r="AC100" s="11">
        <v>0</v>
      </c>
      <c r="AD100" s="11">
        <v>0</v>
      </c>
      <c r="AE100" s="11">
        <v>0</v>
      </c>
      <c r="AF100" s="11">
        <f t="shared" si="4"/>
        <v>0.42</v>
      </c>
      <c r="AG100" s="11">
        <f t="shared" si="5"/>
        <v>7.42</v>
      </c>
      <c r="AH100" t="s">
        <v>50</v>
      </c>
    </row>
    <row r="101" spans="1:34" ht="15" customHeight="1" x14ac:dyDescent="0.35">
      <c r="A101">
        <v>7547676</v>
      </c>
      <c r="B101">
        <v>690929</v>
      </c>
      <c r="C101" t="s">
        <v>34</v>
      </c>
      <c r="D101" t="s">
        <v>35</v>
      </c>
      <c r="E101" s="6" t="s">
        <v>34</v>
      </c>
      <c r="F101" t="s">
        <v>404</v>
      </c>
      <c r="G101" t="s">
        <v>37</v>
      </c>
      <c r="H101" t="s">
        <v>38</v>
      </c>
      <c r="I101" t="s">
        <v>405</v>
      </c>
      <c r="J101" t="s">
        <v>40</v>
      </c>
      <c r="K101">
        <v>2</v>
      </c>
      <c r="L101" t="s">
        <v>41</v>
      </c>
      <c r="M101" t="s">
        <v>42</v>
      </c>
      <c r="N101" t="s">
        <v>43</v>
      </c>
      <c r="O101" s="7">
        <v>11</v>
      </c>
      <c r="P101" s="8">
        <v>45157.699074074073</v>
      </c>
      <c r="Q101" s="9">
        <v>45159</v>
      </c>
      <c r="R101" t="s">
        <v>37</v>
      </c>
      <c r="S101" t="s">
        <v>44</v>
      </c>
      <c r="T101" t="s">
        <v>53</v>
      </c>
      <c r="U101" t="s">
        <v>54</v>
      </c>
      <c r="V101" t="s">
        <v>406</v>
      </c>
      <c r="W101">
        <v>40150</v>
      </c>
      <c r="X101" t="s">
        <v>44</v>
      </c>
      <c r="Y101" t="s">
        <v>125</v>
      </c>
      <c r="Z101" t="s">
        <v>49</v>
      </c>
      <c r="AA101" s="10">
        <f>IF(O101&lt;=1,7,7+0.8*ROUNDUP(O101-1,0))</f>
        <v>15</v>
      </c>
      <c r="AB101" s="11">
        <v>0</v>
      </c>
      <c r="AC101" s="11">
        <v>0</v>
      </c>
      <c r="AD101" s="11">
        <v>0</v>
      </c>
      <c r="AE101" s="11">
        <v>0</v>
      </c>
      <c r="AF101" s="11">
        <f t="shared" si="4"/>
        <v>0.89999999999999991</v>
      </c>
      <c r="AG101" s="11">
        <f t="shared" si="5"/>
        <v>15.9</v>
      </c>
      <c r="AH101" t="s">
        <v>50</v>
      </c>
    </row>
    <row r="102" spans="1:34" ht="15" customHeight="1" x14ac:dyDescent="0.35">
      <c r="A102">
        <v>7547676</v>
      </c>
      <c r="B102">
        <v>690929</v>
      </c>
      <c r="C102" t="s">
        <v>34</v>
      </c>
      <c r="D102" t="s">
        <v>35</v>
      </c>
      <c r="E102" s="6" t="s">
        <v>34</v>
      </c>
      <c r="F102" t="s">
        <v>407</v>
      </c>
      <c r="G102" t="s">
        <v>37</v>
      </c>
      <c r="H102" t="s">
        <v>38</v>
      </c>
      <c r="I102" t="s">
        <v>408</v>
      </c>
      <c r="J102" t="s">
        <v>40</v>
      </c>
      <c r="K102">
        <v>2</v>
      </c>
      <c r="L102" t="s">
        <v>41</v>
      </c>
      <c r="M102" t="s">
        <v>42</v>
      </c>
      <c r="N102" t="s">
        <v>43</v>
      </c>
      <c r="O102" s="7">
        <v>1</v>
      </c>
      <c r="P102" s="8">
        <v>45158.690462962964</v>
      </c>
      <c r="Q102" s="9">
        <v>45159</v>
      </c>
      <c r="R102" t="s">
        <v>37</v>
      </c>
      <c r="S102" t="s">
        <v>44</v>
      </c>
      <c r="T102" t="s">
        <v>53</v>
      </c>
      <c r="U102" t="s">
        <v>72</v>
      </c>
      <c r="V102" t="s">
        <v>409</v>
      </c>
      <c r="W102">
        <v>24000</v>
      </c>
      <c r="X102" t="s">
        <v>44</v>
      </c>
      <c r="Y102" t="s">
        <v>53</v>
      </c>
      <c r="Z102" t="s">
        <v>49</v>
      </c>
      <c r="AA102" s="10">
        <f>IF(O102&lt;=1,7,7+0.8*ROUNDUP(O102-1,0))</f>
        <v>7</v>
      </c>
      <c r="AB102" s="11">
        <v>0</v>
      </c>
      <c r="AC102" s="11">
        <v>0</v>
      </c>
      <c r="AD102" s="11">
        <v>0</v>
      </c>
      <c r="AE102" s="11">
        <v>0</v>
      </c>
      <c r="AF102" s="11">
        <f t="shared" si="4"/>
        <v>0.42</v>
      </c>
      <c r="AG102" s="11">
        <f t="shared" si="5"/>
        <v>7.42</v>
      </c>
      <c r="AH102" t="s">
        <v>50</v>
      </c>
    </row>
    <row r="103" spans="1:34" ht="15" customHeight="1" x14ac:dyDescent="0.35">
      <c r="A103">
        <v>7547676</v>
      </c>
      <c r="B103">
        <v>690929</v>
      </c>
      <c r="C103" t="s">
        <v>34</v>
      </c>
      <c r="D103" t="s">
        <v>35</v>
      </c>
      <c r="E103" s="6" t="s">
        <v>34</v>
      </c>
      <c r="F103" t="s">
        <v>410</v>
      </c>
      <c r="G103" t="s">
        <v>37</v>
      </c>
      <c r="H103" t="s">
        <v>38</v>
      </c>
      <c r="I103" t="s">
        <v>411</v>
      </c>
      <c r="J103" t="s">
        <v>40</v>
      </c>
      <c r="K103">
        <v>2</v>
      </c>
      <c r="L103" t="s">
        <v>41</v>
      </c>
      <c r="M103" t="s">
        <v>42</v>
      </c>
      <c r="N103" t="s">
        <v>43</v>
      </c>
      <c r="O103" s="7">
        <v>1</v>
      </c>
      <c r="P103" s="8">
        <v>45158.690462962964</v>
      </c>
      <c r="Q103" s="9">
        <v>45159</v>
      </c>
      <c r="R103" t="s">
        <v>37</v>
      </c>
      <c r="S103" t="s">
        <v>44</v>
      </c>
      <c r="T103" t="s">
        <v>53</v>
      </c>
      <c r="U103" t="s">
        <v>67</v>
      </c>
      <c r="V103" t="s">
        <v>412</v>
      </c>
      <c r="W103">
        <v>28000</v>
      </c>
      <c r="X103" t="s">
        <v>44</v>
      </c>
      <c r="Y103" t="s">
        <v>53</v>
      </c>
      <c r="Z103" t="s">
        <v>49</v>
      </c>
      <c r="AA103" s="10">
        <f>IF(O103&lt;=1,7,7+0.8*ROUNDUP(O103-1,0))</f>
        <v>7</v>
      </c>
      <c r="AB103" s="11">
        <v>0</v>
      </c>
      <c r="AC103" s="11">
        <v>0</v>
      </c>
      <c r="AD103" s="11">
        <v>0</v>
      </c>
      <c r="AE103" s="11">
        <v>0</v>
      </c>
      <c r="AF103" s="11">
        <f t="shared" si="4"/>
        <v>0.42</v>
      </c>
      <c r="AG103" s="11">
        <f t="shared" si="5"/>
        <v>7.42</v>
      </c>
      <c r="AH103" t="s">
        <v>50</v>
      </c>
    </row>
    <row r="104" spans="1:34" ht="15" customHeight="1" x14ac:dyDescent="0.35">
      <c r="A104">
        <v>7547676</v>
      </c>
      <c r="B104">
        <v>690929</v>
      </c>
      <c r="C104" t="s">
        <v>34</v>
      </c>
      <c r="D104" t="s">
        <v>35</v>
      </c>
      <c r="E104" s="6" t="s">
        <v>34</v>
      </c>
      <c r="F104" t="s">
        <v>413</v>
      </c>
      <c r="G104" t="s">
        <v>37</v>
      </c>
      <c r="H104" t="s">
        <v>38</v>
      </c>
      <c r="I104" t="s">
        <v>414</v>
      </c>
      <c r="J104" t="s">
        <v>40</v>
      </c>
      <c r="K104">
        <v>2</v>
      </c>
      <c r="L104" t="s">
        <v>41</v>
      </c>
      <c r="M104" t="s">
        <v>42</v>
      </c>
      <c r="N104" t="s">
        <v>43</v>
      </c>
      <c r="O104" s="7">
        <v>1</v>
      </c>
      <c r="P104" s="8">
        <v>45158.644074074073</v>
      </c>
      <c r="Q104" s="9">
        <v>45159</v>
      </c>
      <c r="R104" t="s">
        <v>37</v>
      </c>
      <c r="S104" t="s">
        <v>44</v>
      </c>
      <c r="T104" t="s">
        <v>53</v>
      </c>
      <c r="U104" t="s">
        <v>54</v>
      </c>
      <c r="V104" t="s">
        <v>415</v>
      </c>
      <c r="W104">
        <v>41050</v>
      </c>
      <c r="X104" t="s">
        <v>44</v>
      </c>
      <c r="Y104" t="s">
        <v>416</v>
      </c>
      <c r="Z104" t="s">
        <v>49</v>
      </c>
      <c r="AA104" s="10">
        <f>IF(O104&lt;=1,7,7+0.8*ROUNDUP(O104-1,0))</f>
        <v>7</v>
      </c>
      <c r="AB104" s="11">
        <v>0</v>
      </c>
      <c r="AC104" s="11">
        <v>0</v>
      </c>
      <c r="AD104" s="11">
        <v>0</v>
      </c>
      <c r="AE104" s="11">
        <v>0</v>
      </c>
      <c r="AF104" s="11">
        <f t="shared" si="4"/>
        <v>0.42</v>
      </c>
      <c r="AG104" s="11">
        <f t="shared" si="5"/>
        <v>7.42</v>
      </c>
      <c r="AH104" t="s">
        <v>50</v>
      </c>
    </row>
    <row r="105" spans="1:34" ht="15" customHeight="1" x14ac:dyDescent="0.35">
      <c r="A105">
        <v>7547676</v>
      </c>
      <c r="B105">
        <v>690929</v>
      </c>
      <c r="C105" t="s">
        <v>34</v>
      </c>
      <c r="D105" t="s">
        <v>35</v>
      </c>
      <c r="E105" s="6" t="s">
        <v>34</v>
      </c>
      <c r="F105" t="s">
        <v>417</v>
      </c>
      <c r="G105" t="s">
        <v>37</v>
      </c>
      <c r="H105" t="s">
        <v>38</v>
      </c>
      <c r="I105" t="s">
        <v>101</v>
      </c>
      <c r="J105" t="s">
        <v>40</v>
      </c>
      <c r="K105">
        <v>2</v>
      </c>
      <c r="L105" t="s">
        <v>41</v>
      </c>
      <c r="M105" t="s">
        <v>42</v>
      </c>
      <c r="N105" t="s">
        <v>43</v>
      </c>
      <c r="O105" s="7">
        <v>3</v>
      </c>
      <c r="P105" s="8">
        <v>45158.690462962964</v>
      </c>
      <c r="Q105" s="9">
        <v>45159</v>
      </c>
      <c r="R105" t="s">
        <v>37</v>
      </c>
      <c r="S105" t="s">
        <v>44</v>
      </c>
      <c r="T105" t="s">
        <v>53</v>
      </c>
      <c r="U105" t="s">
        <v>54</v>
      </c>
      <c r="V105" t="s">
        <v>418</v>
      </c>
      <c r="W105">
        <v>42700</v>
      </c>
      <c r="X105" t="s">
        <v>44</v>
      </c>
      <c r="Y105" t="s">
        <v>136</v>
      </c>
      <c r="Z105" t="s">
        <v>49</v>
      </c>
      <c r="AA105" s="10">
        <f>IF(O105&lt;=1,7,7+0.8*ROUNDUP(O105-1,0))</f>
        <v>8.6</v>
      </c>
      <c r="AB105" s="11">
        <v>0</v>
      </c>
      <c r="AC105" s="11">
        <v>0</v>
      </c>
      <c r="AD105" s="11">
        <v>0</v>
      </c>
      <c r="AE105" s="11">
        <v>0</v>
      </c>
      <c r="AF105" s="11">
        <f t="shared" si="4"/>
        <v>0.51600000000000001</v>
      </c>
      <c r="AG105" s="11">
        <f t="shared" si="5"/>
        <v>9.1159999999999997</v>
      </c>
      <c r="AH105" t="s">
        <v>50</v>
      </c>
    </row>
    <row r="106" spans="1:34" ht="15" customHeight="1" x14ac:dyDescent="0.35">
      <c r="A106">
        <v>7547676</v>
      </c>
      <c r="B106">
        <v>690929</v>
      </c>
      <c r="C106" t="s">
        <v>34</v>
      </c>
      <c r="D106" t="s">
        <v>35</v>
      </c>
      <c r="E106" s="6" t="s">
        <v>34</v>
      </c>
      <c r="F106" t="s">
        <v>419</v>
      </c>
      <c r="G106" t="s">
        <v>37</v>
      </c>
      <c r="H106" t="s">
        <v>38</v>
      </c>
      <c r="I106" t="s">
        <v>420</v>
      </c>
      <c r="J106" t="s">
        <v>40</v>
      </c>
      <c r="K106">
        <v>2</v>
      </c>
      <c r="L106" t="s">
        <v>41</v>
      </c>
      <c r="M106" t="s">
        <v>42</v>
      </c>
      <c r="N106" t="s">
        <v>43</v>
      </c>
      <c r="O106" s="7">
        <v>1</v>
      </c>
      <c r="P106" s="8">
        <v>45158.690462962964</v>
      </c>
      <c r="Q106" s="9">
        <v>45159</v>
      </c>
      <c r="R106" t="s">
        <v>37</v>
      </c>
      <c r="S106" t="s">
        <v>44</v>
      </c>
      <c r="T106" t="s">
        <v>53</v>
      </c>
      <c r="U106" t="s">
        <v>54</v>
      </c>
      <c r="V106" t="s">
        <v>421</v>
      </c>
      <c r="W106">
        <v>43650</v>
      </c>
      <c r="X106" t="s">
        <v>44</v>
      </c>
      <c r="Y106" t="s">
        <v>136</v>
      </c>
      <c r="Z106" t="s">
        <v>49</v>
      </c>
      <c r="AA106" s="10">
        <f>IF(O106&lt;=1,7,7+0.8*ROUNDUP(O106-1,0))</f>
        <v>7</v>
      </c>
      <c r="AB106" s="11">
        <v>0</v>
      </c>
      <c r="AC106" s="11">
        <v>0</v>
      </c>
      <c r="AD106" s="11">
        <v>0</v>
      </c>
      <c r="AE106" s="11">
        <v>0</v>
      </c>
      <c r="AF106" s="11">
        <f t="shared" si="4"/>
        <v>0.42</v>
      </c>
      <c r="AG106" s="11">
        <f t="shared" si="5"/>
        <v>7.42</v>
      </c>
      <c r="AH106" t="s">
        <v>50</v>
      </c>
    </row>
    <row r="107" spans="1:34" ht="15" customHeight="1" x14ac:dyDescent="0.35">
      <c r="A107">
        <v>7547676</v>
      </c>
      <c r="B107">
        <v>690929</v>
      </c>
      <c r="C107" t="s">
        <v>34</v>
      </c>
      <c r="D107" t="s">
        <v>35</v>
      </c>
      <c r="E107" s="6" t="s">
        <v>34</v>
      </c>
      <c r="F107" t="s">
        <v>422</v>
      </c>
      <c r="G107" t="s">
        <v>37</v>
      </c>
      <c r="H107" t="s">
        <v>38</v>
      </c>
      <c r="I107" t="s">
        <v>423</v>
      </c>
      <c r="J107" t="s">
        <v>40</v>
      </c>
      <c r="K107">
        <v>2</v>
      </c>
      <c r="L107" t="s">
        <v>41</v>
      </c>
      <c r="M107" t="s">
        <v>42</v>
      </c>
      <c r="N107" t="s">
        <v>43</v>
      </c>
      <c r="O107" s="7">
        <v>1</v>
      </c>
      <c r="P107" s="8">
        <v>45155.650578703702</v>
      </c>
      <c r="Q107" s="9">
        <v>45159</v>
      </c>
      <c r="R107" t="s">
        <v>37</v>
      </c>
      <c r="S107" t="s">
        <v>44</v>
      </c>
      <c r="T107" t="s">
        <v>53</v>
      </c>
      <c r="U107" t="s">
        <v>197</v>
      </c>
      <c r="V107" t="s">
        <v>424</v>
      </c>
      <c r="W107">
        <v>81490</v>
      </c>
      <c r="X107" t="s">
        <v>44</v>
      </c>
      <c r="Y107" t="s">
        <v>136</v>
      </c>
      <c r="Z107" t="s">
        <v>49</v>
      </c>
      <c r="AA107" s="10">
        <f>IF(O107&lt;=1,7,7+0.8*ROUNDUP(O107-1,0))</f>
        <v>7</v>
      </c>
      <c r="AB107" s="11">
        <v>0</v>
      </c>
      <c r="AC107" s="11">
        <v>0</v>
      </c>
      <c r="AD107" s="11">
        <v>0</v>
      </c>
      <c r="AE107" s="11">
        <v>0</v>
      </c>
      <c r="AF107" s="11">
        <f t="shared" si="4"/>
        <v>0.42</v>
      </c>
      <c r="AG107" s="11">
        <f t="shared" si="5"/>
        <v>7.42</v>
      </c>
      <c r="AH107" t="s">
        <v>50</v>
      </c>
    </row>
    <row r="108" spans="1:34" ht="15" customHeight="1" x14ac:dyDescent="0.35">
      <c r="A108">
        <v>7547676</v>
      </c>
      <c r="B108">
        <v>690929</v>
      </c>
      <c r="C108" t="s">
        <v>34</v>
      </c>
      <c r="D108" t="s">
        <v>35</v>
      </c>
      <c r="E108" s="6" t="s">
        <v>34</v>
      </c>
      <c r="F108" t="s">
        <v>425</v>
      </c>
      <c r="G108" t="s">
        <v>37</v>
      </c>
      <c r="H108" t="s">
        <v>38</v>
      </c>
      <c r="I108" t="s">
        <v>426</v>
      </c>
      <c r="J108" t="s">
        <v>40</v>
      </c>
      <c r="K108">
        <v>2</v>
      </c>
      <c r="L108" t="s">
        <v>41</v>
      </c>
      <c r="M108" t="s">
        <v>42</v>
      </c>
      <c r="N108" t="s">
        <v>43</v>
      </c>
      <c r="O108" s="7">
        <v>1</v>
      </c>
      <c r="P108" s="8">
        <v>45157.699074074073</v>
      </c>
      <c r="Q108" s="9">
        <v>45159</v>
      </c>
      <c r="R108" t="s">
        <v>37</v>
      </c>
      <c r="S108" t="s">
        <v>44</v>
      </c>
      <c r="T108" t="s">
        <v>53</v>
      </c>
      <c r="U108" t="s">
        <v>54</v>
      </c>
      <c r="V108" t="s">
        <v>427</v>
      </c>
      <c r="W108">
        <v>68000</v>
      </c>
      <c r="X108" t="s">
        <v>44</v>
      </c>
      <c r="Y108" t="s">
        <v>428</v>
      </c>
      <c r="Z108" t="s">
        <v>49</v>
      </c>
      <c r="AA108" s="10">
        <f>IF(O108&lt;=1,7,7+0.8*ROUNDUP(O108-1,0))</f>
        <v>7</v>
      </c>
      <c r="AB108" s="11">
        <v>0</v>
      </c>
      <c r="AC108" s="11">
        <v>0</v>
      </c>
      <c r="AD108" s="11">
        <v>0</v>
      </c>
      <c r="AE108" s="11">
        <v>0</v>
      </c>
      <c r="AF108" s="11">
        <f t="shared" si="4"/>
        <v>0.42</v>
      </c>
      <c r="AG108" s="11">
        <f t="shared" si="5"/>
        <v>7.42</v>
      </c>
      <c r="AH108" t="s">
        <v>50</v>
      </c>
    </row>
    <row r="109" spans="1:34" ht="15" customHeight="1" x14ac:dyDescent="0.35">
      <c r="A109">
        <v>7547676</v>
      </c>
      <c r="B109">
        <v>690929</v>
      </c>
      <c r="C109" t="s">
        <v>34</v>
      </c>
      <c r="D109" t="s">
        <v>35</v>
      </c>
      <c r="E109" s="6" t="s">
        <v>34</v>
      </c>
      <c r="F109" t="s">
        <v>429</v>
      </c>
      <c r="G109" t="s">
        <v>37</v>
      </c>
      <c r="H109" t="s">
        <v>38</v>
      </c>
      <c r="I109" t="s">
        <v>325</v>
      </c>
      <c r="J109" t="s">
        <v>40</v>
      </c>
      <c r="K109">
        <v>2</v>
      </c>
      <c r="L109" t="s">
        <v>41</v>
      </c>
      <c r="M109" t="s">
        <v>42</v>
      </c>
      <c r="N109" t="s">
        <v>43</v>
      </c>
      <c r="O109" s="7">
        <v>1</v>
      </c>
      <c r="P109" s="8">
        <v>45158.690462962964</v>
      </c>
      <c r="Q109" s="9">
        <v>45159</v>
      </c>
      <c r="R109" t="s">
        <v>37</v>
      </c>
      <c r="S109" t="s">
        <v>44</v>
      </c>
      <c r="T109" t="s">
        <v>53</v>
      </c>
      <c r="U109" t="s">
        <v>67</v>
      </c>
      <c r="V109" t="s">
        <v>430</v>
      </c>
      <c r="W109">
        <v>28050</v>
      </c>
      <c r="X109" t="s">
        <v>44</v>
      </c>
      <c r="Y109" t="s">
        <v>53</v>
      </c>
      <c r="Z109" t="s">
        <v>49</v>
      </c>
      <c r="AA109" s="10">
        <f>IF(O109&lt;=1,7,7+0.8*ROUNDUP(O109-1,0))</f>
        <v>7</v>
      </c>
      <c r="AB109" s="11">
        <v>0</v>
      </c>
      <c r="AC109" s="11">
        <v>0</v>
      </c>
      <c r="AD109" s="11">
        <v>0</v>
      </c>
      <c r="AE109" s="11">
        <v>0</v>
      </c>
      <c r="AF109" s="11">
        <f t="shared" si="4"/>
        <v>0.42</v>
      </c>
      <c r="AG109" s="11">
        <f t="shared" si="5"/>
        <v>7.42</v>
      </c>
      <c r="AH109" t="s">
        <v>50</v>
      </c>
    </row>
    <row r="110" spans="1:34" ht="15" customHeight="1" x14ac:dyDescent="0.35">
      <c r="A110">
        <v>7547676</v>
      </c>
      <c r="B110">
        <v>690929</v>
      </c>
      <c r="C110" t="s">
        <v>34</v>
      </c>
      <c r="D110" t="s">
        <v>35</v>
      </c>
      <c r="E110" s="6" t="s">
        <v>34</v>
      </c>
      <c r="F110" t="s">
        <v>431</v>
      </c>
      <c r="G110" t="s">
        <v>37</v>
      </c>
      <c r="H110" t="s">
        <v>38</v>
      </c>
      <c r="I110" t="s">
        <v>432</v>
      </c>
      <c r="J110" t="s">
        <v>40</v>
      </c>
      <c r="K110">
        <v>2</v>
      </c>
      <c r="L110" t="s">
        <v>41</v>
      </c>
      <c r="M110" t="s">
        <v>42</v>
      </c>
      <c r="N110" t="s">
        <v>43</v>
      </c>
      <c r="O110" s="7">
        <v>1</v>
      </c>
      <c r="P110" s="8">
        <v>45158.539282407408</v>
      </c>
      <c r="Q110" s="9">
        <v>45159</v>
      </c>
      <c r="R110" t="s">
        <v>37</v>
      </c>
      <c r="S110" t="s">
        <v>44</v>
      </c>
      <c r="T110" t="s">
        <v>53</v>
      </c>
      <c r="U110" t="s">
        <v>134</v>
      </c>
      <c r="V110" t="s">
        <v>433</v>
      </c>
      <c r="W110">
        <v>53300</v>
      </c>
      <c r="X110" t="s">
        <v>44</v>
      </c>
      <c r="Y110" t="s">
        <v>226</v>
      </c>
      <c r="Z110" t="s">
        <v>49</v>
      </c>
      <c r="AA110" s="10">
        <f>IF(O110&lt;=1,7,7+0.8*ROUNDUP(O110-1,0))</f>
        <v>7</v>
      </c>
      <c r="AB110" s="11">
        <v>0</v>
      </c>
      <c r="AC110" s="11">
        <v>0</v>
      </c>
      <c r="AD110" s="11">
        <v>0</v>
      </c>
      <c r="AE110" s="11">
        <v>0</v>
      </c>
      <c r="AF110" s="11">
        <f t="shared" si="4"/>
        <v>0.42</v>
      </c>
      <c r="AG110" s="11">
        <f t="shared" si="5"/>
        <v>7.42</v>
      </c>
      <c r="AH110" t="s">
        <v>50</v>
      </c>
    </row>
    <row r="111" spans="1:34" ht="15" customHeight="1" x14ac:dyDescent="0.35">
      <c r="A111">
        <v>7547676</v>
      </c>
      <c r="B111">
        <v>690929</v>
      </c>
      <c r="C111" t="s">
        <v>34</v>
      </c>
      <c r="D111" t="s">
        <v>35</v>
      </c>
      <c r="E111" s="6" t="s">
        <v>34</v>
      </c>
      <c r="F111" t="s">
        <v>434</v>
      </c>
      <c r="G111" t="s">
        <v>37</v>
      </c>
      <c r="H111" t="s">
        <v>38</v>
      </c>
      <c r="I111" t="s">
        <v>435</v>
      </c>
      <c r="J111" t="s">
        <v>40</v>
      </c>
      <c r="K111">
        <v>2</v>
      </c>
      <c r="L111" t="s">
        <v>41</v>
      </c>
      <c r="M111" t="s">
        <v>42</v>
      </c>
      <c r="N111" t="s">
        <v>43</v>
      </c>
      <c r="O111" s="7">
        <v>1</v>
      </c>
      <c r="P111" s="8">
        <v>45157.735451388886</v>
      </c>
      <c r="Q111" s="9">
        <v>45159</v>
      </c>
      <c r="R111" t="s">
        <v>37</v>
      </c>
      <c r="S111" t="s">
        <v>44</v>
      </c>
      <c r="T111" t="s">
        <v>53</v>
      </c>
      <c r="U111" t="s">
        <v>210</v>
      </c>
      <c r="V111" t="s">
        <v>436</v>
      </c>
      <c r="W111">
        <v>9400</v>
      </c>
      <c r="X111" t="s">
        <v>44</v>
      </c>
      <c r="Y111" t="s">
        <v>437</v>
      </c>
      <c r="Z111" t="s">
        <v>49</v>
      </c>
      <c r="AA111" s="10">
        <f>IF(O111&lt;=1,7,7+0.8*ROUNDUP(O111-1,0))</f>
        <v>7</v>
      </c>
      <c r="AB111" s="11">
        <v>0</v>
      </c>
      <c r="AC111" s="11">
        <v>0</v>
      </c>
      <c r="AD111" s="11">
        <v>0</v>
      </c>
      <c r="AE111" s="11">
        <v>0</v>
      </c>
      <c r="AF111" s="11">
        <f t="shared" si="4"/>
        <v>0.42</v>
      </c>
      <c r="AG111" s="11">
        <f t="shared" si="5"/>
        <v>7.42</v>
      </c>
      <c r="AH111" t="s">
        <v>50</v>
      </c>
    </row>
    <row r="112" spans="1:34" ht="15" customHeight="1" x14ac:dyDescent="0.35">
      <c r="A112">
        <v>7547676</v>
      </c>
      <c r="B112">
        <v>690929</v>
      </c>
      <c r="C112" t="s">
        <v>34</v>
      </c>
      <c r="D112" t="s">
        <v>35</v>
      </c>
      <c r="E112" s="6" t="s">
        <v>34</v>
      </c>
      <c r="F112" t="s">
        <v>438</v>
      </c>
      <c r="G112" t="s">
        <v>37</v>
      </c>
      <c r="H112" t="s">
        <v>38</v>
      </c>
      <c r="I112" t="s">
        <v>439</v>
      </c>
      <c r="J112" t="s">
        <v>40</v>
      </c>
      <c r="K112">
        <v>2</v>
      </c>
      <c r="L112" t="s">
        <v>41</v>
      </c>
      <c r="M112" t="s">
        <v>42</v>
      </c>
      <c r="N112" t="s">
        <v>43</v>
      </c>
      <c r="O112" s="7">
        <v>10</v>
      </c>
      <c r="P112" s="8">
        <v>45156.790983796294</v>
      </c>
      <c r="Q112" s="9">
        <v>45160</v>
      </c>
      <c r="R112" t="s">
        <v>37</v>
      </c>
      <c r="S112" t="s">
        <v>44</v>
      </c>
      <c r="T112" t="s">
        <v>53</v>
      </c>
      <c r="U112" t="s">
        <v>440</v>
      </c>
      <c r="V112" t="s">
        <v>441</v>
      </c>
      <c r="W112">
        <v>91207</v>
      </c>
      <c r="X112" t="s">
        <v>194</v>
      </c>
      <c r="Y112" t="s">
        <v>442</v>
      </c>
      <c r="Z112" t="s">
        <v>49</v>
      </c>
      <c r="AA112" s="12">
        <f>IF(O112&lt;=1,13,IF(O112&lt;=2,23,IF(O112&lt;=3,35,IF(O112&lt;=4,43,IF(O112&lt;=5,53,IF(O112&lt;=6,63,IF(O112&lt;=7,71,IF(O112&lt;=8,79,IF(O112&lt;=9,87,IF(O112&lt;=10,95,IF(O112&lt;=11,105,IF(O112&lt;=12,114,IF(O112&lt;=13,119,IF(O112&lt;=14,127,IF(O112&lt;=15,135,IF(O112&lt;=16,143,IF(O112&lt;=17,153,IF(O112&lt;=18,163,IF(O112&lt;=19,171,IF(O112&lt;=20,185,IF(O112&lt;=21,193,IF(O112&lt;=22,201,IF(O112&lt;=23,210,IF(O112&lt;=24,220,IF(O112&lt;=25,230,IF(O112&lt;=26,240,IF(O112&lt;=27,250,IF(O112&lt;=28,260,IF(O112&lt;=29,270,IF(O112&lt;=30,280,280+10*ROUNDUP(O112-30,0)))))))))))))))))))))))))))))))</f>
        <v>95</v>
      </c>
      <c r="AB112" s="11">
        <v>0</v>
      </c>
      <c r="AC112" s="11">
        <v>0</v>
      </c>
      <c r="AD112" s="11">
        <v>500</v>
      </c>
      <c r="AE112" s="11">
        <f>AD112*1.5%</f>
        <v>7.5</v>
      </c>
      <c r="AF112" s="11">
        <f t="shared" si="4"/>
        <v>6.1499999999999995</v>
      </c>
      <c r="AG112" s="11">
        <f t="shared" si="5"/>
        <v>108.65</v>
      </c>
      <c r="AH112" t="s">
        <v>194</v>
      </c>
    </row>
    <row r="113" spans="1:34" ht="15" customHeight="1" x14ac:dyDescent="0.35">
      <c r="A113">
        <v>7547676</v>
      </c>
      <c r="B113">
        <v>690929</v>
      </c>
      <c r="C113" t="s">
        <v>34</v>
      </c>
      <c r="D113" t="s">
        <v>35</v>
      </c>
      <c r="E113" s="6" t="s">
        <v>34</v>
      </c>
      <c r="F113" t="s">
        <v>443</v>
      </c>
      <c r="G113" t="s">
        <v>37</v>
      </c>
      <c r="H113" t="s">
        <v>38</v>
      </c>
      <c r="I113" t="s">
        <v>444</v>
      </c>
      <c r="J113" t="s">
        <v>40</v>
      </c>
      <c r="K113">
        <v>2</v>
      </c>
      <c r="L113" t="s">
        <v>41</v>
      </c>
      <c r="M113" t="s">
        <v>42</v>
      </c>
      <c r="N113" t="s">
        <v>43</v>
      </c>
      <c r="O113" s="7">
        <v>1</v>
      </c>
      <c r="P113" s="8">
        <v>45158.724618055552</v>
      </c>
      <c r="Q113" s="9">
        <v>45160</v>
      </c>
      <c r="R113" t="s">
        <v>37</v>
      </c>
      <c r="S113" t="s">
        <v>44</v>
      </c>
      <c r="T113" t="s">
        <v>53</v>
      </c>
      <c r="U113" t="s">
        <v>202</v>
      </c>
      <c r="V113" t="s">
        <v>445</v>
      </c>
      <c r="W113">
        <v>78000</v>
      </c>
      <c r="X113" t="s">
        <v>44</v>
      </c>
      <c r="Y113" t="s">
        <v>446</v>
      </c>
      <c r="Z113" t="s">
        <v>49</v>
      </c>
      <c r="AA113" s="10">
        <f>IF(O113&lt;=1,7,7+0.8*ROUNDUP(O113-1,0))</f>
        <v>7</v>
      </c>
      <c r="AB113" s="11">
        <v>0</v>
      </c>
      <c r="AC113" s="11">
        <v>0</v>
      </c>
      <c r="AD113" s="11">
        <v>0</v>
      </c>
      <c r="AE113" s="11">
        <v>0</v>
      </c>
      <c r="AF113" s="11">
        <f t="shared" si="4"/>
        <v>0.42</v>
      </c>
      <c r="AG113" s="11">
        <f t="shared" si="5"/>
        <v>7.42</v>
      </c>
      <c r="AH113" t="s">
        <v>50</v>
      </c>
    </row>
    <row r="114" spans="1:34" ht="15" customHeight="1" x14ac:dyDescent="0.35">
      <c r="A114">
        <v>7547676</v>
      </c>
      <c r="B114">
        <v>690929</v>
      </c>
      <c r="C114" t="s">
        <v>34</v>
      </c>
      <c r="D114" t="s">
        <v>35</v>
      </c>
      <c r="E114" s="6" t="s">
        <v>34</v>
      </c>
      <c r="F114" t="s">
        <v>447</v>
      </c>
      <c r="G114" t="s">
        <v>37</v>
      </c>
      <c r="H114" t="s">
        <v>38</v>
      </c>
      <c r="I114" t="s">
        <v>448</v>
      </c>
      <c r="J114" t="s">
        <v>40</v>
      </c>
      <c r="K114">
        <v>2</v>
      </c>
      <c r="L114" t="s">
        <v>41</v>
      </c>
      <c r="M114" t="s">
        <v>42</v>
      </c>
      <c r="N114" t="s">
        <v>43</v>
      </c>
      <c r="O114" s="7">
        <v>3</v>
      </c>
      <c r="P114" s="8">
        <v>45156.494675925926</v>
      </c>
      <c r="Q114" s="9">
        <v>45160</v>
      </c>
      <c r="R114" t="s">
        <v>37</v>
      </c>
      <c r="S114" t="s">
        <v>44</v>
      </c>
      <c r="T114" t="s">
        <v>45</v>
      </c>
      <c r="U114" t="s">
        <v>440</v>
      </c>
      <c r="V114" t="s">
        <v>449</v>
      </c>
      <c r="W114">
        <v>90107</v>
      </c>
      <c r="X114" t="s">
        <v>194</v>
      </c>
      <c r="Y114" t="s">
        <v>450</v>
      </c>
      <c r="Z114" t="s">
        <v>49</v>
      </c>
      <c r="AA114" s="12">
        <f>IF(O114&lt;=1,13,IF(O114&lt;=2,23,IF(O114&lt;=3,35,IF(O114&lt;=4,43,IF(O114&lt;=5,53,IF(O114&lt;=6,63,IF(O114&lt;=7,71,IF(O114&lt;=8,79,IF(O114&lt;=9,87,IF(O114&lt;=10,95,IF(O114&lt;=11,105,IF(O114&lt;=12,114,IF(O114&lt;=13,119,IF(O114&lt;=14,127,IF(O114&lt;=15,135,IF(O114&lt;=16,143,IF(O114&lt;=17,153,IF(O114&lt;=18,163,IF(O114&lt;=19,171,IF(O114&lt;=20,185,IF(O114&lt;=21,193,IF(O114&lt;=22,201,IF(O114&lt;=23,210,IF(O114&lt;=24,220,IF(O114&lt;=25,230,IF(O114&lt;=26,240,IF(O114&lt;=27,250,IF(O114&lt;=28,260,IF(O114&lt;=29,270,IF(O114&lt;=30,280,280+10*ROUNDUP(O114-30,0)))))))))))))))))))))))))))))))</f>
        <v>35</v>
      </c>
      <c r="AB114" s="11">
        <v>0</v>
      </c>
      <c r="AC114" s="11">
        <v>0</v>
      </c>
      <c r="AD114" s="11">
        <v>0</v>
      </c>
      <c r="AE114" s="11">
        <v>0</v>
      </c>
      <c r="AF114" s="11">
        <f t="shared" si="4"/>
        <v>2.1</v>
      </c>
      <c r="AG114" s="11">
        <f t="shared" si="5"/>
        <v>37.1</v>
      </c>
      <c r="AH114" t="s">
        <v>194</v>
      </c>
    </row>
    <row r="115" spans="1:34" ht="15" customHeight="1" x14ac:dyDescent="0.35">
      <c r="A115">
        <v>7547676</v>
      </c>
      <c r="B115">
        <v>690929</v>
      </c>
      <c r="C115" t="s">
        <v>34</v>
      </c>
      <c r="D115" t="s">
        <v>35</v>
      </c>
      <c r="E115" s="6" t="s">
        <v>34</v>
      </c>
      <c r="F115" t="s">
        <v>451</v>
      </c>
      <c r="G115" t="s">
        <v>37</v>
      </c>
      <c r="H115" t="s">
        <v>38</v>
      </c>
      <c r="I115" t="s">
        <v>452</v>
      </c>
      <c r="J115" t="s">
        <v>40</v>
      </c>
      <c r="K115">
        <v>2</v>
      </c>
      <c r="L115" t="s">
        <v>41</v>
      </c>
      <c r="M115" t="s">
        <v>42</v>
      </c>
      <c r="N115" t="s">
        <v>43</v>
      </c>
      <c r="O115" s="7">
        <v>9</v>
      </c>
      <c r="P115" s="8">
        <v>45158.442488425928</v>
      </c>
      <c r="Q115" s="9">
        <v>45160</v>
      </c>
      <c r="R115" t="s">
        <v>37</v>
      </c>
      <c r="S115" t="s">
        <v>44</v>
      </c>
      <c r="T115" t="s">
        <v>53</v>
      </c>
      <c r="U115" t="s">
        <v>440</v>
      </c>
      <c r="V115" t="s">
        <v>453</v>
      </c>
      <c r="W115">
        <v>88100</v>
      </c>
      <c r="X115" t="s">
        <v>194</v>
      </c>
      <c r="Y115" t="s">
        <v>454</v>
      </c>
      <c r="Z115" t="s">
        <v>49</v>
      </c>
      <c r="AA115" s="12">
        <f>IF(O115&lt;=1,13,IF(O115&lt;=2,23,IF(O115&lt;=3,35,IF(O115&lt;=4,43,IF(O115&lt;=5,53,IF(O115&lt;=6,63,IF(O115&lt;=7,71,IF(O115&lt;=8,79,IF(O115&lt;=9,87,IF(O115&lt;=10,95,IF(O115&lt;=11,105,IF(O115&lt;=12,114,IF(O115&lt;=13,119,IF(O115&lt;=14,127,IF(O115&lt;=15,135,IF(O115&lt;=16,143,IF(O115&lt;=17,153,IF(O115&lt;=18,163,IF(O115&lt;=19,171,IF(O115&lt;=20,185,IF(O115&lt;=21,193,IF(O115&lt;=22,201,IF(O115&lt;=23,210,IF(O115&lt;=24,220,IF(O115&lt;=25,230,IF(O115&lt;=26,240,IF(O115&lt;=27,250,IF(O115&lt;=28,260,IF(O115&lt;=29,270,IF(O115&lt;=30,280,280+10*ROUNDUP(O115-30,0)))))))))))))))))))))))))))))))</f>
        <v>87</v>
      </c>
      <c r="AB115" s="11">
        <v>0</v>
      </c>
      <c r="AC115" s="11">
        <v>0</v>
      </c>
      <c r="AD115" s="11">
        <v>0</v>
      </c>
      <c r="AE115" s="11">
        <v>0</v>
      </c>
      <c r="AF115" s="11">
        <f t="shared" si="4"/>
        <v>5.22</v>
      </c>
      <c r="AG115" s="11">
        <f t="shared" si="5"/>
        <v>92.22</v>
      </c>
      <c r="AH115" t="s">
        <v>194</v>
      </c>
    </row>
    <row r="116" spans="1:34" ht="15" customHeight="1" x14ac:dyDescent="0.35">
      <c r="A116">
        <v>7547676</v>
      </c>
      <c r="B116">
        <v>690929</v>
      </c>
      <c r="C116" t="s">
        <v>34</v>
      </c>
      <c r="D116" t="s">
        <v>35</v>
      </c>
      <c r="E116" s="6" t="s">
        <v>34</v>
      </c>
      <c r="F116" t="s">
        <v>455</v>
      </c>
      <c r="G116" t="s">
        <v>37</v>
      </c>
      <c r="H116" t="s">
        <v>38</v>
      </c>
      <c r="I116" t="s">
        <v>456</v>
      </c>
      <c r="J116" t="s">
        <v>40</v>
      </c>
      <c r="K116">
        <v>2</v>
      </c>
      <c r="L116" t="s">
        <v>41</v>
      </c>
      <c r="M116" t="s">
        <v>42</v>
      </c>
      <c r="N116" t="s">
        <v>43</v>
      </c>
      <c r="O116" s="7">
        <v>1</v>
      </c>
      <c r="P116" s="8">
        <v>45159.615891203706</v>
      </c>
      <c r="Q116" s="9">
        <v>45160</v>
      </c>
      <c r="R116" t="s">
        <v>37</v>
      </c>
      <c r="S116" t="s">
        <v>44</v>
      </c>
      <c r="T116" t="s">
        <v>53</v>
      </c>
      <c r="U116" t="s">
        <v>54</v>
      </c>
      <c r="V116" t="s">
        <v>457</v>
      </c>
      <c r="W116">
        <v>43200</v>
      </c>
      <c r="X116" t="s">
        <v>44</v>
      </c>
      <c r="Y116" t="s">
        <v>136</v>
      </c>
      <c r="Z116" t="s">
        <v>49</v>
      </c>
      <c r="AA116" s="10">
        <f>IF(O116&lt;=1,7,7+0.8*ROUNDUP(O116-1,0))</f>
        <v>7</v>
      </c>
      <c r="AB116" s="11">
        <v>0</v>
      </c>
      <c r="AC116" s="11">
        <v>0</v>
      </c>
      <c r="AD116" s="11">
        <v>0</v>
      </c>
      <c r="AE116" s="11">
        <v>0</v>
      </c>
      <c r="AF116" s="11">
        <f t="shared" si="4"/>
        <v>0.42</v>
      </c>
      <c r="AG116" s="11">
        <f t="shared" si="5"/>
        <v>7.42</v>
      </c>
      <c r="AH116" t="s">
        <v>50</v>
      </c>
    </row>
    <row r="117" spans="1:34" ht="15" customHeight="1" x14ac:dyDescent="0.35">
      <c r="A117">
        <v>7547676</v>
      </c>
      <c r="B117">
        <v>690929</v>
      </c>
      <c r="C117" t="s">
        <v>34</v>
      </c>
      <c r="D117" t="s">
        <v>35</v>
      </c>
      <c r="E117" s="6" t="s">
        <v>34</v>
      </c>
      <c r="F117" t="s">
        <v>458</v>
      </c>
      <c r="G117" t="s">
        <v>37</v>
      </c>
      <c r="H117" t="s">
        <v>38</v>
      </c>
      <c r="I117" t="s">
        <v>459</v>
      </c>
      <c r="J117" t="s">
        <v>40</v>
      </c>
      <c r="K117">
        <v>2</v>
      </c>
      <c r="L117" t="s">
        <v>41</v>
      </c>
      <c r="M117" t="s">
        <v>42</v>
      </c>
      <c r="N117" t="s">
        <v>43</v>
      </c>
      <c r="O117" s="7">
        <v>1</v>
      </c>
      <c r="P117" s="8">
        <v>45159.691053240742</v>
      </c>
      <c r="Q117" s="9">
        <v>45160</v>
      </c>
      <c r="R117" t="s">
        <v>37</v>
      </c>
      <c r="S117" t="s">
        <v>44</v>
      </c>
      <c r="T117" t="s">
        <v>53</v>
      </c>
      <c r="U117" t="s">
        <v>177</v>
      </c>
      <c r="V117" t="s">
        <v>460</v>
      </c>
      <c r="W117">
        <v>71050</v>
      </c>
      <c r="X117" t="s">
        <v>44</v>
      </c>
      <c r="Y117" t="s">
        <v>461</v>
      </c>
      <c r="Z117" t="s">
        <v>49</v>
      </c>
      <c r="AA117" s="10">
        <f>IF(O117&lt;=1,7,7+0.8*ROUNDUP(O117-1,0))</f>
        <v>7</v>
      </c>
      <c r="AB117" s="11">
        <v>0</v>
      </c>
      <c r="AC117" s="11">
        <v>0</v>
      </c>
      <c r="AD117" s="11">
        <v>0</v>
      </c>
      <c r="AE117" s="11">
        <v>0</v>
      </c>
      <c r="AF117" s="11">
        <f t="shared" si="4"/>
        <v>0.42</v>
      </c>
      <c r="AG117" s="11">
        <f t="shared" si="5"/>
        <v>7.42</v>
      </c>
      <c r="AH117" t="s">
        <v>50</v>
      </c>
    </row>
    <row r="118" spans="1:34" ht="15" customHeight="1" x14ac:dyDescent="0.35">
      <c r="A118">
        <v>7547676</v>
      </c>
      <c r="B118">
        <v>690929</v>
      </c>
      <c r="C118" t="s">
        <v>34</v>
      </c>
      <c r="D118" t="s">
        <v>35</v>
      </c>
      <c r="E118" s="6" t="s">
        <v>34</v>
      </c>
      <c r="F118" t="s">
        <v>462</v>
      </c>
      <c r="G118" t="s">
        <v>37</v>
      </c>
      <c r="H118" t="s">
        <v>38</v>
      </c>
      <c r="I118" t="s">
        <v>463</v>
      </c>
      <c r="J118" t="s">
        <v>40</v>
      </c>
      <c r="K118">
        <v>2</v>
      </c>
      <c r="L118" t="s">
        <v>41</v>
      </c>
      <c r="M118" t="s">
        <v>42</v>
      </c>
      <c r="N118" t="s">
        <v>43</v>
      </c>
      <c r="O118" s="7">
        <v>2</v>
      </c>
      <c r="P118" s="8">
        <v>45158.442488425928</v>
      </c>
      <c r="Q118" s="9">
        <v>45160</v>
      </c>
      <c r="R118" t="s">
        <v>37</v>
      </c>
      <c r="S118" t="s">
        <v>44</v>
      </c>
      <c r="T118" t="s">
        <v>53</v>
      </c>
      <c r="U118" t="s">
        <v>197</v>
      </c>
      <c r="V118" t="s">
        <v>464</v>
      </c>
      <c r="W118">
        <v>81200</v>
      </c>
      <c r="X118" t="s">
        <v>44</v>
      </c>
      <c r="Y118" t="s">
        <v>351</v>
      </c>
      <c r="Z118" t="s">
        <v>49</v>
      </c>
      <c r="AA118" s="10">
        <f>IF(O118&lt;=1,7,7+0.8*ROUNDUP(O118-1,0))</f>
        <v>7.8</v>
      </c>
      <c r="AB118" s="11">
        <v>0</v>
      </c>
      <c r="AC118" s="11">
        <v>0</v>
      </c>
      <c r="AD118" s="11">
        <v>0</v>
      </c>
      <c r="AE118" s="11">
        <v>0</v>
      </c>
      <c r="AF118" s="11">
        <f t="shared" si="4"/>
        <v>0.46799999999999997</v>
      </c>
      <c r="AG118" s="11">
        <f t="shared" si="5"/>
        <v>8.2680000000000007</v>
      </c>
      <c r="AH118" t="s">
        <v>50</v>
      </c>
    </row>
    <row r="119" spans="1:34" ht="15" customHeight="1" x14ac:dyDescent="0.35">
      <c r="A119">
        <v>7547676</v>
      </c>
      <c r="B119">
        <v>690929</v>
      </c>
      <c r="C119" t="s">
        <v>34</v>
      </c>
      <c r="D119" t="s">
        <v>35</v>
      </c>
      <c r="E119" s="6" t="s">
        <v>34</v>
      </c>
      <c r="F119" t="s">
        <v>465</v>
      </c>
      <c r="G119" t="s">
        <v>37</v>
      </c>
      <c r="H119" t="s">
        <v>38</v>
      </c>
      <c r="I119" t="s">
        <v>466</v>
      </c>
      <c r="J119" t="s">
        <v>40</v>
      </c>
      <c r="K119">
        <v>2</v>
      </c>
      <c r="L119" t="s">
        <v>41</v>
      </c>
      <c r="M119" t="s">
        <v>42</v>
      </c>
      <c r="N119" t="s">
        <v>43</v>
      </c>
      <c r="O119" s="7">
        <v>1</v>
      </c>
      <c r="P119" s="8">
        <v>45159.71534722222</v>
      </c>
      <c r="Q119" s="9">
        <v>45160</v>
      </c>
      <c r="R119" t="s">
        <v>37</v>
      </c>
      <c r="S119" t="s">
        <v>44</v>
      </c>
      <c r="T119" t="s">
        <v>53</v>
      </c>
      <c r="U119" t="s">
        <v>54</v>
      </c>
      <c r="V119" t="s">
        <v>467</v>
      </c>
      <c r="W119">
        <v>41200</v>
      </c>
      <c r="X119" t="s">
        <v>44</v>
      </c>
      <c r="Y119" t="s">
        <v>468</v>
      </c>
      <c r="Z119" t="s">
        <v>49</v>
      </c>
      <c r="AA119" s="10">
        <f>IF(O119&lt;=1,7,7+0.8*ROUNDUP(O119-1,0))</f>
        <v>7</v>
      </c>
      <c r="AB119" s="11">
        <v>0</v>
      </c>
      <c r="AC119" s="11">
        <v>0</v>
      </c>
      <c r="AD119" s="11">
        <v>0</v>
      </c>
      <c r="AE119" s="11">
        <v>0</v>
      </c>
      <c r="AF119" s="11">
        <f t="shared" si="4"/>
        <v>0.42</v>
      </c>
      <c r="AG119" s="11">
        <f t="shared" si="5"/>
        <v>7.42</v>
      </c>
      <c r="AH119" t="s">
        <v>50</v>
      </c>
    </row>
    <row r="120" spans="1:34" ht="15" customHeight="1" x14ac:dyDescent="0.35">
      <c r="A120">
        <v>7547676</v>
      </c>
      <c r="B120">
        <v>690929</v>
      </c>
      <c r="C120" t="s">
        <v>34</v>
      </c>
      <c r="D120" t="s">
        <v>35</v>
      </c>
      <c r="E120" s="6" t="s">
        <v>34</v>
      </c>
      <c r="F120" t="s">
        <v>469</v>
      </c>
      <c r="G120" t="s">
        <v>37</v>
      </c>
      <c r="H120" t="s">
        <v>38</v>
      </c>
      <c r="I120" t="s">
        <v>470</v>
      </c>
      <c r="J120" t="s">
        <v>40</v>
      </c>
      <c r="K120">
        <v>2</v>
      </c>
      <c r="L120" t="s">
        <v>41</v>
      </c>
      <c r="M120" t="s">
        <v>42</v>
      </c>
      <c r="N120" t="s">
        <v>43</v>
      </c>
      <c r="O120" s="7">
        <v>1</v>
      </c>
      <c r="P120" s="8">
        <v>45159.746655092589</v>
      </c>
      <c r="Q120" s="9">
        <v>45160</v>
      </c>
      <c r="R120" t="s">
        <v>37</v>
      </c>
      <c r="S120" t="s">
        <v>44</v>
      </c>
      <c r="T120" t="s">
        <v>53</v>
      </c>
      <c r="U120" t="s">
        <v>67</v>
      </c>
      <c r="V120" t="s">
        <v>471</v>
      </c>
      <c r="W120">
        <v>28400</v>
      </c>
      <c r="X120" t="s">
        <v>44</v>
      </c>
      <c r="Y120" t="s">
        <v>53</v>
      </c>
      <c r="Z120" t="s">
        <v>49</v>
      </c>
      <c r="AA120" s="10">
        <f>IF(O120&lt;=1,7,7+0.8*ROUNDUP(O120-1,0))</f>
        <v>7</v>
      </c>
      <c r="AB120" s="11">
        <v>0</v>
      </c>
      <c r="AC120" s="11">
        <v>0</v>
      </c>
      <c r="AD120" s="11">
        <v>0</v>
      </c>
      <c r="AE120" s="11">
        <v>0</v>
      </c>
      <c r="AF120" s="11">
        <f t="shared" si="4"/>
        <v>0.42</v>
      </c>
      <c r="AG120" s="11">
        <f t="shared" si="5"/>
        <v>7.42</v>
      </c>
      <c r="AH120" t="s">
        <v>50</v>
      </c>
    </row>
    <row r="121" spans="1:34" ht="15" customHeight="1" x14ac:dyDescent="0.35">
      <c r="A121">
        <v>7547676</v>
      </c>
      <c r="B121">
        <v>690929</v>
      </c>
      <c r="C121" t="s">
        <v>34</v>
      </c>
      <c r="D121" t="s">
        <v>35</v>
      </c>
      <c r="E121" s="6" t="s">
        <v>34</v>
      </c>
      <c r="F121" t="s">
        <v>472</v>
      </c>
      <c r="G121" t="s">
        <v>37</v>
      </c>
      <c r="H121" t="s">
        <v>38</v>
      </c>
      <c r="I121" t="s">
        <v>473</v>
      </c>
      <c r="J121" t="s">
        <v>40</v>
      </c>
      <c r="K121">
        <v>2</v>
      </c>
      <c r="L121" t="s">
        <v>41</v>
      </c>
      <c r="M121" t="s">
        <v>42</v>
      </c>
      <c r="N121" t="s">
        <v>43</v>
      </c>
      <c r="O121" s="7">
        <v>2</v>
      </c>
      <c r="P121" s="8">
        <v>45158.690462962964</v>
      </c>
      <c r="Q121" s="9">
        <v>45160</v>
      </c>
      <c r="R121" t="s">
        <v>37</v>
      </c>
      <c r="S121" t="s">
        <v>44</v>
      </c>
      <c r="T121" t="s">
        <v>53</v>
      </c>
      <c r="U121" t="s">
        <v>67</v>
      </c>
      <c r="V121" t="s">
        <v>474</v>
      </c>
      <c r="W121">
        <v>27600</v>
      </c>
      <c r="X121" t="s">
        <v>44</v>
      </c>
      <c r="Y121" t="s">
        <v>136</v>
      </c>
      <c r="Z121" t="s">
        <v>49</v>
      </c>
      <c r="AA121" s="10">
        <f>IF(O121&lt;=1,7,7+0.8*ROUNDUP(O121-1,0))</f>
        <v>7.8</v>
      </c>
      <c r="AB121" s="11">
        <v>0</v>
      </c>
      <c r="AC121" s="11">
        <v>0</v>
      </c>
      <c r="AD121" s="11">
        <v>0</v>
      </c>
      <c r="AE121" s="11">
        <v>0</v>
      </c>
      <c r="AF121" s="11">
        <f t="shared" si="4"/>
        <v>0.46799999999999997</v>
      </c>
      <c r="AG121" s="11">
        <f t="shared" si="5"/>
        <v>8.2680000000000007</v>
      </c>
      <c r="AH121" t="s">
        <v>50</v>
      </c>
    </row>
    <row r="122" spans="1:34" ht="15" customHeight="1" x14ac:dyDescent="0.35">
      <c r="A122">
        <v>7547676</v>
      </c>
      <c r="B122">
        <v>690929</v>
      </c>
      <c r="C122" t="s">
        <v>34</v>
      </c>
      <c r="D122" t="s">
        <v>35</v>
      </c>
      <c r="E122" s="6" t="s">
        <v>34</v>
      </c>
      <c r="F122" t="s">
        <v>475</v>
      </c>
      <c r="G122" t="s">
        <v>37</v>
      </c>
      <c r="H122" t="s">
        <v>38</v>
      </c>
      <c r="I122" t="s">
        <v>476</v>
      </c>
      <c r="J122" t="s">
        <v>40</v>
      </c>
      <c r="K122">
        <v>2</v>
      </c>
      <c r="L122" t="s">
        <v>41</v>
      </c>
      <c r="M122" t="s">
        <v>42</v>
      </c>
      <c r="N122" t="s">
        <v>43</v>
      </c>
      <c r="O122" s="7">
        <v>3</v>
      </c>
      <c r="P122" s="8">
        <v>45159.732129629629</v>
      </c>
      <c r="Q122" s="9">
        <v>45160</v>
      </c>
      <c r="R122" t="s">
        <v>37</v>
      </c>
      <c r="S122" t="s">
        <v>44</v>
      </c>
      <c r="T122" t="s">
        <v>53</v>
      </c>
      <c r="U122" t="s">
        <v>134</v>
      </c>
      <c r="V122" t="s">
        <v>477</v>
      </c>
      <c r="W122">
        <v>50300</v>
      </c>
      <c r="X122" t="s">
        <v>44</v>
      </c>
      <c r="Y122" t="s">
        <v>226</v>
      </c>
      <c r="Z122" t="s">
        <v>49</v>
      </c>
      <c r="AA122" s="10">
        <f>IF(O122&lt;=1,7,7+0.8*ROUNDUP(O122-1,0))</f>
        <v>8.6</v>
      </c>
      <c r="AB122" s="11">
        <v>0</v>
      </c>
      <c r="AC122" s="11">
        <v>0</v>
      </c>
      <c r="AD122" s="11">
        <v>0</v>
      </c>
      <c r="AE122" s="11">
        <v>0</v>
      </c>
      <c r="AF122" s="11">
        <f t="shared" si="4"/>
        <v>0.51600000000000001</v>
      </c>
      <c r="AG122" s="11">
        <f t="shared" si="5"/>
        <v>9.1159999999999997</v>
      </c>
      <c r="AH122" t="s">
        <v>50</v>
      </c>
    </row>
    <row r="123" spans="1:34" ht="15" customHeight="1" x14ac:dyDescent="0.35">
      <c r="A123">
        <v>7547676</v>
      </c>
      <c r="B123">
        <v>690929</v>
      </c>
      <c r="C123" t="s">
        <v>34</v>
      </c>
      <c r="D123" t="s">
        <v>35</v>
      </c>
      <c r="E123" s="6" t="s">
        <v>34</v>
      </c>
      <c r="F123" t="s">
        <v>478</v>
      </c>
      <c r="G123" t="s">
        <v>37</v>
      </c>
      <c r="H123" t="s">
        <v>38</v>
      </c>
      <c r="I123" t="s">
        <v>479</v>
      </c>
      <c r="J123" t="s">
        <v>40</v>
      </c>
      <c r="K123">
        <v>2</v>
      </c>
      <c r="L123" t="s">
        <v>41</v>
      </c>
      <c r="M123" t="s">
        <v>42</v>
      </c>
      <c r="N123" t="s">
        <v>43</v>
      </c>
      <c r="O123" s="7">
        <v>1</v>
      </c>
      <c r="P123" s="8">
        <v>45158.690462962964</v>
      </c>
      <c r="Q123" s="9">
        <v>45160</v>
      </c>
      <c r="R123" t="s">
        <v>37</v>
      </c>
      <c r="S123" t="s">
        <v>44</v>
      </c>
      <c r="T123" t="s">
        <v>53</v>
      </c>
      <c r="U123" t="s">
        <v>197</v>
      </c>
      <c r="V123" t="s">
        <v>480</v>
      </c>
      <c r="W123">
        <v>84150</v>
      </c>
      <c r="X123" t="s">
        <v>44</v>
      </c>
      <c r="Y123" t="s">
        <v>136</v>
      </c>
      <c r="Z123" t="s">
        <v>49</v>
      </c>
      <c r="AA123" s="10">
        <f>IF(O123&lt;=1,7,7+0.8*ROUNDUP(O123-1,0))</f>
        <v>7</v>
      </c>
      <c r="AB123" s="11">
        <v>0</v>
      </c>
      <c r="AC123" s="11">
        <v>0</v>
      </c>
      <c r="AD123" s="11">
        <v>0</v>
      </c>
      <c r="AE123" s="11">
        <v>0</v>
      </c>
      <c r="AF123" s="11">
        <f t="shared" si="4"/>
        <v>0.42</v>
      </c>
      <c r="AG123" s="11">
        <f t="shared" si="5"/>
        <v>7.42</v>
      </c>
      <c r="AH123" t="s">
        <v>50</v>
      </c>
    </row>
    <row r="124" spans="1:34" ht="15" customHeight="1" x14ac:dyDescent="0.35">
      <c r="A124">
        <v>7547676</v>
      </c>
      <c r="B124">
        <v>690929</v>
      </c>
      <c r="C124" t="s">
        <v>34</v>
      </c>
      <c r="D124" t="s">
        <v>35</v>
      </c>
      <c r="E124" s="6" t="s">
        <v>34</v>
      </c>
      <c r="F124" t="s">
        <v>481</v>
      </c>
      <c r="G124" t="s">
        <v>37</v>
      </c>
      <c r="H124" t="s">
        <v>38</v>
      </c>
      <c r="I124" t="s">
        <v>482</v>
      </c>
      <c r="J124" t="s">
        <v>40</v>
      </c>
      <c r="K124">
        <v>2</v>
      </c>
      <c r="L124" t="s">
        <v>41</v>
      </c>
      <c r="M124" t="s">
        <v>42</v>
      </c>
      <c r="N124" t="s">
        <v>43</v>
      </c>
      <c r="O124" s="7">
        <v>1</v>
      </c>
      <c r="P124" s="8">
        <v>45159.70648148148</v>
      </c>
      <c r="Q124" s="9">
        <v>45160</v>
      </c>
      <c r="R124" t="s">
        <v>37</v>
      </c>
      <c r="S124" t="s">
        <v>44</v>
      </c>
      <c r="T124" t="s">
        <v>53</v>
      </c>
      <c r="U124" t="s">
        <v>54</v>
      </c>
      <c r="V124" t="s">
        <v>483</v>
      </c>
      <c r="W124">
        <v>63000</v>
      </c>
      <c r="X124" t="s">
        <v>44</v>
      </c>
      <c r="Y124" t="s">
        <v>396</v>
      </c>
      <c r="Z124" t="s">
        <v>49</v>
      </c>
      <c r="AA124" s="10">
        <f>IF(O124&lt;=1,7,7+0.8*ROUNDUP(O124-1,0))</f>
        <v>7</v>
      </c>
      <c r="AB124" s="11">
        <v>0</v>
      </c>
      <c r="AC124" s="11">
        <v>0</v>
      </c>
      <c r="AD124" s="11">
        <v>0</v>
      </c>
      <c r="AE124" s="11">
        <v>0</v>
      </c>
      <c r="AF124" s="11">
        <f t="shared" si="4"/>
        <v>0.42</v>
      </c>
      <c r="AG124" s="11">
        <f t="shared" si="5"/>
        <v>7.42</v>
      </c>
      <c r="AH124" t="s">
        <v>50</v>
      </c>
    </row>
    <row r="125" spans="1:34" ht="15" customHeight="1" x14ac:dyDescent="0.35">
      <c r="A125">
        <v>7547676</v>
      </c>
      <c r="B125">
        <v>690929</v>
      </c>
      <c r="C125" t="s">
        <v>34</v>
      </c>
      <c r="D125" t="s">
        <v>35</v>
      </c>
      <c r="E125" s="6" t="s">
        <v>34</v>
      </c>
      <c r="F125" t="s">
        <v>484</v>
      </c>
      <c r="G125" t="s">
        <v>37</v>
      </c>
      <c r="H125" t="s">
        <v>38</v>
      </c>
      <c r="I125" t="s">
        <v>485</v>
      </c>
      <c r="J125" t="s">
        <v>40</v>
      </c>
      <c r="K125">
        <v>2</v>
      </c>
      <c r="L125" t="s">
        <v>41</v>
      </c>
      <c r="M125" t="s">
        <v>42</v>
      </c>
      <c r="N125" t="s">
        <v>43</v>
      </c>
      <c r="O125" s="7">
        <v>2</v>
      </c>
      <c r="P125" s="8">
        <v>45158.654930555553</v>
      </c>
      <c r="Q125" s="9">
        <v>45160</v>
      </c>
      <c r="R125" t="s">
        <v>37</v>
      </c>
      <c r="S125" t="s">
        <v>44</v>
      </c>
      <c r="T125" t="s">
        <v>53</v>
      </c>
      <c r="U125" t="s">
        <v>440</v>
      </c>
      <c r="V125" t="s">
        <v>486</v>
      </c>
      <c r="W125">
        <v>89000</v>
      </c>
      <c r="X125" t="s">
        <v>194</v>
      </c>
      <c r="Y125" t="s">
        <v>136</v>
      </c>
      <c r="Z125" t="s">
        <v>49</v>
      </c>
      <c r="AA125" s="12">
        <f>IF(O125&lt;=1,13,IF(O125&lt;=2,23,IF(O125&lt;=3,35,IF(O125&lt;=4,43,IF(O125&lt;=5,53,IF(O125&lt;=6,63,IF(O125&lt;=7,71,IF(O125&lt;=8,79,IF(O125&lt;=9,87,IF(O125&lt;=10,95,IF(O125&lt;=11,105,IF(O125&lt;=12,114,IF(O125&lt;=13,119,IF(O125&lt;=14,127,IF(O125&lt;=15,135,IF(O125&lt;=16,143,IF(O125&lt;=17,153,IF(O125&lt;=18,163,IF(O125&lt;=19,171,IF(O125&lt;=20,185,IF(O125&lt;=21,193,IF(O125&lt;=22,201,IF(O125&lt;=23,210,IF(O125&lt;=24,220,IF(O125&lt;=25,230,IF(O125&lt;=26,240,IF(O125&lt;=27,250,IF(O125&lt;=28,260,IF(O125&lt;=29,270,IF(O125&lt;=30,280,280+10*ROUNDUP(O125-30,0)))))))))))))))))))))))))))))))</f>
        <v>23</v>
      </c>
      <c r="AB125" s="11">
        <v>0</v>
      </c>
      <c r="AC125" s="11">
        <v>0</v>
      </c>
      <c r="AD125" s="11">
        <v>0</v>
      </c>
      <c r="AE125" s="11">
        <v>0</v>
      </c>
      <c r="AF125" s="11">
        <f t="shared" si="4"/>
        <v>1.38</v>
      </c>
      <c r="AG125" s="11">
        <f t="shared" si="5"/>
        <v>24.38</v>
      </c>
      <c r="AH125" t="s">
        <v>194</v>
      </c>
    </row>
    <row r="126" spans="1:34" ht="15" customHeight="1" x14ac:dyDescent="0.35">
      <c r="A126">
        <v>7547676</v>
      </c>
      <c r="B126">
        <v>690929</v>
      </c>
      <c r="C126" t="s">
        <v>34</v>
      </c>
      <c r="D126" t="s">
        <v>35</v>
      </c>
      <c r="E126" s="6" t="s">
        <v>34</v>
      </c>
      <c r="F126" t="s">
        <v>487</v>
      </c>
      <c r="G126" t="s">
        <v>37</v>
      </c>
      <c r="H126" t="s">
        <v>38</v>
      </c>
      <c r="I126" t="s">
        <v>488</v>
      </c>
      <c r="J126" t="s">
        <v>40</v>
      </c>
      <c r="K126">
        <v>2</v>
      </c>
      <c r="L126" t="s">
        <v>41</v>
      </c>
      <c r="M126" t="s">
        <v>42</v>
      </c>
      <c r="N126" t="s">
        <v>43</v>
      </c>
      <c r="O126" s="7">
        <v>1</v>
      </c>
      <c r="P126" s="8">
        <v>45158.521620370368</v>
      </c>
      <c r="Q126" s="9">
        <v>45160</v>
      </c>
      <c r="R126" t="s">
        <v>37</v>
      </c>
      <c r="S126" t="s">
        <v>44</v>
      </c>
      <c r="T126" t="s">
        <v>53</v>
      </c>
      <c r="U126" t="s">
        <v>81</v>
      </c>
      <c r="V126" t="s">
        <v>489</v>
      </c>
      <c r="W126">
        <v>32000</v>
      </c>
      <c r="X126" t="s">
        <v>44</v>
      </c>
      <c r="Y126" t="s">
        <v>136</v>
      </c>
      <c r="Z126" t="s">
        <v>49</v>
      </c>
      <c r="AA126" s="10">
        <f>IF(O126&lt;=1,7,7+0.8*ROUNDUP(O126-1,0))</f>
        <v>7</v>
      </c>
      <c r="AB126" s="11">
        <v>0</v>
      </c>
      <c r="AC126" s="11">
        <v>0</v>
      </c>
      <c r="AD126" s="11">
        <v>0</v>
      </c>
      <c r="AE126" s="11">
        <v>0</v>
      </c>
      <c r="AF126" s="11">
        <f t="shared" si="4"/>
        <v>0.42</v>
      </c>
      <c r="AG126" s="11">
        <f t="shared" si="5"/>
        <v>7.42</v>
      </c>
      <c r="AH126" t="s">
        <v>50</v>
      </c>
    </row>
    <row r="127" spans="1:34" ht="15" customHeight="1" x14ac:dyDescent="0.35">
      <c r="A127">
        <v>7547676</v>
      </c>
      <c r="B127">
        <v>690929</v>
      </c>
      <c r="C127" t="s">
        <v>34</v>
      </c>
      <c r="D127" t="s">
        <v>35</v>
      </c>
      <c r="E127" s="6" t="s">
        <v>34</v>
      </c>
      <c r="F127" t="s">
        <v>490</v>
      </c>
      <c r="G127" t="s">
        <v>37</v>
      </c>
      <c r="H127" t="s">
        <v>38</v>
      </c>
      <c r="I127" t="s">
        <v>491</v>
      </c>
      <c r="J127" t="s">
        <v>40</v>
      </c>
      <c r="K127">
        <v>2</v>
      </c>
      <c r="L127" t="s">
        <v>41</v>
      </c>
      <c r="M127" t="s">
        <v>42</v>
      </c>
      <c r="N127" t="s">
        <v>43</v>
      </c>
      <c r="O127" s="7">
        <v>1</v>
      </c>
      <c r="P127" s="8">
        <v>45157.635289351849</v>
      </c>
      <c r="Q127" s="9">
        <v>45160</v>
      </c>
      <c r="R127" t="s">
        <v>37</v>
      </c>
      <c r="S127" t="s">
        <v>44</v>
      </c>
      <c r="T127" t="s">
        <v>53</v>
      </c>
      <c r="U127" t="s">
        <v>72</v>
      </c>
      <c r="V127" t="s">
        <v>492</v>
      </c>
      <c r="W127">
        <v>24000</v>
      </c>
      <c r="X127" t="s">
        <v>44</v>
      </c>
      <c r="Y127" t="s">
        <v>493</v>
      </c>
      <c r="Z127" t="s">
        <v>49</v>
      </c>
      <c r="AA127" s="10">
        <f>IF(O127&lt;=1,7,7+0.8*ROUNDUP(O127-1,0))</f>
        <v>7</v>
      </c>
      <c r="AB127" s="11">
        <v>0</v>
      </c>
      <c r="AC127" s="11">
        <v>0</v>
      </c>
      <c r="AD127" s="11">
        <v>0</v>
      </c>
      <c r="AE127" s="11">
        <v>0</v>
      </c>
      <c r="AF127" s="11">
        <f t="shared" si="4"/>
        <v>0.42</v>
      </c>
      <c r="AG127" s="11">
        <f t="shared" si="5"/>
        <v>7.42</v>
      </c>
      <c r="AH127" t="s">
        <v>50</v>
      </c>
    </row>
    <row r="128" spans="1:34" ht="15" customHeight="1" x14ac:dyDescent="0.35">
      <c r="A128">
        <v>7547676</v>
      </c>
      <c r="B128">
        <v>690929</v>
      </c>
      <c r="C128" t="s">
        <v>34</v>
      </c>
      <c r="D128" t="s">
        <v>35</v>
      </c>
      <c r="E128" s="6" t="s">
        <v>34</v>
      </c>
      <c r="F128" t="s">
        <v>494</v>
      </c>
      <c r="G128" t="s">
        <v>37</v>
      </c>
      <c r="H128" t="s">
        <v>38</v>
      </c>
      <c r="I128" t="s">
        <v>495</v>
      </c>
      <c r="J128" t="s">
        <v>40</v>
      </c>
      <c r="K128">
        <v>2</v>
      </c>
      <c r="L128" t="s">
        <v>41</v>
      </c>
      <c r="M128" t="s">
        <v>42</v>
      </c>
      <c r="N128" t="s">
        <v>43</v>
      </c>
      <c r="O128" s="7">
        <v>1</v>
      </c>
      <c r="P128" s="8">
        <v>45159.692465277774</v>
      </c>
      <c r="Q128" s="9">
        <v>45161</v>
      </c>
      <c r="R128" t="s">
        <v>37</v>
      </c>
      <c r="S128" t="s">
        <v>44</v>
      </c>
      <c r="T128" t="s">
        <v>53</v>
      </c>
      <c r="U128" t="s">
        <v>202</v>
      </c>
      <c r="V128" t="s">
        <v>496</v>
      </c>
      <c r="W128">
        <v>77200</v>
      </c>
      <c r="X128" t="s">
        <v>44</v>
      </c>
      <c r="Y128" t="s">
        <v>497</v>
      </c>
      <c r="Z128" t="s">
        <v>49</v>
      </c>
      <c r="AA128" s="10">
        <f>IF(O128&lt;=1,7,7+0.8*ROUNDUP(O128-1,0))</f>
        <v>7</v>
      </c>
      <c r="AB128" s="11">
        <v>0</v>
      </c>
      <c r="AC128" s="11">
        <v>0</v>
      </c>
      <c r="AD128" s="11">
        <v>0</v>
      </c>
      <c r="AE128" s="11">
        <v>0</v>
      </c>
      <c r="AF128" s="11">
        <f t="shared" si="4"/>
        <v>0.42</v>
      </c>
      <c r="AG128" s="11">
        <f t="shared" si="5"/>
        <v>7.42</v>
      </c>
      <c r="AH128" t="s">
        <v>50</v>
      </c>
    </row>
    <row r="129" spans="1:34" ht="15" customHeight="1" x14ac:dyDescent="0.35">
      <c r="A129">
        <v>7547676</v>
      </c>
      <c r="B129">
        <v>690929</v>
      </c>
      <c r="C129" t="s">
        <v>34</v>
      </c>
      <c r="D129" t="s">
        <v>35</v>
      </c>
      <c r="E129" s="6" t="s">
        <v>34</v>
      </c>
      <c r="F129" t="s">
        <v>498</v>
      </c>
      <c r="G129" t="s">
        <v>37</v>
      </c>
      <c r="H129" t="s">
        <v>38</v>
      </c>
      <c r="I129" t="s">
        <v>499</v>
      </c>
      <c r="J129" t="s">
        <v>40</v>
      </c>
      <c r="K129">
        <v>2</v>
      </c>
      <c r="L129" t="s">
        <v>41</v>
      </c>
      <c r="M129" t="s">
        <v>42</v>
      </c>
      <c r="N129" t="s">
        <v>43</v>
      </c>
      <c r="O129" s="7">
        <v>2</v>
      </c>
      <c r="P129" s="8">
        <v>45160.708692129629</v>
      </c>
      <c r="Q129" s="9">
        <v>45161</v>
      </c>
      <c r="R129" t="s">
        <v>37</v>
      </c>
      <c r="S129" t="s">
        <v>44</v>
      </c>
      <c r="T129" t="s">
        <v>53</v>
      </c>
      <c r="U129" t="s">
        <v>54</v>
      </c>
      <c r="V129" t="s">
        <v>500</v>
      </c>
      <c r="W129">
        <v>47301</v>
      </c>
      <c r="X129" t="s">
        <v>44</v>
      </c>
      <c r="Y129" t="s">
        <v>501</v>
      </c>
      <c r="Z129" t="s">
        <v>49</v>
      </c>
      <c r="AA129" s="10">
        <f>IF(O129&lt;=1,7,7+0.8*ROUNDUP(O129-1,0))</f>
        <v>7.8</v>
      </c>
      <c r="AB129" s="11">
        <v>0</v>
      </c>
      <c r="AC129" s="11">
        <v>0</v>
      </c>
      <c r="AD129" s="11">
        <v>0</v>
      </c>
      <c r="AE129" s="11">
        <v>0</v>
      </c>
      <c r="AF129" s="11">
        <f t="shared" si="4"/>
        <v>0.46799999999999997</v>
      </c>
      <c r="AG129" s="11">
        <f t="shared" si="5"/>
        <v>8.2680000000000007</v>
      </c>
      <c r="AH129" t="s">
        <v>50</v>
      </c>
    </row>
    <row r="130" spans="1:34" ht="15" customHeight="1" x14ac:dyDescent="0.35">
      <c r="A130">
        <v>7547676</v>
      </c>
      <c r="B130">
        <v>690929</v>
      </c>
      <c r="C130" t="s">
        <v>34</v>
      </c>
      <c r="D130" t="s">
        <v>35</v>
      </c>
      <c r="E130" s="6" t="s">
        <v>34</v>
      </c>
      <c r="F130" t="s">
        <v>502</v>
      </c>
      <c r="G130" t="s">
        <v>37</v>
      </c>
      <c r="H130" t="s">
        <v>38</v>
      </c>
      <c r="I130" t="s">
        <v>503</v>
      </c>
      <c r="J130" t="s">
        <v>40</v>
      </c>
      <c r="K130">
        <v>2</v>
      </c>
      <c r="L130" t="s">
        <v>41</v>
      </c>
      <c r="M130" t="s">
        <v>42</v>
      </c>
      <c r="N130" t="s">
        <v>43</v>
      </c>
      <c r="O130" s="7">
        <v>13</v>
      </c>
      <c r="P130" s="8">
        <v>45160.399039351854</v>
      </c>
      <c r="Q130" s="9">
        <v>45161</v>
      </c>
      <c r="R130" t="s">
        <v>37</v>
      </c>
      <c r="S130" t="s">
        <v>44</v>
      </c>
      <c r="T130" t="s">
        <v>53</v>
      </c>
      <c r="U130" t="s">
        <v>134</v>
      </c>
      <c r="V130" t="s">
        <v>504</v>
      </c>
      <c r="W130">
        <v>54200</v>
      </c>
      <c r="X130" t="s">
        <v>44</v>
      </c>
      <c r="Y130" t="s">
        <v>136</v>
      </c>
      <c r="Z130" t="s">
        <v>49</v>
      </c>
      <c r="AA130" s="10">
        <f>IF(O130&lt;=1,7,7+0.8*ROUNDUP(O130-1,0))</f>
        <v>16.600000000000001</v>
      </c>
      <c r="AB130" s="11">
        <v>0</v>
      </c>
      <c r="AC130" s="11">
        <v>0</v>
      </c>
      <c r="AD130" s="11">
        <v>0</v>
      </c>
      <c r="AE130" s="11">
        <v>0</v>
      </c>
      <c r="AF130" s="11">
        <f t="shared" si="4"/>
        <v>0.996</v>
      </c>
      <c r="AG130" s="11">
        <f t="shared" si="5"/>
        <v>17.596</v>
      </c>
      <c r="AH130" t="s">
        <v>50</v>
      </c>
    </row>
    <row r="131" spans="1:34" ht="15" customHeight="1" x14ac:dyDescent="0.35">
      <c r="A131">
        <v>7547676</v>
      </c>
      <c r="B131">
        <v>690929</v>
      </c>
      <c r="C131" t="s">
        <v>34</v>
      </c>
      <c r="D131" t="s">
        <v>35</v>
      </c>
      <c r="E131" s="6" t="s">
        <v>34</v>
      </c>
      <c r="F131" t="s">
        <v>505</v>
      </c>
      <c r="G131" t="s">
        <v>37</v>
      </c>
      <c r="H131" t="s">
        <v>38</v>
      </c>
      <c r="I131" t="s">
        <v>506</v>
      </c>
      <c r="J131" t="s">
        <v>40</v>
      </c>
      <c r="K131">
        <v>2</v>
      </c>
      <c r="L131" t="s">
        <v>41</v>
      </c>
      <c r="M131" t="s">
        <v>42</v>
      </c>
      <c r="N131" t="s">
        <v>43</v>
      </c>
      <c r="O131" s="7">
        <v>1</v>
      </c>
      <c r="P131" s="8">
        <v>45159.743298611109</v>
      </c>
      <c r="Q131" s="9">
        <v>45161</v>
      </c>
      <c r="R131" t="s">
        <v>37</v>
      </c>
      <c r="S131" t="s">
        <v>44</v>
      </c>
      <c r="T131" t="s">
        <v>53</v>
      </c>
      <c r="U131" t="s">
        <v>81</v>
      </c>
      <c r="V131" t="s">
        <v>507</v>
      </c>
      <c r="W131">
        <v>32040</v>
      </c>
      <c r="X131" t="s">
        <v>44</v>
      </c>
      <c r="Y131" t="s">
        <v>508</v>
      </c>
      <c r="Z131" t="s">
        <v>49</v>
      </c>
      <c r="AA131" s="10">
        <f>IF(O131&lt;=1,7,7+0.8*ROUNDUP(O131-1,0))</f>
        <v>7</v>
      </c>
      <c r="AB131" s="11">
        <v>0</v>
      </c>
      <c r="AC131" s="11">
        <v>0</v>
      </c>
      <c r="AD131" s="11">
        <v>0</v>
      </c>
      <c r="AE131" s="11">
        <v>0</v>
      </c>
      <c r="AF131" s="11">
        <f t="shared" si="4"/>
        <v>0.42</v>
      </c>
      <c r="AG131" s="11">
        <f t="shared" si="5"/>
        <v>7.42</v>
      </c>
      <c r="AH131" t="s">
        <v>50</v>
      </c>
    </row>
    <row r="132" spans="1:34" ht="15" customHeight="1" x14ac:dyDescent="0.35">
      <c r="A132">
        <v>7547676</v>
      </c>
      <c r="B132">
        <v>690929</v>
      </c>
      <c r="C132" t="s">
        <v>34</v>
      </c>
      <c r="D132" t="s">
        <v>35</v>
      </c>
      <c r="E132" s="6" t="s">
        <v>34</v>
      </c>
      <c r="F132" t="s">
        <v>509</v>
      </c>
      <c r="G132" t="s">
        <v>37</v>
      </c>
      <c r="H132" t="s">
        <v>38</v>
      </c>
      <c r="I132" t="s">
        <v>510</v>
      </c>
      <c r="J132" t="s">
        <v>40</v>
      </c>
      <c r="K132">
        <v>2</v>
      </c>
      <c r="L132" t="s">
        <v>41</v>
      </c>
      <c r="M132" t="s">
        <v>42</v>
      </c>
      <c r="N132" t="s">
        <v>43</v>
      </c>
      <c r="O132" s="7">
        <v>1</v>
      </c>
      <c r="P132" s="8">
        <v>45160.745763888888</v>
      </c>
      <c r="Q132" s="9">
        <v>45161</v>
      </c>
      <c r="R132" t="s">
        <v>37</v>
      </c>
      <c r="S132" t="s">
        <v>44</v>
      </c>
      <c r="T132" t="s">
        <v>53</v>
      </c>
      <c r="U132" t="s">
        <v>67</v>
      </c>
      <c r="V132" t="s">
        <v>511</v>
      </c>
      <c r="W132">
        <v>28200</v>
      </c>
      <c r="X132" t="s">
        <v>44</v>
      </c>
      <c r="Y132" t="s">
        <v>53</v>
      </c>
      <c r="Z132" t="s">
        <v>49</v>
      </c>
      <c r="AA132" s="10">
        <f>IF(O132&lt;=1,7,7+0.8*ROUNDUP(O132-1,0))</f>
        <v>7</v>
      </c>
      <c r="AB132" s="11">
        <v>0</v>
      </c>
      <c r="AC132" s="11">
        <v>0</v>
      </c>
      <c r="AD132" s="11">
        <v>0</v>
      </c>
      <c r="AE132" s="11">
        <v>0</v>
      </c>
      <c r="AF132" s="11">
        <f t="shared" si="4"/>
        <v>0.42</v>
      </c>
      <c r="AG132" s="11">
        <f t="shared" si="5"/>
        <v>7.42</v>
      </c>
      <c r="AH132" t="s">
        <v>50</v>
      </c>
    </row>
    <row r="133" spans="1:34" ht="15" customHeight="1" x14ac:dyDescent="0.35">
      <c r="A133">
        <v>7547676</v>
      </c>
      <c r="B133">
        <v>690929</v>
      </c>
      <c r="C133" t="s">
        <v>34</v>
      </c>
      <c r="D133" t="s">
        <v>35</v>
      </c>
      <c r="E133" s="6" t="s">
        <v>34</v>
      </c>
      <c r="F133" t="s">
        <v>512</v>
      </c>
      <c r="G133" t="s">
        <v>37</v>
      </c>
      <c r="H133" t="s">
        <v>38</v>
      </c>
      <c r="I133" t="s">
        <v>513</v>
      </c>
      <c r="J133" t="s">
        <v>40</v>
      </c>
      <c r="K133">
        <v>2</v>
      </c>
      <c r="L133" t="s">
        <v>41</v>
      </c>
      <c r="M133" t="s">
        <v>42</v>
      </c>
      <c r="N133" t="s">
        <v>43</v>
      </c>
      <c r="O133" s="7">
        <v>3</v>
      </c>
      <c r="P133" s="8">
        <v>45160.712268518517</v>
      </c>
      <c r="Q133" s="9">
        <v>45161</v>
      </c>
      <c r="R133" t="s">
        <v>37</v>
      </c>
      <c r="S133" t="s">
        <v>44</v>
      </c>
      <c r="T133" t="s">
        <v>53</v>
      </c>
      <c r="U133" t="s">
        <v>54</v>
      </c>
      <c r="V133" t="s">
        <v>514</v>
      </c>
      <c r="W133">
        <v>68000</v>
      </c>
      <c r="X133" t="s">
        <v>44</v>
      </c>
      <c r="Y133" t="s">
        <v>136</v>
      </c>
      <c r="Z133" t="s">
        <v>49</v>
      </c>
      <c r="AA133" s="10">
        <f>IF(O133&lt;=1,7,7+0.8*ROUNDUP(O133-1,0))</f>
        <v>8.6</v>
      </c>
      <c r="AB133" s="11">
        <v>0</v>
      </c>
      <c r="AC133" s="11">
        <v>0</v>
      </c>
      <c r="AD133" s="11">
        <v>0</v>
      </c>
      <c r="AE133" s="11">
        <v>0</v>
      </c>
      <c r="AF133" s="11">
        <f t="shared" si="4"/>
        <v>0.51600000000000001</v>
      </c>
      <c r="AG133" s="11">
        <f t="shared" si="5"/>
        <v>9.1159999999999997</v>
      </c>
      <c r="AH133" t="s">
        <v>50</v>
      </c>
    </row>
    <row r="134" spans="1:34" ht="15" customHeight="1" x14ac:dyDescent="0.35">
      <c r="A134">
        <v>7547676</v>
      </c>
      <c r="B134">
        <v>690929</v>
      </c>
      <c r="C134" t="s">
        <v>34</v>
      </c>
      <c r="D134" t="s">
        <v>35</v>
      </c>
      <c r="E134" s="6" t="s">
        <v>34</v>
      </c>
      <c r="F134" t="s">
        <v>515</v>
      </c>
      <c r="G134" t="s">
        <v>37</v>
      </c>
      <c r="H134" t="s">
        <v>38</v>
      </c>
      <c r="I134" t="s">
        <v>516</v>
      </c>
      <c r="J134" t="s">
        <v>40</v>
      </c>
      <c r="K134">
        <v>2</v>
      </c>
      <c r="L134" t="s">
        <v>41</v>
      </c>
      <c r="M134" t="s">
        <v>42</v>
      </c>
      <c r="N134" t="s">
        <v>43</v>
      </c>
      <c r="O134" s="7">
        <v>1</v>
      </c>
      <c r="P134" s="8">
        <v>45159.615891203706</v>
      </c>
      <c r="Q134" s="9">
        <v>45161</v>
      </c>
      <c r="R134" t="s">
        <v>37</v>
      </c>
      <c r="S134" t="s">
        <v>44</v>
      </c>
      <c r="T134" t="s">
        <v>53</v>
      </c>
      <c r="U134" t="s">
        <v>81</v>
      </c>
      <c r="V134" t="s">
        <v>517</v>
      </c>
      <c r="W134">
        <v>31900</v>
      </c>
      <c r="X134" t="s">
        <v>44</v>
      </c>
      <c r="Y134" t="s">
        <v>136</v>
      </c>
      <c r="Z134" t="s">
        <v>49</v>
      </c>
      <c r="AA134" s="10">
        <f>IF(O134&lt;=1,7,7+0.8*ROUNDUP(O134-1,0))</f>
        <v>7</v>
      </c>
      <c r="AB134" s="11">
        <v>0</v>
      </c>
      <c r="AC134" s="11">
        <v>0</v>
      </c>
      <c r="AD134" s="11">
        <v>0</v>
      </c>
      <c r="AE134" s="11">
        <v>0</v>
      </c>
      <c r="AF134" s="11">
        <f t="shared" si="4"/>
        <v>0.42</v>
      </c>
      <c r="AG134" s="11">
        <f t="shared" si="5"/>
        <v>7.42</v>
      </c>
      <c r="AH134" t="s">
        <v>50</v>
      </c>
    </row>
    <row r="135" spans="1:34" ht="15" customHeight="1" x14ac:dyDescent="0.35">
      <c r="A135">
        <v>7547676</v>
      </c>
      <c r="B135">
        <v>690929</v>
      </c>
      <c r="C135" t="s">
        <v>34</v>
      </c>
      <c r="D135" t="s">
        <v>35</v>
      </c>
      <c r="E135" s="6" t="s">
        <v>34</v>
      </c>
      <c r="F135" t="s">
        <v>518</v>
      </c>
      <c r="G135" t="s">
        <v>37</v>
      </c>
      <c r="H135" t="s">
        <v>38</v>
      </c>
      <c r="I135" t="s">
        <v>519</v>
      </c>
      <c r="J135" t="s">
        <v>40</v>
      </c>
      <c r="K135">
        <v>2</v>
      </c>
      <c r="L135" t="s">
        <v>41</v>
      </c>
      <c r="M135" t="s">
        <v>42</v>
      </c>
      <c r="N135" t="s">
        <v>43</v>
      </c>
      <c r="O135" s="7">
        <v>1</v>
      </c>
      <c r="P135" s="8">
        <v>45160.562326388892</v>
      </c>
      <c r="Q135" s="9">
        <v>45161</v>
      </c>
      <c r="R135" t="s">
        <v>37</v>
      </c>
      <c r="S135" t="s">
        <v>44</v>
      </c>
      <c r="T135" t="s">
        <v>53</v>
      </c>
      <c r="U135" t="s">
        <v>59</v>
      </c>
      <c r="V135" t="s">
        <v>520</v>
      </c>
      <c r="W135">
        <v>17700</v>
      </c>
      <c r="X135" t="s">
        <v>44</v>
      </c>
      <c r="Y135" t="s">
        <v>53</v>
      </c>
      <c r="Z135" t="s">
        <v>49</v>
      </c>
      <c r="AA135" s="10">
        <f>IF(O135&lt;=1,7,7+0.8*ROUNDUP(O135-1,0))</f>
        <v>7</v>
      </c>
      <c r="AB135" s="11">
        <v>0</v>
      </c>
      <c r="AC135" s="11">
        <v>0</v>
      </c>
      <c r="AD135" s="11">
        <v>0</v>
      </c>
      <c r="AE135" s="11">
        <v>0</v>
      </c>
      <c r="AF135" s="11">
        <f t="shared" si="4"/>
        <v>0.42</v>
      </c>
      <c r="AG135" s="11">
        <f t="shared" si="5"/>
        <v>7.42</v>
      </c>
      <c r="AH135" t="s">
        <v>50</v>
      </c>
    </row>
    <row r="136" spans="1:34" ht="15" customHeight="1" x14ac:dyDescent="0.35">
      <c r="A136">
        <v>7547676</v>
      </c>
      <c r="B136">
        <v>690929</v>
      </c>
      <c r="C136" t="s">
        <v>34</v>
      </c>
      <c r="D136" t="s">
        <v>35</v>
      </c>
      <c r="E136" s="6" t="s">
        <v>34</v>
      </c>
      <c r="F136" t="s">
        <v>521</v>
      </c>
      <c r="G136" t="s">
        <v>37</v>
      </c>
      <c r="H136" t="s">
        <v>38</v>
      </c>
      <c r="I136" t="s">
        <v>522</v>
      </c>
      <c r="J136" t="s">
        <v>40</v>
      </c>
      <c r="K136">
        <v>2</v>
      </c>
      <c r="L136" t="s">
        <v>41</v>
      </c>
      <c r="M136" t="s">
        <v>42</v>
      </c>
      <c r="N136" t="s">
        <v>43</v>
      </c>
      <c r="O136" s="7">
        <v>1</v>
      </c>
      <c r="P136" s="8">
        <v>45159.743506944447</v>
      </c>
      <c r="Q136" s="9">
        <v>45161</v>
      </c>
      <c r="R136" t="s">
        <v>37</v>
      </c>
      <c r="S136" t="s">
        <v>44</v>
      </c>
      <c r="T136" t="s">
        <v>53</v>
      </c>
      <c r="U136" t="s">
        <v>46</v>
      </c>
      <c r="V136" t="s">
        <v>523</v>
      </c>
      <c r="W136">
        <v>11600</v>
      </c>
      <c r="X136" t="s">
        <v>44</v>
      </c>
      <c r="Y136" t="s">
        <v>136</v>
      </c>
      <c r="Z136" t="s">
        <v>49</v>
      </c>
      <c r="AA136" s="10">
        <f>IF(O136&lt;=1,7,7+0.8*ROUNDUP(O136-1,0))</f>
        <v>7</v>
      </c>
      <c r="AB136" s="11">
        <v>0</v>
      </c>
      <c r="AC136" s="11">
        <v>0</v>
      </c>
      <c r="AD136" s="11">
        <v>0</v>
      </c>
      <c r="AE136" s="11">
        <v>0</v>
      </c>
      <c r="AF136" s="11">
        <f t="shared" si="4"/>
        <v>0.42</v>
      </c>
      <c r="AG136" s="11">
        <f t="shared" si="5"/>
        <v>7.42</v>
      </c>
      <c r="AH136" t="s">
        <v>50</v>
      </c>
    </row>
    <row r="137" spans="1:34" ht="15" customHeight="1" x14ac:dyDescent="0.35">
      <c r="A137">
        <v>7547676</v>
      </c>
      <c r="B137">
        <v>690929</v>
      </c>
      <c r="C137" t="s">
        <v>34</v>
      </c>
      <c r="D137" t="s">
        <v>35</v>
      </c>
      <c r="E137" s="6" t="s">
        <v>34</v>
      </c>
      <c r="F137" t="s">
        <v>524</v>
      </c>
      <c r="G137" t="s">
        <v>37</v>
      </c>
      <c r="H137" t="s">
        <v>38</v>
      </c>
      <c r="I137" t="s">
        <v>525</v>
      </c>
      <c r="J137" t="s">
        <v>40</v>
      </c>
      <c r="K137">
        <v>2</v>
      </c>
      <c r="L137" t="s">
        <v>41</v>
      </c>
      <c r="M137" t="s">
        <v>42</v>
      </c>
      <c r="N137" t="s">
        <v>43</v>
      </c>
      <c r="O137" s="7">
        <v>2</v>
      </c>
      <c r="P137" s="8">
        <v>45161.602800925924</v>
      </c>
      <c r="Q137" s="9">
        <v>45162</v>
      </c>
      <c r="R137" t="s">
        <v>37</v>
      </c>
      <c r="S137" t="s">
        <v>44</v>
      </c>
      <c r="T137" t="s">
        <v>53</v>
      </c>
      <c r="U137" t="s">
        <v>67</v>
      </c>
      <c r="V137" t="s">
        <v>526</v>
      </c>
      <c r="W137">
        <v>26100</v>
      </c>
      <c r="X137" t="s">
        <v>44</v>
      </c>
      <c r="Y137" t="s">
        <v>53</v>
      </c>
      <c r="Z137" t="s">
        <v>49</v>
      </c>
      <c r="AA137" s="10">
        <f>IF(O137&lt;=1,7,7+0.8*ROUNDUP(O137-1,0))</f>
        <v>7.8</v>
      </c>
      <c r="AB137" s="11">
        <v>0</v>
      </c>
      <c r="AC137" s="11">
        <v>0</v>
      </c>
      <c r="AD137" s="11">
        <v>0</v>
      </c>
      <c r="AE137" s="11">
        <v>0</v>
      </c>
      <c r="AF137" s="11">
        <f t="shared" si="4"/>
        <v>0.46799999999999997</v>
      </c>
      <c r="AG137" s="11">
        <f t="shared" si="5"/>
        <v>8.2680000000000007</v>
      </c>
      <c r="AH137" t="s">
        <v>50</v>
      </c>
    </row>
    <row r="138" spans="1:34" ht="15" customHeight="1" x14ac:dyDescent="0.35">
      <c r="A138">
        <v>7547676</v>
      </c>
      <c r="B138">
        <v>690929</v>
      </c>
      <c r="C138" t="s">
        <v>34</v>
      </c>
      <c r="D138" t="s">
        <v>35</v>
      </c>
      <c r="E138" s="6" t="s">
        <v>34</v>
      </c>
      <c r="F138" t="s">
        <v>527</v>
      </c>
      <c r="G138" t="s">
        <v>37</v>
      </c>
      <c r="H138" t="s">
        <v>38</v>
      </c>
      <c r="I138" t="s">
        <v>528</v>
      </c>
      <c r="J138" t="s">
        <v>40</v>
      </c>
      <c r="K138">
        <v>2</v>
      </c>
      <c r="L138" t="s">
        <v>41</v>
      </c>
      <c r="M138" t="s">
        <v>42</v>
      </c>
      <c r="N138" t="s">
        <v>43</v>
      </c>
      <c r="O138" s="7">
        <v>1</v>
      </c>
      <c r="P138" s="8">
        <v>45158.690462962964</v>
      </c>
      <c r="Q138" s="9">
        <v>45162</v>
      </c>
      <c r="R138" t="s">
        <v>37</v>
      </c>
      <c r="S138" t="s">
        <v>44</v>
      </c>
      <c r="T138" t="s">
        <v>53</v>
      </c>
      <c r="U138" t="s">
        <v>440</v>
      </c>
      <c r="V138" t="s">
        <v>529</v>
      </c>
      <c r="W138">
        <v>91000</v>
      </c>
      <c r="X138" t="s">
        <v>194</v>
      </c>
      <c r="Y138" t="s">
        <v>136</v>
      </c>
      <c r="Z138" t="s">
        <v>49</v>
      </c>
      <c r="AA138" s="12">
        <f>IF(O138&lt;=1,13,IF(O138&lt;=2,23,IF(O138&lt;=3,35,IF(O138&lt;=4,43,IF(O138&lt;=5,53,IF(O138&lt;=6,63,IF(O138&lt;=7,71,IF(O138&lt;=8,79,IF(O138&lt;=9,87,IF(O138&lt;=10,95,IF(O138&lt;=11,105,IF(O138&lt;=12,114,IF(O138&lt;=13,119,IF(O138&lt;=14,127,IF(O138&lt;=15,135,IF(O138&lt;=16,143,IF(O138&lt;=17,153,IF(O138&lt;=18,163,IF(O138&lt;=19,171,IF(O138&lt;=20,185,IF(O138&lt;=21,193,IF(O138&lt;=22,201,IF(O138&lt;=23,210,IF(O138&lt;=24,220,IF(O138&lt;=25,230,IF(O138&lt;=26,240,IF(O138&lt;=27,250,IF(O138&lt;=28,260,IF(O138&lt;=29,270,IF(O138&lt;=30,280,280+10*ROUNDUP(O138-30,0)))))))))))))))))))))))))))))))</f>
        <v>13</v>
      </c>
      <c r="AB138" s="11">
        <v>0</v>
      </c>
      <c r="AC138" s="11">
        <v>0</v>
      </c>
      <c r="AD138" s="11">
        <v>0</v>
      </c>
      <c r="AE138" s="11">
        <v>0</v>
      </c>
      <c r="AF138" s="11">
        <f t="shared" si="4"/>
        <v>0.78</v>
      </c>
      <c r="AG138" s="11">
        <f t="shared" si="5"/>
        <v>13.78</v>
      </c>
      <c r="AH138" t="s">
        <v>194</v>
      </c>
    </row>
    <row r="139" spans="1:34" ht="15" customHeight="1" x14ac:dyDescent="0.35">
      <c r="A139">
        <v>7547676</v>
      </c>
      <c r="B139">
        <v>690929</v>
      </c>
      <c r="C139" t="s">
        <v>34</v>
      </c>
      <c r="D139" t="s">
        <v>35</v>
      </c>
      <c r="E139" s="6" t="s">
        <v>34</v>
      </c>
      <c r="F139" t="s">
        <v>530</v>
      </c>
      <c r="G139" t="s">
        <v>37</v>
      </c>
      <c r="H139" t="s">
        <v>38</v>
      </c>
      <c r="I139" t="s">
        <v>531</v>
      </c>
      <c r="J139" t="s">
        <v>40</v>
      </c>
      <c r="K139">
        <v>2</v>
      </c>
      <c r="L139" t="s">
        <v>41</v>
      </c>
      <c r="M139" t="s">
        <v>42</v>
      </c>
      <c r="N139" t="s">
        <v>43</v>
      </c>
      <c r="O139" s="7">
        <v>1</v>
      </c>
      <c r="P139" s="8">
        <v>45161.502685185187</v>
      </c>
      <c r="Q139" s="9">
        <v>45162</v>
      </c>
      <c r="R139" t="s">
        <v>37</v>
      </c>
      <c r="S139" t="s">
        <v>44</v>
      </c>
      <c r="T139" t="s">
        <v>53</v>
      </c>
      <c r="U139" t="s">
        <v>54</v>
      </c>
      <c r="V139" t="s">
        <v>532</v>
      </c>
      <c r="W139">
        <v>42300</v>
      </c>
      <c r="X139" t="s">
        <v>44</v>
      </c>
      <c r="Y139" t="s">
        <v>91</v>
      </c>
      <c r="Z139" t="s">
        <v>49</v>
      </c>
      <c r="AA139" s="10">
        <f>IF(O139&lt;=1,7,7+0.8*ROUNDUP(O139-1,0))</f>
        <v>7</v>
      </c>
      <c r="AB139" s="11">
        <v>0</v>
      </c>
      <c r="AC139" s="11">
        <v>0</v>
      </c>
      <c r="AD139" s="11">
        <v>0</v>
      </c>
      <c r="AE139" s="11">
        <v>0</v>
      </c>
      <c r="AF139" s="11">
        <f t="shared" si="4"/>
        <v>0.42</v>
      </c>
      <c r="AG139" s="11">
        <f t="shared" si="5"/>
        <v>7.42</v>
      </c>
      <c r="AH139" t="s">
        <v>50</v>
      </c>
    </row>
    <row r="140" spans="1:34" ht="15" customHeight="1" x14ac:dyDescent="0.35">
      <c r="A140">
        <v>7547676</v>
      </c>
      <c r="B140">
        <v>690929</v>
      </c>
      <c r="C140" t="s">
        <v>34</v>
      </c>
      <c r="D140" t="s">
        <v>35</v>
      </c>
      <c r="E140" s="6" t="s">
        <v>34</v>
      </c>
      <c r="F140" t="s">
        <v>533</v>
      </c>
      <c r="G140" t="s">
        <v>37</v>
      </c>
      <c r="H140" t="s">
        <v>38</v>
      </c>
      <c r="I140" t="s">
        <v>534</v>
      </c>
      <c r="J140" t="s">
        <v>40</v>
      </c>
      <c r="K140">
        <v>2</v>
      </c>
      <c r="L140" t="s">
        <v>41</v>
      </c>
      <c r="M140" t="s">
        <v>42</v>
      </c>
      <c r="N140" t="s">
        <v>43</v>
      </c>
      <c r="O140" s="7">
        <v>1</v>
      </c>
      <c r="P140" s="8">
        <v>45161.748414351852</v>
      </c>
      <c r="Q140" s="9">
        <v>45162</v>
      </c>
      <c r="R140" t="s">
        <v>37</v>
      </c>
      <c r="S140" t="s">
        <v>44</v>
      </c>
      <c r="T140" t="s">
        <v>53</v>
      </c>
      <c r="U140" t="s">
        <v>134</v>
      </c>
      <c r="V140" t="s">
        <v>535</v>
      </c>
      <c r="W140">
        <v>53300</v>
      </c>
      <c r="X140" t="s">
        <v>44</v>
      </c>
      <c r="Y140" t="s">
        <v>226</v>
      </c>
      <c r="Z140" t="s">
        <v>49</v>
      </c>
      <c r="AA140" s="10">
        <f>IF(O140&lt;=1,7,7+0.8*ROUNDUP(O140-1,0))</f>
        <v>7</v>
      </c>
      <c r="AB140" s="11">
        <v>0</v>
      </c>
      <c r="AC140" s="11">
        <v>0</v>
      </c>
      <c r="AD140" s="11">
        <v>0</v>
      </c>
      <c r="AE140" s="11">
        <v>0</v>
      </c>
      <c r="AF140" s="11">
        <f t="shared" si="4"/>
        <v>0.42</v>
      </c>
      <c r="AG140" s="11">
        <f t="shared" si="5"/>
        <v>7.42</v>
      </c>
      <c r="AH140" t="s">
        <v>50</v>
      </c>
    </row>
    <row r="141" spans="1:34" ht="15" customHeight="1" x14ac:dyDescent="0.35">
      <c r="A141">
        <v>7547676</v>
      </c>
      <c r="B141">
        <v>690929</v>
      </c>
      <c r="C141" t="s">
        <v>34</v>
      </c>
      <c r="D141" t="s">
        <v>35</v>
      </c>
      <c r="E141" s="6" t="s">
        <v>34</v>
      </c>
      <c r="F141" t="s">
        <v>536</v>
      </c>
      <c r="G141" t="s">
        <v>37</v>
      </c>
      <c r="H141" t="s">
        <v>38</v>
      </c>
      <c r="I141" t="s">
        <v>537</v>
      </c>
      <c r="J141" t="s">
        <v>40</v>
      </c>
      <c r="K141">
        <v>2</v>
      </c>
      <c r="L141" t="s">
        <v>41</v>
      </c>
      <c r="M141" t="s">
        <v>42</v>
      </c>
      <c r="N141" t="s">
        <v>43</v>
      </c>
      <c r="O141" s="7">
        <v>11</v>
      </c>
      <c r="P141" s="8">
        <v>45160.399039351854</v>
      </c>
      <c r="Q141" s="9">
        <v>45162</v>
      </c>
      <c r="R141" t="s">
        <v>37</v>
      </c>
      <c r="S141" t="s">
        <v>44</v>
      </c>
      <c r="T141" t="s">
        <v>53</v>
      </c>
      <c r="U141" t="s">
        <v>210</v>
      </c>
      <c r="V141" t="s">
        <v>538</v>
      </c>
      <c r="W141">
        <v>9700</v>
      </c>
      <c r="X141" t="s">
        <v>44</v>
      </c>
      <c r="Y141" t="s">
        <v>437</v>
      </c>
      <c r="Z141" t="s">
        <v>49</v>
      </c>
      <c r="AA141" s="10">
        <f>IF(O141&lt;=1,7,7+0.8*ROUNDUP(O141-1,0))</f>
        <v>15</v>
      </c>
      <c r="AB141" s="11">
        <v>0</v>
      </c>
      <c r="AC141" s="11">
        <v>0</v>
      </c>
      <c r="AD141" s="11">
        <v>0</v>
      </c>
      <c r="AE141" s="11">
        <v>0</v>
      </c>
      <c r="AF141" s="11">
        <f t="shared" si="4"/>
        <v>0.89999999999999991</v>
      </c>
      <c r="AG141" s="11">
        <f t="shared" si="5"/>
        <v>15.9</v>
      </c>
      <c r="AH141" t="s">
        <v>50</v>
      </c>
    </row>
    <row r="142" spans="1:34" ht="15" customHeight="1" x14ac:dyDescent="0.35">
      <c r="A142">
        <v>7547676</v>
      </c>
      <c r="B142">
        <v>690929</v>
      </c>
      <c r="C142" t="s">
        <v>34</v>
      </c>
      <c r="D142" t="s">
        <v>35</v>
      </c>
      <c r="E142" s="6" t="s">
        <v>34</v>
      </c>
      <c r="F142" t="s">
        <v>539</v>
      </c>
      <c r="G142" t="s">
        <v>37</v>
      </c>
      <c r="H142" t="s">
        <v>38</v>
      </c>
      <c r="I142" t="s">
        <v>540</v>
      </c>
      <c r="J142" t="s">
        <v>40</v>
      </c>
      <c r="K142">
        <v>2</v>
      </c>
      <c r="L142" t="s">
        <v>41</v>
      </c>
      <c r="M142" t="s">
        <v>42</v>
      </c>
      <c r="N142" t="s">
        <v>43</v>
      </c>
      <c r="O142" s="7">
        <v>1</v>
      </c>
      <c r="P142" s="8">
        <v>45160.698657407411</v>
      </c>
      <c r="Q142" s="9">
        <v>45162</v>
      </c>
      <c r="R142" t="s">
        <v>37</v>
      </c>
      <c r="S142" t="s">
        <v>44</v>
      </c>
      <c r="T142" t="s">
        <v>53</v>
      </c>
      <c r="U142" t="s">
        <v>54</v>
      </c>
      <c r="V142" t="s">
        <v>541</v>
      </c>
      <c r="W142">
        <v>47130</v>
      </c>
      <c r="X142" t="s">
        <v>44</v>
      </c>
      <c r="Y142" t="s">
        <v>136</v>
      </c>
      <c r="Z142" t="s">
        <v>49</v>
      </c>
      <c r="AA142" s="10">
        <f>IF(O142&lt;=1,7,7+0.8*ROUNDUP(O142-1,0))</f>
        <v>7</v>
      </c>
      <c r="AB142" s="11">
        <v>0</v>
      </c>
      <c r="AC142" s="11">
        <v>0</v>
      </c>
      <c r="AD142" s="11">
        <v>0</v>
      </c>
      <c r="AE142" s="11">
        <v>0</v>
      </c>
      <c r="AF142" s="11">
        <f t="shared" si="4"/>
        <v>0.42</v>
      </c>
      <c r="AG142" s="11">
        <f t="shared" si="5"/>
        <v>7.42</v>
      </c>
      <c r="AH142" t="s">
        <v>50</v>
      </c>
    </row>
    <row r="143" spans="1:34" ht="15" customHeight="1" x14ac:dyDescent="0.35">
      <c r="A143">
        <v>7547676</v>
      </c>
      <c r="B143">
        <v>690929</v>
      </c>
      <c r="C143" t="s">
        <v>34</v>
      </c>
      <c r="D143" t="s">
        <v>35</v>
      </c>
      <c r="E143" s="6" t="s">
        <v>34</v>
      </c>
      <c r="F143" t="s">
        <v>542</v>
      </c>
      <c r="G143" t="s">
        <v>37</v>
      </c>
      <c r="H143" t="s">
        <v>38</v>
      </c>
      <c r="I143" t="s">
        <v>543</v>
      </c>
      <c r="J143" t="s">
        <v>40</v>
      </c>
      <c r="K143">
        <v>2</v>
      </c>
      <c r="L143" t="s">
        <v>41</v>
      </c>
      <c r="M143" t="s">
        <v>42</v>
      </c>
      <c r="N143" t="s">
        <v>43</v>
      </c>
      <c r="O143" s="7">
        <v>3</v>
      </c>
      <c r="P143" s="8">
        <v>45160.763043981482</v>
      </c>
      <c r="Q143" s="9">
        <v>45162</v>
      </c>
      <c r="R143" t="s">
        <v>37</v>
      </c>
      <c r="S143" t="s">
        <v>44</v>
      </c>
      <c r="T143" t="s">
        <v>53</v>
      </c>
      <c r="U143" t="s">
        <v>134</v>
      </c>
      <c r="V143" t="s">
        <v>544</v>
      </c>
      <c r="W143">
        <v>56000</v>
      </c>
      <c r="X143" t="s">
        <v>44</v>
      </c>
      <c r="Y143" t="s">
        <v>136</v>
      </c>
      <c r="Z143" t="s">
        <v>49</v>
      </c>
      <c r="AA143" s="10">
        <f>IF(O143&lt;=1,7,7+0.8*ROUNDUP(O143-1,0))</f>
        <v>8.6</v>
      </c>
      <c r="AB143" s="11">
        <v>0</v>
      </c>
      <c r="AC143" s="11">
        <v>0</v>
      </c>
      <c r="AD143" s="11">
        <v>0</v>
      </c>
      <c r="AE143" s="11">
        <v>0</v>
      </c>
      <c r="AF143" s="11">
        <f t="shared" ref="AF143:AF206" si="6">(AA143+AC143+AE143)*6%</f>
        <v>0.51600000000000001</v>
      </c>
      <c r="AG143" s="11">
        <f t="shared" ref="AG143:AG206" si="7">AA143+AC143+AE143+AF143</f>
        <v>9.1159999999999997</v>
      </c>
      <c r="AH143" t="s">
        <v>50</v>
      </c>
    </row>
    <row r="144" spans="1:34" ht="15" customHeight="1" x14ac:dyDescent="0.35">
      <c r="A144">
        <v>7547676</v>
      </c>
      <c r="B144">
        <v>690929</v>
      </c>
      <c r="C144" t="s">
        <v>34</v>
      </c>
      <c r="D144" t="s">
        <v>35</v>
      </c>
      <c r="E144" s="6" t="s">
        <v>34</v>
      </c>
      <c r="F144" t="s">
        <v>545</v>
      </c>
      <c r="G144" t="s">
        <v>37</v>
      </c>
      <c r="H144" t="s">
        <v>38</v>
      </c>
      <c r="I144" t="s">
        <v>546</v>
      </c>
      <c r="J144" t="s">
        <v>40</v>
      </c>
      <c r="K144">
        <v>2</v>
      </c>
      <c r="L144" t="s">
        <v>41</v>
      </c>
      <c r="M144" t="s">
        <v>42</v>
      </c>
      <c r="N144" t="s">
        <v>43</v>
      </c>
      <c r="O144" s="7">
        <v>5</v>
      </c>
      <c r="P144" s="8">
        <v>45160.399039351854</v>
      </c>
      <c r="Q144" s="9">
        <v>45162</v>
      </c>
      <c r="R144" t="s">
        <v>37</v>
      </c>
      <c r="S144" t="s">
        <v>44</v>
      </c>
      <c r="T144" t="s">
        <v>53</v>
      </c>
      <c r="U144" t="s">
        <v>197</v>
      </c>
      <c r="V144" t="s">
        <v>547</v>
      </c>
      <c r="W144">
        <v>81800</v>
      </c>
      <c r="X144" t="s">
        <v>44</v>
      </c>
      <c r="Y144" t="s">
        <v>240</v>
      </c>
      <c r="Z144" t="s">
        <v>49</v>
      </c>
      <c r="AA144" s="10">
        <f>IF(O144&lt;=1,7,7+0.8*ROUNDUP(O144-1,0))</f>
        <v>10.199999999999999</v>
      </c>
      <c r="AB144" s="11">
        <v>0</v>
      </c>
      <c r="AC144" s="11">
        <v>0</v>
      </c>
      <c r="AD144" s="11">
        <v>0</v>
      </c>
      <c r="AE144" s="11">
        <v>0</v>
      </c>
      <c r="AF144" s="11">
        <f t="shared" si="6"/>
        <v>0.61199999999999999</v>
      </c>
      <c r="AG144" s="11">
        <f t="shared" si="7"/>
        <v>10.811999999999999</v>
      </c>
      <c r="AH144" t="s">
        <v>50</v>
      </c>
    </row>
    <row r="145" spans="1:34" ht="15" customHeight="1" x14ac:dyDescent="0.35">
      <c r="A145">
        <v>7547676</v>
      </c>
      <c r="B145">
        <v>690929</v>
      </c>
      <c r="C145" t="s">
        <v>34</v>
      </c>
      <c r="D145" t="s">
        <v>35</v>
      </c>
      <c r="E145" s="6" t="s">
        <v>34</v>
      </c>
      <c r="F145" t="s">
        <v>548</v>
      </c>
      <c r="G145" t="s">
        <v>37</v>
      </c>
      <c r="H145" t="s">
        <v>38</v>
      </c>
      <c r="I145" t="s">
        <v>549</v>
      </c>
      <c r="J145" t="s">
        <v>40</v>
      </c>
      <c r="K145">
        <v>2</v>
      </c>
      <c r="L145" t="s">
        <v>41</v>
      </c>
      <c r="M145" t="s">
        <v>42</v>
      </c>
      <c r="N145" t="s">
        <v>43</v>
      </c>
      <c r="O145" s="7">
        <v>1</v>
      </c>
      <c r="P145" s="8">
        <v>45161.70208333333</v>
      </c>
      <c r="Q145" s="9">
        <v>45162</v>
      </c>
      <c r="R145" t="s">
        <v>37</v>
      </c>
      <c r="S145" t="s">
        <v>44</v>
      </c>
      <c r="T145" t="s">
        <v>53</v>
      </c>
      <c r="U145" t="s">
        <v>134</v>
      </c>
      <c r="V145" t="s">
        <v>550</v>
      </c>
      <c r="W145">
        <v>51200</v>
      </c>
      <c r="X145" t="s">
        <v>44</v>
      </c>
      <c r="Y145" t="s">
        <v>551</v>
      </c>
      <c r="Z145" t="s">
        <v>49</v>
      </c>
      <c r="AA145" s="10">
        <f>IF(O145&lt;=1,7,7+0.8*ROUNDUP(O145-1,0))</f>
        <v>7</v>
      </c>
      <c r="AB145" s="11">
        <v>0</v>
      </c>
      <c r="AC145" s="11">
        <v>0</v>
      </c>
      <c r="AD145" s="11">
        <v>0</v>
      </c>
      <c r="AE145" s="11">
        <v>0</v>
      </c>
      <c r="AF145" s="11">
        <f t="shared" si="6"/>
        <v>0.42</v>
      </c>
      <c r="AG145" s="11">
        <f t="shared" si="7"/>
        <v>7.42</v>
      </c>
      <c r="AH145" t="s">
        <v>50</v>
      </c>
    </row>
    <row r="146" spans="1:34" ht="15" customHeight="1" x14ac:dyDescent="0.35">
      <c r="A146">
        <v>7547676</v>
      </c>
      <c r="B146">
        <v>690929</v>
      </c>
      <c r="C146" t="s">
        <v>34</v>
      </c>
      <c r="D146" t="s">
        <v>35</v>
      </c>
      <c r="E146" s="6" t="s">
        <v>34</v>
      </c>
      <c r="F146" t="s">
        <v>552</v>
      </c>
      <c r="G146" t="s">
        <v>37</v>
      </c>
      <c r="H146" t="s">
        <v>38</v>
      </c>
      <c r="I146" t="s">
        <v>553</v>
      </c>
      <c r="J146" t="s">
        <v>40</v>
      </c>
      <c r="K146">
        <v>2</v>
      </c>
      <c r="L146" t="s">
        <v>41</v>
      </c>
      <c r="M146" t="s">
        <v>42</v>
      </c>
      <c r="N146" t="s">
        <v>43</v>
      </c>
      <c r="O146" s="7">
        <v>1</v>
      </c>
      <c r="P146" s="8">
        <v>45161.502685185187</v>
      </c>
      <c r="Q146" s="9">
        <v>45162</v>
      </c>
      <c r="R146" t="s">
        <v>37</v>
      </c>
      <c r="S146" t="s">
        <v>44</v>
      </c>
      <c r="T146" t="s">
        <v>53</v>
      </c>
      <c r="U146" t="s">
        <v>134</v>
      </c>
      <c r="V146" t="s">
        <v>554</v>
      </c>
      <c r="W146">
        <v>55100</v>
      </c>
      <c r="X146" t="s">
        <v>44</v>
      </c>
      <c r="Y146" t="s">
        <v>136</v>
      </c>
      <c r="Z146" t="s">
        <v>49</v>
      </c>
      <c r="AA146" s="10">
        <f>IF(O146&lt;=1,7,7+0.8*ROUNDUP(O146-1,0))</f>
        <v>7</v>
      </c>
      <c r="AB146" s="11">
        <v>0</v>
      </c>
      <c r="AC146" s="11">
        <v>0</v>
      </c>
      <c r="AD146" s="11">
        <v>0</v>
      </c>
      <c r="AE146" s="11">
        <v>0</v>
      </c>
      <c r="AF146" s="11">
        <f t="shared" si="6"/>
        <v>0.42</v>
      </c>
      <c r="AG146" s="11">
        <f t="shared" si="7"/>
        <v>7.42</v>
      </c>
      <c r="AH146" t="s">
        <v>50</v>
      </c>
    </row>
    <row r="147" spans="1:34" ht="15" customHeight="1" x14ac:dyDescent="0.35">
      <c r="A147">
        <v>7547676</v>
      </c>
      <c r="B147">
        <v>690929</v>
      </c>
      <c r="C147" t="s">
        <v>34</v>
      </c>
      <c r="D147" t="s">
        <v>35</v>
      </c>
      <c r="E147" s="6" t="s">
        <v>34</v>
      </c>
      <c r="F147" t="s">
        <v>555</v>
      </c>
      <c r="G147" t="s">
        <v>37</v>
      </c>
      <c r="H147" t="s">
        <v>38</v>
      </c>
      <c r="I147" t="s">
        <v>556</v>
      </c>
      <c r="J147" t="s">
        <v>40</v>
      </c>
      <c r="K147">
        <v>2</v>
      </c>
      <c r="L147" t="s">
        <v>41</v>
      </c>
      <c r="M147" t="s">
        <v>42</v>
      </c>
      <c r="N147" t="s">
        <v>43</v>
      </c>
      <c r="O147" s="7">
        <v>1</v>
      </c>
      <c r="P147" s="8">
        <v>45161.727951388886</v>
      </c>
      <c r="Q147" s="9">
        <v>45162</v>
      </c>
      <c r="R147" t="s">
        <v>37</v>
      </c>
      <c r="S147" t="s">
        <v>44</v>
      </c>
      <c r="T147" t="s">
        <v>53</v>
      </c>
      <c r="U147" t="s">
        <v>67</v>
      </c>
      <c r="V147" t="s">
        <v>557</v>
      </c>
      <c r="W147">
        <v>27660</v>
      </c>
      <c r="X147" t="s">
        <v>44</v>
      </c>
      <c r="Y147" t="s">
        <v>53</v>
      </c>
      <c r="Z147" t="s">
        <v>49</v>
      </c>
      <c r="AA147" s="10">
        <f>IF(O147&lt;=1,7,7+0.8*ROUNDUP(O147-1,0))</f>
        <v>7</v>
      </c>
      <c r="AB147" s="11">
        <v>0</v>
      </c>
      <c r="AC147" s="11">
        <v>0</v>
      </c>
      <c r="AD147" s="11">
        <v>0</v>
      </c>
      <c r="AE147" s="11">
        <v>0</v>
      </c>
      <c r="AF147" s="11">
        <f t="shared" si="6"/>
        <v>0.42</v>
      </c>
      <c r="AG147" s="11">
        <f t="shared" si="7"/>
        <v>7.42</v>
      </c>
      <c r="AH147" t="s">
        <v>50</v>
      </c>
    </row>
    <row r="148" spans="1:34" ht="15" customHeight="1" x14ac:dyDescent="0.35">
      <c r="A148">
        <v>7547676</v>
      </c>
      <c r="B148">
        <v>690929</v>
      </c>
      <c r="C148" t="s">
        <v>34</v>
      </c>
      <c r="D148" t="s">
        <v>35</v>
      </c>
      <c r="E148" s="6" t="s">
        <v>34</v>
      </c>
      <c r="F148" t="s">
        <v>558</v>
      </c>
      <c r="G148" t="s">
        <v>37</v>
      </c>
      <c r="H148" t="s">
        <v>38</v>
      </c>
      <c r="I148" t="s">
        <v>559</v>
      </c>
      <c r="J148" t="s">
        <v>40</v>
      </c>
      <c r="K148">
        <v>2</v>
      </c>
      <c r="L148" t="s">
        <v>41</v>
      </c>
      <c r="M148" t="s">
        <v>42</v>
      </c>
      <c r="N148" t="s">
        <v>43</v>
      </c>
      <c r="O148" s="7">
        <v>1</v>
      </c>
      <c r="P148" s="8">
        <v>45160.399039351854</v>
      </c>
      <c r="Q148" s="9">
        <v>45162</v>
      </c>
      <c r="R148" t="s">
        <v>37</v>
      </c>
      <c r="S148" t="s">
        <v>44</v>
      </c>
      <c r="T148" t="s">
        <v>53</v>
      </c>
      <c r="U148" t="s">
        <v>197</v>
      </c>
      <c r="V148" t="s">
        <v>560</v>
      </c>
      <c r="W148">
        <v>81700</v>
      </c>
      <c r="X148" t="s">
        <v>44</v>
      </c>
      <c r="Y148" t="s">
        <v>233</v>
      </c>
      <c r="Z148" t="s">
        <v>49</v>
      </c>
      <c r="AA148" s="10">
        <f>IF(O148&lt;=1,7,7+0.8*ROUNDUP(O148-1,0))</f>
        <v>7</v>
      </c>
      <c r="AB148" s="11">
        <v>0</v>
      </c>
      <c r="AC148" s="11">
        <v>0</v>
      </c>
      <c r="AD148" s="11">
        <v>0</v>
      </c>
      <c r="AE148" s="11">
        <v>0</v>
      </c>
      <c r="AF148" s="11">
        <f t="shared" si="6"/>
        <v>0.42</v>
      </c>
      <c r="AG148" s="11">
        <f t="shared" si="7"/>
        <v>7.42</v>
      </c>
      <c r="AH148" t="s">
        <v>50</v>
      </c>
    </row>
    <row r="149" spans="1:34" ht="15" customHeight="1" x14ac:dyDescent="0.35">
      <c r="A149">
        <v>7547676</v>
      </c>
      <c r="B149">
        <v>690929</v>
      </c>
      <c r="C149" t="s">
        <v>34</v>
      </c>
      <c r="D149" t="s">
        <v>35</v>
      </c>
      <c r="E149" s="6" t="s">
        <v>34</v>
      </c>
      <c r="F149" t="s">
        <v>561</v>
      </c>
      <c r="G149" t="s">
        <v>37</v>
      </c>
      <c r="H149" t="s">
        <v>38</v>
      </c>
      <c r="I149" t="s">
        <v>562</v>
      </c>
      <c r="J149" t="s">
        <v>40</v>
      </c>
      <c r="K149">
        <v>2</v>
      </c>
      <c r="L149" t="s">
        <v>41</v>
      </c>
      <c r="M149" t="s">
        <v>42</v>
      </c>
      <c r="N149" t="s">
        <v>43</v>
      </c>
      <c r="O149" s="7">
        <v>2</v>
      </c>
      <c r="P149" s="8">
        <v>45160.399039351854</v>
      </c>
      <c r="Q149" s="9">
        <v>45162</v>
      </c>
      <c r="R149" t="s">
        <v>37</v>
      </c>
      <c r="S149" t="s">
        <v>44</v>
      </c>
      <c r="T149" t="s">
        <v>53</v>
      </c>
      <c r="U149" t="s">
        <v>197</v>
      </c>
      <c r="V149" t="s">
        <v>563</v>
      </c>
      <c r="W149">
        <v>81100</v>
      </c>
      <c r="X149" t="s">
        <v>44</v>
      </c>
      <c r="Y149" t="s">
        <v>564</v>
      </c>
      <c r="Z149" t="s">
        <v>49</v>
      </c>
      <c r="AA149" s="10">
        <f>IF(O149&lt;=1,7,7+0.8*ROUNDUP(O149-1,0))</f>
        <v>7.8</v>
      </c>
      <c r="AB149" s="11">
        <v>0</v>
      </c>
      <c r="AC149" s="11">
        <v>0</v>
      </c>
      <c r="AD149" s="11">
        <v>0</v>
      </c>
      <c r="AE149" s="11">
        <v>0</v>
      </c>
      <c r="AF149" s="11">
        <f t="shared" si="6"/>
        <v>0.46799999999999997</v>
      </c>
      <c r="AG149" s="11">
        <f t="shared" si="7"/>
        <v>8.2680000000000007</v>
      </c>
      <c r="AH149" t="s">
        <v>50</v>
      </c>
    </row>
    <row r="150" spans="1:34" ht="15" customHeight="1" x14ac:dyDescent="0.35">
      <c r="A150">
        <v>7547676</v>
      </c>
      <c r="B150">
        <v>690929</v>
      </c>
      <c r="C150" t="s">
        <v>34</v>
      </c>
      <c r="D150" t="s">
        <v>35</v>
      </c>
      <c r="E150" s="6" t="s">
        <v>34</v>
      </c>
      <c r="F150" t="s">
        <v>565</v>
      </c>
      <c r="G150" t="s">
        <v>37</v>
      </c>
      <c r="H150" t="s">
        <v>38</v>
      </c>
      <c r="I150" t="s">
        <v>566</v>
      </c>
      <c r="J150" t="s">
        <v>40</v>
      </c>
      <c r="K150">
        <v>2</v>
      </c>
      <c r="L150" t="s">
        <v>41</v>
      </c>
      <c r="M150" t="s">
        <v>42</v>
      </c>
      <c r="N150" t="s">
        <v>43</v>
      </c>
      <c r="O150" s="7">
        <v>5</v>
      </c>
      <c r="P150" s="8">
        <v>45161.551574074074</v>
      </c>
      <c r="Q150" s="9">
        <v>45162</v>
      </c>
      <c r="R150" t="s">
        <v>37</v>
      </c>
      <c r="S150" t="s">
        <v>44</v>
      </c>
      <c r="T150" t="s">
        <v>53</v>
      </c>
      <c r="U150" t="s">
        <v>54</v>
      </c>
      <c r="V150" t="s">
        <v>567</v>
      </c>
      <c r="W150">
        <v>56100</v>
      </c>
      <c r="X150" t="s">
        <v>44</v>
      </c>
      <c r="Y150" t="s">
        <v>568</v>
      </c>
      <c r="Z150" t="s">
        <v>49</v>
      </c>
      <c r="AA150" s="10">
        <f>IF(O150&lt;=1,7,7+0.8*ROUNDUP(O150-1,0))</f>
        <v>10.199999999999999</v>
      </c>
      <c r="AB150" s="11">
        <v>0</v>
      </c>
      <c r="AC150" s="11">
        <v>0</v>
      </c>
      <c r="AD150" s="11">
        <v>0</v>
      </c>
      <c r="AE150" s="11">
        <v>0</v>
      </c>
      <c r="AF150" s="11">
        <f t="shared" si="6"/>
        <v>0.61199999999999999</v>
      </c>
      <c r="AG150" s="11">
        <f t="shared" si="7"/>
        <v>10.811999999999999</v>
      </c>
      <c r="AH150" t="s">
        <v>50</v>
      </c>
    </row>
    <row r="151" spans="1:34" ht="15" customHeight="1" x14ac:dyDescent="0.35">
      <c r="A151">
        <v>7547676</v>
      </c>
      <c r="B151">
        <v>690929</v>
      </c>
      <c r="C151" t="s">
        <v>34</v>
      </c>
      <c r="D151" t="s">
        <v>35</v>
      </c>
      <c r="E151" s="6" t="s">
        <v>34</v>
      </c>
      <c r="F151" t="s">
        <v>569</v>
      </c>
      <c r="G151" t="s">
        <v>37</v>
      </c>
      <c r="H151" t="s">
        <v>38</v>
      </c>
      <c r="I151" t="s">
        <v>570</v>
      </c>
      <c r="J151" t="s">
        <v>40</v>
      </c>
      <c r="K151">
        <v>2</v>
      </c>
      <c r="L151" t="s">
        <v>41</v>
      </c>
      <c r="M151" t="s">
        <v>42</v>
      </c>
      <c r="N151" t="s">
        <v>43</v>
      </c>
      <c r="O151" s="7">
        <v>2</v>
      </c>
      <c r="P151" s="8">
        <v>45140.757175925923</v>
      </c>
      <c r="Q151" s="9">
        <v>45163</v>
      </c>
      <c r="R151" t="s">
        <v>37</v>
      </c>
      <c r="S151" t="s">
        <v>44</v>
      </c>
      <c r="T151" t="s">
        <v>53</v>
      </c>
      <c r="U151" t="s">
        <v>192</v>
      </c>
      <c r="V151" t="s">
        <v>571</v>
      </c>
      <c r="W151">
        <v>97200</v>
      </c>
      <c r="X151" t="s">
        <v>194</v>
      </c>
      <c r="Y151" t="s">
        <v>136</v>
      </c>
      <c r="Z151" t="s">
        <v>49</v>
      </c>
      <c r="AA151" s="12">
        <f>IF(O151&lt;=1,13,IF(O151&lt;=2,23,IF(O151&lt;=3,35,IF(O151&lt;=4,43,IF(O151&lt;=5,53,IF(O151&lt;=6,63,IF(O151&lt;=7,71,IF(O151&lt;=8,79,IF(O151&lt;=9,87,IF(O151&lt;=10,95,IF(O151&lt;=11,105,IF(O151&lt;=12,114,IF(O151&lt;=13,119,IF(O151&lt;=14,127,IF(O151&lt;=15,135,IF(O151&lt;=16,143,IF(O151&lt;=17,153,IF(O151&lt;=18,163,IF(O151&lt;=19,171,IF(O151&lt;=20,185,IF(O151&lt;=21,193,IF(O151&lt;=22,201,IF(O151&lt;=23,210,IF(O151&lt;=24,220,IF(O151&lt;=25,230,IF(O151&lt;=26,240,IF(O151&lt;=27,250,IF(O151&lt;=28,260,IF(O151&lt;=29,270,IF(O151&lt;=30,280,280+10*ROUNDUP(O151-30,0)))))))))))))))))))))))))))))))</f>
        <v>23</v>
      </c>
      <c r="AB151" s="11">
        <v>0</v>
      </c>
      <c r="AC151" s="11">
        <v>0</v>
      </c>
      <c r="AD151" s="11">
        <v>0</v>
      </c>
      <c r="AE151" s="11">
        <v>0</v>
      </c>
      <c r="AF151" s="11">
        <f t="shared" si="6"/>
        <v>1.38</v>
      </c>
      <c r="AG151" s="11">
        <f t="shared" si="7"/>
        <v>24.38</v>
      </c>
      <c r="AH151" t="s">
        <v>194</v>
      </c>
    </row>
    <row r="152" spans="1:34" ht="15" customHeight="1" x14ac:dyDescent="0.35">
      <c r="A152">
        <v>7547676</v>
      </c>
      <c r="B152">
        <v>690929</v>
      </c>
      <c r="C152" t="s">
        <v>34</v>
      </c>
      <c r="D152" t="s">
        <v>35</v>
      </c>
      <c r="E152" s="6" t="s">
        <v>34</v>
      </c>
      <c r="F152" t="s">
        <v>572</v>
      </c>
      <c r="G152" t="s">
        <v>37</v>
      </c>
      <c r="H152" t="s">
        <v>38</v>
      </c>
      <c r="I152" t="s">
        <v>573</v>
      </c>
      <c r="J152" t="s">
        <v>40</v>
      </c>
      <c r="K152">
        <v>2</v>
      </c>
      <c r="L152" t="s">
        <v>41</v>
      </c>
      <c r="M152" t="s">
        <v>42</v>
      </c>
      <c r="N152" t="s">
        <v>43</v>
      </c>
      <c r="O152" s="7">
        <v>2</v>
      </c>
      <c r="P152" s="8">
        <v>45160.764317129629</v>
      </c>
      <c r="Q152" s="9">
        <v>45163</v>
      </c>
      <c r="R152" t="s">
        <v>37</v>
      </c>
      <c r="S152" t="s">
        <v>44</v>
      </c>
      <c r="T152" t="s">
        <v>53</v>
      </c>
      <c r="U152" t="s">
        <v>81</v>
      </c>
      <c r="V152" t="s">
        <v>574</v>
      </c>
      <c r="W152">
        <v>36000</v>
      </c>
      <c r="X152" t="s">
        <v>44</v>
      </c>
      <c r="Y152" t="s">
        <v>575</v>
      </c>
      <c r="Z152" t="s">
        <v>49</v>
      </c>
      <c r="AA152" s="10">
        <f>IF(O152&lt;=1,7,7+0.8*ROUNDUP(O152-1,0))</f>
        <v>7.8</v>
      </c>
      <c r="AB152" s="11">
        <v>0</v>
      </c>
      <c r="AC152" s="11">
        <v>0</v>
      </c>
      <c r="AD152" s="11">
        <v>0</v>
      </c>
      <c r="AE152" s="11">
        <v>0</v>
      </c>
      <c r="AF152" s="11">
        <f t="shared" si="6"/>
        <v>0.46799999999999997</v>
      </c>
      <c r="AG152" s="11">
        <f t="shared" si="7"/>
        <v>8.2680000000000007</v>
      </c>
      <c r="AH152" t="s">
        <v>50</v>
      </c>
    </row>
    <row r="153" spans="1:34" ht="15" customHeight="1" x14ac:dyDescent="0.35">
      <c r="A153">
        <v>7547676</v>
      </c>
      <c r="B153">
        <v>690929</v>
      </c>
      <c r="C153" t="s">
        <v>34</v>
      </c>
      <c r="D153" t="s">
        <v>35</v>
      </c>
      <c r="E153" s="6" t="s">
        <v>34</v>
      </c>
      <c r="F153" t="s">
        <v>576</v>
      </c>
      <c r="G153" t="s">
        <v>37</v>
      </c>
      <c r="H153" t="s">
        <v>38</v>
      </c>
      <c r="I153" t="s">
        <v>577</v>
      </c>
      <c r="J153" t="s">
        <v>40</v>
      </c>
      <c r="K153">
        <v>2</v>
      </c>
      <c r="L153" t="s">
        <v>41</v>
      </c>
      <c r="M153" t="s">
        <v>42</v>
      </c>
      <c r="N153" t="s">
        <v>43</v>
      </c>
      <c r="O153" s="7">
        <v>1</v>
      </c>
      <c r="P153" s="8">
        <v>45161.602800925924</v>
      </c>
      <c r="Q153" s="9">
        <v>45163</v>
      </c>
      <c r="R153" t="s">
        <v>37</v>
      </c>
      <c r="S153" t="s">
        <v>44</v>
      </c>
      <c r="T153" t="s">
        <v>53</v>
      </c>
      <c r="U153" t="s">
        <v>81</v>
      </c>
      <c r="V153" t="s">
        <v>578</v>
      </c>
      <c r="W153">
        <v>34200</v>
      </c>
      <c r="X153" t="s">
        <v>44</v>
      </c>
      <c r="Y153" t="s">
        <v>579</v>
      </c>
      <c r="Z153" t="s">
        <v>49</v>
      </c>
      <c r="AA153" s="10">
        <f>IF(O153&lt;=1,7,7+0.8*ROUNDUP(O153-1,0))</f>
        <v>7</v>
      </c>
      <c r="AB153" s="11">
        <v>0</v>
      </c>
      <c r="AC153" s="11">
        <v>0</v>
      </c>
      <c r="AD153" s="11">
        <v>0</v>
      </c>
      <c r="AE153" s="11">
        <v>0</v>
      </c>
      <c r="AF153" s="11">
        <f t="shared" si="6"/>
        <v>0.42</v>
      </c>
      <c r="AG153" s="11">
        <f t="shared" si="7"/>
        <v>7.42</v>
      </c>
      <c r="AH153" t="s">
        <v>50</v>
      </c>
    </row>
    <row r="154" spans="1:34" ht="15" customHeight="1" x14ac:dyDescent="0.35">
      <c r="A154">
        <v>7547676</v>
      </c>
      <c r="B154">
        <v>690929</v>
      </c>
      <c r="C154" t="s">
        <v>34</v>
      </c>
      <c r="D154" t="s">
        <v>35</v>
      </c>
      <c r="E154" s="6" t="s">
        <v>34</v>
      </c>
      <c r="F154" t="s">
        <v>580</v>
      </c>
      <c r="G154" t="s">
        <v>37</v>
      </c>
      <c r="H154" t="s">
        <v>38</v>
      </c>
      <c r="I154" t="s">
        <v>581</v>
      </c>
      <c r="J154" t="s">
        <v>40</v>
      </c>
      <c r="K154">
        <v>2</v>
      </c>
      <c r="L154" t="s">
        <v>41</v>
      </c>
      <c r="M154" t="s">
        <v>42</v>
      </c>
      <c r="N154" t="s">
        <v>43</v>
      </c>
      <c r="O154" s="7">
        <v>1</v>
      </c>
      <c r="P154" s="8">
        <v>45158.691053240742</v>
      </c>
      <c r="Q154" s="9">
        <v>45163</v>
      </c>
      <c r="R154" t="s">
        <v>37</v>
      </c>
      <c r="S154" t="s">
        <v>44</v>
      </c>
      <c r="T154" t="s">
        <v>53</v>
      </c>
      <c r="U154" t="s">
        <v>440</v>
      </c>
      <c r="V154" t="s">
        <v>582</v>
      </c>
      <c r="W154">
        <v>91000</v>
      </c>
      <c r="X154" t="s">
        <v>194</v>
      </c>
      <c r="Y154" t="s">
        <v>136</v>
      </c>
      <c r="Z154" t="s">
        <v>49</v>
      </c>
      <c r="AA154" s="12">
        <f>IF(O154&lt;=1,13,IF(O154&lt;=2,23,IF(O154&lt;=3,35,IF(O154&lt;=4,43,IF(O154&lt;=5,53,IF(O154&lt;=6,63,IF(O154&lt;=7,71,IF(O154&lt;=8,79,IF(O154&lt;=9,87,IF(O154&lt;=10,95,IF(O154&lt;=11,105,IF(O154&lt;=12,114,IF(O154&lt;=13,119,IF(O154&lt;=14,127,IF(O154&lt;=15,135,IF(O154&lt;=16,143,IF(O154&lt;=17,153,IF(O154&lt;=18,163,IF(O154&lt;=19,171,IF(O154&lt;=20,185,IF(O154&lt;=21,193,IF(O154&lt;=22,201,IF(O154&lt;=23,210,IF(O154&lt;=24,220,IF(O154&lt;=25,230,IF(O154&lt;=26,240,IF(O154&lt;=27,250,IF(O154&lt;=28,260,IF(O154&lt;=29,270,IF(O154&lt;=30,280,280+10*ROUNDUP(O154-30,0)))))))))))))))))))))))))))))))</f>
        <v>13</v>
      </c>
      <c r="AB154" s="11">
        <v>0</v>
      </c>
      <c r="AC154" s="11">
        <v>0</v>
      </c>
      <c r="AD154" s="11">
        <v>0</v>
      </c>
      <c r="AE154" s="11">
        <v>0</v>
      </c>
      <c r="AF154" s="11">
        <f t="shared" si="6"/>
        <v>0.78</v>
      </c>
      <c r="AG154" s="11">
        <f t="shared" si="7"/>
        <v>13.78</v>
      </c>
      <c r="AH154" t="s">
        <v>194</v>
      </c>
    </row>
    <row r="155" spans="1:34" ht="15" customHeight="1" x14ac:dyDescent="0.35">
      <c r="A155">
        <v>7547676</v>
      </c>
      <c r="B155">
        <v>690929</v>
      </c>
      <c r="C155" t="s">
        <v>34</v>
      </c>
      <c r="D155" t="s">
        <v>35</v>
      </c>
      <c r="E155" s="6" t="s">
        <v>34</v>
      </c>
      <c r="F155" t="s">
        <v>583</v>
      </c>
      <c r="G155" t="s">
        <v>37</v>
      </c>
      <c r="H155" t="s">
        <v>38</v>
      </c>
      <c r="I155" t="s">
        <v>584</v>
      </c>
      <c r="J155" t="s">
        <v>40</v>
      </c>
      <c r="K155">
        <v>2</v>
      </c>
      <c r="L155" t="s">
        <v>41</v>
      </c>
      <c r="M155" t="s">
        <v>42</v>
      </c>
      <c r="N155" t="s">
        <v>43</v>
      </c>
      <c r="O155" s="7">
        <v>1</v>
      </c>
      <c r="P155" s="8">
        <v>45162.749722222223</v>
      </c>
      <c r="Q155" s="9">
        <v>45163</v>
      </c>
      <c r="R155" t="s">
        <v>37</v>
      </c>
      <c r="S155" t="s">
        <v>44</v>
      </c>
      <c r="T155" t="s">
        <v>53</v>
      </c>
      <c r="U155" t="s">
        <v>134</v>
      </c>
      <c r="V155" t="s">
        <v>585</v>
      </c>
      <c r="W155">
        <v>50470</v>
      </c>
      <c r="X155" t="s">
        <v>44</v>
      </c>
      <c r="Y155" t="s">
        <v>136</v>
      </c>
      <c r="Z155" t="s">
        <v>49</v>
      </c>
      <c r="AA155" s="10">
        <f>IF(O155&lt;=1,7,7+0.8*ROUNDUP(O155-1,0))</f>
        <v>7</v>
      </c>
      <c r="AB155" s="11">
        <v>0</v>
      </c>
      <c r="AC155" s="11">
        <v>0</v>
      </c>
      <c r="AD155" s="11">
        <v>0</v>
      </c>
      <c r="AE155" s="11">
        <v>0</v>
      </c>
      <c r="AF155" s="11">
        <f t="shared" si="6"/>
        <v>0.42</v>
      </c>
      <c r="AG155" s="11">
        <f t="shared" si="7"/>
        <v>7.42</v>
      </c>
      <c r="AH155" t="s">
        <v>50</v>
      </c>
    </row>
    <row r="156" spans="1:34" ht="15" customHeight="1" x14ac:dyDescent="0.35">
      <c r="A156">
        <v>7547676</v>
      </c>
      <c r="B156">
        <v>690929</v>
      </c>
      <c r="C156" t="s">
        <v>34</v>
      </c>
      <c r="D156" t="s">
        <v>35</v>
      </c>
      <c r="E156" s="6" t="s">
        <v>34</v>
      </c>
      <c r="F156" t="s">
        <v>586</v>
      </c>
      <c r="G156" t="s">
        <v>37</v>
      </c>
      <c r="H156" t="s">
        <v>38</v>
      </c>
      <c r="I156" t="s">
        <v>587</v>
      </c>
      <c r="J156" t="s">
        <v>40</v>
      </c>
      <c r="K156">
        <v>2</v>
      </c>
      <c r="L156" t="s">
        <v>41</v>
      </c>
      <c r="M156" t="s">
        <v>42</v>
      </c>
      <c r="N156" t="s">
        <v>43</v>
      </c>
      <c r="O156" s="7">
        <v>1</v>
      </c>
      <c r="P156" s="8">
        <v>45162.723622685182</v>
      </c>
      <c r="Q156" s="9">
        <v>45163</v>
      </c>
      <c r="R156" t="s">
        <v>37</v>
      </c>
      <c r="S156" t="s">
        <v>44</v>
      </c>
      <c r="T156" t="s">
        <v>53</v>
      </c>
      <c r="U156" t="s">
        <v>59</v>
      </c>
      <c r="V156" t="s">
        <v>588</v>
      </c>
      <c r="W156">
        <v>17070</v>
      </c>
      <c r="X156" t="s">
        <v>44</v>
      </c>
      <c r="Y156" t="s">
        <v>45</v>
      </c>
      <c r="Z156" t="s">
        <v>49</v>
      </c>
      <c r="AA156" s="10">
        <f>IF(O156&lt;=1,7,7+0.8*ROUNDUP(O156-1,0))</f>
        <v>7</v>
      </c>
      <c r="AB156" s="11">
        <v>0</v>
      </c>
      <c r="AC156" s="11">
        <v>0</v>
      </c>
      <c r="AD156" s="11">
        <v>0</v>
      </c>
      <c r="AE156" s="11">
        <v>0</v>
      </c>
      <c r="AF156" s="11">
        <f t="shared" si="6"/>
        <v>0.42</v>
      </c>
      <c r="AG156" s="11">
        <f t="shared" si="7"/>
        <v>7.42</v>
      </c>
      <c r="AH156" t="s">
        <v>50</v>
      </c>
    </row>
    <row r="157" spans="1:34" ht="15" customHeight="1" x14ac:dyDescent="0.35">
      <c r="A157">
        <v>7547676</v>
      </c>
      <c r="B157">
        <v>690929</v>
      </c>
      <c r="C157" t="s">
        <v>34</v>
      </c>
      <c r="D157" t="s">
        <v>35</v>
      </c>
      <c r="E157" s="6" t="s">
        <v>34</v>
      </c>
      <c r="F157" t="s">
        <v>589</v>
      </c>
      <c r="G157" t="s">
        <v>37</v>
      </c>
      <c r="H157" t="s">
        <v>38</v>
      </c>
      <c r="I157" t="s">
        <v>590</v>
      </c>
      <c r="J157" t="s">
        <v>40</v>
      </c>
      <c r="K157">
        <v>2</v>
      </c>
      <c r="L157" t="s">
        <v>41</v>
      </c>
      <c r="M157" t="s">
        <v>42</v>
      </c>
      <c r="N157" t="s">
        <v>43</v>
      </c>
      <c r="O157" s="7">
        <v>4</v>
      </c>
      <c r="P157" s="8">
        <v>45162.756944444445</v>
      </c>
      <c r="Q157" s="9">
        <v>45163</v>
      </c>
      <c r="R157" t="s">
        <v>37</v>
      </c>
      <c r="S157" t="s">
        <v>44</v>
      </c>
      <c r="T157" t="s">
        <v>53</v>
      </c>
      <c r="U157" t="s">
        <v>54</v>
      </c>
      <c r="V157" t="s">
        <v>591</v>
      </c>
      <c r="W157">
        <v>43900</v>
      </c>
      <c r="X157" t="s">
        <v>44</v>
      </c>
      <c r="Y157" t="s">
        <v>403</v>
      </c>
      <c r="Z157" t="s">
        <v>49</v>
      </c>
      <c r="AA157" s="10">
        <f>IF(O157&lt;=1,7,7+0.8*ROUNDUP(O157-1,0))</f>
        <v>9.4</v>
      </c>
      <c r="AB157" s="11">
        <v>0</v>
      </c>
      <c r="AC157" s="11">
        <v>0</v>
      </c>
      <c r="AD157" s="11">
        <v>0</v>
      </c>
      <c r="AE157" s="11">
        <v>0</v>
      </c>
      <c r="AF157" s="11">
        <f t="shared" si="6"/>
        <v>0.56399999999999995</v>
      </c>
      <c r="AG157" s="11">
        <f t="shared" si="7"/>
        <v>9.9640000000000004</v>
      </c>
      <c r="AH157" t="s">
        <v>50</v>
      </c>
    </row>
    <row r="158" spans="1:34" ht="15" customHeight="1" x14ac:dyDescent="0.35">
      <c r="A158">
        <v>7547676</v>
      </c>
      <c r="B158">
        <v>690929</v>
      </c>
      <c r="C158" t="s">
        <v>34</v>
      </c>
      <c r="D158" t="s">
        <v>35</v>
      </c>
      <c r="E158" s="6" t="s">
        <v>34</v>
      </c>
      <c r="F158" t="s">
        <v>592</v>
      </c>
      <c r="G158" t="s">
        <v>37</v>
      </c>
      <c r="H158" t="s">
        <v>38</v>
      </c>
      <c r="I158" t="s">
        <v>590</v>
      </c>
      <c r="J158" t="s">
        <v>40</v>
      </c>
      <c r="K158">
        <v>2</v>
      </c>
      <c r="L158" t="s">
        <v>41</v>
      </c>
      <c r="M158" t="s">
        <v>42</v>
      </c>
      <c r="N158" t="s">
        <v>43</v>
      </c>
      <c r="O158" s="7">
        <v>3</v>
      </c>
      <c r="P158" s="8">
        <v>45162.756944444445</v>
      </c>
      <c r="Q158" s="9">
        <v>45163</v>
      </c>
      <c r="R158" t="s">
        <v>37</v>
      </c>
      <c r="S158" t="s">
        <v>44</v>
      </c>
      <c r="T158" t="s">
        <v>53</v>
      </c>
      <c r="U158" t="s">
        <v>54</v>
      </c>
      <c r="V158" t="s">
        <v>591</v>
      </c>
      <c r="W158">
        <v>43900</v>
      </c>
      <c r="X158" t="s">
        <v>44</v>
      </c>
      <c r="Y158" t="s">
        <v>403</v>
      </c>
      <c r="Z158" t="s">
        <v>49</v>
      </c>
      <c r="AA158" s="10">
        <f>IF(O158&lt;=1,7,7+0.8*ROUNDUP(O158-1,0))</f>
        <v>8.6</v>
      </c>
      <c r="AB158" s="11">
        <v>0</v>
      </c>
      <c r="AC158" s="11">
        <v>0</v>
      </c>
      <c r="AD158" s="11">
        <v>0</v>
      </c>
      <c r="AE158" s="11">
        <v>0</v>
      </c>
      <c r="AF158" s="11">
        <f t="shared" si="6"/>
        <v>0.51600000000000001</v>
      </c>
      <c r="AG158" s="11">
        <f t="shared" si="7"/>
        <v>9.1159999999999997</v>
      </c>
      <c r="AH158" t="s">
        <v>50</v>
      </c>
    </row>
    <row r="159" spans="1:34" ht="15" customHeight="1" x14ac:dyDescent="0.35">
      <c r="A159">
        <v>7547676</v>
      </c>
      <c r="B159">
        <v>690929</v>
      </c>
      <c r="C159" t="s">
        <v>34</v>
      </c>
      <c r="D159" t="s">
        <v>35</v>
      </c>
      <c r="E159" s="6" t="s">
        <v>34</v>
      </c>
      <c r="F159" t="s">
        <v>593</v>
      </c>
      <c r="G159" t="s">
        <v>37</v>
      </c>
      <c r="H159" t="s">
        <v>38</v>
      </c>
      <c r="I159" t="s">
        <v>590</v>
      </c>
      <c r="J159" t="s">
        <v>40</v>
      </c>
      <c r="K159">
        <v>2</v>
      </c>
      <c r="L159" t="s">
        <v>41</v>
      </c>
      <c r="M159" t="s">
        <v>42</v>
      </c>
      <c r="N159" t="s">
        <v>43</v>
      </c>
      <c r="O159" s="7">
        <v>4</v>
      </c>
      <c r="P159" s="8">
        <v>45162.756956018522</v>
      </c>
      <c r="Q159" s="9">
        <v>45163</v>
      </c>
      <c r="R159" t="s">
        <v>37</v>
      </c>
      <c r="S159" t="s">
        <v>44</v>
      </c>
      <c r="T159" t="s">
        <v>53</v>
      </c>
      <c r="U159" t="s">
        <v>54</v>
      </c>
      <c r="V159" t="s">
        <v>591</v>
      </c>
      <c r="W159">
        <v>43900</v>
      </c>
      <c r="X159" t="s">
        <v>44</v>
      </c>
      <c r="Y159" t="s">
        <v>403</v>
      </c>
      <c r="Z159" t="s">
        <v>49</v>
      </c>
      <c r="AA159" s="10">
        <f>IF(O159&lt;=1,7,7+0.8*ROUNDUP(O159-1,0))</f>
        <v>9.4</v>
      </c>
      <c r="AB159" s="11">
        <v>0</v>
      </c>
      <c r="AC159" s="11">
        <v>0</v>
      </c>
      <c r="AD159" s="11">
        <v>0</v>
      </c>
      <c r="AE159" s="11">
        <v>0</v>
      </c>
      <c r="AF159" s="11">
        <f t="shared" si="6"/>
        <v>0.56399999999999995</v>
      </c>
      <c r="AG159" s="11">
        <f t="shared" si="7"/>
        <v>9.9640000000000004</v>
      </c>
      <c r="AH159" t="s">
        <v>50</v>
      </c>
    </row>
    <row r="160" spans="1:34" ht="15" customHeight="1" x14ac:dyDescent="0.35">
      <c r="A160">
        <v>7547676</v>
      </c>
      <c r="B160">
        <v>690929</v>
      </c>
      <c r="C160" t="s">
        <v>34</v>
      </c>
      <c r="D160" t="s">
        <v>35</v>
      </c>
      <c r="E160" s="6" t="s">
        <v>34</v>
      </c>
      <c r="F160" t="s">
        <v>594</v>
      </c>
      <c r="G160" t="s">
        <v>37</v>
      </c>
      <c r="H160" t="s">
        <v>38</v>
      </c>
      <c r="I160" t="s">
        <v>595</v>
      </c>
      <c r="J160" t="s">
        <v>40</v>
      </c>
      <c r="K160">
        <v>2</v>
      </c>
      <c r="L160" t="s">
        <v>41</v>
      </c>
      <c r="M160" t="s">
        <v>42</v>
      </c>
      <c r="N160" t="s">
        <v>43</v>
      </c>
      <c r="O160" s="7">
        <v>2</v>
      </c>
      <c r="P160" s="8">
        <v>45162.753078703703</v>
      </c>
      <c r="Q160" s="9">
        <v>45164</v>
      </c>
      <c r="R160" t="s">
        <v>37</v>
      </c>
      <c r="S160" t="s">
        <v>44</v>
      </c>
      <c r="T160" t="s">
        <v>53</v>
      </c>
      <c r="U160" t="s">
        <v>192</v>
      </c>
      <c r="V160" t="s">
        <v>596</v>
      </c>
      <c r="W160">
        <v>93450</v>
      </c>
      <c r="X160" t="s">
        <v>194</v>
      </c>
      <c r="Y160" t="s">
        <v>597</v>
      </c>
      <c r="Z160" t="s">
        <v>49</v>
      </c>
      <c r="AA160" s="12">
        <f>IF(O160&lt;=1,13,IF(O160&lt;=2,23,IF(O160&lt;=3,35,IF(O160&lt;=4,43,IF(O160&lt;=5,53,IF(O160&lt;=6,63,IF(O160&lt;=7,71,IF(O160&lt;=8,79,IF(O160&lt;=9,87,IF(O160&lt;=10,95,IF(O160&lt;=11,105,IF(O160&lt;=12,114,IF(O160&lt;=13,119,IF(O160&lt;=14,127,IF(O160&lt;=15,135,IF(O160&lt;=16,143,IF(O160&lt;=17,153,IF(O160&lt;=18,163,IF(O160&lt;=19,171,IF(O160&lt;=20,185,IF(O160&lt;=21,193,IF(O160&lt;=22,201,IF(O160&lt;=23,210,IF(O160&lt;=24,220,IF(O160&lt;=25,230,IF(O160&lt;=26,240,IF(O160&lt;=27,250,IF(O160&lt;=28,260,IF(O160&lt;=29,270,IF(O160&lt;=30,280,280+10*ROUNDUP(O160-30,0)))))))))))))))))))))))))))))))</f>
        <v>23</v>
      </c>
      <c r="AB160" s="11">
        <v>0</v>
      </c>
      <c r="AC160" s="11">
        <v>0</v>
      </c>
      <c r="AD160" s="11">
        <v>0</v>
      </c>
      <c r="AE160" s="11">
        <v>0</v>
      </c>
      <c r="AF160" s="11">
        <f t="shared" si="6"/>
        <v>1.38</v>
      </c>
      <c r="AG160" s="11">
        <f t="shared" si="7"/>
        <v>24.38</v>
      </c>
      <c r="AH160" t="s">
        <v>194</v>
      </c>
    </row>
    <row r="161" spans="1:34" ht="15" customHeight="1" x14ac:dyDescent="0.35">
      <c r="A161">
        <v>7547676</v>
      </c>
      <c r="B161">
        <v>690929</v>
      </c>
      <c r="C161" t="s">
        <v>34</v>
      </c>
      <c r="D161" t="s">
        <v>35</v>
      </c>
      <c r="E161" s="6" t="s">
        <v>34</v>
      </c>
      <c r="F161" t="s">
        <v>598</v>
      </c>
      <c r="G161" t="s">
        <v>37</v>
      </c>
      <c r="H161" t="s">
        <v>38</v>
      </c>
      <c r="I161" t="s">
        <v>599</v>
      </c>
      <c r="J161" t="s">
        <v>40</v>
      </c>
      <c r="K161">
        <v>2</v>
      </c>
      <c r="L161" t="s">
        <v>41</v>
      </c>
      <c r="M161" t="s">
        <v>42</v>
      </c>
      <c r="N161" t="s">
        <v>43</v>
      </c>
      <c r="O161" s="7">
        <v>3</v>
      </c>
      <c r="P161" s="8">
        <v>45162.794560185182</v>
      </c>
      <c r="Q161" s="9">
        <v>45164</v>
      </c>
      <c r="R161" t="s">
        <v>37</v>
      </c>
      <c r="S161" t="s">
        <v>44</v>
      </c>
      <c r="T161" t="s">
        <v>45</v>
      </c>
      <c r="U161" t="s">
        <v>202</v>
      </c>
      <c r="V161" t="s">
        <v>600</v>
      </c>
      <c r="W161">
        <v>75460</v>
      </c>
      <c r="X161" t="s">
        <v>44</v>
      </c>
      <c r="Y161" t="s">
        <v>601</v>
      </c>
      <c r="Z161" t="s">
        <v>49</v>
      </c>
      <c r="AA161" s="10">
        <f>IF(O161&lt;=1,7,7+0.8*ROUNDUP(O161-1,0))</f>
        <v>8.6</v>
      </c>
      <c r="AB161" s="11">
        <v>0</v>
      </c>
      <c r="AC161" s="11">
        <v>0</v>
      </c>
      <c r="AD161" s="11">
        <v>0</v>
      </c>
      <c r="AE161" s="11">
        <v>0</v>
      </c>
      <c r="AF161" s="11">
        <f t="shared" si="6"/>
        <v>0.51600000000000001</v>
      </c>
      <c r="AG161" s="11">
        <f t="shared" si="7"/>
        <v>9.1159999999999997</v>
      </c>
      <c r="AH161" t="s">
        <v>50</v>
      </c>
    </row>
    <row r="162" spans="1:34" ht="15" customHeight="1" x14ac:dyDescent="0.35">
      <c r="A162">
        <v>7547676</v>
      </c>
      <c r="B162">
        <v>690929</v>
      </c>
      <c r="C162" t="s">
        <v>34</v>
      </c>
      <c r="D162" t="s">
        <v>35</v>
      </c>
      <c r="E162" s="6" t="s">
        <v>34</v>
      </c>
      <c r="F162" t="s">
        <v>602</v>
      </c>
      <c r="G162" t="s">
        <v>37</v>
      </c>
      <c r="H162" t="s">
        <v>38</v>
      </c>
      <c r="I162" t="s">
        <v>603</v>
      </c>
      <c r="J162" t="s">
        <v>40</v>
      </c>
      <c r="K162">
        <v>2</v>
      </c>
      <c r="L162" t="s">
        <v>41</v>
      </c>
      <c r="M162" t="s">
        <v>42</v>
      </c>
      <c r="N162" t="s">
        <v>43</v>
      </c>
      <c r="O162" s="7">
        <v>6</v>
      </c>
      <c r="P162" s="8">
        <v>45162.753078703703</v>
      </c>
      <c r="Q162" s="9">
        <v>45164</v>
      </c>
      <c r="R162" t="s">
        <v>37</v>
      </c>
      <c r="S162" t="s">
        <v>44</v>
      </c>
      <c r="T162" t="s">
        <v>53</v>
      </c>
      <c r="U162" t="s">
        <v>192</v>
      </c>
      <c r="V162" t="s">
        <v>604</v>
      </c>
      <c r="W162">
        <v>93050</v>
      </c>
      <c r="X162" t="s">
        <v>194</v>
      </c>
      <c r="Y162" t="s">
        <v>605</v>
      </c>
      <c r="Z162" t="s">
        <v>49</v>
      </c>
      <c r="AA162" s="12">
        <f>IF(O162&lt;=1,13,IF(O162&lt;=2,23,IF(O162&lt;=3,35,IF(O162&lt;=4,43,IF(O162&lt;=5,53,IF(O162&lt;=6,63,IF(O162&lt;=7,71,IF(O162&lt;=8,79,IF(O162&lt;=9,87,IF(O162&lt;=10,95,IF(O162&lt;=11,105,IF(O162&lt;=12,114,IF(O162&lt;=13,119,IF(O162&lt;=14,127,IF(O162&lt;=15,135,IF(O162&lt;=16,143,IF(O162&lt;=17,153,IF(O162&lt;=18,163,IF(O162&lt;=19,171,IF(O162&lt;=20,185,IF(O162&lt;=21,193,IF(O162&lt;=22,201,IF(O162&lt;=23,210,IF(O162&lt;=24,220,IF(O162&lt;=25,230,IF(O162&lt;=26,240,IF(O162&lt;=27,250,IF(O162&lt;=28,260,IF(O162&lt;=29,270,IF(O162&lt;=30,280,280+10*ROUNDUP(O162-30,0)))))))))))))))))))))))))))))))</f>
        <v>63</v>
      </c>
      <c r="AB162" s="11">
        <v>0</v>
      </c>
      <c r="AC162" s="11">
        <v>0</v>
      </c>
      <c r="AD162" s="11">
        <v>0</v>
      </c>
      <c r="AE162" s="11">
        <v>0</v>
      </c>
      <c r="AF162" s="11">
        <f t="shared" si="6"/>
        <v>3.78</v>
      </c>
      <c r="AG162" s="11">
        <f t="shared" si="7"/>
        <v>66.78</v>
      </c>
      <c r="AH162" t="s">
        <v>194</v>
      </c>
    </row>
    <row r="163" spans="1:34" ht="15" customHeight="1" x14ac:dyDescent="0.35">
      <c r="A163">
        <v>7547676</v>
      </c>
      <c r="B163">
        <v>690929</v>
      </c>
      <c r="C163" t="s">
        <v>34</v>
      </c>
      <c r="D163" t="s">
        <v>35</v>
      </c>
      <c r="E163" s="6" t="s">
        <v>34</v>
      </c>
      <c r="F163" t="s">
        <v>606</v>
      </c>
      <c r="G163" t="s">
        <v>37</v>
      </c>
      <c r="H163" t="s">
        <v>38</v>
      </c>
      <c r="I163" t="s">
        <v>607</v>
      </c>
      <c r="J163" t="s">
        <v>40</v>
      </c>
      <c r="K163">
        <v>2</v>
      </c>
      <c r="L163" t="s">
        <v>41</v>
      </c>
      <c r="M163" t="s">
        <v>42</v>
      </c>
      <c r="N163" t="s">
        <v>43</v>
      </c>
      <c r="O163" s="7">
        <v>1</v>
      </c>
      <c r="P163" s="8">
        <v>45162.390474537038</v>
      </c>
      <c r="Q163" s="9">
        <v>45164</v>
      </c>
      <c r="R163" t="s">
        <v>37</v>
      </c>
      <c r="S163" t="s">
        <v>44</v>
      </c>
      <c r="T163" t="s">
        <v>53</v>
      </c>
      <c r="U163" t="s">
        <v>134</v>
      </c>
      <c r="V163" t="s">
        <v>608</v>
      </c>
      <c r="W163">
        <v>59000</v>
      </c>
      <c r="X163" t="s">
        <v>44</v>
      </c>
      <c r="Y163" t="s">
        <v>609</v>
      </c>
      <c r="Z163" t="s">
        <v>49</v>
      </c>
      <c r="AA163" s="10">
        <f>IF(O163&lt;=1,7,7+0.8*ROUNDUP(O163-1,0))</f>
        <v>7</v>
      </c>
      <c r="AB163" s="11">
        <v>0</v>
      </c>
      <c r="AC163" s="11">
        <v>0</v>
      </c>
      <c r="AD163" s="11">
        <v>0</v>
      </c>
      <c r="AE163" s="11">
        <v>0</v>
      </c>
      <c r="AF163" s="11">
        <f t="shared" si="6"/>
        <v>0.42</v>
      </c>
      <c r="AG163" s="11">
        <f t="shared" si="7"/>
        <v>7.42</v>
      </c>
      <c r="AH163" t="s">
        <v>50</v>
      </c>
    </row>
    <row r="164" spans="1:34" ht="15" customHeight="1" x14ac:dyDescent="0.35">
      <c r="A164">
        <v>7547676</v>
      </c>
      <c r="B164">
        <v>690929</v>
      </c>
      <c r="C164" t="s">
        <v>34</v>
      </c>
      <c r="D164" t="s">
        <v>35</v>
      </c>
      <c r="E164" s="6" t="s">
        <v>34</v>
      </c>
      <c r="F164" t="s">
        <v>610</v>
      </c>
      <c r="G164" t="s">
        <v>37</v>
      </c>
      <c r="H164" t="s">
        <v>38</v>
      </c>
      <c r="I164" t="s">
        <v>611</v>
      </c>
      <c r="J164" t="s">
        <v>40</v>
      </c>
      <c r="K164">
        <v>2</v>
      </c>
      <c r="L164" t="s">
        <v>41</v>
      </c>
      <c r="M164" t="s">
        <v>42</v>
      </c>
      <c r="N164" t="s">
        <v>43</v>
      </c>
      <c r="O164" s="7">
        <v>5</v>
      </c>
      <c r="P164" s="8">
        <v>45163.441840277781</v>
      </c>
      <c r="Q164" s="9">
        <v>45165</v>
      </c>
      <c r="R164" t="s">
        <v>37</v>
      </c>
      <c r="S164" t="s">
        <v>44</v>
      </c>
      <c r="T164" t="s">
        <v>45</v>
      </c>
      <c r="U164" t="s">
        <v>612</v>
      </c>
      <c r="V164" t="s">
        <v>613</v>
      </c>
      <c r="W164">
        <v>2400</v>
      </c>
      <c r="X164" t="s">
        <v>44</v>
      </c>
      <c r="Y164" t="s">
        <v>614</v>
      </c>
      <c r="Z164" t="s">
        <v>49</v>
      </c>
      <c r="AA164" s="10">
        <f>IF(O164&lt;=1,7,7+0.8*ROUNDUP(O164-1,0))</f>
        <v>10.199999999999999</v>
      </c>
      <c r="AB164" s="11">
        <v>0</v>
      </c>
      <c r="AC164" s="11">
        <v>0</v>
      </c>
      <c r="AD164" s="11">
        <v>0</v>
      </c>
      <c r="AE164" s="11">
        <v>0</v>
      </c>
      <c r="AF164" s="11">
        <f t="shared" si="6"/>
        <v>0.61199999999999999</v>
      </c>
      <c r="AG164" s="11">
        <f t="shared" si="7"/>
        <v>10.811999999999999</v>
      </c>
      <c r="AH164" t="s">
        <v>50</v>
      </c>
    </row>
    <row r="165" spans="1:34" ht="15" customHeight="1" x14ac:dyDescent="0.35">
      <c r="A165">
        <v>7547676</v>
      </c>
      <c r="B165">
        <v>690929</v>
      </c>
      <c r="C165" t="s">
        <v>34</v>
      </c>
      <c r="D165" t="s">
        <v>35</v>
      </c>
      <c r="E165" s="6" t="s">
        <v>34</v>
      </c>
      <c r="F165" t="s">
        <v>615</v>
      </c>
      <c r="G165" t="s">
        <v>37</v>
      </c>
      <c r="H165" t="s">
        <v>38</v>
      </c>
      <c r="I165" t="s">
        <v>616</v>
      </c>
      <c r="J165" t="s">
        <v>40</v>
      </c>
      <c r="K165">
        <v>2</v>
      </c>
      <c r="L165" t="s">
        <v>41</v>
      </c>
      <c r="M165" t="s">
        <v>42</v>
      </c>
      <c r="N165" t="s">
        <v>43</v>
      </c>
      <c r="O165" s="7">
        <v>1</v>
      </c>
      <c r="P165" s="8">
        <v>45164.714004629626</v>
      </c>
      <c r="Q165" s="9">
        <v>45165</v>
      </c>
      <c r="R165" t="s">
        <v>37</v>
      </c>
      <c r="S165" t="s">
        <v>44</v>
      </c>
      <c r="T165" t="s">
        <v>53</v>
      </c>
      <c r="U165" t="s">
        <v>59</v>
      </c>
      <c r="V165" t="s">
        <v>617</v>
      </c>
      <c r="W165">
        <v>16400</v>
      </c>
      <c r="X165" t="s">
        <v>44</v>
      </c>
      <c r="Y165" t="s">
        <v>53</v>
      </c>
      <c r="Z165" t="s">
        <v>49</v>
      </c>
      <c r="AA165" s="10">
        <f>IF(O165&lt;=1,7,7+0.8*ROUNDUP(O165-1,0))</f>
        <v>7</v>
      </c>
      <c r="AB165" s="11">
        <v>0</v>
      </c>
      <c r="AC165" s="11">
        <v>0</v>
      </c>
      <c r="AD165" s="11">
        <v>0</v>
      </c>
      <c r="AE165" s="11">
        <v>0</v>
      </c>
      <c r="AF165" s="11">
        <f t="shared" si="6"/>
        <v>0.42</v>
      </c>
      <c r="AG165" s="11">
        <f t="shared" si="7"/>
        <v>7.42</v>
      </c>
      <c r="AH165" t="s">
        <v>50</v>
      </c>
    </row>
    <row r="166" spans="1:34" ht="15" customHeight="1" x14ac:dyDescent="0.35">
      <c r="A166">
        <v>7547676</v>
      </c>
      <c r="B166">
        <v>690929</v>
      </c>
      <c r="C166" t="s">
        <v>34</v>
      </c>
      <c r="D166" t="s">
        <v>35</v>
      </c>
      <c r="E166" s="6" t="s">
        <v>34</v>
      </c>
      <c r="F166" t="s">
        <v>618</v>
      </c>
      <c r="G166" t="s">
        <v>37</v>
      </c>
      <c r="H166" t="s">
        <v>38</v>
      </c>
      <c r="I166" t="s">
        <v>619</v>
      </c>
      <c r="J166" t="s">
        <v>40</v>
      </c>
      <c r="K166">
        <v>2</v>
      </c>
      <c r="L166" t="s">
        <v>41</v>
      </c>
      <c r="M166" t="s">
        <v>42</v>
      </c>
      <c r="N166" t="s">
        <v>43</v>
      </c>
      <c r="O166" s="7">
        <v>1</v>
      </c>
      <c r="P166" s="8">
        <v>45127.416203703702</v>
      </c>
      <c r="Q166" s="9">
        <v>45139</v>
      </c>
      <c r="R166" t="s">
        <v>37</v>
      </c>
      <c r="S166" t="s">
        <v>44</v>
      </c>
      <c r="T166" t="s">
        <v>53</v>
      </c>
      <c r="U166" t="s">
        <v>440</v>
      </c>
      <c r="V166" t="s">
        <v>620</v>
      </c>
      <c r="W166">
        <v>89850</v>
      </c>
      <c r="X166" t="s">
        <v>194</v>
      </c>
      <c r="Y166" t="s">
        <v>136</v>
      </c>
      <c r="Z166" t="s">
        <v>49</v>
      </c>
      <c r="AA166" s="12">
        <f>IF(O166&lt;=1,13,IF(O166&lt;=2,23,IF(O166&lt;=3,35,IF(O166&lt;=4,43,IF(O166&lt;=5,53,IF(O166&lt;=6,63,IF(O166&lt;=7,71,IF(O166&lt;=8,79,IF(O166&lt;=9,87,IF(O166&lt;=10,95,IF(O166&lt;=11,105,IF(O166&lt;=12,114,IF(O166&lt;=13,119,IF(O166&lt;=14,127,IF(O166&lt;=15,135,IF(O166&lt;=16,143,IF(O166&lt;=17,153,IF(O166&lt;=18,163,IF(O166&lt;=19,171,IF(O166&lt;=20,185,IF(O166&lt;=21,193,IF(O166&lt;=22,201,IF(O166&lt;=23,210,IF(O166&lt;=24,220,IF(O166&lt;=25,230,IF(O166&lt;=26,240,IF(O166&lt;=27,250,IF(O166&lt;=28,260,IF(O166&lt;=29,270,IF(O166&lt;=30,280,280+10*ROUNDUP(O166-30,0)))))))))))))))))))))))))))))))</f>
        <v>13</v>
      </c>
      <c r="AB166" s="11">
        <v>0</v>
      </c>
      <c r="AC166" s="11">
        <v>0</v>
      </c>
      <c r="AD166" s="11">
        <v>0</v>
      </c>
      <c r="AE166" s="11">
        <v>0</v>
      </c>
      <c r="AF166" s="11">
        <f t="shared" si="6"/>
        <v>0.78</v>
      </c>
      <c r="AG166" s="11">
        <f t="shared" si="7"/>
        <v>13.78</v>
      </c>
      <c r="AH166" t="s">
        <v>194</v>
      </c>
    </row>
    <row r="167" spans="1:34" ht="15" customHeight="1" x14ac:dyDescent="0.35">
      <c r="A167">
        <v>7547676</v>
      </c>
      <c r="B167">
        <v>690929</v>
      </c>
      <c r="C167" t="s">
        <v>34</v>
      </c>
      <c r="D167" t="s">
        <v>35</v>
      </c>
      <c r="E167" s="6" t="s">
        <v>34</v>
      </c>
      <c r="F167" t="s">
        <v>621</v>
      </c>
      <c r="G167" t="s">
        <v>37</v>
      </c>
      <c r="H167" t="s">
        <v>38</v>
      </c>
      <c r="I167" t="s">
        <v>622</v>
      </c>
      <c r="J167" t="s">
        <v>40</v>
      </c>
      <c r="K167">
        <v>2</v>
      </c>
      <c r="L167" t="s">
        <v>41</v>
      </c>
      <c r="M167" t="s">
        <v>42</v>
      </c>
      <c r="N167" t="s">
        <v>43</v>
      </c>
      <c r="O167" s="7">
        <v>1</v>
      </c>
      <c r="P167" s="8">
        <v>45137.729259259257</v>
      </c>
      <c r="Q167" s="9">
        <v>45139</v>
      </c>
      <c r="R167" t="s">
        <v>37</v>
      </c>
      <c r="S167" t="s">
        <v>44</v>
      </c>
      <c r="T167" t="s">
        <v>53</v>
      </c>
      <c r="U167" t="s">
        <v>46</v>
      </c>
      <c r="V167" t="s">
        <v>623</v>
      </c>
      <c r="W167">
        <v>10300</v>
      </c>
      <c r="X167" t="s">
        <v>44</v>
      </c>
      <c r="Y167" t="s">
        <v>624</v>
      </c>
      <c r="Z167" t="s">
        <v>49</v>
      </c>
      <c r="AA167" s="10">
        <f>IF(O167&lt;=1,7,7+0.8*ROUNDUP(O167-1,0))</f>
        <v>7</v>
      </c>
      <c r="AB167" s="11">
        <v>0</v>
      </c>
      <c r="AC167" s="11">
        <v>0</v>
      </c>
      <c r="AD167" s="11">
        <v>0</v>
      </c>
      <c r="AE167" s="11">
        <v>0</v>
      </c>
      <c r="AF167" s="11">
        <f t="shared" si="6"/>
        <v>0.42</v>
      </c>
      <c r="AG167" s="11">
        <f t="shared" si="7"/>
        <v>7.42</v>
      </c>
      <c r="AH167" t="s">
        <v>50</v>
      </c>
    </row>
    <row r="168" spans="1:34" ht="15" customHeight="1" x14ac:dyDescent="0.35">
      <c r="A168">
        <v>7547676</v>
      </c>
      <c r="B168">
        <v>690929</v>
      </c>
      <c r="C168" t="s">
        <v>34</v>
      </c>
      <c r="D168" t="s">
        <v>35</v>
      </c>
      <c r="E168" s="6" t="s">
        <v>34</v>
      </c>
      <c r="F168" t="s">
        <v>625</v>
      </c>
      <c r="G168" t="s">
        <v>37</v>
      </c>
      <c r="H168" t="s">
        <v>38</v>
      </c>
      <c r="I168" t="s">
        <v>626</v>
      </c>
      <c r="J168" t="s">
        <v>40</v>
      </c>
      <c r="K168">
        <v>2</v>
      </c>
      <c r="L168" t="s">
        <v>41</v>
      </c>
      <c r="M168" t="s">
        <v>42</v>
      </c>
      <c r="N168" t="s">
        <v>43</v>
      </c>
      <c r="O168" s="7">
        <v>1</v>
      </c>
      <c r="P168" s="8">
        <v>45137.586655092593</v>
      </c>
      <c r="Q168" s="9">
        <v>45139</v>
      </c>
      <c r="R168" t="s">
        <v>37</v>
      </c>
      <c r="S168" t="s">
        <v>44</v>
      </c>
      <c r="T168" t="s">
        <v>53</v>
      </c>
      <c r="U168" t="s">
        <v>202</v>
      </c>
      <c r="V168" t="s">
        <v>627</v>
      </c>
      <c r="W168">
        <v>75000</v>
      </c>
      <c r="X168" t="s">
        <v>44</v>
      </c>
      <c r="Y168" t="s">
        <v>136</v>
      </c>
      <c r="Z168" t="s">
        <v>49</v>
      </c>
      <c r="AA168" s="10">
        <f>IF(O168&lt;=1,7,7+0.8*ROUNDUP(O168-1,0))</f>
        <v>7</v>
      </c>
      <c r="AB168" s="11">
        <v>0</v>
      </c>
      <c r="AC168" s="11">
        <v>0</v>
      </c>
      <c r="AD168" s="11">
        <v>0</v>
      </c>
      <c r="AE168" s="11">
        <v>0</v>
      </c>
      <c r="AF168" s="11">
        <f t="shared" si="6"/>
        <v>0.42</v>
      </c>
      <c r="AG168" s="11">
        <f t="shared" si="7"/>
        <v>7.42</v>
      </c>
      <c r="AH168" t="s">
        <v>50</v>
      </c>
    </row>
    <row r="169" spans="1:34" ht="15" customHeight="1" x14ac:dyDescent="0.35">
      <c r="A169">
        <v>7547676</v>
      </c>
      <c r="B169">
        <v>690929</v>
      </c>
      <c r="C169" t="s">
        <v>34</v>
      </c>
      <c r="D169" t="s">
        <v>35</v>
      </c>
      <c r="E169" s="6" t="s">
        <v>34</v>
      </c>
      <c r="F169" t="s">
        <v>628</v>
      </c>
      <c r="G169" t="s">
        <v>37</v>
      </c>
      <c r="H169" t="s">
        <v>38</v>
      </c>
      <c r="I169" t="s">
        <v>629</v>
      </c>
      <c r="J169" t="s">
        <v>40</v>
      </c>
      <c r="K169">
        <v>2</v>
      </c>
      <c r="L169" t="s">
        <v>41</v>
      </c>
      <c r="M169" t="s">
        <v>42</v>
      </c>
      <c r="N169" t="s">
        <v>43</v>
      </c>
      <c r="O169" s="7">
        <v>1</v>
      </c>
      <c r="P169" s="8">
        <v>45137.591122685182</v>
      </c>
      <c r="Q169" s="9">
        <v>45139</v>
      </c>
      <c r="R169" t="s">
        <v>37</v>
      </c>
      <c r="S169" t="s">
        <v>44</v>
      </c>
      <c r="T169" t="s">
        <v>53</v>
      </c>
      <c r="U169" t="s">
        <v>46</v>
      </c>
      <c r="V169" t="s">
        <v>630</v>
      </c>
      <c r="W169">
        <v>13300</v>
      </c>
      <c r="X169" t="s">
        <v>44</v>
      </c>
      <c r="Y169" t="s">
        <v>48</v>
      </c>
      <c r="Z169" t="s">
        <v>49</v>
      </c>
      <c r="AA169" s="10">
        <f>IF(O169&lt;=1,7,7+0.8*ROUNDUP(O169-1,0))</f>
        <v>7</v>
      </c>
      <c r="AB169" s="11">
        <v>0</v>
      </c>
      <c r="AC169" s="11">
        <v>0</v>
      </c>
      <c r="AD169" s="11">
        <v>0</v>
      </c>
      <c r="AE169" s="11">
        <v>0</v>
      </c>
      <c r="AF169" s="11">
        <f t="shared" si="6"/>
        <v>0.42</v>
      </c>
      <c r="AG169" s="11">
        <f t="shared" si="7"/>
        <v>7.42</v>
      </c>
      <c r="AH169" t="s">
        <v>50</v>
      </c>
    </row>
    <row r="170" spans="1:34" ht="15" customHeight="1" x14ac:dyDescent="0.35">
      <c r="A170">
        <v>7547676</v>
      </c>
      <c r="B170">
        <v>690929</v>
      </c>
      <c r="C170" t="s">
        <v>34</v>
      </c>
      <c r="D170" t="s">
        <v>35</v>
      </c>
      <c r="E170" s="6" t="s">
        <v>34</v>
      </c>
      <c r="F170" t="s">
        <v>631</v>
      </c>
      <c r="G170" t="s">
        <v>37</v>
      </c>
      <c r="H170" t="s">
        <v>38</v>
      </c>
      <c r="I170" t="s">
        <v>632</v>
      </c>
      <c r="J170" t="s">
        <v>40</v>
      </c>
      <c r="K170">
        <v>2</v>
      </c>
      <c r="L170" t="s">
        <v>41</v>
      </c>
      <c r="M170" t="s">
        <v>42</v>
      </c>
      <c r="N170" t="s">
        <v>43</v>
      </c>
      <c r="O170" s="7">
        <v>1</v>
      </c>
      <c r="P170" s="8">
        <v>45137.705277777779</v>
      </c>
      <c r="Q170" s="9">
        <v>45139</v>
      </c>
      <c r="R170" t="s">
        <v>37</v>
      </c>
      <c r="S170" t="s">
        <v>44</v>
      </c>
      <c r="T170" t="s">
        <v>53</v>
      </c>
      <c r="U170" t="s">
        <v>54</v>
      </c>
      <c r="V170" t="s">
        <v>633</v>
      </c>
      <c r="W170">
        <v>43300</v>
      </c>
      <c r="X170" t="s">
        <v>44</v>
      </c>
      <c r="Y170" t="s">
        <v>56</v>
      </c>
      <c r="Z170" t="s">
        <v>49</v>
      </c>
      <c r="AA170" s="10">
        <f>IF(O170&lt;=1,7,7+0.8*ROUNDUP(O170-1,0))</f>
        <v>7</v>
      </c>
      <c r="AB170" s="11">
        <v>0</v>
      </c>
      <c r="AC170" s="11">
        <v>0</v>
      </c>
      <c r="AD170" s="11">
        <v>0</v>
      </c>
      <c r="AE170" s="11">
        <v>0</v>
      </c>
      <c r="AF170" s="11">
        <f t="shared" si="6"/>
        <v>0.42</v>
      </c>
      <c r="AG170" s="11">
        <f t="shared" si="7"/>
        <v>7.42</v>
      </c>
      <c r="AH170" t="s">
        <v>50</v>
      </c>
    </row>
    <row r="171" spans="1:34" ht="15" customHeight="1" x14ac:dyDescent="0.35">
      <c r="A171">
        <v>7547676</v>
      </c>
      <c r="B171">
        <v>690929</v>
      </c>
      <c r="C171" t="s">
        <v>34</v>
      </c>
      <c r="D171" t="s">
        <v>35</v>
      </c>
      <c r="E171" s="6" t="s">
        <v>34</v>
      </c>
      <c r="F171" t="s">
        <v>634</v>
      </c>
      <c r="G171" t="s">
        <v>37</v>
      </c>
      <c r="H171" t="s">
        <v>38</v>
      </c>
      <c r="I171" t="s">
        <v>635</v>
      </c>
      <c r="J171" t="s">
        <v>40</v>
      </c>
      <c r="K171">
        <v>2</v>
      </c>
      <c r="L171" t="s">
        <v>41</v>
      </c>
      <c r="M171" t="s">
        <v>42</v>
      </c>
      <c r="N171" t="s">
        <v>43</v>
      </c>
      <c r="O171" s="7">
        <v>1</v>
      </c>
      <c r="P171" s="8">
        <v>45138.506539351853</v>
      </c>
      <c r="Q171" s="9">
        <v>45139</v>
      </c>
      <c r="R171" t="s">
        <v>37</v>
      </c>
      <c r="S171" t="s">
        <v>44</v>
      </c>
      <c r="T171" t="s">
        <v>53</v>
      </c>
      <c r="U171" t="s">
        <v>54</v>
      </c>
      <c r="V171" t="s">
        <v>636</v>
      </c>
      <c r="W171">
        <v>47000</v>
      </c>
      <c r="X171" t="s">
        <v>44</v>
      </c>
      <c r="Y171" t="s">
        <v>174</v>
      </c>
      <c r="Z171" t="s">
        <v>49</v>
      </c>
      <c r="AA171" s="10">
        <f>IF(O171&lt;=1,7,7+0.8*ROUNDUP(O171-1,0))</f>
        <v>7</v>
      </c>
      <c r="AB171" s="11">
        <v>0</v>
      </c>
      <c r="AC171" s="11">
        <v>0</v>
      </c>
      <c r="AD171" s="11">
        <v>0</v>
      </c>
      <c r="AE171" s="11">
        <v>0</v>
      </c>
      <c r="AF171" s="11">
        <f t="shared" si="6"/>
        <v>0.42</v>
      </c>
      <c r="AG171" s="11">
        <f t="shared" si="7"/>
        <v>7.42</v>
      </c>
      <c r="AH171" t="s">
        <v>50</v>
      </c>
    </row>
    <row r="172" spans="1:34" ht="15" customHeight="1" x14ac:dyDescent="0.35">
      <c r="A172">
        <v>7547676</v>
      </c>
      <c r="B172">
        <v>690929</v>
      </c>
      <c r="C172" t="s">
        <v>34</v>
      </c>
      <c r="D172" t="s">
        <v>35</v>
      </c>
      <c r="E172" s="6" t="s">
        <v>34</v>
      </c>
      <c r="F172" t="s">
        <v>637</v>
      </c>
      <c r="G172" t="s">
        <v>37</v>
      </c>
      <c r="H172" t="s">
        <v>38</v>
      </c>
      <c r="I172" t="s">
        <v>638</v>
      </c>
      <c r="J172" t="s">
        <v>40</v>
      </c>
      <c r="K172">
        <v>2</v>
      </c>
      <c r="L172" t="s">
        <v>41</v>
      </c>
      <c r="M172" t="s">
        <v>42</v>
      </c>
      <c r="N172" t="s">
        <v>43</v>
      </c>
      <c r="O172" s="7">
        <v>1</v>
      </c>
      <c r="P172" s="8">
        <v>45136.709699074076</v>
      </c>
      <c r="Q172" s="9">
        <v>45139</v>
      </c>
      <c r="R172" t="s">
        <v>37</v>
      </c>
      <c r="S172" t="s">
        <v>44</v>
      </c>
      <c r="T172" t="s">
        <v>136</v>
      </c>
      <c r="U172" t="s">
        <v>81</v>
      </c>
      <c r="V172" t="s">
        <v>639</v>
      </c>
      <c r="W172">
        <v>31000</v>
      </c>
      <c r="X172" t="s">
        <v>44</v>
      </c>
      <c r="Y172" t="s">
        <v>136</v>
      </c>
      <c r="Z172" t="s">
        <v>49</v>
      </c>
      <c r="AA172" s="10">
        <f>IF(O172&lt;=1,7,7+0.8*ROUNDUP(O172-1,0))</f>
        <v>7</v>
      </c>
      <c r="AB172" s="11">
        <v>0</v>
      </c>
      <c r="AC172" s="11">
        <v>0</v>
      </c>
      <c r="AD172" s="11">
        <v>0</v>
      </c>
      <c r="AE172" s="11">
        <v>0</v>
      </c>
      <c r="AF172" s="11">
        <f t="shared" si="6"/>
        <v>0.42</v>
      </c>
      <c r="AG172" s="11">
        <f t="shared" si="7"/>
        <v>7.42</v>
      </c>
      <c r="AH172" t="s">
        <v>50</v>
      </c>
    </row>
    <row r="173" spans="1:34" ht="15" customHeight="1" x14ac:dyDescent="0.35">
      <c r="A173">
        <v>7547676</v>
      </c>
      <c r="B173">
        <v>690929</v>
      </c>
      <c r="C173" t="s">
        <v>34</v>
      </c>
      <c r="D173" t="s">
        <v>35</v>
      </c>
      <c r="E173" s="6" t="s">
        <v>34</v>
      </c>
      <c r="F173" t="s">
        <v>640</v>
      </c>
      <c r="G173" t="s">
        <v>37</v>
      </c>
      <c r="H173" t="s">
        <v>38</v>
      </c>
      <c r="I173" t="s">
        <v>641</v>
      </c>
      <c r="J173" t="s">
        <v>40</v>
      </c>
      <c r="K173">
        <v>2</v>
      </c>
      <c r="L173" t="s">
        <v>41</v>
      </c>
      <c r="M173" t="s">
        <v>42</v>
      </c>
      <c r="N173" t="s">
        <v>43</v>
      </c>
      <c r="O173" s="7">
        <v>2</v>
      </c>
      <c r="P173" s="8">
        <v>45138.643530092595</v>
      </c>
      <c r="Q173" s="9">
        <v>45139</v>
      </c>
      <c r="R173" t="s">
        <v>37</v>
      </c>
      <c r="S173" t="s">
        <v>44</v>
      </c>
      <c r="T173" t="s">
        <v>53</v>
      </c>
      <c r="U173" t="s">
        <v>72</v>
      </c>
      <c r="V173" t="s">
        <v>642</v>
      </c>
      <c r="W173">
        <v>22300</v>
      </c>
      <c r="X173" t="s">
        <v>44</v>
      </c>
      <c r="Y173" t="s">
        <v>74</v>
      </c>
      <c r="Z173" t="s">
        <v>49</v>
      </c>
      <c r="AA173" s="10">
        <f>IF(O173&lt;=1,7,7+0.8*ROUNDUP(O173-1,0))</f>
        <v>7.8</v>
      </c>
      <c r="AB173" s="11">
        <v>0</v>
      </c>
      <c r="AC173" s="11">
        <v>0</v>
      </c>
      <c r="AD173" s="11">
        <v>0</v>
      </c>
      <c r="AE173" s="11">
        <v>0</v>
      </c>
      <c r="AF173" s="11">
        <f t="shared" si="6"/>
        <v>0.46799999999999997</v>
      </c>
      <c r="AG173" s="11">
        <f t="shared" si="7"/>
        <v>8.2680000000000007</v>
      </c>
      <c r="AH173" t="s">
        <v>50</v>
      </c>
    </row>
    <row r="174" spans="1:34" ht="15" customHeight="1" x14ac:dyDescent="0.35">
      <c r="A174">
        <v>7547676</v>
      </c>
      <c r="B174">
        <v>690929</v>
      </c>
      <c r="C174" t="s">
        <v>34</v>
      </c>
      <c r="D174" t="s">
        <v>35</v>
      </c>
      <c r="E174" s="6" t="s">
        <v>34</v>
      </c>
      <c r="F174" t="s">
        <v>643</v>
      </c>
      <c r="G174" t="s">
        <v>37</v>
      </c>
      <c r="H174" t="s">
        <v>38</v>
      </c>
      <c r="I174" t="s">
        <v>644</v>
      </c>
      <c r="J174" t="s">
        <v>40</v>
      </c>
      <c r="K174">
        <v>2</v>
      </c>
      <c r="L174" t="s">
        <v>41</v>
      </c>
      <c r="M174" t="s">
        <v>42</v>
      </c>
      <c r="N174" t="s">
        <v>43</v>
      </c>
      <c r="O174" s="7">
        <v>1</v>
      </c>
      <c r="P174" s="8">
        <v>45137.563148148147</v>
      </c>
      <c r="Q174" s="9">
        <v>45139</v>
      </c>
      <c r="R174" t="s">
        <v>37</v>
      </c>
      <c r="S174" t="s">
        <v>44</v>
      </c>
      <c r="T174" t="s">
        <v>53</v>
      </c>
      <c r="U174" t="s">
        <v>54</v>
      </c>
      <c r="V174" t="s">
        <v>645</v>
      </c>
      <c r="W174">
        <v>68000</v>
      </c>
      <c r="X174" t="s">
        <v>44</v>
      </c>
      <c r="Y174" t="s">
        <v>136</v>
      </c>
      <c r="Z174" t="s">
        <v>49</v>
      </c>
      <c r="AA174" s="10">
        <f>IF(O174&lt;=1,7,7+0.8*ROUNDUP(O174-1,0))</f>
        <v>7</v>
      </c>
      <c r="AB174" s="11">
        <v>0</v>
      </c>
      <c r="AC174" s="11">
        <v>0</v>
      </c>
      <c r="AD174" s="11">
        <v>0</v>
      </c>
      <c r="AE174" s="11">
        <v>0</v>
      </c>
      <c r="AF174" s="11">
        <f t="shared" si="6"/>
        <v>0.42</v>
      </c>
      <c r="AG174" s="11">
        <f t="shared" si="7"/>
        <v>7.42</v>
      </c>
      <c r="AH174" t="s">
        <v>50</v>
      </c>
    </row>
    <row r="175" spans="1:34" ht="15" customHeight="1" x14ac:dyDescent="0.35">
      <c r="A175">
        <v>7547676</v>
      </c>
      <c r="B175">
        <v>690929</v>
      </c>
      <c r="C175" t="s">
        <v>34</v>
      </c>
      <c r="D175" t="s">
        <v>35</v>
      </c>
      <c r="E175" s="6" t="s">
        <v>34</v>
      </c>
      <c r="F175" t="s">
        <v>646</v>
      </c>
      <c r="G175" t="s">
        <v>37</v>
      </c>
      <c r="H175" t="s">
        <v>38</v>
      </c>
      <c r="I175" t="s">
        <v>647</v>
      </c>
      <c r="J175" t="s">
        <v>40</v>
      </c>
      <c r="K175">
        <v>2</v>
      </c>
      <c r="L175" t="s">
        <v>41</v>
      </c>
      <c r="M175" t="s">
        <v>42</v>
      </c>
      <c r="N175" t="s">
        <v>43</v>
      </c>
      <c r="O175" s="7">
        <v>1</v>
      </c>
      <c r="P175" s="8">
        <v>45136.454108796293</v>
      </c>
      <c r="Q175" s="9">
        <v>45139</v>
      </c>
      <c r="R175" t="s">
        <v>37</v>
      </c>
      <c r="S175" t="s">
        <v>44</v>
      </c>
      <c r="T175" t="s">
        <v>53</v>
      </c>
      <c r="U175" t="s">
        <v>134</v>
      </c>
      <c r="V175" t="s">
        <v>648</v>
      </c>
      <c r="W175">
        <v>59200</v>
      </c>
      <c r="X175" t="s">
        <v>44</v>
      </c>
      <c r="Y175" t="s">
        <v>91</v>
      </c>
      <c r="Z175" t="s">
        <v>49</v>
      </c>
      <c r="AA175" s="10">
        <f>IF(O175&lt;=1,7,7+0.8*ROUNDUP(O175-1,0))</f>
        <v>7</v>
      </c>
      <c r="AB175" s="11">
        <v>0</v>
      </c>
      <c r="AC175" s="11">
        <v>0</v>
      </c>
      <c r="AD175" s="11">
        <v>0</v>
      </c>
      <c r="AE175" s="11">
        <v>0</v>
      </c>
      <c r="AF175" s="11">
        <f t="shared" si="6"/>
        <v>0.42</v>
      </c>
      <c r="AG175" s="11">
        <f t="shared" si="7"/>
        <v>7.42</v>
      </c>
      <c r="AH175" t="s">
        <v>50</v>
      </c>
    </row>
    <row r="176" spans="1:34" ht="15" customHeight="1" x14ac:dyDescent="0.35">
      <c r="A176">
        <v>7547676</v>
      </c>
      <c r="B176">
        <v>690929</v>
      </c>
      <c r="C176" t="s">
        <v>34</v>
      </c>
      <c r="D176" t="s">
        <v>35</v>
      </c>
      <c r="E176" s="6" t="s">
        <v>34</v>
      </c>
      <c r="F176" t="s">
        <v>649</v>
      </c>
      <c r="G176" t="s">
        <v>37</v>
      </c>
      <c r="H176" t="s">
        <v>38</v>
      </c>
      <c r="I176" t="s">
        <v>650</v>
      </c>
      <c r="J176" t="s">
        <v>40</v>
      </c>
      <c r="K176">
        <v>2</v>
      </c>
      <c r="L176" t="s">
        <v>41</v>
      </c>
      <c r="M176" t="s">
        <v>42</v>
      </c>
      <c r="N176" t="s">
        <v>43</v>
      </c>
      <c r="O176" s="7">
        <v>3</v>
      </c>
      <c r="P176" s="8">
        <v>45138.680347222224</v>
      </c>
      <c r="Q176" s="9">
        <v>45139</v>
      </c>
      <c r="R176" t="s">
        <v>37</v>
      </c>
      <c r="S176" t="s">
        <v>44</v>
      </c>
      <c r="T176" t="s">
        <v>53</v>
      </c>
      <c r="U176" t="s">
        <v>67</v>
      </c>
      <c r="V176" t="s">
        <v>651</v>
      </c>
      <c r="W176">
        <v>27300</v>
      </c>
      <c r="X176" t="s">
        <v>44</v>
      </c>
      <c r="Y176" t="s">
        <v>652</v>
      </c>
      <c r="Z176" t="s">
        <v>49</v>
      </c>
      <c r="AA176" s="10">
        <f>IF(O176&lt;=1,7,7+0.8*ROUNDUP(O176-1,0))</f>
        <v>8.6</v>
      </c>
      <c r="AB176" s="11">
        <v>0</v>
      </c>
      <c r="AC176" s="11">
        <v>0</v>
      </c>
      <c r="AD176" s="11">
        <v>0</v>
      </c>
      <c r="AE176" s="11">
        <v>0</v>
      </c>
      <c r="AF176" s="11">
        <f t="shared" si="6"/>
        <v>0.51600000000000001</v>
      </c>
      <c r="AG176" s="11">
        <f t="shared" si="7"/>
        <v>9.1159999999999997</v>
      </c>
      <c r="AH176" t="s">
        <v>50</v>
      </c>
    </row>
    <row r="177" spans="1:34" ht="15" customHeight="1" x14ac:dyDescent="0.35">
      <c r="A177">
        <v>7547676</v>
      </c>
      <c r="B177">
        <v>690929</v>
      </c>
      <c r="C177" t="s">
        <v>34</v>
      </c>
      <c r="D177" t="s">
        <v>35</v>
      </c>
      <c r="E177" s="6" t="s">
        <v>34</v>
      </c>
      <c r="F177" t="s">
        <v>653</v>
      </c>
      <c r="G177" t="s">
        <v>37</v>
      </c>
      <c r="H177" t="s">
        <v>38</v>
      </c>
      <c r="I177" t="s">
        <v>654</v>
      </c>
      <c r="J177" t="s">
        <v>40</v>
      </c>
      <c r="K177">
        <v>2</v>
      </c>
      <c r="L177" t="s">
        <v>41</v>
      </c>
      <c r="M177" t="s">
        <v>42</v>
      </c>
      <c r="N177" t="s">
        <v>43</v>
      </c>
      <c r="O177" s="7">
        <v>1</v>
      </c>
      <c r="P177" s="8">
        <v>45137.586689814816</v>
      </c>
      <c r="Q177" s="9">
        <v>45139</v>
      </c>
      <c r="R177" t="s">
        <v>37</v>
      </c>
      <c r="S177" t="s">
        <v>44</v>
      </c>
      <c r="T177" t="s">
        <v>53</v>
      </c>
      <c r="U177" t="s">
        <v>202</v>
      </c>
      <c r="V177" t="s">
        <v>655</v>
      </c>
      <c r="W177">
        <v>77000</v>
      </c>
      <c r="X177" t="s">
        <v>44</v>
      </c>
      <c r="Y177" t="s">
        <v>136</v>
      </c>
      <c r="Z177" t="s">
        <v>49</v>
      </c>
      <c r="AA177" s="10">
        <f>IF(O177&lt;=1,7,7+0.8*ROUNDUP(O177-1,0))</f>
        <v>7</v>
      </c>
      <c r="AB177" s="11">
        <v>0</v>
      </c>
      <c r="AC177" s="11">
        <v>0</v>
      </c>
      <c r="AD177" s="11">
        <v>0</v>
      </c>
      <c r="AE177" s="11">
        <v>0</v>
      </c>
      <c r="AF177" s="11">
        <f t="shared" si="6"/>
        <v>0.42</v>
      </c>
      <c r="AG177" s="11">
        <f t="shared" si="7"/>
        <v>7.42</v>
      </c>
      <c r="AH177" t="s">
        <v>50</v>
      </c>
    </row>
    <row r="178" spans="1:34" ht="15" customHeight="1" x14ac:dyDescent="0.35">
      <c r="A178">
        <v>7547676</v>
      </c>
      <c r="B178">
        <v>690929</v>
      </c>
      <c r="C178" t="s">
        <v>34</v>
      </c>
      <c r="D178" t="s">
        <v>35</v>
      </c>
      <c r="E178" s="6" t="s">
        <v>34</v>
      </c>
      <c r="F178" t="s">
        <v>656</v>
      </c>
      <c r="G178" t="s">
        <v>37</v>
      </c>
      <c r="H178" t="s">
        <v>38</v>
      </c>
      <c r="I178" t="s">
        <v>657</v>
      </c>
      <c r="J178" t="s">
        <v>40</v>
      </c>
      <c r="K178">
        <v>2</v>
      </c>
      <c r="L178" t="s">
        <v>41</v>
      </c>
      <c r="M178" t="s">
        <v>42</v>
      </c>
      <c r="N178" t="s">
        <v>43</v>
      </c>
      <c r="O178" s="7">
        <v>1</v>
      </c>
      <c r="P178" s="8">
        <v>45137.668391203704</v>
      </c>
      <c r="Q178" s="9">
        <v>45139</v>
      </c>
      <c r="R178" t="s">
        <v>37</v>
      </c>
      <c r="S178" t="s">
        <v>44</v>
      </c>
      <c r="T178" t="s">
        <v>53</v>
      </c>
      <c r="U178" t="s">
        <v>210</v>
      </c>
      <c r="V178" t="s">
        <v>658</v>
      </c>
      <c r="W178">
        <v>6000</v>
      </c>
      <c r="X178" t="s">
        <v>44</v>
      </c>
      <c r="Y178" t="s">
        <v>288</v>
      </c>
      <c r="Z178" t="s">
        <v>49</v>
      </c>
      <c r="AA178" s="10">
        <f>IF(O178&lt;=1,7,7+0.8*ROUNDUP(O178-1,0))</f>
        <v>7</v>
      </c>
      <c r="AB178" s="11">
        <v>0</v>
      </c>
      <c r="AC178" s="11">
        <v>0</v>
      </c>
      <c r="AD178" s="11">
        <v>0</v>
      </c>
      <c r="AE178" s="11">
        <v>0</v>
      </c>
      <c r="AF178" s="11">
        <f t="shared" si="6"/>
        <v>0.42</v>
      </c>
      <c r="AG178" s="11">
        <f t="shared" si="7"/>
        <v>7.42</v>
      </c>
      <c r="AH178" t="s">
        <v>50</v>
      </c>
    </row>
    <row r="179" spans="1:34" ht="15" customHeight="1" x14ac:dyDescent="0.35">
      <c r="A179">
        <v>7547676</v>
      </c>
      <c r="B179">
        <v>690929</v>
      </c>
      <c r="C179" t="s">
        <v>34</v>
      </c>
      <c r="D179" t="s">
        <v>35</v>
      </c>
      <c r="E179" s="6" t="s">
        <v>34</v>
      </c>
      <c r="F179" t="s">
        <v>659</v>
      </c>
      <c r="G179" t="s">
        <v>37</v>
      </c>
      <c r="H179" t="s">
        <v>38</v>
      </c>
      <c r="I179" t="s">
        <v>660</v>
      </c>
      <c r="J179" t="s">
        <v>40</v>
      </c>
      <c r="K179">
        <v>2</v>
      </c>
      <c r="L179" t="s">
        <v>41</v>
      </c>
      <c r="M179" t="s">
        <v>42</v>
      </c>
      <c r="N179" t="s">
        <v>43</v>
      </c>
      <c r="O179" s="7">
        <v>2</v>
      </c>
      <c r="P179" s="8">
        <v>45136.512245370373</v>
      </c>
      <c r="Q179" s="9">
        <v>45139</v>
      </c>
      <c r="R179" t="s">
        <v>37</v>
      </c>
      <c r="S179" t="s">
        <v>44</v>
      </c>
      <c r="T179" t="s">
        <v>53</v>
      </c>
      <c r="U179" t="s">
        <v>54</v>
      </c>
      <c r="V179" t="s">
        <v>661</v>
      </c>
      <c r="W179">
        <v>62502</v>
      </c>
      <c r="X179" t="s">
        <v>44</v>
      </c>
      <c r="Y179" t="s">
        <v>136</v>
      </c>
      <c r="Z179" t="s">
        <v>49</v>
      </c>
      <c r="AA179" s="10">
        <f>IF(O179&lt;=1,7,7+0.8*ROUNDUP(O179-1,0))</f>
        <v>7.8</v>
      </c>
      <c r="AB179" s="11">
        <v>0</v>
      </c>
      <c r="AC179" s="11">
        <v>0</v>
      </c>
      <c r="AD179" s="11">
        <v>0</v>
      </c>
      <c r="AE179" s="11">
        <v>0</v>
      </c>
      <c r="AF179" s="11">
        <f t="shared" si="6"/>
        <v>0.46799999999999997</v>
      </c>
      <c r="AG179" s="11">
        <f t="shared" si="7"/>
        <v>8.2680000000000007</v>
      </c>
      <c r="AH179" t="s">
        <v>50</v>
      </c>
    </row>
    <row r="180" spans="1:34" ht="15" customHeight="1" x14ac:dyDescent="0.35">
      <c r="A180">
        <v>7547676</v>
      </c>
      <c r="B180">
        <v>690929</v>
      </c>
      <c r="C180" t="s">
        <v>34</v>
      </c>
      <c r="D180" t="s">
        <v>35</v>
      </c>
      <c r="E180" s="6" t="s">
        <v>34</v>
      </c>
      <c r="F180" t="s">
        <v>662</v>
      </c>
      <c r="G180" t="s">
        <v>37</v>
      </c>
      <c r="H180" t="s">
        <v>38</v>
      </c>
      <c r="I180" t="s">
        <v>663</v>
      </c>
      <c r="J180" t="s">
        <v>40</v>
      </c>
      <c r="K180">
        <v>2</v>
      </c>
      <c r="L180" t="s">
        <v>41</v>
      </c>
      <c r="M180" t="s">
        <v>42</v>
      </c>
      <c r="N180" t="s">
        <v>43</v>
      </c>
      <c r="O180" s="7">
        <v>1</v>
      </c>
      <c r="P180" s="8">
        <v>45138.562685185185</v>
      </c>
      <c r="Q180" s="9">
        <v>45139</v>
      </c>
      <c r="R180" t="s">
        <v>37</v>
      </c>
      <c r="S180" t="s">
        <v>44</v>
      </c>
      <c r="T180" t="s">
        <v>53</v>
      </c>
      <c r="U180" t="s">
        <v>54</v>
      </c>
      <c r="V180" t="s">
        <v>664</v>
      </c>
      <c r="W180">
        <v>47610</v>
      </c>
      <c r="X180" t="s">
        <v>44</v>
      </c>
      <c r="Y180" t="s">
        <v>95</v>
      </c>
      <c r="Z180" t="s">
        <v>49</v>
      </c>
      <c r="AA180" s="10">
        <f>IF(O180&lt;=1,7,7+0.8*ROUNDUP(O180-1,0))</f>
        <v>7</v>
      </c>
      <c r="AB180" s="11">
        <v>0</v>
      </c>
      <c r="AC180" s="11">
        <v>0</v>
      </c>
      <c r="AD180" s="11">
        <v>0</v>
      </c>
      <c r="AE180" s="11">
        <v>0</v>
      </c>
      <c r="AF180" s="11">
        <f t="shared" si="6"/>
        <v>0.42</v>
      </c>
      <c r="AG180" s="11">
        <f t="shared" si="7"/>
        <v>7.42</v>
      </c>
      <c r="AH180" t="s">
        <v>50</v>
      </c>
    </row>
    <row r="181" spans="1:34" ht="15" customHeight="1" x14ac:dyDescent="0.35">
      <c r="A181">
        <v>7547676</v>
      </c>
      <c r="B181">
        <v>690929</v>
      </c>
      <c r="C181" t="s">
        <v>34</v>
      </c>
      <c r="D181" t="s">
        <v>35</v>
      </c>
      <c r="E181" s="6" t="s">
        <v>34</v>
      </c>
      <c r="F181" t="s">
        <v>665</v>
      </c>
      <c r="G181" t="s">
        <v>37</v>
      </c>
      <c r="H181" t="s">
        <v>38</v>
      </c>
      <c r="I181" t="s">
        <v>666</v>
      </c>
      <c r="J181" t="s">
        <v>40</v>
      </c>
      <c r="K181">
        <v>2</v>
      </c>
      <c r="L181" t="s">
        <v>41</v>
      </c>
      <c r="M181" t="s">
        <v>42</v>
      </c>
      <c r="N181" t="s">
        <v>43</v>
      </c>
      <c r="O181" s="7">
        <v>1</v>
      </c>
      <c r="P181" s="8">
        <v>45138.680289351854</v>
      </c>
      <c r="Q181" s="9">
        <v>45139</v>
      </c>
      <c r="R181" t="s">
        <v>37</v>
      </c>
      <c r="S181" t="s">
        <v>44</v>
      </c>
      <c r="T181" t="s">
        <v>53</v>
      </c>
      <c r="U181" t="s">
        <v>72</v>
      </c>
      <c r="V181" t="s">
        <v>667</v>
      </c>
      <c r="W181">
        <v>21400</v>
      </c>
      <c r="X181" t="s">
        <v>44</v>
      </c>
      <c r="Y181" t="s">
        <v>53</v>
      </c>
      <c r="Z181" t="s">
        <v>49</v>
      </c>
      <c r="AA181" s="10">
        <f>IF(O181&lt;=1,7,7+0.8*ROUNDUP(O181-1,0))</f>
        <v>7</v>
      </c>
      <c r="AB181" s="11">
        <v>0</v>
      </c>
      <c r="AC181" s="11">
        <v>0</v>
      </c>
      <c r="AD181" s="11">
        <v>0</v>
      </c>
      <c r="AE181" s="11">
        <v>0</v>
      </c>
      <c r="AF181" s="11">
        <f t="shared" si="6"/>
        <v>0.42</v>
      </c>
      <c r="AG181" s="11">
        <f t="shared" si="7"/>
        <v>7.42</v>
      </c>
      <c r="AH181" t="s">
        <v>50</v>
      </c>
    </row>
    <row r="182" spans="1:34" ht="15" customHeight="1" x14ac:dyDescent="0.35">
      <c r="A182">
        <v>7547676</v>
      </c>
      <c r="B182">
        <v>690929</v>
      </c>
      <c r="C182" t="s">
        <v>34</v>
      </c>
      <c r="D182" t="s">
        <v>35</v>
      </c>
      <c r="E182" s="6" t="s">
        <v>34</v>
      </c>
      <c r="F182" t="s">
        <v>668</v>
      </c>
      <c r="G182" t="s">
        <v>37</v>
      </c>
      <c r="H182" t="s">
        <v>38</v>
      </c>
      <c r="I182" t="s">
        <v>669</v>
      </c>
      <c r="J182" t="s">
        <v>40</v>
      </c>
      <c r="K182">
        <v>2</v>
      </c>
      <c r="L182" t="s">
        <v>41</v>
      </c>
      <c r="M182" t="s">
        <v>42</v>
      </c>
      <c r="N182" t="s">
        <v>43</v>
      </c>
      <c r="O182" s="7">
        <v>1</v>
      </c>
      <c r="P182" s="8">
        <v>45129.566342592596</v>
      </c>
      <c r="Q182" s="9">
        <v>45139</v>
      </c>
      <c r="R182" t="s">
        <v>37</v>
      </c>
      <c r="S182" t="s">
        <v>44</v>
      </c>
      <c r="T182" t="s">
        <v>53</v>
      </c>
      <c r="U182" t="s">
        <v>192</v>
      </c>
      <c r="V182" t="s">
        <v>670</v>
      </c>
      <c r="W182">
        <v>94950</v>
      </c>
      <c r="X182" t="s">
        <v>194</v>
      </c>
      <c r="Y182" t="s">
        <v>136</v>
      </c>
      <c r="Z182" t="s">
        <v>49</v>
      </c>
      <c r="AA182" s="12">
        <f>IF(O182&lt;=1,13,IF(O182&lt;=2,23,IF(O182&lt;=3,35,IF(O182&lt;=4,43,IF(O182&lt;=5,53,IF(O182&lt;=6,63,IF(O182&lt;=7,71,IF(O182&lt;=8,79,IF(O182&lt;=9,87,IF(O182&lt;=10,95,IF(O182&lt;=11,105,IF(O182&lt;=12,114,IF(O182&lt;=13,119,IF(O182&lt;=14,127,IF(O182&lt;=15,135,IF(O182&lt;=16,143,IF(O182&lt;=17,153,IF(O182&lt;=18,163,IF(O182&lt;=19,171,IF(O182&lt;=20,185,IF(O182&lt;=21,193,IF(O182&lt;=22,201,IF(O182&lt;=23,210,IF(O182&lt;=24,220,IF(O182&lt;=25,230,IF(O182&lt;=26,240,IF(O182&lt;=27,250,IF(O182&lt;=28,260,IF(O182&lt;=29,270,IF(O182&lt;=30,280,280+10*ROUNDUP(O182-30,0)))))))))))))))))))))))))))))))</f>
        <v>13</v>
      </c>
      <c r="AB182" s="11">
        <v>0</v>
      </c>
      <c r="AC182" s="11">
        <v>0</v>
      </c>
      <c r="AD182" s="11">
        <v>0</v>
      </c>
      <c r="AE182" s="11">
        <v>0</v>
      </c>
      <c r="AF182" s="11">
        <f t="shared" si="6"/>
        <v>0.78</v>
      </c>
      <c r="AG182" s="11">
        <f t="shared" si="7"/>
        <v>13.78</v>
      </c>
      <c r="AH182" t="s">
        <v>194</v>
      </c>
    </row>
    <row r="183" spans="1:34" ht="15" customHeight="1" x14ac:dyDescent="0.35">
      <c r="A183">
        <v>7547676</v>
      </c>
      <c r="B183">
        <v>690929</v>
      </c>
      <c r="C183" t="s">
        <v>34</v>
      </c>
      <c r="D183" t="s">
        <v>35</v>
      </c>
      <c r="E183" s="6" t="s">
        <v>34</v>
      </c>
      <c r="F183" t="s">
        <v>671</v>
      </c>
      <c r="G183" t="s">
        <v>37</v>
      </c>
      <c r="H183" t="s">
        <v>38</v>
      </c>
      <c r="I183" t="s">
        <v>672</v>
      </c>
      <c r="J183" t="s">
        <v>40</v>
      </c>
      <c r="K183">
        <v>2</v>
      </c>
      <c r="L183" t="s">
        <v>41</v>
      </c>
      <c r="M183" t="s">
        <v>42</v>
      </c>
      <c r="N183" t="s">
        <v>43</v>
      </c>
      <c r="O183" s="7">
        <v>1</v>
      </c>
      <c r="P183" s="8">
        <v>45138.445092592592</v>
      </c>
      <c r="Q183" s="9">
        <v>45139</v>
      </c>
      <c r="R183" t="s">
        <v>37</v>
      </c>
      <c r="S183" t="s">
        <v>44</v>
      </c>
      <c r="T183" t="s">
        <v>53</v>
      </c>
      <c r="U183" t="s">
        <v>54</v>
      </c>
      <c r="V183" t="s">
        <v>673</v>
      </c>
      <c r="W183">
        <v>47820</v>
      </c>
      <c r="X183" t="s">
        <v>44</v>
      </c>
      <c r="Y183" t="s">
        <v>674</v>
      </c>
      <c r="Z183" t="s">
        <v>49</v>
      </c>
      <c r="AA183" s="10">
        <f>IF(O183&lt;=1,7,7+0.8*ROUNDUP(O183-1,0))</f>
        <v>7</v>
      </c>
      <c r="AB183" s="11">
        <v>0</v>
      </c>
      <c r="AC183" s="11">
        <v>0</v>
      </c>
      <c r="AD183" s="11">
        <v>0</v>
      </c>
      <c r="AE183" s="11">
        <v>0</v>
      </c>
      <c r="AF183" s="11">
        <f t="shared" si="6"/>
        <v>0.42</v>
      </c>
      <c r="AG183" s="11">
        <f t="shared" si="7"/>
        <v>7.42</v>
      </c>
      <c r="AH183" t="s">
        <v>50</v>
      </c>
    </row>
    <row r="184" spans="1:34" ht="15" customHeight="1" x14ac:dyDescent="0.35">
      <c r="A184">
        <v>7547676</v>
      </c>
      <c r="B184">
        <v>690929</v>
      </c>
      <c r="C184" t="s">
        <v>34</v>
      </c>
      <c r="D184" t="s">
        <v>35</v>
      </c>
      <c r="E184" s="6" t="s">
        <v>34</v>
      </c>
      <c r="F184" t="s">
        <v>675</v>
      </c>
      <c r="G184" t="s">
        <v>37</v>
      </c>
      <c r="H184" t="s">
        <v>38</v>
      </c>
      <c r="I184" t="s">
        <v>676</v>
      </c>
      <c r="J184" t="s">
        <v>40</v>
      </c>
      <c r="K184">
        <v>2</v>
      </c>
      <c r="L184" t="s">
        <v>41</v>
      </c>
      <c r="M184" t="s">
        <v>42</v>
      </c>
      <c r="N184" t="s">
        <v>43</v>
      </c>
      <c r="O184" s="7">
        <v>1</v>
      </c>
      <c r="P184" s="8">
        <v>45136.741423611114</v>
      </c>
      <c r="Q184" s="9">
        <v>45139</v>
      </c>
      <c r="R184" t="s">
        <v>37</v>
      </c>
      <c r="S184" t="s">
        <v>44</v>
      </c>
      <c r="T184" t="s">
        <v>136</v>
      </c>
      <c r="U184" t="s">
        <v>192</v>
      </c>
      <c r="V184" t="s">
        <v>677</v>
      </c>
      <c r="W184">
        <v>96100</v>
      </c>
      <c r="X184" t="s">
        <v>194</v>
      </c>
      <c r="Y184" t="s">
        <v>136</v>
      </c>
      <c r="Z184" t="s">
        <v>49</v>
      </c>
      <c r="AA184" s="12">
        <f>IF(O184&lt;=1,13,IF(O184&lt;=2,23,IF(O184&lt;=3,35,IF(O184&lt;=4,43,IF(O184&lt;=5,53,IF(O184&lt;=6,63,IF(O184&lt;=7,71,IF(O184&lt;=8,79,IF(O184&lt;=9,87,IF(O184&lt;=10,95,IF(O184&lt;=11,105,IF(O184&lt;=12,114,IF(O184&lt;=13,119,IF(O184&lt;=14,127,IF(O184&lt;=15,135,IF(O184&lt;=16,143,IF(O184&lt;=17,153,IF(O184&lt;=18,163,IF(O184&lt;=19,171,IF(O184&lt;=20,185,IF(O184&lt;=21,193,IF(O184&lt;=22,201,IF(O184&lt;=23,210,IF(O184&lt;=24,220,IF(O184&lt;=25,230,IF(O184&lt;=26,240,IF(O184&lt;=27,250,IF(O184&lt;=28,260,IF(O184&lt;=29,270,IF(O184&lt;=30,280,280+10*ROUNDUP(O184-30,0)))))))))))))))))))))))))))))))</f>
        <v>13</v>
      </c>
      <c r="AB184" s="11">
        <v>0</v>
      </c>
      <c r="AC184" s="11">
        <v>0</v>
      </c>
      <c r="AD184" s="11">
        <v>0</v>
      </c>
      <c r="AE184" s="11">
        <v>0</v>
      </c>
      <c r="AF184" s="11">
        <f t="shared" si="6"/>
        <v>0.78</v>
      </c>
      <c r="AG184" s="11">
        <f t="shared" si="7"/>
        <v>13.78</v>
      </c>
      <c r="AH184" t="s">
        <v>194</v>
      </c>
    </row>
    <row r="185" spans="1:34" ht="15" customHeight="1" x14ac:dyDescent="0.35">
      <c r="A185">
        <v>7547676</v>
      </c>
      <c r="B185">
        <v>690929</v>
      </c>
      <c r="C185" t="s">
        <v>34</v>
      </c>
      <c r="D185" t="s">
        <v>35</v>
      </c>
      <c r="E185" s="6" t="s">
        <v>34</v>
      </c>
      <c r="F185" t="s">
        <v>678</v>
      </c>
      <c r="G185" t="s">
        <v>37</v>
      </c>
      <c r="H185" t="s">
        <v>38</v>
      </c>
      <c r="I185" t="s">
        <v>679</v>
      </c>
      <c r="J185" t="s">
        <v>40</v>
      </c>
      <c r="K185">
        <v>2</v>
      </c>
      <c r="L185" t="s">
        <v>41</v>
      </c>
      <c r="M185" t="s">
        <v>42</v>
      </c>
      <c r="N185" t="s">
        <v>43</v>
      </c>
      <c r="O185" s="7">
        <v>4</v>
      </c>
      <c r="P185" s="8">
        <v>45138.641435185185</v>
      </c>
      <c r="Q185" s="9">
        <v>45139</v>
      </c>
      <c r="R185" t="s">
        <v>37</v>
      </c>
      <c r="S185" t="s">
        <v>44</v>
      </c>
      <c r="T185" t="s">
        <v>53</v>
      </c>
      <c r="U185" t="s">
        <v>59</v>
      </c>
      <c r="V185" t="s">
        <v>680</v>
      </c>
      <c r="W185">
        <v>17610</v>
      </c>
      <c r="X185" t="s">
        <v>44</v>
      </c>
      <c r="Y185" t="s">
        <v>681</v>
      </c>
      <c r="Z185" t="s">
        <v>49</v>
      </c>
      <c r="AA185" s="10">
        <f>IF(O185&lt;=1,7,7+0.8*ROUNDUP(O185-1,0))</f>
        <v>9.4</v>
      </c>
      <c r="AB185" s="11">
        <v>0</v>
      </c>
      <c r="AC185" s="11">
        <v>0</v>
      </c>
      <c r="AD185" s="11">
        <v>0</v>
      </c>
      <c r="AE185" s="11">
        <v>0</v>
      </c>
      <c r="AF185" s="11">
        <f t="shared" si="6"/>
        <v>0.56399999999999995</v>
      </c>
      <c r="AG185" s="11">
        <f t="shared" si="7"/>
        <v>9.9640000000000004</v>
      </c>
      <c r="AH185" t="s">
        <v>50</v>
      </c>
    </row>
    <row r="186" spans="1:34" ht="15" customHeight="1" x14ac:dyDescent="0.35">
      <c r="A186">
        <v>7547676</v>
      </c>
      <c r="B186">
        <v>690929</v>
      </c>
      <c r="C186" t="s">
        <v>34</v>
      </c>
      <c r="D186" t="s">
        <v>35</v>
      </c>
      <c r="E186" s="6" t="s">
        <v>34</v>
      </c>
      <c r="F186" t="s">
        <v>682</v>
      </c>
      <c r="G186" t="s">
        <v>37</v>
      </c>
      <c r="H186" t="s">
        <v>38</v>
      </c>
      <c r="I186" t="s">
        <v>683</v>
      </c>
      <c r="J186" t="s">
        <v>40</v>
      </c>
      <c r="K186">
        <v>2</v>
      </c>
      <c r="L186" t="s">
        <v>41</v>
      </c>
      <c r="M186" t="s">
        <v>42</v>
      </c>
      <c r="N186" t="s">
        <v>43</v>
      </c>
      <c r="O186" s="7">
        <v>1</v>
      </c>
      <c r="P186" s="8">
        <v>45137.701932870368</v>
      </c>
      <c r="Q186" s="9">
        <v>45139</v>
      </c>
      <c r="R186" t="s">
        <v>37</v>
      </c>
      <c r="S186" t="s">
        <v>44</v>
      </c>
      <c r="T186" t="s">
        <v>53</v>
      </c>
      <c r="U186" t="s">
        <v>54</v>
      </c>
      <c r="V186" t="s">
        <v>684</v>
      </c>
      <c r="W186">
        <v>42500</v>
      </c>
      <c r="X186" t="s">
        <v>44</v>
      </c>
      <c r="Y186" t="s">
        <v>685</v>
      </c>
      <c r="Z186" t="s">
        <v>49</v>
      </c>
      <c r="AA186" s="10">
        <f>IF(O186&lt;=1,7,7+0.8*ROUNDUP(O186-1,0))</f>
        <v>7</v>
      </c>
      <c r="AB186" s="11">
        <v>0</v>
      </c>
      <c r="AC186" s="11">
        <v>0</v>
      </c>
      <c r="AD186" s="11">
        <v>0</v>
      </c>
      <c r="AE186" s="11">
        <v>0</v>
      </c>
      <c r="AF186" s="11">
        <f t="shared" si="6"/>
        <v>0.42</v>
      </c>
      <c r="AG186" s="11">
        <f t="shared" si="7"/>
        <v>7.42</v>
      </c>
      <c r="AH186" t="s">
        <v>50</v>
      </c>
    </row>
    <row r="187" spans="1:34" ht="15" customHeight="1" x14ac:dyDescent="0.35">
      <c r="A187">
        <v>7547676</v>
      </c>
      <c r="B187">
        <v>690929</v>
      </c>
      <c r="C187" t="s">
        <v>34</v>
      </c>
      <c r="D187" t="s">
        <v>35</v>
      </c>
      <c r="E187" s="6" t="s">
        <v>34</v>
      </c>
      <c r="F187" t="s">
        <v>686</v>
      </c>
      <c r="G187" t="s">
        <v>37</v>
      </c>
      <c r="H187" t="s">
        <v>38</v>
      </c>
      <c r="I187" t="s">
        <v>687</v>
      </c>
      <c r="J187" t="s">
        <v>40</v>
      </c>
      <c r="K187">
        <v>2</v>
      </c>
      <c r="L187" t="s">
        <v>41</v>
      </c>
      <c r="M187" t="s">
        <v>42</v>
      </c>
      <c r="N187" t="s">
        <v>43</v>
      </c>
      <c r="O187" s="7">
        <v>1</v>
      </c>
      <c r="P187" s="8">
        <v>45138.552708333336</v>
      </c>
      <c r="Q187" s="9">
        <v>45140</v>
      </c>
      <c r="R187" t="s">
        <v>37</v>
      </c>
      <c r="S187" t="s">
        <v>44</v>
      </c>
      <c r="T187" t="s">
        <v>53</v>
      </c>
      <c r="U187" t="s">
        <v>197</v>
      </c>
      <c r="V187" t="s">
        <v>688</v>
      </c>
      <c r="W187">
        <v>84410</v>
      </c>
      <c r="X187" t="s">
        <v>44</v>
      </c>
      <c r="Y187" t="s">
        <v>689</v>
      </c>
      <c r="Z187" t="s">
        <v>49</v>
      </c>
      <c r="AA187" s="10">
        <f>IF(O187&lt;=1,7,7+0.8*ROUNDUP(O187-1,0))</f>
        <v>7</v>
      </c>
      <c r="AB187" s="11">
        <v>0</v>
      </c>
      <c r="AC187" s="11">
        <v>0</v>
      </c>
      <c r="AD187" s="11">
        <v>0</v>
      </c>
      <c r="AE187" s="11">
        <v>0</v>
      </c>
      <c r="AF187" s="11">
        <f t="shared" si="6"/>
        <v>0.42</v>
      </c>
      <c r="AG187" s="11">
        <f t="shared" si="7"/>
        <v>7.42</v>
      </c>
      <c r="AH187" t="s">
        <v>50</v>
      </c>
    </row>
    <row r="188" spans="1:34" ht="15" customHeight="1" x14ac:dyDescent="0.35">
      <c r="A188">
        <v>7547676</v>
      </c>
      <c r="B188">
        <v>690929</v>
      </c>
      <c r="C188" t="s">
        <v>34</v>
      </c>
      <c r="D188" t="s">
        <v>35</v>
      </c>
      <c r="E188" s="6" t="s">
        <v>34</v>
      </c>
      <c r="F188" t="s">
        <v>690</v>
      </c>
      <c r="G188" t="s">
        <v>37</v>
      </c>
      <c r="H188" t="s">
        <v>38</v>
      </c>
      <c r="I188" t="s">
        <v>691</v>
      </c>
      <c r="J188" t="s">
        <v>40</v>
      </c>
      <c r="K188">
        <v>2</v>
      </c>
      <c r="L188" t="s">
        <v>41</v>
      </c>
      <c r="M188" t="s">
        <v>42</v>
      </c>
      <c r="N188" t="s">
        <v>43</v>
      </c>
      <c r="O188" s="7">
        <v>9</v>
      </c>
      <c r="P188" s="8">
        <v>45139.739988425928</v>
      </c>
      <c r="Q188" s="9">
        <v>45140</v>
      </c>
      <c r="R188" t="s">
        <v>37</v>
      </c>
      <c r="S188" t="s">
        <v>44</v>
      </c>
      <c r="T188" t="s">
        <v>53</v>
      </c>
      <c r="U188" t="s">
        <v>72</v>
      </c>
      <c r="V188" t="s">
        <v>692</v>
      </c>
      <c r="W188">
        <v>21100</v>
      </c>
      <c r="X188" t="s">
        <v>44</v>
      </c>
      <c r="Y188" t="s">
        <v>693</v>
      </c>
      <c r="Z188" t="s">
        <v>49</v>
      </c>
      <c r="AA188" s="10">
        <f>IF(O188&lt;=1,7,7+0.8*ROUNDUP(O188-1,0))</f>
        <v>13.4</v>
      </c>
      <c r="AB188" s="11">
        <v>0</v>
      </c>
      <c r="AC188" s="11">
        <v>0</v>
      </c>
      <c r="AD188" s="11">
        <v>0</v>
      </c>
      <c r="AE188" s="11">
        <v>0</v>
      </c>
      <c r="AF188" s="11">
        <f t="shared" si="6"/>
        <v>0.80399999999999994</v>
      </c>
      <c r="AG188" s="11">
        <f t="shared" si="7"/>
        <v>14.204000000000001</v>
      </c>
      <c r="AH188" t="s">
        <v>50</v>
      </c>
    </row>
    <row r="189" spans="1:34" ht="15" customHeight="1" x14ac:dyDescent="0.35">
      <c r="A189">
        <v>7547676</v>
      </c>
      <c r="B189">
        <v>690929</v>
      </c>
      <c r="C189" t="s">
        <v>34</v>
      </c>
      <c r="D189" t="s">
        <v>35</v>
      </c>
      <c r="E189" s="6" t="s">
        <v>34</v>
      </c>
      <c r="F189" t="s">
        <v>694</v>
      </c>
      <c r="G189" t="s">
        <v>37</v>
      </c>
      <c r="H189" t="s">
        <v>38</v>
      </c>
      <c r="I189" t="s">
        <v>695</v>
      </c>
      <c r="J189" t="s">
        <v>40</v>
      </c>
      <c r="K189">
        <v>2</v>
      </c>
      <c r="L189" t="s">
        <v>41</v>
      </c>
      <c r="M189" t="s">
        <v>42</v>
      </c>
      <c r="N189" t="s">
        <v>43</v>
      </c>
      <c r="O189" s="7">
        <v>3</v>
      </c>
      <c r="P189" s="8">
        <v>45139.739988425928</v>
      </c>
      <c r="Q189" s="9">
        <v>45140</v>
      </c>
      <c r="R189" t="s">
        <v>37</v>
      </c>
      <c r="S189" t="s">
        <v>44</v>
      </c>
      <c r="T189" t="s">
        <v>53</v>
      </c>
      <c r="U189" t="s">
        <v>59</v>
      </c>
      <c r="V189" t="s">
        <v>696</v>
      </c>
      <c r="W189">
        <v>16200</v>
      </c>
      <c r="X189" t="s">
        <v>44</v>
      </c>
      <c r="Y189" t="s">
        <v>697</v>
      </c>
      <c r="Z189" t="s">
        <v>49</v>
      </c>
      <c r="AA189" s="10">
        <f>IF(O189&lt;=1,7,7+0.8*ROUNDUP(O189-1,0))</f>
        <v>8.6</v>
      </c>
      <c r="AB189" s="11">
        <v>0</v>
      </c>
      <c r="AC189" s="11">
        <v>0</v>
      </c>
      <c r="AD189" s="11">
        <v>0</v>
      </c>
      <c r="AE189" s="11">
        <v>0</v>
      </c>
      <c r="AF189" s="11">
        <f t="shared" si="6"/>
        <v>0.51600000000000001</v>
      </c>
      <c r="AG189" s="11">
        <f t="shared" si="7"/>
        <v>9.1159999999999997</v>
      </c>
      <c r="AH189" t="s">
        <v>50</v>
      </c>
    </row>
    <row r="190" spans="1:34" ht="15" customHeight="1" x14ac:dyDescent="0.35">
      <c r="A190">
        <v>7547676</v>
      </c>
      <c r="B190">
        <v>690929</v>
      </c>
      <c r="C190" t="s">
        <v>34</v>
      </c>
      <c r="D190" t="s">
        <v>35</v>
      </c>
      <c r="E190" s="6" t="s">
        <v>34</v>
      </c>
      <c r="F190" t="s">
        <v>698</v>
      </c>
      <c r="G190" t="s">
        <v>37</v>
      </c>
      <c r="H190" t="s">
        <v>38</v>
      </c>
      <c r="I190" t="s">
        <v>699</v>
      </c>
      <c r="J190" t="s">
        <v>40</v>
      </c>
      <c r="K190">
        <v>2</v>
      </c>
      <c r="L190" t="s">
        <v>41</v>
      </c>
      <c r="M190" t="s">
        <v>42</v>
      </c>
      <c r="N190" t="s">
        <v>43</v>
      </c>
      <c r="O190" s="7">
        <v>1</v>
      </c>
      <c r="P190" s="8">
        <v>45139.579953703702</v>
      </c>
      <c r="Q190" s="9">
        <v>45140</v>
      </c>
      <c r="R190" t="s">
        <v>37</v>
      </c>
      <c r="S190" t="s">
        <v>44</v>
      </c>
      <c r="T190" t="s">
        <v>53</v>
      </c>
      <c r="U190" t="s">
        <v>134</v>
      </c>
      <c r="V190" t="s">
        <v>700</v>
      </c>
      <c r="W190">
        <v>59200</v>
      </c>
      <c r="X190" t="s">
        <v>44</v>
      </c>
      <c r="Y190" t="s">
        <v>701</v>
      </c>
      <c r="Z190" t="s">
        <v>49</v>
      </c>
      <c r="AA190" s="10">
        <f>IF(O190&lt;=1,7,7+0.8*ROUNDUP(O190-1,0))</f>
        <v>7</v>
      </c>
      <c r="AB190" s="11">
        <v>0</v>
      </c>
      <c r="AC190" s="11">
        <v>0</v>
      </c>
      <c r="AD190" s="11">
        <v>0</v>
      </c>
      <c r="AE190" s="11">
        <v>0</v>
      </c>
      <c r="AF190" s="11">
        <f t="shared" si="6"/>
        <v>0.42</v>
      </c>
      <c r="AG190" s="11">
        <f t="shared" si="7"/>
        <v>7.42</v>
      </c>
      <c r="AH190" t="s">
        <v>50</v>
      </c>
    </row>
    <row r="191" spans="1:34" ht="15" customHeight="1" x14ac:dyDescent="0.35">
      <c r="A191">
        <v>7547676</v>
      </c>
      <c r="B191">
        <v>690929</v>
      </c>
      <c r="C191" t="s">
        <v>34</v>
      </c>
      <c r="D191" t="s">
        <v>35</v>
      </c>
      <c r="E191" s="6" t="s">
        <v>34</v>
      </c>
      <c r="F191" t="s">
        <v>702</v>
      </c>
      <c r="G191" t="s">
        <v>37</v>
      </c>
      <c r="H191" t="s">
        <v>38</v>
      </c>
      <c r="I191" t="s">
        <v>703</v>
      </c>
      <c r="J191" t="s">
        <v>40</v>
      </c>
      <c r="K191">
        <v>2</v>
      </c>
      <c r="L191" t="s">
        <v>41</v>
      </c>
      <c r="M191" t="s">
        <v>42</v>
      </c>
      <c r="N191" t="s">
        <v>43</v>
      </c>
      <c r="O191" s="7">
        <v>1</v>
      </c>
      <c r="P191" s="8">
        <v>45138.68509259259</v>
      </c>
      <c r="Q191" s="9">
        <v>45140</v>
      </c>
      <c r="R191" t="s">
        <v>37</v>
      </c>
      <c r="S191" t="s">
        <v>44</v>
      </c>
      <c r="T191" t="s">
        <v>53</v>
      </c>
      <c r="U191" t="s">
        <v>54</v>
      </c>
      <c r="V191" t="s">
        <v>704</v>
      </c>
      <c r="W191">
        <v>62100</v>
      </c>
      <c r="X191" t="s">
        <v>44</v>
      </c>
      <c r="Y191" t="s">
        <v>136</v>
      </c>
      <c r="Z191" t="s">
        <v>49</v>
      </c>
      <c r="AA191" s="10">
        <f>IF(O191&lt;=1,7,7+0.8*ROUNDUP(O191-1,0))</f>
        <v>7</v>
      </c>
      <c r="AB191" s="11">
        <v>0</v>
      </c>
      <c r="AC191" s="11">
        <v>0</v>
      </c>
      <c r="AD191" s="11">
        <v>0</v>
      </c>
      <c r="AE191" s="11">
        <v>0</v>
      </c>
      <c r="AF191" s="11">
        <f t="shared" si="6"/>
        <v>0.42</v>
      </c>
      <c r="AG191" s="11">
        <f t="shared" si="7"/>
        <v>7.42</v>
      </c>
      <c r="AH191" t="s">
        <v>50</v>
      </c>
    </row>
    <row r="192" spans="1:34" ht="15" customHeight="1" x14ac:dyDescent="0.35">
      <c r="A192">
        <v>7547676</v>
      </c>
      <c r="B192">
        <v>690929</v>
      </c>
      <c r="C192" t="s">
        <v>34</v>
      </c>
      <c r="D192" t="s">
        <v>35</v>
      </c>
      <c r="E192" s="6" t="s">
        <v>34</v>
      </c>
      <c r="F192" t="s">
        <v>705</v>
      </c>
      <c r="G192" t="s">
        <v>37</v>
      </c>
      <c r="H192" t="s">
        <v>38</v>
      </c>
      <c r="I192" t="s">
        <v>706</v>
      </c>
      <c r="J192" t="s">
        <v>40</v>
      </c>
      <c r="K192">
        <v>2</v>
      </c>
      <c r="L192" t="s">
        <v>41</v>
      </c>
      <c r="M192" t="s">
        <v>42</v>
      </c>
      <c r="N192" t="s">
        <v>43</v>
      </c>
      <c r="O192" s="7">
        <v>1</v>
      </c>
      <c r="P192" s="8">
        <v>45139.456076388888</v>
      </c>
      <c r="Q192" s="9">
        <v>45140</v>
      </c>
      <c r="R192" t="s">
        <v>37</v>
      </c>
      <c r="S192" t="s">
        <v>44</v>
      </c>
      <c r="T192" t="s">
        <v>53</v>
      </c>
      <c r="U192" t="s">
        <v>54</v>
      </c>
      <c r="V192" t="s">
        <v>707</v>
      </c>
      <c r="W192">
        <v>47000</v>
      </c>
      <c r="X192" t="s">
        <v>44</v>
      </c>
      <c r="Y192" t="s">
        <v>174</v>
      </c>
      <c r="Z192" t="s">
        <v>49</v>
      </c>
      <c r="AA192" s="10">
        <f>IF(O192&lt;=1,7,7+0.8*ROUNDUP(O192-1,0))</f>
        <v>7</v>
      </c>
      <c r="AB192" s="11">
        <v>0</v>
      </c>
      <c r="AC192" s="11">
        <v>0</v>
      </c>
      <c r="AD192" s="11">
        <v>0</v>
      </c>
      <c r="AE192" s="11">
        <v>0</v>
      </c>
      <c r="AF192" s="11">
        <f t="shared" si="6"/>
        <v>0.42</v>
      </c>
      <c r="AG192" s="11">
        <f t="shared" si="7"/>
        <v>7.42</v>
      </c>
      <c r="AH192" t="s">
        <v>50</v>
      </c>
    </row>
    <row r="193" spans="1:34" ht="15" customHeight="1" x14ac:dyDescent="0.35">
      <c r="A193">
        <v>7547676</v>
      </c>
      <c r="B193">
        <v>690929</v>
      </c>
      <c r="C193" t="s">
        <v>34</v>
      </c>
      <c r="D193" t="s">
        <v>35</v>
      </c>
      <c r="E193" s="6" t="s">
        <v>34</v>
      </c>
      <c r="F193" t="s">
        <v>708</v>
      </c>
      <c r="G193" t="s">
        <v>37</v>
      </c>
      <c r="H193" t="s">
        <v>38</v>
      </c>
      <c r="I193" t="s">
        <v>709</v>
      </c>
      <c r="J193" t="s">
        <v>40</v>
      </c>
      <c r="K193">
        <v>2</v>
      </c>
      <c r="L193" t="s">
        <v>41</v>
      </c>
      <c r="M193" t="s">
        <v>42</v>
      </c>
      <c r="N193" t="s">
        <v>43</v>
      </c>
      <c r="O193" s="7">
        <v>1</v>
      </c>
      <c r="P193" s="8">
        <v>45138.546875</v>
      </c>
      <c r="Q193" s="9">
        <v>45140</v>
      </c>
      <c r="R193" t="s">
        <v>37</v>
      </c>
      <c r="S193" t="s">
        <v>44</v>
      </c>
      <c r="T193" t="s">
        <v>53</v>
      </c>
      <c r="U193" t="s">
        <v>197</v>
      </c>
      <c r="V193" t="s">
        <v>710</v>
      </c>
      <c r="W193">
        <v>81700</v>
      </c>
      <c r="X193" t="s">
        <v>44</v>
      </c>
      <c r="Y193" t="s">
        <v>233</v>
      </c>
      <c r="Z193" t="s">
        <v>49</v>
      </c>
      <c r="AA193" s="10">
        <f>IF(O193&lt;=1,7,7+0.8*ROUNDUP(O193-1,0))</f>
        <v>7</v>
      </c>
      <c r="AB193" s="11">
        <v>0</v>
      </c>
      <c r="AC193" s="11">
        <v>0</v>
      </c>
      <c r="AD193" s="11">
        <v>0</v>
      </c>
      <c r="AE193" s="11">
        <v>0</v>
      </c>
      <c r="AF193" s="11">
        <f t="shared" si="6"/>
        <v>0.42</v>
      </c>
      <c r="AG193" s="11">
        <f t="shared" si="7"/>
        <v>7.42</v>
      </c>
      <c r="AH193" t="s">
        <v>50</v>
      </c>
    </row>
    <row r="194" spans="1:34" ht="15" customHeight="1" x14ac:dyDescent="0.35">
      <c r="A194">
        <v>7547676</v>
      </c>
      <c r="B194">
        <v>690929</v>
      </c>
      <c r="C194" t="s">
        <v>34</v>
      </c>
      <c r="D194" t="s">
        <v>35</v>
      </c>
      <c r="E194" s="6" t="s">
        <v>34</v>
      </c>
      <c r="F194" t="s">
        <v>711</v>
      </c>
      <c r="G194" t="s">
        <v>37</v>
      </c>
      <c r="H194" t="s">
        <v>38</v>
      </c>
      <c r="I194" t="s">
        <v>712</v>
      </c>
      <c r="J194" t="s">
        <v>40</v>
      </c>
      <c r="K194">
        <v>2</v>
      </c>
      <c r="L194" t="s">
        <v>41</v>
      </c>
      <c r="M194" t="s">
        <v>42</v>
      </c>
      <c r="N194" t="s">
        <v>43</v>
      </c>
      <c r="O194" s="7">
        <v>1</v>
      </c>
      <c r="P194" s="8">
        <v>45139.720219907409</v>
      </c>
      <c r="Q194" s="9">
        <v>45140</v>
      </c>
      <c r="R194" t="s">
        <v>37</v>
      </c>
      <c r="S194" t="s">
        <v>44</v>
      </c>
      <c r="T194" t="s">
        <v>53</v>
      </c>
      <c r="U194" t="s">
        <v>134</v>
      </c>
      <c r="V194" t="s">
        <v>713</v>
      </c>
      <c r="W194">
        <v>50480</v>
      </c>
      <c r="X194" t="s">
        <v>44</v>
      </c>
      <c r="Y194" t="s">
        <v>551</v>
      </c>
      <c r="Z194" t="s">
        <v>49</v>
      </c>
      <c r="AA194" s="10">
        <f>IF(O194&lt;=1,7,7+0.8*ROUNDUP(O194-1,0))</f>
        <v>7</v>
      </c>
      <c r="AB194" s="11">
        <v>0</v>
      </c>
      <c r="AC194" s="11">
        <v>0</v>
      </c>
      <c r="AD194" s="11">
        <v>0</v>
      </c>
      <c r="AE194" s="11">
        <v>0</v>
      </c>
      <c r="AF194" s="11">
        <f t="shared" si="6"/>
        <v>0.42</v>
      </c>
      <c r="AG194" s="11">
        <f t="shared" si="7"/>
        <v>7.42</v>
      </c>
      <c r="AH194" t="s">
        <v>50</v>
      </c>
    </row>
    <row r="195" spans="1:34" ht="15" customHeight="1" x14ac:dyDescent="0.35">
      <c r="A195">
        <v>7547676</v>
      </c>
      <c r="B195">
        <v>690929</v>
      </c>
      <c r="C195" t="s">
        <v>34</v>
      </c>
      <c r="D195" t="s">
        <v>35</v>
      </c>
      <c r="E195" s="6" t="s">
        <v>34</v>
      </c>
      <c r="F195" t="s">
        <v>714</v>
      </c>
      <c r="G195" t="s">
        <v>37</v>
      </c>
      <c r="H195" t="s">
        <v>38</v>
      </c>
      <c r="I195" t="s">
        <v>715</v>
      </c>
      <c r="J195" t="s">
        <v>40</v>
      </c>
      <c r="K195">
        <v>2</v>
      </c>
      <c r="L195" t="s">
        <v>41</v>
      </c>
      <c r="M195" t="s">
        <v>42</v>
      </c>
      <c r="N195" t="s">
        <v>43</v>
      </c>
      <c r="O195" s="7">
        <v>8</v>
      </c>
      <c r="P195" s="8">
        <v>45139.564803240741</v>
      </c>
      <c r="Q195" s="9">
        <v>45140</v>
      </c>
      <c r="R195" t="s">
        <v>37</v>
      </c>
      <c r="S195" t="s">
        <v>44</v>
      </c>
      <c r="T195" t="s">
        <v>53</v>
      </c>
      <c r="U195" t="s">
        <v>67</v>
      </c>
      <c r="V195" t="s">
        <v>716</v>
      </c>
      <c r="W195">
        <v>26900</v>
      </c>
      <c r="X195" t="s">
        <v>44</v>
      </c>
      <c r="Y195" t="s">
        <v>717</v>
      </c>
      <c r="Z195" t="s">
        <v>49</v>
      </c>
      <c r="AA195" s="10">
        <f>IF(O195&lt;=1,7,7+0.8*ROUNDUP(O195-1,0))</f>
        <v>12.600000000000001</v>
      </c>
      <c r="AB195" s="11">
        <v>0</v>
      </c>
      <c r="AC195" s="11">
        <v>0</v>
      </c>
      <c r="AD195" s="11">
        <v>0</v>
      </c>
      <c r="AE195" s="11">
        <v>0</v>
      </c>
      <c r="AF195" s="11">
        <f t="shared" si="6"/>
        <v>0.75600000000000001</v>
      </c>
      <c r="AG195" s="11">
        <f t="shared" si="7"/>
        <v>13.356000000000002</v>
      </c>
      <c r="AH195" t="s">
        <v>50</v>
      </c>
    </row>
    <row r="196" spans="1:34" ht="15" customHeight="1" x14ac:dyDescent="0.35">
      <c r="A196">
        <v>7547676</v>
      </c>
      <c r="B196">
        <v>690929</v>
      </c>
      <c r="C196" t="s">
        <v>34</v>
      </c>
      <c r="D196" t="s">
        <v>35</v>
      </c>
      <c r="E196" s="6" t="s">
        <v>34</v>
      </c>
      <c r="F196" t="s">
        <v>718</v>
      </c>
      <c r="G196" t="s">
        <v>37</v>
      </c>
      <c r="H196" t="s">
        <v>38</v>
      </c>
      <c r="I196" t="s">
        <v>719</v>
      </c>
      <c r="J196" t="s">
        <v>40</v>
      </c>
      <c r="K196">
        <v>2</v>
      </c>
      <c r="L196" t="s">
        <v>41</v>
      </c>
      <c r="M196" t="s">
        <v>42</v>
      </c>
      <c r="N196" t="s">
        <v>43</v>
      </c>
      <c r="O196" s="7">
        <v>1</v>
      </c>
      <c r="P196" s="8">
        <v>45139.708078703705</v>
      </c>
      <c r="Q196" s="9">
        <v>45140</v>
      </c>
      <c r="R196" t="s">
        <v>37</v>
      </c>
      <c r="S196" t="s">
        <v>44</v>
      </c>
      <c r="T196" t="s">
        <v>53</v>
      </c>
      <c r="U196" t="s">
        <v>54</v>
      </c>
      <c r="V196" t="s">
        <v>720</v>
      </c>
      <c r="W196">
        <v>47120</v>
      </c>
      <c r="X196" t="s">
        <v>44</v>
      </c>
      <c r="Y196" t="s">
        <v>721</v>
      </c>
      <c r="Z196" t="s">
        <v>49</v>
      </c>
      <c r="AA196" s="10">
        <f>IF(O196&lt;=1,7,7+0.8*ROUNDUP(O196-1,0))</f>
        <v>7</v>
      </c>
      <c r="AB196" s="11">
        <v>0</v>
      </c>
      <c r="AC196" s="11">
        <v>0</v>
      </c>
      <c r="AD196" s="11">
        <v>0</v>
      </c>
      <c r="AE196" s="11">
        <v>0</v>
      </c>
      <c r="AF196" s="11">
        <f t="shared" si="6"/>
        <v>0.42</v>
      </c>
      <c r="AG196" s="11">
        <f t="shared" si="7"/>
        <v>7.42</v>
      </c>
      <c r="AH196" t="s">
        <v>50</v>
      </c>
    </row>
    <row r="197" spans="1:34" ht="15" customHeight="1" x14ac:dyDescent="0.35">
      <c r="A197">
        <v>7547676</v>
      </c>
      <c r="B197">
        <v>690929</v>
      </c>
      <c r="C197" t="s">
        <v>34</v>
      </c>
      <c r="D197" t="s">
        <v>35</v>
      </c>
      <c r="E197" s="6" t="s">
        <v>34</v>
      </c>
      <c r="F197" t="s">
        <v>722</v>
      </c>
      <c r="G197" t="s">
        <v>37</v>
      </c>
      <c r="H197" t="s">
        <v>38</v>
      </c>
      <c r="I197" t="s">
        <v>723</v>
      </c>
      <c r="J197" t="s">
        <v>40</v>
      </c>
      <c r="K197">
        <v>2</v>
      </c>
      <c r="L197" t="s">
        <v>41</v>
      </c>
      <c r="M197" t="s">
        <v>42</v>
      </c>
      <c r="N197" t="s">
        <v>43</v>
      </c>
      <c r="O197" s="7">
        <v>4</v>
      </c>
      <c r="P197" s="8">
        <v>45139.627615740741</v>
      </c>
      <c r="Q197" s="9">
        <v>45140</v>
      </c>
      <c r="R197" t="s">
        <v>37</v>
      </c>
      <c r="S197" t="s">
        <v>44</v>
      </c>
      <c r="T197" t="s">
        <v>53</v>
      </c>
      <c r="U197" t="s">
        <v>54</v>
      </c>
      <c r="V197" t="s">
        <v>724</v>
      </c>
      <c r="W197">
        <v>41400</v>
      </c>
      <c r="X197" t="s">
        <v>44</v>
      </c>
      <c r="Y197" t="s">
        <v>725</v>
      </c>
      <c r="Z197" t="s">
        <v>49</v>
      </c>
      <c r="AA197" s="10">
        <f>IF(O197&lt;=1,7,7+0.8*ROUNDUP(O197-1,0))</f>
        <v>9.4</v>
      </c>
      <c r="AB197" s="11">
        <v>0</v>
      </c>
      <c r="AC197" s="11">
        <v>0</v>
      </c>
      <c r="AD197" s="11">
        <v>0</v>
      </c>
      <c r="AE197" s="11">
        <v>0</v>
      </c>
      <c r="AF197" s="11">
        <f t="shared" si="6"/>
        <v>0.56399999999999995</v>
      </c>
      <c r="AG197" s="11">
        <f t="shared" si="7"/>
        <v>9.9640000000000004</v>
      </c>
      <c r="AH197" t="s">
        <v>50</v>
      </c>
    </row>
    <row r="198" spans="1:34" ht="15" customHeight="1" x14ac:dyDescent="0.35">
      <c r="A198">
        <v>7547676</v>
      </c>
      <c r="B198">
        <v>690929</v>
      </c>
      <c r="C198" t="s">
        <v>34</v>
      </c>
      <c r="D198" t="s">
        <v>35</v>
      </c>
      <c r="E198" s="6" t="s">
        <v>34</v>
      </c>
      <c r="F198" t="s">
        <v>726</v>
      </c>
      <c r="G198" t="s">
        <v>37</v>
      </c>
      <c r="H198" t="s">
        <v>38</v>
      </c>
      <c r="I198" t="s">
        <v>727</v>
      </c>
      <c r="J198" t="s">
        <v>40</v>
      </c>
      <c r="K198">
        <v>2</v>
      </c>
      <c r="L198" t="s">
        <v>41</v>
      </c>
      <c r="M198" t="s">
        <v>42</v>
      </c>
      <c r="N198" t="s">
        <v>43</v>
      </c>
      <c r="O198" s="7">
        <v>6</v>
      </c>
      <c r="P198" s="8">
        <v>45139.703356481485</v>
      </c>
      <c r="Q198" s="9">
        <v>45140</v>
      </c>
      <c r="R198" t="s">
        <v>37</v>
      </c>
      <c r="S198" t="s">
        <v>44</v>
      </c>
      <c r="T198" t="s">
        <v>53</v>
      </c>
      <c r="U198" t="s">
        <v>54</v>
      </c>
      <c r="V198" t="s">
        <v>728</v>
      </c>
      <c r="W198">
        <v>43650</v>
      </c>
      <c r="X198" t="s">
        <v>44</v>
      </c>
      <c r="Y198" t="s">
        <v>161</v>
      </c>
      <c r="Z198" t="s">
        <v>49</v>
      </c>
      <c r="AA198" s="10">
        <f>IF(O198&lt;=1,7,7+0.8*ROUNDUP(O198-1,0))</f>
        <v>11</v>
      </c>
      <c r="AB198" s="11">
        <v>0</v>
      </c>
      <c r="AC198" s="11">
        <v>0</v>
      </c>
      <c r="AD198" s="11">
        <v>0</v>
      </c>
      <c r="AE198" s="11">
        <v>0</v>
      </c>
      <c r="AF198" s="11">
        <f t="shared" si="6"/>
        <v>0.65999999999999992</v>
      </c>
      <c r="AG198" s="11">
        <f t="shared" si="7"/>
        <v>11.66</v>
      </c>
      <c r="AH198" t="s">
        <v>50</v>
      </c>
    </row>
    <row r="199" spans="1:34" ht="15" customHeight="1" x14ac:dyDescent="0.35">
      <c r="A199">
        <v>7547676</v>
      </c>
      <c r="B199">
        <v>690929</v>
      </c>
      <c r="C199" t="s">
        <v>34</v>
      </c>
      <c r="D199" t="s">
        <v>35</v>
      </c>
      <c r="E199" s="6" t="s">
        <v>34</v>
      </c>
      <c r="F199" t="s">
        <v>729</v>
      </c>
      <c r="G199" t="s">
        <v>37</v>
      </c>
      <c r="H199" t="s">
        <v>38</v>
      </c>
      <c r="I199" t="s">
        <v>730</v>
      </c>
      <c r="J199" t="s">
        <v>40</v>
      </c>
      <c r="K199">
        <v>2</v>
      </c>
      <c r="L199" t="s">
        <v>41</v>
      </c>
      <c r="M199" t="s">
        <v>42</v>
      </c>
      <c r="N199" t="s">
        <v>43</v>
      </c>
      <c r="O199" s="7">
        <v>1</v>
      </c>
      <c r="P199" s="8">
        <v>45139.720219907409</v>
      </c>
      <c r="Q199" s="9">
        <v>45140</v>
      </c>
      <c r="R199" t="s">
        <v>37</v>
      </c>
      <c r="S199" t="s">
        <v>44</v>
      </c>
      <c r="T199" t="s">
        <v>53</v>
      </c>
      <c r="U199" t="s">
        <v>54</v>
      </c>
      <c r="V199" t="s">
        <v>731</v>
      </c>
      <c r="W199">
        <v>52200</v>
      </c>
      <c r="X199" t="s">
        <v>44</v>
      </c>
      <c r="Y199" t="s">
        <v>732</v>
      </c>
      <c r="Z199" t="s">
        <v>49</v>
      </c>
      <c r="AA199" s="10">
        <f>IF(O199&lt;=1,7,7+0.8*ROUNDUP(O199-1,0))</f>
        <v>7</v>
      </c>
      <c r="AB199" s="11">
        <v>0</v>
      </c>
      <c r="AC199" s="11">
        <v>0</v>
      </c>
      <c r="AD199" s="11">
        <v>0</v>
      </c>
      <c r="AE199" s="11">
        <v>0</v>
      </c>
      <c r="AF199" s="11">
        <f t="shared" si="6"/>
        <v>0.42</v>
      </c>
      <c r="AG199" s="11">
        <f t="shared" si="7"/>
        <v>7.42</v>
      </c>
      <c r="AH199" t="s">
        <v>50</v>
      </c>
    </row>
    <row r="200" spans="1:34" ht="15" customHeight="1" x14ac:dyDescent="0.35">
      <c r="A200">
        <v>7547676</v>
      </c>
      <c r="B200">
        <v>690929</v>
      </c>
      <c r="C200" t="s">
        <v>34</v>
      </c>
      <c r="D200" t="s">
        <v>35</v>
      </c>
      <c r="E200" s="6" t="s">
        <v>34</v>
      </c>
      <c r="F200" t="s">
        <v>733</v>
      </c>
      <c r="G200" t="s">
        <v>37</v>
      </c>
      <c r="H200" t="s">
        <v>38</v>
      </c>
      <c r="I200" t="s">
        <v>734</v>
      </c>
      <c r="J200" t="s">
        <v>40</v>
      </c>
      <c r="K200">
        <v>2</v>
      </c>
      <c r="L200" t="s">
        <v>41</v>
      </c>
      <c r="M200" t="s">
        <v>42</v>
      </c>
      <c r="N200" t="s">
        <v>43</v>
      </c>
      <c r="O200" s="7">
        <v>2</v>
      </c>
      <c r="P200" s="8">
        <v>45139.504074074073</v>
      </c>
      <c r="Q200" s="9">
        <v>45141</v>
      </c>
      <c r="R200" t="s">
        <v>37</v>
      </c>
      <c r="S200" t="s">
        <v>44</v>
      </c>
      <c r="T200" t="s">
        <v>53</v>
      </c>
      <c r="U200" t="s">
        <v>46</v>
      </c>
      <c r="V200" t="s">
        <v>735</v>
      </c>
      <c r="W200">
        <v>14000</v>
      </c>
      <c r="X200" t="s">
        <v>44</v>
      </c>
      <c r="Y200" t="s">
        <v>736</v>
      </c>
      <c r="Z200" t="s">
        <v>49</v>
      </c>
      <c r="AA200" s="10">
        <f>IF(O200&lt;=1,7,7+0.8*ROUNDUP(O200-1,0))</f>
        <v>7.8</v>
      </c>
      <c r="AB200" s="11">
        <v>0</v>
      </c>
      <c r="AC200" s="11">
        <v>0</v>
      </c>
      <c r="AD200" s="11">
        <v>0</v>
      </c>
      <c r="AE200" s="11">
        <v>0</v>
      </c>
      <c r="AF200" s="11">
        <f t="shared" si="6"/>
        <v>0.46799999999999997</v>
      </c>
      <c r="AG200" s="11">
        <f t="shared" si="7"/>
        <v>8.2680000000000007</v>
      </c>
      <c r="AH200" t="s">
        <v>50</v>
      </c>
    </row>
    <row r="201" spans="1:34" ht="15" customHeight="1" x14ac:dyDescent="0.35">
      <c r="A201">
        <v>7547676</v>
      </c>
      <c r="B201">
        <v>690929</v>
      </c>
      <c r="C201" t="s">
        <v>34</v>
      </c>
      <c r="D201" t="s">
        <v>35</v>
      </c>
      <c r="E201" s="6" t="s">
        <v>34</v>
      </c>
      <c r="F201" t="s">
        <v>737</v>
      </c>
      <c r="G201" t="s">
        <v>37</v>
      </c>
      <c r="H201" t="s">
        <v>38</v>
      </c>
      <c r="I201" t="s">
        <v>738</v>
      </c>
      <c r="J201" t="s">
        <v>40</v>
      </c>
      <c r="K201">
        <v>2</v>
      </c>
      <c r="L201" t="s">
        <v>41</v>
      </c>
      <c r="M201" t="s">
        <v>42</v>
      </c>
      <c r="N201" t="s">
        <v>43</v>
      </c>
      <c r="O201" s="7">
        <v>4</v>
      </c>
      <c r="P201" s="8">
        <v>45139.703356481485</v>
      </c>
      <c r="Q201" s="9">
        <v>45141</v>
      </c>
      <c r="R201" t="s">
        <v>37</v>
      </c>
      <c r="S201" t="s">
        <v>44</v>
      </c>
      <c r="T201" t="s">
        <v>53</v>
      </c>
      <c r="U201" t="s">
        <v>197</v>
      </c>
      <c r="V201" t="s">
        <v>739</v>
      </c>
      <c r="W201">
        <v>81100</v>
      </c>
      <c r="X201" t="s">
        <v>44</v>
      </c>
      <c r="Y201" t="s">
        <v>564</v>
      </c>
      <c r="Z201" t="s">
        <v>49</v>
      </c>
      <c r="AA201" s="10">
        <f>IF(O201&lt;=1,7,7+0.8*ROUNDUP(O201-1,0))</f>
        <v>9.4</v>
      </c>
      <c r="AB201" s="11">
        <v>0</v>
      </c>
      <c r="AC201" s="11">
        <v>0</v>
      </c>
      <c r="AD201" s="11">
        <v>0</v>
      </c>
      <c r="AE201" s="11">
        <v>0</v>
      </c>
      <c r="AF201" s="11">
        <f t="shared" si="6"/>
        <v>0.56399999999999995</v>
      </c>
      <c r="AG201" s="11">
        <f t="shared" si="7"/>
        <v>9.9640000000000004</v>
      </c>
      <c r="AH201" t="s">
        <v>50</v>
      </c>
    </row>
    <row r="202" spans="1:34" ht="15" customHeight="1" x14ac:dyDescent="0.35">
      <c r="A202">
        <v>7547676</v>
      </c>
      <c r="B202">
        <v>690929</v>
      </c>
      <c r="C202" t="s">
        <v>34</v>
      </c>
      <c r="D202" t="s">
        <v>35</v>
      </c>
      <c r="E202" s="6" t="s">
        <v>34</v>
      </c>
      <c r="F202" t="s">
        <v>740</v>
      </c>
      <c r="G202" t="s">
        <v>37</v>
      </c>
      <c r="H202" t="s">
        <v>38</v>
      </c>
      <c r="I202" t="s">
        <v>741</v>
      </c>
      <c r="J202" t="s">
        <v>40</v>
      </c>
      <c r="K202">
        <v>2</v>
      </c>
      <c r="L202" t="s">
        <v>41</v>
      </c>
      <c r="M202" t="s">
        <v>42</v>
      </c>
      <c r="N202" t="s">
        <v>43</v>
      </c>
      <c r="O202" s="7">
        <v>1</v>
      </c>
      <c r="P202" s="8">
        <v>45139.462453703702</v>
      </c>
      <c r="Q202" s="9">
        <v>45141</v>
      </c>
      <c r="R202" t="s">
        <v>37</v>
      </c>
      <c r="S202" t="s">
        <v>44</v>
      </c>
      <c r="T202" t="s">
        <v>53</v>
      </c>
      <c r="U202" t="s">
        <v>210</v>
      </c>
      <c r="V202" t="s">
        <v>742</v>
      </c>
      <c r="W202">
        <v>9000</v>
      </c>
      <c r="X202" t="s">
        <v>44</v>
      </c>
      <c r="Y202" t="s">
        <v>437</v>
      </c>
      <c r="Z202" t="s">
        <v>49</v>
      </c>
      <c r="AA202" s="10">
        <f>IF(O202&lt;=1,7,7+0.8*ROUNDUP(O202-1,0))</f>
        <v>7</v>
      </c>
      <c r="AB202" s="11">
        <v>0</v>
      </c>
      <c r="AC202" s="11">
        <v>0</v>
      </c>
      <c r="AD202" s="11">
        <v>0</v>
      </c>
      <c r="AE202" s="11">
        <v>0</v>
      </c>
      <c r="AF202" s="11">
        <f t="shared" si="6"/>
        <v>0.42</v>
      </c>
      <c r="AG202" s="11">
        <f t="shared" si="7"/>
        <v>7.42</v>
      </c>
      <c r="AH202" t="s">
        <v>50</v>
      </c>
    </row>
    <row r="203" spans="1:34" ht="15" customHeight="1" x14ac:dyDescent="0.35">
      <c r="A203">
        <v>7547676</v>
      </c>
      <c r="B203">
        <v>690929</v>
      </c>
      <c r="C203" t="s">
        <v>34</v>
      </c>
      <c r="D203" t="s">
        <v>35</v>
      </c>
      <c r="E203" s="6" t="s">
        <v>34</v>
      </c>
      <c r="F203" t="s">
        <v>743</v>
      </c>
      <c r="G203" t="s">
        <v>37</v>
      </c>
      <c r="H203" t="s">
        <v>38</v>
      </c>
      <c r="I203" t="s">
        <v>744</v>
      </c>
      <c r="J203" t="s">
        <v>40</v>
      </c>
      <c r="K203">
        <v>2</v>
      </c>
      <c r="L203" t="s">
        <v>41</v>
      </c>
      <c r="M203" t="s">
        <v>42</v>
      </c>
      <c r="N203" t="s">
        <v>43</v>
      </c>
      <c r="O203" s="7">
        <v>1</v>
      </c>
      <c r="P203" s="8">
        <v>45139.544583333336</v>
      </c>
      <c r="Q203" s="9">
        <v>45141</v>
      </c>
      <c r="R203" t="s">
        <v>37</v>
      </c>
      <c r="S203" t="s">
        <v>44</v>
      </c>
      <c r="T203" t="s">
        <v>53</v>
      </c>
      <c r="U203" t="s">
        <v>210</v>
      </c>
      <c r="V203" t="s">
        <v>745</v>
      </c>
      <c r="W203">
        <v>5300</v>
      </c>
      <c r="X203" t="s">
        <v>44</v>
      </c>
      <c r="Y203" t="s">
        <v>212</v>
      </c>
      <c r="Z203" t="s">
        <v>49</v>
      </c>
      <c r="AA203" s="10">
        <f>IF(O203&lt;=1,7,7+0.8*ROUNDUP(O203-1,0))</f>
        <v>7</v>
      </c>
      <c r="AB203" s="11">
        <v>0</v>
      </c>
      <c r="AC203" s="11">
        <v>0</v>
      </c>
      <c r="AD203" s="11">
        <v>0</v>
      </c>
      <c r="AE203" s="11">
        <v>0</v>
      </c>
      <c r="AF203" s="11">
        <f t="shared" si="6"/>
        <v>0.42</v>
      </c>
      <c r="AG203" s="11">
        <f t="shared" si="7"/>
        <v>7.42</v>
      </c>
      <c r="AH203" t="s">
        <v>50</v>
      </c>
    </row>
    <row r="204" spans="1:34" ht="15" customHeight="1" x14ac:dyDescent="0.35">
      <c r="A204">
        <v>7547676</v>
      </c>
      <c r="B204">
        <v>690929</v>
      </c>
      <c r="C204" t="s">
        <v>34</v>
      </c>
      <c r="D204" t="s">
        <v>35</v>
      </c>
      <c r="E204" s="6" t="s">
        <v>34</v>
      </c>
      <c r="F204" t="s">
        <v>746</v>
      </c>
      <c r="G204" t="s">
        <v>37</v>
      </c>
      <c r="H204" t="s">
        <v>38</v>
      </c>
      <c r="I204" t="s">
        <v>747</v>
      </c>
      <c r="J204" t="s">
        <v>40</v>
      </c>
      <c r="K204">
        <v>2</v>
      </c>
      <c r="L204" t="s">
        <v>41</v>
      </c>
      <c r="M204" t="s">
        <v>42</v>
      </c>
      <c r="N204" t="s">
        <v>43</v>
      </c>
      <c r="O204" s="7">
        <v>1</v>
      </c>
      <c r="P204" s="8">
        <v>45140.735150462962</v>
      </c>
      <c r="Q204" s="9">
        <v>45141</v>
      </c>
      <c r="R204" t="s">
        <v>37</v>
      </c>
      <c r="S204" t="s">
        <v>44</v>
      </c>
      <c r="T204" t="s">
        <v>53</v>
      </c>
      <c r="U204" t="s">
        <v>134</v>
      </c>
      <c r="V204" t="s">
        <v>748</v>
      </c>
      <c r="W204">
        <v>50050</v>
      </c>
      <c r="X204" t="s">
        <v>44</v>
      </c>
      <c r="Y204" t="s">
        <v>136</v>
      </c>
      <c r="Z204" t="s">
        <v>49</v>
      </c>
      <c r="AA204" s="10">
        <f>IF(O204&lt;=1,7,7+0.8*ROUNDUP(O204-1,0))</f>
        <v>7</v>
      </c>
      <c r="AB204" s="11">
        <v>0</v>
      </c>
      <c r="AC204" s="11">
        <v>0</v>
      </c>
      <c r="AD204" s="11">
        <v>0</v>
      </c>
      <c r="AE204" s="11">
        <v>0</v>
      </c>
      <c r="AF204" s="11">
        <f t="shared" si="6"/>
        <v>0.42</v>
      </c>
      <c r="AG204" s="11">
        <f t="shared" si="7"/>
        <v>7.42</v>
      </c>
      <c r="AH204" t="s">
        <v>50</v>
      </c>
    </row>
    <row r="205" spans="1:34" ht="15" customHeight="1" x14ac:dyDescent="0.35">
      <c r="A205">
        <v>7547676</v>
      </c>
      <c r="B205">
        <v>690929</v>
      </c>
      <c r="C205" t="s">
        <v>34</v>
      </c>
      <c r="D205" t="s">
        <v>35</v>
      </c>
      <c r="E205" s="6" t="s">
        <v>34</v>
      </c>
      <c r="F205" t="s">
        <v>749</v>
      </c>
      <c r="G205" t="s">
        <v>37</v>
      </c>
      <c r="H205" t="s">
        <v>38</v>
      </c>
      <c r="I205" t="s">
        <v>750</v>
      </c>
      <c r="J205" t="s">
        <v>40</v>
      </c>
      <c r="K205">
        <v>2</v>
      </c>
      <c r="L205" t="s">
        <v>41</v>
      </c>
      <c r="M205" t="s">
        <v>42</v>
      </c>
      <c r="N205" t="s">
        <v>43</v>
      </c>
      <c r="O205" s="7">
        <v>3</v>
      </c>
      <c r="P205" s="8">
        <v>45139.732523148145</v>
      </c>
      <c r="Q205" s="9">
        <v>45141</v>
      </c>
      <c r="R205" t="s">
        <v>37</v>
      </c>
      <c r="S205" t="s">
        <v>44</v>
      </c>
      <c r="T205" t="s">
        <v>53</v>
      </c>
      <c r="U205" t="s">
        <v>197</v>
      </c>
      <c r="V205" t="s">
        <v>751</v>
      </c>
      <c r="W205">
        <v>86000</v>
      </c>
      <c r="X205" t="s">
        <v>44</v>
      </c>
      <c r="Y205" t="s">
        <v>752</v>
      </c>
      <c r="Z205" t="s">
        <v>49</v>
      </c>
      <c r="AA205" s="10">
        <f>IF(O205&lt;=1,7,7+0.8*ROUNDUP(O205-1,0))</f>
        <v>8.6</v>
      </c>
      <c r="AB205" s="11">
        <v>0</v>
      </c>
      <c r="AC205" s="11">
        <v>0</v>
      </c>
      <c r="AD205" s="11">
        <v>0</v>
      </c>
      <c r="AE205" s="11">
        <v>0</v>
      </c>
      <c r="AF205" s="11">
        <f t="shared" si="6"/>
        <v>0.51600000000000001</v>
      </c>
      <c r="AG205" s="11">
        <f t="shared" si="7"/>
        <v>9.1159999999999997</v>
      </c>
      <c r="AH205" t="s">
        <v>50</v>
      </c>
    </row>
    <row r="206" spans="1:34" ht="15" customHeight="1" x14ac:dyDescent="0.35">
      <c r="A206">
        <v>7547676</v>
      </c>
      <c r="B206">
        <v>690929</v>
      </c>
      <c r="C206" t="s">
        <v>34</v>
      </c>
      <c r="D206" t="s">
        <v>35</v>
      </c>
      <c r="E206" s="6" t="s">
        <v>34</v>
      </c>
      <c r="F206" t="s">
        <v>753</v>
      </c>
      <c r="G206" t="s">
        <v>37</v>
      </c>
      <c r="H206" t="s">
        <v>38</v>
      </c>
      <c r="I206" t="s">
        <v>754</v>
      </c>
      <c r="J206" t="s">
        <v>40</v>
      </c>
      <c r="K206">
        <v>2</v>
      </c>
      <c r="L206" t="s">
        <v>41</v>
      </c>
      <c r="M206" t="s">
        <v>42</v>
      </c>
      <c r="N206" t="s">
        <v>43</v>
      </c>
      <c r="O206" s="7">
        <v>1</v>
      </c>
      <c r="P206" s="8">
        <v>45140.687777777777</v>
      </c>
      <c r="Q206" s="9">
        <v>45141</v>
      </c>
      <c r="R206" t="s">
        <v>37</v>
      </c>
      <c r="S206" t="s">
        <v>44</v>
      </c>
      <c r="T206" t="s">
        <v>53</v>
      </c>
      <c r="U206" t="s">
        <v>54</v>
      </c>
      <c r="V206" t="s">
        <v>755</v>
      </c>
      <c r="W206">
        <v>40100</v>
      </c>
      <c r="X206" t="s">
        <v>44</v>
      </c>
      <c r="Y206" t="s">
        <v>136</v>
      </c>
      <c r="Z206" t="s">
        <v>49</v>
      </c>
      <c r="AA206" s="10">
        <f>IF(O206&lt;=1,7,7+0.8*ROUNDUP(O206-1,0))</f>
        <v>7</v>
      </c>
      <c r="AB206" s="11">
        <v>0</v>
      </c>
      <c r="AC206" s="11">
        <v>0</v>
      </c>
      <c r="AD206" s="11">
        <v>0</v>
      </c>
      <c r="AE206" s="11">
        <v>0</v>
      </c>
      <c r="AF206" s="11">
        <f t="shared" si="6"/>
        <v>0.42</v>
      </c>
      <c r="AG206" s="11">
        <f t="shared" si="7"/>
        <v>7.42</v>
      </c>
      <c r="AH206" t="s">
        <v>50</v>
      </c>
    </row>
    <row r="207" spans="1:34" ht="15" customHeight="1" x14ac:dyDescent="0.35">
      <c r="A207">
        <v>7547676</v>
      </c>
      <c r="B207">
        <v>690929</v>
      </c>
      <c r="C207" t="s">
        <v>34</v>
      </c>
      <c r="D207" t="s">
        <v>35</v>
      </c>
      <c r="E207" s="6" t="s">
        <v>34</v>
      </c>
      <c r="F207" t="s">
        <v>756</v>
      </c>
      <c r="G207" t="s">
        <v>37</v>
      </c>
      <c r="H207" t="s">
        <v>38</v>
      </c>
      <c r="I207" t="s">
        <v>757</v>
      </c>
      <c r="J207" t="s">
        <v>40</v>
      </c>
      <c r="K207">
        <v>2</v>
      </c>
      <c r="L207" t="s">
        <v>41</v>
      </c>
      <c r="M207" t="s">
        <v>42</v>
      </c>
      <c r="N207" t="s">
        <v>43</v>
      </c>
      <c r="O207" s="7">
        <v>3</v>
      </c>
      <c r="P207" s="8">
        <v>45140.741678240738</v>
      </c>
      <c r="Q207" s="9">
        <v>45141</v>
      </c>
      <c r="R207" t="s">
        <v>37</v>
      </c>
      <c r="S207" t="s">
        <v>44</v>
      </c>
      <c r="T207" t="s">
        <v>136</v>
      </c>
      <c r="U207" t="s">
        <v>54</v>
      </c>
      <c r="V207" t="s">
        <v>758</v>
      </c>
      <c r="W207">
        <v>62502</v>
      </c>
      <c r="X207" t="s">
        <v>44</v>
      </c>
      <c r="Y207" t="s">
        <v>136</v>
      </c>
      <c r="Z207" t="s">
        <v>49</v>
      </c>
      <c r="AA207" s="10">
        <f>IF(O207&lt;=1,7,7+0.8*ROUNDUP(O207-1,0))</f>
        <v>8.6</v>
      </c>
      <c r="AB207" s="11">
        <v>0</v>
      </c>
      <c r="AC207" s="11">
        <v>0</v>
      </c>
      <c r="AD207" s="11">
        <v>0</v>
      </c>
      <c r="AE207" s="11">
        <v>0</v>
      </c>
      <c r="AF207" s="11">
        <f t="shared" ref="AF207:AF270" si="8">(AA207+AC207+AE207)*6%</f>
        <v>0.51600000000000001</v>
      </c>
      <c r="AG207" s="11">
        <f t="shared" ref="AG207:AG270" si="9">AA207+AC207+AE207+AF207</f>
        <v>9.1159999999999997</v>
      </c>
      <c r="AH207" t="s">
        <v>50</v>
      </c>
    </row>
    <row r="208" spans="1:34" ht="15" customHeight="1" x14ac:dyDescent="0.35">
      <c r="A208">
        <v>7547676</v>
      </c>
      <c r="B208">
        <v>690929</v>
      </c>
      <c r="C208" t="s">
        <v>34</v>
      </c>
      <c r="D208" t="s">
        <v>35</v>
      </c>
      <c r="E208" s="6" t="s">
        <v>34</v>
      </c>
      <c r="F208" t="s">
        <v>759</v>
      </c>
      <c r="G208" t="s">
        <v>37</v>
      </c>
      <c r="H208" t="s">
        <v>38</v>
      </c>
      <c r="I208" t="s">
        <v>760</v>
      </c>
      <c r="J208" t="s">
        <v>40</v>
      </c>
      <c r="K208">
        <v>2</v>
      </c>
      <c r="L208" t="s">
        <v>41</v>
      </c>
      <c r="M208" t="s">
        <v>42</v>
      </c>
      <c r="N208" t="s">
        <v>43</v>
      </c>
      <c r="O208" s="7">
        <v>5</v>
      </c>
      <c r="P208" s="8">
        <v>45139.740034722221</v>
      </c>
      <c r="Q208" s="9">
        <v>45141</v>
      </c>
      <c r="R208" t="s">
        <v>37</v>
      </c>
      <c r="S208" t="s">
        <v>44</v>
      </c>
      <c r="T208" t="s">
        <v>53</v>
      </c>
      <c r="U208" t="s">
        <v>46</v>
      </c>
      <c r="V208" t="s">
        <v>761</v>
      </c>
      <c r="W208">
        <v>13300</v>
      </c>
      <c r="X208" t="s">
        <v>44</v>
      </c>
      <c r="Y208" t="s">
        <v>48</v>
      </c>
      <c r="Z208" t="s">
        <v>49</v>
      </c>
      <c r="AA208" s="10">
        <f>IF(O208&lt;=1,7,7+0.8*ROUNDUP(O208-1,0))</f>
        <v>10.199999999999999</v>
      </c>
      <c r="AB208" s="11">
        <v>0</v>
      </c>
      <c r="AC208" s="11">
        <v>0</v>
      </c>
      <c r="AD208" s="11">
        <v>0</v>
      </c>
      <c r="AE208" s="11">
        <v>0</v>
      </c>
      <c r="AF208" s="11">
        <f t="shared" si="8"/>
        <v>0.61199999999999999</v>
      </c>
      <c r="AG208" s="11">
        <f t="shared" si="9"/>
        <v>10.811999999999999</v>
      </c>
      <c r="AH208" t="s">
        <v>50</v>
      </c>
    </row>
    <row r="209" spans="1:34" ht="15" customHeight="1" x14ac:dyDescent="0.35">
      <c r="A209">
        <v>7547676</v>
      </c>
      <c r="B209">
        <v>690929</v>
      </c>
      <c r="C209" t="s">
        <v>34</v>
      </c>
      <c r="D209" t="s">
        <v>35</v>
      </c>
      <c r="E209" s="6" t="s">
        <v>34</v>
      </c>
      <c r="F209" t="s">
        <v>762</v>
      </c>
      <c r="G209" t="s">
        <v>37</v>
      </c>
      <c r="H209" t="s">
        <v>38</v>
      </c>
      <c r="I209" t="s">
        <v>763</v>
      </c>
      <c r="J209" t="s">
        <v>40</v>
      </c>
      <c r="K209">
        <v>2</v>
      </c>
      <c r="L209" t="s">
        <v>41</v>
      </c>
      <c r="M209" t="s">
        <v>42</v>
      </c>
      <c r="N209" t="s">
        <v>43</v>
      </c>
      <c r="O209" s="7">
        <v>7</v>
      </c>
      <c r="P209" s="8">
        <v>45140.677604166667</v>
      </c>
      <c r="Q209" s="9">
        <v>45141</v>
      </c>
      <c r="R209" t="s">
        <v>37</v>
      </c>
      <c r="S209" t="s">
        <v>44</v>
      </c>
      <c r="T209" t="s">
        <v>53</v>
      </c>
      <c r="U209" t="s">
        <v>54</v>
      </c>
      <c r="V209" t="s">
        <v>764</v>
      </c>
      <c r="W209">
        <v>62250</v>
      </c>
      <c r="X209" t="s">
        <v>44</v>
      </c>
      <c r="Y209" t="s">
        <v>396</v>
      </c>
      <c r="Z209" t="s">
        <v>49</v>
      </c>
      <c r="AA209" s="10">
        <f>IF(O209&lt;=1,7,7+0.8*ROUNDUP(O209-1,0))</f>
        <v>11.8</v>
      </c>
      <c r="AB209" s="11">
        <v>0</v>
      </c>
      <c r="AC209" s="11">
        <v>0</v>
      </c>
      <c r="AD209" s="11">
        <v>0</v>
      </c>
      <c r="AE209" s="11">
        <v>0</v>
      </c>
      <c r="AF209" s="11">
        <f t="shared" si="8"/>
        <v>0.70799999999999996</v>
      </c>
      <c r="AG209" s="11">
        <f t="shared" si="9"/>
        <v>12.508000000000001</v>
      </c>
      <c r="AH209" t="s">
        <v>50</v>
      </c>
    </row>
    <row r="210" spans="1:34" ht="15" customHeight="1" x14ac:dyDescent="0.35">
      <c r="A210">
        <v>7547676</v>
      </c>
      <c r="B210">
        <v>690929</v>
      </c>
      <c r="C210" t="s">
        <v>34</v>
      </c>
      <c r="D210" t="s">
        <v>35</v>
      </c>
      <c r="E210" s="6" t="s">
        <v>34</v>
      </c>
      <c r="F210" t="s">
        <v>765</v>
      </c>
      <c r="G210" t="s">
        <v>37</v>
      </c>
      <c r="H210" t="s">
        <v>38</v>
      </c>
      <c r="I210" t="s">
        <v>766</v>
      </c>
      <c r="J210" t="s">
        <v>40</v>
      </c>
      <c r="K210">
        <v>2</v>
      </c>
      <c r="L210" t="s">
        <v>41</v>
      </c>
      <c r="M210" t="s">
        <v>42</v>
      </c>
      <c r="N210" t="s">
        <v>43</v>
      </c>
      <c r="O210" s="7">
        <v>1</v>
      </c>
      <c r="P210" s="8">
        <v>45138.474733796298</v>
      </c>
      <c r="Q210" s="9">
        <v>45141</v>
      </c>
      <c r="R210" t="s">
        <v>37</v>
      </c>
      <c r="S210" t="s">
        <v>44</v>
      </c>
      <c r="T210" t="s">
        <v>53</v>
      </c>
      <c r="U210" t="s">
        <v>202</v>
      </c>
      <c r="V210" t="s">
        <v>767</v>
      </c>
      <c r="W210">
        <v>77000</v>
      </c>
      <c r="X210" t="s">
        <v>44</v>
      </c>
      <c r="Y210" t="s">
        <v>497</v>
      </c>
      <c r="Z210" t="s">
        <v>49</v>
      </c>
      <c r="AA210" s="10">
        <f>IF(O210&lt;=1,7,7+0.8*ROUNDUP(O210-1,0))</f>
        <v>7</v>
      </c>
      <c r="AB210" s="11">
        <v>0</v>
      </c>
      <c r="AC210" s="11">
        <v>0</v>
      </c>
      <c r="AD210" s="11">
        <v>0</v>
      </c>
      <c r="AE210" s="11">
        <v>0</v>
      </c>
      <c r="AF210" s="11">
        <f t="shared" si="8"/>
        <v>0.42</v>
      </c>
      <c r="AG210" s="11">
        <f t="shared" si="9"/>
        <v>7.42</v>
      </c>
      <c r="AH210" t="s">
        <v>50</v>
      </c>
    </row>
    <row r="211" spans="1:34" ht="15" customHeight="1" x14ac:dyDescent="0.35">
      <c r="A211">
        <v>7547676</v>
      </c>
      <c r="B211">
        <v>690929</v>
      </c>
      <c r="C211" t="s">
        <v>34</v>
      </c>
      <c r="D211" t="s">
        <v>35</v>
      </c>
      <c r="E211" s="6" t="s">
        <v>34</v>
      </c>
      <c r="F211" t="s">
        <v>768</v>
      </c>
      <c r="G211" t="s">
        <v>37</v>
      </c>
      <c r="H211" t="s">
        <v>38</v>
      </c>
      <c r="I211" t="s">
        <v>769</v>
      </c>
      <c r="J211" t="s">
        <v>40</v>
      </c>
      <c r="K211">
        <v>2</v>
      </c>
      <c r="L211" t="s">
        <v>41</v>
      </c>
      <c r="M211" t="s">
        <v>42</v>
      </c>
      <c r="N211" t="s">
        <v>43</v>
      </c>
      <c r="O211" s="7">
        <v>1</v>
      </c>
      <c r="P211" s="8">
        <v>45140.412245370368</v>
      </c>
      <c r="Q211" s="9">
        <v>45141</v>
      </c>
      <c r="R211" t="s">
        <v>37</v>
      </c>
      <c r="S211" t="s">
        <v>44</v>
      </c>
      <c r="T211" t="s">
        <v>53</v>
      </c>
      <c r="U211" t="s">
        <v>59</v>
      </c>
      <c r="V211" t="s">
        <v>770</v>
      </c>
      <c r="W211">
        <v>18500</v>
      </c>
      <c r="X211" t="s">
        <v>44</v>
      </c>
      <c r="Y211" t="s">
        <v>53</v>
      </c>
      <c r="Z211" t="s">
        <v>49</v>
      </c>
      <c r="AA211" s="10">
        <f>IF(O211&lt;=1,7,7+0.8*ROUNDUP(O211-1,0))</f>
        <v>7</v>
      </c>
      <c r="AB211" s="11">
        <v>0</v>
      </c>
      <c r="AC211" s="11">
        <v>0</v>
      </c>
      <c r="AD211" s="11">
        <v>0</v>
      </c>
      <c r="AE211" s="11">
        <v>0</v>
      </c>
      <c r="AF211" s="11">
        <f t="shared" si="8"/>
        <v>0.42</v>
      </c>
      <c r="AG211" s="11">
        <f t="shared" si="9"/>
        <v>7.42</v>
      </c>
      <c r="AH211" t="s">
        <v>50</v>
      </c>
    </row>
    <row r="212" spans="1:34" ht="15" customHeight="1" x14ac:dyDescent="0.35">
      <c r="A212">
        <v>7547676</v>
      </c>
      <c r="B212">
        <v>690929</v>
      </c>
      <c r="C212" t="s">
        <v>34</v>
      </c>
      <c r="D212" t="s">
        <v>35</v>
      </c>
      <c r="E212" s="6" t="s">
        <v>34</v>
      </c>
      <c r="F212" t="s">
        <v>771</v>
      </c>
      <c r="G212" t="s">
        <v>37</v>
      </c>
      <c r="H212" t="s">
        <v>38</v>
      </c>
      <c r="I212" t="s">
        <v>772</v>
      </c>
      <c r="J212" t="s">
        <v>40</v>
      </c>
      <c r="K212">
        <v>2</v>
      </c>
      <c r="L212" t="s">
        <v>41</v>
      </c>
      <c r="M212" t="s">
        <v>42</v>
      </c>
      <c r="N212" t="s">
        <v>43</v>
      </c>
      <c r="O212" s="7">
        <v>1</v>
      </c>
      <c r="P212" s="8">
        <v>45139.739988425928</v>
      </c>
      <c r="Q212" s="9">
        <v>45141</v>
      </c>
      <c r="R212" t="s">
        <v>37</v>
      </c>
      <c r="S212" t="s">
        <v>44</v>
      </c>
      <c r="T212" t="s">
        <v>53</v>
      </c>
      <c r="U212" t="s">
        <v>197</v>
      </c>
      <c r="V212" t="s">
        <v>773</v>
      </c>
      <c r="W212">
        <v>83010</v>
      </c>
      <c r="X212" t="s">
        <v>44</v>
      </c>
      <c r="Y212" t="s">
        <v>774</v>
      </c>
      <c r="Z212" t="s">
        <v>49</v>
      </c>
      <c r="AA212" s="10">
        <f>IF(O212&lt;=1,7,7+0.8*ROUNDUP(O212-1,0))</f>
        <v>7</v>
      </c>
      <c r="AB212" s="11">
        <v>0</v>
      </c>
      <c r="AC212" s="11">
        <v>0</v>
      </c>
      <c r="AD212" s="11">
        <v>0</v>
      </c>
      <c r="AE212" s="11">
        <v>0</v>
      </c>
      <c r="AF212" s="11">
        <f t="shared" si="8"/>
        <v>0.42</v>
      </c>
      <c r="AG212" s="11">
        <f t="shared" si="9"/>
        <v>7.42</v>
      </c>
      <c r="AH212" t="s">
        <v>50</v>
      </c>
    </row>
    <row r="213" spans="1:34" ht="15" customHeight="1" x14ac:dyDescent="0.35">
      <c r="A213">
        <v>7547676</v>
      </c>
      <c r="B213">
        <v>690929</v>
      </c>
      <c r="C213" t="s">
        <v>34</v>
      </c>
      <c r="D213" t="s">
        <v>35</v>
      </c>
      <c r="E213" s="6" t="s">
        <v>34</v>
      </c>
      <c r="F213" t="s">
        <v>775</v>
      </c>
      <c r="G213" t="s">
        <v>37</v>
      </c>
      <c r="H213" t="s">
        <v>38</v>
      </c>
      <c r="I213" t="s">
        <v>776</v>
      </c>
      <c r="J213" t="s">
        <v>40</v>
      </c>
      <c r="K213">
        <v>2</v>
      </c>
      <c r="L213" t="s">
        <v>41</v>
      </c>
      <c r="M213" t="s">
        <v>42</v>
      </c>
      <c r="N213" t="s">
        <v>43</v>
      </c>
      <c r="O213" s="7">
        <v>3</v>
      </c>
      <c r="P213" s="8">
        <v>45141.678136574075</v>
      </c>
      <c r="Q213" s="9">
        <v>45142</v>
      </c>
      <c r="R213" t="s">
        <v>37</v>
      </c>
      <c r="S213" t="s">
        <v>44</v>
      </c>
      <c r="T213" t="s">
        <v>53</v>
      </c>
      <c r="U213" t="s">
        <v>54</v>
      </c>
      <c r="V213" t="s">
        <v>777</v>
      </c>
      <c r="W213">
        <v>48050</v>
      </c>
      <c r="X213" t="s">
        <v>44</v>
      </c>
      <c r="Y213" t="s">
        <v>174</v>
      </c>
      <c r="Z213" t="s">
        <v>49</v>
      </c>
      <c r="AA213" s="10">
        <f>IF(O213&lt;=1,7,7+0.8*ROUNDUP(O213-1,0))</f>
        <v>8.6</v>
      </c>
      <c r="AB213" s="11">
        <v>0</v>
      </c>
      <c r="AC213" s="11">
        <v>0</v>
      </c>
      <c r="AD213" s="11">
        <v>0</v>
      </c>
      <c r="AE213" s="11">
        <v>0</v>
      </c>
      <c r="AF213" s="11">
        <f t="shared" si="8"/>
        <v>0.51600000000000001</v>
      </c>
      <c r="AG213" s="11">
        <f t="shared" si="9"/>
        <v>9.1159999999999997</v>
      </c>
      <c r="AH213" t="s">
        <v>50</v>
      </c>
    </row>
    <row r="214" spans="1:34" ht="15" customHeight="1" x14ac:dyDescent="0.35">
      <c r="A214">
        <v>7547676</v>
      </c>
      <c r="B214">
        <v>690929</v>
      </c>
      <c r="C214" t="s">
        <v>34</v>
      </c>
      <c r="D214" t="s">
        <v>35</v>
      </c>
      <c r="E214" s="6" t="s">
        <v>34</v>
      </c>
      <c r="F214" t="s">
        <v>778</v>
      </c>
      <c r="G214" t="s">
        <v>37</v>
      </c>
      <c r="H214" t="s">
        <v>38</v>
      </c>
      <c r="I214" t="s">
        <v>779</v>
      </c>
      <c r="J214" t="s">
        <v>40</v>
      </c>
      <c r="K214">
        <v>2</v>
      </c>
      <c r="L214" t="s">
        <v>41</v>
      </c>
      <c r="M214" t="s">
        <v>42</v>
      </c>
      <c r="N214" t="s">
        <v>43</v>
      </c>
      <c r="O214" s="7">
        <v>1</v>
      </c>
      <c r="P214" s="8">
        <v>45141.765393518515</v>
      </c>
      <c r="Q214" s="9">
        <v>45142</v>
      </c>
      <c r="R214" t="s">
        <v>37</v>
      </c>
      <c r="S214" t="s">
        <v>44</v>
      </c>
      <c r="T214" t="s">
        <v>53</v>
      </c>
      <c r="U214" t="s">
        <v>134</v>
      </c>
      <c r="V214" t="s">
        <v>780</v>
      </c>
      <c r="W214">
        <v>53300</v>
      </c>
      <c r="X214" t="s">
        <v>44</v>
      </c>
      <c r="Y214" t="s">
        <v>428</v>
      </c>
      <c r="Z214" t="s">
        <v>49</v>
      </c>
      <c r="AA214" s="10">
        <f>IF(O214&lt;=1,7,7+0.8*ROUNDUP(O214-1,0))</f>
        <v>7</v>
      </c>
      <c r="AB214" s="11">
        <v>0</v>
      </c>
      <c r="AC214" s="11">
        <v>0</v>
      </c>
      <c r="AD214" s="11">
        <v>0</v>
      </c>
      <c r="AE214" s="11">
        <v>0</v>
      </c>
      <c r="AF214" s="11">
        <f t="shared" si="8"/>
        <v>0.42</v>
      </c>
      <c r="AG214" s="11">
        <f t="shared" si="9"/>
        <v>7.42</v>
      </c>
      <c r="AH214" t="s">
        <v>50</v>
      </c>
    </row>
    <row r="215" spans="1:34" ht="15" customHeight="1" x14ac:dyDescent="0.35">
      <c r="A215">
        <v>7547676</v>
      </c>
      <c r="B215">
        <v>690929</v>
      </c>
      <c r="C215" t="s">
        <v>34</v>
      </c>
      <c r="D215" t="s">
        <v>35</v>
      </c>
      <c r="E215" s="6" t="s">
        <v>34</v>
      </c>
      <c r="F215" t="s">
        <v>781</v>
      </c>
      <c r="G215" t="s">
        <v>37</v>
      </c>
      <c r="H215" t="s">
        <v>38</v>
      </c>
      <c r="I215" t="s">
        <v>782</v>
      </c>
      <c r="J215" t="s">
        <v>40</v>
      </c>
      <c r="K215">
        <v>2</v>
      </c>
      <c r="L215" t="s">
        <v>41</v>
      </c>
      <c r="M215" t="s">
        <v>42</v>
      </c>
      <c r="N215" t="s">
        <v>43</v>
      </c>
      <c r="O215" s="7">
        <v>23</v>
      </c>
      <c r="P215" s="8">
        <v>45140.614699074074</v>
      </c>
      <c r="Q215" s="9">
        <v>45142</v>
      </c>
      <c r="R215" t="s">
        <v>37</v>
      </c>
      <c r="S215" t="s">
        <v>44</v>
      </c>
      <c r="T215" t="s">
        <v>53</v>
      </c>
      <c r="U215" t="s">
        <v>197</v>
      </c>
      <c r="V215" t="s">
        <v>783</v>
      </c>
      <c r="W215">
        <v>86000</v>
      </c>
      <c r="X215" t="s">
        <v>44</v>
      </c>
      <c r="Y215" t="s">
        <v>752</v>
      </c>
      <c r="Z215" t="s">
        <v>49</v>
      </c>
      <c r="AA215" s="10">
        <f>IF(O215&lt;=1,7,7+0.8*ROUNDUP(O215-1,0))</f>
        <v>24.6</v>
      </c>
      <c r="AB215" s="11">
        <v>0</v>
      </c>
      <c r="AC215" s="11">
        <v>0</v>
      </c>
      <c r="AD215" s="11">
        <v>0</v>
      </c>
      <c r="AE215" s="11">
        <v>0</v>
      </c>
      <c r="AF215" s="11">
        <f t="shared" si="8"/>
        <v>1.476</v>
      </c>
      <c r="AG215" s="11">
        <f t="shared" si="9"/>
        <v>26.076000000000001</v>
      </c>
      <c r="AH215" t="s">
        <v>50</v>
      </c>
    </row>
    <row r="216" spans="1:34" ht="15" customHeight="1" x14ac:dyDescent="0.35">
      <c r="A216">
        <v>7547676</v>
      </c>
      <c r="B216">
        <v>690929</v>
      </c>
      <c r="C216" t="s">
        <v>34</v>
      </c>
      <c r="D216" t="s">
        <v>35</v>
      </c>
      <c r="E216" s="6" t="s">
        <v>34</v>
      </c>
      <c r="F216" t="s">
        <v>784</v>
      </c>
      <c r="G216" t="s">
        <v>37</v>
      </c>
      <c r="H216" t="s">
        <v>38</v>
      </c>
      <c r="I216" t="s">
        <v>785</v>
      </c>
      <c r="J216" t="s">
        <v>40</v>
      </c>
      <c r="K216">
        <v>2</v>
      </c>
      <c r="L216" t="s">
        <v>41</v>
      </c>
      <c r="M216" t="s">
        <v>42</v>
      </c>
      <c r="N216" t="s">
        <v>43</v>
      </c>
      <c r="O216" s="7">
        <v>1</v>
      </c>
      <c r="P216" s="8">
        <v>45140.761655092596</v>
      </c>
      <c r="Q216" s="9">
        <v>45142</v>
      </c>
      <c r="R216" t="s">
        <v>37</v>
      </c>
      <c r="S216" t="s">
        <v>44</v>
      </c>
      <c r="T216" t="s">
        <v>53</v>
      </c>
      <c r="U216" t="s">
        <v>67</v>
      </c>
      <c r="V216" t="s">
        <v>786</v>
      </c>
      <c r="W216">
        <v>27200</v>
      </c>
      <c r="X216" t="s">
        <v>44</v>
      </c>
      <c r="Y216" t="s">
        <v>53</v>
      </c>
      <c r="Z216" t="s">
        <v>49</v>
      </c>
      <c r="AA216" s="10">
        <f>IF(O216&lt;=1,7,7+0.8*ROUNDUP(O216-1,0))</f>
        <v>7</v>
      </c>
      <c r="AB216" s="11">
        <v>0</v>
      </c>
      <c r="AC216" s="11">
        <v>0</v>
      </c>
      <c r="AD216" s="11">
        <v>0</v>
      </c>
      <c r="AE216" s="11">
        <v>0</v>
      </c>
      <c r="AF216" s="11">
        <f t="shared" si="8"/>
        <v>0.42</v>
      </c>
      <c r="AG216" s="11">
        <f t="shared" si="9"/>
        <v>7.42</v>
      </c>
      <c r="AH216" t="s">
        <v>50</v>
      </c>
    </row>
    <row r="217" spans="1:34" ht="15" customHeight="1" x14ac:dyDescent="0.35">
      <c r="A217">
        <v>7547676</v>
      </c>
      <c r="B217">
        <v>690929</v>
      </c>
      <c r="C217" t="s">
        <v>34</v>
      </c>
      <c r="D217" t="s">
        <v>35</v>
      </c>
      <c r="E217" s="6" t="s">
        <v>34</v>
      </c>
      <c r="F217" t="s">
        <v>787</v>
      </c>
      <c r="G217" t="s">
        <v>37</v>
      </c>
      <c r="H217" t="s">
        <v>38</v>
      </c>
      <c r="I217" t="s">
        <v>788</v>
      </c>
      <c r="J217" t="s">
        <v>40</v>
      </c>
      <c r="K217">
        <v>2</v>
      </c>
      <c r="L217" t="s">
        <v>41</v>
      </c>
      <c r="M217" t="s">
        <v>42</v>
      </c>
      <c r="N217" t="s">
        <v>43</v>
      </c>
      <c r="O217" s="7">
        <v>1</v>
      </c>
      <c r="P217" s="8">
        <v>45141.682673611111</v>
      </c>
      <c r="Q217" s="9">
        <v>45142</v>
      </c>
      <c r="R217" t="s">
        <v>37</v>
      </c>
      <c r="S217" t="s">
        <v>44</v>
      </c>
      <c r="T217" t="s">
        <v>53</v>
      </c>
      <c r="U217" t="s">
        <v>134</v>
      </c>
      <c r="V217" t="s">
        <v>789</v>
      </c>
      <c r="W217">
        <v>46200</v>
      </c>
      <c r="X217" t="s">
        <v>44</v>
      </c>
      <c r="Y217" t="s">
        <v>790</v>
      </c>
      <c r="Z217" t="s">
        <v>49</v>
      </c>
      <c r="AA217" s="10">
        <f>IF(O217&lt;=1,7,7+0.8*ROUNDUP(O217-1,0))</f>
        <v>7</v>
      </c>
      <c r="AB217" s="11">
        <v>0</v>
      </c>
      <c r="AC217" s="11">
        <v>0</v>
      </c>
      <c r="AD217" s="11">
        <v>0</v>
      </c>
      <c r="AE217" s="11">
        <v>0</v>
      </c>
      <c r="AF217" s="11">
        <f t="shared" si="8"/>
        <v>0.42</v>
      </c>
      <c r="AG217" s="11">
        <f t="shared" si="9"/>
        <v>7.42</v>
      </c>
      <c r="AH217" t="s">
        <v>50</v>
      </c>
    </row>
    <row r="218" spans="1:34" ht="15" customHeight="1" x14ac:dyDescent="0.35">
      <c r="A218">
        <v>7547676</v>
      </c>
      <c r="B218">
        <v>690929</v>
      </c>
      <c r="C218" t="s">
        <v>34</v>
      </c>
      <c r="D218" t="s">
        <v>35</v>
      </c>
      <c r="E218" s="6" t="s">
        <v>34</v>
      </c>
      <c r="F218" t="s">
        <v>791</v>
      </c>
      <c r="G218" t="s">
        <v>37</v>
      </c>
      <c r="H218" t="s">
        <v>38</v>
      </c>
      <c r="I218" t="s">
        <v>792</v>
      </c>
      <c r="J218" t="s">
        <v>40</v>
      </c>
      <c r="K218">
        <v>2</v>
      </c>
      <c r="L218" t="s">
        <v>41</v>
      </c>
      <c r="M218" t="s">
        <v>42</v>
      </c>
      <c r="N218" t="s">
        <v>43</v>
      </c>
      <c r="O218" s="7">
        <v>2</v>
      </c>
      <c r="P218" s="8">
        <v>45140.635578703703</v>
      </c>
      <c r="Q218" s="9">
        <v>45142</v>
      </c>
      <c r="R218" t="s">
        <v>37</v>
      </c>
      <c r="S218" t="s">
        <v>44</v>
      </c>
      <c r="T218" t="s">
        <v>53</v>
      </c>
      <c r="U218" t="s">
        <v>210</v>
      </c>
      <c r="V218" t="s">
        <v>793</v>
      </c>
      <c r="W218">
        <v>8210</v>
      </c>
      <c r="X218" t="s">
        <v>44</v>
      </c>
      <c r="Y218" t="s">
        <v>794</v>
      </c>
      <c r="Z218" t="s">
        <v>49</v>
      </c>
      <c r="AA218" s="10">
        <f>IF(O218&lt;=1,7,7+0.8*ROUNDUP(O218-1,0))</f>
        <v>7.8</v>
      </c>
      <c r="AB218" s="11">
        <v>0</v>
      </c>
      <c r="AC218" s="11">
        <v>0</v>
      </c>
      <c r="AD218" s="11">
        <v>0</v>
      </c>
      <c r="AE218" s="11">
        <v>0</v>
      </c>
      <c r="AF218" s="11">
        <f t="shared" si="8"/>
        <v>0.46799999999999997</v>
      </c>
      <c r="AG218" s="11">
        <f t="shared" si="9"/>
        <v>8.2680000000000007</v>
      </c>
      <c r="AH218" t="s">
        <v>50</v>
      </c>
    </row>
    <row r="219" spans="1:34" ht="15" customHeight="1" x14ac:dyDescent="0.35">
      <c r="A219">
        <v>7547676</v>
      </c>
      <c r="B219">
        <v>690929</v>
      </c>
      <c r="C219" t="s">
        <v>34</v>
      </c>
      <c r="D219" t="s">
        <v>35</v>
      </c>
      <c r="E219" s="6" t="s">
        <v>34</v>
      </c>
      <c r="F219" t="s">
        <v>795</v>
      </c>
      <c r="G219" t="s">
        <v>37</v>
      </c>
      <c r="H219" t="s">
        <v>38</v>
      </c>
      <c r="I219" t="s">
        <v>796</v>
      </c>
      <c r="J219" t="s">
        <v>40</v>
      </c>
      <c r="K219">
        <v>2</v>
      </c>
      <c r="L219" t="s">
        <v>41</v>
      </c>
      <c r="M219" t="s">
        <v>42</v>
      </c>
      <c r="N219" t="s">
        <v>43</v>
      </c>
      <c r="O219" s="7">
        <v>1</v>
      </c>
      <c r="P219" s="8">
        <v>45141.723969907405</v>
      </c>
      <c r="Q219" s="9">
        <v>45142</v>
      </c>
      <c r="R219" t="s">
        <v>37</v>
      </c>
      <c r="S219" t="s">
        <v>44</v>
      </c>
      <c r="T219" t="s">
        <v>53</v>
      </c>
      <c r="U219" t="s">
        <v>54</v>
      </c>
      <c r="V219" t="s">
        <v>797</v>
      </c>
      <c r="W219">
        <v>46000</v>
      </c>
      <c r="X219" t="s">
        <v>44</v>
      </c>
      <c r="Y219" t="s">
        <v>798</v>
      </c>
      <c r="Z219" t="s">
        <v>49</v>
      </c>
      <c r="AA219" s="10">
        <f>IF(O219&lt;=1,7,7+0.8*ROUNDUP(O219-1,0))</f>
        <v>7</v>
      </c>
      <c r="AB219" s="11">
        <v>0</v>
      </c>
      <c r="AC219" s="11">
        <v>0</v>
      </c>
      <c r="AD219" s="11">
        <v>0</v>
      </c>
      <c r="AE219" s="11">
        <v>0</v>
      </c>
      <c r="AF219" s="11">
        <f t="shared" si="8"/>
        <v>0.42</v>
      </c>
      <c r="AG219" s="11">
        <f t="shared" si="9"/>
        <v>7.42</v>
      </c>
      <c r="AH219" t="s">
        <v>50</v>
      </c>
    </row>
    <row r="220" spans="1:34" ht="15" customHeight="1" x14ac:dyDescent="0.35">
      <c r="A220">
        <v>7547676</v>
      </c>
      <c r="B220">
        <v>690929</v>
      </c>
      <c r="C220" t="s">
        <v>34</v>
      </c>
      <c r="D220" t="s">
        <v>35</v>
      </c>
      <c r="E220" s="6" t="s">
        <v>34</v>
      </c>
      <c r="F220" t="s">
        <v>799</v>
      </c>
      <c r="G220" t="s">
        <v>37</v>
      </c>
      <c r="H220" t="s">
        <v>38</v>
      </c>
      <c r="I220" t="s">
        <v>800</v>
      </c>
      <c r="J220" t="s">
        <v>40</v>
      </c>
      <c r="K220">
        <v>2</v>
      </c>
      <c r="L220" t="s">
        <v>41</v>
      </c>
      <c r="M220" t="s">
        <v>42</v>
      </c>
      <c r="N220" t="s">
        <v>43</v>
      </c>
      <c r="O220" s="7">
        <v>1</v>
      </c>
      <c r="P220" s="8">
        <v>45140.659432870372</v>
      </c>
      <c r="Q220" s="9">
        <v>45142</v>
      </c>
      <c r="R220" t="s">
        <v>37</v>
      </c>
      <c r="S220" t="s">
        <v>44</v>
      </c>
      <c r="T220" t="s">
        <v>53</v>
      </c>
      <c r="U220" t="s">
        <v>440</v>
      </c>
      <c r="V220" t="s">
        <v>801</v>
      </c>
      <c r="W220">
        <v>88300</v>
      </c>
      <c r="X220" t="s">
        <v>194</v>
      </c>
      <c r="Y220" t="s">
        <v>136</v>
      </c>
      <c r="Z220" t="s">
        <v>49</v>
      </c>
      <c r="AA220" s="12">
        <f>IF(O220&lt;=1,13,IF(O220&lt;=2,23,IF(O220&lt;=3,35,IF(O220&lt;=4,43,IF(O220&lt;=5,53,IF(O220&lt;=6,63,IF(O220&lt;=7,71,IF(O220&lt;=8,79,IF(O220&lt;=9,87,IF(O220&lt;=10,95,IF(O220&lt;=11,105,IF(O220&lt;=12,114,IF(O220&lt;=13,119,IF(O220&lt;=14,127,IF(O220&lt;=15,135,IF(O220&lt;=16,143,IF(O220&lt;=17,153,IF(O220&lt;=18,163,IF(O220&lt;=19,171,IF(O220&lt;=20,185,IF(O220&lt;=21,193,IF(O220&lt;=22,201,IF(O220&lt;=23,210,IF(O220&lt;=24,220,IF(O220&lt;=25,230,IF(O220&lt;=26,240,IF(O220&lt;=27,250,IF(O220&lt;=28,260,IF(O220&lt;=29,270,IF(O220&lt;=30,280,280+10*ROUNDUP(O220-30,0)))))))))))))))))))))))))))))))</f>
        <v>13</v>
      </c>
      <c r="AB220" s="11">
        <v>0</v>
      </c>
      <c r="AC220" s="11">
        <v>0</v>
      </c>
      <c r="AD220" s="11">
        <v>0</v>
      </c>
      <c r="AE220" s="11">
        <v>0</v>
      </c>
      <c r="AF220" s="11">
        <f t="shared" si="8"/>
        <v>0.78</v>
      </c>
      <c r="AG220" s="11">
        <f t="shared" si="9"/>
        <v>13.78</v>
      </c>
      <c r="AH220" t="s">
        <v>194</v>
      </c>
    </row>
    <row r="221" spans="1:34" ht="15" customHeight="1" x14ac:dyDescent="0.35">
      <c r="A221">
        <v>7547676</v>
      </c>
      <c r="B221">
        <v>690929</v>
      </c>
      <c r="C221" t="s">
        <v>34</v>
      </c>
      <c r="D221" t="s">
        <v>35</v>
      </c>
      <c r="E221" s="6" t="s">
        <v>34</v>
      </c>
      <c r="F221" t="s">
        <v>802</v>
      </c>
      <c r="G221" t="s">
        <v>37</v>
      </c>
      <c r="H221" t="s">
        <v>38</v>
      </c>
      <c r="I221" t="s">
        <v>803</v>
      </c>
      <c r="J221" t="s">
        <v>40</v>
      </c>
      <c r="K221">
        <v>2</v>
      </c>
      <c r="L221" t="s">
        <v>41</v>
      </c>
      <c r="M221" t="s">
        <v>42</v>
      </c>
      <c r="N221" t="s">
        <v>43</v>
      </c>
      <c r="O221" s="7">
        <v>3</v>
      </c>
      <c r="P221" s="8">
        <v>45140.542071759257</v>
      </c>
      <c r="Q221" s="9">
        <v>45142</v>
      </c>
      <c r="R221" t="s">
        <v>37</v>
      </c>
      <c r="S221" t="s">
        <v>44</v>
      </c>
      <c r="T221" t="s">
        <v>53</v>
      </c>
      <c r="U221" t="s">
        <v>197</v>
      </c>
      <c r="V221" t="s">
        <v>804</v>
      </c>
      <c r="W221">
        <v>83000</v>
      </c>
      <c r="X221" t="s">
        <v>44</v>
      </c>
      <c r="Y221" t="s">
        <v>774</v>
      </c>
      <c r="Z221" t="s">
        <v>49</v>
      </c>
      <c r="AA221" s="10">
        <f>IF(O221&lt;=1,7,7+0.8*ROUNDUP(O221-1,0))</f>
        <v>8.6</v>
      </c>
      <c r="AB221" s="11">
        <v>0</v>
      </c>
      <c r="AC221" s="11">
        <v>0</v>
      </c>
      <c r="AD221" s="11">
        <v>0</v>
      </c>
      <c r="AE221" s="11">
        <v>0</v>
      </c>
      <c r="AF221" s="11">
        <f t="shared" si="8"/>
        <v>0.51600000000000001</v>
      </c>
      <c r="AG221" s="11">
        <f t="shared" si="9"/>
        <v>9.1159999999999997</v>
      </c>
      <c r="AH221" t="s">
        <v>50</v>
      </c>
    </row>
    <row r="222" spans="1:34" ht="15" customHeight="1" x14ac:dyDescent="0.35">
      <c r="A222">
        <v>7547676</v>
      </c>
      <c r="B222">
        <v>690929</v>
      </c>
      <c r="C222" t="s">
        <v>34</v>
      </c>
      <c r="D222" t="s">
        <v>35</v>
      </c>
      <c r="E222" s="6" t="s">
        <v>34</v>
      </c>
      <c r="F222" t="s">
        <v>805</v>
      </c>
      <c r="G222" t="s">
        <v>37</v>
      </c>
      <c r="H222" t="s">
        <v>38</v>
      </c>
      <c r="I222" t="s">
        <v>806</v>
      </c>
      <c r="J222" t="s">
        <v>40</v>
      </c>
      <c r="K222">
        <v>2</v>
      </c>
      <c r="L222" t="s">
        <v>41</v>
      </c>
      <c r="M222" t="s">
        <v>42</v>
      </c>
      <c r="N222" t="s">
        <v>43</v>
      </c>
      <c r="O222" s="7">
        <v>1</v>
      </c>
      <c r="P222" s="8">
        <v>45141.682719907411</v>
      </c>
      <c r="Q222" s="9">
        <v>45142</v>
      </c>
      <c r="R222" t="s">
        <v>37</v>
      </c>
      <c r="S222" t="s">
        <v>44</v>
      </c>
      <c r="T222" t="s">
        <v>53</v>
      </c>
      <c r="U222" t="s">
        <v>54</v>
      </c>
      <c r="V222" t="s">
        <v>807</v>
      </c>
      <c r="W222">
        <v>40150</v>
      </c>
      <c r="X222" t="s">
        <v>44</v>
      </c>
      <c r="Y222" t="s">
        <v>125</v>
      </c>
      <c r="Z222" t="s">
        <v>49</v>
      </c>
      <c r="AA222" s="10">
        <f>IF(O222&lt;=1,7,7+0.8*ROUNDUP(O222-1,0))</f>
        <v>7</v>
      </c>
      <c r="AB222" s="11">
        <v>0</v>
      </c>
      <c r="AC222" s="11">
        <v>0</v>
      </c>
      <c r="AD222" s="11">
        <v>0</v>
      </c>
      <c r="AE222" s="11">
        <v>0</v>
      </c>
      <c r="AF222" s="11">
        <f t="shared" si="8"/>
        <v>0.42</v>
      </c>
      <c r="AG222" s="11">
        <f t="shared" si="9"/>
        <v>7.42</v>
      </c>
      <c r="AH222" t="s">
        <v>50</v>
      </c>
    </row>
    <row r="223" spans="1:34" ht="15" customHeight="1" x14ac:dyDescent="0.35">
      <c r="A223">
        <v>7547676</v>
      </c>
      <c r="B223">
        <v>690929</v>
      </c>
      <c r="C223" t="s">
        <v>34</v>
      </c>
      <c r="D223" t="s">
        <v>35</v>
      </c>
      <c r="E223" s="6" t="s">
        <v>34</v>
      </c>
      <c r="F223" t="s">
        <v>808</v>
      </c>
      <c r="G223" t="s">
        <v>37</v>
      </c>
      <c r="H223" t="s">
        <v>38</v>
      </c>
      <c r="I223" t="s">
        <v>809</v>
      </c>
      <c r="J223" t="s">
        <v>40</v>
      </c>
      <c r="K223">
        <v>2</v>
      </c>
      <c r="L223" t="s">
        <v>41</v>
      </c>
      <c r="M223" t="s">
        <v>42</v>
      </c>
      <c r="N223" t="s">
        <v>43</v>
      </c>
      <c r="O223" s="7">
        <v>3</v>
      </c>
      <c r="P223" s="8">
        <v>45141.761122685188</v>
      </c>
      <c r="Q223" s="9">
        <v>45142</v>
      </c>
      <c r="R223" t="s">
        <v>37</v>
      </c>
      <c r="S223" t="s">
        <v>44</v>
      </c>
      <c r="T223" t="s">
        <v>53</v>
      </c>
      <c r="U223" t="s">
        <v>54</v>
      </c>
      <c r="V223" t="s">
        <v>810</v>
      </c>
      <c r="W223">
        <v>47180</v>
      </c>
      <c r="X223" t="s">
        <v>44</v>
      </c>
      <c r="Y223" t="s">
        <v>78</v>
      </c>
      <c r="Z223" t="s">
        <v>49</v>
      </c>
      <c r="AA223" s="10">
        <f>IF(O223&lt;=1,7,7+0.8*ROUNDUP(O223-1,0))</f>
        <v>8.6</v>
      </c>
      <c r="AB223" s="11">
        <v>0</v>
      </c>
      <c r="AC223" s="11">
        <v>0</v>
      </c>
      <c r="AD223" s="11">
        <v>0</v>
      </c>
      <c r="AE223" s="11">
        <v>0</v>
      </c>
      <c r="AF223" s="11">
        <f t="shared" si="8"/>
        <v>0.51600000000000001</v>
      </c>
      <c r="AG223" s="11">
        <f t="shared" si="9"/>
        <v>9.1159999999999997</v>
      </c>
      <c r="AH223" t="s">
        <v>50</v>
      </c>
    </row>
    <row r="224" spans="1:34" ht="15" customHeight="1" x14ac:dyDescent="0.35">
      <c r="A224">
        <v>7547676</v>
      </c>
      <c r="B224">
        <v>690929</v>
      </c>
      <c r="C224" t="s">
        <v>34</v>
      </c>
      <c r="D224" t="s">
        <v>35</v>
      </c>
      <c r="E224" s="6" t="s">
        <v>34</v>
      </c>
      <c r="F224" t="s">
        <v>811</v>
      </c>
      <c r="G224" t="s">
        <v>37</v>
      </c>
      <c r="H224" t="s">
        <v>38</v>
      </c>
      <c r="I224" t="s">
        <v>812</v>
      </c>
      <c r="J224" t="s">
        <v>40</v>
      </c>
      <c r="K224">
        <v>2</v>
      </c>
      <c r="L224" t="s">
        <v>41</v>
      </c>
      <c r="M224" t="s">
        <v>42</v>
      </c>
      <c r="N224" t="s">
        <v>43</v>
      </c>
      <c r="O224" s="7">
        <v>2</v>
      </c>
      <c r="P224" s="8">
        <v>45141.71402777778</v>
      </c>
      <c r="Q224" s="9">
        <v>45142</v>
      </c>
      <c r="R224" t="s">
        <v>37</v>
      </c>
      <c r="S224" t="s">
        <v>44</v>
      </c>
      <c r="T224" t="s">
        <v>53</v>
      </c>
      <c r="U224" t="s">
        <v>59</v>
      </c>
      <c r="V224" t="s">
        <v>813</v>
      </c>
      <c r="W224">
        <v>16800</v>
      </c>
      <c r="X224" t="s">
        <v>44</v>
      </c>
      <c r="Y224" t="s">
        <v>814</v>
      </c>
      <c r="Z224" t="s">
        <v>49</v>
      </c>
      <c r="AA224" s="10">
        <f>IF(O224&lt;=1,7,7+0.8*ROUNDUP(O224-1,0))</f>
        <v>7.8</v>
      </c>
      <c r="AB224" s="11">
        <v>0</v>
      </c>
      <c r="AC224" s="11">
        <v>0</v>
      </c>
      <c r="AD224" s="11">
        <v>0</v>
      </c>
      <c r="AE224" s="11">
        <v>0</v>
      </c>
      <c r="AF224" s="11">
        <f t="shared" si="8"/>
        <v>0.46799999999999997</v>
      </c>
      <c r="AG224" s="11">
        <f t="shared" si="9"/>
        <v>8.2680000000000007</v>
      </c>
      <c r="AH224" t="s">
        <v>50</v>
      </c>
    </row>
    <row r="225" spans="1:34" ht="15" customHeight="1" x14ac:dyDescent="0.35">
      <c r="A225">
        <v>7547676</v>
      </c>
      <c r="B225">
        <v>690929</v>
      </c>
      <c r="C225" t="s">
        <v>34</v>
      </c>
      <c r="D225" t="s">
        <v>35</v>
      </c>
      <c r="E225" s="6" t="s">
        <v>34</v>
      </c>
      <c r="F225" t="s">
        <v>815</v>
      </c>
      <c r="G225" t="s">
        <v>37</v>
      </c>
      <c r="H225" t="s">
        <v>38</v>
      </c>
      <c r="I225" t="s">
        <v>816</v>
      </c>
      <c r="J225" t="s">
        <v>40</v>
      </c>
      <c r="K225">
        <v>2</v>
      </c>
      <c r="L225" t="s">
        <v>41</v>
      </c>
      <c r="M225" t="s">
        <v>42</v>
      </c>
      <c r="N225" t="s">
        <v>43</v>
      </c>
      <c r="O225" s="7">
        <v>1</v>
      </c>
      <c r="P225" s="8">
        <v>45140.725844907407</v>
      </c>
      <c r="Q225" s="9">
        <v>45142</v>
      </c>
      <c r="R225" t="s">
        <v>37</v>
      </c>
      <c r="S225" t="s">
        <v>44</v>
      </c>
      <c r="T225" t="s">
        <v>53</v>
      </c>
      <c r="U225" t="s">
        <v>210</v>
      </c>
      <c r="V225" t="s">
        <v>817</v>
      </c>
      <c r="W225">
        <v>6000</v>
      </c>
      <c r="X225" t="s">
        <v>44</v>
      </c>
      <c r="Y225" t="s">
        <v>288</v>
      </c>
      <c r="Z225" t="s">
        <v>49</v>
      </c>
      <c r="AA225" s="10">
        <f>IF(O225&lt;=1,7,7+0.8*ROUNDUP(O225-1,0))</f>
        <v>7</v>
      </c>
      <c r="AB225" s="11">
        <v>0</v>
      </c>
      <c r="AC225" s="11">
        <v>0</v>
      </c>
      <c r="AD225" s="11">
        <v>0</v>
      </c>
      <c r="AE225" s="11">
        <v>0</v>
      </c>
      <c r="AF225" s="11">
        <f t="shared" si="8"/>
        <v>0.42</v>
      </c>
      <c r="AG225" s="11">
        <f t="shared" si="9"/>
        <v>7.42</v>
      </c>
      <c r="AH225" t="s">
        <v>50</v>
      </c>
    </row>
    <row r="226" spans="1:34" ht="15" customHeight="1" x14ac:dyDescent="0.35">
      <c r="A226">
        <v>7547676</v>
      </c>
      <c r="B226">
        <v>690929</v>
      </c>
      <c r="C226" t="s">
        <v>34</v>
      </c>
      <c r="D226" t="s">
        <v>35</v>
      </c>
      <c r="E226" s="6" t="s">
        <v>34</v>
      </c>
      <c r="F226" t="s">
        <v>818</v>
      </c>
      <c r="G226" t="s">
        <v>37</v>
      </c>
      <c r="H226" t="s">
        <v>38</v>
      </c>
      <c r="I226" t="s">
        <v>819</v>
      </c>
      <c r="J226" t="s">
        <v>40</v>
      </c>
      <c r="K226">
        <v>2</v>
      </c>
      <c r="L226" t="s">
        <v>41</v>
      </c>
      <c r="M226" t="s">
        <v>42</v>
      </c>
      <c r="N226" t="s">
        <v>43</v>
      </c>
      <c r="O226" s="7">
        <v>3</v>
      </c>
      <c r="P226" s="8">
        <v>45141.678090277775</v>
      </c>
      <c r="Q226" s="9">
        <v>45143</v>
      </c>
      <c r="R226" t="s">
        <v>37</v>
      </c>
      <c r="S226" t="s">
        <v>44</v>
      </c>
      <c r="T226" t="s">
        <v>53</v>
      </c>
      <c r="U226" t="s">
        <v>81</v>
      </c>
      <c r="V226" t="s">
        <v>820</v>
      </c>
      <c r="W226">
        <v>31300</v>
      </c>
      <c r="X226" t="s">
        <v>44</v>
      </c>
      <c r="Y226" t="s">
        <v>821</v>
      </c>
      <c r="Z226" t="s">
        <v>49</v>
      </c>
      <c r="AA226" s="10">
        <f>IF(O226&lt;=1,7,7+0.8*ROUNDUP(O226-1,0))</f>
        <v>8.6</v>
      </c>
      <c r="AB226" s="11">
        <v>0</v>
      </c>
      <c r="AC226" s="11">
        <v>0</v>
      </c>
      <c r="AD226" s="11">
        <v>0</v>
      </c>
      <c r="AE226" s="11">
        <v>0</v>
      </c>
      <c r="AF226" s="11">
        <f t="shared" si="8"/>
        <v>0.51600000000000001</v>
      </c>
      <c r="AG226" s="11">
        <f t="shared" si="9"/>
        <v>9.1159999999999997</v>
      </c>
      <c r="AH226" t="s">
        <v>50</v>
      </c>
    </row>
    <row r="227" spans="1:34" ht="15" customHeight="1" x14ac:dyDescent="0.35">
      <c r="A227">
        <v>7547676</v>
      </c>
      <c r="B227">
        <v>690929</v>
      </c>
      <c r="C227" t="s">
        <v>34</v>
      </c>
      <c r="D227" t="s">
        <v>35</v>
      </c>
      <c r="E227" s="6" t="s">
        <v>34</v>
      </c>
      <c r="F227" t="s">
        <v>822</v>
      </c>
      <c r="G227" t="s">
        <v>37</v>
      </c>
      <c r="H227" t="s">
        <v>38</v>
      </c>
      <c r="I227" t="s">
        <v>823</v>
      </c>
      <c r="J227" t="s">
        <v>40</v>
      </c>
      <c r="K227">
        <v>2</v>
      </c>
      <c r="L227" t="s">
        <v>41</v>
      </c>
      <c r="M227" t="s">
        <v>42</v>
      </c>
      <c r="N227" t="s">
        <v>43</v>
      </c>
      <c r="O227" s="7">
        <v>1</v>
      </c>
      <c r="P227" s="8">
        <v>45141.695289351854</v>
      </c>
      <c r="Q227" s="9">
        <v>45143</v>
      </c>
      <c r="R227" t="s">
        <v>37</v>
      </c>
      <c r="S227" t="s">
        <v>44</v>
      </c>
      <c r="T227" t="s">
        <v>53</v>
      </c>
      <c r="U227" t="s">
        <v>67</v>
      </c>
      <c r="V227" t="s">
        <v>824</v>
      </c>
      <c r="W227">
        <v>39100</v>
      </c>
      <c r="X227" t="s">
        <v>44</v>
      </c>
      <c r="Y227" t="s">
        <v>136</v>
      </c>
      <c r="Z227" t="s">
        <v>49</v>
      </c>
      <c r="AA227" s="10">
        <f>IF(O227&lt;=1,7,7+0.8*ROUNDUP(O227-1,0))</f>
        <v>7</v>
      </c>
      <c r="AB227" s="11">
        <v>0</v>
      </c>
      <c r="AC227" s="11">
        <v>0</v>
      </c>
      <c r="AD227" s="11">
        <v>0</v>
      </c>
      <c r="AE227" s="11">
        <v>0</v>
      </c>
      <c r="AF227" s="11">
        <f t="shared" si="8"/>
        <v>0.42</v>
      </c>
      <c r="AG227" s="11">
        <f t="shared" si="9"/>
        <v>7.42</v>
      </c>
      <c r="AH227" t="s">
        <v>50</v>
      </c>
    </row>
    <row r="228" spans="1:34" ht="15" customHeight="1" x14ac:dyDescent="0.35">
      <c r="A228">
        <v>7547676</v>
      </c>
      <c r="B228">
        <v>690929</v>
      </c>
      <c r="C228" t="s">
        <v>34</v>
      </c>
      <c r="D228" t="s">
        <v>35</v>
      </c>
      <c r="E228" s="6" t="s">
        <v>34</v>
      </c>
      <c r="F228" t="s">
        <v>825</v>
      </c>
      <c r="G228" t="s">
        <v>37</v>
      </c>
      <c r="H228" t="s">
        <v>38</v>
      </c>
      <c r="I228" t="s">
        <v>826</v>
      </c>
      <c r="J228" t="s">
        <v>40</v>
      </c>
      <c r="K228">
        <v>2</v>
      </c>
      <c r="L228" t="s">
        <v>41</v>
      </c>
      <c r="M228" t="s">
        <v>42</v>
      </c>
      <c r="N228" t="s">
        <v>43</v>
      </c>
      <c r="O228" s="7">
        <v>2</v>
      </c>
      <c r="P228" s="8">
        <v>45139.752395833333</v>
      </c>
      <c r="Q228" s="9">
        <v>45143</v>
      </c>
      <c r="R228" t="s">
        <v>37</v>
      </c>
      <c r="S228" t="s">
        <v>44</v>
      </c>
      <c r="T228" t="s">
        <v>53</v>
      </c>
      <c r="U228" t="s">
        <v>192</v>
      </c>
      <c r="V228" t="s">
        <v>827</v>
      </c>
      <c r="W228">
        <v>97000</v>
      </c>
      <c r="X228" t="s">
        <v>194</v>
      </c>
      <c r="Y228" t="s">
        <v>136</v>
      </c>
      <c r="Z228" t="s">
        <v>49</v>
      </c>
      <c r="AA228" s="12">
        <f>IF(O228&lt;=1,13,IF(O228&lt;=2,23,IF(O228&lt;=3,35,IF(O228&lt;=4,43,IF(O228&lt;=5,53,IF(O228&lt;=6,63,IF(O228&lt;=7,71,IF(O228&lt;=8,79,IF(O228&lt;=9,87,IF(O228&lt;=10,95,IF(O228&lt;=11,105,IF(O228&lt;=12,114,IF(O228&lt;=13,119,IF(O228&lt;=14,127,IF(O228&lt;=15,135,IF(O228&lt;=16,143,IF(O228&lt;=17,153,IF(O228&lt;=18,163,IF(O228&lt;=19,171,IF(O228&lt;=20,185,IF(O228&lt;=21,193,IF(O228&lt;=22,201,IF(O228&lt;=23,210,IF(O228&lt;=24,220,IF(O228&lt;=25,230,IF(O228&lt;=26,240,IF(O228&lt;=27,250,IF(O228&lt;=28,260,IF(O228&lt;=29,270,IF(O228&lt;=30,280,280+10*ROUNDUP(O228-30,0)))))))))))))))))))))))))))))))</f>
        <v>23</v>
      </c>
      <c r="AB228" s="11">
        <v>0</v>
      </c>
      <c r="AC228" s="11">
        <v>0</v>
      </c>
      <c r="AD228" s="11">
        <v>0</v>
      </c>
      <c r="AE228" s="11">
        <v>0</v>
      </c>
      <c r="AF228" s="11">
        <f t="shared" si="8"/>
        <v>1.38</v>
      </c>
      <c r="AG228" s="11">
        <f t="shared" si="9"/>
        <v>24.38</v>
      </c>
      <c r="AH228" t="s">
        <v>194</v>
      </c>
    </row>
    <row r="229" spans="1:34" ht="15" customHeight="1" x14ac:dyDescent="0.35">
      <c r="A229">
        <v>7547676</v>
      </c>
      <c r="B229">
        <v>690929</v>
      </c>
      <c r="C229" t="s">
        <v>34</v>
      </c>
      <c r="D229" t="s">
        <v>35</v>
      </c>
      <c r="E229" s="6" t="s">
        <v>34</v>
      </c>
      <c r="F229" t="s">
        <v>828</v>
      </c>
      <c r="G229" t="s">
        <v>37</v>
      </c>
      <c r="H229" t="s">
        <v>38</v>
      </c>
      <c r="I229" t="s">
        <v>829</v>
      </c>
      <c r="J229" t="s">
        <v>40</v>
      </c>
      <c r="K229">
        <v>2</v>
      </c>
      <c r="L229" t="s">
        <v>41</v>
      </c>
      <c r="M229" t="s">
        <v>42</v>
      </c>
      <c r="N229" t="s">
        <v>43</v>
      </c>
      <c r="O229" s="7">
        <v>1</v>
      </c>
      <c r="P229" s="8">
        <v>45142.663726851853</v>
      </c>
      <c r="Q229" s="9">
        <v>45143</v>
      </c>
      <c r="R229" t="s">
        <v>37</v>
      </c>
      <c r="S229" t="s">
        <v>44</v>
      </c>
      <c r="T229" t="s">
        <v>45</v>
      </c>
      <c r="U229" t="s">
        <v>72</v>
      </c>
      <c r="V229" t="s">
        <v>830</v>
      </c>
      <c r="W229">
        <v>22000</v>
      </c>
      <c r="X229" t="s">
        <v>44</v>
      </c>
      <c r="Y229" t="s">
        <v>45</v>
      </c>
      <c r="Z229" t="s">
        <v>49</v>
      </c>
      <c r="AA229" s="10">
        <f>IF(O229&lt;=1,7,7+0.8*ROUNDUP(O229-1,0))</f>
        <v>7</v>
      </c>
      <c r="AB229" s="11">
        <v>0</v>
      </c>
      <c r="AC229" s="11">
        <v>0</v>
      </c>
      <c r="AD229" s="11">
        <v>0</v>
      </c>
      <c r="AE229" s="11">
        <v>0</v>
      </c>
      <c r="AF229" s="11">
        <f t="shared" si="8"/>
        <v>0.42</v>
      </c>
      <c r="AG229" s="11">
        <f t="shared" si="9"/>
        <v>7.42</v>
      </c>
      <c r="AH229" t="s">
        <v>50</v>
      </c>
    </row>
    <row r="230" spans="1:34" ht="15" customHeight="1" x14ac:dyDescent="0.35">
      <c r="A230">
        <v>7547676</v>
      </c>
      <c r="B230">
        <v>690929</v>
      </c>
      <c r="C230" t="s">
        <v>34</v>
      </c>
      <c r="D230" t="s">
        <v>35</v>
      </c>
      <c r="E230" s="6" t="s">
        <v>34</v>
      </c>
      <c r="F230" t="s">
        <v>831</v>
      </c>
      <c r="G230" t="s">
        <v>37</v>
      </c>
      <c r="H230" t="s">
        <v>38</v>
      </c>
      <c r="I230" t="s">
        <v>832</v>
      </c>
      <c r="J230" t="s">
        <v>40</v>
      </c>
      <c r="K230">
        <v>2</v>
      </c>
      <c r="L230" t="s">
        <v>41</v>
      </c>
      <c r="M230" t="s">
        <v>42</v>
      </c>
      <c r="N230" t="s">
        <v>43</v>
      </c>
      <c r="O230" s="7">
        <v>1</v>
      </c>
      <c r="P230" s="8">
        <v>45143.546712962961</v>
      </c>
      <c r="Q230" s="9">
        <v>45144</v>
      </c>
      <c r="R230" t="s">
        <v>37</v>
      </c>
      <c r="S230" t="s">
        <v>44</v>
      </c>
      <c r="T230" t="s">
        <v>53</v>
      </c>
      <c r="U230" t="s">
        <v>72</v>
      </c>
      <c r="V230" t="s">
        <v>833</v>
      </c>
      <c r="W230">
        <v>21500</v>
      </c>
      <c r="X230" t="s">
        <v>44</v>
      </c>
      <c r="Y230" t="s">
        <v>53</v>
      </c>
      <c r="Z230" t="s">
        <v>49</v>
      </c>
      <c r="AA230" s="10">
        <f>IF(O230&lt;=1,7,7+0.8*ROUNDUP(O230-1,0))</f>
        <v>7</v>
      </c>
      <c r="AB230" s="11">
        <v>0</v>
      </c>
      <c r="AC230" s="11">
        <v>0</v>
      </c>
      <c r="AD230" s="11">
        <v>0</v>
      </c>
      <c r="AE230" s="11">
        <v>0</v>
      </c>
      <c r="AF230" s="11">
        <f t="shared" si="8"/>
        <v>0.42</v>
      </c>
      <c r="AG230" s="11">
        <f t="shared" si="9"/>
        <v>7.42</v>
      </c>
      <c r="AH230" t="s">
        <v>50</v>
      </c>
    </row>
    <row r="231" spans="1:34" ht="15" customHeight="1" x14ac:dyDescent="0.35">
      <c r="A231">
        <v>7547676</v>
      </c>
      <c r="B231">
        <v>690929</v>
      </c>
      <c r="C231" t="s">
        <v>34</v>
      </c>
      <c r="D231" t="s">
        <v>35</v>
      </c>
      <c r="E231" s="6" t="s">
        <v>34</v>
      </c>
      <c r="F231" t="s">
        <v>834</v>
      </c>
      <c r="G231" t="s">
        <v>37</v>
      </c>
      <c r="H231" t="s">
        <v>38</v>
      </c>
      <c r="I231" t="s">
        <v>835</v>
      </c>
      <c r="J231" t="s">
        <v>40</v>
      </c>
      <c r="K231">
        <v>2</v>
      </c>
      <c r="L231" t="s">
        <v>41</v>
      </c>
      <c r="M231" t="s">
        <v>42</v>
      </c>
      <c r="N231" t="s">
        <v>43</v>
      </c>
      <c r="O231" s="7">
        <v>1</v>
      </c>
      <c r="P231" s="8">
        <v>45143.512777777774</v>
      </c>
      <c r="Q231" s="9">
        <v>45145</v>
      </c>
      <c r="R231" t="s">
        <v>37</v>
      </c>
      <c r="S231" t="s">
        <v>44</v>
      </c>
      <c r="T231" t="s">
        <v>53</v>
      </c>
      <c r="U231" t="s">
        <v>210</v>
      </c>
      <c r="V231" t="s">
        <v>836</v>
      </c>
      <c r="W231">
        <v>6700</v>
      </c>
      <c r="X231" t="s">
        <v>44</v>
      </c>
      <c r="Y231" t="s">
        <v>837</v>
      </c>
      <c r="Z231" t="s">
        <v>49</v>
      </c>
      <c r="AA231" s="10">
        <f>IF(O231&lt;=1,7,7+0.8*ROUNDUP(O231-1,0))</f>
        <v>7</v>
      </c>
      <c r="AB231" s="11">
        <v>0</v>
      </c>
      <c r="AC231" s="11">
        <v>0</v>
      </c>
      <c r="AD231" s="11">
        <v>0</v>
      </c>
      <c r="AE231" s="11">
        <v>0</v>
      </c>
      <c r="AF231" s="11">
        <f t="shared" si="8"/>
        <v>0.42</v>
      </c>
      <c r="AG231" s="11">
        <f t="shared" si="9"/>
        <v>7.42</v>
      </c>
      <c r="AH231" t="s">
        <v>50</v>
      </c>
    </row>
    <row r="232" spans="1:34" ht="15" customHeight="1" x14ac:dyDescent="0.35">
      <c r="A232">
        <v>7547676</v>
      </c>
      <c r="B232">
        <v>690929</v>
      </c>
      <c r="C232" t="s">
        <v>34</v>
      </c>
      <c r="D232" t="s">
        <v>35</v>
      </c>
      <c r="E232" s="6" t="s">
        <v>34</v>
      </c>
      <c r="F232" t="s">
        <v>838</v>
      </c>
      <c r="G232" t="s">
        <v>37</v>
      </c>
      <c r="H232" t="s">
        <v>38</v>
      </c>
      <c r="I232" t="s">
        <v>839</v>
      </c>
      <c r="J232" t="s">
        <v>40</v>
      </c>
      <c r="K232">
        <v>2</v>
      </c>
      <c r="L232" t="s">
        <v>41</v>
      </c>
      <c r="M232" t="s">
        <v>42</v>
      </c>
      <c r="N232" t="s">
        <v>43</v>
      </c>
      <c r="O232" s="7">
        <v>1</v>
      </c>
      <c r="P232" s="8">
        <v>45144.730347222219</v>
      </c>
      <c r="Q232" s="9">
        <v>45145</v>
      </c>
      <c r="R232" t="s">
        <v>37</v>
      </c>
      <c r="S232" t="s">
        <v>44</v>
      </c>
      <c r="T232" t="s">
        <v>53</v>
      </c>
      <c r="U232" t="s">
        <v>54</v>
      </c>
      <c r="V232" t="s">
        <v>840</v>
      </c>
      <c r="W232">
        <v>40170</v>
      </c>
      <c r="X232" t="s">
        <v>44</v>
      </c>
      <c r="Y232" t="s">
        <v>365</v>
      </c>
      <c r="Z232" t="s">
        <v>49</v>
      </c>
      <c r="AA232" s="10">
        <f>IF(O232&lt;=1,7,7+0.8*ROUNDUP(O232-1,0))</f>
        <v>7</v>
      </c>
      <c r="AB232" s="11">
        <v>0</v>
      </c>
      <c r="AC232" s="11">
        <v>0</v>
      </c>
      <c r="AD232" s="11">
        <v>0</v>
      </c>
      <c r="AE232" s="11">
        <v>0</v>
      </c>
      <c r="AF232" s="11">
        <f t="shared" si="8"/>
        <v>0.42</v>
      </c>
      <c r="AG232" s="11">
        <f t="shared" si="9"/>
        <v>7.42</v>
      </c>
      <c r="AH232" t="s">
        <v>50</v>
      </c>
    </row>
    <row r="233" spans="1:34" ht="15" customHeight="1" x14ac:dyDescent="0.35">
      <c r="A233">
        <v>7547676</v>
      </c>
      <c r="B233">
        <v>690929</v>
      </c>
      <c r="C233" t="s">
        <v>34</v>
      </c>
      <c r="D233" t="s">
        <v>35</v>
      </c>
      <c r="E233" s="6" t="s">
        <v>34</v>
      </c>
      <c r="F233" t="s">
        <v>841</v>
      </c>
      <c r="G233" t="s">
        <v>37</v>
      </c>
      <c r="H233" t="s">
        <v>38</v>
      </c>
      <c r="I233" t="s">
        <v>842</v>
      </c>
      <c r="J233" t="s">
        <v>40</v>
      </c>
      <c r="K233">
        <v>2</v>
      </c>
      <c r="L233" t="s">
        <v>41</v>
      </c>
      <c r="M233" t="s">
        <v>42</v>
      </c>
      <c r="N233" t="s">
        <v>43</v>
      </c>
      <c r="O233" s="7">
        <v>2</v>
      </c>
      <c r="P233" s="8">
        <v>45143.713738425926</v>
      </c>
      <c r="Q233" s="9">
        <v>45145</v>
      </c>
      <c r="R233" t="s">
        <v>37</v>
      </c>
      <c r="S233" t="s">
        <v>44</v>
      </c>
      <c r="T233" t="s">
        <v>53</v>
      </c>
      <c r="U233" t="s">
        <v>134</v>
      </c>
      <c r="V233" t="s">
        <v>843</v>
      </c>
      <c r="W233">
        <v>51100</v>
      </c>
      <c r="X233" t="s">
        <v>44</v>
      </c>
      <c r="Y233" t="s">
        <v>551</v>
      </c>
      <c r="Z233" t="s">
        <v>49</v>
      </c>
      <c r="AA233" s="10">
        <f>IF(O233&lt;=1,7,7+0.8*ROUNDUP(O233-1,0))</f>
        <v>7.8</v>
      </c>
      <c r="AB233" s="11">
        <v>0</v>
      </c>
      <c r="AC233" s="11">
        <v>0</v>
      </c>
      <c r="AD233" s="11">
        <v>0</v>
      </c>
      <c r="AE233" s="11">
        <v>0</v>
      </c>
      <c r="AF233" s="11">
        <f t="shared" si="8"/>
        <v>0.46799999999999997</v>
      </c>
      <c r="AG233" s="11">
        <f t="shared" si="9"/>
        <v>8.2680000000000007</v>
      </c>
      <c r="AH233" t="s">
        <v>50</v>
      </c>
    </row>
    <row r="234" spans="1:34" ht="15" customHeight="1" x14ac:dyDescent="0.35">
      <c r="A234">
        <v>7547676</v>
      </c>
      <c r="B234">
        <v>690929</v>
      </c>
      <c r="C234" t="s">
        <v>34</v>
      </c>
      <c r="D234" t="s">
        <v>35</v>
      </c>
      <c r="E234" s="6" t="s">
        <v>34</v>
      </c>
      <c r="F234" t="s">
        <v>844</v>
      </c>
      <c r="G234" t="s">
        <v>37</v>
      </c>
      <c r="H234" t="s">
        <v>38</v>
      </c>
      <c r="I234" t="s">
        <v>845</v>
      </c>
      <c r="J234" t="s">
        <v>40</v>
      </c>
      <c r="K234">
        <v>2</v>
      </c>
      <c r="L234" t="s">
        <v>41</v>
      </c>
      <c r="M234" t="s">
        <v>42</v>
      </c>
      <c r="N234" t="s">
        <v>43</v>
      </c>
      <c r="O234" s="7">
        <v>1</v>
      </c>
      <c r="P234" s="8">
        <v>45143.738275462965</v>
      </c>
      <c r="Q234" s="9">
        <v>45145</v>
      </c>
      <c r="R234" t="s">
        <v>37</v>
      </c>
      <c r="S234" t="s">
        <v>44</v>
      </c>
      <c r="T234" t="s">
        <v>53</v>
      </c>
      <c r="U234" t="s">
        <v>197</v>
      </c>
      <c r="V234" t="s">
        <v>846</v>
      </c>
      <c r="W234">
        <v>81750</v>
      </c>
      <c r="X234" t="s">
        <v>44</v>
      </c>
      <c r="Y234" t="s">
        <v>136</v>
      </c>
      <c r="Z234" t="s">
        <v>49</v>
      </c>
      <c r="AA234" s="10">
        <f>IF(O234&lt;=1,7,7+0.8*ROUNDUP(O234-1,0))</f>
        <v>7</v>
      </c>
      <c r="AB234" s="11">
        <v>0</v>
      </c>
      <c r="AC234" s="11">
        <v>0</v>
      </c>
      <c r="AD234" s="11">
        <v>0</v>
      </c>
      <c r="AE234" s="11">
        <v>0</v>
      </c>
      <c r="AF234" s="11">
        <f t="shared" si="8"/>
        <v>0.42</v>
      </c>
      <c r="AG234" s="11">
        <f t="shared" si="9"/>
        <v>7.42</v>
      </c>
      <c r="AH234" t="s">
        <v>50</v>
      </c>
    </row>
    <row r="235" spans="1:34" ht="15" customHeight="1" x14ac:dyDescent="0.35">
      <c r="A235">
        <v>7547676</v>
      </c>
      <c r="B235">
        <v>690929</v>
      </c>
      <c r="C235" t="s">
        <v>34</v>
      </c>
      <c r="D235" t="s">
        <v>35</v>
      </c>
      <c r="E235" s="6" t="s">
        <v>34</v>
      </c>
      <c r="F235" t="s">
        <v>847</v>
      </c>
      <c r="G235" t="s">
        <v>37</v>
      </c>
      <c r="H235" t="s">
        <v>38</v>
      </c>
      <c r="I235" t="s">
        <v>848</v>
      </c>
      <c r="J235" t="s">
        <v>40</v>
      </c>
      <c r="K235">
        <v>2</v>
      </c>
      <c r="L235" t="s">
        <v>41</v>
      </c>
      <c r="M235" t="s">
        <v>42</v>
      </c>
      <c r="N235" t="s">
        <v>43</v>
      </c>
      <c r="O235" s="7">
        <v>1</v>
      </c>
      <c r="P235" s="8">
        <v>45141.597233796296</v>
      </c>
      <c r="Q235" s="9">
        <v>45145</v>
      </c>
      <c r="R235" t="s">
        <v>37</v>
      </c>
      <c r="S235" t="s">
        <v>44</v>
      </c>
      <c r="T235" t="s">
        <v>53</v>
      </c>
      <c r="U235" t="s">
        <v>210</v>
      </c>
      <c r="V235" t="s">
        <v>849</v>
      </c>
      <c r="W235">
        <v>6000</v>
      </c>
      <c r="X235" t="s">
        <v>44</v>
      </c>
      <c r="Y235" t="s">
        <v>233</v>
      </c>
      <c r="Z235" t="s">
        <v>49</v>
      </c>
      <c r="AA235" s="10">
        <f>IF(O235&lt;=1,7,7+0.8*ROUNDUP(O235-1,0))</f>
        <v>7</v>
      </c>
      <c r="AB235" s="11">
        <v>0</v>
      </c>
      <c r="AC235" s="11">
        <v>0</v>
      </c>
      <c r="AD235" s="11">
        <v>0</v>
      </c>
      <c r="AE235" s="11">
        <v>0</v>
      </c>
      <c r="AF235" s="11">
        <f t="shared" si="8"/>
        <v>0.42</v>
      </c>
      <c r="AG235" s="11">
        <f t="shared" si="9"/>
        <v>7.42</v>
      </c>
      <c r="AH235" t="s">
        <v>50</v>
      </c>
    </row>
    <row r="236" spans="1:34" ht="15" customHeight="1" x14ac:dyDescent="0.35">
      <c r="A236">
        <v>7547676</v>
      </c>
      <c r="B236">
        <v>690929</v>
      </c>
      <c r="C236" t="s">
        <v>34</v>
      </c>
      <c r="D236" t="s">
        <v>35</v>
      </c>
      <c r="E236" s="6" t="s">
        <v>34</v>
      </c>
      <c r="F236" t="s">
        <v>850</v>
      </c>
      <c r="G236" t="s">
        <v>37</v>
      </c>
      <c r="H236" t="s">
        <v>38</v>
      </c>
      <c r="I236" t="s">
        <v>851</v>
      </c>
      <c r="J236" t="s">
        <v>40</v>
      </c>
      <c r="K236">
        <v>2</v>
      </c>
      <c r="L236" t="s">
        <v>41</v>
      </c>
      <c r="M236" t="s">
        <v>42</v>
      </c>
      <c r="N236" t="s">
        <v>43</v>
      </c>
      <c r="O236" s="7">
        <v>1</v>
      </c>
      <c r="P236" s="8">
        <v>45144.713831018518</v>
      </c>
      <c r="Q236" s="9">
        <v>45145</v>
      </c>
      <c r="R236" t="s">
        <v>37</v>
      </c>
      <c r="S236" t="s">
        <v>44</v>
      </c>
      <c r="T236" t="s">
        <v>53</v>
      </c>
      <c r="U236" t="s">
        <v>67</v>
      </c>
      <c r="V236" t="s">
        <v>852</v>
      </c>
      <c r="W236">
        <v>27100</v>
      </c>
      <c r="X236" t="s">
        <v>44</v>
      </c>
      <c r="Y236" t="s">
        <v>53</v>
      </c>
      <c r="Z236" t="s">
        <v>49</v>
      </c>
      <c r="AA236" s="10">
        <f>IF(O236&lt;=1,7,7+0.8*ROUNDUP(O236-1,0))</f>
        <v>7</v>
      </c>
      <c r="AB236" s="11">
        <v>0</v>
      </c>
      <c r="AC236" s="11">
        <v>0</v>
      </c>
      <c r="AD236" s="11">
        <v>0</v>
      </c>
      <c r="AE236" s="11">
        <v>0</v>
      </c>
      <c r="AF236" s="11">
        <f t="shared" si="8"/>
        <v>0.42</v>
      </c>
      <c r="AG236" s="11">
        <f t="shared" si="9"/>
        <v>7.42</v>
      </c>
      <c r="AH236" t="s">
        <v>50</v>
      </c>
    </row>
    <row r="237" spans="1:34" ht="15" customHeight="1" x14ac:dyDescent="0.35">
      <c r="A237">
        <v>7547676</v>
      </c>
      <c r="B237">
        <v>690929</v>
      </c>
      <c r="C237" t="s">
        <v>34</v>
      </c>
      <c r="D237" t="s">
        <v>35</v>
      </c>
      <c r="E237" s="6" t="s">
        <v>34</v>
      </c>
      <c r="F237" t="s">
        <v>853</v>
      </c>
      <c r="G237" t="s">
        <v>37</v>
      </c>
      <c r="H237" t="s">
        <v>38</v>
      </c>
      <c r="I237" t="s">
        <v>854</v>
      </c>
      <c r="J237" t="s">
        <v>40</v>
      </c>
      <c r="K237">
        <v>2</v>
      </c>
      <c r="L237" t="s">
        <v>41</v>
      </c>
      <c r="M237" t="s">
        <v>42</v>
      </c>
      <c r="N237" t="s">
        <v>43</v>
      </c>
      <c r="O237" s="7">
        <v>2</v>
      </c>
      <c r="P237" s="8">
        <v>45143.51803240741</v>
      </c>
      <c r="Q237" s="9">
        <v>45145</v>
      </c>
      <c r="R237" t="s">
        <v>37</v>
      </c>
      <c r="S237" t="s">
        <v>44</v>
      </c>
      <c r="T237" t="s">
        <v>53</v>
      </c>
      <c r="U237" t="s">
        <v>46</v>
      </c>
      <c r="V237" t="s">
        <v>855</v>
      </c>
      <c r="W237">
        <v>13700</v>
      </c>
      <c r="X237" t="s">
        <v>44</v>
      </c>
      <c r="Y237" t="s">
        <v>151</v>
      </c>
      <c r="Z237" t="s">
        <v>49</v>
      </c>
      <c r="AA237" s="10">
        <f>IF(O237&lt;=1,7,7+0.8*ROUNDUP(O237-1,0))</f>
        <v>7.8</v>
      </c>
      <c r="AB237" s="11">
        <v>0</v>
      </c>
      <c r="AC237" s="11">
        <v>0</v>
      </c>
      <c r="AD237" s="11">
        <v>0</v>
      </c>
      <c r="AE237" s="11">
        <v>0</v>
      </c>
      <c r="AF237" s="11">
        <f t="shared" si="8"/>
        <v>0.46799999999999997</v>
      </c>
      <c r="AG237" s="11">
        <f t="shared" si="9"/>
        <v>8.2680000000000007</v>
      </c>
      <c r="AH237" t="s">
        <v>50</v>
      </c>
    </row>
    <row r="238" spans="1:34" ht="15" customHeight="1" x14ac:dyDescent="0.35">
      <c r="A238">
        <v>7547676</v>
      </c>
      <c r="B238">
        <v>690929</v>
      </c>
      <c r="C238" t="s">
        <v>34</v>
      </c>
      <c r="D238" t="s">
        <v>35</v>
      </c>
      <c r="E238" s="6" t="s">
        <v>34</v>
      </c>
      <c r="F238" t="s">
        <v>856</v>
      </c>
      <c r="G238" t="s">
        <v>37</v>
      </c>
      <c r="H238" t="s">
        <v>38</v>
      </c>
      <c r="I238" t="s">
        <v>857</v>
      </c>
      <c r="J238" t="s">
        <v>40</v>
      </c>
      <c r="K238">
        <v>2</v>
      </c>
      <c r="L238" t="s">
        <v>41</v>
      </c>
      <c r="M238" t="s">
        <v>42</v>
      </c>
      <c r="N238" t="s">
        <v>43</v>
      </c>
      <c r="O238" s="7">
        <v>2</v>
      </c>
      <c r="P238" s="8">
        <v>45144.707789351851</v>
      </c>
      <c r="Q238" s="9">
        <v>45145</v>
      </c>
      <c r="R238" t="s">
        <v>37</v>
      </c>
      <c r="S238" t="s">
        <v>44</v>
      </c>
      <c r="T238" t="s">
        <v>53</v>
      </c>
      <c r="U238" t="s">
        <v>72</v>
      </c>
      <c r="V238" t="s">
        <v>858</v>
      </c>
      <c r="W238">
        <v>21200</v>
      </c>
      <c r="X238" t="s">
        <v>44</v>
      </c>
      <c r="Y238" t="s">
        <v>693</v>
      </c>
      <c r="Z238" t="s">
        <v>49</v>
      </c>
      <c r="AA238" s="10">
        <f>IF(O238&lt;=1,7,7+0.8*ROUNDUP(O238-1,0))</f>
        <v>7.8</v>
      </c>
      <c r="AB238" s="11">
        <v>0</v>
      </c>
      <c r="AC238" s="11">
        <v>0</v>
      </c>
      <c r="AD238" s="11">
        <v>0</v>
      </c>
      <c r="AE238" s="11">
        <v>0</v>
      </c>
      <c r="AF238" s="11">
        <f t="shared" si="8"/>
        <v>0.46799999999999997</v>
      </c>
      <c r="AG238" s="11">
        <f t="shared" si="9"/>
        <v>8.2680000000000007</v>
      </c>
      <c r="AH238" t="s">
        <v>50</v>
      </c>
    </row>
    <row r="239" spans="1:34" ht="15" customHeight="1" x14ac:dyDescent="0.35">
      <c r="A239">
        <v>7547676</v>
      </c>
      <c r="B239">
        <v>690929</v>
      </c>
      <c r="C239" t="s">
        <v>34</v>
      </c>
      <c r="D239" t="s">
        <v>35</v>
      </c>
      <c r="E239" s="6" t="s">
        <v>34</v>
      </c>
      <c r="F239" t="s">
        <v>859</v>
      </c>
      <c r="G239" t="s">
        <v>37</v>
      </c>
      <c r="H239" t="s">
        <v>38</v>
      </c>
      <c r="I239" t="s">
        <v>860</v>
      </c>
      <c r="J239" t="s">
        <v>40</v>
      </c>
      <c r="K239">
        <v>2</v>
      </c>
      <c r="L239" t="s">
        <v>41</v>
      </c>
      <c r="M239" t="s">
        <v>42</v>
      </c>
      <c r="N239" t="s">
        <v>43</v>
      </c>
      <c r="O239" s="7">
        <v>1</v>
      </c>
      <c r="P239" s="8">
        <v>45143.774259259262</v>
      </c>
      <c r="Q239" s="9">
        <v>45145</v>
      </c>
      <c r="R239" t="s">
        <v>37</v>
      </c>
      <c r="S239" t="s">
        <v>44</v>
      </c>
      <c r="T239" t="s">
        <v>53</v>
      </c>
      <c r="U239" t="s">
        <v>54</v>
      </c>
      <c r="V239" t="s">
        <v>861</v>
      </c>
      <c r="W239">
        <v>48050</v>
      </c>
      <c r="X239" t="s">
        <v>44</v>
      </c>
      <c r="Y239" t="s">
        <v>136</v>
      </c>
      <c r="Z239" t="s">
        <v>49</v>
      </c>
      <c r="AA239" s="10">
        <f>IF(O239&lt;=1,7,7+0.8*ROUNDUP(O239-1,0))</f>
        <v>7</v>
      </c>
      <c r="AB239" s="11">
        <v>0</v>
      </c>
      <c r="AC239" s="11">
        <v>0</v>
      </c>
      <c r="AD239" s="11">
        <v>0</v>
      </c>
      <c r="AE239" s="11">
        <v>0</v>
      </c>
      <c r="AF239" s="11">
        <f t="shared" si="8"/>
        <v>0.42</v>
      </c>
      <c r="AG239" s="11">
        <f t="shared" si="9"/>
        <v>7.42</v>
      </c>
      <c r="AH239" t="s">
        <v>50</v>
      </c>
    </row>
    <row r="240" spans="1:34" ht="15" customHeight="1" x14ac:dyDescent="0.35">
      <c r="A240">
        <v>7547676</v>
      </c>
      <c r="B240">
        <v>690929</v>
      </c>
      <c r="C240" t="s">
        <v>34</v>
      </c>
      <c r="D240" t="s">
        <v>35</v>
      </c>
      <c r="E240" s="6" t="s">
        <v>34</v>
      </c>
      <c r="F240" t="s">
        <v>862</v>
      </c>
      <c r="G240" t="s">
        <v>37</v>
      </c>
      <c r="H240" t="s">
        <v>38</v>
      </c>
      <c r="I240" t="s">
        <v>863</v>
      </c>
      <c r="J240" t="s">
        <v>40</v>
      </c>
      <c r="K240">
        <v>2</v>
      </c>
      <c r="L240" t="s">
        <v>41</v>
      </c>
      <c r="M240" t="s">
        <v>42</v>
      </c>
      <c r="N240" t="s">
        <v>43</v>
      </c>
      <c r="O240" s="7">
        <v>1</v>
      </c>
      <c r="P240" s="8">
        <v>45143.738275462965</v>
      </c>
      <c r="Q240" s="9">
        <v>45145</v>
      </c>
      <c r="R240" t="s">
        <v>37</v>
      </c>
      <c r="S240" t="s">
        <v>44</v>
      </c>
      <c r="T240" t="s">
        <v>53</v>
      </c>
      <c r="U240" t="s">
        <v>197</v>
      </c>
      <c r="V240" t="s">
        <v>864</v>
      </c>
      <c r="W240">
        <v>81200</v>
      </c>
      <c r="X240" t="s">
        <v>44</v>
      </c>
      <c r="Y240" t="s">
        <v>351</v>
      </c>
      <c r="Z240" t="s">
        <v>49</v>
      </c>
      <c r="AA240" s="10">
        <f>IF(O240&lt;=1,7,7+0.8*ROUNDUP(O240-1,0))</f>
        <v>7</v>
      </c>
      <c r="AB240" s="11">
        <v>0</v>
      </c>
      <c r="AC240" s="11">
        <v>0</v>
      </c>
      <c r="AD240" s="11">
        <v>0</v>
      </c>
      <c r="AE240" s="11">
        <v>0</v>
      </c>
      <c r="AF240" s="11">
        <f t="shared" si="8"/>
        <v>0.42</v>
      </c>
      <c r="AG240" s="11">
        <f t="shared" si="9"/>
        <v>7.42</v>
      </c>
      <c r="AH240" t="s">
        <v>50</v>
      </c>
    </row>
    <row r="241" spans="1:34" ht="15" customHeight="1" x14ac:dyDescent="0.35">
      <c r="A241">
        <v>7547676</v>
      </c>
      <c r="B241">
        <v>690929</v>
      </c>
      <c r="C241" t="s">
        <v>34</v>
      </c>
      <c r="D241" t="s">
        <v>35</v>
      </c>
      <c r="E241" s="6" t="s">
        <v>34</v>
      </c>
      <c r="F241" t="s">
        <v>865</v>
      </c>
      <c r="G241" t="s">
        <v>37</v>
      </c>
      <c r="H241" t="s">
        <v>38</v>
      </c>
      <c r="I241" t="s">
        <v>448</v>
      </c>
      <c r="J241" t="s">
        <v>40</v>
      </c>
      <c r="K241">
        <v>2</v>
      </c>
      <c r="L241" t="s">
        <v>41</v>
      </c>
      <c r="M241" t="s">
        <v>42</v>
      </c>
      <c r="N241" t="s">
        <v>43</v>
      </c>
      <c r="O241" s="7">
        <v>1</v>
      </c>
      <c r="P241" s="8">
        <v>45136.741435185184</v>
      </c>
      <c r="Q241" s="9">
        <v>45145</v>
      </c>
      <c r="R241" t="s">
        <v>37</v>
      </c>
      <c r="S241" t="s">
        <v>44</v>
      </c>
      <c r="T241" t="s">
        <v>136</v>
      </c>
      <c r="U241" t="s">
        <v>440</v>
      </c>
      <c r="V241" t="s">
        <v>866</v>
      </c>
      <c r="W241">
        <v>90107</v>
      </c>
      <c r="X241" t="s">
        <v>194</v>
      </c>
      <c r="Y241" t="s">
        <v>136</v>
      </c>
      <c r="Z241" t="s">
        <v>49</v>
      </c>
      <c r="AA241" s="12">
        <f>IF(O241&lt;=1,13,IF(O241&lt;=2,23,IF(O241&lt;=3,35,IF(O241&lt;=4,43,IF(O241&lt;=5,53,IF(O241&lt;=6,63,IF(O241&lt;=7,71,IF(O241&lt;=8,79,IF(O241&lt;=9,87,IF(O241&lt;=10,95,IF(O241&lt;=11,105,IF(O241&lt;=12,114,IF(O241&lt;=13,119,IF(O241&lt;=14,127,IF(O241&lt;=15,135,IF(O241&lt;=16,143,IF(O241&lt;=17,153,IF(O241&lt;=18,163,IF(O241&lt;=19,171,IF(O241&lt;=20,185,IF(O241&lt;=21,193,IF(O241&lt;=22,201,IF(O241&lt;=23,210,IF(O241&lt;=24,220,IF(O241&lt;=25,230,IF(O241&lt;=26,240,IF(O241&lt;=27,250,IF(O241&lt;=28,260,IF(O241&lt;=29,270,IF(O241&lt;=30,280,280+10*ROUNDUP(O241-30,0)))))))))))))))))))))))))))))))</f>
        <v>13</v>
      </c>
      <c r="AB241" s="11">
        <v>0</v>
      </c>
      <c r="AC241" s="11">
        <v>0</v>
      </c>
      <c r="AD241" s="11">
        <v>0</v>
      </c>
      <c r="AE241" s="11">
        <v>0</v>
      </c>
      <c r="AF241" s="11">
        <f t="shared" si="8"/>
        <v>0.78</v>
      </c>
      <c r="AG241" s="11">
        <f t="shared" si="9"/>
        <v>13.78</v>
      </c>
      <c r="AH241" t="s">
        <v>194</v>
      </c>
    </row>
    <row r="242" spans="1:34" ht="15" customHeight="1" x14ac:dyDescent="0.35">
      <c r="A242">
        <v>7547676</v>
      </c>
      <c r="B242">
        <v>690929</v>
      </c>
      <c r="C242" t="s">
        <v>34</v>
      </c>
      <c r="D242" t="s">
        <v>35</v>
      </c>
      <c r="E242" s="6" t="s">
        <v>34</v>
      </c>
      <c r="F242" t="s">
        <v>867</v>
      </c>
      <c r="G242" t="s">
        <v>37</v>
      </c>
      <c r="H242" t="s">
        <v>38</v>
      </c>
      <c r="I242" t="s">
        <v>868</v>
      </c>
      <c r="J242" t="s">
        <v>40</v>
      </c>
      <c r="K242">
        <v>2</v>
      </c>
      <c r="L242" t="s">
        <v>41</v>
      </c>
      <c r="M242" t="s">
        <v>42</v>
      </c>
      <c r="N242" t="s">
        <v>43</v>
      </c>
      <c r="O242" s="7">
        <v>3</v>
      </c>
      <c r="P242" s="8">
        <v>45144.707731481481</v>
      </c>
      <c r="Q242" s="9">
        <v>45145</v>
      </c>
      <c r="R242" t="s">
        <v>37</v>
      </c>
      <c r="S242" t="s">
        <v>44</v>
      </c>
      <c r="T242" t="s">
        <v>53</v>
      </c>
      <c r="U242" t="s">
        <v>54</v>
      </c>
      <c r="V242" t="s">
        <v>869</v>
      </c>
      <c r="W242">
        <v>56100</v>
      </c>
      <c r="X242" t="s">
        <v>44</v>
      </c>
      <c r="Y242" t="s">
        <v>568</v>
      </c>
      <c r="Z242" t="s">
        <v>49</v>
      </c>
      <c r="AA242" s="10">
        <f>IF(O242&lt;=1,7,7+0.8*ROUNDUP(O242-1,0))</f>
        <v>8.6</v>
      </c>
      <c r="AB242" s="11">
        <v>0</v>
      </c>
      <c r="AC242" s="11">
        <v>0</v>
      </c>
      <c r="AD242" s="11">
        <v>0</v>
      </c>
      <c r="AE242" s="11">
        <v>0</v>
      </c>
      <c r="AF242" s="11">
        <f t="shared" si="8"/>
        <v>0.51600000000000001</v>
      </c>
      <c r="AG242" s="11">
        <f t="shared" si="9"/>
        <v>9.1159999999999997</v>
      </c>
      <c r="AH242" t="s">
        <v>50</v>
      </c>
    </row>
    <row r="243" spans="1:34" ht="15" customHeight="1" x14ac:dyDescent="0.35">
      <c r="A243">
        <v>7547676</v>
      </c>
      <c r="B243">
        <v>690929</v>
      </c>
      <c r="C243" t="s">
        <v>34</v>
      </c>
      <c r="D243" t="s">
        <v>35</v>
      </c>
      <c r="E243" s="6" t="s">
        <v>34</v>
      </c>
      <c r="F243" t="s">
        <v>870</v>
      </c>
      <c r="G243" t="s">
        <v>37</v>
      </c>
      <c r="H243" t="s">
        <v>38</v>
      </c>
      <c r="I243" t="s">
        <v>871</v>
      </c>
      <c r="J243" t="s">
        <v>40</v>
      </c>
      <c r="K243">
        <v>2</v>
      </c>
      <c r="L243" t="s">
        <v>41</v>
      </c>
      <c r="M243" t="s">
        <v>42</v>
      </c>
      <c r="N243" t="s">
        <v>43</v>
      </c>
      <c r="O243" s="7">
        <v>1</v>
      </c>
      <c r="P243" s="8">
        <v>45143.738275462965</v>
      </c>
      <c r="Q243" s="9">
        <v>45145</v>
      </c>
      <c r="R243" t="s">
        <v>37</v>
      </c>
      <c r="S243" t="s">
        <v>44</v>
      </c>
      <c r="T243" t="s">
        <v>53</v>
      </c>
      <c r="U243" t="s">
        <v>81</v>
      </c>
      <c r="V243" t="s">
        <v>872</v>
      </c>
      <c r="W243">
        <v>32040</v>
      </c>
      <c r="X243" t="s">
        <v>44</v>
      </c>
      <c r="Y243" t="s">
        <v>136</v>
      </c>
      <c r="Z243" t="s">
        <v>49</v>
      </c>
      <c r="AA243" s="10">
        <f>IF(O243&lt;=1,7,7+0.8*ROUNDUP(O243-1,0))</f>
        <v>7</v>
      </c>
      <c r="AB243" s="11">
        <v>0</v>
      </c>
      <c r="AC243" s="11">
        <v>0</v>
      </c>
      <c r="AD243" s="11">
        <v>0</v>
      </c>
      <c r="AE243" s="11">
        <v>0</v>
      </c>
      <c r="AF243" s="11">
        <f t="shared" si="8"/>
        <v>0.42</v>
      </c>
      <c r="AG243" s="11">
        <f t="shared" si="9"/>
        <v>7.42</v>
      </c>
      <c r="AH243" t="s">
        <v>50</v>
      </c>
    </row>
    <row r="244" spans="1:34" ht="15" customHeight="1" x14ac:dyDescent="0.35">
      <c r="A244">
        <v>7547676</v>
      </c>
      <c r="B244">
        <v>690929</v>
      </c>
      <c r="C244" t="s">
        <v>34</v>
      </c>
      <c r="D244" t="s">
        <v>35</v>
      </c>
      <c r="E244" s="6" t="s">
        <v>34</v>
      </c>
      <c r="F244" t="s">
        <v>873</v>
      </c>
      <c r="G244" t="s">
        <v>37</v>
      </c>
      <c r="H244" t="s">
        <v>38</v>
      </c>
      <c r="I244" t="s">
        <v>874</v>
      </c>
      <c r="J244" t="s">
        <v>40</v>
      </c>
      <c r="K244">
        <v>2</v>
      </c>
      <c r="L244" t="s">
        <v>41</v>
      </c>
      <c r="M244" t="s">
        <v>42</v>
      </c>
      <c r="N244" t="s">
        <v>43</v>
      </c>
      <c r="O244" s="7">
        <v>1</v>
      </c>
      <c r="P244" s="8">
        <v>45144.484780092593</v>
      </c>
      <c r="Q244" s="9">
        <v>45145</v>
      </c>
      <c r="R244" t="s">
        <v>37</v>
      </c>
      <c r="S244" t="s">
        <v>44</v>
      </c>
      <c r="T244" t="s">
        <v>53</v>
      </c>
      <c r="U244" t="s">
        <v>54</v>
      </c>
      <c r="V244" t="s">
        <v>875</v>
      </c>
      <c r="W244">
        <v>68000</v>
      </c>
      <c r="X244" t="s">
        <v>44</v>
      </c>
      <c r="Y244" t="s">
        <v>876</v>
      </c>
      <c r="Z244" t="s">
        <v>49</v>
      </c>
      <c r="AA244" s="10">
        <f>IF(O244&lt;=1,7,7+0.8*ROUNDUP(O244-1,0))</f>
        <v>7</v>
      </c>
      <c r="AB244" s="11">
        <v>0</v>
      </c>
      <c r="AC244" s="11">
        <v>0</v>
      </c>
      <c r="AD244" s="11">
        <v>0</v>
      </c>
      <c r="AE244" s="11">
        <v>0</v>
      </c>
      <c r="AF244" s="11">
        <f t="shared" si="8"/>
        <v>0.42</v>
      </c>
      <c r="AG244" s="11">
        <f t="shared" si="9"/>
        <v>7.42</v>
      </c>
      <c r="AH244" t="s">
        <v>50</v>
      </c>
    </row>
    <row r="245" spans="1:34" ht="15" customHeight="1" x14ac:dyDescent="0.35">
      <c r="A245">
        <v>7547676</v>
      </c>
      <c r="B245">
        <v>690929</v>
      </c>
      <c r="C245" t="s">
        <v>34</v>
      </c>
      <c r="D245" t="s">
        <v>35</v>
      </c>
      <c r="E245" s="6" t="s">
        <v>34</v>
      </c>
      <c r="F245" t="s">
        <v>877</v>
      </c>
      <c r="G245" t="s">
        <v>37</v>
      </c>
      <c r="H245" t="s">
        <v>38</v>
      </c>
      <c r="I245" t="s">
        <v>878</v>
      </c>
      <c r="J245" t="s">
        <v>40</v>
      </c>
      <c r="K245">
        <v>2</v>
      </c>
      <c r="L245" t="s">
        <v>41</v>
      </c>
      <c r="M245" t="s">
        <v>42</v>
      </c>
      <c r="N245" t="s">
        <v>43</v>
      </c>
      <c r="O245" s="7">
        <v>1</v>
      </c>
      <c r="P245" s="8">
        <v>45144.707731481481</v>
      </c>
      <c r="Q245" s="9">
        <v>45145</v>
      </c>
      <c r="R245" t="s">
        <v>37</v>
      </c>
      <c r="S245" t="s">
        <v>44</v>
      </c>
      <c r="T245" t="s">
        <v>53</v>
      </c>
      <c r="U245" t="s">
        <v>134</v>
      </c>
      <c r="V245" t="s">
        <v>879</v>
      </c>
      <c r="W245">
        <v>53300</v>
      </c>
      <c r="X245" t="s">
        <v>44</v>
      </c>
      <c r="Y245" t="s">
        <v>136</v>
      </c>
      <c r="Z245" t="s">
        <v>49</v>
      </c>
      <c r="AA245" s="10">
        <f>IF(O245&lt;=1,7,7+0.8*ROUNDUP(O245-1,0))</f>
        <v>7</v>
      </c>
      <c r="AB245" s="11">
        <v>0</v>
      </c>
      <c r="AC245" s="11">
        <v>0</v>
      </c>
      <c r="AD245" s="11">
        <v>0</v>
      </c>
      <c r="AE245" s="11">
        <v>0</v>
      </c>
      <c r="AF245" s="11">
        <f t="shared" si="8"/>
        <v>0.42</v>
      </c>
      <c r="AG245" s="11">
        <f t="shared" si="9"/>
        <v>7.42</v>
      </c>
      <c r="AH245" t="s">
        <v>50</v>
      </c>
    </row>
    <row r="246" spans="1:34" ht="15" customHeight="1" x14ac:dyDescent="0.35">
      <c r="A246">
        <v>7547676</v>
      </c>
      <c r="B246">
        <v>690929</v>
      </c>
      <c r="C246" t="s">
        <v>34</v>
      </c>
      <c r="D246" t="s">
        <v>35</v>
      </c>
      <c r="E246" s="6" t="s">
        <v>34</v>
      </c>
      <c r="F246" t="s">
        <v>880</v>
      </c>
      <c r="G246" t="s">
        <v>37</v>
      </c>
      <c r="H246" t="s">
        <v>38</v>
      </c>
      <c r="I246" t="s">
        <v>881</v>
      </c>
      <c r="J246" t="s">
        <v>40</v>
      </c>
      <c r="K246">
        <v>2</v>
      </c>
      <c r="L246" t="s">
        <v>41</v>
      </c>
      <c r="M246" t="s">
        <v>42</v>
      </c>
      <c r="N246" t="s">
        <v>43</v>
      </c>
      <c r="O246" s="7">
        <v>1</v>
      </c>
      <c r="P246" s="8">
        <v>45143.774259259262</v>
      </c>
      <c r="Q246" s="9">
        <v>45145</v>
      </c>
      <c r="R246" t="s">
        <v>37</v>
      </c>
      <c r="S246" t="s">
        <v>44</v>
      </c>
      <c r="T246" t="s">
        <v>53</v>
      </c>
      <c r="U246" t="s">
        <v>72</v>
      </c>
      <c r="V246" t="s">
        <v>882</v>
      </c>
      <c r="W246">
        <v>22300</v>
      </c>
      <c r="X246" t="s">
        <v>44</v>
      </c>
      <c r="Y246" t="s">
        <v>74</v>
      </c>
      <c r="Z246" t="s">
        <v>49</v>
      </c>
      <c r="AA246" s="10">
        <f>IF(O246&lt;=1,7,7+0.8*ROUNDUP(O246-1,0))</f>
        <v>7</v>
      </c>
      <c r="AB246" s="11">
        <v>0</v>
      </c>
      <c r="AC246" s="11">
        <v>0</v>
      </c>
      <c r="AD246" s="11">
        <v>0</v>
      </c>
      <c r="AE246" s="11">
        <v>0</v>
      </c>
      <c r="AF246" s="11">
        <f t="shared" si="8"/>
        <v>0.42</v>
      </c>
      <c r="AG246" s="11">
        <f t="shared" si="9"/>
        <v>7.42</v>
      </c>
      <c r="AH246" t="s">
        <v>50</v>
      </c>
    </row>
    <row r="247" spans="1:34" ht="15" customHeight="1" x14ac:dyDescent="0.35">
      <c r="A247">
        <v>7547676</v>
      </c>
      <c r="B247">
        <v>690929</v>
      </c>
      <c r="C247" t="s">
        <v>34</v>
      </c>
      <c r="D247" t="s">
        <v>35</v>
      </c>
      <c r="E247" s="6" t="s">
        <v>34</v>
      </c>
      <c r="F247" t="s">
        <v>883</v>
      </c>
      <c r="G247" t="s">
        <v>37</v>
      </c>
      <c r="H247" t="s">
        <v>38</v>
      </c>
      <c r="I247" t="s">
        <v>884</v>
      </c>
      <c r="J247" t="s">
        <v>40</v>
      </c>
      <c r="K247">
        <v>2</v>
      </c>
      <c r="L247" t="s">
        <v>41</v>
      </c>
      <c r="M247" t="s">
        <v>42</v>
      </c>
      <c r="N247" t="s">
        <v>43</v>
      </c>
      <c r="O247" s="7">
        <v>1</v>
      </c>
      <c r="P247" s="8">
        <v>45143.704641203702</v>
      </c>
      <c r="Q247" s="9">
        <v>45145</v>
      </c>
      <c r="R247" t="s">
        <v>37</v>
      </c>
      <c r="S247" t="s">
        <v>44</v>
      </c>
      <c r="T247" t="s">
        <v>53</v>
      </c>
      <c r="U247" t="s">
        <v>67</v>
      </c>
      <c r="V247" t="s">
        <v>885</v>
      </c>
      <c r="W247">
        <v>28500</v>
      </c>
      <c r="X247" t="s">
        <v>44</v>
      </c>
      <c r="Y247" t="s">
        <v>379</v>
      </c>
      <c r="Z247" t="s">
        <v>49</v>
      </c>
      <c r="AA247" s="10">
        <f>IF(O247&lt;=1,7,7+0.8*ROUNDUP(O247-1,0))</f>
        <v>7</v>
      </c>
      <c r="AB247" s="11">
        <v>0</v>
      </c>
      <c r="AC247" s="11">
        <v>0</v>
      </c>
      <c r="AD247" s="11">
        <v>0</v>
      </c>
      <c r="AE247" s="11">
        <v>0</v>
      </c>
      <c r="AF247" s="11">
        <f t="shared" si="8"/>
        <v>0.42</v>
      </c>
      <c r="AG247" s="11">
        <f t="shared" si="9"/>
        <v>7.42</v>
      </c>
      <c r="AH247" t="s">
        <v>50</v>
      </c>
    </row>
    <row r="248" spans="1:34" ht="15" customHeight="1" x14ac:dyDescent="0.35">
      <c r="A248">
        <v>7547676</v>
      </c>
      <c r="B248">
        <v>690929</v>
      </c>
      <c r="C248" t="s">
        <v>34</v>
      </c>
      <c r="D248" t="s">
        <v>35</v>
      </c>
      <c r="E248" s="6" t="s">
        <v>34</v>
      </c>
      <c r="F248" t="s">
        <v>886</v>
      </c>
      <c r="G248" t="s">
        <v>37</v>
      </c>
      <c r="H248" t="s">
        <v>38</v>
      </c>
      <c r="I248" t="s">
        <v>887</v>
      </c>
      <c r="J248" t="s">
        <v>40</v>
      </c>
      <c r="K248">
        <v>2</v>
      </c>
      <c r="L248" t="s">
        <v>41</v>
      </c>
      <c r="M248" t="s">
        <v>42</v>
      </c>
      <c r="N248" t="s">
        <v>43</v>
      </c>
      <c r="O248" s="7">
        <v>1</v>
      </c>
      <c r="P248" s="8">
        <v>45143.657025462962</v>
      </c>
      <c r="Q248" s="9">
        <v>45145</v>
      </c>
      <c r="R248" t="s">
        <v>37</v>
      </c>
      <c r="S248" t="s">
        <v>44</v>
      </c>
      <c r="T248" t="s">
        <v>53</v>
      </c>
      <c r="U248" t="s">
        <v>134</v>
      </c>
      <c r="V248" t="s">
        <v>888</v>
      </c>
      <c r="W248">
        <v>55200</v>
      </c>
      <c r="X248" t="s">
        <v>44</v>
      </c>
      <c r="Y248" t="s">
        <v>308</v>
      </c>
      <c r="Z248" t="s">
        <v>49</v>
      </c>
      <c r="AA248" s="10">
        <f>IF(O248&lt;=1,7,7+0.8*ROUNDUP(O248-1,0))</f>
        <v>7</v>
      </c>
      <c r="AB248" s="11">
        <v>0</v>
      </c>
      <c r="AC248" s="11">
        <v>0</v>
      </c>
      <c r="AD248" s="11">
        <v>0</v>
      </c>
      <c r="AE248" s="11">
        <v>0</v>
      </c>
      <c r="AF248" s="11">
        <f t="shared" si="8"/>
        <v>0.42</v>
      </c>
      <c r="AG248" s="11">
        <f t="shared" si="9"/>
        <v>7.42</v>
      </c>
      <c r="AH248" t="s">
        <v>50</v>
      </c>
    </row>
    <row r="249" spans="1:34" ht="15" customHeight="1" x14ac:dyDescent="0.35">
      <c r="A249">
        <v>7547676</v>
      </c>
      <c r="B249">
        <v>690929</v>
      </c>
      <c r="C249" t="s">
        <v>34</v>
      </c>
      <c r="D249" t="s">
        <v>35</v>
      </c>
      <c r="E249" s="6" t="s">
        <v>34</v>
      </c>
      <c r="F249" t="s">
        <v>889</v>
      </c>
      <c r="G249" t="s">
        <v>37</v>
      </c>
      <c r="H249" t="s">
        <v>38</v>
      </c>
      <c r="I249" t="s">
        <v>890</v>
      </c>
      <c r="J249" t="s">
        <v>40</v>
      </c>
      <c r="K249">
        <v>2</v>
      </c>
      <c r="L249" t="s">
        <v>41</v>
      </c>
      <c r="M249" t="s">
        <v>42</v>
      </c>
      <c r="N249" t="s">
        <v>43</v>
      </c>
      <c r="O249" s="7">
        <v>1</v>
      </c>
      <c r="P249" s="8">
        <v>45144.710196759261</v>
      </c>
      <c r="Q249" s="9">
        <v>45145</v>
      </c>
      <c r="R249" t="s">
        <v>37</v>
      </c>
      <c r="S249" t="s">
        <v>44</v>
      </c>
      <c r="T249" t="s">
        <v>53</v>
      </c>
      <c r="U249" t="s">
        <v>54</v>
      </c>
      <c r="V249" t="s">
        <v>891</v>
      </c>
      <c r="W249">
        <v>52200</v>
      </c>
      <c r="X249" t="s">
        <v>44</v>
      </c>
      <c r="Y249" t="s">
        <v>732</v>
      </c>
      <c r="Z249" t="s">
        <v>49</v>
      </c>
      <c r="AA249" s="10">
        <f>IF(O249&lt;=1,7,7+0.8*ROUNDUP(O249-1,0))</f>
        <v>7</v>
      </c>
      <c r="AB249" s="11">
        <v>0</v>
      </c>
      <c r="AC249" s="11">
        <v>0</v>
      </c>
      <c r="AD249" s="11">
        <v>0</v>
      </c>
      <c r="AE249" s="11">
        <v>0</v>
      </c>
      <c r="AF249" s="11">
        <f t="shared" si="8"/>
        <v>0.42</v>
      </c>
      <c r="AG249" s="11">
        <f t="shared" si="9"/>
        <v>7.42</v>
      </c>
      <c r="AH249" t="s">
        <v>50</v>
      </c>
    </row>
    <row r="250" spans="1:34" ht="15" customHeight="1" x14ac:dyDescent="0.35">
      <c r="A250">
        <v>7547676</v>
      </c>
      <c r="B250">
        <v>690929</v>
      </c>
      <c r="C250" t="s">
        <v>34</v>
      </c>
      <c r="D250" t="s">
        <v>35</v>
      </c>
      <c r="E250" s="6" t="s">
        <v>34</v>
      </c>
      <c r="F250" t="s">
        <v>892</v>
      </c>
      <c r="G250" t="s">
        <v>37</v>
      </c>
      <c r="H250" t="s">
        <v>38</v>
      </c>
      <c r="I250" t="s">
        <v>893</v>
      </c>
      <c r="J250" t="s">
        <v>40</v>
      </c>
      <c r="K250">
        <v>2</v>
      </c>
      <c r="L250" t="s">
        <v>41</v>
      </c>
      <c r="M250" t="s">
        <v>42</v>
      </c>
      <c r="N250" t="s">
        <v>43</v>
      </c>
      <c r="O250" s="7">
        <v>1</v>
      </c>
      <c r="P250" s="8">
        <v>45145.66574074074</v>
      </c>
      <c r="Q250" s="9">
        <v>45146</v>
      </c>
      <c r="R250" t="s">
        <v>37</v>
      </c>
      <c r="S250" t="s">
        <v>44</v>
      </c>
      <c r="T250" t="s">
        <v>53</v>
      </c>
      <c r="U250" t="s">
        <v>54</v>
      </c>
      <c r="V250" t="s">
        <v>894</v>
      </c>
      <c r="W250">
        <v>47610</v>
      </c>
      <c r="X250" t="s">
        <v>44</v>
      </c>
      <c r="Y250" t="s">
        <v>95</v>
      </c>
      <c r="Z250" t="s">
        <v>49</v>
      </c>
      <c r="AA250" s="10">
        <f>IF(O250&lt;=1,7,7+0.8*ROUNDUP(O250-1,0))</f>
        <v>7</v>
      </c>
      <c r="AB250" s="11">
        <v>0</v>
      </c>
      <c r="AC250" s="11">
        <v>0</v>
      </c>
      <c r="AD250" s="11">
        <v>1000</v>
      </c>
      <c r="AE250" s="11">
        <f>AD250*1.5%</f>
        <v>15</v>
      </c>
      <c r="AF250" s="11">
        <f t="shared" si="8"/>
        <v>1.3199999999999998</v>
      </c>
      <c r="AG250" s="11">
        <f t="shared" si="9"/>
        <v>23.32</v>
      </c>
      <c r="AH250" t="s">
        <v>50</v>
      </c>
    </row>
    <row r="251" spans="1:34" ht="15" customHeight="1" x14ac:dyDescent="0.35">
      <c r="A251">
        <v>7547676</v>
      </c>
      <c r="B251">
        <v>690929</v>
      </c>
      <c r="C251" t="s">
        <v>34</v>
      </c>
      <c r="D251" t="s">
        <v>35</v>
      </c>
      <c r="E251" s="6" t="s">
        <v>34</v>
      </c>
      <c r="F251" t="s">
        <v>895</v>
      </c>
      <c r="G251" t="s">
        <v>37</v>
      </c>
      <c r="H251" t="s">
        <v>38</v>
      </c>
      <c r="I251" t="s">
        <v>896</v>
      </c>
      <c r="J251" t="s">
        <v>40</v>
      </c>
      <c r="K251">
        <v>2</v>
      </c>
      <c r="L251" t="s">
        <v>41</v>
      </c>
      <c r="M251" t="s">
        <v>42</v>
      </c>
      <c r="N251" t="s">
        <v>43</v>
      </c>
      <c r="O251" s="7">
        <v>4</v>
      </c>
      <c r="P251" s="8">
        <v>45145.421168981484</v>
      </c>
      <c r="Q251" s="9">
        <v>45146</v>
      </c>
      <c r="R251" t="s">
        <v>37</v>
      </c>
      <c r="S251" t="s">
        <v>44</v>
      </c>
      <c r="T251" t="s">
        <v>53</v>
      </c>
      <c r="U251" t="s">
        <v>59</v>
      </c>
      <c r="V251" t="s">
        <v>897</v>
      </c>
      <c r="W251">
        <v>16200</v>
      </c>
      <c r="X251" t="s">
        <v>44</v>
      </c>
      <c r="Y251" t="s">
        <v>697</v>
      </c>
      <c r="Z251" t="s">
        <v>49</v>
      </c>
      <c r="AA251" s="10">
        <f>IF(O251&lt;=1,7,7+0.8*ROUNDUP(O251-1,0))</f>
        <v>9.4</v>
      </c>
      <c r="AB251" s="11">
        <v>0</v>
      </c>
      <c r="AC251" s="11">
        <v>0</v>
      </c>
      <c r="AD251" s="11">
        <v>0</v>
      </c>
      <c r="AE251" s="11">
        <v>0</v>
      </c>
      <c r="AF251" s="11">
        <f t="shared" si="8"/>
        <v>0.56399999999999995</v>
      </c>
      <c r="AG251" s="11">
        <f t="shared" si="9"/>
        <v>9.9640000000000004</v>
      </c>
      <c r="AH251" t="s">
        <v>50</v>
      </c>
    </row>
    <row r="252" spans="1:34" ht="15" customHeight="1" x14ac:dyDescent="0.35">
      <c r="A252">
        <v>7547676</v>
      </c>
      <c r="B252">
        <v>690929</v>
      </c>
      <c r="C252" t="s">
        <v>34</v>
      </c>
      <c r="D252" t="s">
        <v>35</v>
      </c>
      <c r="E252" s="6" t="s">
        <v>34</v>
      </c>
      <c r="F252" t="s">
        <v>898</v>
      </c>
      <c r="G252" t="s">
        <v>37</v>
      </c>
      <c r="H252" t="s">
        <v>38</v>
      </c>
      <c r="I252" t="s">
        <v>491</v>
      </c>
      <c r="J252" t="s">
        <v>40</v>
      </c>
      <c r="K252">
        <v>2</v>
      </c>
      <c r="L252" t="s">
        <v>41</v>
      </c>
      <c r="M252" t="s">
        <v>42</v>
      </c>
      <c r="N252" t="s">
        <v>43</v>
      </c>
      <c r="O252" s="7">
        <v>1</v>
      </c>
      <c r="P252" s="8">
        <v>45145.684849537036</v>
      </c>
      <c r="Q252" s="9">
        <v>45146</v>
      </c>
      <c r="R252" t="s">
        <v>37</v>
      </c>
      <c r="S252" t="s">
        <v>44</v>
      </c>
      <c r="T252" t="s">
        <v>53</v>
      </c>
      <c r="U252" t="s">
        <v>72</v>
      </c>
      <c r="V252" t="s">
        <v>899</v>
      </c>
      <c r="W252">
        <v>24000</v>
      </c>
      <c r="X252" t="s">
        <v>44</v>
      </c>
      <c r="Y252" t="s">
        <v>493</v>
      </c>
      <c r="Z252" t="s">
        <v>49</v>
      </c>
      <c r="AA252" s="10">
        <f>IF(O252&lt;=1,7,7+0.8*ROUNDUP(O252-1,0))</f>
        <v>7</v>
      </c>
      <c r="AB252" s="11">
        <v>0</v>
      </c>
      <c r="AC252" s="11">
        <v>0</v>
      </c>
      <c r="AD252" s="11">
        <v>0</v>
      </c>
      <c r="AE252" s="11">
        <v>0</v>
      </c>
      <c r="AF252" s="11">
        <f t="shared" si="8"/>
        <v>0.42</v>
      </c>
      <c r="AG252" s="11">
        <f t="shared" si="9"/>
        <v>7.42</v>
      </c>
      <c r="AH252" t="s">
        <v>50</v>
      </c>
    </row>
    <row r="253" spans="1:34" ht="15" customHeight="1" x14ac:dyDescent="0.35">
      <c r="A253">
        <v>7547676</v>
      </c>
      <c r="B253">
        <v>690929</v>
      </c>
      <c r="C253" t="s">
        <v>34</v>
      </c>
      <c r="D253" t="s">
        <v>35</v>
      </c>
      <c r="E253" s="6" t="s">
        <v>34</v>
      </c>
      <c r="F253" t="s">
        <v>900</v>
      </c>
      <c r="G253" t="s">
        <v>37</v>
      </c>
      <c r="H253" t="s">
        <v>38</v>
      </c>
      <c r="I253" t="s">
        <v>901</v>
      </c>
      <c r="J253" t="s">
        <v>40</v>
      </c>
      <c r="K253">
        <v>2</v>
      </c>
      <c r="L253" t="s">
        <v>41</v>
      </c>
      <c r="M253" t="s">
        <v>42</v>
      </c>
      <c r="N253" t="s">
        <v>43</v>
      </c>
      <c r="O253" s="7">
        <v>1</v>
      </c>
      <c r="P253" s="8">
        <v>45145.716932870368</v>
      </c>
      <c r="Q253" s="9">
        <v>45146</v>
      </c>
      <c r="R253" t="s">
        <v>37</v>
      </c>
      <c r="S253" t="s">
        <v>44</v>
      </c>
      <c r="T253" t="s">
        <v>53</v>
      </c>
      <c r="U253" t="s">
        <v>72</v>
      </c>
      <c r="V253" t="s">
        <v>902</v>
      </c>
      <c r="W253">
        <v>21030</v>
      </c>
      <c r="X253" t="s">
        <v>44</v>
      </c>
      <c r="Y253" t="s">
        <v>903</v>
      </c>
      <c r="Z253" t="s">
        <v>49</v>
      </c>
      <c r="AA253" s="10">
        <f>IF(O253&lt;=1,7,7+0.8*ROUNDUP(O253-1,0))</f>
        <v>7</v>
      </c>
      <c r="AB253" s="11">
        <v>0</v>
      </c>
      <c r="AC253" s="11">
        <v>0</v>
      </c>
      <c r="AD253" s="11">
        <v>0</v>
      </c>
      <c r="AE253" s="11">
        <v>0</v>
      </c>
      <c r="AF253" s="11">
        <f t="shared" si="8"/>
        <v>0.42</v>
      </c>
      <c r="AG253" s="11">
        <f t="shared" si="9"/>
        <v>7.42</v>
      </c>
      <c r="AH253" t="s">
        <v>50</v>
      </c>
    </row>
    <row r="254" spans="1:34" ht="15" customHeight="1" x14ac:dyDescent="0.35">
      <c r="A254">
        <v>7547676</v>
      </c>
      <c r="B254">
        <v>690929</v>
      </c>
      <c r="C254" t="s">
        <v>34</v>
      </c>
      <c r="D254" t="s">
        <v>35</v>
      </c>
      <c r="E254" s="6" t="s">
        <v>34</v>
      </c>
      <c r="F254" t="s">
        <v>904</v>
      </c>
      <c r="G254" t="s">
        <v>37</v>
      </c>
      <c r="H254" t="s">
        <v>38</v>
      </c>
      <c r="I254" t="s">
        <v>905</v>
      </c>
      <c r="J254" t="s">
        <v>40</v>
      </c>
      <c r="K254">
        <v>2</v>
      </c>
      <c r="L254" t="s">
        <v>41</v>
      </c>
      <c r="M254" t="s">
        <v>42</v>
      </c>
      <c r="N254" t="s">
        <v>43</v>
      </c>
      <c r="O254" s="7">
        <v>1</v>
      </c>
      <c r="P254" s="8">
        <v>45145.674351851849</v>
      </c>
      <c r="Q254" s="9">
        <v>45146</v>
      </c>
      <c r="R254" t="s">
        <v>37</v>
      </c>
      <c r="S254" t="s">
        <v>44</v>
      </c>
      <c r="T254" t="s">
        <v>53</v>
      </c>
      <c r="U254" t="s">
        <v>67</v>
      </c>
      <c r="V254" t="s">
        <v>906</v>
      </c>
      <c r="W254">
        <v>26800</v>
      </c>
      <c r="X254" t="s">
        <v>44</v>
      </c>
      <c r="Y254" t="s">
        <v>53</v>
      </c>
      <c r="Z254" t="s">
        <v>49</v>
      </c>
      <c r="AA254" s="10">
        <f>IF(O254&lt;=1,7,7+0.8*ROUNDUP(O254-1,0))</f>
        <v>7</v>
      </c>
      <c r="AB254" s="11">
        <v>0</v>
      </c>
      <c r="AC254" s="11">
        <v>0</v>
      </c>
      <c r="AD254" s="11">
        <v>0</v>
      </c>
      <c r="AE254" s="11">
        <v>0</v>
      </c>
      <c r="AF254" s="11">
        <f t="shared" si="8"/>
        <v>0.42</v>
      </c>
      <c r="AG254" s="11">
        <f t="shared" si="9"/>
        <v>7.42</v>
      </c>
      <c r="AH254" t="s">
        <v>50</v>
      </c>
    </row>
    <row r="255" spans="1:34" ht="15" customHeight="1" x14ac:dyDescent="0.35">
      <c r="A255">
        <v>7547676</v>
      </c>
      <c r="B255">
        <v>690929</v>
      </c>
      <c r="C255" t="s">
        <v>34</v>
      </c>
      <c r="D255" t="s">
        <v>35</v>
      </c>
      <c r="E255" s="6" t="s">
        <v>34</v>
      </c>
      <c r="F255" t="s">
        <v>907</v>
      </c>
      <c r="G255" t="s">
        <v>37</v>
      </c>
      <c r="H255" t="s">
        <v>38</v>
      </c>
      <c r="I255" t="s">
        <v>908</v>
      </c>
      <c r="J255" t="s">
        <v>40</v>
      </c>
      <c r="K255">
        <v>2</v>
      </c>
      <c r="L255" t="s">
        <v>41</v>
      </c>
      <c r="M255" t="s">
        <v>42</v>
      </c>
      <c r="N255" t="s">
        <v>43</v>
      </c>
      <c r="O255" s="7">
        <v>1</v>
      </c>
      <c r="P255" s="8">
        <v>45144.719537037039</v>
      </c>
      <c r="Q255" s="9">
        <v>45146</v>
      </c>
      <c r="R255" t="s">
        <v>37</v>
      </c>
      <c r="S255" t="s">
        <v>44</v>
      </c>
      <c r="T255" t="s">
        <v>53</v>
      </c>
      <c r="U255" t="s">
        <v>210</v>
      </c>
      <c r="V255" t="s">
        <v>909</v>
      </c>
      <c r="W255">
        <v>8000</v>
      </c>
      <c r="X255" t="s">
        <v>44</v>
      </c>
      <c r="Y255" t="s">
        <v>136</v>
      </c>
      <c r="Z255" t="s">
        <v>49</v>
      </c>
      <c r="AA255" s="10">
        <f>IF(O255&lt;=1,7,7+0.8*ROUNDUP(O255-1,0))</f>
        <v>7</v>
      </c>
      <c r="AB255" s="11">
        <v>0</v>
      </c>
      <c r="AC255" s="11">
        <v>0</v>
      </c>
      <c r="AD255" s="11">
        <v>0</v>
      </c>
      <c r="AE255" s="11">
        <v>0</v>
      </c>
      <c r="AF255" s="11">
        <f t="shared" si="8"/>
        <v>0.42</v>
      </c>
      <c r="AG255" s="11">
        <f t="shared" si="9"/>
        <v>7.42</v>
      </c>
      <c r="AH255" t="s">
        <v>50</v>
      </c>
    </row>
    <row r="256" spans="1:34" ht="15" customHeight="1" x14ac:dyDescent="0.35">
      <c r="A256">
        <v>7547676</v>
      </c>
      <c r="B256">
        <v>690929</v>
      </c>
      <c r="C256" t="s">
        <v>34</v>
      </c>
      <c r="D256" t="s">
        <v>35</v>
      </c>
      <c r="E256" s="6" t="s">
        <v>34</v>
      </c>
      <c r="F256" t="s">
        <v>910</v>
      </c>
      <c r="G256" t="s">
        <v>37</v>
      </c>
      <c r="H256" t="s">
        <v>38</v>
      </c>
      <c r="I256" t="s">
        <v>911</v>
      </c>
      <c r="J256" t="s">
        <v>40</v>
      </c>
      <c r="K256">
        <v>2</v>
      </c>
      <c r="L256" t="s">
        <v>41</v>
      </c>
      <c r="M256" t="s">
        <v>42</v>
      </c>
      <c r="N256" t="s">
        <v>43</v>
      </c>
      <c r="O256" s="7">
        <v>1</v>
      </c>
      <c r="P256" s="8">
        <v>45145.66574074074</v>
      </c>
      <c r="Q256" s="9">
        <v>45146</v>
      </c>
      <c r="R256" t="s">
        <v>37</v>
      </c>
      <c r="S256" t="s">
        <v>44</v>
      </c>
      <c r="T256" t="s">
        <v>53</v>
      </c>
      <c r="U256" t="s">
        <v>134</v>
      </c>
      <c r="V256" t="s">
        <v>912</v>
      </c>
      <c r="W256">
        <v>50450</v>
      </c>
      <c r="X256" t="s">
        <v>44</v>
      </c>
      <c r="Y256" t="s">
        <v>913</v>
      </c>
      <c r="Z256" t="s">
        <v>49</v>
      </c>
      <c r="AA256" s="10">
        <f>IF(O256&lt;=1,7,7+0.8*ROUNDUP(O256-1,0))</f>
        <v>7</v>
      </c>
      <c r="AB256" s="11">
        <v>0</v>
      </c>
      <c r="AC256" s="11">
        <v>0</v>
      </c>
      <c r="AD256" s="11">
        <v>1000</v>
      </c>
      <c r="AE256" s="11">
        <f>AD256*1.5%</f>
        <v>15</v>
      </c>
      <c r="AF256" s="11">
        <f t="shared" si="8"/>
        <v>1.3199999999999998</v>
      </c>
      <c r="AG256" s="11">
        <f t="shared" si="9"/>
        <v>23.32</v>
      </c>
      <c r="AH256" t="s">
        <v>50</v>
      </c>
    </row>
    <row r="257" spans="1:34" ht="15" customHeight="1" x14ac:dyDescent="0.35">
      <c r="A257">
        <v>7547676</v>
      </c>
      <c r="B257">
        <v>690929</v>
      </c>
      <c r="C257" t="s">
        <v>34</v>
      </c>
      <c r="D257" t="s">
        <v>35</v>
      </c>
      <c r="E257" s="6" t="s">
        <v>34</v>
      </c>
      <c r="F257" t="s">
        <v>914</v>
      </c>
      <c r="G257" t="s">
        <v>37</v>
      </c>
      <c r="H257" t="s">
        <v>38</v>
      </c>
      <c r="I257" t="s">
        <v>915</v>
      </c>
      <c r="J257" t="s">
        <v>40</v>
      </c>
      <c r="K257">
        <v>2</v>
      </c>
      <c r="L257" t="s">
        <v>41</v>
      </c>
      <c r="M257" t="s">
        <v>42</v>
      </c>
      <c r="N257" t="s">
        <v>43</v>
      </c>
      <c r="O257" s="7">
        <v>1</v>
      </c>
      <c r="P257" s="8">
        <v>45145.603472222225</v>
      </c>
      <c r="Q257" s="9">
        <v>45146</v>
      </c>
      <c r="R257" t="s">
        <v>37</v>
      </c>
      <c r="S257" t="s">
        <v>44</v>
      </c>
      <c r="T257" t="s">
        <v>53</v>
      </c>
      <c r="U257" t="s">
        <v>72</v>
      </c>
      <c r="V257" t="s">
        <v>916</v>
      </c>
      <c r="W257">
        <v>21500</v>
      </c>
      <c r="X257" t="s">
        <v>44</v>
      </c>
      <c r="Y257" t="s">
        <v>53</v>
      </c>
      <c r="Z257" t="s">
        <v>49</v>
      </c>
      <c r="AA257" s="10">
        <f>IF(O257&lt;=1,7,7+0.8*ROUNDUP(O257-1,0))</f>
        <v>7</v>
      </c>
      <c r="AB257" s="11">
        <v>0</v>
      </c>
      <c r="AC257" s="11">
        <v>0</v>
      </c>
      <c r="AD257" s="11">
        <v>0</v>
      </c>
      <c r="AE257" s="11">
        <v>0</v>
      </c>
      <c r="AF257" s="11">
        <f t="shared" si="8"/>
        <v>0.42</v>
      </c>
      <c r="AG257" s="11">
        <f t="shared" si="9"/>
        <v>7.42</v>
      </c>
      <c r="AH257" t="s">
        <v>50</v>
      </c>
    </row>
    <row r="258" spans="1:34" ht="15" customHeight="1" x14ac:dyDescent="0.35">
      <c r="A258">
        <v>7547676</v>
      </c>
      <c r="B258">
        <v>690929</v>
      </c>
      <c r="C258" t="s">
        <v>34</v>
      </c>
      <c r="D258" t="s">
        <v>35</v>
      </c>
      <c r="E258" s="6" t="s">
        <v>34</v>
      </c>
      <c r="F258" t="s">
        <v>917</v>
      </c>
      <c r="G258" t="s">
        <v>37</v>
      </c>
      <c r="H258" t="s">
        <v>38</v>
      </c>
      <c r="I258" t="s">
        <v>918</v>
      </c>
      <c r="J258" t="s">
        <v>40</v>
      </c>
      <c r="K258">
        <v>2</v>
      </c>
      <c r="L258" t="s">
        <v>41</v>
      </c>
      <c r="M258" t="s">
        <v>42</v>
      </c>
      <c r="N258" t="s">
        <v>43</v>
      </c>
      <c r="O258" s="7">
        <v>10</v>
      </c>
      <c r="P258" s="8">
        <v>45145.674351851849</v>
      </c>
      <c r="Q258" s="9">
        <v>45146</v>
      </c>
      <c r="R258" t="s">
        <v>37</v>
      </c>
      <c r="S258" t="s">
        <v>44</v>
      </c>
      <c r="T258" t="s">
        <v>53</v>
      </c>
      <c r="U258" t="s">
        <v>67</v>
      </c>
      <c r="V258" t="s">
        <v>919</v>
      </c>
      <c r="W258">
        <v>25350</v>
      </c>
      <c r="X258" t="s">
        <v>44</v>
      </c>
      <c r="Y258" t="s">
        <v>281</v>
      </c>
      <c r="Z258" t="s">
        <v>49</v>
      </c>
      <c r="AA258" s="10">
        <f>IF(O258&lt;=1,7,7+0.8*ROUNDUP(O258-1,0))</f>
        <v>14.2</v>
      </c>
      <c r="AB258" s="11">
        <v>0</v>
      </c>
      <c r="AC258" s="11">
        <v>0</v>
      </c>
      <c r="AD258" s="11">
        <v>0</v>
      </c>
      <c r="AE258" s="11">
        <v>0</v>
      </c>
      <c r="AF258" s="11">
        <f t="shared" si="8"/>
        <v>0.85199999999999998</v>
      </c>
      <c r="AG258" s="11">
        <f t="shared" si="9"/>
        <v>15.052</v>
      </c>
      <c r="AH258" t="s">
        <v>50</v>
      </c>
    </row>
    <row r="259" spans="1:34" ht="15" customHeight="1" x14ac:dyDescent="0.35">
      <c r="A259">
        <v>7547676</v>
      </c>
      <c r="B259">
        <v>690929</v>
      </c>
      <c r="C259" t="s">
        <v>34</v>
      </c>
      <c r="D259" t="s">
        <v>35</v>
      </c>
      <c r="E259" s="6" t="s">
        <v>34</v>
      </c>
      <c r="F259" t="s">
        <v>920</v>
      </c>
      <c r="G259" t="s">
        <v>37</v>
      </c>
      <c r="H259" t="s">
        <v>38</v>
      </c>
      <c r="I259" t="s">
        <v>921</v>
      </c>
      <c r="J259" t="s">
        <v>40</v>
      </c>
      <c r="K259">
        <v>2</v>
      </c>
      <c r="L259" t="s">
        <v>41</v>
      </c>
      <c r="M259" t="s">
        <v>42</v>
      </c>
      <c r="N259" t="s">
        <v>43</v>
      </c>
      <c r="O259" s="7">
        <v>14</v>
      </c>
      <c r="P259" s="8">
        <v>45145.721631944441</v>
      </c>
      <c r="Q259" s="9">
        <v>45146</v>
      </c>
      <c r="R259" t="s">
        <v>37</v>
      </c>
      <c r="S259" t="s">
        <v>44</v>
      </c>
      <c r="T259" t="s">
        <v>53</v>
      </c>
      <c r="U259" t="s">
        <v>72</v>
      </c>
      <c r="V259" t="s">
        <v>922</v>
      </c>
      <c r="W259">
        <v>22100</v>
      </c>
      <c r="X259" t="s">
        <v>44</v>
      </c>
      <c r="Y259" t="s">
        <v>923</v>
      </c>
      <c r="Z259" t="s">
        <v>49</v>
      </c>
      <c r="AA259" s="10">
        <f>IF(O259&lt;=1,7,7+0.8*ROUNDUP(O259-1,0))</f>
        <v>17.399999999999999</v>
      </c>
      <c r="AB259" s="11">
        <v>0</v>
      </c>
      <c r="AC259" s="11">
        <v>0</v>
      </c>
      <c r="AD259" s="11">
        <v>0</v>
      </c>
      <c r="AE259" s="11">
        <v>0</v>
      </c>
      <c r="AF259" s="11">
        <f t="shared" si="8"/>
        <v>1.0439999999999998</v>
      </c>
      <c r="AG259" s="11">
        <f t="shared" si="9"/>
        <v>18.443999999999999</v>
      </c>
      <c r="AH259" t="s">
        <v>50</v>
      </c>
    </row>
    <row r="260" spans="1:34" ht="15" customHeight="1" x14ac:dyDescent="0.35">
      <c r="A260">
        <v>7547676</v>
      </c>
      <c r="B260">
        <v>690929</v>
      </c>
      <c r="C260" t="s">
        <v>34</v>
      </c>
      <c r="D260" t="s">
        <v>35</v>
      </c>
      <c r="E260" s="6" t="s">
        <v>34</v>
      </c>
      <c r="F260" t="s">
        <v>924</v>
      </c>
      <c r="G260" t="s">
        <v>37</v>
      </c>
      <c r="H260" t="s">
        <v>38</v>
      </c>
      <c r="I260" t="s">
        <v>925</v>
      </c>
      <c r="J260" t="s">
        <v>40</v>
      </c>
      <c r="K260">
        <v>2</v>
      </c>
      <c r="L260" t="s">
        <v>41</v>
      </c>
      <c r="M260" t="s">
        <v>42</v>
      </c>
      <c r="N260" t="s">
        <v>43</v>
      </c>
      <c r="O260" s="7">
        <v>14</v>
      </c>
      <c r="P260" s="8">
        <v>45145.721631944441</v>
      </c>
      <c r="Q260" s="9">
        <v>45146</v>
      </c>
      <c r="R260" t="s">
        <v>37</v>
      </c>
      <c r="S260" t="s">
        <v>44</v>
      </c>
      <c r="T260" t="s">
        <v>53</v>
      </c>
      <c r="U260" t="s">
        <v>134</v>
      </c>
      <c r="V260" t="s">
        <v>926</v>
      </c>
      <c r="W260">
        <v>59200</v>
      </c>
      <c r="X260" t="s">
        <v>44</v>
      </c>
      <c r="Y260" t="s">
        <v>701</v>
      </c>
      <c r="Z260" t="s">
        <v>49</v>
      </c>
      <c r="AA260" s="10">
        <f>IF(O260&lt;=1,7,7+0.8*ROUNDUP(O260-1,0))</f>
        <v>17.399999999999999</v>
      </c>
      <c r="AB260" s="11">
        <v>0</v>
      </c>
      <c r="AC260" s="11">
        <v>0</v>
      </c>
      <c r="AD260" s="11">
        <v>0</v>
      </c>
      <c r="AE260" s="11">
        <v>0</v>
      </c>
      <c r="AF260" s="11">
        <f t="shared" si="8"/>
        <v>1.0439999999999998</v>
      </c>
      <c r="AG260" s="11">
        <f t="shared" si="9"/>
        <v>18.443999999999999</v>
      </c>
      <c r="AH260" t="s">
        <v>50</v>
      </c>
    </row>
    <row r="261" spans="1:34" ht="15" customHeight="1" x14ac:dyDescent="0.35">
      <c r="A261">
        <v>7547676</v>
      </c>
      <c r="B261">
        <v>690929</v>
      </c>
      <c r="C261" t="s">
        <v>34</v>
      </c>
      <c r="D261" t="s">
        <v>35</v>
      </c>
      <c r="E261" s="6" t="s">
        <v>34</v>
      </c>
      <c r="F261" t="s">
        <v>927</v>
      </c>
      <c r="G261" t="s">
        <v>37</v>
      </c>
      <c r="H261" t="s">
        <v>38</v>
      </c>
      <c r="I261" t="s">
        <v>928</v>
      </c>
      <c r="J261" t="s">
        <v>40</v>
      </c>
      <c r="K261">
        <v>2</v>
      </c>
      <c r="L261" t="s">
        <v>41</v>
      </c>
      <c r="M261" t="s">
        <v>42</v>
      </c>
      <c r="N261" t="s">
        <v>43</v>
      </c>
      <c r="O261" s="7">
        <v>1</v>
      </c>
      <c r="P261" s="8">
        <v>45144.730347222219</v>
      </c>
      <c r="Q261" s="9">
        <v>45146</v>
      </c>
      <c r="R261" t="s">
        <v>37</v>
      </c>
      <c r="S261" t="s">
        <v>44</v>
      </c>
      <c r="T261" t="s">
        <v>53</v>
      </c>
      <c r="U261" t="s">
        <v>197</v>
      </c>
      <c r="V261" t="s">
        <v>929</v>
      </c>
      <c r="W261">
        <v>81700</v>
      </c>
      <c r="X261" t="s">
        <v>44</v>
      </c>
      <c r="Y261" t="s">
        <v>233</v>
      </c>
      <c r="Z261" t="s">
        <v>49</v>
      </c>
      <c r="AA261" s="10">
        <f>IF(O261&lt;=1,7,7+0.8*ROUNDUP(O261-1,0))</f>
        <v>7</v>
      </c>
      <c r="AB261" s="11">
        <v>0</v>
      </c>
      <c r="AC261" s="11">
        <v>0</v>
      </c>
      <c r="AD261" s="11">
        <v>0</v>
      </c>
      <c r="AE261" s="11">
        <v>0</v>
      </c>
      <c r="AF261" s="11">
        <f t="shared" si="8"/>
        <v>0.42</v>
      </c>
      <c r="AG261" s="11">
        <f t="shared" si="9"/>
        <v>7.42</v>
      </c>
      <c r="AH261" t="s">
        <v>50</v>
      </c>
    </row>
    <row r="262" spans="1:34" ht="15" customHeight="1" x14ac:dyDescent="0.35">
      <c r="A262">
        <v>7547676</v>
      </c>
      <c r="B262">
        <v>690929</v>
      </c>
      <c r="C262" t="s">
        <v>34</v>
      </c>
      <c r="D262" t="s">
        <v>35</v>
      </c>
      <c r="E262" s="6" t="s">
        <v>34</v>
      </c>
      <c r="F262" t="s">
        <v>930</v>
      </c>
      <c r="G262" t="s">
        <v>37</v>
      </c>
      <c r="H262" t="s">
        <v>38</v>
      </c>
      <c r="I262" t="s">
        <v>816</v>
      </c>
      <c r="J262" t="s">
        <v>40</v>
      </c>
      <c r="K262">
        <v>2</v>
      </c>
      <c r="L262" t="s">
        <v>41</v>
      </c>
      <c r="M262" t="s">
        <v>42</v>
      </c>
      <c r="N262" t="s">
        <v>43</v>
      </c>
      <c r="O262" s="7">
        <v>1</v>
      </c>
      <c r="P262" s="8">
        <v>45144.710243055553</v>
      </c>
      <c r="Q262" s="9">
        <v>45146</v>
      </c>
      <c r="R262" t="s">
        <v>37</v>
      </c>
      <c r="S262" t="s">
        <v>44</v>
      </c>
      <c r="T262" t="s">
        <v>53</v>
      </c>
      <c r="U262" t="s">
        <v>210</v>
      </c>
      <c r="V262" t="s">
        <v>931</v>
      </c>
      <c r="W262">
        <v>6000</v>
      </c>
      <c r="X262" t="s">
        <v>44</v>
      </c>
      <c r="Y262" t="s">
        <v>288</v>
      </c>
      <c r="Z262" t="s">
        <v>49</v>
      </c>
      <c r="AA262" s="10">
        <f>IF(O262&lt;=1,7,7+0.8*ROUNDUP(O262-1,0))</f>
        <v>7</v>
      </c>
      <c r="AB262" s="11">
        <v>0</v>
      </c>
      <c r="AC262" s="11">
        <v>0</v>
      </c>
      <c r="AD262" s="11">
        <v>0</v>
      </c>
      <c r="AE262" s="11">
        <v>0</v>
      </c>
      <c r="AF262" s="11">
        <f t="shared" si="8"/>
        <v>0.42</v>
      </c>
      <c r="AG262" s="11">
        <f t="shared" si="9"/>
        <v>7.42</v>
      </c>
      <c r="AH262" t="s">
        <v>50</v>
      </c>
    </row>
    <row r="263" spans="1:34" ht="15" customHeight="1" x14ac:dyDescent="0.35">
      <c r="A263">
        <v>7547676</v>
      </c>
      <c r="B263">
        <v>690929</v>
      </c>
      <c r="C263" t="s">
        <v>34</v>
      </c>
      <c r="D263" t="s">
        <v>35</v>
      </c>
      <c r="E263" s="6" t="s">
        <v>34</v>
      </c>
      <c r="F263" t="s">
        <v>932</v>
      </c>
      <c r="G263" t="s">
        <v>37</v>
      </c>
      <c r="H263" t="s">
        <v>38</v>
      </c>
      <c r="I263" t="s">
        <v>933</v>
      </c>
      <c r="J263" t="s">
        <v>40</v>
      </c>
      <c r="K263">
        <v>2</v>
      </c>
      <c r="L263" t="s">
        <v>41</v>
      </c>
      <c r="M263" t="s">
        <v>42</v>
      </c>
      <c r="N263" t="s">
        <v>43</v>
      </c>
      <c r="O263" s="7">
        <v>1</v>
      </c>
      <c r="P263" s="8">
        <v>45145.727916666663</v>
      </c>
      <c r="Q263" s="9">
        <v>45147</v>
      </c>
      <c r="R263" t="s">
        <v>37</v>
      </c>
      <c r="S263" t="s">
        <v>44</v>
      </c>
      <c r="T263" t="s">
        <v>53</v>
      </c>
      <c r="U263" t="s">
        <v>177</v>
      </c>
      <c r="V263" t="s">
        <v>934</v>
      </c>
      <c r="W263">
        <v>71650</v>
      </c>
      <c r="X263" t="s">
        <v>44</v>
      </c>
      <c r="Y263" t="s">
        <v>935</v>
      </c>
      <c r="Z263" t="s">
        <v>49</v>
      </c>
      <c r="AA263" s="10">
        <f>IF(O263&lt;=1,7,7+0.8*ROUNDUP(O263-1,0))</f>
        <v>7</v>
      </c>
      <c r="AB263" s="11">
        <v>0</v>
      </c>
      <c r="AC263" s="11">
        <v>0</v>
      </c>
      <c r="AD263" s="11">
        <v>0</v>
      </c>
      <c r="AE263" s="11">
        <v>0</v>
      </c>
      <c r="AF263" s="11">
        <f t="shared" si="8"/>
        <v>0.42</v>
      </c>
      <c r="AG263" s="11">
        <f t="shared" si="9"/>
        <v>7.42</v>
      </c>
      <c r="AH263" t="s">
        <v>50</v>
      </c>
    </row>
    <row r="264" spans="1:34" ht="15" customHeight="1" x14ac:dyDescent="0.35">
      <c r="A264">
        <v>7547676</v>
      </c>
      <c r="B264">
        <v>690929</v>
      </c>
      <c r="C264" t="s">
        <v>34</v>
      </c>
      <c r="D264" t="s">
        <v>35</v>
      </c>
      <c r="E264" s="6" t="s">
        <v>34</v>
      </c>
      <c r="F264" t="s">
        <v>936</v>
      </c>
      <c r="G264" t="s">
        <v>37</v>
      </c>
      <c r="H264" t="s">
        <v>38</v>
      </c>
      <c r="I264" t="s">
        <v>937</v>
      </c>
      <c r="J264" t="s">
        <v>40</v>
      </c>
      <c r="K264">
        <v>2</v>
      </c>
      <c r="L264" t="s">
        <v>41</v>
      </c>
      <c r="M264" t="s">
        <v>42</v>
      </c>
      <c r="N264" t="s">
        <v>43</v>
      </c>
      <c r="O264" s="7">
        <v>1</v>
      </c>
      <c r="P264" s="8">
        <v>45146.427118055559</v>
      </c>
      <c r="Q264" s="9">
        <v>45147</v>
      </c>
      <c r="R264" t="s">
        <v>37</v>
      </c>
      <c r="S264" t="s">
        <v>44</v>
      </c>
      <c r="T264" t="s">
        <v>53</v>
      </c>
      <c r="U264" t="s">
        <v>67</v>
      </c>
      <c r="V264" t="s">
        <v>938</v>
      </c>
      <c r="W264">
        <v>26080</v>
      </c>
      <c r="X264" t="s">
        <v>44</v>
      </c>
      <c r="Y264" t="s">
        <v>939</v>
      </c>
      <c r="Z264" t="s">
        <v>49</v>
      </c>
      <c r="AA264" s="10">
        <f>IF(O264&lt;=1,7,7+0.8*ROUNDUP(O264-1,0))</f>
        <v>7</v>
      </c>
      <c r="AB264" s="11">
        <v>0</v>
      </c>
      <c r="AC264" s="11">
        <v>0</v>
      </c>
      <c r="AD264" s="11">
        <v>0</v>
      </c>
      <c r="AE264" s="11">
        <v>0</v>
      </c>
      <c r="AF264" s="11">
        <f t="shared" si="8"/>
        <v>0.42</v>
      </c>
      <c r="AG264" s="11">
        <f t="shared" si="9"/>
        <v>7.42</v>
      </c>
      <c r="AH264" t="s">
        <v>50</v>
      </c>
    </row>
    <row r="265" spans="1:34" ht="15" customHeight="1" x14ac:dyDescent="0.35">
      <c r="A265">
        <v>7547676</v>
      </c>
      <c r="B265">
        <v>690929</v>
      </c>
      <c r="C265" t="s">
        <v>34</v>
      </c>
      <c r="D265" t="s">
        <v>35</v>
      </c>
      <c r="E265" s="6" t="s">
        <v>34</v>
      </c>
      <c r="F265" t="s">
        <v>940</v>
      </c>
      <c r="G265" t="s">
        <v>37</v>
      </c>
      <c r="H265" t="s">
        <v>38</v>
      </c>
      <c r="I265" t="s">
        <v>941</v>
      </c>
      <c r="J265" t="s">
        <v>40</v>
      </c>
      <c r="K265">
        <v>2</v>
      </c>
      <c r="L265" t="s">
        <v>41</v>
      </c>
      <c r="M265" t="s">
        <v>42</v>
      </c>
      <c r="N265" t="s">
        <v>43</v>
      </c>
      <c r="O265" s="7">
        <v>1</v>
      </c>
      <c r="P265" s="8">
        <v>45144.738599537035</v>
      </c>
      <c r="Q265" s="9">
        <v>45147</v>
      </c>
      <c r="R265" t="s">
        <v>37</v>
      </c>
      <c r="S265" t="s">
        <v>44</v>
      </c>
      <c r="T265" t="s">
        <v>53</v>
      </c>
      <c r="U265" t="s">
        <v>197</v>
      </c>
      <c r="V265" t="s">
        <v>942</v>
      </c>
      <c r="W265">
        <v>81100</v>
      </c>
      <c r="X265" t="s">
        <v>44</v>
      </c>
      <c r="Y265" t="s">
        <v>564</v>
      </c>
      <c r="Z265" t="s">
        <v>49</v>
      </c>
      <c r="AA265" s="10">
        <f>IF(O265&lt;=1,7,7+0.8*ROUNDUP(O265-1,0))</f>
        <v>7</v>
      </c>
      <c r="AB265" s="11">
        <v>0</v>
      </c>
      <c r="AC265" s="11">
        <v>0</v>
      </c>
      <c r="AD265" s="11">
        <v>0</v>
      </c>
      <c r="AE265" s="11">
        <v>0</v>
      </c>
      <c r="AF265" s="11">
        <f t="shared" si="8"/>
        <v>0.42</v>
      </c>
      <c r="AG265" s="11">
        <f t="shared" si="9"/>
        <v>7.42</v>
      </c>
      <c r="AH265" t="s">
        <v>50</v>
      </c>
    </row>
    <row r="266" spans="1:34" ht="15" customHeight="1" x14ac:dyDescent="0.35">
      <c r="A266">
        <v>7547676</v>
      </c>
      <c r="B266">
        <v>690929</v>
      </c>
      <c r="C266" t="s">
        <v>34</v>
      </c>
      <c r="D266" t="s">
        <v>35</v>
      </c>
      <c r="E266" s="6" t="s">
        <v>34</v>
      </c>
      <c r="F266" t="s">
        <v>943</v>
      </c>
      <c r="G266" t="s">
        <v>37</v>
      </c>
      <c r="H266" t="s">
        <v>38</v>
      </c>
      <c r="I266" t="s">
        <v>944</v>
      </c>
      <c r="J266" t="s">
        <v>40</v>
      </c>
      <c r="K266">
        <v>2</v>
      </c>
      <c r="L266" t="s">
        <v>41</v>
      </c>
      <c r="M266" t="s">
        <v>42</v>
      </c>
      <c r="N266" t="s">
        <v>43</v>
      </c>
      <c r="O266" s="7">
        <v>1</v>
      </c>
      <c r="P266" s="8">
        <v>45146.484803240739</v>
      </c>
      <c r="Q266" s="9">
        <v>45147</v>
      </c>
      <c r="R266" t="s">
        <v>37</v>
      </c>
      <c r="S266" t="s">
        <v>44</v>
      </c>
      <c r="T266" t="s">
        <v>53</v>
      </c>
      <c r="U266" t="s">
        <v>67</v>
      </c>
      <c r="V266" t="s">
        <v>945</v>
      </c>
      <c r="W266">
        <v>28000</v>
      </c>
      <c r="X266" t="s">
        <v>44</v>
      </c>
      <c r="Y266" t="s">
        <v>939</v>
      </c>
      <c r="Z266" t="s">
        <v>49</v>
      </c>
      <c r="AA266" s="10">
        <f>IF(O266&lt;=1,7,7+0.8*ROUNDUP(O266-1,0))</f>
        <v>7</v>
      </c>
      <c r="AB266" s="11">
        <v>0</v>
      </c>
      <c r="AC266" s="11">
        <v>0</v>
      </c>
      <c r="AD266" s="11">
        <v>0</v>
      </c>
      <c r="AE266" s="11">
        <v>0</v>
      </c>
      <c r="AF266" s="11">
        <f t="shared" si="8"/>
        <v>0.42</v>
      </c>
      <c r="AG266" s="11">
        <f t="shared" si="9"/>
        <v>7.42</v>
      </c>
      <c r="AH266" t="s">
        <v>50</v>
      </c>
    </row>
    <row r="267" spans="1:34" ht="15" customHeight="1" x14ac:dyDescent="0.35">
      <c r="A267">
        <v>7547676</v>
      </c>
      <c r="B267">
        <v>690929</v>
      </c>
      <c r="C267" t="s">
        <v>34</v>
      </c>
      <c r="D267" t="s">
        <v>35</v>
      </c>
      <c r="E267" s="6" t="s">
        <v>34</v>
      </c>
      <c r="F267" t="s">
        <v>946</v>
      </c>
      <c r="G267" t="s">
        <v>37</v>
      </c>
      <c r="H267" t="s">
        <v>38</v>
      </c>
      <c r="I267" t="s">
        <v>947</v>
      </c>
      <c r="J267" t="s">
        <v>40</v>
      </c>
      <c r="K267">
        <v>2</v>
      </c>
      <c r="L267" t="s">
        <v>41</v>
      </c>
      <c r="M267" t="s">
        <v>42</v>
      </c>
      <c r="N267" t="s">
        <v>43</v>
      </c>
      <c r="O267" s="7">
        <v>1</v>
      </c>
      <c r="P267" s="8">
        <v>45145.500578703701</v>
      </c>
      <c r="Q267" s="9">
        <v>45147</v>
      </c>
      <c r="R267" t="s">
        <v>37</v>
      </c>
      <c r="S267" t="s">
        <v>44</v>
      </c>
      <c r="T267" t="s">
        <v>53</v>
      </c>
      <c r="U267" t="s">
        <v>197</v>
      </c>
      <c r="V267" t="s">
        <v>948</v>
      </c>
      <c r="W267">
        <v>81000</v>
      </c>
      <c r="X267" t="s">
        <v>44</v>
      </c>
      <c r="Y267" t="s">
        <v>271</v>
      </c>
      <c r="Z267" t="s">
        <v>49</v>
      </c>
      <c r="AA267" s="10">
        <f>IF(O267&lt;=1,7,7+0.8*ROUNDUP(O267-1,0))</f>
        <v>7</v>
      </c>
      <c r="AB267" s="11">
        <v>0</v>
      </c>
      <c r="AC267" s="11">
        <v>0</v>
      </c>
      <c r="AD267" s="11">
        <v>0</v>
      </c>
      <c r="AE267" s="11">
        <v>0</v>
      </c>
      <c r="AF267" s="11">
        <f t="shared" si="8"/>
        <v>0.42</v>
      </c>
      <c r="AG267" s="11">
        <f t="shared" si="9"/>
        <v>7.42</v>
      </c>
      <c r="AH267" t="s">
        <v>50</v>
      </c>
    </row>
    <row r="268" spans="1:34" ht="15" customHeight="1" x14ac:dyDescent="0.35">
      <c r="A268">
        <v>7547676</v>
      </c>
      <c r="B268">
        <v>690929</v>
      </c>
      <c r="C268" t="s">
        <v>34</v>
      </c>
      <c r="D268" t="s">
        <v>35</v>
      </c>
      <c r="E268" s="6" t="s">
        <v>34</v>
      </c>
      <c r="F268" t="s">
        <v>949</v>
      </c>
      <c r="G268" t="s">
        <v>37</v>
      </c>
      <c r="H268" t="s">
        <v>38</v>
      </c>
      <c r="I268" t="s">
        <v>950</v>
      </c>
      <c r="J268" t="s">
        <v>40</v>
      </c>
      <c r="K268">
        <v>2</v>
      </c>
      <c r="L268" t="s">
        <v>41</v>
      </c>
      <c r="M268" t="s">
        <v>42</v>
      </c>
      <c r="N268" t="s">
        <v>43</v>
      </c>
      <c r="O268" s="7">
        <v>1</v>
      </c>
      <c r="P268" s="8">
        <v>45145.498182870368</v>
      </c>
      <c r="Q268" s="9">
        <v>45147</v>
      </c>
      <c r="R268" t="s">
        <v>37</v>
      </c>
      <c r="S268" t="s">
        <v>44</v>
      </c>
      <c r="T268" t="s">
        <v>53</v>
      </c>
      <c r="U268" t="s">
        <v>81</v>
      </c>
      <c r="V268" t="s">
        <v>951</v>
      </c>
      <c r="W268">
        <v>34200</v>
      </c>
      <c r="X268" t="s">
        <v>44</v>
      </c>
      <c r="Y268" t="s">
        <v>579</v>
      </c>
      <c r="Z268" t="s">
        <v>49</v>
      </c>
      <c r="AA268" s="10">
        <f>IF(O268&lt;=1,7,7+0.8*ROUNDUP(O268-1,0))</f>
        <v>7</v>
      </c>
      <c r="AB268" s="11">
        <v>0</v>
      </c>
      <c r="AC268" s="11">
        <v>0</v>
      </c>
      <c r="AD268" s="11">
        <v>0</v>
      </c>
      <c r="AE268" s="11">
        <v>0</v>
      </c>
      <c r="AF268" s="11">
        <f t="shared" si="8"/>
        <v>0.42</v>
      </c>
      <c r="AG268" s="11">
        <f t="shared" si="9"/>
        <v>7.42</v>
      </c>
      <c r="AH268" t="s">
        <v>50</v>
      </c>
    </row>
    <row r="269" spans="1:34" ht="15" customHeight="1" x14ac:dyDescent="0.35">
      <c r="A269">
        <v>7547676</v>
      </c>
      <c r="B269">
        <v>690929</v>
      </c>
      <c r="C269" t="s">
        <v>34</v>
      </c>
      <c r="D269" t="s">
        <v>35</v>
      </c>
      <c r="E269" s="6" t="s">
        <v>34</v>
      </c>
      <c r="F269" t="s">
        <v>952</v>
      </c>
      <c r="G269" t="s">
        <v>37</v>
      </c>
      <c r="H269" t="s">
        <v>38</v>
      </c>
      <c r="I269" t="s">
        <v>953</v>
      </c>
      <c r="J269" t="s">
        <v>40</v>
      </c>
      <c r="K269">
        <v>2</v>
      </c>
      <c r="L269" t="s">
        <v>41</v>
      </c>
      <c r="M269" t="s">
        <v>42</v>
      </c>
      <c r="N269" t="s">
        <v>43</v>
      </c>
      <c r="O269" s="7">
        <v>1</v>
      </c>
      <c r="P269" s="8">
        <v>45145.530613425923</v>
      </c>
      <c r="Q269" s="9">
        <v>45147</v>
      </c>
      <c r="R269" t="s">
        <v>37</v>
      </c>
      <c r="S269" t="s">
        <v>44</v>
      </c>
      <c r="T269" t="s">
        <v>53</v>
      </c>
      <c r="U269" t="s">
        <v>72</v>
      </c>
      <c r="V269" t="s">
        <v>954</v>
      </c>
      <c r="W269">
        <v>24200</v>
      </c>
      <c r="X269" t="s">
        <v>44</v>
      </c>
      <c r="Y269" t="s">
        <v>53</v>
      </c>
      <c r="Z269" t="s">
        <v>49</v>
      </c>
      <c r="AA269" s="10">
        <f>IF(O269&lt;=1,7,7+0.8*ROUNDUP(O269-1,0))</f>
        <v>7</v>
      </c>
      <c r="AB269" s="11">
        <v>0</v>
      </c>
      <c r="AC269" s="11">
        <v>0</v>
      </c>
      <c r="AD269" s="11">
        <v>0</v>
      </c>
      <c r="AE269" s="11">
        <v>0</v>
      </c>
      <c r="AF269" s="11">
        <f t="shared" si="8"/>
        <v>0.42</v>
      </c>
      <c r="AG269" s="11">
        <f t="shared" si="9"/>
        <v>7.42</v>
      </c>
      <c r="AH269" t="s">
        <v>50</v>
      </c>
    </row>
    <row r="270" spans="1:34" ht="15" customHeight="1" x14ac:dyDescent="0.35">
      <c r="A270">
        <v>7547676</v>
      </c>
      <c r="B270">
        <v>690929</v>
      </c>
      <c r="C270" t="s">
        <v>34</v>
      </c>
      <c r="D270" t="s">
        <v>35</v>
      </c>
      <c r="E270" s="6" t="s">
        <v>34</v>
      </c>
      <c r="F270" t="s">
        <v>955</v>
      </c>
      <c r="G270" t="s">
        <v>37</v>
      </c>
      <c r="H270" t="s">
        <v>38</v>
      </c>
      <c r="I270" t="s">
        <v>956</v>
      </c>
      <c r="J270" t="s">
        <v>40</v>
      </c>
      <c r="K270">
        <v>2</v>
      </c>
      <c r="L270" t="s">
        <v>41</v>
      </c>
      <c r="M270" t="s">
        <v>42</v>
      </c>
      <c r="N270" t="s">
        <v>43</v>
      </c>
      <c r="O270" s="7">
        <v>1</v>
      </c>
      <c r="P270" s="8">
        <v>45146.549108796295</v>
      </c>
      <c r="Q270" s="9">
        <v>45147</v>
      </c>
      <c r="R270" t="s">
        <v>37</v>
      </c>
      <c r="S270" t="s">
        <v>44</v>
      </c>
      <c r="T270" t="s">
        <v>53</v>
      </c>
      <c r="U270" t="s">
        <v>59</v>
      </c>
      <c r="V270" t="s">
        <v>957</v>
      </c>
      <c r="W270">
        <v>18300</v>
      </c>
      <c r="X270" t="s">
        <v>44</v>
      </c>
      <c r="Y270" t="s">
        <v>45</v>
      </c>
      <c r="Z270" t="s">
        <v>49</v>
      </c>
      <c r="AA270" s="10">
        <f>IF(O270&lt;=1,7,7+0.8*ROUNDUP(O270-1,0))</f>
        <v>7</v>
      </c>
      <c r="AB270" s="11">
        <v>0</v>
      </c>
      <c r="AC270" s="11">
        <v>0</v>
      </c>
      <c r="AD270" s="11">
        <v>0</v>
      </c>
      <c r="AE270" s="11">
        <v>0</v>
      </c>
      <c r="AF270" s="11">
        <f t="shared" si="8"/>
        <v>0.42</v>
      </c>
      <c r="AG270" s="11">
        <f t="shared" si="9"/>
        <v>7.42</v>
      </c>
      <c r="AH270" t="s">
        <v>50</v>
      </c>
    </row>
    <row r="271" spans="1:34" ht="15" customHeight="1" x14ac:dyDescent="0.35">
      <c r="A271">
        <v>7547676</v>
      </c>
      <c r="B271">
        <v>690929</v>
      </c>
      <c r="C271" t="s">
        <v>34</v>
      </c>
      <c r="D271" t="s">
        <v>35</v>
      </c>
      <c r="E271" s="6" t="s">
        <v>34</v>
      </c>
      <c r="F271" t="s">
        <v>958</v>
      </c>
      <c r="G271" t="s">
        <v>37</v>
      </c>
      <c r="H271" t="s">
        <v>38</v>
      </c>
      <c r="I271" t="s">
        <v>959</v>
      </c>
      <c r="J271" t="s">
        <v>40</v>
      </c>
      <c r="K271">
        <v>2</v>
      </c>
      <c r="L271" t="s">
        <v>41</v>
      </c>
      <c r="M271" t="s">
        <v>42</v>
      </c>
      <c r="N271" t="s">
        <v>43</v>
      </c>
      <c r="O271" s="7">
        <v>1</v>
      </c>
      <c r="P271" s="8">
        <v>45145.674351851849</v>
      </c>
      <c r="Q271" s="9">
        <v>45147</v>
      </c>
      <c r="R271" t="s">
        <v>37</v>
      </c>
      <c r="S271" t="s">
        <v>44</v>
      </c>
      <c r="T271" t="s">
        <v>53</v>
      </c>
      <c r="U271" t="s">
        <v>440</v>
      </c>
      <c r="V271" t="s">
        <v>960</v>
      </c>
      <c r="W271">
        <v>88200</v>
      </c>
      <c r="X271" t="s">
        <v>194</v>
      </c>
      <c r="Y271" t="s">
        <v>136</v>
      </c>
      <c r="Z271" t="s">
        <v>49</v>
      </c>
      <c r="AA271" s="12">
        <f>IF(O271&lt;=1,13,IF(O271&lt;=2,23,IF(O271&lt;=3,35,IF(O271&lt;=4,43,IF(O271&lt;=5,53,IF(O271&lt;=6,63,IF(O271&lt;=7,71,IF(O271&lt;=8,79,IF(O271&lt;=9,87,IF(O271&lt;=10,95,IF(O271&lt;=11,105,IF(O271&lt;=12,114,IF(O271&lt;=13,119,IF(O271&lt;=14,127,IF(O271&lt;=15,135,IF(O271&lt;=16,143,IF(O271&lt;=17,153,IF(O271&lt;=18,163,IF(O271&lt;=19,171,IF(O271&lt;=20,185,IF(O271&lt;=21,193,IF(O271&lt;=22,201,IF(O271&lt;=23,210,IF(O271&lt;=24,220,IF(O271&lt;=25,230,IF(O271&lt;=26,240,IF(O271&lt;=27,250,IF(O271&lt;=28,260,IF(O271&lt;=29,270,IF(O271&lt;=30,280,280+10*ROUNDUP(O271-30,0)))))))))))))))))))))))))))))))</f>
        <v>13</v>
      </c>
      <c r="AB271" s="11">
        <v>0</v>
      </c>
      <c r="AC271" s="11">
        <v>0</v>
      </c>
      <c r="AD271" s="11">
        <v>0</v>
      </c>
      <c r="AE271" s="11">
        <v>0</v>
      </c>
      <c r="AF271" s="11">
        <f t="shared" ref="AF271:AF334" si="10">(AA271+AC271+AE271)*6%</f>
        <v>0.78</v>
      </c>
      <c r="AG271" s="11">
        <f t="shared" ref="AG271:AG334" si="11">AA271+AC271+AE271+AF271</f>
        <v>13.78</v>
      </c>
      <c r="AH271" t="s">
        <v>194</v>
      </c>
    </row>
    <row r="272" spans="1:34" ht="15" customHeight="1" x14ac:dyDescent="0.35">
      <c r="A272">
        <v>7547676</v>
      </c>
      <c r="B272">
        <v>690929</v>
      </c>
      <c r="C272" t="s">
        <v>34</v>
      </c>
      <c r="D272" t="s">
        <v>35</v>
      </c>
      <c r="E272" s="6" t="s">
        <v>34</v>
      </c>
      <c r="F272" t="s">
        <v>961</v>
      </c>
      <c r="G272" t="s">
        <v>37</v>
      </c>
      <c r="H272" t="s">
        <v>38</v>
      </c>
      <c r="I272" t="s">
        <v>962</v>
      </c>
      <c r="J272" t="s">
        <v>40</v>
      </c>
      <c r="K272">
        <v>2</v>
      </c>
      <c r="L272" t="s">
        <v>41</v>
      </c>
      <c r="M272" t="s">
        <v>42</v>
      </c>
      <c r="N272" t="s">
        <v>43</v>
      </c>
      <c r="O272" s="7">
        <v>1</v>
      </c>
      <c r="P272" s="8">
        <v>45146.694444444445</v>
      </c>
      <c r="Q272" s="9">
        <v>45147</v>
      </c>
      <c r="R272" t="s">
        <v>37</v>
      </c>
      <c r="S272" t="s">
        <v>44</v>
      </c>
      <c r="T272" t="s">
        <v>53</v>
      </c>
      <c r="U272" t="s">
        <v>54</v>
      </c>
      <c r="V272" t="s">
        <v>963</v>
      </c>
      <c r="W272">
        <v>43000</v>
      </c>
      <c r="X272" t="s">
        <v>44</v>
      </c>
      <c r="Y272" t="s">
        <v>56</v>
      </c>
      <c r="Z272" t="s">
        <v>49</v>
      </c>
      <c r="AA272" s="10">
        <f>IF(O272&lt;=1,7,7+0.8*ROUNDUP(O272-1,0))</f>
        <v>7</v>
      </c>
      <c r="AB272" s="11">
        <v>0</v>
      </c>
      <c r="AC272" s="11">
        <v>0</v>
      </c>
      <c r="AD272" s="11">
        <v>0</v>
      </c>
      <c r="AE272" s="11">
        <v>0</v>
      </c>
      <c r="AF272" s="11">
        <f t="shared" si="10"/>
        <v>0.42</v>
      </c>
      <c r="AG272" s="11">
        <f t="shared" si="11"/>
        <v>7.42</v>
      </c>
      <c r="AH272" t="s">
        <v>50</v>
      </c>
    </row>
    <row r="273" spans="1:34" ht="15" customHeight="1" x14ac:dyDescent="0.35">
      <c r="A273">
        <v>7547676</v>
      </c>
      <c r="B273">
        <v>690929</v>
      </c>
      <c r="C273" t="s">
        <v>34</v>
      </c>
      <c r="D273" t="s">
        <v>35</v>
      </c>
      <c r="E273" s="6" t="s">
        <v>34</v>
      </c>
      <c r="F273" t="s">
        <v>964</v>
      </c>
      <c r="G273" t="s">
        <v>37</v>
      </c>
      <c r="H273" t="s">
        <v>38</v>
      </c>
      <c r="I273" t="s">
        <v>760</v>
      </c>
      <c r="J273" t="s">
        <v>40</v>
      </c>
      <c r="K273">
        <v>2</v>
      </c>
      <c r="L273" t="s">
        <v>41</v>
      </c>
      <c r="M273" t="s">
        <v>42</v>
      </c>
      <c r="N273" t="s">
        <v>43</v>
      </c>
      <c r="O273" s="7">
        <v>5</v>
      </c>
      <c r="P273" s="8">
        <v>45145.721631944441</v>
      </c>
      <c r="Q273" s="9">
        <v>45147</v>
      </c>
      <c r="R273" t="s">
        <v>37</v>
      </c>
      <c r="S273" t="s">
        <v>44</v>
      </c>
      <c r="T273" t="s">
        <v>53</v>
      </c>
      <c r="U273" t="s">
        <v>46</v>
      </c>
      <c r="V273" t="s">
        <v>965</v>
      </c>
      <c r="W273">
        <v>13300</v>
      </c>
      <c r="X273" t="s">
        <v>44</v>
      </c>
      <c r="Y273" t="s">
        <v>48</v>
      </c>
      <c r="Z273" t="s">
        <v>49</v>
      </c>
      <c r="AA273" s="10">
        <f>IF(O273&lt;=1,7,7+0.8*ROUNDUP(O273-1,0))</f>
        <v>10.199999999999999</v>
      </c>
      <c r="AB273" s="11">
        <v>0</v>
      </c>
      <c r="AC273" s="11">
        <v>0</v>
      </c>
      <c r="AD273" s="11">
        <v>0</v>
      </c>
      <c r="AE273" s="11">
        <v>0</v>
      </c>
      <c r="AF273" s="11">
        <f t="shared" si="10"/>
        <v>0.61199999999999999</v>
      </c>
      <c r="AG273" s="11">
        <f t="shared" si="11"/>
        <v>10.811999999999999</v>
      </c>
      <c r="AH273" t="s">
        <v>50</v>
      </c>
    </row>
    <row r="274" spans="1:34" ht="15" customHeight="1" x14ac:dyDescent="0.35">
      <c r="A274">
        <v>7547676</v>
      </c>
      <c r="B274">
        <v>690929</v>
      </c>
      <c r="C274" t="s">
        <v>34</v>
      </c>
      <c r="D274" t="s">
        <v>35</v>
      </c>
      <c r="E274" s="6" t="s">
        <v>34</v>
      </c>
      <c r="F274" t="s">
        <v>966</v>
      </c>
      <c r="G274" t="s">
        <v>37</v>
      </c>
      <c r="H274" t="s">
        <v>38</v>
      </c>
      <c r="I274" t="s">
        <v>967</v>
      </c>
      <c r="J274" t="s">
        <v>40</v>
      </c>
      <c r="K274">
        <v>2</v>
      </c>
      <c r="L274" t="s">
        <v>41</v>
      </c>
      <c r="M274" t="s">
        <v>42</v>
      </c>
      <c r="N274" t="s">
        <v>43</v>
      </c>
      <c r="O274" s="7">
        <v>2</v>
      </c>
      <c r="P274" s="8">
        <v>45146.72693287037</v>
      </c>
      <c r="Q274" s="9">
        <v>45147</v>
      </c>
      <c r="R274" t="s">
        <v>37</v>
      </c>
      <c r="S274" t="s">
        <v>44</v>
      </c>
      <c r="T274" t="s">
        <v>53</v>
      </c>
      <c r="U274" t="s">
        <v>134</v>
      </c>
      <c r="V274" t="s">
        <v>968</v>
      </c>
      <c r="W274">
        <v>52200</v>
      </c>
      <c r="X274" t="s">
        <v>44</v>
      </c>
      <c r="Y274" t="s">
        <v>53</v>
      </c>
      <c r="Z274" t="s">
        <v>49</v>
      </c>
      <c r="AA274" s="10">
        <f>IF(O274&lt;=1,7,7+0.8*ROUNDUP(O274-1,0))</f>
        <v>7.8</v>
      </c>
      <c r="AB274" s="11">
        <v>0</v>
      </c>
      <c r="AC274" s="11">
        <v>0</v>
      </c>
      <c r="AD274" s="11">
        <v>0</v>
      </c>
      <c r="AE274" s="11">
        <v>0</v>
      </c>
      <c r="AF274" s="11">
        <f t="shared" si="10"/>
        <v>0.46799999999999997</v>
      </c>
      <c r="AG274" s="11">
        <f t="shared" si="11"/>
        <v>8.2680000000000007</v>
      </c>
      <c r="AH274" t="s">
        <v>50</v>
      </c>
    </row>
    <row r="275" spans="1:34" ht="15" customHeight="1" x14ac:dyDescent="0.35">
      <c r="A275">
        <v>7547676</v>
      </c>
      <c r="B275">
        <v>690929</v>
      </c>
      <c r="C275" t="s">
        <v>34</v>
      </c>
      <c r="D275" t="s">
        <v>35</v>
      </c>
      <c r="E275" s="6" t="s">
        <v>34</v>
      </c>
      <c r="F275" t="s">
        <v>969</v>
      </c>
      <c r="G275" t="s">
        <v>37</v>
      </c>
      <c r="H275" t="s">
        <v>38</v>
      </c>
      <c r="I275" t="s">
        <v>970</v>
      </c>
      <c r="J275" t="s">
        <v>40</v>
      </c>
      <c r="K275">
        <v>2</v>
      </c>
      <c r="L275" t="s">
        <v>41</v>
      </c>
      <c r="M275" t="s">
        <v>42</v>
      </c>
      <c r="N275" t="s">
        <v>43</v>
      </c>
      <c r="O275" s="7">
        <v>2</v>
      </c>
      <c r="P275" s="8">
        <v>45146.591273148151</v>
      </c>
      <c r="Q275" s="9">
        <v>45147</v>
      </c>
      <c r="R275" t="s">
        <v>37</v>
      </c>
      <c r="S275" t="s">
        <v>44</v>
      </c>
      <c r="T275" t="s">
        <v>53</v>
      </c>
      <c r="U275" t="s">
        <v>67</v>
      </c>
      <c r="V275" t="s">
        <v>971</v>
      </c>
      <c r="W275">
        <v>27660</v>
      </c>
      <c r="X275" t="s">
        <v>44</v>
      </c>
      <c r="Y275" t="s">
        <v>652</v>
      </c>
      <c r="Z275" t="s">
        <v>49</v>
      </c>
      <c r="AA275" s="10">
        <f>IF(O275&lt;=1,7,7+0.8*ROUNDUP(O275-1,0))</f>
        <v>7.8</v>
      </c>
      <c r="AB275" s="11">
        <v>0</v>
      </c>
      <c r="AC275" s="11">
        <v>0</v>
      </c>
      <c r="AD275" s="11">
        <v>0</v>
      </c>
      <c r="AE275" s="11">
        <v>0</v>
      </c>
      <c r="AF275" s="11">
        <f t="shared" si="10"/>
        <v>0.46799999999999997</v>
      </c>
      <c r="AG275" s="11">
        <f t="shared" si="11"/>
        <v>8.2680000000000007</v>
      </c>
      <c r="AH275" t="s">
        <v>50</v>
      </c>
    </row>
    <row r="276" spans="1:34" ht="15" customHeight="1" x14ac:dyDescent="0.35">
      <c r="A276">
        <v>7547676</v>
      </c>
      <c r="B276">
        <v>690929</v>
      </c>
      <c r="C276" t="s">
        <v>34</v>
      </c>
      <c r="D276" t="s">
        <v>35</v>
      </c>
      <c r="E276" s="6" t="s">
        <v>34</v>
      </c>
      <c r="F276" t="s">
        <v>972</v>
      </c>
      <c r="G276" t="s">
        <v>37</v>
      </c>
      <c r="H276" t="s">
        <v>38</v>
      </c>
      <c r="I276" t="s">
        <v>495</v>
      </c>
      <c r="J276" t="s">
        <v>40</v>
      </c>
      <c r="K276">
        <v>2</v>
      </c>
      <c r="L276" t="s">
        <v>41</v>
      </c>
      <c r="M276" t="s">
        <v>42</v>
      </c>
      <c r="N276" t="s">
        <v>43</v>
      </c>
      <c r="O276" s="7">
        <v>1</v>
      </c>
      <c r="P276" s="8">
        <v>45145.688634259262</v>
      </c>
      <c r="Q276" s="9">
        <v>45147</v>
      </c>
      <c r="R276" t="s">
        <v>37</v>
      </c>
      <c r="S276" t="s">
        <v>44</v>
      </c>
      <c r="T276" t="s">
        <v>53</v>
      </c>
      <c r="U276" t="s">
        <v>202</v>
      </c>
      <c r="V276" t="s">
        <v>496</v>
      </c>
      <c r="W276">
        <v>77200</v>
      </c>
      <c r="X276" t="s">
        <v>44</v>
      </c>
      <c r="Y276" t="s">
        <v>136</v>
      </c>
      <c r="Z276" t="s">
        <v>49</v>
      </c>
      <c r="AA276" s="10">
        <f>IF(O276&lt;=1,7,7+0.8*ROUNDUP(O276-1,0))</f>
        <v>7</v>
      </c>
      <c r="AB276" s="11">
        <v>0</v>
      </c>
      <c r="AC276" s="11">
        <v>0</v>
      </c>
      <c r="AD276" s="11">
        <v>0</v>
      </c>
      <c r="AE276" s="11">
        <v>0</v>
      </c>
      <c r="AF276" s="11">
        <f t="shared" si="10"/>
        <v>0.42</v>
      </c>
      <c r="AG276" s="11">
        <f t="shared" si="11"/>
        <v>7.42</v>
      </c>
      <c r="AH276" t="s">
        <v>50</v>
      </c>
    </row>
    <row r="277" spans="1:34" ht="15" customHeight="1" x14ac:dyDescent="0.35">
      <c r="A277">
        <v>7547676</v>
      </c>
      <c r="B277">
        <v>690929</v>
      </c>
      <c r="C277" t="s">
        <v>34</v>
      </c>
      <c r="D277" t="s">
        <v>35</v>
      </c>
      <c r="E277" s="6" t="s">
        <v>34</v>
      </c>
      <c r="F277" t="s">
        <v>973</v>
      </c>
      <c r="G277" t="s">
        <v>37</v>
      </c>
      <c r="H277" t="s">
        <v>38</v>
      </c>
      <c r="I277" t="s">
        <v>974</v>
      </c>
      <c r="J277" t="s">
        <v>40</v>
      </c>
      <c r="K277">
        <v>2</v>
      </c>
      <c r="L277" t="s">
        <v>41</v>
      </c>
      <c r="M277" t="s">
        <v>42</v>
      </c>
      <c r="N277" t="s">
        <v>43</v>
      </c>
      <c r="O277" s="7">
        <v>1</v>
      </c>
      <c r="P277" s="8">
        <v>45144.754849537036</v>
      </c>
      <c r="Q277" s="9">
        <v>45147</v>
      </c>
      <c r="R277" t="s">
        <v>37</v>
      </c>
      <c r="S277" t="s">
        <v>44</v>
      </c>
      <c r="T277" t="s">
        <v>53</v>
      </c>
      <c r="U277" t="s">
        <v>197</v>
      </c>
      <c r="V277" t="s">
        <v>975</v>
      </c>
      <c r="W277">
        <v>86400</v>
      </c>
      <c r="X277" t="s">
        <v>44</v>
      </c>
      <c r="Y277" t="s">
        <v>976</v>
      </c>
      <c r="Z277" t="s">
        <v>49</v>
      </c>
      <c r="AA277" s="10">
        <f>IF(O277&lt;=1,7,7+0.8*ROUNDUP(O277-1,0))</f>
        <v>7</v>
      </c>
      <c r="AB277" s="11">
        <v>0</v>
      </c>
      <c r="AC277" s="11">
        <v>0</v>
      </c>
      <c r="AD277" s="11">
        <v>0</v>
      </c>
      <c r="AE277" s="11">
        <v>0</v>
      </c>
      <c r="AF277" s="11">
        <f t="shared" si="10"/>
        <v>0.42</v>
      </c>
      <c r="AG277" s="11">
        <f t="shared" si="11"/>
        <v>7.42</v>
      </c>
      <c r="AH277" t="s">
        <v>50</v>
      </c>
    </row>
    <row r="278" spans="1:34" ht="15" customHeight="1" x14ac:dyDescent="0.35">
      <c r="A278">
        <v>7547676</v>
      </c>
      <c r="B278">
        <v>690929</v>
      </c>
      <c r="C278" t="s">
        <v>34</v>
      </c>
      <c r="D278" t="s">
        <v>35</v>
      </c>
      <c r="E278" s="6" t="s">
        <v>34</v>
      </c>
      <c r="F278" t="s">
        <v>977</v>
      </c>
      <c r="G278" t="s">
        <v>37</v>
      </c>
      <c r="H278" t="s">
        <v>38</v>
      </c>
      <c r="I278" t="s">
        <v>978</v>
      </c>
      <c r="J278" t="s">
        <v>40</v>
      </c>
      <c r="K278">
        <v>2</v>
      </c>
      <c r="L278" t="s">
        <v>41</v>
      </c>
      <c r="M278" t="s">
        <v>42</v>
      </c>
      <c r="N278" t="s">
        <v>43</v>
      </c>
      <c r="O278" s="7">
        <v>1</v>
      </c>
      <c r="P278" s="8">
        <v>45146.514861111114</v>
      </c>
      <c r="Q278" s="9">
        <v>45147</v>
      </c>
      <c r="R278" t="s">
        <v>37</v>
      </c>
      <c r="S278" t="s">
        <v>44</v>
      </c>
      <c r="T278" t="s">
        <v>53</v>
      </c>
      <c r="U278" t="s">
        <v>72</v>
      </c>
      <c r="V278" t="s">
        <v>979</v>
      </c>
      <c r="W278">
        <v>21700</v>
      </c>
      <c r="X278" t="s">
        <v>44</v>
      </c>
      <c r="Y278" t="s">
        <v>980</v>
      </c>
      <c r="Z278" t="s">
        <v>49</v>
      </c>
      <c r="AA278" s="10">
        <f>IF(O278&lt;=1,7,7+0.8*ROUNDUP(O278-1,0))</f>
        <v>7</v>
      </c>
      <c r="AB278" s="11">
        <v>0</v>
      </c>
      <c r="AC278" s="11">
        <v>0</v>
      </c>
      <c r="AD278" s="11">
        <v>0</v>
      </c>
      <c r="AE278" s="11">
        <v>0</v>
      </c>
      <c r="AF278" s="11">
        <f t="shared" si="10"/>
        <v>0.42</v>
      </c>
      <c r="AG278" s="11">
        <f t="shared" si="11"/>
        <v>7.42</v>
      </c>
      <c r="AH278" t="s">
        <v>50</v>
      </c>
    </row>
    <row r="279" spans="1:34" ht="15" customHeight="1" x14ac:dyDescent="0.35">
      <c r="A279">
        <v>7547676</v>
      </c>
      <c r="B279">
        <v>690929</v>
      </c>
      <c r="C279" t="s">
        <v>34</v>
      </c>
      <c r="D279" t="s">
        <v>35</v>
      </c>
      <c r="E279" s="6" t="s">
        <v>34</v>
      </c>
      <c r="F279" t="s">
        <v>981</v>
      </c>
      <c r="G279" t="s">
        <v>37</v>
      </c>
      <c r="H279" t="s">
        <v>38</v>
      </c>
      <c r="I279" t="s">
        <v>982</v>
      </c>
      <c r="J279" t="s">
        <v>40</v>
      </c>
      <c r="K279">
        <v>2</v>
      </c>
      <c r="L279" t="s">
        <v>41</v>
      </c>
      <c r="M279" t="s">
        <v>42</v>
      </c>
      <c r="N279" t="s">
        <v>43</v>
      </c>
      <c r="O279" s="7">
        <v>3</v>
      </c>
      <c r="P279" s="8">
        <v>45146.710543981484</v>
      </c>
      <c r="Q279" s="9">
        <v>45147</v>
      </c>
      <c r="R279" t="s">
        <v>37</v>
      </c>
      <c r="S279" t="s">
        <v>44</v>
      </c>
      <c r="T279" t="s">
        <v>53</v>
      </c>
      <c r="U279" t="s">
        <v>134</v>
      </c>
      <c r="V279" t="s">
        <v>983</v>
      </c>
      <c r="W279">
        <v>57000</v>
      </c>
      <c r="X279" t="s">
        <v>44</v>
      </c>
      <c r="Y279" t="s">
        <v>292</v>
      </c>
      <c r="Z279" t="s">
        <v>49</v>
      </c>
      <c r="AA279" s="10">
        <f>IF(O279&lt;=1,7,7+0.8*ROUNDUP(O279-1,0))</f>
        <v>8.6</v>
      </c>
      <c r="AB279" s="11">
        <v>0</v>
      </c>
      <c r="AC279" s="11">
        <v>0</v>
      </c>
      <c r="AD279" s="11">
        <v>0</v>
      </c>
      <c r="AE279" s="11">
        <v>0</v>
      </c>
      <c r="AF279" s="11">
        <f t="shared" si="10"/>
        <v>0.51600000000000001</v>
      </c>
      <c r="AG279" s="11">
        <f t="shared" si="11"/>
        <v>9.1159999999999997</v>
      </c>
      <c r="AH279" t="s">
        <v>50</v>
      </c>
    </row>
    <row r="280" spans="1:34" ht="15" customHeight="1" x14ac:dyDescent="0.35">
      <c r="A280">
        <v>7547676</v>
      </c>
      <c r="B280">
        <v>690929</v>
      </c>
      <c r="C280" t="s">
        <v>34</v>
      </c>
      <c r="D280" t="s">
        <v>35</v>
      </c>
      <c r="E280" s="6" t="s">
        <v>34</v>
      </c>
      <c r="F280" t="s">
        <v>984</v>
      </c>
      <c r="G280" t="s">
        <v>37</v>
      </c>
      <c r="H280" t="s">
        <v>38</v>
      </c>
      <c r="I280" t="s">
        <v>985</v>
      </c>
      <c r="J280" t="s">
        <v>40</v>
      </c>
      <c r="K280">
        <v>2</v>
      </c>
      <c r="L280" t="s">
        <v>41</v>
      </c>
      <c r="M280" t="s">
        <v>42</v>
      </c>
      <c r="N280" t="s">
        <v>43</v>
      </c>
      <c r="O280" s="7">
        <v>1</v>
      </c>
      <c r="P280" s="8">
        <v>45146.692685185182</v>
      </c>
      <c r="Q280" s="9">
        <v>45148</v>
      </c>
      <c r="R280" t="s">
        <v>37</v>
      </c>
      <c r="S280" t="s">
        <v>44</v>
      </c>
      <c r="T280" t="s">
        <v>53</v>
      </c>
      <c r="U280" t="s">
        <v>202</v>
      </c>
      <c r="V280" t="s">
        <v>986</v>
      </c>
      <c r="W280">
        <v>78300</v>
      </c>
      <c r="X280" t="s">
        <v>44</v>
      </c>
      <c r="Y280" t="s">
        <v>136</v>
      </c>
      <c r="Z280" t="s">
        <v>49</v>
      </c>
      <c r="AA280" s="10">
        <f>IF(O280&lt;=1,7,7+0.8*ROUNDUP(O280-1,0))</f>
        <v>7</v>
      </c>
      <c r="AB280" s="11">
        <v>0</v>
      </c>
      <c r="AC280" s="11">
        <v>0</v>
      </c>
      <c r="AD280" s="11">
        <v>0</v>
      </c>
      <c r="AE280" s="11">
        <v>0</v>
      </c>
      <c r="AF280" s="11">
        <f t="shared" si="10"/>
        <v>0.42</v>
      </c>
      <c r="AG280" s="11">
        <f t="shared" si="11"/>
        <v>7.42</v>
      </c>
      <c r="AH280" t="s">
        <v>50</v>
      </c>
    </row>
    <row r="281" spans="1:34" ht="15" customHeight="1" x14ac:dyDescent="0.35">
      <c r="A281">
        <v>7547676</v>
      </c>
      <c r="B281">
        <v>690929</v>
      </c>
      <c r="C281" t="s">
        <v>34</v>
      </c>
      <c r="D281" t="s">
        <v>35</v>
      </c>
      <c r="E281" s="6" t="s">
        <v>34</v>
      </c>
      <c r="F281" t="s">
        <v>987</v>
      </c>
      <c r="G281" t="s">
        <v>37</v>
      </c>
      <c r="H281" t="s">
        <v>38</v>
      </c>
      <c r="I281" t="s">
        <v>988</v>
      </c>
      <c r="J281" t="s">
        <v>40</v>
      </c>
      <c r="K281">
        <v>2</v>
      </c>
      <c r="L281" t="s">
        <v>41</v>
      </c>
      <c r="M281" t="s">
        <v>42</v>
      </c>
      <c r="N281" t="s">
        <v>43</v>
      </c>
      <c r="O281" s="7">
        <v>7</v>
      </c>
      <c r="P281" s="8">
        <v>45146.591400462959</v>
      </c>
      <c r="Q281" s="9">
        <v>45148</v>
      </c>
      <c r="R281" t="s">
        <v>37</v>
      </c>
      <c r="S281" t="s">
        <v>44</v>
      </c>
      <c r="T281" t="s">
        <v>53</v>
      </c>
      <c r="U281" t="s">
        <v>67</v>
      </c>
      <c r="V281" t="s">
        <v>989</v>
      </c>
      <c r="W281">
        <v>28400</v>
      </c>
      <c r="X281" t="s">
        <v>44</v>
      </c>
      <c r="Y281" t="s">
        <v>379</v>
      </c>
      <c r="Z281" t="s">
        <v>49</v>
      </c>
      <c r="AA281" s="10">
        <f>IF(O281&lt;=1,7,7+0.8*ROUNDUP(O281-1,0))</f>
        <v>11.8</v>
      </c>
      <c r="AB281" s="11">
        <v>0</v>
      </c>
      <c r="AC281" s="11">
        <v>0</v>
      </c>
      <c r="AD281" s="11">
        <v>0</v>
      </c>
      <c r="AE281" s="11">
        <v>0</v>
      </c>
      <c r="AF281" s="11">
        <f t="shared" si="10"/>
        <v>0.70799999999999996</v>
      </c>
      <c r="AG281" s="11">
        <f t="shared" si="11"/>
        <v>12.508000000000001</v>
      </c>
      <c r="AH281" t="s">
        <v>50</v>
      </c>
    </row>
    <row r="282" spans="1:34" ht="15" customHeight="1" x14ac:dyDescent="0.35">
      <c r="A282">
        <v>7547676</v>
      </c>
      <c r="B282">
        <v>690929</v>
      </c>
      <c r="C282" t="s">
        <v>34</v>
      </c>
      <c r="D282" t="s">
        <v>35</v>
      </c>
      <c r="E282" s="6" t="s">
        <v>34</v>
      </c>
      <c r="F282" t="s">
        <v>990</v>
      </c>
      <c r="G282" t="s">
        <v>37</v>
      </c>
      <c r="H282" t="s">
        <v>38</v>
      </c>
      <c r="I282" t="s">
        <v>991</v>
      </c>
      <c r="J282" t="s">
        <v>40</v>
      </c>
      <c r="K282">
        <v>2</v>
      </c>
      <c r="L282" t="s">
        <v>41</v>
      </c>
      <c r="M282" t="s">
        <v>42</v>
      </c>
      <c r="N282" t="s">
        <v>43</v>
      </c>
      <c r="O282" s="7">
        <v>4</v>
      </c>
      <c r="P282" s="8">
        <v>45146.597453703704</v>
      </c>
      <c r="Q282" s="9">
        <v>45148</v>
      </c>
      <c r="R282" t="s">
        <v>37</v>
      </c>
      <c r="S282" t="s">
        <v>44</v>
      </c>
      <c r="T282" t="s">
        <v>53</v>
      </c>
      <c r="U282" t="s">
        <v>67</v>
      </c>
      <c r="V282" t="s">
        <v>992</v>
      </c>
      <c r="W282">
        <v>28700</v>
      </c>
      <c r="X282" t="s">
        <v>44</v>
      </c>
      <c r="Y282" t="s">
        <v>993</v>
      </c>
      <c r="Z282" t="s">
        <v>49</v>
      </c>
      <c r="AA282" s="10">
        <f>IF(O282&lt;=1,7,7+0.8*ROUNDUP(O282-1,0))</f>
        <v>9.4</v>
      </c>
      <c r="AB282" s="11">
        <v>0</v>
      </c>
      <c r="AC282" s="11">
        <v>0</v>
      </c>
      <c r="AD282" s="11">
        <v>0</v>
      </c>
      <c r="AE282" s="11">
        <v>0</v>
      </c>
      <c r="AF282" s="11">
        <f t="shared" si="10"/>
        <v>0.56399999999999995</v>
      </c>
      <c r="AG282" s="11">
        <f t="shared" si="11"/>
        <v>9.9640000000000004</v>
      </c>
      <c r="AH282" t="s">
        <v>50</v>
      </c>
    </row>
    <row r="283" spans="1:34" ht="15" customHeight="1" x14ac:dyDescent="0.35">
      <c r="A283">
        <v>7547676</v>
      </c>
      <c r="B283">
        <v>690929</v>
      </c>
      <c r="C283" t="s">
        <v>34</v>
      </c>
      <c r="D283" t="s">
        <v>35</v>
      </c>
      <c r="E283" s="6" t="s">
        <v>34</v>
      </c>
      <c r="F283" t="s">
        <v>994</v>
      </c>
      <c r="G283" t="s">
        <v>37</v>
      </c>
      <c r="H283" t="s">
        <v>38</v>
      </c>
      <c r="I283" t="s">
        <v>995</v>
      </c>
      <c r="J283" t="s">
        <v>40</v>
      </c>
      <c r="K283">
        <v>2</v>
      </c>
      <c r="L283" t="s">
        <v>41</v>
      </c>
      <c r="M283" t="s">
        <v>42</v>
      </c>
      <c r="N283" t="s">
        <v>43</v>
      </c>
      <c r="O283" s="7">
        <v>7</v>
      </c>
      <c r="P283" s="8">
        <v>45146.597488425927</v>
      </c>
      <c r="Q283" s="9">
        <v>45148</v>
      </c>
      <c r="R283" t="s">
        <v>37</v>
      </c>
      <c r="S283" t="s">
        <v>44</v>
      </c>
      <c r="T283" t="s">
        <v>53</v>
      </c>
      <c r="U283" t="s">
        <v>81</v>
      </c>
      <c r="V283" t="s">
        <v>996</v>
      </c>
      <c r="W283">
        <v>36400</v>
      </c>
      <c r="X283" t="s">
        <v>44</v>
      </c>
      <c r="Y283" t="s">
        <v>83</v>
      </c>
      <c r="Z283" t="s">
        <v>49</v>
      </c>
      <c r="AA283" s="10">
        <f>IF(O283&lt;=1,7,7+0.8*ROUNDUP(O283-1,0))</f>
        <v>11.8</v>
      </c>
      <c r="AB283" s="11">
        <v>0</v>
      </c>
      <c r="AC283" s="11">
        <v>0</v>
      </c>
      <c r="AD283" s="11">
        <v>0</v>
      </c>
      <c r="AE283" s="11">
        <v>0</v>
      </c>
      <c r="AF283" s="11">
        <f t="shared" si="10"/>
        <v>0.70799999999999996</v>
      </c>
      <c r="AG283" s="11">
        <f t="shared" si="11"/>
        <v>12.508000000000001</v>
      </c>
      <c r="AH283" t="s">
        <v>50</v>
      </c>
    </row>
    <row r="284" spans="1:34" ht="15" customHeight="1" x14ac:dyDescent="0.35">
      <c r="A284">
        <v>7547676</v>
      </c>
      <c r="B284">
        <v>690929</v>
      </c>
      <c r="C284" t="s">
        <v>34</v>
      </c>
      <c r="D284" t="s">
        <v>35</v>
      </c>
      <c r="E284" s="6" t="s">
        <v>34</v>
      </c>
      <c r="F284" t="s">
        <v>997</v>
      </c>
      <c r="G284" t="s">
        <v>37</v>
      </c>
      <c r="H284" t="s">
        <v>38</v>
      </c>
      <c r="I284" t="s">
        <v>998</v>
      </c>
      <c r="J284" t="s">
        <v>40</v>
      </c>
      <c r="K284">
        <v>2</v>
      </c>
      <c r="L284" t="s">
        <v>41</v>
      </c>
      <c r="M284" t="s">
        <v>42</v>
      </c>
      <c r="N284" t="s">
        <v>43</v>
      </c>
      <c r="O284" s="7">
        <v>1</v>
      </c>
      <c r="P284" s="8">
        <v>45146.423125000001</v>
      </c>
      <c r="Q284" s="9">
        <v>45148</v>
      </c>
      <c r="R284" t="s">
        <v>37</v>
      </c>
      <c r="S284" t="s">
        <v>44</v>
      </c>
      <c r="T284" t="s">
        <v>53</v>
      </c>
      <c r="U284" t="s">
        <v>612</v>
      </c>
      <c r="V284" t="s">
        <v>999</v>
      </c>
      <c r="W284">
        <v>2600</v>
      </c>
      <c r="X284" t="s">
        <v>44</v>
      </c>
      <c r="Y284" t="s">
        <v>136</v>
      </c>
      <c r="Z284" t="s">
        <v>49</v>
      </c>
      <c r="AA284" s="10">
        <f>IF(O284&lt;=1,7,7+0.8*ROUNDUP(O284-1,0))</f>
        <v>7</v>
      </c>
      <c r="AB284" s="11">
        <v>0</v>
      </c>
      <c r="AC284" s="11">
        <v>0</v>
      </c>
      <c r="AD284" s="11">
        <v>0</v>
      </c>
      <c r="AE284" s="11">
        <v>0</v>
      </c>
      <c r="AF284" s="11">
        <f t="shared" si="10"/>
        <v>0.42</v>
      </c>
      <c r="AG284" s="11">
        <f t="shared" si="11"/>
        <v>7.42</v>
      </c>
      <c r="AH284" t="s">
        <v>50</v>
      </c>
    </row>
    <row r="285" spans="1:34" ht="15" customHeight="1" x14ac:dyDescent="0.35">
      <c r="A285">
        <v>7547676</v>
      </c>
      <c r="B285">
        <v>690929</v>
      </c>
      <c r="C285" t="s">
        <v>34</v>
      </c>
      <c r="D285" t="s">
        <v>35</v>
      </c>
      <c r="E285" s="6" t="s">
        <v>34</v>
      </c>
      <c r="F285" t="s">
        <v>1000</v>
      </c>
      <c r="G285" t="s">
        <v>37</v>
      </c>
      <c r="H285" t="s">
        <v>38</v>
      </c>
      <c r="I285" t="s">
        <v>1001</v>
      </c>
      <c r="J285" t="s">
        <v>40</v>
      </c>
      <c r="K285">
        <v>2</v>
      </c>
      <c r="L285" t="s">
        <v>41</v>
      </c>
      <c r="M285" t="s">
        <v>42</v>
      </c>
      <c r="N285" t="s">
        <v>43</v>
      </c>
      <c r="O285" s="7">
        <v>2</v>
      </c>
      <c r="P285" s="8">
        <v>45147.453634259262</v>
      </c>
      <c r="Q285" s="9">
        <v>45148</v>
      </c>
      <c r="R285" t="s">
        <v>37</v>
      </c>
      <c r="S285" t="s">
        <v>44</v>
      </c>
      <c r="T285" t="s">
        <v>53</v>
      </c>
      <c r="U285" t="s">
        <v>54</v>
      </c>
      <c r="V285" t="s">
        <v>1002</v>
      </c>
      <c r="W285">
        <v>40000</v>
      </c>
      <c r="X285" t="s">
        <v>44</v>
      </c>
      <c r="Y285" t="s">
        <v>1003</v>
      </c>
      <c r="Z285" t="s">
        <v>49</v>
      </c>
      <c r="AA285" s="10">
        <f>IF(O285&lt;=1,7,7+0.8*ROUNDUP(O285-1,0))</f>
        <v>7.8</v>
      </c>
      <c r="AB285" s="11">
        <v>0</v>
      </c>
      <c r="AC285" s="11">
        <v>0</v>
      </c>
      <c r="AD285" s="11">
        <v>0</v>
      </c>
      <c r="AE285" s="11">
        <v>0</v>
      </c>
      <c r="AF285" s="11">
        <f t="shared" si="10"/>
        <v>0.46799999999999997</v>
      </c>
      <c r="AG285" s="11">
        <f t="shared" si="11"/>
        <v>8.2680000000000007</v>
      </c>
      <c r="AH285" t="s">
        <v>50</v>
      </c>
    </row>
    <row r="286" spans="1:34" ht="15" customHeight="1" x14ac:dyDescent="0.35">
      <c r="A286">
        <v>7547676</v>
      </c>
      <c r="B286">
        <v>690929</v>
      </c>
      <c r="C286" t="s">
        <v>34</v>
      </c>
      <c r="D286" t="s">
        <v>35</v>
      </c>
      <c r="E286" s="6" t="s">
        <v>34</v>
      </c>
      <c r="F286" t="s">
        <v>1004</v>
      </c>
      <c r="G286" t="s">
        <v>37</v>
      </c>
      <c r="H286" t="s">
        <v>38</v>
      </c>
      <c r="I286" t="s">
        <v>1005</v>
      </c>
      <c r="J286" t="s">
        <v>40</v>
      </c>
      <c r="K286">
        <v>2</v>
      </c>
      <c r="L286" t="s">
        <v>41</v>
      </c>
      <c r="M286" t="s">
        <v>42</v>
      </c>
      <c r="N286" t="s">
        <v>43</v>
      </c>
      <c r="O286" s="7">
        <v>1</v>
      </c>
      <c r="P286" s="8">
        <v>45146.592523148145</v>
      </c>
      <c r="Q286" s="9">
        <v>45148</v>
      </c>
      <c r="R286" t="s">
        <v>37</v>
      </c>
      <c r="S286" t="s">
        <v>44</v>
      </c>
      <c r="T286" t="s">
        <v>53</v>
      </c>
      <c r="U286" t="s">
        <v>72</v>
      </c>
      <c r="V286" t="s">
        <v>1006</v>
      </c>
      <c r="W286">
        <v>23200</v>
      </c>
      <c r="X286" t="s">
        <v>44</v>
      </c>
      <c r="Y286" t="s">
        <v>1007</v>
      </c>
      <c r="Z286" t="s">
        <v>49</v>
      </c>
      <c r="AA286" s="10">
        <f>IF(O286&lt;=1,7,7+0.8*ROUNDUP(O286-1,0))</f>
        <v>7</v>
      </c>
      <c r="AB286" s="11">
        <v>0</v>
      </c>
      <c r="AC286" s="11">
        <v>0</v>
      </c>
      <c r="AD286" s="11">
        <v>0</v>
      </c>
      <c r="AE286" s="11">
        <v>0</v>
      </c>
      <c r="AF286" s="11">
        <f t="shared" si="10"/>
        <v>0.42</v>
      </c>
      <c r="AG286" s="11">
        <f t="shared" si="11"/>
        <v>7.42</v>
      </c>
      <c r="AH286" t="s">
        <v>50</v>
      </c>
    </row>
    <row r="287" spans="1:34" ht="15" customHeight="1" x14ac:dyDescent="0.35">
      <c r="A287">
        <v>7547676</v>
      </c>
      <c r="B287">
        <v>690929</v>
      </c>
      <c r="C287" t="s">
        <v>34</v>
      </c>
      <c r="D287" t="s">
        <v>35</v>
      </c>
      <c r="E287" s="6" t="s">
        <v>34</v>
      </c>
      <c r="F287" t="s">
        <v>1008</v>
      </c>
      <c r="G287" t="s">
        <v>37</v>
      </c>
      <c r="H287" t="s">
        <v>38</v>
      </c>
      <c r="I287" t="s">
        <v>1009</v>
      </c>
      <c r="J287" t="s">
        <v>40</v>
      </c>
      <c r="K287">
        <v>2</v>
      </c>
      <c r="L287" t="s">
        <v>41</v>
      </c>
      <c r="M287" t="s">
        <v>42</v>
      </c>
      <c r="N287" t="s">
        <v>43</v>
      </c>
      <c r="O287" s="7">
        <v>1</v>
      </c>
      <c r="P287" s="8">
        <v>45146.584756944445</v>
      </c>
      <c r="Q287" s="9">
        <v>45148</v>
      </c>
      <c r="R287" t="s">
        <v>37</v>
      </c>
      <c r="S287" t="s">
        <v>44</v>
      </c>
      <c r="T287" t="s">
        <v>53</v>
      </c>
      <c r="U287" t="s">
        <v>54</v>
      </c>
      <c r="V287" t="s">
        <v>1010</v>
      </c>
      <c r="W287">
        <v>68000</v>
      </c>
      <c r="X287" t="s">
        <v>44</v>
      </c>
      <c r="Y287" t="s">
        <v>53</v>
      </c>
      <c r="Z287" t="s">
        <v>49</v>
      </c>
      <c r="AA287" s="10">
        <f>IF(O287&lt;=1,7,7+0.8*ROUNDUP(O287-1,0))</f>
        <v>7</v>
      </c>
      <c r="AB287" s="11">
        <v>0</v>
      </c>
      <c r="AC287" s="11">
        <v>0</v>
      </c>
      <c r="AD287" s="11">
        <v>0</v>
      </c>
      <c r="AE287" s="11">
        <v>0</v>
      </c>
      <c r="AF287" s="11">
        <f t="shared" si="10"/>
        <v>0.42</v>
      </c>
      <c r="AG287" s="11">
        <f t="shared" si="11"/>
        <v>7.42</v>
      </c>
      <c r="AH287" t="s">
        <v>50</v>
      </c>
    </row>
    <row r="288" spans="1:34" ht="15" customHeight="1" x14ac:dyDescent="0.35">
      <c r="A288">
        <v>7547676</v>
      </c>
      <c r="B288">
        <v>690929</v>
      </c>
      <c r="C288" t="s">
        <v>34</v>
      </c>
      <c r="D288" t="s">
        <v>35</v>
      </c>
      <c r="E288" s="6" t="s">
        <v>34</v>
      </c>
      <c r="F288" t="s">
        <v>1011</v>
      </c>
      <c r="G288" t="s">
        <v>37</v>
      </c>
      <c r="H288" t="s">
        <v>38</v>
      </c>
      <c r="I288" t="s">
        <v>1012</v>
      </c>
      <c r="J288" t="s">
        <v>40</v>
      </c>
      <c r="K288">
        <v>2</v>
      </c>
      <c r="L288" t="s">
        <v>41</v>
      </c>
      <c r="M288" t="s">
        <v>42</v>
      </c>
      <c r="N288" t="s">
        <v>43</v>
      </c>
      <c r="O288" s="7">
        <v>1</v>
      </c>
      <c r="P288" s="8">
        <v>45146.67386574074</v>
      </c>
      <c r="Q288" s="9">
        <v>45148</v>
      </c>
      <c r="R288" t="s">
        <v>37</v>
      </c>
      <c r="S288" t="s">
        <v>44</v>
      </c>
      <c r="T288" t="s">
        <v>53</v>
      </c>
      <c r="U288" t="s">
        <v>54</v>
      </c>
      <c r="V288" t="s">
        <v>1013</v>
      </c>
      <c r="W288">
        <v>42700</v>
      </c>
      <c r="X288" t="s">
        <v>44</v>
      </c>
      <c r="Y288" t="s">
        <v>53</v>
      </c>
      <c r="Z288" t="s">
        <v>49</v>
      </c>
      <c r="AA288" s="10">
        <f>IF(O288&lt;=1,7,7+0.8*ROUNDUP(O288-1,0))</f>
        <v>7</v>
      </c>
      <c r="AB288" s="11">
        <v>0</v>
      </c>
      <c r="AC288" s="11">
        <v>0</v>
      </c>
      <c r="AD288" s="11">
        <v>0</v>
      </c>
      <c r="AE288" s="11">
        <v>0</v>
      </c>
      <c r="AF288" s="11">
        <f t="shared" si="10"/>
        <v>0.42</v>
      </c>
      <c r="AG288" s="11">
        <f t="shared" si="11"/>
        <v>7.42</v>
      </c>
      <c r="AH288" t="s">
        <v>50</v>
      </c>
    </row>
    <row r="289" spans="1:34" ht="15" customHeight="1" x14ac:dyDescent="0.35">
      <c r="A289">
        <v>7547676</v>
      </c>
      <c r="B289">
        <v>690929</v>
      </c>
      <c r="C289" t="s">
        <v>34</v>
      </c>
      <c r="D289" t="s">
        <v>35</v>
      </c>
      <c r="E289" s="6" t="s">
        <v>34</v>
      </c>
      <c r="F289" t="s">
        <v>1014</v>
      </c>
      <c r="G289" t="s">
        <v>37</v>
      </c>
      <c r="H289" t="s">
        <v>38</v>
      </c>
      <c r="I289" t="s">
        <v>1015</v>
      </c>
      <c r="J289" t="s">
        <v>40</v>
      </c>
      <c r="K289">
        <v>2</v>
      </c>
      <c r="L289" t="s">
        <v>41</v>
      </c>
      <c r="M289" t="s">
        <v>42</v>
      </c>
      <c r="N289" t="s">
        <v>43</v>
      </c>
      <c r="O289" s="7">
        <v>1</v>
      </c>
      <c r="P289" s="8">
        <v>45146.69263888889</v>
      </c>
      <c r="Q289" s="9">
        <v>45148</v>
      </c>
      <c r="R289" t="s">
        <v>37</v>
      </c>
      <c r="S289" t="s">
        <v>44</v>
      </c>
      <c r="T289" t="s">
        <v>53</v>
      </c>
      <c r="U289" t="s">
        <v>54</v>
      </c>
      <c r="V289" t="s">
        <v>1016</v>
      </c>
      <c r="W289">
        <v>68000</v>
      </c>
      <c r="X289" t="s">
        <v>44</v>
      </c>
      <c r="Y289" t="s">
        <v>53</v>
      </c>
      <c r="Z289" t="s">
        <v>49</v>
      </c>
      <c r="AA289" s="10">
        <f>IF(O289&lt;=1,7,7+0.8*ROUNDUP(O289-1,0))</f>
        <v>7</v>
      </c>
      <c r="AB289" s="11">
        <v>0</v>
      </c>
      <c r="AC289" s="11">
        <v>0</v>
      </c>
      <c r="AD289" s="11">
        <v>0</v>
      </c>
      <c r="AE289" s="11">
        <v>0</v>
      </c>
      <c r="AF289" s="11">
        <f t="shared" si="10"/>
        <v>0.42</v>
      </c>
      <c r="AG289" s="11">
        <f t="shared" si="11"/>
        <v>7.42</v>
      </c>
      <c r="AH289" t="s">
        <v>50</v>
      </c>
    </row>
    <row r="290" spans="1:34" ht="15" customHeight="1" x14ac:dyDescent="0.35">
      <c r="A290">
        <v>7547676</v>
      </c>
      <c r="B290">
        <v>690929</v>
      </c>
      <c r="C290" t="s">
        <v>34</v>
      </c>
      <c r="D290" t="s">
        <v>35</v>
      </c>
      <c r="E290" s="6" t="s">
        <v>34</v>
      </c>
      <c r="F290" t="s">
        <v>1017</v>
      </c>
      <c r="G290" t="s">
        <v>37</v>
      </c>
      <c r="H290" t="s">
        <v>38</v>
      </c>
      <c r="I290" t="s">
        <v>1018</v>
      </c>
      <c r="J290" t="s">
        <v>40</v>
      </c>
      <c r="K290">
        <v>2</v>
      </c>
      <c r="L290" t="s">
        <v>41</v>
      </c>
      <c r="M290" t="s">
        <v>42</v>
      </c>
      <c r="N290" t="s">
        <v>43</v>
      </c>
      <c r="O290" s="7">
        <v>1</v>
      </c>
      <c r="P290" s="8">
        <v>45144.730347222219</v>
      </c>
      <c r="Q290" s="9">
        <v>45148</v>
      </c>
      <c r="R290" t="s">
        <v>37</v>
      </c>
      <c r="S290" t="s">
        <v>44</v>
      </c>
      <c r="T290" t="s">
        <v>53</v>
      </c>
      <c r="U290" t="s">
        <v>440</v>
      </c>
      <c r="V290" t="s">
        <v>1019</v>
      </c>
      <c r="W290">
        <v>91100</v>
      </c>
      <c r="X290" t="s">
        <v>194</v>
      </c>
      <c r="Y290" t="s">
        <v>136</v>
      </c>
      <c r="Z290" t="s">
        <v>49</v>
      </c>
      <c r="AA290" s="12">
        <f>IF(O290&lt;=1,13,IF(O290&lt;=2,23,IF(O290&lt;=3,35,IF(O290&lt;=4,43,IF(O290&lt;=5,53,IF(O290&lt;=6,63,IF(O290&lt;=7,71,IF(O290&lt;=8,79,IF(O290&lt;=9,87,IF(O290&lt;=10,95,IF(O290&lt;=11,105,IF(O290&lt;=12,114,IF(O290&lt;=13,119,IF(O290&lt;=14,127,IF(O290&lt;=15,135,IF(O290&lt;=16,143,IF(O290&lt;=17,153,IF(O290&lt;=18,163,IF(O290&lt;=19,171,IF(O290&lt;=20,185,IF(O290&lt;=21,193,IF(O290&lt;=22,201,IF(O290&lt;=23,210,IF(O290&lt;=24,220,IF(O290&lt;=25,230,IF(O290&lt;=26,240,IF(O290&lt;=27,250,IF(O290&lt;=28,260,IF(O290&lt;=29,270,IF(O290&lt;=30,280,280+10*ROUNDUP(O290-30,0)))))))))))))))))))))))))))))))</f>
        <v>13</v>
      </c>
      <c r="AB290" s="11">
        <v>0</v>
      </c>
      <c r="AC290" s="11">
        <v>0</v>
      </c>
      <c r="AD290" s="11">
        <v>0</v>
      </c>
      <c r="AE290" s="11">
        <v>0</v>
      </c>
      <c r="AF290" s="11">
        <f t="shared" si="10"/>
        <v>0.78</v>
      </c>
      <c r="AG290" s="11">
        <f t="shared" si="11"/>
        <v>13.78</v>
      </c>
      <c r="AH290" t="s">
        <v>194</v>
      </c>
    </row>
    <row r="291" spans="1:34" ht="15" customHeight="1" x14ac:dyDescent="0.35">
      <c r="A291">
        <v>7547676</v>
      </c>
      <c r="B291">
        <v>690929</v>
      </c>
      <c r="C291" t="s">
        <v>34</v>
      </c>
      <c r="D291" t="s">
        <v>35</v>
      </c>
      <c r="E291" s="6" t="s">
        <v>34</v>
      </c>
      <c r="F291" t="s">
        <v>1020</v>
      </c>
      <c r="G291" t="s">
        <v>37</v>
      </c>
      <c r="H291" t="s">
        <v>38</v>
      </c>
      <c r="I291" t="s">
        <v>1021</v>
      </c>
      <c r="J291" t="s">
        <v>40</v>
      </c>
      <c r="K291">
        <v>2</v>
      </c>
      <c r="L291" t="s">
        <v>41</v>
      </c>
      <c r="M291" t="s">
        <v>42</v>
      </c>
      <c r="N291" t="s">
        <v>43</v>
      </c>
      <c r="O291" s="7">
        <v>14</v>
      </c>
      <c r="P291" s="8">
        <v>45146.597349537034</v>
      </c>
      <c r="Q291" s="9">
        <v>45148</v>
      </c>
      <c r="R291" t="s">
        <v>37</v>
      </c>
      <c r="S291" t="s">
        <v>44</v>
      </c>
      <c r="T291" t="s">
        <v>53</v>
      </c>
      <c r="U291" t="s">
        <v>202</v>
      </c>
      <c r="V291" t="s">
        <v>1022</v>
      </c>
      <c r="W291">
        <v>75460</v>
      </c>
      <c r="X291" t="s">
        <v>44</v>
      </c>
      <c r="Y291" t="s">
        <v>1023</v>
      </c>
      <c r="Z291" t="s">
        <v>49</v>
      </c>
      <c r="AA291" s="10">
        <f>IF(O291&lt;=1,7,7+0.8*ROUNDUP(O291-1,0))</f>
        <v>17.399999999999999</v>
      </c>
      <c r="AB291" s="11">
        <v>0</v>
      </c>
      <c r="AC291" s="11">
        <v>0</v>
      </c>
      <c r="AD291" s="11">
        <v>0</v>
      </c>
      <c r="AE291" s="11">
        <v>0</v>
      </c>
      <c r="AF291" s="11">
        <f t="shared" si="10"/>
        <v>1.0439999999999998</v>
      </c>
      <c r="AG291" s="11">
        <f t="shared" si="11"/>
        <v>18.443999999999999</v>
      </c>
      <c r="AH291" t="s">
        <v>50</v>
      </c>
    </row>
    <row r="292" spans="1:34" ht="15" customHeight="1" x14ac:dyDescent="0.35">
      <c r="A292">
        <v>7547676</v>
      </c>
      <c r="B292">
        <v>690929</v>
      </c>
      <c r="C292" t="s">
        <v>34</v>
      </c>
      <c r="D292" t="s">
        <v>35</v>
      </c>
      <c r="E292" s="6" t="s">
        <v>34</v>
      </c>
      <c r="F292" t="s">
        <v>1024</v>
      </c>
      <c r="G292" t="s">
        <v>37</v>
      </c>
      <c r="H292" t="s">
        <v>38</v>
      </c>
      <c r="I292" t="s">
        <v>1025</v>
      </c>
      <c r="J292" t="s">
        <v>40</v>
      </c>
      <c r="K292">
        <v>2</v>
      </c>
      <c r="L292" t="s">
        <v>41</v>
      </c>
      <c r="M292" t="s">
        <v>42</v>
      </c>
      <c r="N292" t="s">
        <v>43</v>
      </c>
      <c r="O292" s="7">
        <v>1</v>
      </c>
      <c r="P292" s="8">
        <v>45146.591331018521</v>
      </c>
      <c r="Q292" s="9">
        <v>45148</v>
      </c>
      <c r="R292" t="s">
        <v>37</v>
      </c>
      <c r="S292" t="s">
        <v>44</v>
      </c>
      <c r="T292" t="s">
        <v>53</v>
      </c>
      <c r="U292" t="s">
        <v>54</v>
      </c>
      <c r="V292" t="s">
        <v>1026</v>
      </c>
      <c r="W292">
        <v>68100</v>
      </c>
      <c r="X292" t="s">
        <v>44</v>
      </c>
      <c r="Y292" t="s">
        <v>53</v>
      </c>
      <c r="Z292" t="s">
        <v>49</v>
      </c>
      <c r="AA292" s="10">
        <f>IF(O292&lt;=1,7,7+0.8*ROUNDUP(O292-1,0))</f>
        <v>7</v>
      </c>
      <c r="AB292" s="11">
        <v>0</v>
      </c>
      <c r="AC292" s="11">
        <v>0</v>
      </c>
      <c r="AD292" s="11">
        <v>0</v>
      </c>
      <c r="AE292" s="11">
        <v>0</v>
      </c>
      <c r="AF292" s="11">
        <f t="shared" si="10"/>
        <v>0.42</v>
      </c>
      <c r="AG292" s="11">
        <f t="shared" si="11"/>
        <v>7.42</v>
      </c>
      <c r="AH292" t="s">
        <v>50</v>
      </c>
    </row>
    <row r="293" spans="1:34" ht="15" customHeight="1" x14ac:dyDescent="0.35">
      <c r="A293">
        <v>7547676</v>
      </c>
      <c r="B293">
        <v>690929</v>
      </c>
      <c r="C293" t="s">
        <v>34</v>
      </c>
      <c r="D293" t="s">
        <v>35</v>
      </c>
      <c r="E293" s="6" t="s">
        <v>34</v>
      </c>
      <c r="F293" t="s">
        <v>1027</v>
      </c>
      <c r="G293" t="s">
        <v>37</v>
      </c>
      <c r="H293" t="s">
        <v>38</v>
      </c>
      <c r="I293" t="s">
        <v>1028</v>
      </c>
      <c r="J293" t="s">
        <v>40</v>
      </c>
      <c r="K293">
        <v>2</v>
      </c>
      <c r="L293" t="s">
        <v>41</v>
      </c>
      <c r="M293" t="s">
        <v>42</v>
      </c>
      <c r="N293" t="s">
        <v>43</v>
      </c>
      <c r="O293" s="7">
        <v>1</v>
      </c>
      <c r="P293" s="8">
        <v>45147.478587962964</v>
      </c>
      <c r="Q293" s="9">
        <v>45148</v>
      </c>
      <c r="R293" t="s">
        <v>37</v>
      </c>
      <c r="S293" t="s">
        <v>44</v>
      </c>
      <c r="T293" t="s">
        <v>53</v>
      </c>
      <c r="U293" t="s">
        <v>202</v>
      </c>
      <c r="V293" t="s">
        <v>1029</v>
      </c>
      <c r="W293">
        <v>73000</v>
      </c>
      <c r="X293" t="s">
        <v>44</v>
      </c>
      <c r="Y293" t="s">
        <v>446</v>
      </c>
      <c r="Z293" t="s">
        <v>49</v>
      </c>
      <c r="AA293" s="10">
        <f>IF(O293&lt;=1,7,7+0.8*ROUNDUP(O293-1,0))</f>
        <v>7</v>
      </c>
      <c r="AB293" s="11">
        <v>0</v>
      </c>
      <c r="AC293" s="11">
        <v>0</v>
      </c>
      <c r="AD293" s="11">
        <v>0</v>
      </c>
      <c r="AE293" s="11">
        <v>0</v>
      </c>
      <c r="AF293" s="11">
        <f t="shared" si="10"/>
        <v>0.42</v>
      </c>
      <c r="AG293" s="11">
        <f t="shared" si="11"/>
        <v>7.42</v>
      </c>
      <c r="AH293" t="s">
        <v>50</v>
      </c>
    </row>
    <row r="294" spans="1:34" ht="15" customHeight="1" x14ac:dyDescent="0.35">
      <c r="A294">
        <v>7547676</v>
      </c>
      <c r="B294">
        <v>690929</v>
      </c>
      <c r="C294" t="s">
        <v>34</v>
      </c>
      <c r="D294" t="s">
        <v>35</v>
      </c>
      <c r="E294" s="6" t="s">
        <v>34</v>
      </c>
      <c r="F294" t="s">
        <v>1030</v>
      </c>
      <c r="G294" t="s">
        <v>37</v>
      </c>
      <c r="H294" t="s">
        <v>38</v>
      </c>
      <c r="I294" t="s">
        <v>1031</v>
      </c>
      <c r="J294" t="s">
        <v>40</v>
      </c>
      <c r="K294">
        <v>2</v>
      </c>
      <c r="L294" t="s">
        <v>41</v>
      </c>
      <c r="M294" t="s">
        <v>42</v>
      </c>
      <c r="N294" t="s">
        <v>43</v>
      </c>
      <c r="O294" s="7">
        <v>2</v>
      </c>
      <c r="P294" s="8">
        <v>45148.726215277777</v>
      </c>
      <c r="Q294" s="9">
        <v>45149</v>
      </c>
      <c r="R294" t="s">
        <v>37</v>
      </c>
      <c r="S294" t="s">
        <v>44</v>
      </c>
      <c r="T294" t="s">
        <v>53</v>
      </c>
      <c r="U294" t="s">
        <v>134</v>
      </c>
      <c r="V294" t="s">
        <v>1032</v>
      </c>
      <c r="W294">
        <v>51000</v>
      </c>
      <c r="X294" t="s">
        <v>44</v>
      </c>
      <c r="Y294" t="s">
        <v>136</v>
      </c>
      <c r="Z294" t="s">
        <v>49</v>
      </c>
      <c r="AA294" s="10">
        <f>IF(O294&lt;=1,7,7+0.8*ROUNDUP(O294-1,0))</f>
        <v>7.8</v>
      </c>
      <c r="AB294" s="11">
        <v>0</v>
      </c>
      <c r="AC294" s="11">
        <v>0</v>
      </c>
      <c r="AD294" s="11">
        <v>0</v>
      </c>
      <c r="AE294" s="11">
        <v>0</v>
      </c>
      <c r="AF294" s="11">
        <f t="shared" si="10"/>
        <v>0.46799999999999997</v>
      </c>
      <c r="AG294" s="11">
        <f t="shared" si="11"/>
        <v>8.2680000000000007</v>
      </c>
      <c r="AH294" t="s">
        <v>50</v>
      </c>
    </row>
    <row r="295" spans="1:34" ht="15" customHeight="1" x14ac:dyDescent="0.35">
      <c r="A295">
        <v>7547676</v>
      </c>
      <c r="B295">
        <v>690929</v>
      </c>
      <c r="C295" t="s">
        <v>34</v>
      </c>
      <c r="D295" t="s">
        <v>35</v>
      </c>
      <c r="E295" s="6" t="s">
        <v>34</v>
      </c>
      <c r="F295" t="s">
        <v>1033</v>
      </c>
      <c r="G295" t="s">
        <v>37</v>
      </c>
      <c r="H295" t="s">
        <v>38</v>
      </c>
      <c r="I295" t="s">
        <v>1034</v>
      </c>
      <c r="J295" t="s">
        <v>40</v>
      </c>
      <c r="K295">
        <v>2</v>
      </c>
      <c r="L295" t="s">
        <v>41</v>
      </c>
      <c r="M295" t="s">
        <v>42</v>
      </c>
      <c r="N295" t="s">
        <v>43</v>
      </c>
      <c r="O295" s="7">
        <v>1</v>
      </c>
      <c r="P295" s="8">
        <v>45148.722453703704</v>
      </c>
      <c r="Q295" s="9">
        <v>45149</v>
      </c>
      <c r="R295" t="s">
        <v>37</v>
      </c>
      <c r="S295" t="s">
        <v>44</v>
      </c>
      <c r="T295" t="s">
        <v>53</v>
      </c>
      <c r="U295" t="s">
        <v>72</v>
      </c>
      <c r="V295" t="s">
        <v>1035</v>
      </c>
      <c r="W295">
        <v>23200</v>
      </c>
      <c r="X295" t="s">
        <v>44</v>
      </c>
      <c r="Y295" t="s">
        <v>980</v>
      </c>
      <c r="Z295" t="s">
        <v>49</v>
      </c>
      <c r="AA295" s="10">
        <f>IF(O295&lt;=1,7,7+0.8*ROUNDUP(O295-1,0))</f>
        <v>7</v>
      </c>
      <c r="AB295" s="11">
        <v>0</v>
      </c>
      <c r="AC295" s="11">
        <v>0</v>
      </c>
      <c r="AD295" s="11">
        <v>0</v>
      </c>
      <c r="AE295" s="11">
        <v>0</v>
      </c>
      <c r="AF295" s="11">
        <f t="shared" si="10"/>
        <v>0.42</v>
      </c>
      <c r="AG295" s="11">
        <f t="shared" si="11"/>
        <v>7.42</v>
      </c>
      <c r="AH295" t="s">
        <v>50</v>
      </c>
    </row>
    <row r="296" spans="1:34" ht="15" customHeight="1" x14ac:dyDescent="0.35">
      <c r="A296">
        <v>7547676</v>
      </c>
      <c r="B296">
        <v>690929</v>
      </c>
      <c r="C296" t="s">
        <v>34</v>
      </c>
      <c r="D296" t="s">
        <v>35</v>
      </c>
      <c r="E296" s="6" t="s">
        <v>34</v>
      </c>
      <c r="F296" t="s">
        <v>1036</v>
      </c>
      <c r="G296" t="s">
        <v>37</v>
      </c>
      <c r="H296" t="s">
        <v>38</v>
      </c>
      <c r="I296" t="s">
        <v>1037</v>
      </c>
      <c r="J296" t="s">
        <v>40</v>
      </c>
      <c r="K296">
        <v>2</v>
      </c>
      <c r="L296" t="s">
        <v>41</v>
      </c>
      <c r="M296" t="s">
        <v>42</v>
      </c>
      <c r="N296" t="s">
        <v>43</v>
      </c>
      <c r="O296" s="7">
        <v>2</v>
      </c>
      <c r="P296" s="8">
        <v>45148.585601851853</v>
      </c>
      <c r="Q296" s="9">
        <v>45149</v>
      </c>
      <c r="R296" t="s">
        <v>37</v>
      </c>
      <c r="S296" t="s">
        <v>44</v>
      </c>
      <c r="T296" t="s">
        <v>53</v>
      </c>
      <c r="U296" t="s">
        <v>54</v>
      </c>
      <c r="V296" t="s">
        <v>1038</v>
      </c>
      <c r="W296">
        <v>40150</v>
      </c>
      <c r="X296" t="s">
        <v>44</v>
      </c>
      <c r="Y296" t="s">
        <v>53</v>
      </c>
      <c r="Z296" t="s">
        <v>49</v>
      </c>
      <c r="AA296" s="10">
        <f>IF(O296&lt;=1,7,7+0.8*ROUNDUP(O296-1,0))</f>
        <v>7.8</v>
      </c>
      <c r="AB296" s="11">
        <v>0</v>
      </c>
      <c r="AC296" s="11">
        <v>0</v>
      </c>
      <c r="AD296" s="11">
        <v>0</v>
      </c>
      <c r="AE296" s="11">
        <v>0</v>
      </c>
      <c r="AF296" s="11">
        <f t="shared" si="10"/>
        <v>0.46799999999999997</v>
      </c>
      <c r="AG296" s="11">
        <f t="shared" si="11"/>
        <v>8.2680000000000007</v>
      </c>
      <c r="AH296" t="s">
        <v>50</v>
      </c>
    </row>
    <row r="297" spans="1:34" ht="15" customHeight="1" x14ac:dyDescent="0.35">
      <c r="A297">
        <v>7547676</v>
      </c>
      <c r="B297">
        <v>690929</v>
      </c>
      <c r="C297" t="s">
        <v>34</v>
      </c>
      <c r="D297" t="s">
        <v>35</v>
      </c>
      <c r="E297" s="6" t="s">
        <v>34</v>
      </c>
      <c r="F297" t="s">
        <v>1039</v>
      </c>
      <c r="G297" t="s">
        <v>37</v>
      </c>
      <c r="H297" t="s">
        <v>38</v>
      </c>
      <c r="I297" t="s">
        <v>209</v>
      </c>
      <c r="J297" t="s">
        <v>40</v>
      </c>
      <c r="K297">
        <v>2</v>
      </c>
      <c r="L297" t="s">
        <v>41</v>
      </c>
      <c r="M297" t="s">
        <v>42</v>
      </c>
      <c r="N297" t="s">
        <v>43</v>
      </c>
      <c r="O297" s="7">
        <v>1</v>
      </c>
      <c r="P297" s="8">
        <v>45147.590092592596</v>
      </c>
      <c r="Q297" s="9">
        <v>45149</v>
      </c>
      <c r="R297" t="s">
        <v>37</v>
      </c>
      <c r="S297" t="s">
        <v>44</v>
      </c>
      <c r="T297" t="s">
        <v>53</v>
      </c>
      <c r="U297" t="s">
        <v>210</v>
      </c>
      <c r="V297" t="s">
        <v>1040</v>
      </c>
      <c r="W297">
        <v>6250</v>
      </c>
      <c r="X297" t="s">
        <v>44</v>
      </c>
      <c r="Y297" t="s">
        <v>212</v>
      </c>
      <c r="Z297" t="s">
        <v>49</v>
      </c>
      <c r="AA297" s="10">
        <f>IF(O297&lt;=1,7,7+0.8*ROUNDUP(O297-1,0))</f>
        <v>7</v>
      </c>
      <c r="AB297" s="11">
        <v>0</v>
      </c>
      <c r="AC297" s="11">
        <v>0</v>
      </c>
      <c r="AD297" s="11">
        <v>0</v>
      </c>
      <c r="AE297" s="11">
        <v>0</v>
      </c>
      <c r="AF297" s="11">
        <f t="shared" si="10"/>
        <v>0.42</v>
      </c>
      <c r="AG297" s="11">
        <f t="shared" si="11"/>
        <v>7.42</v>
      </c>
      <c r="AH297" t="s">
        <v>50</v>
      </c>
    </row>
    <row r="298" spans="1:34" ht="15" customHeight="1" x14ac:dyDescent="0.35">
      <c r="A298">
        <v>7547676</v>
      </c>
      <c r="B298">
        <v>690929</v>
      </c>
      <c r="C298" t="s">
        <v>34</v>
      </c>
      <c r="D298" t="s">
        <v>35</v>
      </c>
      <c r="E298" s="6" t="s">
        <v>34</v>
      </c>
      <c r="F298" t="s">
        <v>1041</v>
      </c>
      <c r="G298" t="s">
        <v>37</v>
      </c>
      <c r="H298" t="s">
        <v>38</v>
      </c>
      <c r="I298" t="s">
        <v>1042</v>
      </c>
      <c r="J298" t="s">
        <v>40</v>
      </c>
      <c r="K298">
        <v>2</v>
      </c>
      <c r="L298" t="s">
        <v>41</v>
      </c>
      <c r="M298" t="s">
        <v>42</v>
      </c>
      <c r="N298" t="s">
        <v>43</v>
      </c>
      <c r="O298" s="7">
        <v>1</v>
      </c>
      <c r="P298" s="8">
        <v>45147.590092592596</v>
      </c>
      <c r="Q298" s="9">
        <v>45149</v>
      </c>
      <c r="R298" t="s">
        <v>37</v>
      </c>
      <c r="S298" t="s">
        <v>44</v>
      </c>
      <c r="T298" t="s">
        <v>53</v>
      </c>
      <c r="U298" t="s">
        <v>54</v>
      </c>
      <c r="V298" t="s">
        <v>1043</v>
      </c>
      <c r="W298">
        <v>43300</v>
      </c>
      <c r="X298" t="s">
        <v>44</v>
      </c>
      <c r="Y298" t="s">
        <v>53</v>
      </c>
      <c r="Z298" t="s">
        <v>49</v>
      </c>
      <c r="AA298" s="10">
        <f>IF(O298&lt;=1,7,7+0.8*ROUNDUP(O298-1,0))</f>
        <v>7</v>
      </c>
      <c r="AB298" s="11">
        <v>0</v>
      </c>
      <c r="AC298" s="11">
        <v>0</v>
      </c>
      <c r="AD298" s="11">
        <v>0</v>
      </c>
      <c r="AE298" s="11">
        <v>0</v>
      </c>
      <c r="AF298" s="11">
        <f t="shared" si="10"/>
        <v>0.42</v>
      </c>
      <c r="AG298" s="11">
        <f t="shared" si="11"/>
        <v>7.42</v>
      </c>
      <c r="AH298" t="s">
        <v>50</v>
      </c>
    </row>
    <row r="299" spans="1:34" ht="15" customHeight="1" x14ac:dyDescent="0.35">
      <c r="A299">
        <v>7547676</v>
      </c>
      <c r="B299">
        <v>690929</v>
      </c>
      <c r="C299" t="s">
        <v>34</v>
      </c>
      <c r="D299" t="s">
        <v>35</v>
      </c>
      <c r="E299" s="6" t="s">
        <v>34</v>
      </c>
      <c r="F299" t="s">
        <v>1044</v>
      </c>
      <c r="G299" t="s">
        <v>37</v>
      </c>
      <c r="H299" t="s">
        <v>38</v>
      </c>
      <c r="I299" t="s">
        <v>1045</v>
      </c>
      <c r="J299" t="s">
        <v>40</v>
      </c>
      <c r="K299">
        <v>2</v>
      </c>
      <c r="L299" t="s">
        <v>41</v>
      </c>
      <c r="M299" t="s">
        <v>42</v>
      </c>
      <c r="N299" t="s">
        <v>43</v>
      </c>
      <c r="O299" s="7">
        <v>2</v>
      </c>
      <c r="P299" s="8">
        <v>45146.597407407404</v>
      </c>
      <c r="Q299" s="9">
        <v>45149</v>
      </c>
      <c r="R299" t="s">
        <v>37</v>
      </c>
      <c r="S299" t="s">
        <v>44</v>
      </c>
      <c r="T299" t="s">
        <v>53</v>
      </c>
      <c r="U299" t="s">
        <v>197</v>
      </c>
      <c r="V299" t="s">
        <v>1046</v>
      </c>
      <c r="W299">
        <v>81100</v>
      </c>
      <c r="X299" t="s">
        <v>44</v>
      </c>
      <c r="Y299" t="s">
        <v>564</v>
      </c>
      <c r="Z299" t="s">
        <v>49</v>
      </c>
      <c r="AA299" s="10">
        <f>IF(O299&lt;=1,7,7+0.8*ROUNDUP(O299-1,0))</f>
        <v>7.8</v>
      </c>
      <c r="AB299" s="11">
        <v>0</v>
      </c>
      <c r="AC299" s="11">
        <v>0</v>
      </c>
      <c r="AD299" s="11">
        <v>0</v>
      </c>
      <c r="AE299" s="11">
        <v>0</v>
      </c>
      <c r="AF299" s="11">
        <f t="shared" si="10"/>
        <v>0.46799999999999997</v>
      </c>
      <c r="AG299" s="11">
        <f t="shared" si="11"/>
        <v>8.2680000000000007</v>
      </c>
      <c r="AH299" t="s">
        <v>50</v>
      </c>
    </row>
    <row r="300" spans="1:34" ht="15" customHeight="1" x14ac:dyDescent="0.35">
      <c r="A300">
        <v>7547676</v>
      </c>
      <c r="B300">
        <v>690929</v>
      </c>
      <c r="C300" t="s">
        <v>34</v>
      </c>
      <c r="D300" t="s">
        <v>35</v>
      </c>
      <c r="E300" s="6" t="s">
        <v>34</v>
      </c>
      <c r="F300" t="s">
        <v>1047</v>
      </c>
      <c r="G300" t="s">
        <v>37</v>
      </c>
      <c r="H300" t="s">
        <v>38</v>
      </c>
      <c r="I300" t="s">
        <v>1048</v>
      </c>
      <c r="J300" t="s">
        <v>40</v>
      </c>
      <c r="K300">
        <v>2</v>
      </c>
      <c r="L300" t="s">
        <v>41</v>
      </c>
      <c r="M300" t="s">
        <v>42</v>
      </c>
      <c r="N300" t="s">
        <v>43</v>
      </c>
      <c r="O300" s="7">
        <v>1</v>
      </c>
      <c r="P300" s="8">
        <v>45147.39607638889</v>
      </c>
      <c r="Q300" s="9">
        <v>45149</v>
      </c>
      <c r="R300" t="s">
        <v>37</v>
      </c>
      <c r="S300" t="s">
        <v>44</v>
      </c>
      <c r="T300" t="s">
        <v>53</v>
      </c>
      <c r="U300" t="s">
        <v>202</v>
      </c>
      <c r="V300" t="s">
        <v>1049</v>
      </c>
      <c r="W300">
        <v>76100</v>
      </c>
      <c r="X300" t="s">
        <v>44</v>
      </c>
      <c r="Y300" t="s">
        <v>136</v>
      </c>
      <c r="Z300" t="s">
        <v>49</v>
      </c>
      <c r="AA300" s="10">
        <f>IF(O300&lt;=1,7,7+0.8*ROUNDUP(O300-1,0))</f>
        <v>7</v>
      </c>
      <c r="AB300" s="11">
        <v>0</v>
      </c>
      <c r="AC300" s="11">
        <v>0</v>
      </c>
      <c r="AD300" s="11">
        <v>0</v>
      </c>
      <c r="AE300" s="11">
        <v>0</v>
      </c>
      <c r="AF300" s="11">
        <f t="shared" si="10"/>
        <v>0.42</v>
      </c>
      <c r="AG300" s="11">
        <f t="shared" si="11"/>
        <v>7.42</v>
      </c>
      <c r="AH300" t="s">
        <v>50</v>
      </c>
    </row>
    <row r="301" spans="1:34" ht="15" customHeight="1" x14ac:dyDescent="0.35">
      <c r="A301">
        <v>7547676</v>
      </c>
      <c r="B301">
        <v>690929</v>
      </c>
      <c r="C301" t="s">
        <v>34</v>
      </c>
      <c r="D301" t="s">
        <v>35</v>
      </c>
      <c r="E301" s="6" t="s">
        <v>34</v>
      </c>
      <c r="F301" t="s">
        <v>1050</v>
      </c>
      <c r="G301" t="s">
        <v>37</v>
      </c>
      <c r="H301" t="s">
        <v>38</v>
      </c>
      <c r="I301" t="s">
        <v>1051</v>
      </c>
      <c r="J301" t="s">
        <v>40</v>
      </c>
      <c r="K301">
        <v>2</v>
      </c>
      <c r="L301" t="s">
        <v>41</v>
      </c>
      <c r="M301" t="s">
        <v>42</v>
      </c>
      <c r="N301" t="s">
        <v>43</v>
      </c>
      <c r="O301" s="7">
        <v>2</v>
      </c>
      <c r="P301" s="8">
        <v>45148.567650462966</v>
      </c>
      <c r="Q301" s="9">
        <v>45149</v>
      </c>
      <c r="R301" t="s">
        <v>37</v>
      </c>
      <c r="S301" t="s">
        <v>44</v>
      </c>
      <c r="T301" t="s">
        <v>53</v>
      </c>
      <c r="U301" t="s">
        <v>54</v>
      </c>
      <c r="V301" t="s">
        <v>1052</v>
      </c>
      <c r="W301">
        <v>43000</v>
      </c>
      <c r="X301" t="s">
        <v>44</v>
      </c>
      <c r="Y301" t="s">
        <v>56</v>
      </c>
      <c r="Z301" t="s">
        <v>49</v>
      </c>
      <c r="AA301" s="10">
        <f>IF(O301&lt;=1,7,7+0.8*ROUNDUP(O301-1,0))</f>
        <v>7.8</v>
      </c>
      <c r="AB301" s="11">
        <v>0</v>
      </c>
      <c r="AC301" s="11">
        <v>0</v>
      </c>
      <c r="AD301" s="11">
        <v>0</v>
      </c>
      <c r="AE301" s="11">
        <v>0</v>
      </c>
      <c r="AF301" s="11">
        <f t="shared" si="10"/>
        <v>0.46799999999999997</v>
      </c>
      <c r="AG301" s="11">
        <f t="shared" si="11"/>
        <v>8.2680000000000007</v>
      </c>
      <c r="AH301" t="s">
        <v>50</v>
      </c>
    </row>
    <row r="302" spans="1:34" ht="15" customHeight="1" x14ac:dyDescent="0.35">
      <c r="A302">
        <v>7547676</v>
      </c>
      <c r="B302">
        <v>690929</v>
      </c>
      <c r="C302" t="s">
        <v>34</v>
      </c>
      <c r="D302" t="s">
        <v>35</v>
      </c>
      <c r="E302" s="6" t="s">
        <v>34</v>
      </c>
      <c r="F302" t="s">
        <v>1053</v>
      </c>
      <c r="G302" t="s">
        <v>37</v>
      </c>
      <c r="H302" t="s">
        <v>38</v>
      </c>
      <c r="I302" t="s">
        <v>1054</v>
      </c>
      <c r="J302" t="s">
        <v>40</v>
      </c>
      <c r="K302">
        <v>2</v>
      </c>
      <c r="L302" t="s">
        <v>41</v>
      </c>
      <c r="M302" t="s">
        <v>42</v>
      </c>
      <c r="N302" t="s">
        <v>43</v>
      </c>
      <c r="O302" s="7">
        <v>1</v>
      </c>
      <c r="P302" s="8">
        <v>45147.402662037035</v>
      </c>
      <c r="Q302" s="9">
        <v>45149</v>
      </c>
      <c r="R302" t="s">
        <v>37</v>
      </c>
      <c r="S302" t="s">
        <v>44</v>
      </c>
      <c r="T302" t="s">
        <v>53</v>
      </c>
      <c r="U302" t="s">
        <v>81</v>
      </c>
      <c r="V302" t="s">
        <v>1055</v>
      </c>
      <c r="W302">
        <v>34700</v>
      </c>
      <c r="X302" t="s">
        <v>44</v>
      </c>
      <c r="Y302" t="s">
        <v>136</v>
      </c>
      <c r="Z302" t="s">
        <v>49</v>
      </c>
      <c r="AA302" s="10">
        <f>IF(O302&lt;=1,7,7+0.8*ROUNDUP(O302-1,0))</f>
        <v>7</v>
      </c>
      <c r="AB302" s="11">
        <v>0</v>
      </c>
      <c r="AC302" s="11">
        <v>0</v>
      </c>
      <c r="AD302" s="11">
        <v>0</v>
      </c>
      <c r="AE302" s="11">
        <v>0</v>
      </c>
      <c r="AF302" s="11">
        <f t="shared" si="10"/>
        <v>0.42</v>
      </c>
      <c r="AG302" s="11">
        <f t="shared" si="11"/>
        <v>7.42</v>
      </c>
      <c r="AH302" t="s">
        <v>50</v>
      </c>
    </row>
    <row r="303" spans="1:34" ht="15" customHeight="1" x14ac:dyDescent="0.35">
      <c r="A303">
        <v>7547676</v>
      </c>
      <c r="B303">
        <v>690929</v>
      </c>
      <c r="C303" t="s">
        <v>34</v>
      </c>
      <c r="D303" t="s">
        <v>35</v>
      </c>
      <c r="E303" s="6" t="s">
        <v>34</v>
      </c>
      <c r="F303" t="s">
        <v>1056</v>
      </c>
      <c r="G303" t="s">
        <v>37</v>
      </c>
      <c r="H303" t="s">
        <v>38</v>
      </c>
      <c r="I303" t="s">
        <v>1057</v>
      </c>
      <c r="J303" t="s">
        <v>40</v>
      </c>
      <c r="K303">
        <v>2</v>
      </c>
      <c r="L303" t="s">
        <v>41</v>
      </c>
      <c r="M303" t="s">
        <v>42</v>
      </c>
      <c r="N303" t="s">
        <v>43</v>
      </c>
      <c r="O303" s="7">
        <v>2</v>
      </c>
      <c r="P303" s="8">
        <v>45148.408935185187</v>
      </c>
      <c r="Q303" s="9">
        <v>45149</v>
      </c>
      <c r="R303" t="s">
        <v>37</v>
      </c>
      <c r="S303" t="s">
        <v>44</v>
      </c>
      <c r="T303" t="s">
        <v>53</v>
      </c>
      <c r="U303" t="s">
        <v>54</v>
      </c>
      <c r="V303" t="s">
        <v>1058</v>
      </c>
      <c r="W303">
        <v>45500</v>
      </c>
      <c r="X303" t="s">
        <v>44</v>
      </c>
      <c r="Y303" t="s">
        <v>53</v>
      </c>
      <c r="Z303" t="s">
        <v>49</v>
      </c>
      <c r="AA303" s="10">
        <f>IF(O303&lt;=1,7,7+0.8*ROUNDUP(O303-1,0))</f>
        <v>7.8</v>
      </c>
      <c r="AB303" s="11">
        <v>0</v>
      </c>
      <c r="AC303" s="11">
        <v>0</v>
      </c>
      <c r="AD303" s="11">
        <v>0</v>
      </c>
      <c r="AE303" s="11">
        <v>0</v>
      </c>
      <c r="AF303" s="11">
        <f t="shared" si="10"/>
        <v>0.46799999999999997</v>
      </c>
      <c r="AG303" s="11">
        <f t="shared" si="11"/>
        <v>8.2680000000000007</v>
      </c>
      <c r="AH303" t="s">
        <v>50</v>
      </c>
    </row>
    <row r="304" spans="1:34" ht="15" customHeight="1" x14ac:dyDescent="0.35">
      <c r="A304">
        <v>7547676</v>
      </c>
      <c r="B304">
        <v>690929</v>
      </c>
      <c r="C304" t="s">
        <v>34</v>
      </c>
      <c r="D304" t="s">
        <v>35</v>
      </c>
      <c r="E304" s="6" t="s">
        <v>34</v>
      </c>
      <c r="F304" t="s">
        <v>1059</v>
      </c>
      <c r="G304" t="s">
        <v>37</v>
      </c>
      <c r="H304" t="s">
        <v>38</v>
      </c>
      <c r="I304" t="s">
        <v>1060</v>
      </c>
      <c r="J304" t="s">
        <v>40</v>
      </c>
      <c r="K304">
        <v>2</v>
      </c>
      <c r="L304" t="s">
        <v>41</v>
      </c>
      <c r="M304" t="s">
        <v>42</v>
      </c>
      <c r="N304" t="s">
        <v>43</v>
      </c>
      <c r="O304" s="7">
        <v>1</v>
      </c>
      <c r="P304" s="8">
        <v>45147.706712962965</v>
      </c>
      <c r="Q304" s="9">
        <v>45149</v>
      </c>
      <c r="R304" t="s">
        <v>37</v>
      </c>
      <c r="S304" t="s">
        <v>44</v>
      </c>
      <c r="T304" t="s">
        <v>53</v>
      </c>
      <c r="U304" t="s">
        <v>202</v>
      </c>
      <c r="V304" t="s">
        <v>1061</v>
      </c>
      <c r="W304">
        <v>75450</v>
      </c>
      <c r="X304" t="s">
        <v>44</v>
      </c>
      <c r="Y304" t="s">
        <v>136</v>
      </c>
      <c r="Z304" t="s">
        <v>49</v>
      </c>
      <c r="AA304" s="10">
        <f>IF(O304&lt;=1,7,7+0.8*ROUNDUP(O304-1,0))</f>
        <v>7</v>
      </c>
      <c r="AB304" s="11">
        <v>0</v>
      </c>
      <c r="AC304" s="11">
        <v>0</v>
      </c>
      <c r="AD304" s="11">
        <v>0</v>
      </c>
      <c r="AE304" s="11">
        <v>0</v>
      </c>
      <c r="AF304" s="11">
        <f t="shared" si="10"/>
        <v>0.42</v>
      </c>
      <c r="AG304" s="11">
        <f t="shared" si="11"/>
        <v>7.42</v>
      </c>
      <c r="AH304" t="s">
        <v>50</v>
      </c>
    </row>
    <row r="305" spans="1:34" ht="15" customHeight="1" x14ac:dyDescent="0.35">
      <c r="A305">
        <v>7547676</v>
      </c>
      <c r="B305">
        <v>690929</v>
      </c>
      <c r="C305" t="s">
        <v>34</v>
      </c>
      <c r="D305" t="s">
        <v>35</v>
      </c>
      <c r="E305" s="6" t="s">
        <v>34</v>
      </c>
      <c r="F305" t="s">
        <v>1062</v>
      </c>
      <c r="G305" t="s">
        <v>37</v>
      </c>
      <c r="H305" t="s">
        <v>38</v>
      </c>
      <c r="I305" t="s">
        <v>76</v>
      </c>
      <c r="J305" t="s">
        <v>40</v>
      </c>
      <c r="K305">
        <v>2</v>
      </c>
      <c r="L305" t="s">
        <v>41</v>
      </c>
      <c r="M305" t="s">
        <v>42</v>
      </c>
      <c r="N305" t="s">
        <v>43</v>
      </c>
      <c r="O305" s="7">
        <v>1</v>
      </c>
      <c r="P305" s="8">
        <v>45148.694548611114</v>
      </c>
      <c r="Q305" s="9">
        <v>45149</v>
      </c>
      <c r="R305" t="s">
        <v>37</v>
      </c>
      <c r="S305" t="s">
        <v>44</v>
      </c>
      <c r="T305" t="s">
        <v>53</v>
      </c>
      <c r="U305" t="s">
        <v>54</v>
      </c>
      <c r="V305" t="s">
        <v>1063</v>
      </c>
      <c r="W305">
        <v>47100</v>
      </c>
      <c r="X305" t="s">
        <v>44</v>
      </c>
      <c r="Y305" t="s">
        <v>53</v>
      </c>
      <c r="Z305" t="s">
        <v>49</v>
      </c>
      <c r="AA305" s="10">
        <f>IF(O305&lt;=1,7,7+0.8*ROUNDUP(O305-1,0))</f>
        <v>7</v>
      </c>
      <c r="AB305" s="11">
        <v>0</v>
      </c>
      <c r="AC305" s="11">
        <v>0</v>
      </c>
      <c r="AD305" s="11">
        <v>0</v>
      </c>
      <c r="AE305" s="11">
        <v>0</v>
      </c>
      <c r="AF305" s="11">
        <f t="shared" si="10"/>
        <v>0.42</v>
      </c>
      <c r="AG305" s="11">
        <f t="shared" si="11"/>
        <v>7.42</v>
      </c>
      <c r="AH305" t="s">
        <v>50</v>
      </c>
    </row>
    <row r="306" spans="1:34" ht="15" customHeight="1" x14ac:dyDescent="0.35">
      <c r="A306">
        <v>7547676</v>
      </c>
      <c r="B306">
        <v>690929</v>
      </c>
      <c r="C306" t="s">
        <v>34</v>
      </c>
      <c r="D306" t="s">
        <v>35</v>
      </c>
      <c r="E306" s="6" t="s">
        <v>34</v>
      </c>
      <c r="F306" t="s">
        <v>1064</v>
      </c>
      <c r="G306" t="s">
        <v>37</v>
      </c>
      <c r="H306" t="s">
        <v>38</v>
      </c>
      <c r="I306" t="s">
        <v>1065</v>
      </c>
      <c r="J306" t="s">
        <v>40</v>
      </c>
      <c r="K306">
        <v>2</v>
      </c>
      <c r="L306" t="s">
        <v>41</v>
      </c>
      <c r="M306" t="s">
        <v>42</v>
      </c>
      <c r="N306" t="s">
        <v>43</v>
      </c>
      <c r="O306" s="7">
        <v>1</v>
      </c>
      <c r="P306" s="8">
        <v>45148.709849537037</v>
      </c>
      <c r="Q306" s="9">
        <v>45149</v>
      </c>
      <c r="R306" t="s">
        <v>37</v>
      </c>
      <c r="S306" t="s">
        <v>44</v>
      </c>
      <c r="T306" t="s">
        <v>53</v>
      </c>
      <c r="U306" t="s">
        <v>59</v>
      </c>
      <c r="V306" t="s">
        <v>1066</v>
      </c>
      <c r="W306">
        <v>16150</v>
      </c>
      <c r="X306" t="s">
        <v>44</v>
      </c>
      <c r="Y306" t="s">
        <v>45</v>
      </c>
      <c r="Z306" t="s">
        <v>49</v>
      </c>
      <c r="AA306" s="10">
        <f>IF(O306&lt;=1,7,7+0.8*ROUNDUP(O306-1,0))</f>
        <v>7</v>
      </c>
      <c r="AB306" s="11">
        <v>0</v>
      </c>
      <c r="AC306" s="11">
        <v>0</v>
      </c>
      <c r="AD306" s="11">
        <v>0</v>
      </c>
      <c r="AE306" s="11">
        <v>0</v>
      </c>
      <c r="AF306" s="11">
        <f t="shared" si="10"/>
        <v>0.42</v>
      </c>
      <c r="AG306" s="11">
        <f t="shared" si="11"/>
        <v>7.42</v>
      </c>
      <c r="AH306" t="s">
        <v>50</v>
      </c>
    </row>
    <row r="307" spans="1:34" ht="15" customHeight="1" x14ac:dyDescent="0.35">
      <c r="A307">
        <v>7547676</v>
      </c>
      <c r="B307">
        <v>690929</v>
      </c>
      <c r="C307" t="s">
        <v>34</v>
      </c>
      <c r="D307" t="s">
        <v>35</v>
      </c>
      <c r="E307" s="6" t="s">
        <v>34</v>
      </c>
      <c r="F307" t="s">
        <v>1067</v>
      </c>
      <c r="G307" t="s">
        <v>37</v>
      </c>
      <c r="H307" t="s">
        <v>38</v>
      </c>
      <c r="I307" t="s">
        <v>1068</v>
      </c>
      <c r="J307" t="s">
        <v>40</v>
      </c>
      <c r="K307">
        <v>2</v>
      </c>
      <c r="L307" t="s">
        <v>41</v>
      </c>
      <c r="M307" t="s">
        <v>42</v>
      </c>
      <c r="N307" t="s">
        <v>43</v>
      </c>
      <c r="O307" s="7">
        <v>1</v>
      </c>
      <c r="P307" s="8">
        <v>45147.755509259259</v>
      </c>
      <c r="Q307" s="9">
        <v>45149</v>
      </c>
      <c r="R307" t="s">
        <v>37</v>
      </c>
      <c r="S307" t="s">
        <v>44</v>
      </c>
      <c r="T307" t="s">
        <v>53</v>
      </c>
      <c r="U307" t="s">
        <v>54</v>
      </c>
      <c r="V307" t="s">
        <v>1069</v>
      </c>
      <c r="W307">
        <v>53100</v>
      </c>
      <c r="X307" t="s">
        <v>44</v>
      </c>
      <c r="Y307" t="s">
        <v>140</v>
      </c>
      <c r="Z307" t="s">
        <v>49</v>
      </c>
      <c r="AA307" s="10">
        <f>IF(O307&lt;=1,7,7+0.8*ROUNDUP(O307-1,0))</f>
        <v>7</v>
      </c>
      <c r="AB307" s="11">
        <v>0</v>
      </c>
      <c r="AC307" s="11">
        <v>0</v>
      </c>
      <c r="AD307" s="11">
        <v>0</v>
      </c>
      <c r="AE307" s="11">
        <v>0</v>
      </c>
      <c r="AF307" s="11">
        <f t="shared" si="10"/>
        <v>0.42</v>
      </c>
      <c r="AG307" s="11">
        <f t="shared" si="11"/>
        <v>7.42</v>
      </c>
      <c r="AH307" t="s">
        <v>50</v>
      </c>
    </row>
    <row r="308" spans="1:34" ht="15" customHeight="1" x14ac:dyDescent="0.35">
      <c r="A308">
        <v>7547676</v>
      </c>
      <c r="B308">
        <v>690929</v>
      </c>
      <c r="C308" t="s">
        <v>34</v>
      </c>
      <c r="D308" t="s">
        <v>35</v>
      </c>
      <c r="E308" s="6" t="s">
        <v>34</v>
      </c>
      <c r="F308" t="s">
        <v>1070</v>
      </c>
      <c r="G308" t="s">
        <v>37</v>
      </c>
      <c r="H308" t="s">
        <v>38</v>
      </c>
      <c r="I308" t="s">
        <v>1071</v>
      </c>
      <c r="J308" t="s">
        <v>40</v>
      </c>
      <c r="K308">
        <v>2</v>
      </c>
      <c r="L308" t="s">
        <v>41</v>
      </c>
      <c r="M308" t="s">
        <v>42</v>
      </c>
      <c r="N308" t="s">
        <v>43</v>
      </c>
      <c r="O308" s="7">
        <v>1</v>
      </c>
      <c r="P308" s="8">
        <v>45148.715405092589</v>
      </c>
      <c r="Q308" s="9">
        <v>45150</v>
      </c>
      <c r="R308" t="s">
        <v>37</v>
      </c>
      <c r="S308" t="s">
        <v>44</v>
      </c>
      <c r="T308" t="s">
        <v>53</v>
      </c>
      <c r="U308" t="s">
        <v>192</v>
      </c>
      <c r="V308" t="s">
        <v>1072</v>
      </c>
      <c r="W308">
        <v>96100</v>
      </c>
      <c r="X308" t="s">
        <v>194</v>
      </c>
      <c r="Y308" t="s">
        <v>605</v>
      </c>
      <c r="Z308" t="s">
        <v>49</v>
      </c>
      <c r="AA308" s="12">
        <f>IF(O308&lt;=1,13,IF(O308&lt;=2,23,IF(O308&lt;=3,35,IF(O308&lt;=4,43,IF(O308&lt;=5,53,IF(O308&lt;=6,63,IF(O308&lt;=7,71,IF(O308&lt;=8,79,IF(O308&lt;=9,87,IF(O308&lt;=10,95,IF(O308&lt;=11,105,IF(O308&lt;=12,114,IF(O308&lt;=13,119,IF(O308&lt;=14,127,IF(O308&lt;=15,135,IF(O308&lt;=16,143,IF(O308&lt;=17,153,IF(O308&lt;=18,163,IF(O308&lt;=19,171,IF(O308&lt;=20,185,IF(O308&lt;=21,193,IF(O308&lt;=22,201,IF(O308&lt;=23,210,IF(O308&lt;=24,220,IF(O308&lt;=25,230,IF(O308&lt;=26,240,IF(O308&lt;=27,250,IF(O308&lt;=28,260,IF(O308&lt;=29,270,IF(O308&lt;=30,280,280+10*ROUNDUP(O308-30,0)))))))))))))))))))))))))))))))</f>
        <v>13</v>
      </c>
      <c r="AB308" s="11">
        <v>0</v>
      </c>
      <c r="AC308" s="11">
        <v>0</v>
      </c>
      <c r="AD308" s="11">
        <v>0</v>
      </c>
      <c r="AE308" s="11">
        <v>0</v>
      </c>
      <c r="AF308" s="11">
        <f t="shared" si="10"/>
        <v>0.78</v>
      </c>
      <c r="AG308" s="11">
        <f t="shared" si="11"/>
        <v>13.78</v>
      </c>
      <c r="AH308" t="s">
        <v>194</v>
      </c>
    </row>
    <row r="309" spans="1:34" ht="15" customHeight="1" x14ac:dyDescent="0.35">
      <c r="A309">
        <v>7547676</v>
      </c>
      <c r="B309">
        <v>690929</v>
      </c>
      <c r="C309" t="s">
        <v>34</v>
      </c>
      <c r="D309" t="s">
        <v>35</v>
      </c>
      <c r="E309" s="6" t="s">
        <v>34</v>
      </c>
      <c r="F309" t="s">
        <v>1073</v>
      </c>
      <c r="G309" t="s">
        <v>37</v>
      </c>
      <c r="H309" t="s">
        <v>38</v>
      </c>
      <c r="I309" t="s">
        <v>1074</v>
      </c>
      <c r="J309" t="s">
        <v>40</v>
      </c>
      <c r="K309">
        <v>2</v>
      </c>
      <c r="L309" t="s">
        <v>41</v>
      </c>
      <c r="M309" t="s">
        <v>42</v>
      </c>
      <c r="N309" t="s">
        <v>43</v>
      </c>
      <c r="O309" s="7">
        <v>1</v>
      </c>
      <c r="P309" s="8">
        <v>45148.722511574073</v>
      </c>
      <c r="Q309" s="9">
        <v>45150</v>
      </c>
      <c r="R309" t="s">
        <v>37</v>
      </c>
      <c r="S309" t="s">
        <v>44</v>
      </c>
      <c r="T309" t="s">
        <v>53</v>
      </c>
      <c r="U309" t="s">
        <v>67</v>
      </c>
      <c r="V309" t="s">
        <v>1075</v>
      </c>
      <c r="W309">
        <v>25150</v>
      </c>
      <c r="X309" t="s">
        <v>44</v>
      </c>
      <c r="Y309" t="s">
        <v>939</v>
      </c>
      <c r="Z309" t="s">
        <v>49</v>
      </c>
      <c r="AA309" s="10">
        <f>IF(O309&lt;=1,7,7+0.8*ROUNDUP(O309-1,0))</f>
        <v>7</v>
      </c>
      <c r="AB309" s="11">
        <v>0</v>
      </c>
      <c r="AC309" s="11">
        <v>0</v>
      </c>
      <c r="AD309" s="11">
        <v>0</v>
      </c>
      <c r="AE309" s="11">
        <v>0</v>
      </c>
      <c r="AF309" s="11">
        <f t="shared" si="10"/>
        <v>0.42</v>
      </c>
      <c r="AG309" s="11">
        <f t="shared" si="11"/>
        <v>7.42</v>
      </c>
      <c r="AH309" t="s">
        <v>50</v>
      </c>
    </row>
    <row r="310" spans="1:34" ht="15" customHeight="1" x14ac:dyDescent="0.35">
      <c r="A310">
        <v>7547676</v>
      </c>
      <c r="B310">
        <v>690929</v>
      </c>
      <c r="C310" t="s">
        <v>34</v>
      </c>
      <c r="D310" t="s">
        <v>35</v>
      </c>
      <c r="E310" s="6" t="s">
        <v>34</v>
      </c>
      <c r="F310" t="s">
        <v>1076</v>
      </c>
      <c r="G310" t="s">
        <v>37</v>
      </c>
      <c r="H310" t="s">
        <v>38</v>
      </c>
      <c r="I310" t="s">
        <v>1077</v>
      </c>
      <c r="J310" t="s">
        <v>40</v>
      </c>
      <c r="K310">
        <v>2</v>
      </c>
      <c r="L310" t="s">
        <v>41</v>
      </c>
      <c r="M310" t="s">
        <v>42</v>
      </c>
      <c r="N310" t="s">
        <v>43</v>
      </c>
      <c r="O310" s="7">
        <v>1</v>
      </c>
      <c r="P310" s="8">
        <v>45148.724756944444</v>
      </c>
      <c r="Q310" s="9">
        <v>45150</v>
      </c>
      <c r="R310" t="s">
        <v>37</v>
      </c>
      <c r="S310" t="s">
        <v>44</v>
      </c>
      <c r="T310" t="s">
        <v>53</v>
      </c>
      <c r="U310" t="s">
        <v>67</v>
      </c>
      <c r="V310" t="s">
        <v>1078</v>
      </c>
      <c r="W310">
        <v>28600</v>
      </c>
      <c r="X310" t="s">
        <v>44</v>
      </c>
      <c r="Y310" t="s">
        <v>993</v>
      </c>
      <c r="Z310" t="s">
        <v>49</v>
      </c>
      <c r="AA310" s="10">
        <f>IF(O310&lt;=1,7,7+0.8*ROUNDUP(O310-1,0))</f>
        <v>7</v>
      </c>
      <c r="AB310" s="11">
        <v>0</v>
      </c>
      <c r="AC310" s="11">
        <v>0</v>
      </c>
      <c r="AD310" s="11">
        <v>0</v>
      </c>
      <c r="AE310" s="11">
        <v>0</v>
      </c>
      <c r="AF310" s="11">
        <f t="shared" si="10"/>
        <v>0.42</v>
      </c>
      <c r="AG310" s="11">
        <f t="shared" si="11"/>
        <v>7.42</v>
      </c>
      <c r="AH310" t="s">
        <v>50</v>
      </c>
    </row>
    <row r="311" spans="1:34" ht="15" customHeight="1" x14ac:dyDescent="0.35">
      <c r="A311">
        <v>7547676</v>
      </c>
      <c r="B311">
        <v>690929</v>
      </c>
      <c r="C311" t="s">
        <v>34</v>
      </c>
      <c r="D311" t="s">
        <v>35</v>
      </c>
      <c r="E311" s="6" t="s">
        <v>34</v>
      </c>
      <c r="F311" t="s">
        <v>1079</v>
      </c>
      <c r="G311" t="s">
        <v>37</v>
      </c>
      <c r="H311" t="s">
        <v>38</v>
      </c>
      <c r="I311" t="s">
        <v>1080</v>
      </c>
      <c r="J311" t="s">
        <v>40</v>
      </c>
      <c r="K311">
        <v>2</v>
      </c>
      <c r="L311" t="s">
        <v>41</v>
      </c>
      <c r="M311" t="s">
        <v>42</v>
      </c>
      <c r="N311" t="s">
        <v>43</v>
      </c>
      <c r="O311" s="7">
        <v>3</v>
      </c>
      <c r="P311" s="8">
        <v>45148.728877314818</v>
      </c>
      <c r="Q311" s="9">
        <v>45150</v>
      </c>
      <c r="R311" t="s">
        <v>37</v>
      </c>
      <c r="S311" t="s">
        <v>44</v>
      </c>
      <c r="T311" t="s">
        <v>53</v>
      </c>
      <c r="U311" t="s">
        <v>67</v>
      </c>
      <c r="V311" t="s">
        <v>1081</v>
      </c>
      <c r="W311">
        <v>39100</v>
      </c>
      <c r="X311" t="s">
        <v>44</v>
      </c>
      <c r="Y311" t="s">
        <v>1082</v>
      </c>
      <c r="Z311" t="s">
        <v>49</v>
      </c>
      <c r="AA311" s="10">
        <f>IF(O311&lt;=1,7,7+0.8*ROUNDUP(O311-1,0))</f>
        <v>8.6</v>
      </c>
      <c r="AB311" s="11">
        <v>0</v>
      </c>
      <c r="AC311" s="11">
        <v>0</v>
      </c>
      <c r="AD311" s="11">
        <v>0</v>
      </c>
      <c r="AE311" s="11">
        <v>0</v>
      </c>
      <c r="AF311" s="11">
        <f t="shared" si="10"/>
        <v>0.51600000000000001</v>
      </c>
      <c r="AG311" s="11">
        <f t="shared" si="11"/>
        <v>9.1159999999999997</v>
      </c>
      <c r="AH311" t="s">
        <v>50</v>
      </c>
    </row>
    <row r="312" spans="1:34" ht="15" customHeight="1" x14ac:dyDescent="0.35">
      <c r="A312">
        <v>7547676</v>
      </c>
      <c r="B312">
        <v>690929</v>
      </c>
      <c r="C312" t="s">
        <v>34</v>
      </c>
      <c r="D312" t="s">
        <v>35</v>
      </c>
      <c r="E312" s="6" t="s">
        <v>34</v>
      </c>
      <c r="F312" t="s">
        <v>1083</v>
      </c>
      <c r="G312" t="s">
        <v>37</v>
      </c>
      <c r="H312" t="s">
        <v>38</v>
      </c>
      <c r="I312" t="s">
        <v>1080</v>
      </c>
      <c r="J312" t="s">
        <v>40</v>
      </c>
      <c r="K312">
        <v>2</v>
      </c>
      <c r="L312" t="s">
        <v>41</v>
      </c>
      <c r="M312" t="s">
        <v>42</v>
      </c>
      <c r="N312" t="s">
        <v>43</v>
      </c>
      <c r="O312" s="7">
        <v>3</v>
      </c>
      <c r="P312" s="8">
        <v>45148.728888888887</v>
      </c>
      <c r="Q312" s="9">
        <v>45150</v>
      </c>
      <c r="R312" t="s">
        <v>37</v>
      </c>
      <c r="S312" t="s">
        <v>44</v>
      </c>
      <c r="T312" t="s">
        <v>53</v>
      </c>
      <c r="U312" t="s">
        <v>67</v>
      </c>
      <c r="V312" t="s">
        <v>1081</v>
      </c>
      <c r="W312">
        <v>39100</v>
      </c>
      <c r="X312" t="s">
        <v>44</v>
      </c>
      <c r="Y312" t="s">
        <v>1082</v>
      </c>
      <c r="Z312" t="s">
        <v>49</v>
      </c>
      <c r="AA312" s="10">
        <f>IF(O312&lt;=1,7,7+0.8*ROUNDUP(O312-1,0))</f>
        <v>8.6</v>
      </c>
      <c r="AB312" s="11">
        <v>0</v>
      </c>
      <c r="AC312" s="11">
        <v>0</v>
      </c>
      <c r="AD312" s="11">
        <v>0</v>
      </c>
      <c r="AE312" s="11">
        <v>0</v>
      </c>
      <c r="AF312" s="11">
        <f t="shared" si="10"/>
        <v>0.51600000000000001</v>
      </c>
      <c r="AG312" s="11">
        <f t="shared" si="11"/>
        <v>9.1159999999999997</v>
      </c>
      <c r="AH312" t="s">
        <v>50</v>
      </c>
    </row>
    <row r="313" spans="1:34" ht="15" customHeight="1" x14ac:dyDescent="0.35">
      <c r="A313">
        <v>7547676</v>
      </c>
      <c r="B313">
        <v>690929</v>
      </c>
      <c r="C313" t="s">
        <v>34</v>
      </c>
      <c r="D313" t="s">
        <v>35</v>
      </c>
      <c r="E313" s="6" t="s">
        <v>34</v>
      </c>
      <c r="F313" t="s">
        <v>1084</v>
      </c>
      <c r="G313" t="s">
        <v>37</v>
      </c>
      <c r="H313" t="s">
        <v>38</v>
      </c>
      <c r="I313" t="s">
        <v>1080</v>
      </c>
      <c r="J313" t="s">
        <v>40</v>
      </c>
      <c r="K313">
        <v>2</v>
      </c>
      <c r="L313" t="s">
        <v>41</v>
      </c>
      <c r="M313" t="s">
        <v>42</v>
      </c>
      <c r="N313" t="s">
        <v>43</v>
      </c>
      <c r="O313" s="7">
        <v>3</v>
      </c>
      <c r="P313" s="8">
        <v>45148.728888888887</v>
      </c>
      <c r="Q313" s="9">
        <v>45150</v>
      </c>
      <c r="R313" t="s">
        <v>37</v>
      </c>
      <c r="S313" t="s">
        <v>44</v>
      </c>
      <c r="T313" t="s">
        <v>53</v>
      </c>
      <c r="U313" t="s">
        <v>67</v>
      </c>
      <c r="V313" t="s">
        <v>1081</v>
      </c>
      <c r="W313">
        <v>39100</v>
      </c>
      <c r="X313" t="s">
        <v>44</v>
      </c>
      <c r="Y313" t="s">
        <v>1082</v>
      </c>
      <c r="Z313" t="s">
        <v>49</v>
      </c>
      <c r="AA313" s="10">
        <f>IF(O313&lt;=1,7,7+0.8*ROUNDUP(O313-1,0))</f>
        <v>8.6</v>
      </c>
      <c r="AB313" s="11">
        <v>0</v>
      </c>
      <c r="AC313" s="11">
        <v>0</v>
      </c>
      <c r="AD313" s="11">
        <v>0</v>
      </c>
      <c r="AE313" s="11">
        <v>0</v>
      </c>
      <c r="AF313" s="11">
        <f t="shared" si="10"/>
        <v>0.51600000000000001</v>
      </c>
      <c r="AG313" s="11">
        <f t="shared" si="11"/>
        <v>9.1159999999999997</v>
      </c>
      <c r="AH313" t="s">
        <v>50</v>
      </c>
    </row>
    <row r="314" spans="1:34" ht="15" customHeight="1" x14ac:dyDescent="0.35">
      <c r="A314">
        <v>7547676</v>
      </c>
      <c r="B314">
        <v>690929</v>
      </c>
      <c r="C314" t="s">
        <v>34</v>
      </c>
      <c r="D314" t="s">
        <v>35</v>
      </c>
      <c r="E314" s="6" t="s">
        <v>34</v>
      </c>
      <c r="F314" t="s">
        <v>1085</v>
      </c>
      <c r="G314" t="s">
        <v>37</v>
      </c>
      <c r="H314" t="s">
        <v>38</v>
      </c>
      <c r="I314" t="s">
        <v>1086</v>
      </c>
      <c r="J314" t="s">
        <v>40</v>
      </c>
      <c r="K314">
        <v>2</v>
      </c>
      <c r="L314" t="s">
        <v>41</v>
      </c>
      <c r="M314" t="s">
        <v>42</v>
      </c>
      <c r="N314" t="s">
        <v>43</v>
      </c>
      <c r="O314" s="7">
        <v>1</v>
      </c>
      <c r="P314" s="8">
        <v>45148.706736111111</v>
      </c>
      <c r="Q314" s="9">
        <v>45150</v>
      </c>
      <c r="R314" t="s">
        <v>37</v>
      </c>
      <c r="S314" t="s">
        <v>44</v>
      </c>
      <c r="T314" t="s">
        <v>53</v>
      </c>
      <c r="U314" t="s">
        <v>210</v>
      </c>
      <c r="V314" t="s">
        <v>1087</v>
      </c>
      <c r="W314">
        <v>9700</v>
      </c>
      <c r="X314" t="s">
        <v>44</v>
      </c>
      <c r="Y314" t="s">
        <v>136</v>
      </c>
      <c r="Z314" t="s">
        <v>49</v>
      </c>
      <c r="AA314" s="10">
        <f>IF(O314&lt;=1,7,7+0.8*ROUNDUP(O314-1,0))</f>
        <v>7</v>
      </c>
      <c r="AB314" s="11">
        <v>0</v>
      </c>
      <c r="AC314" s="11">
        <v>0</v>
      </c>
      <c r="AD314" s="11">
        <v>0</v>
      </c>
      <c r="AE314" s="11">
        <v>0</v>
      </c>
      <c r="AF314" s="11">
        <f t="shared" si="10"/>
        <v>0.42</v>
      </c>
      <c r="AG314" s="11">
        <f t="shared" si="11"/>
        <v>7.42</v>
      </c>
      <c r="AH314" t="s">
        <v>50</v>
      </c>
    </row>
    <row r="315" spans="1:34" ht="15" customHeight="1" x14ac:dyDescent="0.35">
      <c r="A315">
        <v>7547676</v>
      </c>
      <c r="B315">
        <v>690929</v>
      </c>
      <c r="C315" t="s">
        <v>34</v>
      </c>
      <c r="D315" t="s">
        <v>35</v>
      </c>
      <c r="E315" s="6" t="s">
        <v>34</v>
      </c>
      <c r="F315" t="s">
        <v>1088</v>
      </c>
      <c r="G315" t="s">
        <v>37</v>
      </c>
      <c r="H315" t="s">
        <v>38</v>
      </c>
      <c r="I315" t="s">
        <v>1089</v>
      </c>
      <c r="J315" t="s">
        <v>40</v>
      </c>
      <c r="K315">
        <v>2</v>
      </c>
      <c r="L315" t="s">
        <v>41</v>
      </c>
      <c r="M315" t="s">
        <v>42</v>
      </c>
      <c r="N315" t="s">
        <v>43</v>
      </c>
      <c r="O315" s="7">
        <v>2</v>
      </c>
      <c r="P315" s="8">
        <v>45148.597025462965</v>
      </c>
      <c r="Q315" s="9">
        <v>45150</v>
      </c>
      <c r="R315" t="s">
        <v>37</v>
      </c>
      <c r="S315" t="s">
        <v>44</v>
      </c>
      <c r="T315" t="s">
        <v>53</v>
      </c>
      <c r="U315" t="s">
        <v>67</v>
      </c>
      <c r="V315" t="s">
        <v>1090</v>
      </c>
      <c r="W315">
        <v>28700</v>
      </c>
      <c r="X315" t="s">
        <v>44</v>
      </c>
      <c r="Y315" t="s">
        <v>993</v>
      </c>
      <c r="Z315" t="s">
        <v>49</v>
      </c>
      <c r="AA315" s="10">
        <f>IF(O315&lt;=1,7,7+0.8*ROUNDUP(O315-1,0))</f>
        <v>7.8</v>
      </c>
      <c r="AB315" s="11">
        <v>0</v>
      </c>
      <c r="AC315" s="11">
        <v>0</v>
      </c>
      <c r="AD315" s="11">
        <v>0</v>
      </c>
      <c r="AE315" s="11">
        <v>0</v>
      </c>
      <c r="AF315" s="11">
        <f t="shared" si="10"/>
        <v>0.46799999999999997</v>
      </c>
      <c r="AG315" s="11">
        <f t="shared" si="11"/>
        <v>8.2680000000000007</v>
      </c>
      <c r="AH315" t="s">
        <v>50</v>
      </c>
    </row>
    <row r="316" spans="1:34" ht="15" customHeight="1" x14ac:dyDescent="0.35">
      <c r="A316">
        <v>7547676</v>
      </c>
      <c r="B316">
        <v>690929</v>
      </c>
      <c r="C316" t="s">
        <v>34</v>
      </c>
      <c r="D316" t="s">
        <v>35</v>
      </c>
      <c r="E316" s="6" t="s">
        <v>34</v>
      </c>
      <c r="F316" t="s">
        <v>1091</v>
      </c>
      <c r="G316" t="s">
        <v>37</v>
      </c>
      <c r="H316" t="s">
        <v>38</v>
      </c>
      <c r="I316" t="s">
        <v>1092</v>
      </c>
      <c r="J316" t="s">
        <v>40</v>
      </c>
      <c r="K316">
        <v>2</v>
      </c>
      <c r="L316" t="s">
        <v>41</v>
      </c>
      <c r="M316" t="s">
        <v>42</v>
      </c>
      <c r="N316" t="s">
        <v>43</v>
      </c>
      <c r="O316" s="7">
        <v>1</v>
      </c>
      <c r="P316" s="8">
        <v>45147.755509259259</v>
      </c>
      <c r="Q316" s="9">
        <v>45150</v>
      </c>
      <c r="R316" t="s">
        <v>37</v>
      </c>
      <c r="S316" t="s">
        <v>44</v>
      </c>
      <c r="T316" t="s">
        <v>53</v>
      </c>
      <c r="U316" t="s">
        <v>197</v>
      </c>
      <c r="V316" t="s">
        <v>1093</v>
      </c>
      <c r="W316">
        <v>86600</v>
      </c>
      <c r="X316" t="s">
        <v>44</v>
      </c>
      <c r="Y316" t="s">
        <v>752</v>
      </c>
      <c r="Z316" t="s">
        <v>49</v>
      </c>
      <c r="AA316" s="10">
        <f>IF(O316&lt;=1,7,7+0.8*ROUNDUP(O316-1,0))</f>
        <v>7</v>
      </c>
      <c r="AB316" s="11">
        <v>0</v>
      </c>
      <c r="AC316" s="11">
        <v>0</v>
      </c>
      <c r="AD316" s="11">
        <v>0</v>
      </c>
      <c r="AE316" s="11">
        <v>0</v>
      </c>
      <c r="AF316" s="11">
        <f t="shared" si="10"/>
        <v>0.42</v>
      </c>
      <c r="AG316" s="11">
        <f t="shared" si="11"/>
        <v>7.42</v>
      </c>
      <c r="AH316" t="s">
        <v>50</v>
      </c>
    </row>
    <row r="317" spans="1:34" ht="15" customHeight="1" x14ac:dyDescent="0.35">
      <c r="A317">
        <v>7547676</v>
      </c>
      <c r="B317">
        <v>690929</v>
      </c>
      <c r="C317" t="s">
        <v>34</v>
      </c>
      <c r="D317" t="s">
        <v>35</v>
      </c>
      <c r="E317" s="6" t="s">
        <v>34</v>
      </c>
      <c r="F317" t="s">
        <v>1094</v>
      </c>
      <c r="G317" t="s">
        <v>37</v>
      </c>
      <c r="H317" t="s">
        <v>38</v>
      </c>
      <c r="I317" t="s">
        <v>1095</v>
      </c>
      <c r="J317" t="s">
        <v>40</v>
      </c>
      <c r="K317">
        <v>2</v>
      </c>
      <c r="L317" t="s">
        <v>41</v>
      </c>
      <c r="M317" t="s">
        <v>42</v>
      </c>
      <c r="N317" t="s">
        <v>43</v>
      </c>
      <c r="O317" s="7">
        <v>2</v>
      </c>
      <c r="P317" s="8">
        <v>45147.771840277775</v>
      </c>
      <c r="Q317" s="9">
        <v>45150</v>
      </c>
      <c r="R317" t="s">
        <v>37</v>
      </c>
      <c r="S317" t="s">
        <v>44</v>
      </c>
      <c r="T317" t="s">
        <v>53</v>
      </c>
      <c r="U317" t="s">
        <v>210</v>
      </c>
      <c r="V317" t="s">
        <v>1096</v>
      </c>
      <c r="W317">
        <v>6000</v>
      </c>
      <c r="X317" t="s">
        <v>44</v>
      </c>
      <c r="Y317" t="s">
        <v>288</v>
      </c>
      <c r="Z317" t="s">
        <v>49</v>
      </c>
      <c r="AA317" s="10">
        <f>IF(O317&lt;=1,7,7+0.8*ROUNDUP(O317-1,0))</f>
        <v>7.8</v>
      </c>
      <c r="AB317" s="11">
        <v>0</v>
      </c>
      <c r="AC317" s="11">
        <v>0</v>
      </c>
      <c r="AD317" s="11">
        <v>0</v>
      </c>
      <c r="AE317" s="11">
        <v>0</v>
      </c>
      <c r="AF317" s="11">
        <f t="shared" si="10"/>
        <v>0.46799999999999997</v>
      </c>
      <c r="AG317" s="11">
        <f t="shared" si="11"/>
        <v>8.2680000000000007</v>
      </c>
      <c r="AH317" t="s">
        <v>50</v>
      </c>
    </row>
    <row r="318" spans="1:34" ht="15" customHeight="1" x14ac:dyDescent="0.35">
      <c r="A318">
        <v>7547676</v>
      </c>
      <c r="B318">
        <v>690929</v>
      </c>
      <c r="C318" t="s">
        <v>34</v>
      </c>
      <c r="D318" t="s">
        <v>35</v>
      </c>
      <c r="E318" s="6" t="s">
        <v>34</v>
      </c>
      <c r="F318" t="s">
        <v>1097</v>
      </c>
      <c r="G318" t="s">
        <v>37</v>
      </c>
      <c r="H318" t="s">
        <v>38</v>
      </c>
      <c r="I318" t="s">
        <v>1098</v>
      </c>
      <c r="J318" t="s">
        <v>40</v>
      </c>
      <c r="K318">
        <v>2</v>
      </c>
      <c r="L318" t="s">
        <v>41</v>
      </c>
      <c r="M318" t="s">
        <v>42</v>
      </c>
      <c r="N318" t="s">
        <v>43</v>
      </c>
      <c r="O318" s="7">
        <v>5</v>
      </c>
      <c r="P318" s="8">
        <v>45148.706770833334</v>
      </c>
      <c r="Q318" s="9">
        <v>45150</v>
      </c>
      <c r="R318" t="s">
        <v>37</v>
      </c>
      <c r="S318" t="s">
        <v>44</v>
      </c>
      <c r="T318" t="s">
        <v>53</v>
      </c>
      <c r="U318" t="s">
        <v>197</v>
      </c>
      <c r="V318" t="s">
        <v>1099</v>
      </c>
      <c r="W318">
        <v>81300</v>
      </c>
      <c r="X318" t="s">
        <v>44</v>
      </c>
      <c r="Y318" t="s">
        <v>1100</v>
      </c>
      <c r="Z318" t="s">
        <v>49</v>
      </c>
      <c r="AA318" s="10">
        <f>IF(O318&lt;=1,7,7+0.8*ROUNDUP(O318-1,0))</f>
        <v>10.199999999999999</v>
      </c>
      <c r="AB318" s="11">
        <v>0</v>
      </c>
      <c r="AC318" s="11">
        <v>0</v>
      </c>
      <c r="AD318" s="11">
        <v>0</v>
      </c>
      <c r="AE318" s="11">
        <v>0</v>
      </c>
      <c r="AF318" s="11">
        <f t="shared" si="10"/>
        <v>0.61199999999999999</v>
      </c>
      <c r="AG318" s="11">
        <f t="shared" si="11"/>
        <v>10.811999999999999</v>
      </c>
      <c r="AH318" t="s">
        <v>50</v>
      </c>
    </row>
    <row r="319" spans="1:34" ht="15" customHeight="1" x14ac:dyDescent="0.35">
      <c r="A319">
        <v>7547676</v>
      </c>
      <c r="B319">
        <v>690929</v>
      </c>
      <c r="C319" t="s">
        <v>34</v>
      </c>
      <c r="D319" t="s">
        <v>35</v>
      </c>
      <c r="E319" s="6" t="s">
        <v>34</v>
      </c>
      <c r="F319" t="s">
        <v>1101</v>
      </c>
      <c r="G319" t="s">
        <v>37</v>
      </c>
      <c r="H319" t="s">
        <v>38</v>
      </c>
      <c r="I319" t="s">
        <v>1102</v>
      </c>
      <c r="J319" t="s">
        <v>40</v>
      </c>
      <c r="K319">
        <v>2</v>
      </c>
      <c r="L319" t="s">
        <v>41</v>
      </c>
      <c r="M319" t="s">
        <v>42</v>
      </c>
      <c r="N319" t="s">
        <v>43</v>
      </c>
      <c r="O319" s="7">
        <v>1</v>
      </c>
      <c r="P319" s="8">
        <v>45146.591365740744</v>
      </c>
      <c r="Q319" s="9">
        <v>45151</v>
      </c>
      <c r="R319" t="s">
        <v>37</v>
      </c>
      <c r="S319" t="s">
        <v>44</v>
      </c>
      <c r="T319" t="s">
        <v>53</v>
      </c>
      <c r="U319" t="s">
        <v>210</v>
      </c>
      <c r="V319" t="s">
        <v>1103</v>
      </c>
      <c r="W319">
        <v>7000</v>
      </c>
      <c r="X319" t="s">
        <v>44</v>
      </c>
      <c r="Y319" t="s">
        <v>136</v>
      </c>
      <c r="Z319" t="s">
        <v>49</v>
      </c>
      <c r="AA319" s="10">
        <f>IF(O319&lt;=1,7,7+0.8*ROUNDUP(O319-1,0))</f>
        <v>7</v>
      </c>
      <c r="AB319" s="11">
        <v>0</v>
      </c>
      <c r="AC319" s="11">
        <v>0</v>
      </c>
      <c r="AD319" s="11">
        <v>0</v>
      </c>
      <c r="AE319" s="11">
        <v>0</v>
      </c>
      <c r="AF319" s="11">
        <f t="shared" si="10"/>
        <v>0.42</v>
      </c>
      <c r="AG319" s="11">
        <f t="shared" si="11"/>
        <v>7.42</v>
      </c>
      <c r="AH319" t="s">
        <v>50</v>
      </c>
    </row>
    <row r="320" spans="1:34" ht="15" customHeight="1" x14ac:dyDescent="0.35">
      <c r="A320">
        <v>7547676</v>
      </c>
      <c r="B320">
        <v>690929</v>
      </c>
      <c r="C320" t="s">
        <v>34</v>
      </c>
      <c r="D320" t="s">
        <v>35</v>
      </c>
      <c r="E320" s="6" t="s">
        <v>34</v>
      </c>
      <c r="F320" t="s">
        <v>1104</v>
      </c>
      <c r="G320" t="s">
        <v>37</v>
      </c>
      <c r="H320" t="s">
        <v>38</v>
      </c>
      <c r="I320" t="s">
        <v>1105</v>
      </c>
      <c r="J320" t="s">
        <v>40</v>
      </c>
      <c r="K320">
        <v>2</v>
      </c>
      <c r="L320" t="s">
        <v>41</v>
      </c>
      <c r="M320" t="s">
        <v>42</v>
      </c>
      <c r="N320" t="s">
        <v>43</v>
      </c>
      <c r="O320" s="7">
        <v>7</v>
      </c>
      <c r="P320" s="8">
        <v>45150.770162037035</v>
      </c>
      <c r="Q320" s="9">
        <v>45152</v>
      </c>
      <c r="R320" t="s">
        <v>37</v>
      </c>
      <c r="S320" t="s">
        <v>44</v>
      </c>
      <c r="T320" t="s">
        <v>53</v>
      </c>
      <c r="U320" t="s">
        <v>54</v>
      </c>
      <c r="V320" t="s">
        <v>1106</v>
      </c>
      <c r="W320">
        <v>55100</v>
      </c>
      <c r="X320" t="s">
        <v>44</v>
      </c>
      <c r="Y320" t="s">
        <v>876</v>
      </c>
      <c r="Z320" t="s">
        <v>49</v>
      </c>
      <c r="AA320" s="10">
        <f>IF(O320&lt;=1,7,7+0.8*ROUNDUP(O320-1,0))</f>
        <v>11.8</v>
      </c>
      <c r="AB320" s="11">
        <v>0</v>
      </c>
      <c r="AC320" s="11">
        <v>0</v>
      </c>
      <c r="AD320" s="11">
        <v>0</v>
      </c>
      <c r="AE320" s="11">
        <v>0</v>
      </c>
      <c r="AF320" s="11">
        <f t="shared" si="10"/>
        <v>0.70799999999999996</v>
      </c>
      <c r="AG320" s="11">
        <f t="shared" si="11"/>
        <v>12.508000000000001</v>
      </c>
      <c r="AH320" t="s">
        <v>50</v>
      </c>
    </row>
    <row r="321" spans="1:34" ht="15" customHeight="1" x14ac:dyDescent="0.35">
      <c r="A321">
        <v>7547676</v>
      </c>
      <c r="B321">
        <v>690929</v>
      </c>
      <c r="C321" t="s">
        <v>34</v>
      </c>
      <c r="D321" t="s">
        <v>35</v>
      </c>
      <c r="E321" s="6" t="s">
        <v>34</v>
      </c>
      <c r="F321" t="s">
        <v>1107</v>
      </c>
      <c r="G321" t="s">
        <v>37</v>
      </c>
      <c r="H321" t="s">
        <v>38</v>
      </c>
      <c r="I321" t="s">
        <v>39</v>
      </c>
      <c r="J321" t="s">
        <v>40</v>
      </c>
      <c r="K321">
        <v>2</v>
      </c>
      <c r="L321" t="s">
        <v>41</v>
      </c>
      <c r="M321" t="s">
        <v>42</v>
      </c>
      <c r="N321" t="s">
        <v>43</v>
      </c>
      <c r="O321" s="7">
        <v>22</v>
      </c>
      <c r="P321" s="8">
        <v>45148.750497685185</v>
      </c>
      <c r="Q321" s="9">
        <v>45152</v>
      </c>
      <c r="R321" t="s">
        <v>37</v>
      </c>
      <c r="S321" t="s">
        <v>44</v>
      </c>
      <c r="T321" t="s">
        <v>45</v>
      </c>
      <c r="U321" t="s">
        <v>46</v>
      </c>
      <c r="V321" t="s">
        <v>47</v>
      </c>
      <c r="W321">
        <v>13200</v>
      </c>
      <c r="X321" t="s">
        <v>44</v>
      </c>
      <c r="Y321" t="s">
        <v>48</v>
      </c>
      <c r="Z321" t="s">
        <v>49</v>
      </c>
      <c r="AA321" s="10">
        <f>IF(O321&lt;=1,7,7+0.8*ROUNDUP(O321-1,0))</f>
        <v>23.8</v>
      </c>
      <c r="AB321" s="11">
        <v>0</v>
      </c>
      <c r="AC321" s="11">
        <v>0</v>
      </c>
      <c r="AD321" s="11">
        <v>0</v>
      </c>
      <c r="AE321" s="11">
        <v>0</v>
      </c>
      <c r="AF321" s="11">
        <f t="shared" si="10"/>
        <v>1.4279999999999999</v>
      </c>
      <c r="AG321" s="11">
        <f t="shared" si="11"/>
        <v>25.228000000000002</v>
      </c>
      <c r="AH321" t="s">
        <v>50</v>
      </c>
    </row>
    <row r="322" spans="1:34" ht="15" customHeight="1" x14ac:dyDescent="0.35">
      <c r="A322">
        <v>7547676</v>
      </c>
      <c r="B322">
        <v>690929</v>
      </c>
      <c r="C322" t="s">
        <v>34</v>
      </c>
      <c r="D322" t="s">
        <v>35</v>
      </c>
      <c r="E322" s="6" t="s">
        <v>34</v>
      </c>
      <c r="F322" t="s">
        <v>1108</v>
      </c>
      <c r="G322" t="s">
        <v>37</v>
      </c>
      <c r="H322" t="s">
        <v>38</v>
      </c>
      <c r="I322" t="s">
        <v>1109</v>
      </c>
      <c r="J322" t="s">
        <v>40</v>
      </c>
      <c r="K322">
        <v>2</v>
      </c>
      <c r="L322" t="s">
        <v>41</v>
      </c>
      <c r="M322" t="s">
        <v>42</v>
      </c>
      <c r="N322" t="s">
        <v>43</v>
      </c>
      <c r="O322" s="7">
        <v>1</v>
      </c>
      <c r="P322" s="8">
        <v>45148.708611111113</v>
      </c>
      <c r="Q322" s="9">
        <v>45152</v>
      </c>
      <c r="R322" t="s">
        <v>37</v>
      </c>
      <c r="S322" t="s">
        <v>44</v>
      </c>
      <c r="T322" t="s">
        <v>53</v>
      </c>
      <c r="U322" t="s">
        <v>54</v>
      </c>
      <c r="V322" t="s">
        <v>1110</v>
      </c>
      <c r="W322">
        <v>68100</v>
      </c>
      <c r="X322" t="s">
        <v>44</v>
      </c>
      <c r="Y322" t="s">
        <v>1111</v>
      </c>
      <c r="Z322" t="s">
        <v>49</v>
      </c>
      <c r="AA322" s="10">
        <f>IF(O322&lt;=1,7,7+0.8*ROUNDUP(O322-1,0))</f>
        <v>7</v>
      </c>
      <c r="AB322" s="11">
        <v>0</v>
      </c>
      <c r="AC322" s="11">
        <v>0</v>
      </c>
      <c r="AD322" s="11">
        <v>0</v>
      </c>
      <c r="AE322" s="11">
        <v>0</v>
      </c>
      <c r="AF322" s="11">
        <f t="shared" si="10"/>
        <v>0.42</v>
      </c>
      <c r="AG322" s="11">
        <f t="shared" si="11"/>
        <v>7.42</v>
      </c>
      <c r="AH322" t="s">
        <v>50</v>
      </c>
    </row>
    <row r="323" spans="1:34" ht="15" customHeight="1" x14ac:dyDescent="0.35">
      <c r="A323">
        <v>7547676</v>
      </c>
      <c r="B323">
        <v>690929</v>
      </c>
      <c r="C323" t="s">
        <v>34</v>
      </c>
      <c r="D323" t="s">
        <v>35</v>
      </c>
      <c r="E323" s="6" t="s">
        <v>34</v>
      </c>
      <c r="F323" t="s">
        <v>1112</v>
      </c>
      <c r="H323" t="s">
        <v>38</v>
      </c>
      <c r="I323" t="s">
        <v>1113</v>
      </c>
      <c r="J323" t="s">
        <v>40</v>
      </c>
      <c r="K323">
        <v>2</v>
      </c>
      <c r="L323" t="s">
        <v>41</v>
      </c>
      <c r="M323" t="s">
        <v>42</v>
      </c>
      <c r="N323" t="s">
        <v>43</v>
      </c>
      <c r="O323" s="7">
        <v>3</v>
      </c>
      <c r="P323" s="8">
        <v>45164.638599537036</v>
      </c>
      <c r="Q323" s="9">
        <v>45166</v>
      </c>
      <c r="S323" t="s">
        <v>44</v>
      </c>
      <c r="T323" t="s">
        <v>53</v>
      </c>
      <c r="U323" t="s">
        <v>54</v>
      </c>
      <c r="V323" t="s">
        <v>1114</v>
      </c>
      <c r="W323">
        <v>45200</v>
      </c>
      <c r="X323" t="s">
        <v>44</v>
      </c>
      <c r="Y323" t="s">
        <v>136</v>
      </c>
      <c r="Z323" t="s">
        <v>49</v>
      </c>
      <c r="AA323" s="10">
        <f>IF(O323&lt;=1,7,7+0.8*ROUNDUP(O323-1,0))</f>
        <v>8.6</v>
      </c>
      <c r="AB323" s="11">
        <v>0</v>
      </c>
      <c r="AC323" s="11">
        <v>0</v>
      </c>
      <c r="AD323" s="11">
        <v>0</v>
      </c>
      <c r="AE323" s="11">
        <v>0</v>
      </c>
      <c r="AF323" s="11">
        <f t="shared" si="10"/>
        <v>0.51600000000000001</v>
      </c>
      <c r="AG323" s="11">
        <f t="shared" si="11"/>
        <v>9.1159999999999997</v>
      </c>
      <c r="AH323" t="s">
        <v>50</v>
      </c>
    </row>
    <row r="324" spans="1:34" ht="15" customHeight="1" x14ac:dyDescent="0.35">
      <c r="A324">
        <v>7547676</v>
      </c>
      <c r="B324">
        <v>690929</v>
      </c>
      <c r="C324" t="s">
        <v>34</v>
      </c>
      <c r="D324" t="s">
        <v>35</v>
      </c>
      <c r="E324" s="6" t="s">
        <v>34</v>
      </c>
      <c r="F324" t="s">
        <v>1115</v>
      </c>
      <c r="H324" t="s">
        <v>38</v>
      </c>
      <c r="I324" t="s">
        <v>1116</v>
      </c>
      <c r="J324" t="s">
        <v>40</v>
      </c>
      <c r="K324">
        <v>2</v>
      </c>
      <c r="L324" t="s">
        <v>41</v>
      </c>
      <c r="M324" t="s">
        <v>42</v>
      </c>
      <c r="N324" t="s">
        <v>43</v>
      </c>
      <c r="O324" s="7">
        <v>1</v>
      </c>
      <c r="P324" s="8">
        <v>45164.427986111114</v>
      </c>
      <c r="Q324" s="9">
        <v>45166</v>
      </c>
      <c r="S324" t="s">
        <v>44</v>
      </c>
      <c r="T324" t="s">
        <v>53</v>
      </c>
      <c r="U324" t="s">
        <v>202</v>
      </c>
      <c r="V324" t="s">
        <v>1117</v>
      </c>
      <c r="W324">
        <v>75400</v>
      </c>
      <c r="X324" t="s">
        <v>44</v>
      </c>
      <c r="Y324" t="s">
        <v>136</v>
      </c>
      <c r="Z324" t="s">
        <v>49</v>
      </c>
      <c r="AA324" s="10">
        <f>IF(O324&lt;=1,7,7+0.8*ROUNDUP(O324-1,0))</f>
        <v>7</v>
      </c>
      <c r="AB324" s="11">
        <v>0</v>
      </c>
      <c r="AC324" s="11">
        <v>0</v>
      </c>
      <c r="AD324" s="11">
        <v>0</v>
      </c>
      <c r="AE324" s="11">
        <v>0</v>
      </c>
      <c r="AF324" s="11">
        <f t="shared" si="10"/>
        <v>0.42</v>
      </c>
      <c r="AG324" s="11">
        <f t="shared" si="11"/>
        <v>7.42</v>
      </c>
      <c r="AH324" t="s">
        <v>50</v>
      </c>
    </row>
    <row r="325" spans="1:34" ht="15" customHeight="1" x14ac:dyDescent="0.35">
      <c r="A325">
        <v>7547676</v>
      </c>
      <c r="B325">
        <v>690929</v>
      </c>
      <c r="C325" t="s">
        <v>34</v>
      </c>
      <c r="D325" t="s">
        <v>35</v>
      </c>
      <c r="E325" s="6" t="s">
        <v>34</v>
      </c>
      <c r="F325" t="s">
        <v>1118</v>
      </c>
      <c r="H325" t="s">
        <v>38</v>
      </c>
      <c r="I325" t="s">
        <v>1119</v>
      </c>
      <c r="J325" t="s">
        <v>40</v>
      </c>
      <c r="K325">
        <v>2</v>
      </c>
      <c r="L325" t="s">
        <v>41</v>
      </c>
      <c r="M325" t="s">
        <v>42</v>
      </c>
      <c r="N325" t="s">
        <v>43</v>
      </c>
      <c r="O325" s="7">
        <v>1</v>
      </c>
      <c r="P325" s="8">
        <v>45164.715983796297</v>
      </c>
      <c r="Q325" s="9">
        <v>45166</v>
      </c>
      <c r="S325" t="s">
        <v>44</v>
      </c>
      <c r="T325" t="s">
        <v>53</v>
      </c>
      <c r="U325" t="s">
        <v>177</v>
      </c>
      <c r="V325" t="s">
        <v>1120</v>
      </c>
      <c r="W325">
        <v>71750</v>
      </c>
      <c r="X325" t="s">
        <v>44</v>
      </c>
      <c r="Y325" t="s">
        <v>361</v>
      </c>
      <c r="Z325" t="s">
        <v>49</v>
      </c>
      <c r="AA325" s="10">
        <f>IF(O325&lt;=1,7,7+0.8*ROUNDUP(O325-1,0))</f>
        <v>7</v>
      </c>
      <c r="AB325" s="11">
        <v>0</v>
      </c>
      <c r="AC325" s="11">
        <v>0</v>
      </c>
      <c r="AD325" s="11">
        <v>0</v>
      </c>
      <c r="AE325" s="11">
        <v>0</v>
      </c>
      <c r="AF325" s="11">
        <f t="shared" si="10"/>
        <v>0.42</v>
      </c>
      <c r="AG325" s="11">
        <f t="shared" si="11"/>
        <v>7.42</v>
      </c>
      <c r="AH325" t="s">
        <v>50</v>
      </c>
    </row>
    <row r="326" spans="1:34" ht="15" customHeight="1" x14ac:dyDescent="0.35">
      <c r="A326">
        <v>7547676</v>
      </c>
      <c r="B326">
        <v>690929</v>
      </c>
      <c r="C326" t="s">
        <v>34</v>
      </c>
      <c r="D326" t="s">
        <v>35</v>
      </c>
      <c r="E326" s="6" t="s">
        <v>34</v>
      </c>
      <c r="F326" t="s">
        <v>1121</v>
      </c>
      <c r="H326" t="s">
        <v>38</v>
      </c>
      <c r="I326" t="s">
        <v>1122</v>
      </c>
      <c r="J326" t="s">
        <v>40</v>
      </c>
      <c r="K326">
        <v>2</v>
      </c>
      <c r="L326" t="s">
        <v>41</v>
      </c>
      <c r="M326" t="s">
        <v>42</v>
      </c>
      <c r="N326" t="s">
        <v>43</v>
      </c>
      <c r="O326" s="7">
        <v>1</v>
      </c>
      <c r="P326" s="8">
        <v>45165.478043981479</v>
      </c>
      <c r="Q326" s="9">
        <v>45166</v>
      </c>
      <c r="S326" t="s">
        <v>44</v>
      </c>
      <c r="T326" t="s">
        <v>53</v>
      </c>
      <c r="U326" t="s">
        <v>59</v>
      </c>
      <c r="V326" t="s">
        <v>1123</v>
      </c>
      <c r="W326">
        <v>16150</v>
      </c>
      <c r="X326" t="s">
        <v>44</v>
      </c>
      <c r="Y326" t="s">
        <v>53</v>
      </c>
      <c r="Z326" t="s">
        <v>49</v>
      </c>
      <c r="AA326" s="10">
        <f>IF(O326&lt;=1,7,7+0.8*ROUNDUP(O326-1,0))</f>
        <v>7</v>
      </c>
      <c r="AB326" s="11">
        <v>0</v>
      </c>
      <c r="AC326" s="11">
        <v>0</v>
      </c>
      <c r="AD326" s="11">
        <v>0</v>
      </c>
      <c r="AE326" s="11">
        <v>0</v>
      </c>
      <c r="AF326" s="11">
        <f t="shared" si="10"/>
        <v>0.42</v>
      </c>
      <c r="AG326" s="11">
        <f t="shared" si="11"/>
        <v>7.42</v>
      </c>
      <c r="AH326" t="s">
        <v>50</v>
      </c>
    </row>
    <row r="327" spans="1:34" ht="15" customHeight="1" x14ac:dyDescent="0.35">
      <c r="A327">
        <v>7547676</v>
      </c>
      <c r="B327">
        <v>690929</v>
      </c>
      <c r="C327" t="s">
        <v>34</v>
      </c>
      <c r="D327" t="s">
        <v>35</v>
      </c>
      <c r="E327" s="6" t="s">
        <v>34</v>
      </c>
      <c r="F327" t="s">
        <v>1124</v>
      </c>
      <c r="H327" t="s">
        <v>38</v>
      </c>
      <c r="I327" t="s">
        <v>1125</v>
      </c>
      <c r="J327" t="s">
        <v>40</v>
      </c>
      <c r="K327">
        <v>2</v>
      </c>
      <c r="L327" t="s">
        <v>41</v>
      </c>
      <c r="M327" t="s">
        <v>42</v>
      </c>
      <c r="N327" t="s">
        <v>43</v>
      </c>
      <c r="O327" s="7">
        <v>1</v>
      </c>
      <c r="P327" s="8">
        <v>45164.725405092591</v>
      </c>
      <c r="Q327" s="9">
        <v>45166</v>
      </c>
      <c r="S327" t="s">
        <v>44</v>
      </c>
      <c r="T327" t="s">
        <v>53</v>
      </c>
      <c r="U327" t="s">
        <v>81</v>
      </c>
      <c r="V327" t="s">
        <v>1126</v>
      </c>
      <c r="W327">
        <v>34700</v>
      </c>
      <c r="X327" t="s">
        <v>44</v>
      </c>
      <c r="Y327" t="s">
        <v>136</v>
      </c>
      <c r="Z327" t="s">
        <v>49</v>
      </c>
      <c r="AA327" s="10">
        <f>IF(O327&lt;=1,7,7+0.8*ROUNDUP(O327-1,0))</f>
        <v>7</v>
      </c>
      <c r="AB327" s="11">
        <v>0</v>
      </c>
      <c r="AC327" s="11">
        <v>0</v>
      </c>
      <c r="AD327" s="11">
        <v>0</v>
      </c>
      <c r="AE327" s="11">
        <v>0</v>
      </c>
      <c r="AF327" s="11">
        <f t="shared" si="10"/>
        <v>0.42</v>
      </c>
      <c r="AG327" s="11">
        <f t="shared" si="11"/>
        <v>7.42</v>
      </c>
      <c r="AH327" t="s">
        <v>50</v>
      </c>
    </row>
    <row r="328" spans="1:34" ht="15" customHeight="1" x14ac:dyDescent="0.35">
      <c r="A328">
        <v>7547676</v>
      </c>
      <c r="B328">
        <v>690929</v>
      </c>
      <c r="C328" t="s">
        <v>34</v>
      </c>
      <c r="D328" t="s">
        <v>35</v>
      </c>
      <c r="E328" s="6" t="s">
        <v>34</v>
      </c>
      <c r="F328" t="s">
        <v>1127</v>
      </c>
      <c r="H328" t="s">
        <v>38</v>
      </c>
      <c r="I328" t="s">
        <v>1128</v>
      </c>
      <c r="J328" t="s">
        <v>40</v>
      </c>
      <c r="K328">
        <v>2</v>
      </c>
      <c r="L328" t="s">
        <v>41</v>
      </c>
      <c r="M328" t="s">
        <v>42</v>
      </c>
      <c r="N328" t="s">
        <v>43</v>
      </c>
      <c r="O328" s="7">
        <v>2</v>
      </c>
      <c r="P328" s="8">
        <v>45165.567314814813</v>
      </c>
      <c r="Q328" s="9">
        <v>45166</v>
      </c>
      <c r="S328" t="s">
        <v>44</v>
      </c>
      <c r="T328" t="s">
        <v>53</v>
      </c>
      <c r="U328" t="s">
        <v>54</v>
      </c>
      <c r="V328" t="s">
        <v>1129</v>
      </c>
      <c r="W328">
        <v>43900</v>
      </c>
      <c r="X328" t="s">
        <v>44</v>
      </c>
      <c r="Y328" t="s">
        <v>403</v>
      </c>
      <c r="Z328" t="s">
        <v>49</v>
      </c>
      <c r="AA328" s="10">
        <f>IF(O328&lt;=1,7,7+0.8*ROUNDUP(O328-1,0))</f>
        <v>7.8</v>
      </c>
      <c r="AB328" s="11">
        <v>0</v>
      </c>
      <c r="AC328" s="11">
        <v>0</v>
      </c>
      <c r="AD328" s="11">
        <v>0</v>
      </c>
      <c r="AE328" s="11">
        <v>0</v>
      </c>
      <c r="AF328" s="11">
        <f t="shared" si="10"/>
        <v>0.46799999999999997</v>
      </c>
      <c r="AG328" s="11">
        <f t="shared" si="11"/>
        <v>8.2680000000000007</v>
      </c>
      <c r="AH328" t="s">
        <v>50</v>
      </c>
    </row>
    <row r="329" spans="1:34" ht="15" customHeight="1" x14ac:dyDescent="0.35">
      <c r="A329">
        <v>7547676</v>
      </c>
      <c r="B329">
        <v>690929</v>
      </c>
      <c r="C329" t="s">
        <v>34</v>
      </c>
      <c r="D329" t="s">
        <v>35</v>
      </c>
      <c r="E329" s="6" t="s">
        <v>34</v>
      </c>
      <c r="F329" t="s">
        <v>1130</v>
      </c>
      <c r="H329" t="s">
        <v>38</v>
      </c>
      <c r="I329" t="s">
        <v>1131</v>
      </c>
      <c r="J329" t="s">
        <v>40</v>
      </c>
      <c r="K329">
        <v>2</v>
      </c>
      <c r="L329" t="s">
        <v>41</v>
      </c>
      <c r="M329" t="s">
        <v>42</v>
      </c>
      <c r="N329" t="s">
        <v>43</v>
      </c>
      <c r="O329" s="7">
        <v>3</v>
      </c>
      <c r="P329" s="8">
        <v>45164.710104166668</v>
      </c>
      <c r="Q329" s="9">
        <v>45166</v>
      </c>
      <c r="S329" t="s">
        <v>44</v>
      </c>
      <c r="T329" t="s">
        <v>53</v>
      </c>
      <c r="U329" t="s">
        <v>54</v>
      </c>
      <c r="V329" t="s">
        <v>1132</v>
      </c>
      <c r="W329">
        <v>47650</v>
      </c>
      <c r="X329" t="s">
        <v>44</v>
      </c>
      <c r="Y329" t="s">
        <v>1133</v>
      </c>
      <c r="Z329" t="s">
        <v>49</v>
      </c>
      <c r="AA329" s="10">
        <f>IF(O329&lt;=1,7,7+0.8*ROUNDUP(O329-1,0))</f>
        <v>8.6</v>
      </c>
      <c r="AB329" s="11">
        <v>0</v>
      </c>
      <c r="AC329" s="11">
        <v>0</v>
      </c>
      <c r="AD329" s="11">
        <v>0</v>
      </c>
      <c r="AE329" s="11">
        <v>0</v>
      </c>
      <c r="AF329" s="11">
        <f t="shared" si="10"/>
        <v>0.51600000000000001</v>
      </c>
      <c r="AG329" s="11">
        <f t="shared" si="11"/>
        <v>9.1159999999999997</v>
      </c>
      <c r="AH329" t="s">
        <v>50</v>
      </c>
    </row>
    <row r="330" spans="1:34" ht="15" customHeight="1" x14ac:dyDescent="0.35">
      <c r="A330">
        <v>7547676</v>
      </c>
      <c r="B330">
        <v>690929</v>
      </c>
      <c r="C330" t="s">
        <v>34</v>
      </c>
      <c r="D330" t="s">
        <v>35</v>
      </c>
      <c r="E330" s="6" t="s">
        <v>34</v>
      </c>
      <c r="F330" t="s">
        <v>1134</v>
      </c>
      <c r="H330" t="s">
        <v>38</v>
      </c>
      <c r="I330" t="s">
        <v>1135</v>
      </c>
      <c r="J330" t="s">
        <v>40</v>
      </c>
      <c r="K330">
        <v>2</v>
      </c>
      <c r="L330" t="s">
        <v>41</v>
      </c>
      <c r="M330" t="s">
        <v>42</v>
      </c>
      <c r="N330" t="s">
        <v>43</v>
      </c>
      <c r="O330" s="7">
        <v>2</v>
      </c>
      <c r="P330" s="8">
        <v>45165.558969907404</v>
      </c>
      <c r="Q330" s="9">
        <v>45166</v>
      </c>
      <c r="S330" t="s">
        <v>44</v>
      </c>
      <c r="T330" t="s">
        <v>53</v>
      </c>
      <c r="U330" t="s">
        <v>67</v>
      </c>
      <c r="V330" t="s">
        <v>1136</v>
      </c>
      <c r="W330">
        <v>26400</v>
      </c>
      <c r="X330" t="s">
        <v>44</v>
      </c>
      <c r="Y330" t="s">
        <v>53</v>
      </c>
      <c r="Z330" t="s">
        <v>49</v>
      </c>
      <c r="AA330" s="10">
        <f>IF(O330&lt;=1,7,7+0.8*ROUNDUP(O330-1,0))</f>
        <v>7.8</v>
      </c>
      <c r="AB330" s="11">
        <v>0</v>
      </c>
      <c r="AC330" s="11">
        <v>0</v>
      </c>
      <c r="AD330" s="11">
        <v>0</v>
      </c>
      <c r="AE330" s="11">
        <v>0</v>
      </c>
      <c r="AF330" s="11">
        <f t="shared" si="10"/>
        <v>0.46799999999999997</v>
      </c>
      <c r="AG330" s="11">
        <f t="shared" si="11"/>
        <v>8.2680000000000007</v>
      </c>
      <c r="AH330" t="s">
        <v>50</v>
      </c>
    </row>
    <row r="331" spans="1:34" ht="15" customHeight="1" x14ac:dyDescent="0.35">
      <c r="A331">
        <v>7547676</v>
      </c>
      <c r="B331">
        <v>690929</v>
      </c>
      <c r="C331" t="s">
        <v>34</v>
      </c>
      <c r="D331" t="s">
        <v>35</v>
      </c>
      <c r="E331" s="6" t="s">
        <v>34</v>
      </c>
      <c r="F331" t="s">
        <v>1137</v>
      </c>
      <c r="H331" t="s">
        <v>38</v>
      </c>
      <c r="I331" t="s">
        <v>1138</v>
      </c>
      <c r="J331" t="s">
        <v>40</v>
      </c>
      <c r="K331">
        <v>2</v>
      </c>
      <c r="L331" t="s">
        <v>41</v>
      </c>
      <c r="M331" t="s">
        <v>42</v>
      </c>
      <c r="N331" t="s">
        <v>43</v>
      </c>
      <c r="O331" s="7">
        <v>1</v>
      </c>
      <c r="P331" s="8">
        <v>45164.625057870369</v>
      </c>
      <c r="Q331" s="9">
        <v>45167</v>
      </c>
      <c r="S331" t="s">
        <v>44</v>
      </c>
      <c r="T331" t="s">
        <v>53</v>
      </c>
      <c r="U331" t="s">
        <v>192</v>
      </c>
      <c r="V331" t="s">
        <v>1139</v>
      </c>
      <c r="W331">
        <v>96100</v>
      </c>
      <c r="X331" t="s">
        <v>194</v>
      </c>
      <c r="Y331" t="s">
        <v>136</v>
      </c>
      <c r="Z331" t="s">
        <v>49</v>
      </c>
      <c r="AA331" s="12">
        <f>IF(O331&lt;=1,13,IF(O331&lt;=2,23,IF(O331&lt;=3,35,IF(O331&lt;=4,43,IF(O331&lt;=5,53,IF(O331&lt;=6,63,IF(O331&lt;=7,71,IF(O331&lt;=8,79,IF(O331&lt;=9,87,IF(O331&lt;=10,95,IF(O331&lt;=11,105,IF(O331&lt;=12,114,IF(O331&lt;=13,119,IF(O331&lt;=14,127,IF(O331&lt;=15,135,IF(O331&lt;=16,143,IF(O331&lt;=17,153,IF(O331&lt;=18,163,IF(O331&lt;=19,171,IF(O331&lt;=20,185,IF(O331&lt;=21,193,IF(O331&lt;=22,201,IF(O331&lt;=23,210,IF(O331&lt;=24,220,IF(O331&lt;=25,230,IF(O331&lt;=26,240,IF(O331&lt;=27,250,IF(O331&lt;=28,260,IF(O331&lt;=29,270,IF(O331&lt;=30,280,280+10*ROUNDUP(O331-30,0)))))))))))))))))))))))))))))))</f>
        <v>13</v>
      </c>
      <c r="AB331" s="11">
        <v>0</v>
      </c>
      <c r="AC331" s="11">
        <v>0</v>
      </c>
      <c r="AD331" s="11">
        <v>0</v>
      </c>
      <c r="AE331" s="11">
        <v>0</v>
      </c>
      <c r="AF331" s="11">
        <f t="shared" si="10"/>
        <v>0.78</v>
      </c>
      <c r="AG331" s="11">
        <f t="shared" si="11"/>
        <v>13.78</v>
      </c>
      <c r="AH331" t="s">
        <v>194</v>
      </c>
    </row>
    <row r="332" spans="1:34" ht="15" customHeight="1" x14ac:dyDescent="0.35">
      <c r="A332">
        <v>7547676</v>
      </c>
      <c r="B332">
        <v>690929</v>
      </c>
      <c r="C332" t="s">
        <v>34</v>
      </c>
      <c r="D332" t="s">
        <v>35</v>
      </c>
      <c r="E332" s="6" t="s">
        <v>34</v>
      </c>
      <c r="F332" t="s">
        <v>1140</v>
      </c>
      <c r="H332" t="s">
        <v>38</v>
      </c>
      <c r="I332" t="s">
        <v>1141</v>
      </c>
      <c r="J332" t="s">
        <v>40</v>
      </c>
      <c r="K332">
        <v>2</v>
      </c>
      <c r="L332" t="s">
        <v>41</v>
      </c>
      <c r="M332" t="s">
        <v>42</v>
      </c>
      <c r="N332" t="s">
        <v>43</v>
      </c>
      <c r="O332" s="7">
        <v>6</v>
      </c>
      <c r="P332" s="8">
        <v>45165.754004629627</v>
      </c>
      <c r="Q332" s="9">
        <v>45167</v>
      </c>
      <c r="S332" t="s">
        <v>44</v>
      </c>
      <c r="T332" t="s">
        <v>53</v>
      </c>
      <c r="U332" t="s">
        <v>197</v>
      </c>
      <c r="V332" t="s">
        <v>1142</v>
      </c>
      <c r="W332">
        <v>81200</v>
      </c>
      <c r="X332" t="s">
        <v>44</v>
      </c>
      <c r="Y332" t="s">
        <v>351</v>
      </c>
      <c r="Z332" t="s">
        <v>49</v>
      </c>
      <c r="AA332" s="10">
        <f>IF(O332&lt;=1,7,7+0.8*ROUNDUP(O332-1,0))</f>
        <v>11</v>
      </c>
      <c r="AB332" s="11">
        <v>0</v>
      </c>
      <c r="AC332" s="11">
        <v>0</v>
      </c>
      <c r="AD332" s="11">
        <v>0</v>
      </c>
      <c r="AE332" s="11">
        <v>0</v>
      </c>
      <c r="AF332" s="11">
        <f t="shared" si="10"/>
        <v>0.65999999999999992</v>
      </c>
      <c r="AG332" s="11">
        <f t="shared" si="11"/>
        <v>11.66</v>
      </c>
      <c r="AH332" t="s">
        <v>50</v>
      </c>
    </row>
    <row r="333" spans="1:34" ht="15" customHeight="1" x14ac:dyDescent="0.35">
      <c r="A333">
        <v>7547676</v>
      </c>
      <c r="B333">
        <v>690929</v>
      </c>
      <c r="C333" t="s">
        <v>34</v>
      </c>
      <c r="D333" t="s">
        <v>35</v>
      </c>
      <c r="E333" s="6" t="s">
        <v>34</v>
      </c>
      <c r="F333" t="s">
        <v>1143</v>
      </c>
      <c r="H333" t="s">
        <v>38</v>
      </c>
      <c r="I333" t="s">
        <v>1144</v>
      </c>
      <c r="J333" t="s">
        <v>40</v>
      </c>
      <c r="K333">
        <v>2</v>
      </c>
      <c r="L333" t="s">
        <v>41</v>
      </c>
      <c r="M333" t="s">
        <v>42</v>
      </c>
      <c r="N333" t="s">
        <v>43</v>
      </c>
      <c r="O333" s="7">
        <v>1</v>
      </c>
      <c r="P333" s="8">
        <v>45165.558969907404</v>
      </c>
      <c r="Q333" s="9">
        <v>45167</v>
      </c>
      <c r="S333" t="s">
        <v>44</v>
      </c>
      <c r="T333" t="s">
        <v>53</v>
      </c>
      <c r="U333" t="s">
        <v>81</v>
      </c>
      <c r="V333" t="s">
        <v>1145</v>
      </c>
      <c r="W333">
        <v>34000</v>
      </c>
      <c r="X333" t="s">
        <v>44</v>
      </c>
      <c r="Y333" t="s">
        <v>144</v>
      </c>
      <c r="Z333" t="s">
        <v>49</v>
      </c>
      <c r="AA333" s="10">
        <f>IF(O333&lt;=1,7,7+0.8*ROUNDUP(O333-1,0))</f>
        <v>7</v>
      </c>
      <c r="AB333" s="11">
        <v>0</v>
      </c>
      <c r="AC333" s="11">
        <v>0</v>
      </c>
      <c r="AD333" s="11">
        <v>0</v>
      </c>
      <c r="AE333" s="11">
        <v>0</v>
      </c>
      <c r="AF333" s="11">
        <f t="shared" si="10"/>
        <v>0.42</v>
      </c>
      <c r="AG333" s="11">
        <f t="shared" si="11"/>
        <v>7.42</v>
      </c>
      <c r="AH333" t="s">
        <v>50</v>
      </c>
    </row>
    <row r="334" spans="1:34" ht="15" customHeight="1" x14ac:dyDescent="0.35">
      <c r="A334">
        <v>7547676</v>
      </c>
      <c r="B334">
        <v>690929</v>
      </c>
      <c r="C334" t="s">
        <v>34</v>
      </c>
      <c r="D334" t="s">
        <v>35</v>
      </c>
      <c r="E334" s="6" t="s">
        <v>34</v>
      </c>
      <c r="F334" t="s">
        <v>1146</v>
      </c>
      <c r="H334" t="s">
        <v>38</v>
      </c>
      <c r="I334" t="s">
        <v>1147</v>
      </c>
      <c r="J334" t="s">
        <v>40</v>
      </c>
      <c r="K334">
        <v>2</v>
      </c>
      <c r="L334" t="s">
        <v>41</v>
      </c>
      <c r="M334" t="s">
        <v>42</v>
      </c>
      <c r="N334" t="s">
        <v>43</v>
      </c>
      <c r="O334" s="7">
        <v>1</v>
      </c>
      <c r="P334" s="8">
        <v>45165.700196759259</v>
      </c>
      <c r="Q334" s="9">
        <v>45167</v>
      </c>
      <c r="S334" t="s">
        <v>44</v>
      </c>
      <c r="T334" t="s">
        <v>53</v>
      </c>
      <c r="U334" t="s">
        <v>72</v>
      </c>
      <c r="V334" t="s">
        <v>1148</v>
      </c>
      <c r="W334">
        <v>22200</v>
      </c>
      <c r="X334" t="s">
        <v>44</v>
      </c>
      <c r="Y334" t="s">
        <v>53</v>
      </c>
      <c r="Z334" t="s">
        <v>49</v>
      </c>
      <c r="AA334" s="10">
        <f>IF(O334&lt;=1,7,7+0.8*ROUNDUP(O334-1,0))</f>
        <v>7</v>
      </c>
      <c r="AB334" s="11">
        <v>0</v>
      </c>
      <c r="AC334" s="11">
        <v>0</v>
      </c>
      <c r="AD334" s="11">
        <v>0</v>
      </c>
      <c r="AE334" s="11">
        <v>0</v>
      </c>
      <c r="AF334" s="11">
        <f t="shared" si="10"/>
        <v>0.42</v>
      </c>
      <c r="AG334" s="11">
        <f t="shared" si="11"/>
        <v>7.42</v>
      </c>
      <c r="AH334" t="s">
        <v>50</v>
      </c>
    </row>
    <row r="335" spans="1:34" ht="15" customHeight="1" x14ac:dyDescent="0.35">
      <c r="A335">
        <v>7547676</v>
      </c>
      <c r="B335">
        <v>690929</v>
      </c>
      <c r="C335" t="s">
        <v>34</v>
      </c>
      <c r="D335" t="s">
        <v>35</v>
      </c>
      <c r="E335" s="6" t="s">
        <v>34</v>
      </c>
      <c r="F335" t="s">
        <v>1149</v>
      </c>
      <c r="H335" t="s">
        <v>38</v>
      </c>
      <c r="I335" t="s">
        <v>1150</v>
      </c>
      <c r="J335" t="s">
        <v>40</v>
      </c>
      <c r="K335">
        <v>2</v>
      </c>
      <c r="L335" t="s">
        <v>41</v>
      </c>
      <c r="M335" t="s">
        <v>42</v>
      </c>
      <c r="N335" t="s">
        <v>43</v>
      </c>
      <c r="O335" s="7">
        <v>7</v>
      </c>
      <c r="P335" s="8">
        <v>45166.51630787037</v>
      </c>
      <c r="Q335" s="9">
        <v>45167</v>
      </c>
      <c r="S335" t="s">
        <v>44</v>
      </c>
      <c r="T335" t="s">
        <v>53</v>
      </c>
      <c r="U335" t="s">
        <v>54</v>
      </c>
      <c r="V335" t="s">
        <v>1151</v>
      </c>
      <c r="W335">
        <v>47301</v>
      </c>
      <c r="X335" t="s">
        <v>44</v>
      </c>
      <c r="Y335" t="s">
        <v>501</v>
      </c>
      <c r="Z335" t="s">
        <v>49</v>
      </c>
      <c r="AA335" s="10">
        <f>IF(O335&lt;=1,7,7+0.8*ROUNDUP(O335-1,0))</f>
        <v>11.8</v>
      </c>
      <c r="AB335" s="11">
        <v>0</v>
      </c>
      <c r="AC335" s="11">
        <v>0</v>
      </c>
      <c r="AD335" s="11">
        <v>0</v>
      </c>
      <c r="AE335" s="11">
        <v>0</v>
      </c>
      <c r="AF335" s="11">
        <f t="shared" ref="AF335:AF347" si="12">(AA335+AC335+AE335)*6%</f>
        <v>0.70799999999999996</v>
      </c>
      <c r="AG335" s="11">
        <f t="shared" ref="AG335:AG347" si="13">AA335+AC335+AE335+AF335</f>
        <v>12.508000000000001</v>
      </c>
      <c r="AH335" t="s">
        <v>50</v>
      </c>
    </row>
    <row r="336" spans="1:34" ht="15" customHeight="1" x14ac:dyDescent="0.35">
      <c r="A336">
        <v>7547676</v>
      </c>
      <c r="B336">
        <v>690929</v>
      </c>
      <c r="C336" t="s">
        <v>34</v>
      </c>
      <c r="D336" t="s">
        <v>35</v>
      </c>
      <c r="E336" s="6" t="s">
        <v>34</v>
      </c>
      <c r="F336" t="s">
        <v>1152</v>
      </c>
      <c r="H336" t="s">
        <v>38</v>
      </c>
      <c r="I336" t="s">
        <v>1153</v>
      </c>
      <c r="J336" t="s">
        <v>40</v>
      </c>
      <c r="K336">
        <v>2</v>
      </c>
      <c r="L336" t="s">
        <v>41</v>
      </c>
      <c r="M336" t="s">
        <v>42</v>
      </c>
      <c r="N336" t="s">
        <v>43</v>
      </c>
      <c r="O336" s="7">
        <v>1</v>
      </c>
      <c r="P336" s="8">
        <v>45166.647673611114</v>
      </c>
      <c r="Q336" s="9">
        <v>45167</v>
      </c>
      <c r="S336" t="s">
        <v>44</v>
      </c>
      <c r="T336" t="s">
        <v>53</v>
      </c>
      <c r="U336" t="s">
        <v>54</v>
      </c>
      <c r="V336" t="s">
        <v>1154</v>
      </c>
      <c r="W336">
        <v>43500</v>
      </c>
      <c r="X336" t="s">
        <v>44</v>
      </c>
      <c r="Y336" t="s">
        <v>267</v>
      </c>
      <c r="Z336" t="s">
        <v>49</v>
      </c>
      <c r="AA336" s="10">
        <f>IF(O336&lt;=1,7,7+0.8*ROUNDUP(O336-1,0))</f>
        <v>7</v>
      </c>
      <c r="AB336" s="11">
        <v>0</v>
      </c>
      <c r="AC336" s="11">
        <v>0</v>
      </c>
      <c r="AD336" s="11">
        <v>0</v>
      </c>
      <c r="AE336" s="11">
        <v>0</v>
      </c>
      <c r="AF336" s="11">
        <f t="shared" si="12"/>
        <v>0.42</v>
      </c>
      <c r="AG336" s="11">
        <f t="shared" si="13"/>
        <v>7.42</v>
      </c>
      <c r="AH336" t="s">
        <v>50</v>
      </c>
    </row>
    <row r="337" spans="1:34" ht="15" customHeight="1" x14ac:dyDescent="0.35">
      <c r="A337">
        <v>7547676</v>
      </c>
      <c r="B337">
        <v>690929</v>
      </c>
      <c r="C337" t="s">
        <v>34</v>
      </c>
      <c r="D337" t="s">
        <v>35</v>
      </c>
      <c r="E337" s="6" t="s">
        <v>34</v>
      </c>
      <c r="F337" t="s">
        <v>1155</v>
      </c>
      <c r="H337" t="s">
        <v>38</v>
      </c>
      <c r="I337" t="s">
        <v>1156</v>
      </c>
      <c r="J337" t="s">
        <v>40</v>
      </c>
      <c r="K337">
        <v>2</v>
      </c>
      <c r="L337" t="s">
        <v>41</v>
      </c>
      <c r="M337" t="s">
        <v>42</v>
      </c>
      <c r="N337" t="s">
        <v>43</v>
      </c>
      <c r="O337" s="7">
        <v>2</v>
      </c>
      <c r="P337" s="8">
        <v>45167.485497685186</v>
      </c>
      <c r="Q337" s="9">
        <v>45168</v>
      </c>
      <c r="S337" t="s">
        <v>44</v>
      </c>
      <c r="T337" t="s">
        <v>53</v>
      </c>
      <c r="U337" t="s">
        <v>54</v>
      </c>
      <c r="V337" t="s">
        <v>1157</v>
      </c>
      <c r="W337">
        <v>47100</v>
      </c>
      <c r="X337" t="s">
        <v>44</v>
      </c>
      <c r="Y337" t="s">
        <v>78</v>
      </c>
      <c r="Z337" t="s">
        <v>49</v>
      </c>
      <c r="AA337" s="10">
        <f>IF(O337&lt;=1,7,7+0.8*ROUNDUP(O337-1,0))</f>
        <v>7.8</v>
      </c>
      <c r="AB337" s="11">
        <v>0</v>
      </c>
      <c r="AC337" s="11">
        <v>0</v>
      </c>
      <c r="AD337" s="11">
        <v>0</v>
      </c>
      <c r="AE337" s="11">
        <v>0</v>
      </c>
      <c r="AF337" s="11">
        <f t="shared" si="12"/>
        <v>0.46799999999999997</v>
      </c>
      <c r="AG337" s="11">
        <f t="shared" si="13"/>
        <v>8.2680000000000007</v>
      </c>
      <c r="AH337" t="s">
        <v>50</v>
      </c>
    </row>
    <row r="338" spans="1:34" ht="15" customHeight="1" x14ac:dyDescent="0.35">
      <c r="A338">
        <v>7547676</v>
      </c>
      <c r="B338">
        <v>690929</v>
      </c>
      <c r="C338" t="s">
        <v>34</v>
      </c>
      <c r="D338" t="s">
        <v>35</v>
      </c>
      <c r="E338" s="6" t="s">
        <v>34</v>
      </c>
      <c r="F338" t="s">
        <v>1158</v>
      </c>
      <c r="H338" t="s">
        <v>38</v>
      </c>
      <c r="I338" t="s">
        <v>328</v>
      </c>
      <c r="J338" t="s">
        <v>40</v>
      </c>
      <c r="K338">
        <v>2</v>
      </c>
      <c r="L338" t="s">
        <v>41</v>
      </c>
      <c r="M338" t="s">
        <v>42</v>
      </c>
      <c r="N338" t="s">
        <v>43</v>
      </c>
      <c r="O338" s="7">
        <v>1</v>
      </c>
      <c r="P338" s="8">
        <v>45166.649861111109</v>
      </c>
      <c r="Q338" s="9">
        <v>45168</v>
      </c>
      <c r="S338" t="s">
        <v>44</v>
      </c>
      <c r="T338" t="s">
        <v>53</v>
      </c>
      <c r="U338" t="s">
        <v>46</v>
      </c>
      <c r="V338" t="s">
        <v>329</v>
      </c>
      <c r="W338">
        <v>13400</v>
      </c>
      <c r="X338" t="s">
        <v>44</v>
      </c>
      <c r="Y338" t="s">
        <v>151</v>
      </c>
      <c r="Z338" t="s">
        <v>49</v>
      </c>
      <c r="AA338" s="10">
        <f>IF(O338&lt;=1,7,7+0.8*ROUNDUP(O338-1,0))</f>
        <v>7</v>
      </c>
      <c r="AB338" s="11">
        <v>0</v>
      </c>
      <c r="AC338" s="11">
        <v>0</v>
      </c>
      <c r="AD338" s="11">
        <v>0</v>
      </c>
      <c r="AE338" s="11">
        <v>0</v>
      </c>
      <c r="AF338" s="11">
        <f t="shared" si="12"/>
        <v>0.42</v>
      </c>
      <c r="AG338" s="11">
        <f t="shared" si="13"/>
        <v>7.42</v>
      </c>
      <c r="AH338" t="s">
        <v>50</v>
      </c>
    </row>
    <row r="339" spans="1:34" ht="15" customHeight="1" x14ac:dyDescent="0.35">
      <c r="A339">
        <v>7547676</v>
      </c>
      <c r="B339">
        <v>690929</v>
      </c>
      <c r="C339" t="s">
        <v>34</v>
      </c>
      <c r="D339" t="s">
        <v>35</v>
      </c>
      <c r="E339" s="6" t="s">
        <v>34</v>
      </c>
      <c r="F339" t="s">
        <v>1159</v>
      </c>
      <c r="H339" t="s">
        <v>38</v>
      </c>
      <c r="I339" t="s">
        <v>1160</v>
      </c>
      <c r="J339" t="s">
        <v>40</v>
      </c>
      <c r="K339">
        <v>2</v>
      </c>
      <c r="L339" t="s">
        <v>41</v>
      </c>
      <c r="M339" t="s">
        <v>42</v>
      </c>
      <c r="N339" t="s">
        <v>43</v>
      </c>
      <c r="O339" s="7">
        <v>2</v>
      </c>
      <c r="P339" s="8">
        <v>45167.485497685186</v>
      </c>
      <c r="Q339" s="9">
        <v>45168</v>
      </c>
      <c r="S339" t="s">
        <v>44</v>
      </c>
      <c r="T339" t="s">
        <v>53</v>
      </c>
      <c r="U339" t="s">
        <v>54</v>
      </c>
      <c r="V339" t="s">
        <v>1161</v>
      </c>
      <c r="W339">
        <v>41200</v>
      </c>
      <c r="X339" t="s">
        <v>44</v>
      </c>
      <c r="Y339" t="s">
        <v>1162</v>
      </c>
      <c r="Z339" t="s">
        <v>49</v>
      </c>
      <c r="AA339" s="10">
        <f>IF(O339&lt;=1,7,7+0.8*ROUNDUP(O339-1,0))</f>
        <v>7.8</v>
      </c>
      <c r="AB339" s="11">
        <v>0</v>
      </c>
      <c r="AC339" s="11">
        <v>0</v>
      </c>
      <c r="AD339" s="11">
        <v>0</v>
      </c>
      <c r="AE339" s="11">
        <v>0</v>
      </c>
      <c r="AF339" s="11">
        <f t="shared" si="12"/>
        <v>0.46799999999999997</v>
      </c>
      <c r="AG339" s="11">
        <f t="shared" si="13"/>
        <v>8.2680000000000007</v>
      </c>
      <c r="AH339" t="s">
        <v>50</v>
      </c>
    </row>
    <row r="340" spans="1:34" ht="15" customHeight="1" x14ac:dyDescent="0.35">
      <c r="A340">
        <v>7547676</v>
      </c>
      <c r="B340">
        <v>690929</v>
      </c>
      <c r="C340" t="s">
        <v>34</v>
      </c>
      <c r="D340" t="s">
        <v>35</v>
      </c>
      <c r="E340" s="6" t="s">
        <v>34</v>
      </c>
      <c r="F340" t="s">
        <v>1163</v>
      </c>
      <c r="H340" t="s">
        <v>38</v>
      </c>
      <c r="I340" t="s">
        <v>1164</v>
      </c>
      <c r="J340" t="s">
        <v>40</v>
      </c>
      <c r="K340">
        <v>2</v>
      </c>
      <c r="L340" t="s">
        <v>41</v>
      </c>
      <c r="M340" t="s">
        <v>42</v>
      </c>
      <c r="N340" t="s">
        <v>43</v>
      </c>
      <c r="O340" s="7">
        <v>1</v>
      </c>
      <c r="P340" s="8">
        <v>45167.608877314815</v>
      </c>
      <c r="Q340" s="9">
        <v>45168</v>
      </c>
      <c r="S340" t="s">
        <v>44</v>
      </c>
      <c r="T340" t="s">
        <v>53</v>
      </c>
      <c r="U340" t="s">
        <v>54</v>
      </c>
      <c r="V340" t="s">
        <v>1165</v>
      </c>
      <c r="W340">
        <v>62250</v>
      </c>
      <c r="X340" t="s">
        <v>44</v>
      </c>
      <c r="Y340" t="s">
        <v>396</v>
      </c>
      <c r="Z340" t="s">
        <v>49</v>
      </c>
      <c r="AA340" s="10">
        <f>IF(O340&lt;=1,7,7+0.8*ROUNDUP(O340-1,0))</f>
        <v>7</v>
      </c>
      <c r="AB340" s="11">
        <v>0</v>
      </c>
      <c r="AC340" s="11">
        <v>0</v>
      </c>
      <c r="AD340" s="11">
        <v>0</v>
      </c>
      <c r="AE340" s="11">
        <v>0</v>
      </c>
      <c r="AF340" s="11">
        <f t="shared" si="12"/>
        <v>0.42</v>
      </c>
      <c r="AG340" s="11">
        <f t="shared" si="13"/>
        <v>7.42</v>
      </c>
      <c r="AH340" t="s">
        <v>50</v>
      </c>
    </row>
    <row r="341" spans="1:34" ht="15" customHeight="1" x14ac:dyDescent="0.35">
      <c r="A341">
        <v>7547676</v>
      </c>
      <c r="B341">
        <v>690929</v>
      </c>
      <c r="C341" t="s">
        <v>34</v>
      </c>
      <c r="D341" t="s">
        <v>35</v>
      </c>
      <c r="E341" s="6" t="s">
        <v>34</v>
      </c>
      <c r="F341" t="s">
        <v>1166</v>
      </c>
      <c r="H341" t="s">
        <v>38</v>
      </c>
      <c r="I341" t="s">
        <v>1167</v>
      </c>
      <c r="J341" t="s">
        <v>40</v>
      </c>
      <c r="K341">
        <v>2</v>
      </c>
      <c r="L341" t="s">
        <v>41</v>
      </c>
      <c r="M341" t="s">
        <v>42</v>
      </c>
      <c r="N341" t="s">
        <v>43</v>
      </c>
      <c r="O341" s="7">
        <v>1</v>
      </c>
      <c r="P341" s="8">
        <v>45167.608877314815</v>
      </c>
      <c r="Q341" s="9">
        <v>45168</v>
      </c>
      <c r="S341" t="s">
        <v>44</v>
      </c>
      <c r="T341" t="s">
        <v>53</v>
      </c>
      <c r="U341" t="s">
        <v>59</v>
      </c>
      <c r="V341" t="s">
        <v>1168</v>
      </c>
      <c r="W341">
        <v>16050</v>
      </c>
      <c r="X341" t="s">
        <v>44</v>
      </c>
      <c r="Y341" t="s">
        <v>53</v>
      </c>
      <c r="Z341" t="s">
        <v>49</v>
      </c>
      <c r="AA341" s="10">
        <f>IF(O341&lt;=1,7,7+0.8*ROUNDUP(O341-1,0))</f>
        <v>7</v>
      </c>
      <c r="AB341" s="11">
        <v>0</v>
      </c>
      <c r="AC341" s="11">
        <v>0</v>
      </c>
      <c r="AD341" s="11">
        <v>0</v>
      </c>
      <c r="AE341" s="11">
        <v>0</v>
      </c>
      <c r="AF341" s="11">
        <f t="shared" si="12"/>
        <v>0.42</v>
      </c>
      <c r="AG341" s="11">
        <f t="shared" si="13"/>
        <v>7.42</v>
      </c>
      <c r="AH341" t="s">
        <v>50</v>
      </c>
    </row>
    <row r="342" spans="1:34" ht="15" customHeight="1" x14ac:dyDescent="0.35">
      <c r="A342">
        <v>7547676</v>
      </c>
      <c r="B342">
        <v>690929</v>
      </c>
      <c r="C342" t="s">
        <v>34</v>
      </c>
      <c r="D342" t="s">
        <v>35</v>
      </c>
      <c r="E342" s="6" t="s">
        <v>34</v>
      </c>
      <c r="F342" t="s">
        <v>1169</v>
      </c>
      <c r="H342" t="s">
        <v>38</v>
      </c>
      <c r="I342" t="s">
        <v>1170</v>
      </c>
      <c r="J342" t="s">
        <v>40</v>
      </c>
      <c r="K342">
        <v>2</v>
      </c>
      <c r="L342" t="s">
        <v>41</v>
      </c>
      <c r="M342" t="s">
        <v>42</v>
      </c>
      <c r="N342" t="s">
        <v>43</v>
      </c>
      <c r="O342" s="7">
        <v>1</v>
      </c>
      <c r="P342" s="8">
        <v>45167.608877314815</v>
      </c>
      <c r="Q342" s="9">
        <v>45168</v>
      </c>
      <c r="S342" t="s">
        <v>44</v>
      </c>
      <c r="T342" t="s">
        <v>53</v>
      </c>
      <c r="U342" t="s">
        <v>67</v>
      </c>
      <c r="V342" t="s">
        <v>1171</v>
      </c>
      <c r="W342">
        <v>28000</v>
      </c>
      <c r="X342" t="s">
        <v>44</v>
      </c>
      <c r="Y342" t="s">
        <v>53</v>
      </c>
      <c r="Z342" t="s">
        <v>49</v>
      </c>
      <c r="AA342" s="10">
        <f>IF(O342&lt;=1,7,7+0.8*ROUNDUP(O342-1,0))</f>
        <v>7</v>
      </c>
      <c r="AB342" s="11">
        <v>0</v>
      </c>
      <c r="AC342" s="11">
        <v>0</v>
      </c>
      <c r="AD342" s="11">
        <v>0</v>
      </c>
      <c r="AE342" s="11">
        <v>0</v>
      </c>
      <c r="AF342" s="11">
        <f t="shared" si="12"/>
        <v>0.42</v>
      </c>
      <c r="AG342" s="11">
        <f t="shared" si="13"/>
        <v>7.42</v>
      </c>
      <c r="AH342" t="s">
        <v>50</v>
      </c>
    </row>
    <row r="343" spans="1:34" ht="15" customHeight="1" x14ac:dyDescent="0.35">
      <c r="A343">
        <v>7547676</v>
      </c>
      <c r="B343">
        <v>690929</v>
      </c>
      <c r="C343" t="s">
        <v>34</v>
      </c>
      <c r="D343" t="s">
        <v>35</v>
      </c>
      <c r="E343" s="6" t="s">
        <v>34</v>
      </c>
      <c r="F343" t="s">
        <v>1172</v>
      </c>
      <c r="H343" t="s">
        <v>38</v>
      </c>
      <c r="I343" t="s">
        <v>1173</v>
      </c>
      <c r="J343" t="s">
        <v>40</v>
      </c>
      <c r="K343">
        <v>2</v>
      </c>
      <c r="L343" t="s">
        <v>41</v>
      </c>
      <c r="M343" t="s">
        <v>42</v>
      </c>
      <c r="N343" t="s">
        <v>43</v>
      </c>
      <c r="O343" s="7">
        <v>2</v>
      </c>
      <c r="P343" s="8">
        <v>45167.485497685186</v>
      </c>
      <c r="Q343" s="9">
        <v>45168</v>
      </c>
      <c r="S343" t="s">
        <v>44</v>
      </c>
      <c r="T343" t="s">
        <v>53</v>
      </c>
      <c r="U343" t="s">
        <v>134</v>
      </c>
      <c r="V343" t="s">
        <v>1174</v>
      </c>
      <c r="W343">
        <v>68000</v>
      </c>
      <c r="X343" t="s">
        <v>44</v>
      </c>
      <c r="Y343" t="s">
        <v>428</v>
      </c>
      <c r="Z343" t="s">
        <v>49</v>
      </c>
      <c r="AA343" s="10">
        <f>IF(O343&lt;=1,7,7+0.8*ROUNDUP(O343-1,0))</f>
        <v>7.8</v>
      </c>
      <c r="AB343" s="11">
        <v>0</v>
      </c>
      <c r="AC343" s="11">
        <v>0</v>
      </c>
      <c r="AD343" s="11">
        <v>0</v>
      </c>
      <c r="AE343" s="11">
        <v>0</v>
      </c>
      <c r="AF343" s="11">
        <f t="shared" si="12"/>
        <v>0.46799999999999997</v>
      </c>
      <c r="AG343" s="11">
        <f t="shared" si="13"/>
        <v>8.2680000000000007</v>
      </c>
      <c r="AH343" t="s">
        <v>50</v>
      </c>
    </row>
    <row r="344" spans="1:34" ht="15" customHeight="1" x14ac:dyDescent="0.35">
      <c r="A344">
        <v>7547676</v>
      </c>
      <c r="B344">
        <v>690929</v>
      </c>
      <c r="C344" t="s">
        <v>34</v>
      </c>
      <c r="D344" t="s">
        <v>35</v>
      </c>
      <c r="E344" s="6" t="s">
        <v>34</v>
      </c>
      <c r="F344" t="s">
        <v>1175</v>
      </c>
      <c r="H344" t="s">
        <v>38</v>
      </c>
      <c r="I344" t="s">
        <v>1176</v>
      </c>
      <c r="J344" t="s">
        <v>40</v>
      </c>
      <c r="K344">
        <v>2</v>
      </c>
      <c r="L344" t="s">
        <v>41</v>
      </c>
      <c r="M344" t="s">
        <v>42</v>
      </c>
      <c r="N344" t="s">
        <v>43</v>
      </c>
      <c r="O344" s="7">
        <v>2</v>
      </c>
      <c r="P344" s="8">
        <v>45167.504212962966</v>
      </c>
      <c r="Q344" s="9">
        <v>45168</v>
      </c>
      <c r="S344" t="s">
        <v>44</v>
      </c>
      <c r="T344" t="s">
        <v>53</v>
      </c>
      <c r="U344" t="s">
        <v>134</v>
      </c>
      <c r="V344" t="s">
        <v>1177</v>
      </c>
      <c r="W344">
        <v>53100</v>
      </c>
      <c r="X344" t="s">
        <v>44</v>
      </c>
      <c r="Y344" t="s">
        <v>140</v>
      </c>
      <c r="Z344" t="s">
        <v>49</v>
      </c>
      <c r="AA344" s="10">
        <f>IF(O344&lt;=1,7,7+0.8*ROUNDUP(O344-1,0))</f>
        <v>7.8</v>
      </c>
      <c r="AB344" s="11">
        <v>0</v>
      </c>
      <c r="AC344" s="11">
        <v>0</v>
      </c>
      <c r="AD344" s="11">
        <v>0</v>
      </c>
      <c r="AE344" s="11">
        <v>0</v>
      </c>
      <c r="AF344" s="11">
        <f t="shared" si="12"/>
        <v>0.46799999999999997</v>
      </c>
      <c r="AG344" s="11">
        <f t="shared" si="13"/>
        <v>8.2680000000000007</v>
      </c>
      <c r="AH344" t="s">
        <v>50</v>
      </c>
    </row>
    <row r="345" spans="1:34" ht="15" customHeight="1" x14ac:dyDescent="0.35">
      <c r="A345">
        <v>7547676</v>
      </c>
      <c r="B345">
        <v>690929</v>
      </c>
      <c r="C345" t="s">
        <v>34</v>
      </c>
      <c r="D345" t="s">
        <v>35</v>
      </c>
      <c r="E345" s="6" t="s">
        <v>34</v>
      </c>
      <c r="F345" t="s">
        <v>1178</v>
      </c>
      <c r="H345" t="s">
        <v>38</v>
      </c>
      <c r="I345" t="s">
        <v>1179</v>
      </c>
      <c r="J345" t="s">
        <v>40</v>
      </c>
      <c r="K345">
        <v>2</v>
      </c>
      <c r="L345" t="s">
        <v>41</v>
      </c>
      <c r="M345" t="s">
        <v>42</v>
      </c>
      <c r="N345" t="s">
        <v>43</v>
      </c>
      <c r="O345" s="7">
        <v>2</v>
      </c>
      <c r="P345" s="8">
        <v>45167.504212962966</v>
      </c>
      <c r="Q345" s="9">
        <v>45168</v>
      </c>
      <c r="S345" t="s">
        <v>44</v>
      </c>
      <c r="T345" t="s">
        <v>53</v>
      </c>
      <c r="U345" t="s">
        <v>67</v>
      </c>
      <c r="V345" t="s">
        <v>1180</v>
      </c>
      <c r="W345">
        <v>26100</v>
      </c>
      <c r="X345" t="s">
        <v>44</v>
      </c>
      <c r="Y345" t="s">
        <v>53</v>
      </c>
      <c r="Z345" t="s">
        <v>49</v>
      </c>
      <c r="AA345" s="10">
        <f>IF(O345&lt;=1,7,7+0.8*ROUNDUP(O345-1,0))</f>
        <v>7.8</v>
      </c>
      <c r="AB345" s="11">
        <v>0</v>
      </c>
      <c r="AC345" s="11">
        <v>0</v>
      </c>
      <c r="AD345" s="11">
        <v>0</v>
      </c>
      <c r="AE345" s="11">
        <v>0</v>
      </c>
      <c r="AF345" s="11">
        <f t="shared" si="12"/>
        <v>0.46799999999999997</v>
      </c>
      <c r="AG345" s="11">
        <f t="shared" si="13"/>
        <v>8.2680000000000007</v>
      </c>
      <c r="AH345" t="s">
        <v>50</v>
      </c>
    </row>
    <row r="346" spans="1:34" ht="15" customHeight="1" x14ac:dyDescent="0.35">
      <c r="A346">
        <v>7547676</v>
      </c>
      <c r="B346">
        <v>690929</v>
      </c>
      <c r="C346" t="s">
        <v>34</v>
      </c>
      <c r="D346" t="s">
        <v>35</v>
      </c>
      <c r="E346" s="6" t="s">
        <v>34</v>
      </c>
      <c r="F346" t="s">
        <v>1181</v>
      </c>
      <c r="H346" t="s">
        <v>38</v>
      </c>
      <c r="I346" t="s">
        <v>1182</v>
      </c>
      <c r="J346" t="s">
        <v>40</v>
      </c>
      <c r="K346">
        <v>2</v>
      </c>
      <c r="L346" t="s">
        <v>41</v>
      </c>
      <c r="M346" t="s">
        <v>42</v>
      </c>
      <c r="N346" t="s">
        <v>43</v>
      </c>
      <c r="O346" s="7">
        <v>1</v>
      </c>
      <c r="P346" s="8">
        <v>45167.572141203702</v>
      </c>
      <c r="Q346" s="9">
        <v>45168</v>
      </c>
      <c r="S346" t="s">
        <v>44</v>
      </c>
      <c r="T346" t="s">
        <v>53</v>
      </c>
      <c r="U346" t="s">
        <v>54</v>
      </c>
      <c r="V346" t="s">
        <v>1183</v>
      </c>
      <c r="W346">
        <v>48020</v>
      </c>
      <c r="X346" t="s">
        <v>44</v>
      </c>
      <c r="Y346" t="s">
        <v>316</v>
      </c>
      <c r="Z346" t="s">
        <v>49</v>
      </c>
      <c r="AA346" s="10">
        <f>IF(O346&lt;=1,7,7+0.8*ROUNDUP(O346-1,0))</f>
        <v>7</v>
      </c>
      <c r="AB346" s="11">
        <v>0</v>
      </c>
      <c r="AC346" s="11">
        <v>0</v>
      </c>
      <c r="AD346" s="11">
        <v>0</v>
      </c>
      <c r="AE346" s="11">
        <v>0</v>
      </c>
      <c r="AF346" s="11">
        <f t="shared" si="12"/>
        <v>0.42</v>
      </c>
      <c r="AG346" s="11">
        <f t="shared" si="13"/>
        <v>7.42</v>
      </c>
      <c r="AH346" t="s">
        <v>50</v>
      </c>
    </row>
    <row r="347" spans="1:34" ht="15" customHeight="1" x14ac:dyDescent="0.35">
      <c r="A347">
        <v>7547676</v>
      </c>
      <c r="B347">
        <v>690929</v>
      </c>
      <c r="C347" t="s">
        <v>34</v>
      </c>
      <c r="D347" t="s">
        <v>35</v>
      </c>
      <c r="E347" s="6" t="s">
        <v>34</v>
      </c>
      <c r="F347" t="s">
        <v>1184</v>
      </c>
      <c r="H347" t="s">
        <v>38</v>
      </c>
      <c r="I347" t="s">
        <v>1185</v>
      </c>
      <c r="J347" t="s">
        <v>40</v>
      </c>
      <c r="K347">
        <v>2</v>
      </c>
      <c r="L347" t="s">
        <v>41</v>
      </c>
      <c r="M347" t="s">
        <v>42</v>
      </c>
      <c r="N347" t="s">
        <v>43</v>
      </c>
      <c r="O347" s="7">
        <v>1</v>
      </c>
      <c r="P347" s="8">
        <v>45166.41</v>
      </c>
      <c r="Q347" s="9">
        <v>45168</v>
      </c>
      <c r="S347" t="s">
        <v>44</v>
      </c>
      <c r="T347" t="s">
        <v>53</v>
      </c>
      <c r="U347" t="s">
        <v>134</v>
      </c>
      <c r="V347" t="s">
        <v>1186</v>
      </c>
      <c r="W347">
        <v>55200</v>
      </c>
      <c r="X347" t="s">
        <v>44</v>
      </c>
      <c r="Y347" t="s">
        <v>308</v>
      </c>
      <c r="Z347" t="s">
        <v>49</v>
      </c>
      <c r="AA347" s="10">
        <f>IF(O347&lt;=1,7,7+0.8*ROUNDUP(O347-1,0))</f>
        <v>7</v>
      </c>
      <c r="AB347" s="11">
        <v>0</v>
      </c>
      <c r="AC347" s="11">
        <v>0</v>
      </c>
      <c r="AD347" s="11">
        <v>0</v>
      </c>
      <c r="AE347" s="11">
        <v>0</v>
      </c>
      <c r="AF347" s="11">
        <f t="shared" si="12"/>
        <v>0.42</v>
      </c>
      <c r="AG347" s="11">
        <f t="shared" si="13"/>
        <v>7.42</v>
      </c>
      <c r="AH347" t="s">
        <v>50</v>
      </c>
    </row>
    <row r="349" spans="1:34" x14ac:dyDescent="0.35">
      <c r="AA349" s="13">
        <f>SUM(AA2:AA347)</f>
        <v>3114.8000000000025</v>
      </c>
      <c r="AB349" s="13">
        <f>SUM(AB2:AB347)</f>
        <v>0</v>
      </c>
      <c r="AC349" s="13">
        <f>SUM(AC2:AC347)</f>
        <v>0</v>
      </c>
      <c r="AD349" s="13">
        <f>SUM(AD2:AD347)</f>
        <v>2500</v>
      </c>
      <c r="AE349" s="13">
        <f>SUM(AE2:AE347)</f>
        <v>37.5</v>
      </c>
      <c r="AF349" s="13">
        <f>SUM(AF2:AF347)</f>
        <v>189.1379999999991</v>
      </c>
      <c r="AG349" s="13">
        <f>SUM(AG2:AG347)</f>
        <v>3341.4380000000087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Kai Jun</dc:creator>
  <cp:lastModifiedBy>Cheng Kai Jun</cp:lastModifiedBy>
  <dcterms:created xsi:type="dcterms:W3CDTF">2023-09-02T14:04:56Z</dcterms:created>
  <dcterms:modified xsi:type="dcterms:W3CDTF">2023-09-02T14:04:56Z</dcterms:modified>
</cp:coreProperties>
</file>