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hmad Working\Individual file\2024\Aug'24\ASN Walk-in\"/>
    </mc:Choice>
  </mc:AlternateContent>
  <xr:revisionPtr revIDLastSave="0" documentId="8_{E834BF74-AB10-4EAC-BE67-61ADAB297770}" xr6:coauthVersionLast="47" xr6:coauthVersionMax="47" xr10:uidLastSave="{00000000-0000-0000-0000-000000000000}"/>
  <bookViews>
    <workbookView xWindow="-120" yWindow="-120" windowWidth="29040" windowHeight="15720" xr2:uid="{10A25B93-D8B0-4B72-9DDA-9D88512C7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72" i="1" l="1"/>
  <c r="AF772" i="1"/>
  <c r="AE772" i="1"/>
  <c r="AD772" i="1"/>
  <c r="AC772" i="1"/>
  <c r="AB772" i="1"/>
  <c r="AA772" i="1"/>
  <c r="Z772" i="1"/>
  <c r="Z770" i="1"/>
  <c r="AF769" i="1"/>
  <c r="AG769" i="1" s="1"/>
  <c r="Z769" i="1"/>
  <c r="AG768" i="1"/>
  <c r="Z768" i="1"/>
  <c r="AF768" i="1" s="1"/>
  <c r="AG767" i="1"/>
  <c r="AF767" i="1"/>
  <c r="Z767" i="1"/>
  <c r="Z766" i="1"/>
  <c r="AG765" i="1"/>
  <c r="AF765" i="1"/>
  <c r="Z765" i="1"/>
  <c r="Z764" i="1"/>
  <c r="AF764" i="1" s="1"/>
  <c r="AF763" i="1"/>
  <c r="AG763" i="1" s="1"/>
  <c r="Z763" i="1"/>
  <c r="Z762" i="1"/>
  <c r="AF761" i="1"/>
  <c r="AG761" i="1" s="1"/>
  <c r="Z761" i="1"/>
  <c r="AG760" i="1"/>
  <c r="Z760" i="1"/>
  <c r="AF760" i="1" s="1"/>
  <c r="Z759" i="1"/>
  <c r="Z758" i="1"/>
  <c r="AG757" i="1"/>
  <c r="AF757" i="1"/>
  <c r="Z757" i="1"/>
  <c r="Z756" i="1"/>
  <c r="AF756" i="1" s="1"/>
  <c r="Z755" i="1"/>
  <c r="Z754" i="1"/>
  <c r="AF753" i="1"/>
  <c r="AG753" i="1" s="1"/>
  <c r="Z753" i="1"/>
  <c r="AG752" i="1"/>
  <c r="Z752" i="1"/>
  <c r="AF752" i="1" s="1"/>
  <c r="AG751" i="1"/>
  <c r="Z751" i="1"/>
  <c r="AF751" i="1" s="1"/>
  <c r="Z750" i="1"/>
  <c r="AF749" i="1"/>
  <c r="AG749" i="1" s="1"/>
  <c r="Z749" i="1"/>
  <c r="Z748" i="1"/>
  <c r="AF748" i="1" s="1"/>
  <c r="AF747" i="1"/>
  <c r="AG747" i="1" s="1"/>
  <c r="Z747" i="1"/>
  <c r="Z746" i="1"/>
  <c r="AF745" i="1"/>
  <c r="AG745" i="1" s="1"/>
  <c r="Z745" i="1"/>
  <c r="AG744" i="1"/>
  <c r="Z744" i="1"/>
  <c r="AF744" i="1" s="1"/>
  <c r="Z743" i="1"/>
  <c r="Z742" i="1"/>
  <c r="AG741" i="1"/>
  <c r="AF741" i="1"/>
  <c r="Z741" i="1"/>
  <c r="Z740" i="1"/>
  <c r="AF740" i="1" s="1"/>
  <c r="Z739" i="1"/>
  <c r="Z738" i="1"/>
  <c r="AE737" i="1"/>
  <c r="Z737" i="1"/>
  <c r="Z736" i="1"/>
  <c r="AF735" i="1"/>
  <c r="AG735" i="1" s="1"/>
  <c r="Z735" i="1"/>
  <c r="Z734" i="1"/>
  <c r="AG733" i="1"/>
  <c r="Z733" i="1"/>
  <c r="AF733" i="1" s="1"/>
  <c r="Z732" i="1"/>
  <c r="AF731" i="1"/>
  <c r="AG731" i="1" s="1"/>
  <c r="Z731" i="1"/>
  <c r="Z730" i="1"/>
  <c r="Z729" i="1"/>
  <c r="AF729" i="1" s="1"/>
  <c r="Z728" i="1"/>
  <c r="AG727" i="1"/>
  <c r="AF727" i="1"/>
  <c r="Z727" i="1"/>
  <c r="Z726" i="1"/>
  <c r="Z725" i="1"/>
  <c r="AF725" i="1" s="1"/>
  <c r="Z724" i="1"/>
  <c r="AF723" i="1"/>
  <c r="AG723" i="1" s="1"/>
  <c r="Z723" i="1"/>
  <c r="Z722" i="1"/>
  <c r="AG721" i="1"/>
  <c r="Z721" i="1"/>
  <c r="AF721" i="1" s="1"/>
  <c r="Z720" i="1"/>
  <c r="AF719" i="1"/>
  <c r="AG719" i="1" s="1"/>
  <c r="Z719" i="1"/>
  <c r="Z718" i="1"/>
  <c r="Z717" i="1"/>
  <c r="AF717" i="1" s="1"/>
  <c r="Z716" i="1"/>
  <c r="AG715" i="1"/>
  <c r="AF715" i="1"/>
  <c r="Z715" i="1"/>
  <c r="Z714" i="1"/>
  <c r="Z713" i="1"/>
  <c r="AF713" i="1" s="1"/>
  <c r="Z712" i="1"/>
  <c r="AF711" i="1"/>
  <c r="AG711" i="1" s="1"/>
  <c r="Z711" i="1"/>
  <c r="Z710" i="1"/>
  <c r="AG709" i="1"/>
  <c r="Z709" i="1"/>
  <c r="AF709" i="1" s="1"/>
  <c r="Z708" i="1"/>
  <c r="AF707" i="1"/>
  <c r="AG707" i="1" s="1"/>
  <c r="Z707" i="1"/>
  <c r="Z706" i="1"/>
  <c r="Z705" i="1"/>
  <c r="AF705" i="1" s="1"/>
  <c r="Z704" i="1"/>
  <c r="AG703" i="1"/>
  <c r="AF703" i="1"/>
  <c r="Z703" i="1"/>
  <c r="Z702" i="1"/>
  <c r="Z701" i="1"/>
  <c r="AF701" i="1" s="1"/>
  <c r="Z700" i="1"/>
  <c r="AF699" i="1"/>
  <c r="AG699" i="1" s="1"/>
  <c r="Z699" i="1"/>
  <c r="Z698" i="1"/>
  <c r="AG697" i="1"/>
  <c r="Z697" i="1"/>
  <c r="AF697" i="1" s="1"/>
  <c r="Z696" i="1"/>
  <c r="AF695" i="1"/>
  <c r="AG695" i="1" s="1"/>
  <c r="Z695" i="1"/>
  <c r="Z694" i="1"/>
  <c r="Z693" i="1"/>
  <c r="AF693" i="1" s="1"/>
  <c r="Z692" i="1"/>
  <c r="AG691" i="1"/>
  <c r="AF691" i="1"/>
  <c r="Z691" i="1"/>
  <c r="Z690" i="1"/>
  <c r="Z689" i="1"/>
  <c r="AF689" i="1" s="1"/>
  <c r="Z688" i="1"/>
  <c r="AF687" i="1"/>
  <c r="AG687" i="1" s="1"/>
  <c r="Z687" i="1"/>
  <c r="Z686" i="1"/>
  <c r="AG685" i="1"/>
  <c r="Z685" i="1"/>
  <c r="AF685" i="1" s="1"/>
  <c r="Z684" i="1"/>
  <c r="AF683" i="1"/>
  <c r="AG683" i="1" s="1"/>
  <c r="Z683" i="1"/>
  <c r="Z682" i="1"/>
  <c r="Z681" i="1"/>
  <c r="AF681" i="1" s="1"/>
  <c r="Z680" i="1"/>
  <c r="AG679" i="1"/>
  <c r="AF679" i="1"/>
  <c r="Z679" i="1"/>
  <c r="Z678" i="1"/>
  <c r="Z677" i="1"/>
  <c r="AF677" i="1" s="1"/>
  <c r="Z676" i="1"/>
  <c r="AF675" i="1"/>
  <c r="AG675" i="1" s="1"/>
  <c r="Z675" i="1"/>
  <c r="Z674" i="1"/>
  <c r="AG673" i="1"/>
  <c r="Z673" i="1"/>
  <c r="AF673" i="1" s="1"/>
  <c r="Z672" i="1"/>
  <c r="AF671" i="1"/>
  <c r="AG671" i="1" s="1"/>
  <c r="Z671" i="1"/>
  <c r="Z670" i="1"/>
  <c r="Z669" i="1"/>
  <c r="AF669" i="1" s="1"/>
  <c r="Z668" i="1"/>
  <c r="AG667" i="1"/>
  <c r="AF667" i="1"/>
  <c r="Z667" i="1"/>
  <c r="Z666" i="1"/>
  <c r="Z665" i="1"/>
  <c r="AF665" i="1" s="1"/>
  <c r="Z664" i="1"/>
  <c r="AF663" i="1"/>
  <c r="AG663" i="1" s="1"/>
  <c r="Z663" i="1"/>
  <c r="Z662" i="1"/>
  <c r="AG661" i="1"/>
  <c r="Z661" i="1"/>
  <c r="AF661" i="1" s="1"/>
  <c r="Z660" i="1"/>
  <c r="AF659" i="1"/>
  <c r="AG659" i="1" s="1"/>
  <c r="Z659" i="1"/>
  <c r="Z658" i="1"/>
  <c r="Z657" i="1"/>
  <c r="AF657" i="1" s="1"/>
  <c r="Z656" i="1"/>
  <c r="AG655" i="1"/>
  <c r="AF655" i="1"/>
  <c r="Z655" i="1"/>
  <c r="Z654" i="1"/>
  <c r="Z653" i="1"/>
  <c r="AF653" i="1" s="1"/>
  <c r="Z652" i="1"/>
  <c r="AF651" i="1"/>
  <c r="AG651" i="1" s="1"/>
  <c r="Z651" i="1"/>
  <c r="Z650" i="1"/>
  <c r="AG649" i="1"/>
  <c r="AF649" i="1"/>
  <c r="Z649" i="1"/>
  <c r="Z648" i="1"/>
  <c r="AG647" i="1"/>
  <c r="AF647" i="1"/>
  <c r="Z647" i="1"/>
  <c r="Z646" i="1"/>
  <c r="Z645" i="1"/>
  <c r="AF644" i="1"/>
  <c r="Z644" i="1"/>
  <c r="AF643" i="1"/>
  <c r="AG643" i="1" s="1"/>
  <c r="Z643" i="1"/>
  <c r="Z642" i="1"/>
  <c r="AF641" i="1"/>
  <c r="Z641" i="1"/>
  <c r="AG641" i="1" s="1"/>
  <c r="AF640" i="1"/>
  <c r="Z640" i="1"/>
  <c r="AF639" i="1"/>
  <c r="AG639" i="1" s="1"/>
  <c r="Z639" i="1"/>
  <c r="Z638" i="1"/>
  <c r="Z637" i="1"/>
  <c r="Z636" i="1"/>
  <c r="AF635" i="1"/>
  <c r="AG635" i="1" s="1"/>
  <c r="Z635" i="1"/>
  <c r="Z634" i="1"/>
  <c r="AG633" i="1"/>
  <c r="AF633" i="1"/>
  <c r="Z633" i="1"/>
  <c r="Z632" i="1"/>
  <c r="AG631" i="1"/>
  <c r="AF631" i="1"/>
  <c r="Z631" i="1"/>
  <c r="Z630" i="1"/>
  <c r="Z629" i="1"/>
  <c r="AF628" i="1"/>
  <c r="Z628" i="1"/>
  <c r="AF627" i="1"/>
  <c r="AG627" i="1" s="1"/>
  <c r="Z627" i="1"/>
  <c r="Z626" i="1"/>
  <c r="AF625" i="1"/>
  <c r="Z625" i="1"/>
  <c r="AF624" i="1"/>
  <c r="Z624" i="1"/>
  <c r="AF623" i="1"/>
  <c r="AG623" i="1" s="1"/>
  <c r="Z623" i="1"/>
  <c r="Z622" i="1"/>
  <c r="Z621" i="1"/>
  <c r="Z620" i="1"/>
  <c r="AF619" i="1"/>
  <c r="AG619" i="1" s="1"/>
  <c r="Z619" i="1"/>
  <c r="Z618" i="1"/>
  <c r="AG617" i="1"/>
  <c r="AF617" i="1"/>
  <c r="Z617" i="1"/>
  <c r="Z616" i="1"/>
  <c r="AG615" i="1"/>
  <c r="AF615" i="1"/>
  <c r="Z615" i="1"/>
  <c r="Z614" i="1"/>
  <c r="Z613" i="1"/>
  <c r="AF612" i="1"/>
  <c r="Z612" i="1"/>
  <c r="AF611" i="1"/>
  <c r="AG611" i="1" s="1"/>
  <c r="Z611" i="1"/>
  <c r="Z610" i="1"/>
  <c r="AF609" i="1"/>
  <c r="Z609" i="1"/>
  <c r="AF608" i="1"/>
  <c r="Z608" i="1"/>
  <c r="AG607" i="1"/>
  <c r="AF607" i="1"/>
  <c r="Z607" i="1"/>
  <c r="Z606" i="1"/>
  <c r="Z605" i="1"/>
  <c r="AF604" i="1"/>
  <c r="Z604" i="1"/>
  <c r="Z603" i="1"/>
  <c r="Z602" i="1"/>
  <c r="Z601" i="1"/>
  <c r="AF600" i="1"/>
  <c r="AG600" i="1" s="1"/>
  <c r="Z600" i="1"/>
  <c r="AG599" i="1"/>
  <c r="Z599" i="1"/>
  <c r="AF599" i="1" s="1"/>
  <c r="Z598" i="1"/>
  <c r="AG597" i="1"/>
  <c r="AF597" i="1"/>
  <c r="Z597" i="1"/>
  <c r="Z596" i="1"/>
  <c r="Z595" i="1"/>
  <c r="AF595" i="1" s="1"/>
  <c r="Z594" i="1"/>
  <c r="Z593" i="1"/>
  <c r="Z592" i="1"/>
  <c r="AF592" i="1" s="1"/>
  <c r="AG592" i="1" s="1"/>
  <c r="Z591" i="1"/>
  <c r="Z590" i="1"/>
  <c r="AG589" i="1"/>
  <c r="Z589" i="1"/>
  <c r="AF589" i="1" s="1"/>
  <c r="AF588" i="1"/>
  <c r="Z588" i="1"/>
  <c r="Z587" i="1"/>
  <c r="Z586" i="1"/>
  <c r="AF585" i="1"/>
  <c r="Z585" i="1"/>
  <c r="AG585" i="1" s="1"/>
  <c r="Z584" i="1"/>
  <c r="AG583" i="1"/>
  <c r="Z583" i="1"/>
  <c r="AF583" i="1" s="1"/>
  <c r="Z582" i="1"/>
  <c r="AG581" i="1"/>
  <c r="Z581" i="1"/>
  <c r="AF581" i="1" s="1"/>
  <c r="AF580" i="1"/>
  <c r="Z580" i="1"/>
  <c r="AG580" i="1" s="1"/>
  <c r="AF579" i="1"/>
  <c r="AG579" i="1" s="1"/>
  <c r="Z579" i="1"/>
  <c r="Z578" i="1"/>
  <c r="AF577" i="1"/>
  <c r="AG577" i="1" s="1"/>
  <c r="Z577" i="1"/>
  <c r="Z576" i="1"/>
  <c r="AF576" i="1" s="1"/>
  <c r="AG576" i="1" s="1"/>
  <c r="AF575" i="1"/>
  <c r="Z575" i="1"/>
  <c r="Z574" i="1"/>
  <c r="Z573" i="1"/>
  <c r="AF572" i="1"/>
  <c r="Z572" i="1"/>
  <c r="AG572" i="1" s="1"/>
  <c r="Z571" i="1"/>
  <c r="AF570" i="1"/>
  <c r="Z570" i="1"/>
  <c r="Z569" i="1"/>
  <c r="Z568" i="1"/>
  <c r="AF568" i="1" s="1"/>
  <c r="AF567" i="1"/>
  <c r="Z567" i="1"/>
  <c r="AG567" i="1" s="1"/>
  <c r="AF566" i="1"/>
  <c r="Z566" i="1"/>
  <c r="Z565" i="1"/>
  <c r="AF564" i="1"/>
  <c r="AG564" i="1" s="1"/>
  <c r="Z564" i="1"/>
  <c r="AG563" i="1"/>
  <c r="Z563" i="1"/>
  <c r="AF563" i="1" s="1"/>
  <c r="Z562" i="1"/>
  <c r="Z561" i="1"/>
  <c r="AF561" i="1" s="1"/>
  <c r="AG561" i="1" s="1"/>
  <c r="Z560" i="1"/>
  <c r="AF559" i="1"/>
  <c r="Z559" i="1"/>
  <c r="AG559" i="1" s="1"/>
  <c r="AF558" i="1"/>
  <c r="Z558" i="1"/>
  <c r="AG557" i="1"/>
  <c r="AF557" i="1"/>
  <c r="Z557" i="1"/>
  <c r="Z556" i="1"/>
  <c r="AG555" i="1"/>
  <c r="Z555" i="1"/>
  <c r="AF555" i="1" s="1"/>
  <c r="Z554" i="1"/>
  <c r="AF553" i="1"/>
  <c r="Z553" i="1"/>
  <c r="Z552" i="1"/>
  <c r="AF551" i="1"/>
  <c r="AG551" i="1" s="1"/>
  <c r="Z551" i="1"/>
  <c r="AF550" i="1"/>
  <c r="Z550" i="1"/>
  <c r="Z549" i="1"/>
  <c r="Z548" i="1"/>
  <c r="AF548" i="1" s="1"/>
  <c r="AG548" i="1" s="1"/>
  <c r="Z547" i="1"/>
  <c r="Z546" i="1"/>
  <c r="AF545" i="1"/>
  <c r="Z545" i="1"/>
  <c r="AG545" i="1" s="1"/>
  <c r="AG544" i="1"/>
  <c r="AF544" i="1"/>
  <c r="Z544" i="1"/>
  <c r="Z543" i="1"/>
  <c r="AF542" i="1"/>
  <c r="Z542" i="1"/>
  <c r="Z541" i="1"/>
  <c r="AF541" i="1" s="1"/>
  <c r="AG541" i="1" s="1"/>
  <c r="Z540" i="1"/>
  <c r="Z539" i="1"/>
  <c r="Z538" i="1"/>
  <c r="AF537" i="1"/>
  <c r="Z537" i="1"/>
  <c r="Z536" i="1"/>
  <c r="AG535" i="1"/>
  <c r="Z535" i="1"/>
  <c r="AF535" i="1" s="1"/>
  <c r="Z534" i="1"/>
  <c r="Z533" i="1"/>
  <c r="AF533" i="1" s="1"/>
  <c r="AF532" i="1"/>
  <c r="Z532" i="1"/>
  <c r="AG532" i="1" s="1"/>
  <c r="AG531" i="1"/>
  <c r="AF531" i="1"/>
  <c r="Z531" i="1"/>
  <c r="Z530" i="1"/>
  <c r="AF529" i="1"/>
  <c r="AG529" i="1" s="1"/>
  <c r="Z529" i="1"/>
  <c r="Z528" i="1"/>
  <c r="AF528" i="1" s="1"/>
  <c r="AG528" i="1" s="1"/>
  <c r="Z527" i="1"/>
  <c r="Z526" i="1"/>
  <c r="Z525" i="1"/>
  <c r="AF524" i="1"/>
  <c r="Z524" i="1"/>
  <c r="Z523" i="1"/>
  <c r="AF522" i="1"/>
  <c r="Z522" i="1"/>
  <c r="Z521" i="1"/>
  <c r="Z520" i="1"/>
  <c r="AF519" i="1"/>
  <c r="Z519" i="1"/>
  <c r="AG519" i="1" s="1"/>
  <c r="Z518" i="1"/>
  <c r="Z517" i="1"/>
  <c r="AF516" i="1"/>
  <c r="AG516" i="1" s="1"/>
  <c r="Z516" i="1"/>
  <c r="Z515" i="1"/>
  <c r="AF515" i="1" s="1"/>
  <c r="AG515" i="1" s="1"/>
  <c r="Z514" i="1"/>
  <c r="Z513" i="1"/>
  <c r="AF513" i="1" s="1"/>
  <c r="AG513" i="1" s="1"/>
  <c r="Z512" i="1"/>
  <c r="AF511" i="1"/>
  <c r="Z511" i="1"/>
  <c r="AF510" i="1"/>
  <c r="Z510" i="1"/>
  <c r="AF509" i="1"/>
  <c r="AG509" i="1" s="1"/>
  <c r="Z509" i="1"/>
  <c r="Z508" i="1"/>
  <c r="AG507" i="1"/>
  <c r="Z507" i="1"/>
  <c r="AF507" i="1" s="1"/>
  <c r="Z506" i="1"/>
  <c r="Z505" i="1"/>
  <c r="Z504" i="1"/>
  <c r="AF503" i="1"/>
  <c r="AG503" i="1" s="1"/>
  <c r="Z503" i="1"/>
  <c r="AF502" i="1"/>
  <c r="Z502" i="1"/>
  <c r="Z501" i="1"/>
  <c r="AG500" i="1"/>
  <c r="AF500" i="1"/>
  <c r="Z500" i="1"/>
  <c r="Z499" i="1"/>
  <c r="Z498" i="1"/>
  <c r="AF497" i="1"/>
  <c r="Z497" i="1"/>
  <c r="AG497" i="1" s="1"/>
  <c r="AF496" i="1"/>
  <c r="AG496" i="1" s="1"/>
  <c r="Z496" i="1"/>
  <c r="Z495" i="1"/>
  <c r="AF494" i="1"/>
  <c r="Z494" i="1"/>
  <c r="AG493" i="1"/>
  <c r="Z493" i="1"/>
  <c r="AF493" i="1" s="1"/>
  <c r="AF492" i="1"/>
  <c r="Z492" i="1"/>
  <c r="Z491" i="1"/>
  <c r="Z490" i="1"/>
  <c r="AF489" i="1"/>
  <c r="Z489" i="1"/>
  <c r="AG489" i="1" s="1"/>
  <c r="Z488" i="1"/>
  <c r="AG487" i="1"/>
  <c r="AF487" i="1"/>
  <c r="Z487" i="1"/>
  <c r="Z486" i="1"/>
  <c r="Z485" i="1"/>
  <c r="AF484" i="1"/>
  <c r="Z484" i="1"/>
  <c r="AG484" i="1" s="1"/>
  <c r="AF483" i="1"/>
  <c r="AG483" i="1" s="1"/>
  <c r="Z483" i="1"/>
  <c r="Z482" i="1"/>
  <c r="AF481" i="1"/>
  <c r="AG481" i="1" s="1"/>
  <c r="Z481" i="1"/>
  <c r="AG480" i="1"/>
  <c r="Z480" i="1"/>
  <c r="AF480" i="1" s="1"/>
  <c r="Z479" i="1"/>
  <c r="AF478" i="1"/>
  <c r="Z478" i="1"/>
  <c r="Z477" i="1"/>
  <c r="AF476" i="1"/>
  <c r="Z476" i="1"/>
  <c r="AG476" i="1" s="1"/>
  <c r="Z475" i="1"/>
  <c r="AF474" i="1"/>
  <c r="Z474" i="1"/>
  <c r="Z473" i="1"/>
  <c r="AG472" i="1"/>
  <c r="Z472" i="1"/>
  <c r="AF472" i="1" s="1"/>
  <c r="AF471" i="1"/>
  <c r="Z471" i="1"/>
  <c r="AG471" i="1" s="1"/>
  <c r="AF470" i="1"/>
  <c r="Z470" i="1"/>
  <c r="Z469" i="1"/>
  <c r="AF468" i="1"/>
  <c r="AG468" i="1" s="1"/>
  <c r="Z468" i="1"/>
  <c r="AG467" i="1"/>
  <c r="Z467" i="1"/>
  <c r="AF467" i="1" s="1"/>
  <c r="Z466" i="1"/>
  <c r="AG465" i="1"/>
  <c r="AF465" i="1"/>
  <c r="Z465" i="1"/>
  <c r="Z464" i="1"/>
  <c r="AF463" i="1"/>
  <c r="Z463" i="1"/>
  <c r="AF462" i="1"/>
  <c r="Z462" i="1"/>
  <c r="AF461" i="1"/>
  <c r="AG461" i="1" s="1"/>
  <c r="Z461" i="1"/>
  <c r="Z460" i="1"/>
  <c r="AG459" i="1"/>
  <c r="Z459" i="1"/>
  <c r="AF459" i="1" s="1"/>
  <c r="Z458" i="1"/>
  <c r="Z457" i="1"/>
  <c r="Z456" i="1"/>
  <c r="AF455" i="1"/>
  <c r="AG455" i="1" s="1"/>
  <c r="Z455" i="1"/>
  <c r="AF454" i="1"/>
  <c r="Z454" i="1"/>
  <c r="Z453" i="1"/>
  <c r="Z452" i="1"/>
  <c r="AF452" i="1" s="1"/>
  <c r="AG452" i="1" s="1"/>
  <c r="Z451" i="1"/>
  <c r="Z450" i="1"/>
  <c r="AF449" i="1"/>
  <c r="Z449" i="1"/>
  <c r="AG449" i="1" s="1"/>
  <c r="AF448" i="1"/>
  <c r="AG448" i="1" s="1"/>
  <c r="Z448" i="1"/>
  <c r="Z447" i="1"/>
  <c r="AF446" i="1"/>
  <c r="Z446" i="1"/>
  <c r="AG445" i="1"/>
  <c r="Z445" i="1"/>
  <c r="AF445" i="1" s="1"/>
  <c r="Z444" i="1"/>
  <c r="Z443" i="1"/>
  <c r="Z442" i="1"/>
  <c r="AF441" i="1"/>
  <c r="Z441" i="1"/>
  <c r="AG441" i="1" s="1"/>
  <c r="Z440" i="1"/>
  <c r="AG439" i="1"/>
  <c r="AF439" i="1"/>
  <c r="Z439" i="1"/>
  <c r="Z438" i="1"/>
  <c r="AG437" i="1"/>
  <c r="Z437" i="1"/>
  <c r="AF437" i="1" s="1"/>
  <c r="AF436" i="1"/>
  <c r="Z436" i="1"/>
  <c r="AG436" i="1" s="1"/>
  <c r="AG435" i="1"/>
  <c r="AF435" i="1"/>
  <c r="Z435" i="1"/>
  <c r="Z434" i="1"/>
  <c r="AF433" i="1"/>
  <c r="AG433" i="1" s="1"/>
  <c r="Z433" i="1"/>
  <c r="Z432" i="1"/>
  <c r="AF432" i="1" s="1"/>
  <c r="AG432" i="1" s="1"/>
  <c r="AF431" i="1"/>
  <c r="Z431" i="1"/>
  <c r="Z430" i="1"/>
  <c r="AF429" i="1"/>
  <c r="AG429" i="1" s="1"/>
  <c r="Z429" i="1"/>
  <c r="Z428" i="1"/>
  <c r="AF428" i="1" s="1"/>
  <c r="AF427" i="1"/>
  <c r="Z427" i="1"/>
  <c r="Z426" i="1"/>
  <c r="AF425" i="1"/>
  <c r="AG425" i="1" s="1"/>
  <c r="Z425" i="1"/>
  <c r="AG424" i="1"/>
  <c r="Z424" i="1"/>
  <c r="AF424" i="1" s="1"/>
  <c r="AF423" i="1"/>
  <c r="Z423" i="1"/>
  <c r="Z422" i="1"/>
  <c r="AF421" i="1"/>
  <c r="AG421" i="1" s="1"/>
  <c r="Z421" i="1"/>
  <c r="AG420" i="1"/>
  <c r="Z420" i="1"/>
  <c r="AF420" i="1" s="1"/>
  <c r="AF419" i="1"/>
  <c r="Z419" i="1"/>
  <c r="Z418" i="1"/>
  <c r="AF417" i="1"/>
  <c r="AG417" i="1" s="1"/>
  <c r="Z417" i="1"/>
  <c r="AG416" i="1"/>
  <c r="Z416" i="1"/>
  <c r="AF416" i="1" s="1"/>
  <c r="AF415" i="1"/>
  <c r="Z415" i="1"/>
  <c r="Z414" i="1"/>
  <c r="AF413" i="1"/>
  <c r="AG413" i="1" s="1"/>
  <c r="Z413" i="1"/>
  <c r="AG412" i="1"/>
  <c r="Z412" i="1"/>
  <c r="AF412" i="1" s="1"/>
  <c r="Z411" i="1"/>
  <c r="Z410" i="1"/>
  <c r="AF409" i="1"/>
  <c r="AG409" i="1" s="1"/>
  <c r="Z409" i="1"/>
  <c r="AG408" i="1"/>
  <c r="Z408" i="1"/>
  <c r="AF408" i="1" s="1"/>
  <c r="Z407" i="1"/>
  <c r="Z406" i="1"/>
  <c r="AF405" i="1"/>
  <c r="AG405" i="1" s="1"/>
  <c r="Z405" i="1"/>
  <c r="Z404" i="1"/>
  <c r="AF404" i="1" s="1"/>
  <c r="Z403" i="1"/>
  <c r="Z402" i="1"/>
  <c r="AF401" i="1"/>
  <c r="AG401" i="1" s="1"/>
  <c r="Z401" i="1"/>
  <c r="Z400" i="1"/>
  <c r="AF400" i="1" s="1"/>
  <c r="Z399" i="1"/>
  <c r="Z398" i="1"/>
  <c r="AF397" i="1"/>
  <c r="AG397" i="1" s="1"/>
  <c r="Z397" i="1"/>
  <c r="Z396" i="1"/>
  <c r="Z395" i="1"/>
  <c r="Z394" i="1"/>
  <c r="AF393" i="1"/>
  <c r="AG393" i="1" s="1"/>
  <c r="Z393" i="1"/>
  <c r="Z392" i="1"/>
  <c r="Z391" i="1"/>
  <c r="Z390" i="1"/>
  <c r="AF389" i="1"/>
  <c r="AG389" i="1" s="1"/>
  <c r="Z389" i="1"/>
  <c r="Z388" i="1"/>
  <c r="AF388" i="1" s="1"/>
  <c r="Z387" i="1"/>
  <c r="Z386" i="1"/>
  <c r="AF385" i="1"/>
  <c r="AG385" i="1" s="1"/>
  <c r="Z385" i="1"/>
  <c r="Z384" i="1"/>
  <c r="Z383" i="1"/>
  <c r="Z382" i="1"/>
  <c r="AF381" i="1"/>
  <c r="AG381" i="1" s="1"/>
  <c r="Z381" i="1"/>
  <c r="Z380" i="1"/>
  <c r="AF380" i="1" s="1"/>
  <c r="AF379" i="1"/>
  <c r="Z379" i="1"/>
  <c r="Z378" i="1"/>
  <c r="AF377" i="1"/>
  <c r="AG377" i="1" s="1"/>
  <c r="Z377" i="1"/>
  <c r="Z376" i="1"/>
  <c r="AF376" i="1" s="1"/>
  <c r="AF375" i="1"/>
  <c r="Z375" i="1"/>
  <c r="Z374" i="1"/>
  <c r="AF373" i="1"/>
  <c r="AG373" i="1" s="1"/>
  <c r="Z373" i="1"/>
  <c r="Z372" i="1"/>
  <c r="Z371" i="1"/>
  <c r="Z370" i="1"/>
  <c r="AF369" i="1"/>
  <c r="AG369" i="1" s="1"/>
  <c r="Z369" i="1"/>
  <c r="AG368" i="1"/>
  <c r="Z368" i="1"/>
  <c r="AF368" i="1" s="1"/>
  <c r="Z367" i="1"/>
  <c r="Z366" i="1"/>
  <c r="AG365" i="1"/>
  <c r="AF365" i="1"/>
  <c r="Z365" i="1"/>
  <c r="Z364" i="1"/>
  <c r="AF364" i="1" s="1"/>
  <c r="AF363" i="1"/>
  <c r="Z363" i="1"/>
  <c r="Z362" i="1"/>
  <c r="AF361" i="1"/>
  <c r="AG361" i="1" s="1"/>
  <c r="Z361" i="1"/>
  <c r="Z360" i="1"/>
  <c r="Z359" i="1"/>
  <c r="Z358" i="1"/>
  <c r="AG357" i="1"/>
  <c r="AF357" i="1"/>
  <c r="Z357" i="1"/>
  <c r="AG356" i="1"/>
  <c r="Z356" i="1"/>
  <c r="AF356" i="1" s="1"/>
  <c r="Z355" i="1"/>
  <c r="Z354" i="1"/>
  <c r="AG353" i="1"/>
  <c r="AF353" i="1"/>
  <c r="Z353" i="1"/>
  <c r="AG352" i="1"/>
  <c r="Z352" i="1"/>
  <c r="AF352" i="1" s="1"/>
  <c r="AF351" i="1"/>
  <c r="Z351" i="1"/>
  <c r="Z350" i="1"/>
  <c r="AF349" i="1"/>
  <c r="AG349" i="1" s="1"/>
  <c r="Z349" i="1"/>
  <c r="Z348" i="1"/>
  <c r="Z347" i="1"/>
  <c r="Z346" i="1"/>
  <c r="AG345" i="1"/>
  <c r="AF345" i="1"/>
  <c r="Z345" i="1"/>
  <c r="AG344" i="1"/>
  <c r="Z344" i="1"/>
  <c r="AF344" i="1" s="1"/>
  <c r="Z343" i="1"/>
  <c r="Z342" i="1"/>
  <c r="AG341" i="1"/>
  <c r="AF341" i="1"/>
  <c r="Z341" i="1"/>
  <c r="Z340" i="1"/>
  <c r="AF340" i="1" s="1"/>
  <c r="AF339" i="1"/>
  <c r="Z339" i="1"/>
  <c r="Z338" i="1"/>
  <c r="AF337" i="1"/>
  <c r="AG337" i="1" s="1"/>
  <c r="Z337" i="1"/>
  <c r="Z336" i="1"/>
  <c r="Z335" i="1"/>
  <c r="Z334" i="1"/>
  <c r="AF333" i="1"/>
  <c r="AG333" i="1" s="1"/>
  <c r="Z333" i="1"/>
  <c r="AG332" i="1"/>
  <c r="Z332" i="1"/>
  <c r="AF332" i="1" s="1"/>
  <c r="Z331" i="1"/>
  <c r="Z330" i="1"/>
  <c r="AG329" i="1"/>
  <c r="AF329" i="1"/>
  <c r="Z329" i="1"/>
  <c r="Z328" i="1"/>
  <c r="AF328" i="1" s="1"/>
  <c r="AF327" i="1"/>
  <c r="Z327" i="1"/>
  <c r="Z326" i="1"/>
  <c r="AF325" i="1"/>
  <c r="AG325" i="1" s="1"/>
  <c r="Z325" i="1"/>
  <c r="Z324" i="1"/>
  <c r="Z323" i="1"/>
  <c r="Z322" i="1"/>
  <c r="AG321" i="1"/>
  <c r="AF321" i="1"/>
  <c r="Z321" i="1"/>
  <c r="AG320" i="1"/>
  <c r="Z320" i="1"/>
  <c r="AF320" i="1" s="1"/>
  <c r="Z319" i="1"/>
  <c r="Z318" i="1"/>
  <c r="AG317" i="1"/>
  <c r="AF317" i="1"/>
  <c r="Z317" i="1"/>
  <c r="AG316" i="1"/>
  <c r="Z316" i="1"/>
  <c r="AF316" i="1" s="1"/>
  <c r="AG315" i="1"/>
  <c r="Z315" i="1"/>
  <c r="AF315" i="1" s="1"/>
  <c r="Z314" i="1"/>
  <c r="AF313" i="1"/>
  <c r="AG313" i="1" s="1"/>
  <c r="Z313" i="1"/>
  <c r="AG312" i="1"/>
  <c r="Z312" i="1"/>
  <c r="AF312" i="1" s="1"/>
  <c r="AF311" i="1"/>
  <c r="AE311" i="1"/>
  <c r="AG311" i="1" s="1"/>
  <c r="Z311" i="1"/>
  <c r="Z310" i="1"/>
  <c r="Z309" i="1"/>
  <c r="AF309" i="1" s="1"/>
  <c r="AF308" i="1"/>
  <c r="Z308" i="1"/>
  <c r="AG307" i="1"/>
  <c r="AF307" i="1"/>
  <c r="Z307" i="1"/>
  <c r="Z306" i="1"/>
  <c r="AG305" i="1"/>
  <c r="Z305" i="1"/>
  <c r="AF305" i="1" s="1"/>
  <c r="AF304" i="1"/>
  <c r="Z304" i="1"/>
  <c r="AF303" i="1"/>
  <c r="AG303" i="1" s="1"/>
  <c r="Z303" i="1"/>
  <c r="AF302" i="1"/>
  <c r="Z302" i="1"/>
  <c r="Z301" i="1"/>
  <c r="AF301" i="1" s="1"/>
  <c r="Z300" i="1"/>
  <c r="AF299" i="1"/>
  <c r="AG299" i="1" s="1"/>
  <c r="Z299" i="1"/>
  <c r="Z298" i="1"/>
  <c r="Z297" i="1"/>
  <c r="Z296" i="1"/>
  <c r="AF295" i="1"/>
  <c r="AG295" i="1" s="1"/>
  <c r="Z295" i="1"/>
  <c r="Z294" i="1"/>
  <c r="Z293" i="1"/>
  <c r="AF293" i="1" s="1"/>
  <c r="Z292" i="1"/>
  <c r="AF291" i="1"/>
  <c r="AG291" i="1" s="1"/>
  <c r="Z291" i="1"/>
  <c r="Z290" i="1"/>
  <c r="AF289" i="1"/>
  <c r="Z289" i="1"/>
  <c r="AG289" i="1" s="1"/>
  <c r="AF288" i="1"/>
  <c r="AG288" i="1" s="1"/>
  <c r="Z288" i="1"/>
  <c r="AG287" i="1"/>
  <c r="AF287" i="1"/>
  <c r="Z287" i="1"/>
  <c r="Z286" i="1"/>
  <c r="AG285" i="1"/>
  <c r="Z285" i="1"/>
  <c r="AF285" i="1" s="1"/>
  <c r="Z284" i="1"/>
  <c r="AF283" i="1"/>
  <c r="AG283" i="1" s="1"/>
  <c r="Z283" i="1"/>
  <c r="Z282" i="1"/>
  <c r="AG281" i="1"/>
  <c r="AF281" i="1"/>
  <c r="Z281" i="1"/>
  <c r="Z280" i="1"/>
  <c r="AG279" i="1"/>
  <c r="AF279" i="1"/>
  <c r="Z279" i="1"/>
  <c r="Z278" i="1"/>
  <c r="AF277" i="1"/>
  <c r="Z277" i="1"/>
  <c r="AG277" i="1" s="1"/>
  <c r="AF276" i="1"/>
  <c r="Z276" i="1"/>
  <c r="AG276" i="1" s="1"/>
  <c r="AF275" i="1"/>
  <c r="AG275" i="1" s="1"/>
  <c r="Z275" i="1"/>
  <c r="AF274" i="1"/>
  <c r="Z274" i="1"/>
  <c r="Z273" i="1"/>
  <c r="Z272" i="1"/>
  <c r="AF272" i="1" s="1"/>
  <c r="AG272" i="1" s="1"/>
  <c r="Z271" i="1"/>
  <c r="Z270" i="1"/>
  <c r="AF269" i="1"/>
  <c r="Z269" i="1"/>
  <c r="AF268" i="1"/>
  <c r="AG268" i="1" s="1"/>
  <c r="Z268" i="1"/>
  <c r="Z267" i="1"/>
  <c r="AF266" i="1"/>
  <c r="Z266" i="1"/>
  <c r="Z265" i="1"/>
  <c r="AF265" i="1" s="1"/>
  <c r="Z264" i="1"/>
  <c r="AF263" i="1"/>
  <c r="Z263" i="1"/>
  <c r="AG263" i="1" s="1"/>
  <c r="Z262" i="1"/>
  <c r="AF261" i="1"/>
  <c r="Z261" i="1"/>
  <c r="AG261" i="1" s="1"/>
  <c r="AF260" i="1"/>
  <c r="AG260" i="1" s="1"/>
  <c r="Z260" i="1"/>
  <c r="AG259" i="1"/>
  <c r="Z259" i="1"/>
  <c r="AF259" i="1" s="1"/>
  <c r="Z258" i="1"/>
  <c r="Z257" i="1"/>
  <c r="Z256" i="1"/>
  <c r="AF255" i="1"/>
  <c r="AG255" i="1" s="1"/>
  <c r="Z255" i="1"/>
  <c r="AF254" i="1"/>
  <c r="Z254" i="1"/>
  <c r="AF253" i="1"/>
  <c r="AG253" i="1" s="1"/>
  <c r="Z253" i="1"/>
  <c r="Z252" i="1"/>
  <c r="AF252" i="1" s="1"/>
  <c r="Z251" i="1"/>
  <c r="AF251" i="1" s="1"/>
  <c r="AG251" i="1" s="1"/>
  <c r="Z250" i="1"/>
  <c r="Z249" i="1"/>
  <c r="AF248" i="1"/>
  <c r="Z248" i="1"/>
  <c r="Z247" i="1"/>
  <c r="AF247" i="1" s="1"/>
  <c r="AG247" i="1" s="1"/>
  <c r="AF246" i="1"/>
  <c r="Z246" i="1"/>
  <c r="Z245" i="1"/>
  <c r="Z244" i="1"/>
  <c r="Z243" i="1"/>
  <c r="Z242" i="1"/>
  <c r="AF241" i="1"/>
  <c r="Z241" i="1"/>
  <c r="AG241" i="1" s="1"/>
  <c r="AF240" i="1"/>
  <c r="Z240" i="1"/>
  <c r="AG240" i="1" s="1"/>
  <c r="Z239" i="1"/>
  <c r="AF239" i="1" s="1"/>
  <c r="Z238" i="1"/>
  <c r="AF238" i="1" s="1"/>
  <c r="AG238" i="1" s="1"/>
  <c r="AF237" i="1"/>
  <c r="Z237" i="1"/>
  <c r="AG237" i="1" s="1"/>
  <c r="AF236" i="1"/>
  <c r="Z236" i="1"/>
  <c r="AG236" i="1" s="1"/>
  <c r="AG235" i="1"/>
  <c r="Z235" i="1"/>
  <c r="AF235" i="1" s="1"/>
  <c r="Z234" i="1"/>
  <c r="AF234" i="1" s="1"/>
  <c r="AG234" i="1" s="1"/>
  <c r="AF233" i="1"/>
  <c r="Z233" i="1"/>
  <c r="AG233" i="1" s="1"/>
  <c r="AF232" i="1"/>
  <c r="Z232" i="1"/>
  <c r="AG232" i="1" s="1"/>
  <c r="Z231" i="1"/>
  <c r="AF231" i="1" s="1"/>
  <c r="AF230" i="1"/>
  <c r="AG230" i="1" s="1"/>
  <c r="Z230" i="1"/>
  <c r="AF229" i="1"/>
  <c r="Z229" i="1"/>
  <c r="AG229" i="1" s="1"/>
  <c r="AF228" i="1"/>
  <c r="Z228" i="1"/>
  <c r="AG228" i="1" s="1"/>
  <c r="Z227" i="1"/>
  <c r="AF227" i="1" s="1"/>
  <c r="Z226" i="1"/>
  <c r="AF225" i="1"/>
  <c r="Z225" i="1"/>
  <c r="AG225" i="1" s="1"/>
  <c r="AF224" i="1"/>
  <c r="Z224" i="1"/>
  <c r="AG224" i="1" s="1"/>
  <c r="Z223" i="1"/>
  <c r="AF223" i="1" s="1"/>
  <c r="Z222" i="1"/>
  <c r="AF222" i="1" s="1"/>
  <c r="AG222" i="1" s="1"/>
  <c r="AF221" i="1"/>
  <c r="Z221" i="1"/>
  <c r="AG221" i="1" s="1"/>
  <c r="AF220" i="1"/>
  <c r="Z220" i="1"/>
  <c r="AG219" i="1"/>
  <c r="Z219" i="1"/>
  <c r="AF219" i="1" s="1"/>
  <c r="Z218" i="1"/>
  <c r="AF218" i="1" s="1"/>
  <c r="AG218" i="1" s="1"/>
  <c r="AF217" i="1"/>
  <c r="Z217" i="1"/>
  <c r="AG217" i="1" s="1"/>
  <c r="AF216" i="1"/>
  <c r="Z216" i="1"/>
  <c r="AG216" i="1" s="1"/>
  <c r="Z215" i="1"/>
  <c r="AF215" i="1" s="1"/>
  <c r="AF214" i="1"/>
  <c r="AG214" i="1" s="1"/>
  <c r="Z214" i="1"/>
  <c r="AF213" i="1"/>
  <c r="Z213" i="1"/>
  <c r="AG213" i="1" s="1"/>
  <c r="AF212" i="1"/>
  <c r="Z212" i="1"/>
  <c r="AG212" i="1" s="1"/>
  <c r="Z211" i="1"/>
  <c r="AF211" i="1" s="1"/>
  <c r="Z210" i="1"/>
  <c r="AF209" i="1"/>
  <c r="Z209" i="1"/>
  <c r="AG209" i="1" s="1"/>
  <c r="AF208" i="1"/>
  <c r="Z208" i="1"/>
  <c r="AG208" i="1" s="1"/>
  <c r="Z207" i="1"/>
  <c r="Z206" i="1"/>
  <c r="AF205" i="1"/>
  <c r="Z205" i="1"/>
  <c r="AG205" i="1" s="1"/>
  <c r="AF204" i="1"/>
  <c r="Z204" i="1"/>
  <c r="AG204" i="1" s="1"/>
  <c r="AF203" i="1"/>
  <c r="Z203" i="1"/>
  <c r="AG203" i="1" s="1"/>
  <c r="AF202" i="1"/>
  <c r="AG202" i="1" s="1"/>
  <c r="Z202" i="1"/>
  <c r="AF201" i="1"/>
  <c r="Z201" i="1"/>
  <c r="AG201" i="1" s="1"/>
  <c r="AF200" i="1"/>
  <c r="Z200" i="1"/>
  <c r="AG200" i="1" s="1"/>
  <c r="AF199" i="1"/>
  <c r="AG199" i="1" s="1"/>
  <c r="Z199" i="1"/>
  <c r="Z198" i="1"/>
  <c r="AF198" i="1" s="1"/>
  <c r="AG198" i="1" s="1"/>
  <c r="AF197" i="1"/>
  <c r="Z197" i="1"/>
  <c r="AG197" i="1" s="1"/>
  <c r="AF196" i="1"/>
  <c r="Z196" i="1"/>
  <c r="AG196" i="1" s="1"/>
  <c r="AF195" i="1"/>
  <c r="Z195" i="1"/>
  <c r="AG195" i="1" s="1"/>
  <c r="Z194" i="1"/>
  <c r="AF194" i="1" s="1"/>
  <c r="AG194" i="1" s="1"/>
  <c r="AF193" i="1"/>
  <c r="Z193" i="1"/>
  <c r="AG193" i="1" s="1"/>
  <c r="AF192" i="1"/>
  <c r="Z192" i="1"/>
  <c r="Z191" i="1"/>
  <c r="Z190" i="1"/>
  <c r="AF189" i="1"/>
  <c r="Z189" i="1"/>
  <c r="AG189" i="1" s="1"/>
  <c r="AF188" i="1"/>
  <c r="Z188" i="1"/>
  <c r="AG188" i="1" s="1"/>
  <c r="Z187" i="1"/>
  <c r="AF187" i="1" s="1"/>
  <c r="AG187" i="1" s="1"/>
  <c r="Z186" i="1"/>
  <c r="AF185" i="1"/>
  <c r="Z185" i="1"/>
  <c r="AG185" i="1" s="1"/>
  <c r="AF184" i="1"/>
  <c r="Z184" i="1"/>
  <c r="AG184" i="1" s="1"/>
  <c r="Z183" i="1"/>
  <c r="Z182" i="1"/>
  <c r="AF181" i="1"/>
  <c r="Z181" i="1"/>
  <c r="AG181" i="1" s="1"/>
  <c r="AF180" i="1"/>
  <c r="Z180" i="1"/>
  <c r="AG180" i="1" s="1"/>
  <c r="AF179" i="1"/>
  <c r="Z179" i="1"/>
  <c r="AG179" i="1" s="1"/>
  <c r="AF178" i="1"/>
  <c r="AG178" i="1" s="1"/>
  <c r="Z178" i="1"/>
  <c r="AF177" i="1"/>
  <c r="Z177" i="1"/>
  <c r="AG177" i="1" s="1"/>
  <c r="AF176" i="1"/>
  <c r="Z176" i="1"/>
  <c r="AG176" i="1" s="1"/>
  <c r="AF175" i="1"/>
  <c r="AG175" i="1" s="1"/>
  <c r="Z175" i="1"/>
  <c r="Z174" i="1"/>
  <c r="AF174" i="1" s="1"/>
  <c r="AG174" i="1" s="1"/>
  <c r="AF173" i="1"/>
  <c r="Z173" i="1"/>
  <c r="AG173" i="1" s="1"/>
  <c r="AF172" i="1"/>
  <c r="Z172" i="1"/>
  <c r="AG172" i="1" s="1"/>
  <c r="AF171" i="1"/>
  <c r="Z171" i="1"/>
  <c r="AG171" i="1" s="1"/>
  <c r="Z170" i="1"/>
  <c r="AF170" i="1" s="1"/>
  <c r="AG170" i="1" s="1"/>
  <c r="AF169" i="1"/>
  <c r="Z169" i="1"/>
  <c r="AG169" i="1" s="1"/>
  <c r="AF168" i="1"/>
  <c r="Z168" i="1"/>
  <c r="Z167" i="1"/>
  <c r="Z166" i="1"/>
  <c r="AF165" i="1"/>
  <c r="Z165" i="1"/>
  <c r="AG165" i="1" s="1"/>
  <c r="AF164" i="1"/>
  <c r="Z164" i="1"/>
  <c r="AG164" i="1" s="1"/>
  <c r="Z163" i="1"/>
  <c r="AF163" i="1" s="1"/>
  <c r="AG163" i="1" s="1"/>
  <c r="Z162" i="1"/>
  <c r="AF161" i="1"/>
  <c r="Z161" i="1"/>
  <c r="AG161" i="1" s="1"/>
  <c r="Z160" i="1"/>
  <c r="Z159" i="1"/>
  <c r="Z158" i="1"/>
  <c r="AF157" i="1"/>
  <c r="Z157" i="1"/>
  <c r="AG157" i="1" s="1"/>
  <c r="Z156" i="1"/>
  <c r="AF155" i="1"/>
  <c r="Z155" i="1"/>
  <c r="AG155" i="1" s="1"/>
  <c r="AF154" i="1"/>
  <c r="AG154" i="1" s="1"/>
  <c r="Z154" i="1"/>
  <c r="AF153" i="1"/>
  <c r="Z153" i="1"/>
  <c r="AG153" i="1" s="1"/>
  <c r="Z152" i="1"/>
  <c r="AF151" i="1"/>
  <c r="AG151" i="1" s="1"/>
  <c r="Z151" i="1"/>
  <c r="Z150" i="1"/>
  <c r="AF150" i="1" s="1"/>
  <c r="AG150" i="1" s="1"/>
  <c r="AF149" i="1"/>
  <c r="Z149" i="1"/>
  <c r="Z148" i="1"/>
  <c r="AF147" i="1"/>
  <c r="Z147" i="1"/>
  <c r="AG147" i="1" s="1"/>
  <c r="Z146" i="1"/>
  <c r="AF146" i="1" s="1"/>
  <c r="AG146" i="1" s="1"/>
  <c r="AF145" i="1"/>
  <c r="Z145" i="1"/>
  <c r="AG145" i="1" s="1"/>
  <c r="AF144" i="1"/>
  <c r="Z144" i="1"/>
  <c r="Z143" i="1"/>
  <c r="Z142" i="1"/>
  <c r="AF141" i="1"/>
  <c r="Z141" i="1"/>
  <c r="AG141" i="1" s="1"/>
  <c r="Z140" i="1"/>
  <c r="Z139" i="1"/>
  <c r="AF139" i="1" s="1"/>
  <c r="AG139" i="1" s="1"/>
  <c r="Z138" i="1"/>
  <c r="AF137" i="1"/>
  <c r="Z137" i="1"/>
  <c r="AG137" i="1" s="1"/>
  <c r="Z136" i="1"/>
  <c r="Z135" i="1"/>
  <c r="Z134" i="1"/>
  <c r="AF133" i="1"/>
  <c r="Z133" i="1"/>
  <c r="AG133" i="1" s="1"/>
  <c r="Z132" i="1"/>
  <c r="AF131" i="1"/>
  <c r="Z131" i="1"/>
  <c r="AG131" i="1" s="1"/>
  <c r="AF130" i="1"/>
  <c r="AG130" i="1" s="1"/>
  <c r="Z130" i="1"/>
  <c r="AF129" i="1"/>
  <c r="Z129" i="1"/>
  <c r="AG129" i="1" s="1"/>
  <c r="Z128" i="1"/>
  <c r="AF127" i="1"/>
  <c r="AG127" i="1" s="1"/>
  <c r="Z127" i="1"/>
  <c r="Z126" i="1"/>
  <c r="AF126" i="1" s="1"/>
  <c r="AG126" i="1" s="1"/>
  <c r="AF125" i="1"/>
  <c r="Z125" i="1"/>
  <c r="Z124" i="1"/>
  <c r="AF123" i="1"/>
  <c r="Z123" i="1"/>
  <c r="AG123" i="1" s="1"/>
  <c r="Z122" i="1"/>
  <c r="AF122" i="1" s="1"/>
  <c r="AG122" i="1" s="1"/>
  <c r="AF121" i="1"/>
  <c r="Z121" i="1"/>
  <c r="AG121" i="1" s="1"/>
  <c r="AF120" i="1"/>
  <c r="Z120" i="1"/>
  <c r="Z119" i="1"/>
  <c r="Z118" i="1"/>
  <c r="AF117" i="1"/>
  <c r="Z117" i="1"/>
  <c r="AG117" i="1" s="1"/>
  <c r="Z116" i="1"/>
  <c r="Z115" i="1"/>
  <c r="AF114" i="1"/>
  <c r="Z114" i="1"/>
  <c r="AG114" i="1" s="1"/>
  <c r="AF113" i="1"/>
  <c r="Z113" i="1"/>
  <c r="Z112" i="1"/>
  <c r="AF112" i="1" s="1"/>
  <c r="AG112" i="1" s="1"/>
  <c r="Z111" i="1"/>
  <c r="AF111" i="1" s="1"/>
  <c r="AG111" i="1" s="1"/>
  <c r="Z110" i="1"/>
  <c r="AF109" i="1"/>
  <c r="Z109" i="1"/>
  <c r="AG109" i="1" s="1"/>
  <c r="AF108" i="1"/>
  <c r="Z108" i="1"/>
  <c r="AG108" i="1" s="1"/>
  <c r="AF107" i="1"/>
  <c r="AG107" i="1" s="1"/>
  <c r="Z107" i="1"/>
  <c r="Z106" i="1"/>
  <c r="AF105" i="1"/>
  <c r="Z105" i="1"/>
  <c r="Z104" i="1"/>
  <c r="AF104" i="1" s="1"/>
  <c r="AG104" i="1" s="1"/>
  <c r="Z103" i="1"/>
  <c r="Z102" i="1"/>
  <c r="AF101" i="1"/>
  <c r="Z101" i="1"/>
  <c r="AG101" i="1" s="1"/>
  <c r="AF100" i="1"/>
  <c r="AG100" i="1" s="1"/>
  <c r="Z100" i="1"/>
  <c r="Z99" i="1"/>
  <c r="AF99" i="1" s="1"/>
  <c r="AG99" i="1" s="1"/>
  <c r="Z98" i="1"/>
  <c r="AF98" i="1" s="1"/>
  <c r="AG98" i="1" s="1"/>
  <c r="AF97" i="1"/>
  <c r="Z97" i="1"/>
  <c r="AG97" i="1" s="1"/>
  <c r="Z96" i="1"/>
  <c r="AF95" i="1"/>
  <c r="Z95" i="1"/>
  <c r="AG95" i="1" s="1"/>
  <c r="AF94" i="1"/>
  <c r="AG94" i="1" s="1"/>
  <c r="Z94" i="1"/>
  <c r="Z93" i="1"/>
  <c r="AF92" i="1"/>
  <c r="Z92" i="1"/>
  <c r="AG92" i="1" s="1"/>
  <c r="Z91" i="1"/>
  <c r="AF91" i="1" s="1"/>
  <c r="AG91" i="1" s="1"/>
  <c r="Z90" i="1"/>
  <c r="AF89" i="1"/>
  <c r="Z89" i="1"/>
  <c r="Z88" i="1"/>
  <c r="AF87" i="1"/>
  <c r="AG87" i="1" s="1"/>
  <c r="Z87" i="1"/>
  <c r="Z86" i="1"/>
  <c r="AF86" i="1" s="1"/>
  <c r="AG86" i="1" s="1"/>
  <c r="AF85" i="1"/>
  <c r="Z85" i="1"/>
  <c r="Z84" i="1"/>
  <c r="Z83" i="1"/>
  <c r="AF82" i="1"/>
  <c r="Z82" i="1"/>
  <c r="AG82" i="1" s="1"/>
  <c r="Z81" i="1"/>
  <c r="AF81" i="1" s="1"/>
  <c r="Z80" i="1"/>
  <c r="AF79" i="1"/>
  <c r="Z79" i="1"/>
  <c r="AG79" i="1" s="1"/>
  <c r="Z78" i="1"/>
  <c r="AF78" i="1" s="1"/>
  <c r="AG78" i="1" s="1"/>
  <c r="Z77" i="1"/>
  <c r="Z76" i="1"/>
  <c r="AF76" i="1" s="1"/>
  <c r="AG76" i="1" s="1"/>
  <c r="Z75" i="1"/>
  <c r="AF74" i="1"/>
  <c r="AG74" i="1" s="1"/>
  <c r="Z74" i="1"/>
  <c r="AF73" i="1"/>
  <c r="Z73" i="1"/>
  <c r="AF72" i="1"/>
  <c r="AG72" i="1" s="1"/>
  <c r="Z72" i="1"/>
  <c r="Z71" i="1"/>
  <c r="Z70" i="1"/>
  <c r="Z69" i="1"/>
  <c r="Z68" i="1"/>
  <c r="Z67" i="1"/>
  <c r="AF66" i="1"/>
  <c r="Z66" i="1"/>
  <c r="AG66" i="1" s="1"/>
  <c r="AF65" i="1"/>
  <c r="Z65" i="1"/>
  <c r="Z64" i="1"/>
  <c r="AF64" i="1" s="1"/>
  <c r="AG64" i="1" s="1"/>
  <c r="Z63" i="1"/>
  <c r="AF63" i="1" s="1"/>
  <c r="AG63" i="1" s="1"/>
  <c r="Z62" i="1"/>
  <c r="Z61" i="1"/>
  <c r="AF60" i="1"/>
  <c r="Z60" i="1"/>
  <c r="AG60" i="1" s="1"/>
  <c r="AF59" i="1"/>
  <c r="AG59" i="1" s="1"/>
  <c r="Z59" i="1"/>
  <c r="Z58" i="1"/>
  <c r="AF57" i="1"/>
  <c r="Z57" i="1"/>
  <c r="Z56" i="1"/>
  <c r="AF56" i="1" s="1"/>
  <c r="AG56" i="1" s="1"/>
  <c r="Z55" i="1"/>
  <c r="Z54" i="1"/>
  <c r="Z53" i="1"/>
  <c r="AF53" i="1" s="1"/>
  <c r="AF52" i="1"/>
  <c r="AG52" i="1" s="1"/>
  <c r="Z52" i="1"/>
  <c r="Z51" i="1"/>
  <c r="AF51" i="1" s="1"/>
  <c r="AG51" i="1" s="1"/>
  <c r="Z50" i="1"/>
  <c r="AF50" i="1" s="1"/>
  <c r="AG50" i="1" s="1"/>
  <c r="Z49" i="1"/>
  <c r="Z48" i="1"/>
  <c r="AF47" i="1"/>
  <c r="Z47" i="1"/>
  <c r="AG47" i="1" s="1"/>
  <c r="AF46" i="1"/>
  <c r="AG46" i="1" s="1"/>
  <c r="Z46" i="1"/>
  <c r="Z45" i="1"/>
  <c r="AF44" i="1"/>
  <c r="Z44" i="1"/>
  <c r="AG44" i="1" s="1"/>
  <c r="Z43" i="1"/>
  <c r="AF43" i="1" s="1"/>
  <c r="AG43" i="1" s="1"/>
  <c r="Z42" i="1"/>
  <c r="Z41" i="1"/>
  <c r="AF40" i="1"/>
  <c r="Z40" i="1"/>
  <c r="AG40" i="1" s="1"/>
  <c r="Z39" i="1"/>
  <c r="AF39" i="1" s="1"/>
  <c r="AG39" i="1" s="1"/>
  <c r="Z38" i="1"/>
  <c r="Z37" i="1"/>
  <c r="AF36" i="1"/>
  <c r="Z36" i="1"/>
  <c r="AG36" i="1" s="1"/>
  <c r="Z35" i="1"/>
  <c r="AF35" i="1" s="1"/>
  <c r="AG35" i="1" s="1"/>
  <c r="Z34" i="1"/>
  <c r="Z33" i="1"/>
  <c r="AF32" i="1"/>
  <c r="Z32" i="1"/>
  <c r="AG32" i="1" s="1"/>
  <c r="Z31" i="1"/>
  <c r="AF31" i="1" s="1"/>
  <c r="AG31" i="1" s="1"/>
  <c r="Z30" i="1"/>
  <c r="Z29" i="1"/>
  <c r="AF28" i="1"/>
  <c r="Z28" i="1"/>
  <c r="AG28" i="1" s="1"/>
  <c r="Z27" i="1"/>
  <c r="AF27" i="1" s="1"/>
  <c r="AG27" i="1" s="1"/>
  <c r="Z26" i="1"/>
  <c r="Z25" i="1"/>
  <c r="AF24" i="1"/>
  <c r="Z24" i="1"/>
  <c r="AG24" i="1" s="1"/>
  <c r="Z23" i="1"/>
  <c r="AF23" i="1" s="1"/>
  <c r="AG23" i="1" s="1"/>
  <c r="Z22" i="1"/>
  <c r="Z21" i="1"/>
  <c r="AF20" i="1"/>
  <c r="Z20" i="1"/>
  <c r="AG20" i="1" s="1"/>
  <c r="Z19" i="1"/>
  <c r="AF19" i="1" s="1"/>
  <c r="AG19" i="1" s="1"/>
  <c r="Z18" i="1"/>
  <c r="Z17" i="1"/>
  <c r="AF16" i="1"/>
  <c r="Z16" i="1"/>
  <c r="AG16" i="1" s="1"/>
  <c r="Z15" i="1"/>
  <c r="AF15" i="1" s="1"/>
  <c r="AG15" i="1" s="1"/>
  <c r="Z14" i="1"/>
  <c r="Z13" i="1"/>
  <c r="AF12" i="1"/>
  <c r="Z12" i="1"/>
  <c r="AG12" i="1" s="1"/>
  <c r="Z11" i="1"/>
  <c r="AF11" i="1" s="1"/>
  <c r="AG11" i="1" s="1"/>
  <c r="Z10" i="1"/>
  <c r="Z9" i="1"/>
  <c r="AF8" i="1"/>
  <c r="Z8" i="1"/>
  <c r="AG8" i="1" s="1"/>
  <c r="Z7" i="1"/>
  <c r="AF7" i="1" s="1"/>
  <c r="AG7" i="1" s="1"/>
  <c r="Z6" i="1"/>
  <c r="Z5" i="1"/>
  <c r="AF4" i="1"/>
  <c r="Z4" i="1"/>
  <c r="AG4" i="1" s="1"/>
  <c r="Z3" i="1"/>
  <c r="AF3" i="1" s="1"/>
  <c r="AG3" i="1" s="1"/>
  <c r="Z2" i="1"/>
  <c r="AG38" i="1" l="1"/>
  <c r="AG116" i="1"/>
  <c r="AG191" i="1"/>
  <c r="AG58" i="1"/>
  <c r="AG142" i="1"/>
  <c r="AG5" i="1"/>
  <c r="AG96" i="1"/>
  <c r="AG2" i="1"/>
  <c r="AG21" i="1"/>
  <c r="AG167" i="1"/>
  <c r="AG273" i="1"/>
  <c r="AG22" i="1"/>
  <c r="AG68" i="1"/>
  <c r="AG102" i="1"/>
  <c r="AG159" i="1"/>
  <c r="AG210" i="1"/>
  <c r="AG13" i="1"/>
  <c r="AG42" i="1"/>
  <c r="AG103" i="1"/>
  <c r="AG135" i="1"/>
  <c r="AG33" i="1"/>
  <c r="AG6" i="1"/>
  <c r="AG62" i="1"/>
  <c r="AG34" i="1"/>
  <c r="AG26" i="1"/>
  <c r="AG90" i="1"/>
  <c r="AG370" i="1"/>
  <c r="AF2" i="1"/>
  <c r="AF6" i="1"/>
  <c r="AF10" i="1"/>
  <c r="AG10" i="1" s="1"/>
  <c r="AF14" i="1"/>
  <c r="AG14" i="1" s="1"/>
  <c r="AF18" i="1"/>
  <c r="AG18" i="1" s="1"/>
  <c r="AF22" i="1"/>
  <c r="AF26" i="1"/>
  <c r="AF30" i="1"/>
  <c r="AG30" i="1" s="1"/>
  <c r="AF34" i="1"/>
  <c r="AF38" i="1"/>
  <c r="AF42" i="1"/>
  <c r="AF55" i="1"/>
  <c r="AG55" i="1" s="1"/>
  <c r="AF68" i="1"/>
  <c r="AF90" i="1"/>
  <c r="AF103" i="1"/>
  <c r="AF116" i="1"/>
  <c r="AF135" i="1"/>
  <c r="AF159" i="1"/>
  <c r="AF183" i="1"/>
  <c r="AG183" i="1" s="1"/>
  <c r="AF207" i="1"/>
  <c r="AG207" i="1" s="1"/>
  <c r="AF264" i="1"/>
  <c r="AG264" i="1" s="1"/>
  <c r="AG270" i="1"/>
  <c r="AF270" i="1"/>
  <c r="AG282" i="1"/>
  <c r="AG328" i="1"/>
  <c r="AF335" i="1"/>
  <c r="AG335" i="1" s="1"/>
  <c r="AG364" i="1"/>
  <c r="AG371" i="1"/>
  <c r="AF371" i="1"/>
  <c r="AF479" i="1"/>
  <c r="AG479" i="1" s="1"/>
  <c r="AG81" i="1"/>
  <c r="AG245" i="1"/>
  <c r="AG73" i="1"/>
  <c r="AF77" i="1"/>
  <c r="AG77" i="1" s="1"/>
  <c r="AF140" i="1"/>
  <c r="AG140" i="1" s="1"/>
  <c r="AG223" i="1"/>
  <c r="AG239" i="1"/>
  <c r="AG252" i="1"/>
  <c r="AF282" i="1"/>
  <c r="AF336" i="1"/>
  <c r="AG336" i="1"/>
  <c r="AF372" i="1"/>
  <c r="AG372" i="1"/>
  <c r="AG743" i="1"/>
  <c r="AG257" i="1"/>
  <c r="AF257" i="1"/>
  <c r="AG160" i="1"/>
  <c r="AF296" i="1"/>
  <c r="AG296" i="1" s="1"/>
  <c r="AF450" i="1"/>
  <c r="AG450" i="1" s="1"/>
  <c r="AF536" i="1"/>
  <c r="AG536" i="1" s="1"/>
  <c r="AF676" i="1"/>
  <c r="AG676" i="1" s="1"/>
  <c r="AF710" i="1"/>
  <c r="AG710" i="1" s="1"/>
  <c r="AG759" i="1"/>
  <c r="AF396" i="1"/>
  <c r="AG396" i="1"/>
  <c r="AG65" i="1"/>
  <c r="AF69" i="1"/>
  <c r="AG69" i="1" s="1"/>
  <c r="AG113" i="1"/>
  <c r="AF136" i="1"/>
  <c r="AG136" i="1" s="1"/>
  <c r="AF160" i="1"/>
  <c r="AG265" i="1"/>
  <c r="AF297" i="1"/>
  <c r="AG297" i="1"/>
  <c r="AG322" i="1"/>
  <c r="AF322" i="1"/>
  <c r="AG358" i="1"/>
  <c r="AF399" i="1"/>
  <c r="AG399" i="1" s="1"/>
  <c r="AG466" i="1"/>
  <c r="AF466" i="1"/>
  <c r="AF520" i="1"/>
  <c r="AG520" i="1"/>
  <c r="AF637" i="1"/>
  <c r="AG637" i="1" s="1"/>
  <c r="AG61" i="1"/>
  <c r="AG156" i="1"/>
  <c r="AF278" i="1"/>
  <c r="AG278" i="1" s="1"/>
  <c r="AG323" i="1"/>
  <c r="AF323" i="1"/>
  <c r="AG359" i="1"/>
  <c r="AF359" i="1"/>
  <c r="AG444" i="1"/>
  <c r="AF444" i="1"/>
  <c r="AG460" i="1"/>
  <c r="AG593" i="1"/>
  <c r="AF593" i="1"/>
  <c r="AF645" i="1"/>
  <c r="AG645" i="1" s="1"/>
  <c r="AF652" i="1"/>
  <c r="AG652" i="1" s="1"/>
  <c r="AF686" i="1"/>
  <c r="AG686" i="1" s="1"/>
  <c r="AG728" i="1"/>
  <c r="AF728" i="1"/>
  <c r="AG737" i="1"/>
  <c r="AF48" i="1"/>
  <c r="AG48" i="1" s="1"/>
  <c r="AG57" i="1"/>
  <c r="AF61" i="1"/>
  <c r="AF70" i="1"/>
  <c r="AG70" i="1" s="1"/>
  <c r="AF83" i="1"/>
  <c r="AG83" i="1" s="1"/>
  <c r="AF96" i="1"/>
  <c r="AG105" i="1"/>
  <c r="AF118" i="1"/>
  <c r="AG118" i="1" s="1"/>
  <c r="AF132" i="1"/>
  <c r="AG132" i="1" s="1"/>
  <c r="AF142" i="1"/>
  <c r="AF156" i="1"/>
  <c r="AF166" i="1"/>
  <c r="AG166" i="1" s="1"/>
  <c r="AF190" i="1"/>
  <c r="AG190" i="1" s="1"/>
  <c r="AG220" i="1"/>
  <c r="AG248" i="1"/>
  <c r="AF273" i="1"/>
  <c r="AF290" i="1"/>
  <c r="AG290" i="1" s="1"/>
  <c r="AF324" i="1"/>
  <c r="AG324" i="1"/>
  <c r="AF360" i="1"/>
  <c r="AG360" i="1"/>
  <c r="AG382" i="1"/>
  <c r="AF391" i="1"/>
  <c r="AG391" i="1" s="1"/>
  <c r="AG670" i="1"/>
  <c r="AF670" i="1"/>
  <c r="AF712" i="1"/>
  <c r="AG712" i="1" s="1"/>
  <c r="AF392" i="1"/>
  <c r="AG392" i="1"/>
  <c r="AF602" i="1"/>
  <c r="AG602" i="1" s="1"/>
  <c r="AG49" i="1"/>
  <c r="AF62" i="1"/>
  <c r="AF75" i="1"/>
  <c r="AG75" i="1" s="1"/>
  <c r="AF88" i="1"/>
  <c r="AG88" i="1" s="1"/>
  <c r="AF110" i="1"/>
  <c r="AG110" i="1" s="1"/>
  <c r="AF128" i="1"/>
  <c r="AG128" i="1" s="1"/>
  <c r="AF138" i="1"/>
  <c r="AG138" i="1" s="1"/>
  <c r="AF152" i="1"/>
  <c r="AG152" i="1" s="1"/>
  <c r="AF162" i="1"/>
  <c r="AG162" i="1" s="1"/>
  <c r="AF186" i="1"/>
  <c r="AG186" i="1" s="1"/>
  <c r="AF210" i="1"/>
  <c r="AG215" i="1"/>
  <c r="AF226" i="1"/>
  <c r="AG226" i="1" s="1"/>
  <c r="AG231" i="1"/>
  <c r="AF242" i="1"/>
  <c r="AG242" i="1" s="1"/>
  <c r="AG306" i="1"/>
  <c r="AF383" i="1"/>
  <c r="AG383" i="1" s="1"/>
  <c r="AF514" i="1"/>
  <c r="AG514" i="1" s="1"/>
  <c r="AG523" i="1"/>
  <c r="AF523" i="1"/>
  <c r="AG586" i="1"/>
  <c r="AF586" i="1"/>
  <c r="AG595" i="1"/>
  <c r="AF603" i="1"/>
  <c r="AG603" i="1" s="1"/>
  <c r="AG610" i="1"/>
  <c r="AF610" i="1"/>
  <c r="AG688" i="1"/>
  <c r="AF688" i="1"/>
  <c r="AG722" i="1"/>
  <c r="AF722" i="1"/>
  <c r="AF739" i="1"/>
  <c r="AG739" i="1" s="1"/>
  <c r="AF49" i="1"/>
  <c r="AF58" i="1"/>
  <c r="AF71" i="1"/>
  <c r="AG71" i="1" s="1"/>
  <c r="AF84" i="1"/>
  <c r="AG84" i="1" s="1"/>
  <c r="AG93" i="1"/>
  <c r="AF106" i="1"/>
  <c r="AG106" i="1" s="1"/>
  <c r="AF119" i="1"/>
  <c r="AG119" i="1" s="1"/>
  <c r="AF143" i="1"/>
  <c r="AG143" i="1" s="1"/>
  <c r="AF167" i="1"/>
  <c r="AF191" i="1"/>
  <c r="AF286" i="1"/>
  <c r="AG286" i="1" s="1"/>
  <c r="AG292" i="1"/>
  <c r="AF292" i="1"/>
  <c r="AF300" i="1"/>
  <c r="AG300" i="1" s="1"/>
  <c r="AF306" i="1"/>
  <c r="AG340" i="1"/>
  <c r="AG347" i="1"/>
  <c r="AF347" i="1"/>
  <c r="AG376" i="1"/>
  <c r="AF384" i="1"/>
  <c r="AG384" i="1"/>
  <c r="AF403" i="1"/>
  <c r="AG403" i="1" s="1"/>
  <c r="AG411" i="1"/>
  <c r="AF499" i="1"/>
  <c r="AG499" i="1" s="1"/>
  <c r="AF549" i="1"/>
  <c r="AG549" i="1" s="1"/>
  <c r="AF5" i="1"/>
  <c r="AF9" i="1"/>
  <c r="AG9" i="1" s="1"/>
  <c r="AF13" i="1"/>
  <c r="AF17" i="1"/>
  <c r="AG17" i="1" s="1"/>
  <c r="AF21" i="1"/>
  <c r="AF25" i="1"/>
  <c r="AG25" i="1" s="1"/>
  <c r="AF29" i="1"/>
  <c r="AG29" i="1" s="1"/>
  <c r="AF33" i="1"/>
  <c r="AF37" i="1"/>
  <c r="AG37" i="1" s="1"/>
  <c r="AF41" i="1"/>
  <c r="AG41" i="1" s="1"/>
  <c r="AF45" i="1"/>
  <c r="AG45" i="1" s="1"/>
  <c r="AF54" i="1"/>
  <c r="AG54" i="1" s="1"/>
  <c r="AF67" i="1"/>
  <c r="AG67" i="1" s="1"/>
  <c r="AF80" i="1"/>
  <c r="AG80" i="1" s="1"/>
  <c r="AG89" i="1"/>
  <c r="AF93" i="1"/>
  <c r="AF102" i="1"/>
  <c r="AF115" i="1"/>
  <c r="AG115" i="1" s="1"/>
  <c r="AF124" i="1"/>
  <c r="AG124" i="1" s="1"/>
  <c r="AF134" i="1"/>
  <c r="AG134" i="1" s="1"/>
  <c r="AF148" i="1"/>
  <c r="AG148" i="1" s="1"/>
  <c r="AF158" i="1"/>
  <c r="AG158" i="1" s="1"/>
  <c r="AF182" i="1"/>
  <c r="AG182" i="1" s="1"/>
  <c r="AF206" i="1"/>
  <c r="AG206" i="1" s="1"/>
  <c r="AF243" i="1"/>
  <c r="AG243" i="1" s="1"/>
  <c r="AF348" i="1"/>
  <c r="AG348" i="1"/>
  <c r="AF411" i="1"/>
  <c r="AG618" i="1"/>
  <c r="AF618" i="1"/>
  <c r="AG53" i="1"/>
  <c r="AG85" i="1"/>
  <c r="AG120" i="1"/>
  <c r="AG125" i="1"/>
  <c r="AG144" i="1"/>
  <c r="AG149" i="1"/>
  <c r="AG168" i="1"/>
  <c r="AG192" i="1"/>
  <c r="AG211" i="1"/>
  <c r="AG227" i="1"/>
  <c r="AG244" i="1"/>
  <c r="AF244" i="1"/>
  <c r="AF256" i="1"/>
  <c r="AG256" i="1" s="1"/>
  <c r="AG269" i="1"/>
  <c r="AG301" i="1"/>
  <c r="AG404" i="1"/>
  <c r="AF485" i="1"/>
  <c r="AG485" i="1"/>
  <c r="AG431" i="1"/>
  <c r="AG451" i="1"/>
  <c r="AF451" i="1"/>
  <c r="AG571" i="1"/>
  <c r="AF571" i="1"/>
  <c r="AG601" i="1"/>
  <c r="AG609" i="1"/>
  <c r="AF668" i="1"/>
  <c r="AG668" i="1" s="1"/>
  <c r="AF694" i="1"/>
  <c r="AG694" i="1" s="1"/>
  <c r="AF736" i="1"/>
  <c r="AG736" i="1" s="1"/>
  <c r="AG274" i="1"/>
  <c r="AG302" i="1"/>
  <c r="AG398" i="1"/>
  <c r="AG419" i="1"/>
  <c r="AG453" i="1"/>
  <c r="AF453" i="1"/>
  <c r="AF501" i="1"/>
  <c r="AG501" i="1" s="1"/>
  <c r="AG537" i="1"/>
  <c r="AG566" i="1"/>
  <c r="AF573" i="1"/>
  <c r="AG573" i="1" s="1"/>
  <c r="AG588" i="1"/>
  <c r="AG604" i="1"/>
  <c r="AG625" i="1"/>
  <c r="AG662" i="1"/>
  <c r="AF662" i="1"/>
  <c r="AF704" i="1"/>
  <c r="AG704" i="1" s="1"/>
  <c r="AF730" i="1"/>
  <c r="AG730" i="1" s="1"/>
  <c r="AG266" i="1"/>
  <c r="AG308" i="1"/>
  <c r="AG318" i="1"/>
  <c r="AF318" i="1"/>
  <c r="AG330" i="1"/>
  <c r="AG379" i="1"/>
  <c r="AG427" i="1"/>
  <c r="AF475" i="1"/>
  <c r="AG475" i="1" s="1"/>
  <c r="AG488" i="1"/>
  <c r="AF488" i="1"/>
  <c r="AG524" i="1"/>
  <c r="AF538" i="1"/>
  <c r="AG538" i="1" s="1"/>
  <c r="AG553" i="1"/>
  <c r="AG575" i="1"/>
  <c r="AG605" i="1"/>
  <c r="AF605" i="1"/>
  <c r="AG626" i="1"/>
  <c r="AF626" i="1"/>
  <c r="AF680" i="1"/>
  <c r="AG680" i="1" s="1"/>
  <c r="AF706" i="1"/>
  <c r="AG706" i="1" s="1"/>
  <c r="AG298" i="1"/>
  <c r="AG343" i="1"/>
  <c r="AG367" i="1"/>
  <c r="AG440" i="1"/>
  <c r="AF440" i="1"/>
  <c r="AG517" i="1"/>
  <c r="AG560" i="1"/>
  <c r="AF560" i="1"/>
  <c r="AF664" i="1"/>
  <c r="AG664" i="1" s="1"/>
  <c r="AF698" i="1"/>
  <c r="AG698" i="1" s="1"/>
  <c r="AF249" i="1"/>
  <c r="AG249" i="1" s="1"/>
  <c r="AF262" i="1"/>
  <c r="AG262" i="1" s="1"/>
  <c r="AF271" i="1"/>
  <c r="AG271" i="1" s="1"/>
  <c r="AF284" i="1"/>
  <c r="AG284" i="1" s="1"/>
  <c r="AF298" i="1"/>
  <c r="AF319" i="1"/>
  <c r="AG319" i="1" s="1"/>
  <c r="AF331" i="1"/>
  <c r="AG331" i="1" s="1"/>
  <c r="AF343" i="1"/>
  <c r="AF355" i="1"/>
  <c r="AG355" i="1" s="1"/>
  <c r="AF367" i="1"/>
  <c r="AG400" i="1"/>
  <c r="AF407" i="1"/>
  <c r="AG407" i="1" s="1"/>
  <c r="AG414" i="1"/>
  <c r="AG518" i="1"/>
  <c r="AF525" i="1"/>
  <c r="AG525" i="1" s="1"/>
  <c r="AG540" i="1"/>
  <c r="AF546" i="1"/>
  <c r="AG546" i="1" s="1"/>
  <c r="AF613" i="1"/>
  <c r="AG613" i="1" s="1"/>
  <c r="AF620" i="1"/>
  <c r="AG620" i="1" s="1"/>
  <c r="AG634" i="1"/>
  <c r="AF634" i="1"/>
  <c r="AG656" i="1"/>
  <c r="AF656" i="1"/>
  <c r="AG682" i="1"/>
  <c r="AF682" i="1"/>
  <c r="AF724" i="1"/>
  <c r="AG724" i="1" s="1"/>
  <c r="AF245" i="1"/>
  <c r="AG254" i="1"/>
  <c r="AF258" i="1"/>
  <c r="AG258" i="1" s="1"/>
  <c r="AF267" i="1"/>
  <c r="AG267" i="1" s="1"/>
  <c r="AF280" i="1"/>
  <c r="AG280" i="1" s="1"/>
  <c r="AG293" i="1"/>
  <c r="AG304" i="1"/>
  <c r="AG309" i="1"/>
  <c r="AF314" i="1"/>
  <c r="AG314" i="1" s="1"/>
  <c r="AG380" i="1"/>
  <c r="AF387" i="1"/>
  <c r="AG387" i="1" s="1"/>
  <c r="AG415" i="1"/>
  <c r="AG428" i="1"/>
  <c r="AG463" i="1"/>
  <c r="AG470" i="1"/>
  <c r="AG477" i="1"/>
  <c r="AF477" i="1"/>
  <c r="AF490" i="1"/>
  <c r="AG490" i="1" s="1"/>
  <c r="AG511" i="1"/>
  <c r="AF518" i="1"/>
  <c r="AF540" i="1"/>
  <c r="AG547" i="1"/>
  <c r="AF547" i="1"/>
  <c r="AG568" i="1"/>
  <c r="AF591" i="1"/>
  <c r="AG591" i="1" s="1"/>
  <c r="AG621" i="1"/>
  <c r="AF621" i="1"/>
  <c r="AG642" i="1"/>
  <c r="AF642" i="1"/>
  <c r="AG674" i="1"/>
  <c r="AF674" i="1"/>
  <c r="AF716" i="1"/>
  <c r="AG716" i="1" s="1"/>
  <c r="AF755" i="1"/>
  <c r="AG755" i="1" s="1"/>
  <c r="AG250" i="1"/>
  <c r="AG310" i="1"/>
  <c r="AG326" i="1"/>
  <c r="AG350" i="1"/>
  <c r="AG442" i="1"/>
  <c r="AF442" i="1"/>
  <c r="AG457" i="1"/>
  <c r="AG505" i="1"/>
  <c r="AF562" i="1"/>
  <c r="AG562" i="1" s="1"/>
  <c r="AG658" i="1"/>
  <c r="AF658" i="1"/>
  <c r="AF700" i="1"/>
  <c r="AG700" i="1" s="1"/>
  <c r="AF734" i="1"/>
  <c r="AG734" i="1" s="1"/>
  <c r="AG246" i="1"/>
  <c r="AF250" i="1"/>
  <c r="AF294" i="1"/>
  <c r="AG294" i="1" s="1"/>
  <c r="AF310" i="1"/>
  <c r="AG327" i="1"/>
  <c r="AG339" i="1"/>
  <c r="AG351" i="1"/>
  <c r="AG363" i="1"/>
  <c r="AG375" i="1"/>
  <c r="AG388" i="1"/>
  <c r="AF395" i="1"/>
  <c r="AG395" i="1" s="1"/>
  <c r="AG402" i="1"/>
  <c r="AG423" i="1"/>
  <c r="AG443" i="1"/>
  <c r="AF457" i="1"/>
  <c r="AF464" i="1"/>
  <c r="AG464" i="1" s="1"/>
  <c r="AG492" i="1"/>
  <c r="AG498" i="1"/>
  <c r="AF498" i="1"/>
  <c r="AF505" i="1"/>
  <c r="AG512" i="1"/>
  <c r="AF512" i="1"/>
  <c r="AF527" i="1"/>
  <c r="AG527" i="1" s="1"/>
  <c r="AG533" i="1"/>
  <c r="AG556" i="1"/>
  <c r="AF584" i="1"/>
  <c r="AG584" i="1" s="1"/>
  <c r="AG629" i="1"/>
  <c r="AF629" i="1"/>
  <c r="AG636" i="1"/>
  <c r="AF636" i="1"/>
  <c r="AF650" i="1"/>
  <c r="AG650" i="1" s="1"/>
  <c r="AF692" i="1"/>
  <c r="AG692" i="1" s="1"/>
  <c r="AF718" i="1"/>
  <c r="AG718" i="1" s="1"/>
  <c r="AG462" i="1"/>
  <c r="AG510" i="1"/>
  <c r="AG558" i="1"/>
  <c r="AF598" i="1"/>
  <c r="AG598" i="1" s="1"/>
  <c r="AG608" i="1"/>
  <c r="AG624" i="1"/>
  <c r="AG640" i="1"/>
  <c r="AG766" i="1"/>
  <c r="AG506" i="1"/>
  <c r="AG554" i="1"/>
  <c r="AG454" i="1"/>
  <c r="AF458" i="1"/>
  <c r="AG458" i="1" s="1"/>
  <c r="AG502" i="1"/>
  <c r="AF506" i="1"/>
  <c r="AG550" i="1"/>
  <c r="AF554" i="1"/>
  <c r="AG594" i="1"/>
  <c r="AF594" i="1"/>
  <c r="AG614" i="1"/>
  <c r="AF614" i="1"/>
  <c r="AG630" i="1"/>
  <c r="AF630" i="1"/>
  <c r="AF646" i="1"/>
  <c r="AG646" i="1" s="1"/>
  <c r="AG657" i="1"/>
  <c r="AG669" i="1"/>
  <c r="AG681" i="1"/>
  <c r="AG693" i="1"/>
  <c r="AG705" i="1"/>
  <c r="AG717" i="1"/>
  <c r="AG729" i="1"/>
  <c r="AG740" i="1"/>
  <c r="AG756" i="1"/>
  <c r="AG446" i="1"/>
  <c r="AG494" i="1"/>
  <c r="AG542" i="1"/>
  <c r="AF590" i="1"/>
  <c r="AG590" i="1" s="1"/>
  <c r="AG486" i="1"/>
  <c r="AG534" i="1"/>
  <c r="AG616" i="1"/>
  <c r="AG632" i="1"/>
  <c r="AG648" i="1"/>
  <c r="AG653" i="1"/>
  <c r="AG665" i="1"/>
  <c r="AG677" i="1"/>
  <c r="AG689" i="1"/>
  <c r="AG701" i="1"/>
  <c r="AG713" i="1"/>
  <c r="AG725" i="1"/>
  <c r="AG742" i="1"/>
  <c r="AG434" i="1"/>
  <c r="AF438" i="1"/>
  <c r="AG438" i="1" s="1"/>
  <c r="AF447" i="1"/>
  <c r="AG447" i="1" s="1"/>
  <c r="AF460" i="1"/>
  <c r="AF473" i="1"/>
  <c r="AG473" i="1" s="1"/>
  <c r="AG482" i="1"/>
  <c r="AF486" i="1"/>
  <c r="AF495" i="1"/>
  <c r="AG495" i="1" s="1"/>
  <c r="AF508" i="1"/>
  <c r="AG508" i="1" s="1"/>
  <c r="AF521" i="1"/>
  <c r="AG521" i="1" s="1"/>
  <c r="AG530" i="1"/>
  <c r="AF534" i="1"/>
  <c r="AF543" i="1"/>
  <c r="AG543" i="1" s="1"/>
  <c r="AF556" i="1"/>
  <c r="AF569" i="1"/>
  <c r="AG569" i="1" s="1"/>
  <c r="AG578" i="1"/>
  <c r="AF582" i="1"/>
  <c r="AG582" i="1" s="1"/>
  <c r="AF596" i="1"/>
  <c r="AG596" i="1" s="1"/>
  <c r="AF616" i="1"/>
  <c r="AF632" i="1"/>
  <c r="AF648" i="1"/>
  <c r="AF654" i="1"/>
  <c r="AG654" i="1" s="1"/>
  <c r="AG666" i="1"/>
  <c r="AF666" i="1"/>
  <c r="AG672" i="1"/>
  <c r="AF678" i="1"/>
  <c r="AG678" i="1" s="1"/>
  <c r="AF690" i="1"/>
  <c r="AG690" i="1" s="1"/>
  <c r="AF702" i="1"/>
  <c r="AG702" i="1" s="1"/>
  <c r="AG714" i="1"/>
  <c r="AF714" i="1"/>
  <c r="AG720" i="1"/>
  <c r="AF726" i="1"/>
  <c r="AG726" i="1" s="1"/>
  <c r="AF737" i="1"/>
  <c r="AF326" i="1"/>
  <c r="AF330" i="1"/>
  <c r="AF334" i="1"/>
  <c r="AG334" i="1" s="1"/>
  <c r="AF338" i="1"/>
  <c r="AG338" i="1" s="1"/>
  <c r="AF342" i="1"/>
  <c r="AG342" i="1" s="1"/>
  <c r="AF346" i="1"/>
  <c r="AG346" i="1" s="1"/>
  <c r="AF350" i="1"/>
  <c r="AF354" i="1"/>
  <c r="AG354" i="1" s="1"/>
  <c r="AF358" i="1"/>
  <c r="AF362" i="1"/>
  <c r="AG362" i="1" s="1"/>
  <c r="AF366" i="1"/>
  <c r="AG366" i="1" s="1"/>
  <c r="AF370" i="1"/>
  <c r="AF374" i="1"/>
  <c r="AG374" i="1" s="1"/>
  <c r="AF378" i="1"/>
  <c r="AG378" i="1" s="1"/>
  <c r="AF382" i="1"/>
  <c r="AF386" i="1"/>
  <c r="AG386" i="1" s="1"/>
  <c r="AF390" i="1"/>
  <c r="AG390" i="1" s="1"/>
  <c r="AF394" i="1"/>
  <c r="AG394" i="1" s="1"/>
  <c r="AF398" i="1"/>
  <c r="AF402" i="1"/>
  <c r="AF406" i="1"/>
  <c r="AG406" i="1" s="1"/>
  <c r="AF410" i="1"/>
  <c r="AG410" i="1" s="1"/>
  <c r="AF414" i="1"/>
  <c r="AF418" i="1"/>
  <c r="AG418" i="1" s="1"/>
  <c r="AF422" i="1"/>
  <c r="AG422" i="1" s="1"/>
  <c r="AF426" i="1"/>
  <c r="AG426" i="1" s="1"/>
  <c r="AF430" i="1"/>
  <c r="AG430" i="1" s="1"/>
  <c r="AF434" i="1"/>
  <c r="AF443" i="1"/>
  <c r="AF456" i="1"/>
  <c r="AG456" i="1" s="1"/>
  <c r="AF469" i="1"/>
  <c r="AG469" i="1" s="1"/>
  <c r="AG478" i="1"/>
  <c r="AF482" i="1"/>
  <c r="AF491" i="1"/>
  <c r="AG491" i="1" s="1"/>
  <c r="AF504" i="1"/>
  <c r="AG504" i="1" s="1"/>
  <c r="AF517" i="1"/>
  <c r="AF530" i="1"/>
  <c r="AF539" i="1"/>
  <c r="AG539" i="1" s="1"/>
  <c r="AF552" i="1"/>
  <c r="AG552" i="1" s="1"/>
  <c r="AF565" i="1"/>
  <c r="AG565" i="1" s="1"/>
  <c r="AG574" i="1"/>
  <c r="AF578" i="1"/>
  <c r="AF587" i="1"/>
  <c r="AG587" i="1" s="1"/>
  <c r="AF601" i="1"/>
  <c r="AF606" i="1"/>
  <c r="AG606" i="1" s="1"/>
  <c r="AF622" i="1"/>
  <c r="AG622" i="1" s="1"/>
  <c r="AF638" i="1"/>
  <c r="AG638" i="1" s="1"/>
  <c r="AF660" i="1"/>
  <c r="AG660" i="1" s="1"/>
  <c r="AF672" i="1"/>
  <c r="AF684" i="1"/>
  <c r="AG684" i="1" s="1"/>
  <c r="AF696" i="1"/>
  <c r="AG696" i="1" s="1"/>
  <c r="AF708" i="1"/>
  <c r="AG708" i="1" s="1"/>
  <c r="AF720" i="1"/>
  <c r="AF732" i="1"/>
  <c r="AG732" i="1" s="1"/>
  <c r="AF743" i="1"/>
  <c r="AG748" i="1"/>
  <c r="AF759" i="1"/>
  <c r="AG764" i="1"/>
  <c r="AG474" i="1"/>
  <c r="AG522" i="1"/>
  <c r="AF526" i="1"/>
  <c r="AG526" i="1" s="1"/>
  <c r="AG570" i="1"/>
  <c r="AF574" i="1"/>
  <c r="AG612" i="1"/>
  <c r="AG628" i="1"/>
  <c r="AG644" i="1"/>
  <c r="AG738" i="1"/>
  <c r="AF738" i="1"/>
  <c r="AF742" i="1"/>
  <c r="AF746" i="1"/>
  <c r="AG746" i="1" s="1"/>
  <c r="AF750" i="1"/>
  <c r="AG750" i="1" s="1"/>
  <c r="AF754" i="1"/>
  <c r="AG754" i="1" s="1"/>
  <c r="AF758" i="1"/>
  <c r="AG758" i="1" s="1"/>
  <c r="AF762" i="1"/>
  <c r="AG762" i="1" s="1"/>
  <c r="AF766" i="1"/>
  <c r="AF770" i="1"/>
  <c r="AG770" i="1" s="1"/>
</calcChain>
</file>

<file path=xl/sharedStrings.xml><?xml version="1.0" encoding="utf-8"?>
<sst xmlns="http://schemas.openxmlformats.org/spreadsheetml/2006/main" count="15357" uniqueCount="2317">
  <si>
    <t>Global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</si>
  <si>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</si>
  <si>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</si>
  <si>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</si>
  <si>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</si>
  <si>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</si>
  <si>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</si>
  <si>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</si>
  <si>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</si>
  <si>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</si>
  <si>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</si>
  <si>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</si>
  <si>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</si>
  <si>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</si>
  <si>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</si>
  <si>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</si>
  <si>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</si>
  <si>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</si>
  <si>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</si>
  <si>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</si>
  <si>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</si>
  <si>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</si>
  <si>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</si>
  <si>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</si>
  <si>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</si>
  <si>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</si>
  <si>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</si>
  <si>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Flat Discount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</si>
  <si>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</si>
  <si>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</si>
  <si>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</si>
  <si>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</si>
  <si>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</si>
  <si>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</si>
  <si>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</si>
  <si>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</si>
  <si>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NVMY34535000013605</t>
  </si>
  <si>
    <t/>
  </si>
  <si>
    <t>Completed</t>
  </si>
  <si>
    <t>FIEYAA</t>
  </si>
  <si>
    <t>DELIVERY_THREE_DAYS_ANYTIME</t>
  </si>
  <si>
    <t>Parcel</t>
  </si>
  <si>
    <t>STANDARD</t>
  </si>
  <si>
    <t>SMALL</t>
  </si>
  <si>
    <t>Kota Bharu</t>
  </si>
  <si>
    <t>WMSIA</t>
  </si>
  <si>
    <t>PT 1128, Perumahan PKINK Pengkalan Chepa, Kelantan</t>
  </si>
  <si>
    <t>Perak</t>
  </si>
  <si>
    <t>KAMPUNG SAHOM 31900 KAMPAR , PERAK</t>
  </si>
  <si>
    <t>B3-TAP-13-51</t>
  </si>
  <si>
    <t>AHMAD RETAIL</t>
  </si>
  <si>
    <t>WM</t>
  </si>
  <si>
    <t>NVMY34535000013602</t>
  </si>
  <si>
    <t>Rusmawati Binti Abd Malek</t>
  </si>
  <si>
    <t>Johor</t>
  </si>
  <si>
    <t>Sek Kebangsaan Kampong Baharu,  82300, Kukup,  Pontian</t>
  </si>
  <si>
    <t>C1-PTN-9-66</t>
  </si>
  <si>
    <t>NVMY34535000013587</t>
  </si>
  <si>
    <t>mimi nina</t>
  </si>
  <si>
    <t>Pulau Pinang</t>
  </si>
  <si>
    <t>822 permatang tok Jaya sungai dua 13800 Butterworth pulau pinang</t>
  </si>
  <si>
    <t>B2-BTS-15-42</t>
  </si>
  <si>
    <t>NVMY34535000013593</t>
  </si>
  <si>
    <t>ABE ISEY</t>
  </si>
  <si>
    <t>11-01, JALAN BAYAN 37/2 TAMAN KOTA PUTERI 81750 MASAI, JOHOR</t>
  </si>
  <si>
    <t>C1-PSG-9-68</t>
  </si>
  <si>
    <t>NVMY34535000013607</t>
  </si>
  <si>
    <t>ROZILAH BINTI DAUD</t>
  </si>
  <si>
    <t>SK TAMAN UNIVERSITI 3 JLN KEMULIAAN TMN UNIVERSITI 81300 JOHOR BAHRU JOHOR</t>
  </si>
  <si>
    <t>MM-MM</t>
  </si>
  <si>
    <t>NVMY34535000013619</t>
  </si>
  <si>
    <t>AZRIHAN</t>
  </si>
  <si>
    <t>Terengganu</t>
  </si>
  <si>
    <t>services &amp; trading 190 B Kampung Lak Lok,  22000 Jerteh, Terengganu</t>
  </si>
  <si>
    <t>KEL-KEL</t>
  </si>
  <si>
    <t>NVMY34535000013588</t>
  </si>
  <si>
    <t>Mohd Firdaus bin Mohamad</t>
  </si>
  <si>
    <t>No.5 Lorong Tasek Gelugor Utama 2/1 Taman Tasek Gelugor Utama 13300 Tasek Gelugor  Pulau Pinang</t>
  </si>
  <si>
    <t>NVMY34535000013613</t>
  </si>
  <si>
    <t>NIK ASMA NIK MAHMUD</t>
  </si>
  <si>
    <t>NO 190 JALAN BAKRI MULIA 6, TAMAN BAKRI MULIA 84200 MUAR JOHOR</t>
  </si>
  <si>
    <t>C2-MUA-5-79</t>
  </si>
  <si>
    <t>NVMY34535000013632</t>
  </si>
  <si>
    <t>DZULFAR JAYA ENT</t>
  </si>
  <si>
    <t>Kelantan</t>
  </si>
  <si>
    <t>KESEDAR BIAK A, 18200 DABONG, KELANTAN</t>
  </si>
  <si>
    <t>NVMY34535000013622</t>
  </si>
  <si>
    <t>SITI AISHAH SHAIK ISMAIL</t>
  </si>
  <si>
    <t>NO 26 PERSIARAN PERDANA 5, TMN PINJI PERDANA 31650 IPOH, PERAK</t>
  </si>
  <si>
    <t>B3-HLD-13-48</t>
  </si>
  <si>
    <t>NVMY34535000013626</t>
  </si>
  <si>
    <t>ATTN ; NURUL AINI ZULKIFLI</t>
  </si>
  <si>
    <t>Selangor</t>
  </si>
  <si>
    <t xml:space="preserve">18&amp;20 JALAN BEREMBAN 15/12 , SEKSYEN 15 40200 SHAH ALAM SELANGOR </t>
  </si>
  <si>
    <t>D1-SHA-26-95</t>
  </si>
  <si>
    <t>NVMY34535000013630</t>
  </si>
  <si>
    <t>DICKRON JASONE</t>
  </si>
  <si>
    <t>G5-04-03, RKAT 4 RAD JALAN SYAHBANDAR KEM SEGAMAT 85100 SEGAMAT JOHOR</t>
  </si>
  <si>
    <t>NVMY34535000013638</t>
  </si>
  <si>
    <t>MM Autoparts</t>
  </si>
  <si>
    <t>No.27, Jalan KB 2/12A, Kampung Baru Balakong, 43300 Seri Kembangan, Selangor</t>
  </si>
  <si>
    <t>NVMY34535000013673</t>
  </si>
  <si>
    <t>MICHAEL CHIN</t>
  </si>
  <si>
    <t>25 JALAN DELIMA 1/3, BATU 3, SUBANG HI-TECH INDUSTRIAL PARK 40000 SHAH ALAM, SELANGOR</t>
  </si>
  <si>
    <t>D2-HTC-16-114</t>
  </si>
  <si>
    <t>NVMY34535000013608</t>
  </si>
  <si>
    <t>NORAZLINA BT AZIZAN</t>
  </si>
  <si>
    <t>Kedah</t>
  </si>
  <si>
    <t>A-8-2 (LEVEL 7) KUARTERS HOSPITAL SULTAN ABDUL HALIM JALAN LENCONGAN TIMUR BANDAR AMANJAYA 08000 SG PETANI KEDAH</t>
  </si>
  <si>
    <t>A3-SPT-23-18</t>
  </si>
  <si>
    <t>NVMY34535000013667</t>
  </si>
  <si>
    <t>NUR IZZAH IZZATIE</t>
  </si>
  <si>
    <t>36, JALAN DATO ABDUL HAMID 21, TAMAN SENTOSA, 41200 KLANG, SELANGOR</t>
  </si>
  <si>
    <t>D5-BTK-4-139</t>
  </si>
  <si>
    <t>NVMY34535000013597</t>
  </si>
  <si>
    <t>Rejol lamudin</t>
  </si>
  <si>
    <t>Sabah</t>
  </si>
  <si>
    <t>Winawang sdn bhd, lot 5-2 2nd floor lintas plaza, 88300 kota kinabalu,sabah</t>
  </si>
  <si>
    <t>EMSIA</t>
  </si>
  <si>
    <t>EM</t>
  </si>
  <si>
    <t>NVMY34535000013603</t>
  </si>
  <si>
    <t>AMYMIMIEY ASMIDA ENTERPRISE,</t>
  </si>
  <si>
    <t>No 74, KAMPUNG ULU MELAKA, MUKIM ULU MELAKA, BELAKANG BUTIK PENGANTIN KRYSHA, RUMAH WARNA HIJAU, 07000 LANGKAWI KEDAH.</t>
  </si>
  <si>
    <t>NVMY34535000013609</t>
  </si>
  <si>
    <t>NUR ASLINA</t>
  </si>
  <si>
    <t>1711 JALAN 2/E TAMAN MAHSURI, FASA 1A 09400 PADANG SERAI KEDAH</t>
  </si>
  <si>
    <t>B2-KLM-15-40</t>
  </si>
  <si>
    <t>NVMY34535000013681</t>
  </si>
  <si>
    <t>AYU</t>
  </si>
  <si>
    <t>Negeri Sembilan</t>
  </si>
  <si>
    <t>lot 6005 jalan jelebu kg ujung pasir,ampangan,bandar baru seremban,70400</t>
  </si>
  <si>
    <t>C4-SBN-28-91</t>
  </si>
  <si>
    <t>NVMY34535000013672</t>
  </si>
  <si>
    <t>TS ERLY AZMIZI BIN DERAMAN</t>
  </si>
  <si>
    <t>KEMENTERIAN PENDIDIKAN MALAYSIA BAHAGIAN PEMBANGUNAN, ARAS 1,3 &amp; 6 BLOK E2, KOMPLEKS E, PUSAT PENTADBIRAN KERAJAAN PERSEKUTUAN 62604 WP, PUTRAJAYA</t>
  </si>
  <si>
    <t>D4-CJY-8-132</t>
  </si>
  <si>
    <t>NVMY34535000013641</t>
  </si>
  <si>
    <t>Muhammad Nur Idham Syazriman</t>
  </si>
  <si>
    <t>No 754, Kampung Gong Rusila, 21600 Marang Terengganu</t>
  </si>
  <si>
    <t>TGG-TGG</t>
  </si>
  <si>
    <t>NVMY34535000013679</t>
  </si>
  <si>
    <t>NOR SAZERI BIN YAAKUB</t>
  </si>
  <si>
    <t>B8-07-03, SUBANG SURIA JALAN BINTANG U5/33 SEKSYEN U5, 40150 SHAH ALAM, SELANGOR</t>
  </si>
  <si>
    <t>D1-SZB-26-94</t>
  </si>
  <si>
    <t>NVMY34535000013674</t>
  </si>
  <si>
    <t>NORNAZELAH BINTI ABDULLAH</t>
  </si>
  <si>
    <t>Kuala Lumpur</t>
  </si>
  <si>
    <t>B-10-19, PPR PEKAN BATU, BT 5 JALAN SULTAN AZLAN SHAH 51200 KUALA LUMPUR</t>
  </si>
  <si>
    <t>D2-SEG-20-107</t>
  </si>
  <si>
    <t>NVMY34535000013646</t>
  </si>
  <si>
    <t>ARISA SOFIYYA BINTI YUSOF</t>
  </si>
  <si>
    <t>Melaka</t>
  </si>
  <si>
    <t xml:space="preserve">4539, JALAN BUNGA TANJUNG, TAMAN MAJU, 77000 JASIN , MELAKA </t>
  </si>
  <si>
    <t>C3-JAS-3-85</t>
  </si>
  <si>
    <t>NVMY34535000013680</t>
  </si>
  <si>
    <t>JULIANA</t>
  </si>
  <si>
    <t xml:space="preserve">Y01-04-13 PANGSAPURI SELANGORKU KAYANGAN JALAN ECOHILL 1/2 SETIA ECOHILL , SEMENYIH SELANGOR </t>
  </si>
  <si>
    <t>D4-SYH-8-131</t>
  </si>
  <si>
    <t>NVMY34535000013620</t>
  </si>
  <si>
    <t>M.MANIVASAGAR A/L M.MANIKADASS</t>
  </si>
  <si>
    <t xml:space="preserve">NO 20 JALAN BK 2/10A BANDAR KINRARA 47100 PUCHONG SELANGOR </t>
  </si>
  <si>
    <t>NVMY34535000013653</t>
  </si>
  <si>
    <t>Sheera</t>
  </si>
  <si>
    <t>86 solok pendamar indah 1 42000 port klang Selangor</t>
  </si>
  <si>
    <t>NVMY34535000013639</t>
  </si>
  <si>
    <t>ABG MIOR MAJU TRADING</t>
  </si>
  <si>
    <t>KEDAI NO 85D JALAN KEMPAS KAMPUNG TENGAH BATU 13, 47100 PUCHONG SELANGOR</t>
  </si>
  <si>
    <t>NVMY34535000013677</t>
  </si>
  <si>
    <t>AYYUB BIN MOHAMAD</t>
  </si>
  <si>
    <t>NO 1, JLN MAWAR 3A/2 PRIMA BERUNTUNG, 48300 RAWANG, SELANGOR</t>
  </si>
  <si>
    <t>D4-RWG-6-134</t>
  </si>
  <si>
    <t>NVMY34535000013664</t>
  </si>
  <si>
    <t>NURUL SHARIZA BINTI AHMAD</t>
  </si>
  <si>
    <t>NO 84, JALAN BAKTI YNS 3/4, TAMAN BAKTI YNS, 71900 LABU, NEGERI SEMBILAN</t>
  </si>
  <si>
    <t>C4-NIL-28-93</t>
  </si>
  <si>
    <t>NVMY34535000013658</t>
  </si>
  <si>
    <t>Haflinda binti hamidul majid</t>
  </si>
  <si>
    <t>Lot 4233 jalan semarak 2, Kg sungai kelambu, 42700 banting, Selangor</t>
  </si>
  <si>
    <t>D4-BAN-6-137</t>
  </si>
  <si>
    <t>NVMY34535000013623</t>
  </si>
  <si>
    <t>AHMAD MUKHLIS B MOHD SUBRI</t>
  </si>
  <si>
    <t xml:space="preserve">MADRASAH MUHAMMADIAH PONDOK CAROK TALA JENERI 08200 SIK KEDAH </t>
  </si>
  <si>
    <t>A3-BAL-21-27</t>
  </si>
  <si>
    <t>NVMY34535000013666</t>
  </si>
  <si>
    <t>NVMY34535000013659</t>
  </si>
  <si>
    <t>sis eriena</t>
  </si>
  <si>
    <t>lot 5425 jalan sheikh jalalludin , bt 29 kampung jenderam hulu 43800 dengkil selangor</t>
  </si>
  <si>
    <t>D4-BSP-8-133</t>
  </si>
  <si>
    <t>NVMY34535000013612</t>
  </si>
  <si>
    <t>FATIMAH BT ALI</t>
  </si>
  <si>
    <t>NO 140, KG CHEH TENGAH KATI, 33020 KUALA KANGSAR PERAK</t>
  </si>
  <si>
    <t>B3-SAR-11-57</t>
  </si>
  <si>
    <t>NVMY34535000013624</t>
  </si>
  <si>
    <t>NVMY34535000013665</t>
  </si>
  <si>
    <t>NVMY34535000013671</t>
  </si>
  <si>
    <t>riz sem1 smw</t>
  </si>
  <si>
    <t>NSTITUT KEMAHIRAN BELIA NEGARA WAKAF TAPAI  KM 24 , JALAN KUALA TERENGGANU-KUALA BERANG  21040 MARANG , TERENGGANU DARUL IMAN</t>
  </si>
  <si>
    <t>NVMY34535000013645</t>
  </si>
  <si>
    <t>ayu farhana</t>
  </si>
  <si>
    <t xml:space="preserve">no 75 jalan satu krubong taman satu krubong 75260 melaka </t>
  </si>
  <si>
    <t>C3-MTG-3-84</t>
  </si>
  <si>
    <t>NVMY34535000013644</t>
  </si>
  <si>
    <t>MOHD SHAHRUL ANUAR BIN SAHUDDIN</t>
  </si>
  <si>
    <t>KAMPUNG BATU 14, WAKAF TAPAI 21040 MARANG TERENGGANU</t>
  </si>
  <si>
    <t>NVMY34535000013657</t>
  </si>
  <si>
    <t>Siti Aishah Mohamad</t>
  </si>
  <si>
    <t>Lot 644 Jalan Durian, Kanchong Darat, 42700 Banting Selangor</t>
  </si>
  <si>
    <t>NVMY34535000013621</t>
  </si>
  <si>
    <t>M ARLIANA BINTI TORIMAN</t>
  </si>
  <si>
    <t>NO 878, JLN HIJAYU 1/37, HIJAYU 1B, BDR SRI SENDAYAN, 71950 SEREMBAN ,NEGERI SEMBILAN</t>
  </si>
  <si>
    <t>NVMY34535000013660</t>
  </si>
  <si>
    <t>Mira sharif</t>
  </si>
  <si>
    <t>Lot 1043 kg tanjung syawal, Sungai pinang, 42100 klang</t>
  </si>
  <si>
    <t>D5-RPG-2-144</t>
  </si>
  <si>
    <t>NVMY34535000013654</t>
  </si>
  <si>
    <t>JULITA SIDEK</t>
  </si>
  <si>
    <t>R-3-6 APARTMENT SERI SEROJA, BB7 48300 RAWANG SELANGOR, 48300, Rawang Selangor, Malaysia.</t>
  </si>
  <si>
    <t>NVMY34535000013678</t>
  </si>
  <si>
    <t>HAIZATUL NURMARIAH BINTI ROSLAM</t>
  </si>
  <si>
    <t>1008, KG FIKRI 22110 SETIU, TERENGGANU</t>
  </si>
  <si>
    <t>A2-STU-25-15</t>
  </si>
  <si>
    <t>NVMY34535000013649</t>
  </si>
  <si>
    <t>MUHAMAD SYAZWAN AIMAN</t>
  </si>
  <si>
    <t>Pahang</t>
  </si>
  <si>
    <t>PT 1904 (A) JALAN 3, KG SHAFIE 28730 BENTONG PAHANG</t>
  </si>
  <si>
    <t>KBR1-KBR1</t>
  </si>
  <si>
    <t>NVMY34535000013668</t>
  </si>
  <si>
    <t>CHE NUR ATHIRAH</t>
  </si>
  <si>
    <t>LOT 776 RTB GONG  TENGAH 22300 KUALA BESUT, TERENGGANU</t>
  </si>
  <si>
    <t>NVMY34535000013682</t>
  </si>
  <si>
    <t>NORA</t>
  </si>
  <si>
    <t>1,JALAN P15 H4/5,PRESINT 15,62050 PUTRAJAYA</t>
  </si>
  <si>
    <t>D5-BGI-4-140</t>
  </si>
  <si>
    <t>NVMY34535000013635</t>
  </si>
  <si>
    <t>EN AB RAHMAN</t>
  </si>
  <si>
    <t>120 JALAN SEPAH PUTERI 5/19, SEKSYEN 5, KOTA DAMANSARA 47810 PETALING JAYA SELANGOR</t>
  </si>
  <si>
    <t>NVMY34535000013663</t>
  </si>
  <si>
    <t>SITI RAHMATIA</t>
  </si>
  <si>
    <t>2-514 JLN MATAHARI U5/117 SEKSYEN U5 , 40150 SHAH ALAM , SELANGOR.</t>
  </si>
  <si>
    <t>NVMY34535000013652</t>
  </si>
  <si>
    <t>NABILA</t>
  </si>
  <si>
    <t>NO 32 LORONG PBB 27, PERUMAHAN BUKIT RANGIN 25150 KUANTAN PAHANG</t>
  </si>
  <si>
    <t>NVMY34535000013648</t>
  </si>
  <si>
    <t>Ahmilah binti hamdzah</t>
  </si>
  <si>
    <t>No 33 jln manis 3,  tmn manis,  86400 parit raja,  batu pahat, johor</t>
  </si>
  <si>
    <t>C2-HTM-5-81</t>
  </si>
  <si>
    <t>NVMY34535000013655</t>
  </si>
  <si>
    <t>Siti Suriati binti Rohasin</t>
  </si>
  <si>
    <t>B.71 Felda Tersang 2 27600 Raub Pahang</t>
  </si>
  <si>
    <t>D3-RUB-12-123</t>
  </si>
  <si>
    <t>NVMY34535000013710</t>
  </si>
  <si>
    <t>SITI NADZIRAH BT MOHD DAUD</t>
  </si>
  <si>
    <t xml:space="preserve">RUMAH NO 2 , D-905 KG KUALA BEKAH , 20050 PALUH, KUALA TERENGGANU , TERENGGANU </t>
  </si>
  <si>
    <t>NVMY34535000013726</t>
  </si>
  <si>
    <t>CIK  HA NASI KUKUS PERIMBUN</t>
  </si>
  <si>
    <t>JALAN SUARASA 8/4, TUN HUSSEIN ONN, SEBELAH UOB BANK GERAI NASI KUKUS 43200 CHERAS SELANGOR</t>
  </si>
  <si>
    <t>D2-CHE-18-111</t>
  </si>
  <si>
    <t>NVMY34535000013719</t>
  </si>
  <si>
    <t>Hani</t>
  </si>
  <si>
    <t>GAMAT EMAS SDN BHD No. 1, Tingkat 4, Jln Danau Lumayan, Danau Lumayan Business Park, Cheras 56000, KL</t>
  </si>
  <si>
    <t>D5-ECO-2-145</t>
  </si>
  <si>
    <t>NVMY34535000013727</t>
  </si>
  <si>
    <t>che norizan binti che kar</t>
  </si>
  <si>
    <t>no 15,gerai mpk lorong songket 1,taman maznah 41000 klang selangor.</t>
  </si>
  <si>
    <t>D2-KMU-18-113</t>
  </si>
  <si>
    <t>NVMY34535000013693</t>
  </si>
  <si>
    <t>SHERRA WONG</t>
  </si>
  <si>
    <t>35, JALAN SS18/1B, SUBANG JAYA 47500 SELANGOR</t>
  </si>
  <si>
    <t>NVMY34535000013714</t>
  </si>
  <si>
    <t>MUHD NUR IKRAM (KOMP A)</t>
  </si>
  <si>
    <t>BLOK E0604 BATALION 9 PASUKAN GERAN AM KUBANG BADAK 21300 KUALA TERENGGANU</t>
  </si>
  <si>
    <t>NVMY34535000013669</t>
  </si>
  <si>
    <t>MUHAMMAD NAZARUL AZIM</t>
  </si>
  <si>
    <t>WM SENOIR HSE EXECUTIVE PENTAS FLORA GROUP G-02, TWIN ARKZ, NO 3, JALAN JALIL PERKASA 1, BUKIT JALIL 57000 KUALA LUMPUR</t>
  </si>
  <si>
    <t>D2-OUG-20-108</t>
  </si>
  <si>
    <t>NVMY34535000013651</t>
  </si>
  <si>
    <t>NOR AZILA BT BAHAROM</t>
  </si>
  <si>
    <t>LOT 85, KAMPUNG TERENTANG 72200 BATU KIKIR NEGERI SEMBILAN</t>
  </si>
  <si>
    <t>C4-BHU-28-88</t>
  </si>
  <si>
    <t>NVMY34535000013687</t>
  </si>
  <si>
    <t>NORAYHA ZAILAN</t>
  </si>
  <si>
    <t>BATU 14 KAMPUNG KELULUT 21600 MARANG TERENGGANU</t>
  </si>
  <si>
    <t>NVMY34535000013642</t>
  </si>
  <si>
    <t>SALISIAH BT HAJI SALIH</t>
  </si>
  <si>
    <t>Kedai Agrobazaar Bukit gantang  Lot 76 b jalan kampung kubu bukit gantang  34850 Changkat jering Taiping Perak darul Ridzuan</t>
  </si>
  <si>
    <t>B3-TPG-11-59</t>
  </si>
  <si>
    <t>NVMY34535000013696</t>
  </si>
  <si>
    <t>DILA</t>
  </si>
  <si>
    <t>NO 13 BLK 57 JALAN LP4, TAMAN LIMBONGAN PERMAI 75200 MELAKA</t>
  </si>
  <si>
    <t>C3-PIA-3-86</t>
  </si>
  <si>
    <t>NVMY34535000013662</t>
  </si>
  <si>
    <t>Shafinas</t>
  </si>
  <si>
    <t xml:space="preserve">No 26 lorong 28 Taman mewah 34600 Kamunting  Perak </t>
  </si>
  <si>
    <t>NVMY34535000013713</t>
  </si>
  <si>
    <t>MS.JEAN SOO</t>
  </si>
  <si>
    <t xml:space="preserve">ZEN RESIDENCE PUCHONG B-21-05 , JALAN PUCHONG , BANADR PUCHONG UTAMA , 47100 PUCHONG SELANGOR </t>
  </si>
  <si>
    <t>D1-PUC-22-104</t>
  </si>
  <si>
    <t>NVMY34535000013686</t>
  </si>
  <si>
    <t>AMRAN BIN ABD GHANI</t>
  </si>
  <si>
    <t>PT4882, RMM GONG CHENGAL, 24200 KEMASEK KEMAMAN TERENGGANU</t>
  </si>
  <si>
    <t>NVMY34535000013697</t>
  </si>
  <si>
    <t>MIRA MINI MARKET</t>
  </si>
  <si>
    <t>NO 38, CABANG TIGA KAMPUNG APAL 22020 JERTEH TERENGGANU</t>
  </si>
  <si>
    <t>NVMY34535000013698</t>
  </si>
  <si>
    <t>ASMA BT YAHYA</t>
  </si>
  <si>
    <t>PT 151 PENEMPATAN BARU, KG PANTAI SABAK 16100 KOTA BHARU KELANTAN</t>
  </si>
  <si>
    <t>NVMY34535000013661</t>
  </si>
  <si>
    <t>Noor Azizah binti Md Muhayatdin</t>
  </si>
  <si>
    <t>No 60 Jalan Bestari 8/3 Taman Bestari Indah 81800 Ulu Tiram, Johor</t>
  </si>
  <si>
    <t>C1-TRM-7-71</t>
  </si>
  <si>
    <t>NVMY34535000013617</t>
  </si>
  <si>
    <t>Tini Madu</t>
  </si>
  <si>
    <t>Sarawak</t>
  </si>
  <si>
    <t>Kampung Baru Cina 96300 Dalat Sarawak</t>
  </si>
  <si>
    <t>NVMY34535000013732</t>
  </si>
  <si>
    <t>JEROME ANTHONY</t>
  </si>
  <si>
    <t>H3-00-04 GOODYEAR COURT 6 PERSIARAN KEWAJIPAN 47610 SUBANG JAYA</t>
  </si>
  <si>
    <t>NVMY34535000013692</t>
  </si>
  <si>
    <t>JAINAH BT HASSAN</t>
  </si>
  <si>
    <t>SURIAMAS CONDOMINIUM, B8-6, JLN PJS 10/11A, SS10, 46150 PETALING JAYA SELANGOR</t>
  </si>
  <si>
    <t>D1-SUN-24-101</t>
  </si>
  <si>
    <t>NVMY34535000013690</t>
  </si>
  <si>
    <t>NAJIHAH</t>
  </si>
  <si>
    <t>NO 5 JALAN TILAPIA 5, TAMAN SRI PUTRA 42700 BANTING SELANGOR</t>
  </si>
  <si>
    <t>NVMY34535000013707</t>
  </si>
  <si>
    <t>SITI ROHANA BINTI MOHD ZINE</t>
  </si>
  <si>
    <t>SA3-3-9 KELOMPOK SRI ANGGERIK JALAN 7/1 BANDAR BARU BANGI 43650 KAJANG, SELANGOR</t>
  </si>
  <si>
    <t>NVMY34535000013676</t>
  </si>
  <si>
    <t>AINNA</t>
  </si>
  <si>
    <t>NO 10, JALAN BESTARI 98, TAMAN MUTIARA RINI, 81300 SKUDAI JOHOR</t>
  </si>
  <si>
    <t>C1-NSJ-9-65</t>
  </si>
  <si>
    <t>NVMY34535000013656</t>
  </si>
  <si>
    <t>Bashirah Ismail</t>
  </si>
  <si>
    <t>Perlis</t>
  </si>
  <si>
    <t>Ps200 Batu 3 1/4 Jalan Kaki Bukit Kampung Petai Hilir 01000 Kangar Perlis</t>
  </si>
  <si>
    <t>A3-BSR-23-22</t>
  </si>
  <si>
    <t>NVMY34535000013706</t>
  </si>
  <si>
    <t>MUHAMMAD ABDUH BIN SAMDUDIN</t>
  </si>
  <si>
    <t>NO 30, JALAN DI 1, TAMAN DESA IDAMAN 76100 DURIAN TUNGGAL, MELAKA</t>
  </si>
  <si>
    <t>C3-AGH-3-83</t>
  </si>
  <si>
    <t>NVMY34535000013643</t>
  </si>
  <si>
    <t>Suhaida binti Ibrahim</t>
  </si>
  <si>
    <t>No 30 Jalan Denai 24 Taman Bukit Jaya 8180 Ulu Tiram Johor Bahru  Johor Darul Takzim</t>
  </si>
  <si>
    <t>NVMY34535000013640</t>
  </si>
  <si>
    <t>Faizzah bt roslan</t>
  </si>
  <si>
    <t>block 12-02-08 taman desa tun razak 76300 sungai udang melaka</t>
  </si>
  <si>
    <t>C3-MYK-3-82</t>
  </si>
  <si>
    <t>NVMY34535000013728</t>
  </si>
  <si>
    <t>Nurjanah</t>
  </si>
  <si>
    <t xml:space="preserve">Blok 1-0-8 taman miharja cheras  55200 Kuala Lumpur </t>
  </si>
  <si>
    <t>D3-SHM-10-128</t>
  </si>
  <si>
    <t>NVMY34535000013715</t>
  </si>
  <si>
    <t>YIN</t>
  </si>
  <si>
    <t>BERITARIAN SDN BHD LEVEL 26-01 &amp; 02, MENARA G-VESTOR, KOMPLEKS PAVILION, 200 JALAN AMPANG KG DATUK KERAMAT 50450 KUALA LUMPUR, FEDERAL TERRITORY OFF KUALA LUMPUR</t>
  </si>
  <si>
    <t>D5-MLT-4-141</t>
  </si>
  <si>
    <t>NVMY34535000013731</t>
  </si>
  <si>
    <t>Afnan Amani</t>
  </si>
  <si>
    <t>JC4959 KM26 JALAN BATU GAJAH 77300 MERLIMAU MELAKA  Merlimau, Malacca 77300</t>
  </si>
  <si>
    <t>C3-MLM-3-87</t>
  </si>
  <si>
    <t>NVMY34535000013702</t>
  </si>
  <si>
    <t>AYIP</t>
  </si>
  <si>
    <t>LOT 39A, KG PASIR BARU, JALAN KLANG LAMA 58200 KUALA LUMPUR</t>
  </si>
  <si>
    <t>D2-DSA-20-109</t>
  </si>
  <si>
    <t>NVMY34535000013701</t>
  </si>
  <si>
    <t>NVMY34535000013688</t>
  </si>
  <si>
    <t>MAZLIFAH BINTI MANAP</t>
  </si>
  <si>
    <t>NO 92, JALAN KEMUNING 9 TAMAN KEMUNING 42700 BANTING, SELANGOR</t>
  </si>
  <si>
    <t>NVMY34535000013675</t>
  </si>
  <si>
    <t>NOVENCCI</t>
  </si>
  <si>
    <t>16, JALAN EKOPERNIAGAAN 1/27 ECO BUSINESS PARK 1, 81100 JOHOR BAHRU JOHOR</t>
  </si>
  <si>
    <t>C1-AUS-9-67</t>
  </si>
  <si>
    <t>NVMY34535000013683</t>
  </si>
  <si>
    <t>HALIMATUN SADIAH BINTI ROSLAN</t>
  </si>
  <si>
    <t>SEKOLAH RENDAH ISLAM AL-MASRIYAH, 1267 JALAN ABDUL KADIR, 14000 BUKIT MERTAJAM, PULAU PINANG.</t>
  </si>
  <si>
    <t>B2-BKM-15-47</t>
  </si>
  <si>
    <t>NVMY34535000013684</t>
  </si>
  <si>
    <t>MUHAMAD MASRI ABU BAKAR</t>
  </si>
  <si>
    <t>PT 19545 JALAN PENGKALAN PANDAN LUAR, KAMPUNG PENGKALAN PANDAN 24000 CHUKAI KEMAMAN, TERENGGANU</t>
  </si>
  <si>
    <t>NVMY34535000013709</t>
  </si>
  <si>
    <t>MOHD HANIF</t>
  </si>
  <si>
    <t>NO 21 JLN BM 3/18, BUKIT MAHKOTA 43000 KAJANG, SELANGOR</t>
  </si>
  <si>
    <t>NVMY34535000013650</t>
  </si>
  <si>
    <t>VIMALA A/P CHANDRAN</t>
  </si>
  <si>
    <t>58, LEBUH DELIMA TAMAN ARKED 08000 SUNGAI PETANI KEDAH</t>
  </si>
  <si>
    <t>NVMY34535000013518</t>
  </si>
  <si>
    <t>FATIMAH (SAIFUL)</t>
  </si>
  <si>
    <t>Machang</t>
  </si>
  <si>
    <t xml:space="preserve">M LADIES DARVEL BAY PLAZA, GROUND FLOOR LOT G17A, 91100 LAHAD DATU SABAH </t>
  </si>
  <si>
    <t>NVMY34535000013722</t>
  </si>
  <si>
    <t>NOR FAIZAH ABU BAKAR</t>
  </si>
  <si>
    <t>NO 36 LALUAN PP38 TAMAN PUSING PERDANA 31550 KINTA PERAK</t>
  </si>
  <si>
    <t>B3-GAJ-13-49</t>
  </si>
  <si>
    <t>NVMY34535000013703</t>
  </si>
  <si>
    <t>NVMY34535000013705</t>
  </si>
  <si>
    <t>NVMY34535000013723</t>
  </si>
  <si>
    <t>SITI ROHANI BINTI MOSTAPA</t>
  </si>
  <si>
    <t>NO 966 JALAN KELISA RIA  3/8, TAMAN KELISA RIA 08000 SUNGAI PETANI, KEDAH</t>
  </si>
  <si>
    <t>NVMY34535000013737</t>
  </si>
  <si>
    <t>M AIMAN BIN MOHD AZRI</t>
  </si>
  <si>
    <t>E3/302 BLOK E, PUSAT AKTIVITI PELAJAR, UNIVERSITI MALAYSIA PAHANG AL-SULTAN ABDULLAH 26600 KUALA PAHANG PEKAN PAHANG</t>
  </si>
  <si>
    <t>B1-PKN-17-36</t>
  </si>
  <si>
    <t>NVMY34535000013724</t>
  </si>
  <si>
    <t>DEANNA</t>
  </si>
  <si>
    <t>LOT 229 JALAN UJONG PADANG 3, KG MELAKA PINDAH 78000 ALOR GAJAH, MELAKA</t>
  </si>
  <si>
    <t>NVMY34535000013708</t>
  </si>
  <si>
    <t>NVMY34535000013734</t>
  </si>
  <si>
    <t>SHITAH</t>
  </si>
  <si>
    <t>B9-14-21 DESA MENTARI 2, JALAN PJS 2B/1, 46000 PETALING JAYA SELANGOR</t>
  </si>
  <si>
    <t>NVMY34535000013725</t>
  </si>
  <si>
    <t>NUR AZILA BINTI BAHAROM</t>
  </si>
  <si>
    <t>NVMY34535000013700</t>
  </si>
  <si>
    <t>ATTN MS TAN HUEY JUEN</t>
  </si>
  <si>
    <t>XEPA SOUL PATTINSON INDUSTRIAL ESTATE 1-5, JALAN TTC 1, TAMAN TEKNOLOGI CHENG 75250 CHENG, MELAKA</t>
  </si>
  <si>
    <t>NVMY34535000013716</t>
  </si>
  <si>
    <t>INTAN AFZAN BINTI AZIZ</t>
  </si>
  <si>
    <t>NO 4, LORONG 1 PARIT 1 KG HAJI RAZALI KUALA SELANGOR 45500 SELANGOR</t>
  </si>
  <si>
    <t>D3-KSR-14-119</t>
  </si>
  <si>
    <t>NVMY34535000013695</t>
  </si>
  <si>
    <t>NORZIEJUN</t>
  </si>
  <si>
    <t>NO 75 JALAN PADI HUMA BANDAR BARU UDA 81200 JOHOR BAHRU JOHOR</t>
  </si>
  <si>
    <t>C1-TSK-7-184</t>
  </si>
  <si>
    <t>NVMY34535000013691</t>
  </si>
  <si>
    <t>TENGKU FIELLA</t>
  </si>
  <si>
    <t>A-6-13A SAVIO RIANA DUTAMAS, JALAN SEGAMBUT 51200 KUALA LUMPUR</t>
  </si>
  <si>
    <t>NVMY34535000013704</t>
  </si>
  <si>
    <t>NIK HASBOLLAH</t>
  </si>
  <si>
    <t>NIK IKAN BAKAR NO 1 MEDAN SELERA MASJID KAYANGAN BRINCHANG 39100 CAMERON HIGHLANDS PAHANG</t>
  </si>
  <si>
    <t>B3-CMN-13-54</t>
  </si>
  <si>
    <t>NVMY34535000013685</t>
  </si>
  <si>
    <t>MOHAMMAD HAFIZI BIN SAMSUDIN</t>
  </si>
  <si>
    <t>28, KAMPUNG PERMATANG TIONG, JUNJONG 09000 KULIM, KEDAH</t>
  </si>
  <si>
    <t>NVMY34535000013720</t>
  </si>
  <si>
    <t>MUHAMMAD AMIRUL BIN MOHD SHUKUR</t>
  </si>
  <si>
    <t xml:space="preserve">LOT 128-17B , JALAN GOMBAK BT 8 KG SG CHINCHIN 53100 GOMBAK WP , KUALA LUMPUR </t>
  </si>
  <si>
    <t>NVMY34535000013729</t>
  </si>
  <si>
    <t>Norhayati binti Hamid</t>
  </si>
  <si>
    <t>Lot 5772 Kampung Teratai 34600 Kamunting Perak</t>
  </si>
  <si>
    <t>NVMY34535000013721</t>
  </si>
  <si>
    <t>MOHD HAIQAL HAZEEQ BIN MOHD NAZRI</t>
  </si>
  <si>
    <t>2124 FELDA GUNUNG BESOUT 02, 35000 SUNGKAI, PERAK</t>
  </si>
  <si>
    <t>NVMY34535000013717</t>
  </si>
  <si>
    <t>LIA HUDA</t>
  </si>
  <si>
    <t>NO 10 KAMPUNG TANAH LALANG DARAT 36100 BAGAN DATUK, PERAK</t>
  </si>
  <si>
    <t>NVMY34535000013670</t>
  </si>
  <si>
    <t>SHEIN</t>
  </si>
  <si>
    <t>Pt 1919, Jalan 4 Taman Kurnia Jaya Pengkalan Chepa Kota Bharu , - , Kota Bharu , Kelantan</t>
  </si>
  <si>
    <t>D2-HGT-16-115</t>
  </si>
  <si>
    <t>NVMY34535000013735</t>
  </si>
  <si>
    <t>IWANI DANIA</t>
  </si>
  <si>
    <t>PT 8574 TAMAN SEMASA, APAM LUBOK JONG 17000 PASIR MAS KELANTAN</t>
  </si>
  <si>
    <t>NVMY34535000013694</t>
  </si>
  <si>
    <t>AIDAH BINTI RAMLI</t>
  </si>
  <si>
    <t>NO 162, KG SUAK PETAI MANONG 33800 KUALA KANGSAR PERAK</t>
  </si>
  <si>
    <t>NVMY34535000013733</t>
  </si>
  <si>
    <t>INA</t>
  </si>
  <si>
    <t>No 08 jln permas 2/14, bandar baru permas jaya, 81750, masai, johor bahru</t>
  </si>
  <si>
    <t>NVMY34535000013689</t>
  </si>
  <si>
    <t>MUHAMMAD HARITH WAFIQ</t>
  </si>
  <si>
    <t>C137 TAMAN BERSATU F2, JALAN BATAS PAIP 06600 KUALA KEDAH, KEDAH</t>
  </si>
  <si>
    <t>A3-AOR-21-25</t>
  </si>
  <si>
    <t>NVMY34535000013730</t>
  </si>
  <si>
    <t>Hasni hadeen</t>
  </si>
  <si>
    <t>No58 lorong 3 taman keriang permai 06010 Changloon kedah</t>
  </si>
  <si>
    <t>A3-JIT-21-24</t>
  </si>
  <si>
    <t>NVMY34535000013711</t>
  </si>
  <si>
    <t>RAA</t>
  </si>
  <si>
    <t>NOMBOR 834 JALAN GEMILANG 27 TAMAN GEMILANG 81000 KULAI JOHOR</t>
  </si>
  <si>
    <t>C1-KLI-7-69</t>
  </si>
  <si>
    <t>NVMY34535000013736</t>
  </si>
  <si>
    <t>ATIRAH ZUL</t>
  </si>
  <si>
    <t xml:space="preserve">IKBN BACHOK KAMPUNG BARU PAK ELONG 16310 MELAWI (REPEK) BACHOK </t>
  </si>
  <si>
    <t>NVMY34535000013743</t>
  </si>
  <si>
    <t>IRENE THONG</t>
  </si>
  <si>
    <t>NO 7, JALAN SEBERANG LIPIS, JAYA PUSAT PERNIAGAAN, 27200 KUALA LIPIS PAHANG</t>
  </si>
  <si>
    <t>B1-LIP-17-39</t>
  </si>
  <si>
    <t>NVMY34535000013740</t>
  </si>
  <si>
    <t>SURIANI BINTI ISMAIL</t>
  </si>
  <si>
    <t>NO 50, JLAN SELANGAT 17/27, SEKSYEN 17, 40200 SHAH ALAM SELANGOR</t>
  </si>
  <si>
    <t>D1-KLG-22-105</t>
  </si>
  <si>
    <t>NVMY34535000013647</t>
  </si>
  <si>
    <t>NUR FATINI</t>
  </si>
  <si>
    <t>NO 29 PEKAN TOKAI 06660 ALOR SETAR KEDAH</t>
  </si>
  <si>
    <t>A3-PDG-21-26</t>
  </si>
  <si>
    <t>NVMY34535000013738</t>
  </si>
  <si>
    <t>Nurul Atikah Binti Nuzula</t>
  </si>
  <si>
    <t>7-1-6 KELOMPOK SRI TANJUNG SEKSYEN7 43650 BANDAR BARU BANGI SELANGOR:</t>
  </si>
  <si>
    <t>NVMY34535000013712</t>
  </si>
  <si>
    <t>AISYA</t>
  </si>
  <si>
    <t xml:space="preserve">PS 17767 , FASA 5A , LORONG 1/2 BANDAR SRI INDAH BATU 10 91000 TAWAU SABAH </t>
  </si>
  <si>
    <t>NVMY34535000013699</t>
  </si>
  <si>
    <t>SITI RAFIDAH BINTI ABD HALIM</t>
  </si>
  <si>
    <t>NO 3, JALAN DATOK JALOK, PEKAN TAMPOK, 82200, BENUT, PONTIAN, JOHOR</t>
  </si>
  <si>
    <t>NVMY34535000013742</t>
  </si>
  <si>
    <t>ROSNAH BINTI MUSA</t>
  </si>
  <si>
    <t>NO 123 LORONG CEMPAKA BATU 17, 3/4 KUANG 48050 RAWANG SELANGOR</t>
  </si>
  <si>
    <t>D3-SGB-14-121</t>
  </si>
  <si>
    <t>NVMY34535000013739</t>
  </si>
  <si>
    <t>MARZURAIKAH</t>
  </si>
  <si>
    <t>PT 40256 (RUMAH KUNING), DESA ANGGERIK, JALAN RAHNM, KAMPUNG TERAS JERNANG 43650 BANDAR BARU BANGI SELANGOR</t>
  </si>
  <si>
    <t>NVMY34535000013756</t>
  </si>
  <si>
    <t>SAKINAH</t>
  </si>
  <si>
    <t xml:space="preserve">2264 , KAMPUNG PULAU MUSANG 20050 KUALA TERENGGANU , TERENGGANU </t>
  </si>
  <si>
    <t>NVMY34535000013760</t>
  </si>
  <si>
    <t>NIK NUR HAZWANIE</t>
  </si>
  <si>
    <t xml:space="preserve">UNIT HAEMODIALISIS ARAS 3 BILIK BANGUNAN PAKAR HARIAN SCACC HOSPITAL KUALA LUMPUR JALAN PAHANG 50586 KUALA LUMPUR </t>
  </si>
  <si>
    <t>D2-CKT-18-112</t>
  </si>
  <si>
    <t>NVMY34535000013750</t>
  </si>
  <si>
    <t>NURUL EWANI</t>
  </si>
  <si>
    <t>NO 214 BLOCK 7 FELDA PERASU 18300 GUA MUSANG, KELANTAN</t>
  </si>
  <si>
    <t>NVMY34535000013741</t>
  </si>
  <si>
    <t>SUFI</t>
  </si>
  <si>
    <t>NO 18 JALAN MERANTI PUTIH 10A/KU10 TAMAN DESA PERMAI 3 MERU 41050 KLANG SELANGOR</t>
  </si>
  <si>
    <t>D3-MRU-10-127</t>
  </si>
  <si>
    <t>NVMY34535000013759</t>
  </si>
  <si>
    <t>AFIA , AMSYAR , AYDEN</t>
  </si>
  <si>
    <t xml:space="preserve">LOT 2297 JALAN DUSUN KG BUKIT KAPAR 42200 KAPAR , KLANG SELANGOR </t>
  </si>
  <si>
    <t>NVMY34535000013757</t>
  </si>
  <si>
    <t>NVMY34535000013744</t>
  </si>
  <si>
    <t>MUHD FAIZ</t>
  </si>
  <si>
    <t>PSRN SERI PRISTANA 1 RUMAH PANGSA KRISTANA 6 K6-L5-07 47000 SUNGAI BULOH, SELANGOR</t>
  </si>
  <si>
    <t>D3-PCK-14-118</t>
  </si>
  <si>
    <t>NVMY34535000013762</t>
  </si>
  <si>
    <t>ATTN ; PN. NORLIZA BT SAMAD</t>
  </si>
  <si>
    <t xml:space="preserve">TENAGA NASIONAL BERHAD , ARAS 2 , TOWER 1 , UOA BUSINESS PARK , 40150 SHAH ALAM SELANGOR </t>
  </si>
  <si>
    <t>D2-ARA-18-110</t>
  </si>
  <si>
    <t>NVMY34535000013747</t>
  </si>
  <si>
    <t>Norashimiah binti Mohd noor</t>
  </si>
  <si>
    <t>Lot 3144 , jalan Tahir Manan,  kampung bukit Kuching tengah, 45800 jeram Selangor</t>
  </si>
  <si>
    <t>NVMY34535000013766</t>
  </si>
  <si>
    <t>DATO LAN</t>
  </si>
  <si>
    <t>LOT 3 DAGING KOPLEK PASAR BORONG 43300 SERI KEMBANGAN SELANGOR</t>
  </si>
  <si>
    <t>NVMY34535000013746</t>
  </si>
  <si>
    <t>AIMAN TAK KISAH</t>
  </si>
  <si>
    <t>8-05-15 DESA DAYA PERSIARAN BUKIT JAMBUL SUNGAI NIBONG 11900 TIMUR LAUT SUNGAI NIBONG PULAU PINANG</t>
  </si>
  <si>
    <t>NVMY34535000013758</t>
  </si>
  <si>
    <t>NUR AL-FANISA YA</t>
  </si>
  <si>
    <t xml:space="preserve">NO55 KAMPUNG KEDAP , 17200 RANTAU PANJANG KELANTAN </t>
  </si>
  <si>
    <t>NVMY34535000013749</t>
  </si>
  <si>
    <t>SITI MUNIRAH</t>
  </si>
  <si>
    <t>SEGI FRESH TAMAN PUTRA  PERDANA, TAMAN PUTRA  PERDANA 47130 PUCHONG, SELANGOR</t>
  </si>
  <si>
    <t>NVMY34535000013755</t>
  </si>
  <si>
    <t>ADRIANA SAFEEYA</t>
  </si>
  <si>
    <t>REMARK - (0197045094) - LOT 2994 JALAN RAHMAT KG BERIS LAMPU 22300 KUALA BESUT, TERENGGANU</t>
  </si>
  <si>
    <t>NVMY34535000013764</t>
  </si>
  <si>
    <t>MUHAMAD FIRDAUS</t>
  </si>
  <si>
    <t>DARUL ULOOM AL-ISLAMIAH SUNGAI SALAN, 27050 JERANTUT, PAHANG</t>
  </si>
  <si>
    <t>NVMY34535000013745</t>
  </si>
  <si>
    <t>No 08 jln permas 2/14, bandar baru permas jaya, 81750, masai, johor</t>
  </si>
  <si>
    <t>NVMY34535000013718</t>
  </si>
  <si>
    <t>NUR SHAFADZILLAH ANNURA</t>
  </si>
  <si>
    <t>C62-2 LORONG 20 KHAZANAH INDAH TAMAN KHAZANAH INDAH 91100 LAHAD DATU, SABAH</t>
  </si>
  <si>
    <t>NVMY34535000013784</t>
  </si>
  <si>
    <t>NIK MOHAMAD SHAIFUL BIN NIK MANSOR</t>
  </si>
  <si>
    <t>LOT 1383 KAMPUNG GONG BATU, 16020 TAWANG BACHOK, KELANTAN</t>
  </si>
  <si>
    <t>NVMY34535000013778</t>
  </si>
  <si>
    <t>NUR NABIHAH BINTI NASRUDDIN</t>
  </si>
  <si>
    <t xml:space="preserve">MEQS LAWO KOSMETIK, BAWAH PUSAT IQRA PULAU RUSA 20050 KUALA TERENGGANU </t>
  </si>
  <si>
    <t>A2-PYG-25-17</t>
  </si>
  <si>
    <t>NVMY34535000013765</t>
  </si>
  <si>
    <t>WANI</t>
  </si>
  <si>
    <t>29, 1/2, JALAN ULU BERISU KAMPUNG BERISU, 78100 LUBOK CHINA, ALOR GAJAH, MELAKA</t>
  </si>
  <si>
    <t>NVMY34535000013802</t>
  </si>
  <si>
    <t>SALIHAT ALI</t>
  </si>
  <si>
    <t>DIDIE PHOTO LOT 695 JALAN MELATI PASAR BARU 18500 MACHANG, KELANTAN</t>
  </si>
  <si>
    <t>NVMY34535000013777</t>
  </si>
  <si>
    <t>Nur farahdiana aisya</t>
  </si>
  <si>
    <t>( rumah belakang Kn maju hardware )  21448 JALAN BESAR KG NYIOR PAKA , DUNGUN 23100 TERENGGANU</t>
  </si>
  <si>
    <t>A2-PAK-25-14</t>
  </si>
  <si>
    <t>NVMY34535000013775</t>
  </si>
  <si>
    <t>NUR ALFILAIL BINTI ABDUL MANAN</t>
  </si>
  <si>
    <t>NO 50, JLN ECOHILL 1/3 J, SETIA ECOHILL, 43500 SEMENYIH SELANGOR</t>
  </si>
  <si>
    <t>NVMY34535000013763</t>
  </si>
  <si>
    <t>NVMY34535000013767</t>
  </si>
  <si>
    <t>MOHAMMAD IDRIS CHE ALANG</t>
  </si>
  <si>
    <t xml:space="preserve">KAMPUNG PENGKALAN AJAL 21800 AJIL HULU TERENGGANU , TERENGGANU DARUL IMAN </t>
  </si>
  <si>
    <t>NVMY34535000013537</t>
  </si>
  <si>
    <t>Nurafiqah Binti Sahadin</t>
  </si>
  <si>
    <t>Sook, Jalan Sook, 89008, Keningau, Sabah, 89008</t>
  </si>
  <si>
    <t>NVMY34535000013774</t>
  </si>
  <si>
    <t>NVMY34535000013793</t>
  </si>
  <si>
    <t>NAUFAL</t>
  </si>
  <si>
    <t>LOT 1155 KAMPUNG CHE LIJAH 23000 DUNGUN, TERENGGANU</t>
  </si>
  <si>
    <t>A2-DGN-25-16</t>
  </si>
  <si>
    <t>NVMY34535000013781</t>
  </si>
  <si>
    <t>NIK ROSMADIANA</t>
  </si>
  <si>
    <t>MURAH JIMAT RM2 RINGGIT, FELDA CHIKU 3, 18300 GUA MUSANG KELANTAN</t>
  </si>
  <si>
    <t>NVMY34535000013786</t>
  </si>
  <si>
    <t>MOHAMAD HAFIZALLAH</t>
  </si>
  <si>
    <t>KAMPUNG SUNGAI DUA REPEK 16310 BACHOK, KELANTAN</t>
  </si>
  <si>
    <t>NVMY34535000013752</t>
  </si>
  <si>
    <t>RAISYABEAUTY</t>
  </si>
  <si>
    <t xml:space="preserve">NO 17 TAMAN KANCIL FASA 1 ANAK BUKIT 05250 ALOR SETAR KEDAH </t>
  </si>
  <si>
    <t>NVMY34535000013754</t>
  </si>
  <si>
    <t>NVMY34535000013761</t>
  </si>
  <si>
    <t>Rosnita bt md sulong</t>
  </si>
  <si>
    <t>No 41 jln pulau lumut U10/76 taman alam budiman  40170 Shah Alam</t>
  </si>
  <si>
    <t>D4-ALM-6-136</t>
  </si>
  <si>
    <t>NVMY34535000013753</t>
  </si>
  <si>
    <t>NVMY34535000013751</t>
  </si>
  <si>
    <t>NVMY34535000013797</t>
  </si>
  <si>
    <t>SYAFIQAH</t>
  </si>
  <si>
    <t>LOT PT 10178 KG. BELAHAT 17600 JELI KELANTAN</t>
  </si>
  <si>
    <t>NVMY34535000013772</t>
  </si>
  <si>
    <t>ATTN AH THAI</t>
  </si>
  <si>
    <t>NEWSUN AUTO SUPPLY SDN BHD, NO 335B JALAN YOUNG PANDAMARAN, 41200 PORT KLANG, SELANGOR</t>
  </si>
  <si>
    <t>NVMY34535000013773</t>
  </si>
  <si>
    <t>NVMY34535000013748</t>
  </si>
  <si>
    <t>SYAHIRAH</t>
  </si>
  <si>
    <t>808 mukim 2 teluk bahang 11050 pulau pinang</t>
  </si>
  <si>
    <t>B2-GEO-15-44</t>
  </si>
  <si>
    <t>NVMY34535000013771</t>
  </si>
  <si>
    <t>EN AIDIL AZHAR</t>
  </si>
  <si>
    <t>SGS MALAYSIA SDN BHD LOT 3 &amp; LOT 4, PERSIARAN JUBLI PERAK, SEKSYEN 22, 40300 SHAH ALAM, SELANGOR</t>
  </si>
  <si>
    <t>NVMY34535000013776</t>
  </si>
  <si>
    <t>Nadiah Mohd Safian</t>
  </si>
  <si>
    <t>No 203 Jalan Mati Perumahan Felda Ciku 2,  18300 Gua Musang, Kelantan</t>
  </si>
  <si>
    <t>AB1-GUA-27-10</t>
  </si>
  <si>
    <t>NVMY34535000013768</t>
  </si>
  <si>
    <t>PT 1904 (A), JALAN 3, KG SHAFIE 28730 BENTONG PAHANG</t>
  </si>
  <si>
    <t>PHG-PHG</t>
  </si>
  <si>
    <t>NVMY34535000013800</t>
  </si>
  <si>
    <t>CIKYAH</t>
  </si>
  <si>
    <t>NO 33, LRG PERMATANG BADAK MAJU 30 PERUMAHAN PERMATANG BADAK MAJU 25150 KUANTAN PAHANG</t>
  </si>
  <si>
    <t>NVMY34535000013840</t>
  </si>
  <si>
    <t>APM NUCLEAR TECHNOLOGY SDN BHD</t>
  </si>
  <si>
    <t>BLOCK 32, MAKMAL STANDART DOSIMETRI SEKUNDER AGENSI NUKLEAR MALAYSIA 43000 KAJANG</t>
  </si>
  <si>
    <t>NVMY34535000013838</t>
  </si>
  <si>
    <t>NVMY34535000013809</t>
  </si>
  <si>
    <t>Nor hamizah binti mat resli</t>
  </si>
  <si>
    <t>Sjk (c) gua musang, 18300 gua musang Kelantan</t>
  </si>
  <si>
    <t>NVMY34535000013825</t>
  </si>
  <si>
    <t>SHAFIAH SIDEK</t>
  </si>
  <si>
    <t>NO 16 C-1 KAMPUNG TEROH 28600 KARAK PAHANG</t>
  </si>
  <si>
    <t>NVMY34535000013804</t>
  </si>
  <si>
    <t>MOHD IMRAN BIN MOHD SHUKOR</t>
  </si>
  <si>
    <t>MEDIVEST SDN BHD WORKSHOP NEGERI SEMBILAN, NO 8 PERSIARAN ANDALAS 2, KAWASAN INDUSTRIAL SINAR ANDALAS 70450 SENAWANG, NEGERI SEMBILAN</t>
  </si>
  <si>
    <t>C4-SWG-28-89</t>
  </si>
  <si>
    <t>NVMY34535000013807</t>
  </si>
  <si>
    <t>Faridah Binti Dawood</t>
  </si>
  <si>
    <t>No 1020 Jalan 2/5G Bandar Seremban Selatan 71450 Seremban Negeri Sembilan</t>
  </si>
  <si>
    <t>NVMY34535000013801</t>
  </si>
  <si>
    <t>NIK ROSWAHIDA BINTI NIK MAT</t>
  </si>
  <si>
    <t>NO 352 JALAN SERI PAGI 7, TAMAN SERI PAGI SENAWANG 70450 SENAWANG, NEGERI SEMBILAN</t>
  </si>
  <si>
    <t>NVMY34535000013822</t>
  </si>
  <si>
    <t>NUR IFFAH SYAHIRAH</t>
  </si>
  <si>
    <t>LOT PT 4100 JALAN MERANTI KG BUKIT KECIL CHALOK SETIU 21450 TERENGGANU</t>
  </si>
  <si>
    <t>NVMY34535000013820</t>
  </si>
  <si>
    <t>ATTN IR NOOR HARIZAL BINTI HUSSEIN</t>
  </si>
  <si>
    <t>KTA TENAGA SDN BHD D1-21, JALAN PJU 1/41 DATARAN PRIMA KELANA JAYA 47301 PETALING JAYA, SELANGOR</t>
  </si>
  <si>
    <t>NVMY34535000013794</t>
  </si>
  <si>
    <t>MAZITA BINTI ABDULLAH</t>
  </si>
  <si>
    <t>Program pengurusan Fizikal &amp; utiliti (AM02) Pusat Pembangunan &amp; Pengurusan Harta (AM) Ibu Pejabat MARDI Persiaran MARDI-UPM 43400 Serdang Selangor</t>
  </si>
  <si>
    <t>D3-SRD-10-126</t>
  </si>
  <si>
    <t>NVMY34535000013814</t>
  </si>
  <si>
    <t>SYED FADIL BIN AHMAD</t>
  </si>
  <si>
    <t>KLINIK KESIHATAN AL MUKTAFI BILLAH SHAH 23400 DUNGUN TERENGGANU</t>
  </si>
  <si>
    <t>NVMY34535000013805</t>
  </si>
  <si>
    <t>NOOR AZIATIE BT MOHD AZMAN</t>
  </si>
  <si>
    <t>(BELAKANG RUMAH) LOT 582-1 JALAN SIDANG IDRIS BT 1/2 KAMPUNG PAYA RUMPUT 76300 SUNGAI UDANG MELAKA</t>
  </si>
  <si>
    <t>NVMY34535000013769</t>
  </si>
  <si>
    <t>NURUL ASMIRA BT ZAMBRI</t>
  </si>
  <si>
    <t>NO 18, LORONG MEWAH 33, TAMAN MEWAH 34600 KAMUNTING PERAK</t>
  </si>
  <si>
    <t>NVMY34535000013828</t>
  </si>
  <si>
    <t>MUHAMMAD TARMIZI</t>
  </si>
  <si>
    <t>NO 87 JALAN 14/30 PETALING JAYA 46100 SELANGOR</t>
  </si>
  <si>
    <t>NVMY34535000013780</t>
  </si>
  <si>
    <t>EN MUHAMMAD ZAIM BIN AB HAMID/EN MOHD NAJIB BIN AMBAK</t>
  </si>
  <si>
    <t>KEMENTERIAN PENDIDIKAN MALAYSIA BAHAGIAN PEMBANGUNAN ARAS 1.3 &amp; 6, BLOK E2, KOMPLEKS E, PUSAT PENTADBIRAN KERAJAAN PERSEKUTUAN 62604 W.P PUTRAJAYA</t>
  </si>
  <si>
    <t>NVMY34535000013837</t>
  </si>
  <si>
    <t>IRDINA SYAMIMI</t>
  </si>
  <si>
    <t>LORONG BERLIAN B, KAMPUNG PARIT SERONG 45500 KUALA SELANGOR, SELANGOR</t>
  </si>
  <si>
    <t>NVMY34535000013779</t>
  </si>
  <si>
    <t>MUHAMMAD SALLEHUDIN HAKIM BIN NAZRI</t>
  </si>
  <si>
    <t>NO 76 LORONG LAUTAN SAMUDERA 9/16 BANDAR PUNCAK ALAM 42300 SELANGOR</t>
  </si>
  <si>
    <t>NVMY34535000013770</t>
  </si>
  <si>
    <t>NOHH AZWAN</t>
  </si>
  <si>
    <t xml:space="preserve">NO 21 JALAN PENYIARAN 15 TAMAN UNIVERSITI , 81300 SKUDAI JOHOR BHARU </t>
  </si>
  <si>
    <t>NVMY34535000013823</t>
  </si>
  <si>
    <t>NUR ADRIANA SYAKIRAH</t>
  </si>
  <si>
    <t>NO 21-1 JALAN IMPIAN MAKMUR 3/B, SAUJANA IMPIAN 43000KAJANG SELANGOR (99 SPEEDMART)</t>
  </si>
  <si>
    <t>NVMY34535000013792</t>
  </si>
  <si>
    <t>ATTN PUAN SALMI</t>
  </si>
  <si>
    <t>MY-SUTERA SDN BHD, LOT NO 9 &amp; 11 JALAN TUKANG 16/4 KAWASAN PERINDUSTRIAN SEKSYEN 10 40000 SHAH ALAM, SELANGOR</t>
  </si>
  <si>
    <t>NVMY34535000013833</t>
  </si>
  <si>
    <t>AFINDI BIN HUSSIN</t>
  </si>
  <si>
    <t>AMANAH IKHTIAR MALAYSIA WILAYAH PAHANG, NO 2 TINGKAT 1 &amp; 2, JALAN DATO BAHAMAN 4, PUSAT KOMERSIAL TEMERLOH PAHANG DARUL MAKMUR</t>
  </si>
  <si>
    <t>NVMY34535000013782</t>
  </si>
  <si>
    <t>Norizuraini</t>
  </si>
  <si>
    <t>B2-23A-09 Savanna Executive Suites Jalan BBLS 2, Bandar Baru Lembah Selatan 43800 Dengkil, Selangor</t>
  </si>
  <si>
    <t>NVMY34535000013834</t>
  </si>
  <si>
    <t>AFIF BIN SUHAIMI</t>
  </si>
  <si>
    <t>LOT 132, BATU 4 1/4 JLN SALOR KG KOTA 15100 KOTA BHARU KELANTAN</t>
  </si>
  <si>
    <t>NVMY34535000013783</t>
  </si>
  <si>
    <t>Nur Izzati Nadzirah Harun</t>
  </si>
  <si>
    <t>No 22, Jalan Beringin 16 Taman Rinting 81750 Masai Johor</t>
  </si>
  <si>
    <t>NVMY34535000013789</t>
  </si>
  <si>
    <t>MOHAMAD AMZI BIN ABDUL AZIZ</t>
  </si>
  <si>
    <t>BLOK 213-02-01 TAMAN DATO SENU, 51000 SENTUL KUALA LUMPUR</t>
  </si>
  <si>
    <t>NVMY34535000013829</t>
  </si>
  <si>
    <t>KHAIRI BIN KAMARUDIN</t>
  </si>
  <si>
    <t>C16-13A, PPR KOTA BHARU JALAN KELOCHOR BANDAR KOTA BHARU 15000 KOTA BHARU KELANTAN</t>
  </si>
  <si>
    <t>NVMY34535000013841</t>
  </si>
  <si>
    <t>Nik Zalina binti Nik Ismail (AyraMedina)</t>
  </si>
  <si>
    <t>kampung gong tengah merang 21010 bandar permaisuri setiu terengganu</t>
  </si>
  <si>
    <t>NVMY34535000013788</t>
  </si>
  <si>
    <t>AMIR FAHME BIN MUHAMMAD</t>
  </si>
  <si>
    <t>NO 164, LORONG 5 TAMAN BANDAR BARU 08000 SUNGAI PETANI, KEDAH</t>
  </si>
  <si>
    <t>NVMY34535000013808</t>
  </si>
  <si>
    <t>NOR SHAFIKA BINTI SAFRIZIN</t>
  </si>
  <si>
    <t xml:space="preserve">BATU 22½ KAMPUNG AIR HITAM PANTAI TANJUNG BIDARA 78300 MASJID TANAH MELAKA </t>
  </si>
  <si>
    <t>NVMY34535000013796</t>
  </si>
  <si>
    <t>NVMY34535000013799</t>
  </si>
  <si>
    <t>NVMY34535000013818</t>
  </si>
  <si>
    <t>KTA TENAGA SDN BHD D1-21 JALAN PJU 1/41, DATARAN PRIMA KELANA JAYA, 47301 PETALING JAYA, SELANGOR</t>
  </si>
  <si>
    <t>NVMY34535000013787</t>
  </si>
  <si>
    <t>KAPTEN MOHD HAFIZ BIN ABD RADIN</t>
  </si>
  <si>
    <t>153 KAMPUNG PADANG KUNYIT 33200 GERIK, PERAK</t>
  </si>
  <si>
    <t>NVMY34535000013810</t>
  </si>
  <si>
    <t>Rabiatul Nuradawiyah binti Osman</t>
  </si>
  <si>
    <t>JC 5128 Jalan Mayang Lestari 1 Taman Mayang Lestari 77000 Jasin Melaka</t>
  </si>
  <si>
    <t>NVMY34535000013821</t>
  </si>
  <si>
    <t>NVMY34535000013811</t>
  </si>
  <si>
    <t>NOR ADZLAH BINTI JAAFAR</t>
  </si>
  <si>
    <t>MLO 2168,KAMPUNG JAYOR 84600 MUAR JOHOR</t>
  </si>
  <si>
    <t>C2-GMR-5-78</t>
  </si>
  <si>
    <t>NVMY34535000013819</t>
  </si>
  <si>
    <t>NVMY34535000013848</t>
  </si>
  <si>
    <t>SITI NURHAFISAH</t>
  </si>
  <si>
    <t>463, LORONG PERAMU PERMAI 25, TAMAN PERAMU PERMAI 26600 PEKAN PAHANG</t>
  </si>
  <si>
    <t>NVMY34535000013839</t>
  </si>
  <si>
    <t>LATIFAH BT MOHD YUSOFF</t>
  </si>
  <si>
    <t>BLOCK 15/11 JLN SINARAN 13 TAMAN SINARAN 81200 KEMPAS JOHOR BAHRU JOHOR</t>
  </si>
  <si>
    <t>C1-KEM-7-74</t>
  </si>
  <si>
    <t>NVMY34535000013803</t>
  </si>
  <si>
    <t>SARIMAH BT TOKIS</t>
  </si>
  <si>
    <t>NO 2019 LORONG B RPR FASA 2 KPG TUNKU JLN ASTANA PETRA JAYA KUCHING 93050 SARAWAK</t>
  </si>
  <si>
    <t>NVMY34535000013845</t>
  </si>
  <si>
    <t>AMMAR RIZQI</t>
  </si>
  <si>
    <t>PERUMAHAN LOT 493, TAMAN KIJAL MERAGA 24100 KIJAL KEMAMAN, TERENGGANU</t>
  </si>
  <si>
    <t>NVMY34535000013851</t>
  </si>
  <si>
    <t>DR ASLAMIAH</t>
  </si>
  <si>
    <t>LOT PT 670 ARAS BAWAH MUKIM GUAL 17200 RANTAU PANJANG KELANTAN</t>
  </si>
  <si>
    <t>NVMY34535000013843</t>
  </si>
  <si>
    <t>ARBAIE BT NAWAWI</t>
  </si>
  <si>
    <t>NO 32, JALAN JAYA 8 TAMAN JAYA 8 BATU 3 1/2 JALAN MARAN 28000 TEMERLOH PAHANG</t>
  </si>
  <si>
    <t>NVMY34535000013831</t>
  </si>
  <si>
    <t>MOHD AZRUL AFFENDIE BIN AZIMI</t>
  </si>
  <si>
    <t>BLOK F4-1-1 KUARTERS TUDM LAHAT 31500 IPOH, PERAK</t>
  </si>
  <si>
    <t>NVMY34535000013815</t>
  </si>
  <si>
    <t>SAKIROH BT ZAINAL</t>
  </si>
  <si>
    <t>UNIT SAJIAN HOSPITAL SIK JALAN HOSPITAL SIK 08200 SIK KEDAH</t>
  </si>
  <si>
    <t>NVMY34535000013791</t>
  </si>
  <si>
    <t>SALIM BIN MAHAD</t>
  </si>
  <si>
    <t>BATALION KEEMPAT REJIMEN RENJER DIRAJA KEM BUKIT COWDER 01990 KANGAR PERLIS</t>
  </si>
  <si>
    <t>NVMY34535000013813</t>
  </si>
  <si>
    <t>Noraini Binti Dolah</t>
  </si>
  <si>
    <t>186 B Kg Sialang Tengah ,Jalan  Sialang 84900 Tangkak, Johor</t>
  </si>
  <si>
    <t>NVMY34535000013827</t>
  </si>
  <si>
    <t>NOR SYAHIDA SHAKINA</t>
  </si>
  <si>
    <t xml:space="preserve">NO 7 TAMAN DESA SRI EMAS 06300 KUALA NERANG KEDAH </t>
  </si>
  <si>
    <t>NVMY34535000013836</t>
  </si>
  <si>
    <t>NURUL IZZATULNAJWA</t>
  </si>
  <si>
    <t>POLITEKNIK SULTAN SALAHUDDIN ABDUL AZIZ SHAH PERSIARAN USAHAWAN SEKSYEN U1, 40150 SHAH ALAM, SELANGOR</t>
  </si>
  <si>
    <t>NVMY34535000013806</t>
  </si>
  <si>
    <t>Raihana Radzuan</t>
  </si>
  <si>
    <t>No 8C Felda Lasah, 31100 Sungai Siput (U), Perak</t>
  </si>
  <si>
    <t>NVMY34535000013824</t>
  </si>
  <si>
    <t>SITI NOR AISYAH</t>
  </si>
  <si>
    <t xml:space="preserve">BP NO 47 RENGGAM SIMPANG RENGGAM JALAN JOHOR SIMPANG RENGGAM 86200 </t>
  </si>
  <si>
    <t>NVMY34535000013826</t>
  </si>
  <si>
    <t>INTAN SURAYA BT MOHD SAAT</t>
  </si>
  <si>
    <t>JJ 65 KAMPUNG SUNGAI PETAI BUKIT GANTANG 34850 CHANGKAT JERING PERAK</t>
  </si>
  <si>
    <t>NVMY34535000013830</t>
  </si>
  <si>
    <t>WAN MUHAMAD FARID</t>
  </si>
  <si>
    <t>NO 32 JALAN ZAPIN 4 TAMAN SKUDAI BARU 81300 JOHOR BAHRU JOHOR</t>
  </si>
  <si>
    <t>NVMY34535000013785</t>
  </si>
  <si>
    <t>CAWANGAN TAKTIK KETUA KOMPENI, PUSAT LATIHAN TEMPUR TENTERA DARAT 81800 ULU TIRAM, JOHOR</t>
  </si>
  <si>
    <t>NVMY34535000013812</t>
  </si>
  <si>
    <t>RAMLAH BINTI AZIZ</t>
  </si>
  <si>
    <t>NO 9A KAMPUNG PARIT  HAJI YUSUF  83710 YONG PENG JOHAR</t>
  </si>
  <si>
    <t>NVMY34535000013835</t>
  </si>
  <si>
    <t>ZURHARMIZAN</t>
  </si>
  <si>
    <t>BLOCK KENYALANG B505-06 JALAN CAMAR PPR MELANA INDAH TAMAN PERLING 81200 JOHOR BHARU JOHOR</t>
  </si>
  <si>
    <t>NVMY34535000013832</t>
  </si>
  <si>
    <t>MOHAMAD RIZAL BIN AMRANI</t>
  </si>
  <si>
    <t>BLOK C 6-3 KUARTERS PERUMAHAN ATM JALAN U-THANT NO 44 JLN 1/76 KG PANDAN 54000 KUALA LUMPUR WILAYAH PERSEKUTUAN KUALA LUMPUR</t>
  </si>
  <si>
    <t>NVMY34535000013846</t>
  </si>
  <si>
    <t>NVMY34535000013878</t>
  </si>
  <si>
    <t>NVMY34535000013847</t>
  </si>
  <si>
    <t>REMY</t>
  </si>
  <si>
    <t>66-72 JALAN PERMAS 15/1 BANDAR BARU PERMAS JAYA 81750 MASAI JOHOR BAHRU JOHOR</t>
  </si>
  <si>
    <t>NVMY34535000013881</t>
  </si>
  <si>
    <t>NVMY34535000013817</t>
  </si>
  <si>
    <t>CORNELIA BANDIONG</t>
  </si>
  <si>
    <t>UNIT FARMASI LOGISTICS, HOSPITAL RANAU 89300 RANAU SABAH</t>
  </si>
  <si>
    <t>NVMY34535000013866</t>
  </si>
  <si>
    <t>RAGUNATH KULASEKARAN</t>
  </si>
  <si>
    <t>RADIUS BUSINESS SOLUTIONS (MALAYSIA) SDN BHD, SUITE 22.01 &amp; 22.05 LEVEL 22 CENTREPOINT NORTH, MID VALLEY CITY LINGKARAN SYED PUTRA 59200 KUALA LUMPUR</t>
  </si>
  <si>
    <t>D5-SPH-4-138</t>
  </si>
  <si>
    <t>NVMY34535000013844</t>
  </si>
  <si>
    <t>NURUL AIN ABD HAMID</t>
  </si>
  <si>
    <t>NO 7 JALAN PUTERA 16/1 SEKSYEN 1, BANDAR MAHKOTA CHERAS 43200 CHERAS, SELANGOR</t>
  </si>
  <si>
    <t>NVMY34535000013880</t>
  </si>
  <si>
    <t xml:space="preserve">106 JALAN TELEMONG TAMAN PERUMAHAN TELEMONG 21210 KUALA TELEMONG TERENGGANU </t>
  </si>
  <si>
    <t>NVMY34535000013816</t>
  </si>
  <si>
    <t>ZABIAH BT ZAINURIN</t>
  </si>
  <si>
    <t>LOT 720, JALAN IXORA LORONG 2, KAMPUNG BARU SEBERANG 96100 SARIKEI SARAWAK</t>
  </si>
  <si>
    <t>NVMY34535000013790</t>
  </si>
  <si>
    <t>LOKMAN HAQIM BIN TAJUDIN</t>
  </si>
  <si>
    <t>BLOK G20-3-2 RKAT KEM ISKANDAR 86800 MERSING, JOHOR</t>
  </si>
  <si>
    <t>NVMY34535000013859</t>
  </si>
  <si>
    <t>AINAKAMARUDIN</t>
  </si>
  <si>
    <t>PT15435, KG MAK CHILI PAYA JALAN BUKIT TAKAL 24000 CHUKAI, KEMAMAN TERENGGANU</t>
  </si>
  <si>
    <t>B1-CHU-19-29</t>
  </si>
  <si>
    <t>NVMY34535000013849</t>
  </si>
  <si>
    <t>PN . SALMI</t>
  </si>
  <si>
    <t>LOT NO 9&amp;11 JALAN TUKANG 16/4 KAWASAN PERINDUSTRIAN SEKSYEN 16, 40000  SHAH ALAM SELANGOR</t>
  </si>
  <si>
    <t>NVMY34535000013865</t>
  </si>
  <si>
    <t>NVMY34535000013798</t>
  </si>
  <si>
    <t>NURUL HUDA BINTI RUSLAN</t>
  </si>
  <si>
    <t>D-10-03 PANGSAPURI SPRINGVILLE BLOCK D JALAN UP 1/1B UKAY PERDANA 68000 AMPANG SELANGOR</t>
  </si>
  <si>
    <t>NVMY34535000013877</t>
  </si>
  <si>
    <t>HAZIRAYANI BINTI HUSSAIN</t>
  </si>
  <si>
    <t xml:space="preserve">NO 12 TINGKAT BAWAH JALAN6 TAMAN EMAS BANDAR BERA , BERA , 28200 PAHANG </t>
  </si>
  <si>
    <t>NVMY34535000013884</t>
  </si>
  <si>
    <t>Siti nurshafikah binti zainal abidin</t>
  </si>
  <si>
    <t>Amanah ikhtiar malaysia cawangan lipis Pt 2895 no 10 lorong 2/3/1, bandar baru kuala lipis 27200 kuala lipis pahang</t>
  </si>
  <si>
    <t>NVMY34535000013857</t>
  </si>
  <si>
    <t>ATTN MR YONG</t>
  </si>
  <si>
    <t>NO 1, JALAN PULAU ANGSA U, 10/20 PUNCAK PERDANA 40150 SHAH ALAM, SELANGOR</t>
  </si>
  <si>
    <t>NVMY34535000013853</t>
  </si>
  <si>
    <t>NOR SURIZA BINTI ABD WAHAB</t>
  </si>
  <si>
    <t>AMANAH IKHTIAR MALAYSIA Caw. Hulu Selangor No.7(A),7/2 Jln Mahagoni Usel Maju Business Center Bandar Utama Btg Kali 44300 Batang Kali,Selangor</t>
  </si>
  <si>
    <t>NVMY34535000013854</t>
  </si>
  <si>
    <t>Siti harnida binti muhammad kasni</t>
  </si>
  <si>
    <t>Block E2-3-2 kem iskndar 86800 mersing johor</t>
  </si>
  <si>
    <t>NVMY34535000013873</t>
  </si>
  <si>
    <t>AINA</t>
  </si>
  <si>
    <t xml:space="preserve">D-09-07 PERUMAHAN PDRM SRI KERAMAT AU1 , JALAN AU1C/1 , TAMAN KERAMAT , 54200 KUALA LUMPUR </t>
  </si>
  <si>
    <t>NVMY34535000013842</t>
  </si>
  <si>
    <t>Wati</t>
  </si>
  <si>
    <t>Lot 2770 -12A kampung Padang balang sentul 51100 kuala lumpur</t>
  </si>
  <si>
    <t>D1-CAV-24-99</t>
  </si>
  <si>
    <t>NVMY34535000013850</t>
  </si>
  <si>
    <t>PREMARAJ</t>
  </si>
  <si>
    <t xml:space="preserve">208 BLOCK G , PANGSAPURI RUBY , JALAN MATAHARI U5/117 U5 SHAH ALAM SELANGOR </t>
  </si>
  <si>
    <t>NVMY34535000013883</t>
  </si>
  <si>
    <t>Nur najwa yusri</t>
  </si>
  <si>
    <t>32, lorong hj abd rahman, kg kesang laut 84000 tangkak ,johor</t>
  </si>
  <si>
    <t>NVMY34535000013882</t>
  </si>
  <si>
    <t>muhamad azahari bin zakaria</t>
  </si>
  <si>
    <t xml:space="preserve"> no 33 jalan sri mawar 13 taman sri mawar fasa 2, 70450 seremban negeri sembilan</t>
  </si>
  <si>
    <t>NVMY34535000013856</t>
  </si>
  <si>
    <t>ATTN MS CHAN YOOK CHIN</t>
  </si>
  <si>
    <t>26, LALUAN PANORAMA 3, TAMAN PANORAMA RAPAT INSAH 31350 IPOH, PERAK</t>
  </si>
  <si>
    <t>NVMY34535000013871</t>
  </si>
  <si>
    <t>SITI ZAINAB BINTI JAMALUDIN</t>
  </si>
  <si>
    <t xml:space="preserve">C 6 PLS 13 JALAN KLUANG PARIT LAPIS SEMARANG 86400 PARIT RAJA BATU PAHAT JOHOR </t>
  </si>
  <si>
    <t>NVMY34535000013868</t>
  </si>
  <si>
    <t>ZAIRIN SUFINA BINTI ZAINOL</t>
  </si>
  <si>
    <t>NO1-01 BLOK 7 LORONG 3 BERAPIT TAMAN MUTIARA INDAH 14000 BUKIT MERTAJAM, PULAU PINANG</t>
  </si>
  <si>
    <t>NVMY34535000013874</t>
  </si>
  <si>
    <t>NOR ADILAH BINTI ABDULLAH</t>
  </si>
  <si>
    <t xml:space="preserve">LOT 394510 JALAN DELIMA 5,  KAMPUNG TERSUSUN BATU 5,  31400 IPOH,PERAK.. </t>
  </si>
  <si>
    <t>B3-IPH-11-61</t>
  </si>
  <si>
    <t>NVMY34535000013886</t>
  </si>
  <si>
    <t>KHAIRUL FIKRI</t>
  </si>
  <si>
    <t xml:space="preserve">AMANAH IKHTIAR MALAYSIA PEJABAT WILAYAH PULAU PINANG / PERLIS NO 73 , JALAN LAGENDA 1 , LAGENDA HEIGHT 08000 SUNGAI PETANI KEDAH </t>
  </si>
  <si>
    <t>NVMY34535000013876</t>
  </si>
  <si>
    <t>Jamaliah binti mat Hussin</t>
  </si>
  <si>
    <t>NO 183D JALAN SEKOLAH KG PAYA REDAN PAGOH 84600 MUAR JOHOR</t>
  </si>
  <si>
    <t>NVMY34535000013887</t>
  </si>
  <si>
    <t>SHA</t>
  </si>
  <si>
    <t xml:space="preserve">667 JALAN HARUAN 4/10 OAKLAND COMMERCIAL CENTRE TINGKAT ATAS 667 ( LETAK DEKAT TANGGA ) 70300 SEREMBAN NEGERII SEMBILAN </t>
  </si>
  <si>
    <t>NVMY34535000013863</t>
  </si>
  <si>
    <t>Norlailie binti zakaria</t>
  </si>
  <si>
    <t>Jabatan kehakiman syariah negeri kelantan, kompleks mahkamah syariah, bandar baru tunjung, jalan pasir mas - salor, 15510 kota bharu, kelantan</t>
  </si>
  <si>
    <t>NVMY34535000013879</t>
  </si>
  <si>
    <t>MAD SHAH REZALY</t>
  </si>
  <si>
    <t xml:space="preserve">NO 2794 KAMPUNG KOK TALANG , 71500 TANJUNG IPOH NEGERI SEMBILAN </t>
  </si>
  <si>
    <t>NVMY34535000013869</t>
  </si>
  <si>
    <t>MASNIH MOULA</t>
  </si>
  <si>
    <t>10668 JALAN MERBUK 11 BANDAR PUTRA 81000 KULAI JOHOR BAHRU, JOHOR</t>
  </si>
  <si>
    <t>C1-SEN-7-73</t>
  </si>
  <si>
    <t>NVMY34535000013897</t>
  </si>
  <si>
    <t>Jessica Enyau</t>
  </si>
  <si>
    <t>Lot 1766-A3 Jalan Sempadan,  Batu 7 Kampung Sijangkang,  42500 Telok Panglima Garang,  Selangor</t>
  </si>
  <si>
    <t>D5-RBY-2-143</t>
  </si>
  <si>
    <t>NVMY34535000013864</t>
  </si>
  <si>
    <t>Haslinda bte khamis</t>
  </si>
  <si>
    <t>No.14 jalan cempaka 2, Taman  cempaka 84800 Bukit Gambir Johor</t>
  </si>
  <si>
    <t>NVMY34535000013860</t>
  </si>
  <si>
    <t>NUR AMALENA BINTI ZULKAFLI</t>
  </si>
  <si>
    <t>NO 18-1, jalan seri putra 2/5h bandar seri putra 43000 kajang selango</t>
  </si>
  <si>
    <t>NVMY34535000013875</t>
  </si>
  <si>
    <t>Norzita binti jamil</t>
  </si>
  <si>
    <t xml:space="preserve"> no. 2014 jalan pulai jaya 53 bandar pulai jaya 81300 skudai johor bahru. +60 11-1628 5949</t>
  </si>
  <si>
    <t>NVMY34535000013858</t>
  </si>
  <si>
    <t>SYAHIRA</t>
  </si>
  <si>
    <t>NO 11 LORONG KTC 3/19 KULIM TECHNO CITY KULIM HITECH 09000 KULIM, KEDAH</t>
  </si>
  <si>
    <t>NVMY34535000013855</t>
  </si>
  <si>
    <t>MUHAMMAD AMIRUL BIN MOHD SYUKUR</t>
  </si>
  <si>
    <t>LOT128-17B JLN GOMBAK BT 8 KG SG CHINCHIN 53100 GOMBAK KUALA LUMPUR</t>
  </si>
  <si>
    <t>NVMY34535000013852</t>
  </si>
  <si>
    <t>Huzaimi bin shukor</t>
  </si>
  <si>
    <t>No 1197 jalan nusari bayu 4 Nusari bayu 2 Bandar sri sendayan 71900 labu  Negeri sembilan</t>
  </si>
  <si>
    <t>NVMY34535000013885</t>
  </si>
  <si>
    <t>Mohd Zakri bin Abd Halim</t>
  </si>
  <si>
    <t>132, Taman sri Makmur, 06000 Jitra, Kedah</t>
  </si>
  <si>
    <t>NVMY34535000013894</t>
  </si>
  <si>
    <t>RAISHAM BAHARUM</t>
  </si>
  <si>
    <t>363 JALAN LAMAN DELFINA 3/2, NILAI IMPIAN 71800 NILAI NEGERI SEMBILAN</t>
  </si>
  <si>
    <t>NVMY34535000013867</t>
  </si>
  <si>
    <t>INTAN ZAMRI</t>
  </si>
  <si>
    <t>NO 216 (C), JALAN SAUJANA 3/1, TAMAN SAUJANA 81750 JOHOR BAHRU, JOHOR</t>
  </si>
  <si>
    <t>NVMY34535000013870</t>
  </si>
  <si>
    <t>U/P PENGURUS BANGUNAN</t>
  </si>
  <si>
    <t>BUILDING LINDUNGAN SDN BHD TINGKAT BAWAH, BANGUNAN PERSEKUTUAN KEMAMAN JALAN MELOR GONG LIMAU, 24000 KEMAMAN TERENGGANU</t>
  </si>
  <si>
    <t>NVMY34535000013892</t>
  </si>
  <si>
    <t>ADIY BIN JOHARE</t>
  </si>
  <si>
    <t>03-09-06, RESIDENSI SETIAWANGSA NO 20 JALAN 1/56 TAMAN SETIAWANGSA 54200 KUALA LUMPUR</t>
  </si>
  <si>
    <t>NVMY34535000013891</t>
  </si>
  <si>
    <t>ANA NORMAZLINA BINTI MOHAMED</t>
  </si>
  <si>
    <t>NO 70, SUSUR BANDAR U3 BANDAR UNIVERSITI SERI ISKANDAR 32610 SERI ISKANDAR PERAK</t>
  </si>
  <si>
    <t>NVMY34535000013917</t>
  </si>
  <si>
    <t>NVMY34535000013898</t>
  </si>
  <si>
    <t>ASIAH BT HARUN</t>
  </si>
  <si>
    <t>PT 20835 K TAMAN PERMIT PERDANA SEBERANG TAKIR 21300 KUALA TERENGGANU</t>
  </si>
  <si>
    <t>NVMY34535000013895</t>
  </si>
  <si>
    <t>Athirah Mohiden</t>
  </si>
  <si>
    <t>Lot 6356 Jalan Bukit Kerayong, Kg Bukit Kapar, 42200, Kapar, Klang, Selangor</t>
  </si>
  <si>
    <t>NVMY34535000013908</t>
  </si>
  <si>
    <t xml:space="preserve">CIK WAN </t>
  </si>
  <si>
    <t xml:space="preserve">A-03-03 PUTRA RESIDENT PUTRA HEIGHT , JALAN PUTRA MURNI 3/1 , 47650 SUBANG JAYA SELANGOR </t>
  </si>
  <si>
    <t>NVMY34535000013904</t>
  </si>
  <si>
    <t>SUZANA JUSOH</t>
  </si>
  <si>
    <t xml:space="preserve">KLINIK MEDIVIRON PUCHONG PRIMA , 0-01-02 , PUSAT PERDAGANGAN PUCHONG PRIMA , JALAN PRIMA 5/1 , 47100 PUCHONG SELANGOR </t>
  </si>
  <si>
    <t>NVMY34535000013913</t>
  </si>
  <si>
    <t>NORASMA ISMAIL</t>
  </si>
  <si>
    <t xml:space="preserve">NOMBOR 34 JALAN BERINGING JAYA 2 TAMAN BERINGING JAYA 71700 MANTIN NEGERI SEMBILAN </t>
  </si>
  <si>
    <t>NVMY34535000013909</t>
  </si>
  <si>
    <t>NVMY34535000013911</t>
  </si>
  <si>
    <t>NVMY34535000013912</t>
  </si>
  <si>
    <t>NVMY34535000013910</t>
  </si>
  <si>
    <t>NVMY34535000013862</t>
  </si>
  <si>
    <t>Muhammad Yazid Bin Mohd Dawi</t>
  </si>
  <si>
    <t>Jalan oshman Samah, Batu22 Kampung Parit Perawas  Sungai Rambai,Jasin 77400 Melaka</t>
  </si>
  <si>
    <t>NVMY34535000013888</t>
  </si>
  <si>
    <t>MD FADZLI</t>
  </si>
  <si>
    <t>20 JALAN MELAWIS 1 TAMAN MELAWIS HANG TUAH JAYA 75450 AYER KEROH MELAKA</t>
  </si>
  <si>
    <t>NVMY34535000013901</t>
  </si>
  <si>
    <t>NOORHASHIMIE BINTI PUTEH</t>
  </si>
  <si>
    <t xml:space="preserve">LOT 2307 KG BUKIT CHE ALI , KIJING , 21600 MARANG TERENGGANU </t>
  </si>
  <si>
    <t>NVMY34535000013914</t>
  </si>
  <si>
    <t>SITI JAMAIYA</t>
  </si>
  <si>
    <t xml:space="preserve">A 2-11 FLAT PANGSAPURI SERI SIANTAN 75150 BUKIT BARU MELAKA </t>
  </si>
  <si>
    <t>NVMY34535000013946</t>
  </si>
  <si>
    <t>HAFIZA RASHID</t>
  </si>
  <si>
    <t>LOT PT 29741 TAMAN BESTARI GONG BADAK 21300 KUALA TERENGGANU TERENGGANU</t>
  </si>
  <si>
    <t>NVMY34535000013872</t>
  </si>
  <si>
    <t>MUHAMMAD IRWAN BIN ZAINAL ABIDIN</t>
  </si>
  <si>
    <t>CAWANGAN GERAKAN BATALION 16 PASUKAN GERAKAN AM KINARUT PAPAR 89600 SABAH</t>
  </si>
  <si>
    <t>E1-PPR-1-149</t>
  </si>
  <si>
    <t>NVMY34535000013900</t>
  </si>
  <si>
    <t>ZALEHA ISMAIL</t>
  </si>
  <si>
    <t>NO 12 JALAN SEJAMBAK 13, TAMAN BUKIT DAHLIA 81700 PASIR GUDANG JOHOR BHARU</t>
  </si>
  <si>
    <t>NVMY34535000013921</t>
  </si>
  <si>
    <t>NORLIZA BT TAMJIS</t>
  </si>
  <si>
    <t>LOT 30964, JALAN ABDUL RASHID KAMPUNG SERI DAMAI 25150 KUANTAN PAHANG</t>
  </si>
  <si>
    <t>NVMY34535000013942</t>
  </si>
  <si>
    <t>SITI NADZIRAH BT MOHAMMAD DAUD</t>
  </si>
  <si>
    <t>RUMAH NO 2, D-905, KAMPUNG KUALA BEKAH 20050 PALUH KUALA TERENGGANU, TERENGGANU</t>
  </si>
  <si>
    <t>NVMY34535000013915</t>
  </si>
  <si>
    <t>CRYSTALBEL</t>
  </si>
  <si>
    <t xml:space="preserve">4 LALUAN MENGLEMBU 6 TAMAN MENGLEMBU BERLIAN , 31450 IPOH PERAK </t>
  </si>
  <si>
    <t>NVMY34535000013943</t>
  </si>
  <si>
    <t>HALIMAH BT ABDULLAH</t>
  </si>
  <si>
    <t>M11-2-20 JALAN AP 2E/1, PANGSAPURI KOS RENDAH BANDAR PUNCAK ALAM</t>
  </si>
  <si>
    <t>NVMY34535000013928</t>
  </si>
  <si>
    <t>MOHD AKMAL ALIF BIN AZZAHAN</t>
  </si>
  <si>
    <t xml:space="preserve">NO 34 JLN LILI 4 SAUJANA UTAMA 47000 SUNGAI BULOH SELANGOR </t>
  </si>
  <si>
    <t>NVMY34535000013902</t>
  </si>
  <si>
    <t>MOHD FAISAL</t>
  </si>
  <si>
    <t xml:space="preserve">D-5-12 THE ANDERSON @ IPOH JALAN YEOH KHUAN JOO TAMAN FAIR BAHARU IPOH , 31400 ULU KINTA </t>
  </si>
  <si>
    <t>NVMY34535000013905</t>
  </si>
  <si>
    <t>NURUL AINA AHMAD RIDZUAN</t>
  </si>
  <si>
    <t xml:space="preserve">JKR 694 ( 4 ) BALAI POLIS MAMBANG DIAWAN 31950 KAMPAR PERAK </t>
  </si>
  <si>
    <t>NVMY34535000013903</t>
  </si>
  <si>
    <t>Norzaili Binti Asbar</t>
  </si>
  <si>
    <t>No.1, Jalan Kiara 3, Taman Kiara 1, Pekan Nanas, 81500 Pontian, Johor</t>
  </si>
  <si>
    <t>NVMY34535000013916</t>
  </si>
  <si>
    <t>EKIN JAMALUDDIN</t>
  </si>
  <si>
    <t xml:space="preserve">G-02 PUCHONG SQUARE JALAN LAYANG 2 , 5A, BANADAR PUCHONG JAYA 47170 PUCHONG SELANGOR </t>
  </si>
  <si>
    <t>D2-TPK-20-106</t>
  </si>
  <si>
    <t>NVMY34535000013926</t>
  </si>
  <si>
    <t>NORAIZAH ABDUL SAMAH</t>
  </si>
  <si>
    <t xml:space="preserve">32-04-07 FLAT SRI MELAKA CHERAS 56000 KUALA LUMPUR , KUALA LUMPUR </t>
  </si>
  <si>
    <t>NVMY34535000013936</t>
  </si>
  <si>
    <t>ABAB</t>
  </si>
  <si>
    <t>A1-10-02 NORDICA RESIDENCE GRAVITI 8, KOTA BAYU EMAS 41200 KLANG SELANGOR</t>
  </si>
  <si>
    <t>NVMY34535000013861</t>
  </si>
  <si>
    <t>SITI RAFIDAH SULAIMAN</t>
  </si>
  <si>
    <t>NO 88 JALAN MUTIARA EMAS 5/12 TAMAN MOUNT AUSTIN 81100 JOHOR BAHRU,JOHOR</t>
  </si>
  <si>
    <t>NVMY34535000013907</t>
  </si>
  <si>
    <t>NIK IKAN BAKAR NO 1 MEDAN SELERA MASJID KAYANGAN BRINCHANG 39100 CAMERON HIGHLANDS PAHANG, Pahang, Brinchang, 39100</t>
  </si>
  <si>
    <t>NVMY34535000013906</t>
  </si>
  <si>
    <t>NVMY34535000013932</t>
  </si>
  <si>
    <t>D1-PJY-22-102</t>
  </si>
  <si>
    <t>NVMY34535000013929</t>
  </si>
  <si>
    <t>Nur Asmiza bt Zakaria.</t>
  </si>
  <si>
    <t>Blok B-9-13 PPR Perkasa, No 1 Jalan Nakhoda Yusof, 55100 KL.</t>
  </si>
  <si>
    <t>NVMY34535000013930</t>
  </si>
  <si>
    <t>EN . ISMADI SHAH NIZAM</t>
  </si>
  <si>
    <t>NVMY34535000013918</t>
  </si>
  <si>
    <t>YU CHIN</t>
  </si>
  <si>
    <t>LOT 45 GROUNF FLOOR, KOMPLEKS TERUNTUM, 25000 KUANTAN PAHANG</t>
  </si>
  <si>
    <t>B1-KUA-19-28</t>
  </si>
  <si>
    <t>NVMY34535000013896</t>
  </si>
  <si>
    <t>nnfaasha</t>
  </si>
  <si>
    <t>No.89 ,jalan rokam,kg pok ke gelang patah,81560 johor bahru,johor</t>
  </si>
  <si>
    <t>C1-GLG-9-64</t>
  </si>
  <si>
    <t>NVMY34535000013931</t>
  </si>
  <si>
    <t>ROHANI</t>
  </si>
  <si>
    <t>Pt 198 Taman Medan Permai Jaya  Pohon BULUH .17000 Pasir Mas . Kelantan</t>
  </si>
  <si>
    <t>NVMY34535000013899</t>
  </si>
  <si>
    <t>JEFF</t>
  </si>
  <si>
    <t>NO 7 JALAN KE 1/7 KOTA EMERALD 48000 RAWANG SELANGOR</t>
  </si>
  <si>
    <t>NVMY34535000013944</t>
  </si>
  <si>
    <t>MOHD AZHAN</t>
  </si>
  <si>
    <t>MTL ENGINEERING SDN BHD F2 LOT 24225 JLN KEMUNING BATU 7 SEKSYEN 32 SHAH ALAM 4 PETALING 40460 SELANGOR</t>
  </si>
  <si>
    <t>NVMY34535000013933</t>
  </si>
  <si>
    <t>RAHIMAH MAHMOOD</t>
  </si>
  <si>
    <t xml:space="preserve">88B KG MELAYU SEMPALIT 27600 RAUB PAHANG </t>
  </si>
  <si>
    <t>NVMY34535000013890</t>
  </si>
  <si>
    <t>NOORHAFIZAN</t>
  </si>
  <si>
    <t>LOT 1469-9 LORONG SEPAKAL 3, SIMPANG 3 GOMBAK 68100 BATU CAVES SELANGOR</t>
  </si>
  <si>
    <t>NVMY34535000013889</t>
  </si>
  <si>
    <t>NORSHAFIDAH BT MD JUSOH</t>
  </si>
  <si>
    <t>MAILBOX A-23-09 BLOK A, DUDUK SERUANG ECO SANTUARY 42500 TANJONG DUA BELAS, TELUK PANGLIMA GARANG, TANJONG DUA BELAS 42500 SELANGOR</t>
  </si>
  <si>
    <t>NVMY34535000013927</t>
  </si>
  <si>
    <t>NUR FAREHAH RAZMIN</t>
  </si>
  <si>
    <t xml:space="preserve">C3-02-3A ANDARI TOWN VILLA 1 , SELAYANG HEIGHT , BANDAR BARU SELAYANG , 68100 BATU CAVES , SELANGOR </t>
  </si>
  <si>
    <t>NVMY34535000013939</t>
  </si>
  <si>
    <t>NVMY34535000013948</t>
  </si>
  <si>
    <t>Nur Aznida Izzaty binti zawawi</t>
  </si>
  <si>
    <t>No 3, Jalan Permai, Taman Permai Indah,27200 Kuala Lipis,Pahang.</t>
  </si>
  <si>
    <t>NVMY34535000013922</t>
  </si>
  <si>
    <t>NURLIYANA BINTI IDRIS</t>
  </si>
  <si>
    <t>UNIT DIETETIK DAN SAJIAN HOSPITAL KOTA TINGGI 81900 KOTA TINGGI, JOHOR</t>
  </si>
  <si>
    <t>C1-TGI-9-62</t>
  </si>
  <si>
    <t>NVMY34535000013954</t>
  </si>
  <si>
    <t>LOT PT 29741 TAMAN BESTARI GONG BADAK 21300 KUALA TERENGGANU, TERENGGANU</t>
  </si>
  <si>
    <t>NVMY34535000013969</t>
  </si>
  <si>
    <t>NVMY34535000013950</t>
  </si>
  <si>
    <t>PENGURUS BANGUNAN</t>
  </si>
  <si>
    <t xml:space="preserve">BUILDING LINDUNGAN SDN BHD , BANGUNAN PERSEKUTUAN BESUT KAMPUNG RAJA , 22200 BESUT TERENGGANU </t>
  </si>
  <si>
    <t>NVMY34535000013955</t>
  </si>
  <si>
    <t>SITI NORITA YUSOFF</t>
  </si>
  <si>
    <t>WOUND CARE CLINIC, ARAS 6 WAD 6 C, HOSPITAL SULTAN ISMAIL PETRA 18000 KUALA KRAI, KELANTAN</t>
  </si>
  <si>
    <t>NVMY34535000013923</t>
  </si>
  <si>
    <t>SHELIAHI GHANI</t>
  </si>
  <si>
    <t>633 LORONG KTC 2/22, TAMAN KULIM TECHNO CITY 09000 KULIM, KEDAH</t>
  </si>
  <si>
    <t>NVMY34535000013934</t>
  </si>
  <si>
    <t>HASLINA BINTI HAMID</t>
  </si>
  <si>
    <t>NO 5 LORONG GUAR PERAHU 24 TAMAN GUAR PERAHU 14400 KUBANG SEMANG PULAU PINANG</t>
  </si>
  <si>
    <t>NVMY34535000013951</t>
  </si>
  <si>
    <t>SHAZWAN</t>
  </si>
  <si>
    <t xml:space="preserve">NO 28-1 JALAN KNMP 2 KOMPLEKS NIAGA MELAKA PERDANA 75450 AYER KEROH MELAKA </t>
  </si>
  <si>
    <t>NVMY34535000013937</t>
  </si>
  <si>
    <t>SITI NOR AISHAH</t>
  </si>
  <si>
    <t>NO. 19 LORONG SETIA SATU I, TAMAN SETIA, JALAN JOHAN SETIA, 41200 KLANG SELANGOR</t>
  </si>
  <si>
    <t>NVMY34535000013940</t>
  </si>
  <si>
    <t>HAZUIEN</t>
  </si>
  <si>
    <t>D-1-10 BLOK D PANGSAPURI SERI BAYU KUATERS TUDM BUTTERWORTH TELUK AIR TAWAR 13050 PENANG</t>
  </si>
  <si>
    <t>NVMY34535000013941</t>
  </si>
  <si>
    <t>NUR ERA LEILY</t>
  </si>
  <si>
    <t>20, JALAN LAHAT INDAH 13, TAMAN LAHAT INDAH 31500 IPOH, PERAK</t>
  </si>
  <si>
    <t>NVMY34535000013935</t>
  </si>
  <si>
    <t>ATTN MKTG-ART EXPERINCE 9</t>
  </si>
  <si>
    <t>JALAN TP 2, TAMAN PERINDUSTRIAN SIME UEP, 47620 SUBANG JAYA, SELANGOR DARUL EHSAN</t>
  </si>
  <si>
    <t>NVMY34535000013924</t>
  </si>
  <si>
    <t>DEBORAH</t>
  </si>
  <si>
    <t>NO 19 PERSIARAN CEMPAKA SARI 6 TAMAN CEMPAKA 31400 IPOH, PERAK</t>
  </si>
  <si>
    <t>NVMY34535000013965</t>
  </si>
  <si>
    <t>IERAWATIEY</t>
  </si>
  <si>
    <t>B-3-30 Flat Permatang Pak Mahat Tg Lumpur 26060 Kuantan Pahang</t>
  </si>
  <si>
    <t>NVMY34535000013949</t>
  </si>
  <si>
    <t>AZIZAH BT ISMAIL</t>
  </si>
  <si>
    <t xml:space="preserve">1631-E JALAN PANJI ALAM 21100 KUALA TERENGGANU </t>
  </si>
  <si>
    <t>NVMY34535000013952</t>
  </si>
  <si>
    <t>RADDAR VENTURES SDN BHD ( 21 )</t>
  </si>
  <si>
    <t xml:space="preserve">NO 21 JALAN PERUSAHAAN AMAN , BUSINESS PARK , BATU CAVES SELANGOR </t>
  </si>
  <si>
    <t>NVMY34535000013938</t>
  </si>
  <si>
    <t>MISI NURUL NADIA BINTI MOHD ROSLAN</t>
  </si>
  <si>
    <t>RUMAH KLINIK DESA ANAK KURAU, BATU KURAU, LARUT, MATANG, SELAMA, 34500 BATU KURAU PERAK</t>
  </si>
  <si>
    <t>NVMY34535000013945</t>
  </si>
  <si>
    <t>ANNA EMAT</t>
  </si>
  <si>
    <t>3651 KAMPUNG TUAN SEH LUAR TANJUNG SEDILI 81900 KOTA TINGGI JOHOR BAHRU JOHOR</t>
  </si>
  <si>
    <t>NVMY34535000013925</t>
  </si>
  <si>
    <t>MERCYLLENDA ANAK PAUL</t>
  </si>
  <si>
    <t>BLK 30-1-7, 30 JALAN SAMAK 10150 GEORGETOWN, PENANG</t>
  </si>
  <si>
    <t>NVMY34535000013919</t>
  </si>
  <si>
    <t>No 08 jln permas 2/14, bandar baru permas jaya, 81750, masai, johor,</t>
  </si>
  <si>
    <t>NVMY34535000013893</t>
  </si>
  <si>
    <t>ZAFRAN</t>
  </si>
  <si>
    <t>LOT 6322 JALAN MAIGOLD GOLDEN ROYAL VILLA SENADIN MIRI SARAWAK 98000</t>
  </si>
  <si>
    <t>NVMY34535000013963</t>
  </si>
  <si>
    <t>Wan nurfarhana bt wan Mohd nasir</t>
  </si>
  <si>
    <t>No 9 Jalan ST 11 Taman Saujana Tehel  77200 Melaka</t>
  </si>
  <si>
    <t>NVMY34535000013972</t>
  </si>
  <si>
    <t>MOHD SAMSIBAHARIN BIN SUDIN</t>
  </si>
  <si>
    <t>LOT 457 KLEBANG BESAR OFF TAMAN M, 75200 BANDAR MELAKA, MELAKA</t>
  </si>
  <si>
    <t>NVMY34535000013983</t>
  </si>
  <si>
    <t>NVMY34535000013967</t>
  </si>
  <si>
    <t>KENAGA DEVI</t>
  </si>
  <si>
    <t>ECONMART MANTIN SDN BHD LOT172&amp;173 JALAN BESAR PEKAN MANTIN,71700 MANTIN NEGERI SEMBILAN.</t>
  </si>
  <si>
    <t>NVMY34535000013970</t>
  </si>
  <si>
    <t>NVMY34535000013999</t>
  </si>
  <si>
    <t>Jamilah Binti Mohd Azam</t>
  </si>
  <si>
    <t>Belakang Bangunan Permata Gual ipoh,Kampung Gual Ipoh,17500 TM</t>
  </si>
  <si>
    <t>NVMY34535000013980</t>
  </si>
  <si>
    <t>NORHAYATI BT CHE MOHAMAD</t>
  </si>
  <si>
    <t xml:space="preserve">NO 7 LORONG CHENGAL LEMPONG 6 TAMAN BALOK JAYA 2 , 21600 KUANTAN PAHANG </t>
  </si>
  <si>
    <t>NVMY34535000013961</t>
  </si>
  <si>
    <t>Noraziza bt Mohamad Jasmin</t>
  </si>
  <si>
    <t>Blok G-05-03 kem PGA Ulu kinta 31150 Ulu kinta Perak</t>
  </si>
  <si>
    <t>NVMY34535000013971</t>
  </si>
  <si>
    <t>NVMY34535000013994</t>
  </si>
  <si>
    <t>NOR SUHANA BINTI ABD HALIM</t>
  </si>
  <si>
    <t>BALAI POLIS SUNGAI KOYAN 27650 SG KOYAN KUALA LIPIS, PAHANG</t>
  </si>
  <si>
    <t>NVMY34535000013958</t>
  </si>
  <si>
    <t>Nurul adila najwa binti mahamad isahak.</t>
  </si>
  <si>
    <t>468, persiaran 15 bndar baru beris jaya 08200, sik kedah.</t>
  </si>
  <si>
    <t>NVMY34535000013976</t>
  </si>
  <si>
    <t>HAKIM RAZAK</t>
  </si>
  <si>
    <t xml:space="preserve">NO 31 , JALAN SS7/16 KELANA JAYA 47301 PETALING JAYA </t>
  </si>
  <si>
    <t>NVMY34535000013959</t>
  </si>
  <si>
    <t>Nik Azmani Bin Tuan Hussin</t>
  </si>
  <si>
    <t>Pustaka Raja Tun Uda Jalan Kelab Golf 13/6, Seksyen 13, 40100 Shah Alam Selangor</t>
  </si>
  <si>
    <t>NVMY34535000013953</t>
  </si>
  <si>
    <t>SALIMAH ABD RAZAK</t>
  </si>
  <si>
    <t>JKR F2-02 KUATERS KLINIK KESIHATAN BUKIT MINYAK 14000 BUKIT MERTAJAM, PULAU PINANG</t>
  </si>
  <si>
    <t>NVMY34535000013962</t>
  </si>
  <si>
    <t>ROSDALIANA BTE MOHAMMED ARIFFIN</t>
  </si>
  <si>
    <t xml:space="preserve">1-04-07 LTG KG MASJID , TAMAN TELUK , TELUK KUMBAR 11920 BAYAN LEPAS PENANG </t>
  </si>
  <si>
    <t>B2-BAY-15-45</t>
  </si>
  <si>
    <t>NVMY34535000013957</t>
  </si>
  <si>
    <t>MUHAMMAD BUKHORI BIN ROSLI.</t>
  </si>
  <si>
    <t>1030 LRG KENANGAN 4/18 TAMAN KENANGAN SG KARANGAN, 09410 PADANG SERAI, KEDAH.</t>
  </si>
  <si>
    <t>NVMY34535000013988</t>
  </si>
  <si>
    <t>MAIZUREEN</t>
  </si>
  <si>
    <t>LOT 111, JALAN KUALA SELANGOR BATU 16 1/2 SG PELONG 47000 SG BULOH, SELANGOR</t>
  </si>
  <si>
    <t>NVMY34535000013995</t>
  </si>
  <si>
    <t>MOHAMAD BIN SULAIMAN</t>
  </si>
  <si>
    <t>PEJABAT KESIHATAN DAERAH DERA NO 15 JALAN SENTRAL TRIANG 6 28200 BANDAR BERA PAHANG</t>
  </si>
  <si>
    <t>B1-TRI-19-31</t>
  </si>
  <si>
    <t>NVMY34535000013964</t>
  </si>
  <si>
    <t>Shah Aishah</t>
  </si>
  <si>
    <t>blok 1 t3 no.20 taman cendana 1,pasir gudang 81700 johor</t>
  </si>
  <si>
    <t>C1-MAS-7-70</t>
  </si>
  <si>
    <t>NVMY34535000013996</t>
  </si>
  <si>
    <t>NVMY34535000013966</t>
  </si>
  <si>
    <t>Mariam bte Zachariah</t>
  </si>
  <si>
    <t>5072 Jln sj 4/6 Taman Seremban Jaya 70450 Seremban Negeri Sembilan</t>
  </si>
  <si>
    <t>NVMY34535000013985</t>
  </si>
  <si>
    <t>ATTN JAMES LOW</t>
  </si>
  <si>
    <t>CENTRO DIY ENTERPRISE NO 8 JALAN TERATAI PJU 6 47400 PETALING JAYA SELANGOR</t>
  </si>
  <si>
    <t>NVMY34535000013992</t>
  </si>
  <si>
    <t>AHMAD FAHIM</t>
  </si>
  <si>
    <t xml:space="preserve">PEJABAT PENGURUSAN ASRAMA GERMAN , MALAYSIAN INTITUTE , BLOCK A4-9-6 , JALAN ILMIAH , TAMAN UNIVERSITI , 43000 KAJANG SELANGOR </t>
  </si>
  <si>
    <t>NVMY34535000013989</t>
  </si>
  <si>
    <t>MOHAMAD NAJIB OTHMAN</t>
  </si>
  <si>
    <t>KUATERS MRSM TUMPAT 16200 TUMPAT KELANTAN</t>
  </si>
  <si>
    <t>NVMY34535000013968</t>
  </si>
  <si>
    <t>KHADIJAH DENTAL LABORATORY</t>
  </si>
  <si>
    <t xml:space="preserve">32 JALAN PUJ 8/9 TAMAN PUNCAK JALIL 43300 SERI KEMBANGAN SELANGOR </t>
  </si>
  <si>
    <t>NVMY34535000013974</t>
  </si>
  <si>
    <t>NVMY34535000013960</t>
  </si>
  <si>
    <t>Mohd Sehfinazry bin Mat Seh</t>
  </si>
  <si>
    <t>Pangsapuri ATM Jalan AU2B Off Jalan Setiawangsa 54200 KL</t>
  </si>
  <si>
    <t>NVMY34535000013284</t>
  </si>
  <si>
    <t>PT 1128, Perumahan PKINK Pengkalan Chepa, Kota Bharu</t>
  </si>
  <si>
    <t>NVMY34535000013264</t>
  </si>
  <si>
    <t>AZLINA HASAN</t>
  </si>
  <si>
    <t>NO 881 JLN 2/7 TMN TUANKU JAAFAR 71450 SEREMBAN N.SEMBILAN</t>
  </si>
  <si>
    <t>NVMY34535000013275</t>
  </si>
  <si>
    <t>NVMY34535000013265</t>
  </si>
  <si>
    <t>PUTRI ANEESSA</t>
  </si>
  <si>
    <t xml:space="preserve">NO 307A , LORONG 1/1 TAMAN SERI PETALING 09000 KULIM KEDAH </t>
  </si>
  <si>
    <t>NVMY34535000013276</t>
  </si>
  <si>
    <t>ANIS QISTINA NATASYA BINTI MOHD SYAWAL</t>
  </si>
  <si>
    <t>Putrajaya</t>
  </si>
  <si>
    <t>MINI MART EXPRESS STESEN NO 27 ARAS 2 ANJUNG DENGKIL, PUSAT ASASI UITM DENGKIL 43800 DENGKIL SELANGOR</t>
  </si>
  <si>
    <t>D4-STG-8-130</t>
  </si>
  <si>
    <t>NVMY34535000013282</t>
  </si>
  <si>
    <t>MAIMUNAH MAAWAL</t>
  </si>
  <si>
    <t>SEKOLAH RENDAH FELDA BUKIT JALOR GEMENCHEH 73200 NEGERI SEMBILAN</t>
  </si>
  <si>
    <t>C4-GMS-28-92</t>
  </si>
  <si>
    <t>NVMY34535000013286</t>
  </si>
  <si>
    <t>SIR SHAFIQ</t>
  </si>
  <si>
    <t xml:space="preserve">SRW HOLDING SDN BHD SUITE 2,1 BANGUNAN THK , 2A , JALAN 51A/243 , SEKSYEN 51A , 46100 PETALING JAYA SELANGOR </t>
  </si>
  <si>
    <t>NVMY34535000013278</t>
  </si>
  <si>
    <t>NOR HASHIMAH RAHMAT</t>
  </si>
  <si>
    <t>27 JALAN PLUMBUM 7/103 SEKSYEN 7, 40000 SHAH ALAM, SELANGOR</t>
  </si>
  <si>
    <t>NVMY34535000013281</t>
  </si>
  <si>
    <t>NURUL SYAZWANI</t>
  </si>
  <si>
    <t xml:space="preserve">LOT 49 LORONG AMANAH IKHTIAR 7 KAMPUNG TUJOH NETING , 16200 TUMPAT , TUMPAT KELANTAN </t>
  </si>
  <si>
    <t>NVMY34535000013271</t>
  </si>
  <si>
    <t>mohd hafiz bin mat johar</t>
  </si>
  <si>
    <t>no17 lorong74, perkampungan sungai isap 1, 25150 kuantan,pahang</t>
  </si>
  <si>
    <t>NVMY34535000013190</t>
  </si>
  <si>
    <t>MUHD FAUZI BIN JAMARI (OLIN)</t>
  </si>
  <si>
    <t>CHEERMAN INDUSTRIES SDN BHD, NO.5 JALAN KESUMA 2/3, BANDAR TASIK KESUMA , 43700 BERANANG, SELANGOR</t>
  </si>
  <si>
    <t>NVMY34535000013288</t>
  </si>
  <si>
    <t>NOORZATUL AKMA</t>
  </si>
  <si>
    <t>NO 23 LORONG PERAMU MAJU 12, 26060 KUANTAN PAHANG</t>
  </si>
  <si>
    <t>NVMY34535000013272</t>
  </si>
  <si>
    <t>SITI AFIFAH BINTI AZMI</t>
  </si>
  <si>
    <t xml:space="preserve">BERDEKATAN 1280 KG PAYA TELUK KUMBAR BAYAN LEPAS 11920 PULAU PINANG </t>
  </si>
  <si>
    <t>NVMY34535000013292</t>
  </si>
  <si>
    <t>NUR SUEHAILA SAMSUDIN</t>
  </si>
  <si>
    <t xml:space="preserve">NO 1332 JALAN TKP 30 , TAMAN KANTAN PERMAI 43000 KAJANG , SELANGOR </t>
  </si>
  <si>
    <t>NVMY34535000013312</t>
  </si>
  <si>
    <t>PUTERA IMRAN</t>
  </si>
  <si>
    <t>50, JALAN KOMODITI DUA 23/9B SEKSYEN 23, 40300 SHAH ALAM SELANGOR</t>
  </si>
  <si>
    <t>NVMY34535000013309</t>
  </si>
  <si>
    <t>NVMY34535000013289</t>
  </si>
  <si>
    <t>NOR ANIZA ABDUL WAHID</t>
  </si>
  <si>
    <t>NO 2 LORONG KEMPADANG PERDANA 88 PERUMAHAN KEMPADANG PERDANA 26060 KUANTAN PAHANG</t>
  </si>
  <si>
    <t>NVMY34535000013291</t>
  </si>
  <si>
    <t>Mohd Saufi Amil</t>
  </si>
  <si>
    <t>E-9-1, Villa Duta Condo  Jalan Mulia 2/1, Bukit Antarabangsa  68000 Selangor</t>
  </si>
  <si>
    <t>NVMY34535000013294</t>
  </si>
  <si>
    <t>Rabileh bin Rami</t>
  </si>
  <si>
    <t>No.1, jalan haruan satu 17/35A, seksyen 17 Shah Alam, 40200 Shah Alam, selangor darul ehsan</t>
  </si>
  <si>
    <t>NVMY34535000013310</t>
  </si>
  <si>
    <t>NORMAIZURAINI BINTI MAHAMAD</t>
  </si>
  <si>
    <t>PT 11553 KG KELEWEK BKT PAYUNG 17500 TANAH MERAH, KELANTAN</t>
  </si>
  <si>
    <t>NVMY34535000013300</t>
  </si>
  <si>
    <t>HARTINI AMRI</t>
  </si>
  <si>
    <t>NO 36 JLN SJ 1 TAMAN SAUJANA JAYA BUKIT KATIL 75450 BUKIT KATIL, MELAKA</t>
  </si>
  <si>
    <t>NVMY34535000013301</t>
  </si>
  <si>
    <t>SITI MASLIZA BT ABD SAMAD</t>
  </si>
  <si>
    <t>LOT 1352 JALAN KENANGA SI JANGKANG TELOK PANGLIMA GARANG 42500 SELANGOR</t>
  </si>
  <si>
    <t>NVMY34535000013308</t>
  </si>
  <si>
    <t>PAHAMIN TWINS SDN BHD</t>
  </si>
  <si>
    <t>(0184031303) BUSTANU PAHAMIN LOT 2789-4 JALAN SERI PENCHALA 1 SUNGAI PENCHALA 60000 KUALA LUMPUR</t>
  </si>
  <si>
    <t>D1-DAM-26-97</t>
  </si>
  <si>
    <t>NVMY34535000013299</t>
  </si>
  <si>
    <t>DATIN HASYA</t>
  </si>
  <si>
    <t>NO 4 LORONG 12 TAMAN IMPIANKU JALAN SUNGAI LEMBING 25200 KUANTAN PAHANGnvmystamp004063372</t>
  </si>
  <si>
    <t>NVMY34535000013280</t>
  </si>
  <si>
    <t>NURUL AQILAH</t>
  </si>
  <si>
    <t xml:space="preserve">NO 12 JALAN MURNI 14 TAMAN NURNI 8300 BATU PAHAT JOHOR </t>
  </si>
  <si>
    <t>C2-BPT-5-80</t>
  </si>
  <si>
    <t>NVMY34535000013304</t>
  </si>
  <si>
    <t>HISHAM</t>
  </si>
  <si>
    <t xml:space="preserve">NO 11 JALAN SB 5 , TAMAN SALAK BUDI , 43900 SEPANG SELANGOR </t>
  </si>
  <si>
    <t>NVMY34535000013279</t>
  </si>
  <si>
    <t>LISDAWATI ABDULLAH</t>
  </si>
  <si>
    <t xml:space="preserve">NO 12 TAMAN SRI FAJAR JALAN LENCONG BARAT 05400 ALOR SETAR KEDAH </t>
  </si>
  <si>
    <t>NVMY34535000013311</t>
  </si>
  <si>
    <t>Muhammad Syafiq Bin Kamaruzaman</t>
  </si>
  <si>
    <t>NOM, 56 ,JALAN 16 TAMAN DATO HARUN 46000, PETALING JAYA, SELANGOR</t>
  </si>
  <si>
    <t>NVMY34535000013263</t>
  </si>
  <si>
    <t>NORAZIMA SAIDINA</t>
  </si>
  <si>
    <t>12/56 , KAMPUNG HULU KABONG , SARATOK , 94650 SARAWAK</t>
  </si>
  <si>
    <t>E3-TOK-1-175</t>
  </si>
  <si>
    <t>NVMY34535000013302</t>
  </si>
  <si>
    <t>ABDULLAH BIN YAACOB</t>
  </si>
  <si>
    <t>NO 05 BLOK 04 FELDA CIKU 06,18300 GUA MUSANG KELANTAN</t>
  </si>
  <si>
    <t>NVMY34535000013303</t>
  </si>
  <si>
    <t>ROHANA YAACOB</t>
  </si>
  <si>
    <t>NO 340, BLOK 20, JENGKA 20, 26400 BANDAR JENGKA PAHANG</t>
  </si>
  <si>
    <t>NVMY34535000013209</t>
  </si>
  <si>
    <t>MOHD RIDZWAN</t>
  </si>
  <si>
    <t xml:space="preserve">LOT C479 BLOK 58 LORONG 7 BATU 7 TAMAN AIRPORT JALAN AIRPORT 90000 SANDAKAN SABAH </t>
  </si>
  <si>
    <t>NVMY34535000013293</t>
  </si>
  <si>
    <t>HIDAYAH HAMID</t>
  </si>
  <si>
    <t>Labuan</t>
  </si>
  <si>
    <t>(0162559044)- U.N.I KLINIK , LOT 39, GROUND FLOOR, BRUMBY CENTRE JALAN MUHIBBAH, 7000 WP LABUAN WP LABUAN 87000 WP , LABUAN</t>
  </si>
  <si>
    <t>NVMY34535000013306</t>
  </si>
  <si>
    <t>AZIZI OSMAN</t>
  </si>
  <si>
    <t>NO 42 JLN SRI PAGI 2, TAMAN SRI PAGI 70450 SENAWANG SEREMBAN NEGERI SEMBILAN</t>
  </si>
  <si>
    <t>NVMY34535000013297</t>
  </si>
  <si>
    <t>NUR FATIN</t>
  </si>
  <si>
    <t xml:space="preserve">NO 17 JALAN DUA TAMAN SIMPANG INDAH 02700 SIMPANG AMPAT PERLIS </t>
  </si>
  <si>
    <t>A3-KGR-21-23</t>
  </si>
  <si>
    <t>NVMY34535000013295</t>
  </si>
  <si>
    <t>SITI NOR FAZRIN BT IRWAN SUPANDI</t>
  </si>
  <si>
    <t xml:space="preserve">H04-11 RUMAH PANGSA SERI BAIDURI 1/32 , JALAN TIRAM , BANADAR TIRAM 81800 ULU TIRAM JOHOR </t>
  </si>
  <si>
    <t>NVMY34535000013307</t>
  </si>
  <si>
    <t>NOR AMRIZAL BIN MOHD NOOR</t>
  </si>
  <si>
    <t>135 JALAN 2/2 TAMAN AKASIA 2, 06010 CHANGLOON, KEDAH</t>
  </si>
  <si>
    <t>NVMY34535000013317</t>
  </si>
  <si>
    <t>NORHASNIZA BT AIRUDDIN</t>
  </si>
  <si>
    <t xml:space="preserve">BLOCK B-15-3 FLAT DANAU , KOTA JALAN 2/23D , TAMAN DANAU KOTA OFF JALAN GENTING KLANG 53300 SETAPAK KUALA LUMPUR </t>
  </si>
  <si>
    <t>D2-DNK-16-116</t>
  </si>
  <si>
    <t>NVMY34535000013313</t>
  </si>
  <si>
    <t>TARMIZI BIN CHE MAT</t>
  </si>
  <si>
    <t>APARTMENT PERMATA BLOK B-G-05, JALAN PERDA UTAMA, BANDAR PERDA MUKIM 6 14000 BUKIT MERTAJAM PULAU PINANG</t>
  </si>
  <si>
    <t>B2-BWH-15-41</t>
  </si>
  <si>
    <t>NVMY34535000013290</t>
  </si>
  <si>
    <t>MAWAR NADZIRAH BINTI MOKHTAR</t>
  </si>
  <si>
    <t>NO 14 JALAN PI 6/8 TAMAN PULAI INDAH 81110 KANGKAR, PULAI JOHOR</t>
  </si>
  <si>
    <t>NVMY34535000013322</t>
  </si>
  <si>
    <t>QADRINA FELLYSHA</t>
  </si>
  <si>
    <t>NO 6 JALAN PS 2/2 TAMAN PINGGIRAN SENAWANG 70450 SEREMBAN NEGERI SEMBILAN,</t>
  </si>
  <si>
    <t>NVMY34535000013319</t>
  </si>
  <si>
    <t>Liena saufi</t>
  </si>
  <si>
    <t>NO. 13A , JALAN AWF 1 AMPANG WATERFRONT 68000 AMPANG SELANGOR ( SC MOTORCYCLES SDN BHD )</t>
  </si>
  <si>
    <t>D1-AMP-26-96</t>
  </si>
  <si>
    <t>NVMY34535000013316</t>
  </si>
  <si>
    <t>JONAIDI BIN JAMALUDIN</t>
  </si>
  <si>
    <t xml:space="preserve">NO 2191 MN , JALAN MAKMUR , KAMPUNG TERAS JERNANG , 43000 KAJANG SELANGOR </t>
  </si>
  <si>
    <t>NVMY34535000013315</t>
  </si>
  <si>
    <t>G. TINAGESWARY</t>
  </si>
  <si>
    <t>B-1-41 PRIMABAYU APRTMENT, JALAN BATU UNJUR 9, BAYU PERDANA 41200 KLANG SELANGOR</t>
  </si>
  <si>
    <t>NVMY34535000013318</t>
  </si>
  <si>
    <t>NURLIYANA FAUZI</t>
  </si>
  <si>
    <t xml:space="preserve">NO 2 TAMAN HALA CARA BARU , LONDAH 73400 GEMAS NEGERI SEMBILAN </t>
  </si>
  <si>
    <t>NVMY34535000013320</t>
  </si>
  <si>
    <t>NORASHIKIN ISMAIL</t>
  </si>
  <si>
    <t xml:space="preserve">203 JALAN TUN RAZAK , KUALA LUMPUR , 50400 KUALA LUMPUR WILAYAH PERSEKUTUAN KUALA LUMPUR </t>
  </si>
  <si>
    <t>NVMY34535000013324</t>
  </si>
  <si>
    <t>Nik Roslina</t>
  </si>
  <si>
    <t>No 39 Jalan BB 2/6 Taman Banting Baru  42700 Banting  Selangor</t>
  </si>
  <si>
    <t>NVMY34535000013321</t>
  </si>
  <si>
    <t>NVMY34535000013342</t>
  </si>
  <si>
    <t>NIK MUHAMMAD HAFIZ BIN NIK HADZISHAH</t>
  </si>
  <si>
    <t>LOT 4452 JALAN PECAH ROTAN KG DARAT BATU RAKIT 21020 KUALA TERENGGANU, TERENGGANU</t>
  </si>
  <si>
    <t>NVMY34535000013296</t>
  </si>
  <si>
    <t>NUR FAEZAH BT ZAKARIA</t>
  </si>
  <si>
    <t xml:space="preserve">NO 190 JALAN BAKRI MULIA 6 TAMAN BAKRI MULIA 84200 MUAR </t>
  </si>
  <si>
    <t>NVMY34535000013328</t>
  </si>
  <si>
    <t>JUMISAH ABDUL KARIM</t>
  </si>
  <si>
    <t xml:space="preserve">NO 28 , BR 1 , TAMAN BELENGU RESIDENCE , 28000 TEMERLOH PAHANG </t>
  </si>
  <si>
    <t>B1-TMH-19-32</t>
  </si>
  <si>
    <t>NVMY34535000013339</t>
  </si>
  <si>
    <t>NOR FADHILAH BINTI RAMLI</t>
  </si>
  <si>
    <t>NO 51, JALAN SUNGAI AGAS 6C/KU3, JALAN KAPAR, SUNGAI PINANG 42100 KLANG SELANGOR</t>
  </si>
  <si>
    <t>NVMY34535000013343</t>
  </si>
  <si>
    <t>SH NORAINI SYED ABDULLAH</t>
  </si>
  <si>
    <t>LOT 2329 KG TASEK WAKAF DUA 21600 MARANG, TERENGGANU</t>
  </si>
  <si>
    <t>NVMY34535000013333</t>
  </si>
  <si>
    <t>SHAHIDA NOR BINTI MD YUSOF</t>
  </si>
  <si>
    <t>P1/1146 KAMPUNG TANJUNG GEMOK, 26820 KUALA ROMPIN PAHANG</t>
  </si>
  <si>
    <t>NVMY34535000013334</t>
  </si>
  <si>
    <t>SITI NURASHIKIN BT ROSLIM</t>
  </si>
  <si>
    <t>6 1-2 BATU 4 1/2 JALAN PULAU GADONG KLEBANG BESAR 75200 MELAKA</t>
  </si>
  <si>
    <t>NVMY34535000013340</t>
  </si>
  <si>
    <t>NVMY34535000013331</t>
  </si>
  <si>
    <t>NORHIDAYAH BINTI MIDIN</t>
  </si>
  <si>
    <t>SEK KEB KOK KELI 16250 WAKAF BHARU, TUMPAT KELANTAN</t>
  </si>
  <si>
    <t>NVMY34535000013323</t>
  </si>
  <si>
    <t>HUSNA ISMAIL</t>
  </si>
  <si>
    <t>52 TAMAN KEDA KAMPUNG BERJAYA JENIANG 08700 GURUN KEDAH</t>
  </si>
  <si>
    <t>NVMY34535000013325</t>
  </si>
  <si>
    <t>NURUL ANIS ABDUL RAHMAN</t>
  </si>
  <si>
    <t>JD 326, JALAN BBP 2 PRESINT 4, BANDAR BOTANI PARKLAND 77200 BEMBAN MELAKA</t>
  </si>
  <si>
    <t>NVMY34535000013335</t>
  </si>
  <si>
    <t>NOORSAKINAH BT SAMSUDIN</t>
  </si>
  <si>
    <t xml:space="preserve">NO 10-02 PERUMAHAN BALAI POLIS JAYA GANDING 25150 KUANTAN PAHANG </t>
  </si>
  <si>
    <t>NVMY34535000013337</t>
  </si>
  <si>
    <t>SUKI</t>
  </si>
  <si>
    <t>NO 13, JALAN DESA PUTEH 4 TAMAN DESA PUTEH 83700 YONG PENG, JOHOR</t>
  </si>
  <si>
    <t>NVMY34535000013277</t>
  </si>
  <si>
    <t xml:space="preserve">NO 08 JALAN PERMAS 2/14 BANDAR BARU PERMAS JAYA , 81750 MASAI JOHOR BAHRU </t>
  </si>
  <si>
    <t>NVMY34535000013285</t>
  </si>
  <si>
    <t>NIK MOHD QAYYUM</t>
  </si>
  <si>
    <t>2 KOMPENI ANGKUT KOR PERKHIDMATAN DIRAJA JALAN HOSPITAL 30450 IPOH PERAK</t>
  </si>
  <si>
    <t>NVMY34535000013298</t>
  </si>
  <si>
    <t>NORAZLINDA SHAMSUDIN</t>
  </si>
  <si>
    <t xml:space="preserve">E-T.09-U.06 , BLOK E , SUB PRESINT 14-7 PRESINT 14 , 62050 PUTRAJAYA W.P . PUTRAJAYA </t>
  </si>
  <si>
    <t>NVMY34535000013355</t>
  </si>
  <si>
    <t>LYNN</t>
  </si>
  <si>
    <t>NO 40, LORONG GD25 TAMAN GAMBANG DAMAI JALAN KUANTAN-MARAN GAMBANG 26300 KUANTAN PAHANG</t>
  </si>
  <si>
    <t>B1-GBG-17-38</t>
  </si>
  <si>
    <t>NVMY34535000013369</t>
  </si>
  <si>
    <t>KAMAL BIN BAHARIN</t>
  </si>
  <si>
    <t>NO 6, LORONG SG KARANG DARAT 32 TG PISANG KG SG KARANG DARAT 26100 KUANTAN, PAHANG</t>
  </si>
  <si>
    <t>NVMY34535000013330</t>
  </si>
  <si>
    <t>MYBALLERINE</t>
  </si>
  <si>
    <t xml:space="preserve">20 JALAN PERMATA 8A/KS09 TAMAN PERINDUSTRIAN AIR HITAM , KM 11 JALAN KLANG BANTING 41200 KLANG SELANGOR </t>
  </si>
  <si>
    <t>NVMY34535000013327</t>
  </si>
  <si>
    <t>NORHAFIZAH BINTI KHAMIS</t>
  </si>
  <si>
    <t>NO24C,KAMPUNG OLAK BATU,MK7,PARIT RAJA,BATU PAHAT,86400,JOHOR</t>
  </si>
  <si>
    <t>NVMY34535000013356</t>
  </si>
  <si>
    <t>LOUAI KHARSH</t>
  </si>
  <si>
    <t>8893 LORONG GELIGA INTAN KAMPUNG GELIGA BESAR 24000 CUKAI, TERENGGANU</t>
  </si>
  <si>
    <t>NVMY34535000013305</t>
  </si>
  <si>
    <t>RIDZUAN</t>
  </si>
  <si>
    <t>NO 367 BLOK 16 FELDA GUGUSAN RAJA ALIAS 4, 72120 BANDAR SERI JEMPOL NEGERI SEMBILAN</t>
  </si>
  <si>
    <t>NVMY34535000013352</t>
  </si>
  <si>
    <t>ABU SHARI BIN YASIN</t>
  </si>
  <si>
    <t xml:space="preserve">NO 163 TAMAN BAHAGIA DELIMA , 72000 KUALA PILAH NEGERI SEMBILAN </t>
  </si>
  <si>
    <t>NVMY34535000013367</t>
  </si>
  <si>
    <t>NVMY34535000013332</t>
  </si>
  <si>
    <t>ZAZARENA MOHAMAD</t>
  </si>
  <si>
    <t>19-10 DTROPIK BUSINESS PARK JLN KEMPAS 1B BANDAR BARU KOTA PUTERI 81750 MASAI, JOHOR</t>
  </si>
  <si>
    <t>NVMY34535000013346</t>
  </si>
  <si>
    <t>HAZIELA HAMZAH</t>
  </si>
  <si>
    <t>NO 153, JALAN GATE KUARTERS JBA/HL 43000 KAJANG SELANGOR</t>
  </si>
  <si>
    <t>D2-KAJ-16-117</t>
  </si>
  <si>
    <t>NVMY34535000013329</t>
  </si>
  <si>
    <t>NVMY34535000013344</t>
  </si>
  <si>
    <t>NUR ADLINA ILYANI ABU BAKAR</t>
  </si>
  <si>
    <t xml:space="preserve">118 RUMAH AWAM KOS RENDAH KG GONG PASIR 23000 DUNGUN , TERENGGANU </t>
  </si>
  <si>
    <t>NVMY34535000013351</t>
  </si>
  <si>
    <t>MOHAMMAD LATIF KHAIRAN</t>
  </si>
  <si>
    <t>NO 10, JALAN SUNGAI LONG 32/175, OFF JALAN KLINIK BUKIT NAGA SEKSYEN 32, 40460 SHAH ALAM, SELANGOR</t>
  </si>
  <si>
    <t>NVMY34535000013338</t>
  </si>
  <si>
    <t>Kamisah Binti Muhammad</t>
  </si>
  <si>
    <t>No.G-03 Block C, Perumahan Molek Ria, Jalan Persiaran Bumi Hijau, Taman Molek 81100 Johor Bahru</t>
  </si>
  <si>
    <t>NVMY34535000013354</t>
  </si>
  <si>
    <t>AKHIRUDIN AHMAD TAIB</t>
  </si>
  <si>
    <t>44 LORONG IM 2/80 BANDAR INDERA MAHKOTA 2, 25200 KUANTAN PAHANG</t>
  </si>
  <si>
    <t>NVMY34535000013365</t>
  </si>
  <si>
    <t>RAYCHA CLOSET HQ</t>
  </si>
  <si>
    <t>NO 8, JALAN PERINDUSTRIAN SUNTRACK HUB, PERINDUSTRIAN SUNTRACK OFF JALAN P1A, SEKSYEN 13, BANDAR BARU BANGI 43000 KAJANG SELANGOR</t>
  </si>
  <si>
    <t>NVMY34535000013366</t>
  </si>
  <si>
    <t>ZARA DYNI.CO</t>
  </si>
  <si>
    <t>HOTEL ROYALE CHULAN KL RETAIL LOT 2&amp;3 LEVEL 1 NO 5 JALAN CONLAY 50450 KL</t>
  </si>
  <si>
    <t>NVMY34535000013360</t>
  </si>
  <si>
    <t>ATTN JACKSON</t>
  </si>
  <si>
    <t>BILION SHOPPING CENTRE ( SEMENYIH ) SDN BHD PT NO 16366 BANDAR TEKNOLOGI KAJANG JALAN SEMENYIH , 43.500 SEMNYIH SELANGOR</t>
  </si>
  <si>
    <t>NVMY34535000013283</t>
  </si>
  <si>
    <t>REJOL LAMUDIN</t>
  </si>
  <si>
    <t>WINAWANG SDN BHD LOT 5-2 2ND FLOOR LINTAS PLAZA 88300 KOTA KINABALU SABAH</t>
  </si>
  <si>
    <t>NVMY34535000013363</t>
  </si>
  <si>
    <t>ATTN JEFF</t>
  </si>
  <si>
    <t xml:space="preserve">KENZENE TRADING ( M ) SDN BHD , LOT 36 , JALAN 6/2 KAWASAN PERUSAHAAN SERI KEMBANGAN , 43300 SELANGOR </t>
  </si>
  <si>
    <t>NVMY34535000013370</t>
  </si>
  <si>
    <t>Dikie Bundle</t>
  </si>
  <si>
    <t>No 23 jalan desa kundang 2 taman desa kundang 48050 rawang selangor</t>
  </si>
  <si>
    <t>NVMY34535000013347</t>
  </si>
  <si>
    <t>Hasmawati Hasan</t>
  </si>
  <si>
    <t>No 27 Jln TM 9 Tmn Temerloh Makmur 28000 Temerloh PAHANG</t>
  </si>
  <si>
    <t>NVMY34535000013362</t>
  </si>
  <si>
    <t>MR , NG</t>
  </si>
  <si>
    <t>WHISK INGREDIENTS SDN BHD , NO 5 PUSAT PERDAGANGAN SURI PUTERI , PERSIARAN JUBLI PERAK SEKSYEN 20 , 40300 SHAH ALAM SELANGOR</t>
  </si>
  <si>
    <t>NVMY34535000013336</t>
  </si>
  <si>
    <t>NUR SYAFIRAH</t>
  </si>
  <si>
    <t xml:space="preserve">WISMA YEW CYHE SENG , JALAN MAK MANDIN , KAWASAN PERINDUSTRIAN MAK MANDIN , 13400 BUTTERWORTH PULAU PINANG </t>
  </si>
  <si>
    <t>NVMY34535000013314</t>
  </si>
  <si>
    <t>JENNY LAPON</t>
  </si>
  <si>
    <t>SMK KENINGAU PETI SURAT 272 89008 KENINGAU SABAH</t>
  </si>
  <si>
    <t>NVMY34535000013357</t>
  </si>
  <si>
    <t>MOHD FITRI</t>
  </si>
  <si>
    <t xml:space="preserve">NO 27 JALAN MUTAIRA 2 TAMAN MUTIARA RANTAU , 71200 SEREMBAN NEGERI SEMBILAN </t>
  </si>
  <si>
    <t>NVMY34535000013361</t>
  </si>
  <si>
    <t>ATTN MR LIM</t>
  </si>
  <si>
    <t xml:space="preserve">KUMPULAN PASARAYA PANTAIO TIMOR SDN BHD PT 27607 JALAN PUTRA RAUB , PUSAT PERNIAGAAN PUTRA RAUB , 27600 RAUB , PAHANG DARUL MAKMUR </t>
  </si>
  <si>
    <t>NVMY34535000013383</t>
  </si>
  <si>
    <t>NUR AIN BALQIS</t>
  </si>
  <si>
    <t>PT 12734, KAMPUNG BUKIT WAN, 21060 KUALA NERUS, TERENGGANU</t>
  </si>
  <si>
    <t>NVMY34535000013394</t>
  </si>
  <si>
    <t>NVMY34535000013390</t>
  </si>
  <si>
    <t>NVMY34535000013368</t>
  </si>
  <si>
    <t>ROHAIDA ABDUL MANAF</t>
  </si>
  <si>
    <t>207 FADA 2D 32040 SERI MANJUNG, PERAK</t>
  </si>
  <si>
    <t>B3-STW-11-60</t>
  </si>
  <si>
    <t>NVMY34535000013376</t>
  </si>
  <si>
    <t>WAN NUR ATIKAH BINTI WAN FAUZI</t>
  </si>
  <si>
    <t xml:space="preserve">A-2-5 PANGSAPURI SRI MUTIARA JALAN PUTRA INDEAH 9/1C , PUTRA HEIGHT 47650 SUBANG JAYA SELANGOR , PETALING JAYA </t>
  </si>
  <si>
    <t>NVMY34535000013358</t>
  </si>
  <si>
    <t>MOHD FAIDZ BIN LEMAN</t>
  </si>
  <si>
    <t xml:space="preserve">MAJLIS PERBANDARAN ALOR GAJAH LEBUH AMJ 78000 ALOR GAJAH MELAKA </t>
  </si>
  <si>
    <t>NVMY34535000013396</t>
  </si>
  <si>
    <t>MUHAMMAD NAZREEN BIN ZULKIPLI</t>
  </si>
  <si>
    <t>159, JALAN SEK KEB CHENDERING, 20180 KUALA TERENGGANU, TERENGGANU</t>
  </si>
  <si>
    <t>A2-MRG-25-12</t>
  </si>
  <si>
    <t>NVMY34535000013373</t>
  </si>
  <si>
    <t>NIK HASMAH BINTI MOHAMAD NOR</t>
  </si>
  <si>
    <t>BATU 8 KAMPUNG BELUKAR LIMBAT JLN PASIR PUTEH 16150 KOTA BHARU KELANTAN</t>
  </si>
  <si>
    <t>NVMY34535000013348</t>
  </si>
  <si>
    <t>NUR ATIKAH</t>
  </si>
  <si>
    <t>NO 413 KAMPUNG PAYA SERDANG PADANG LEMBU 08330 GURUN KEDAH</t>
  </si>
  <si>
    <t>A3-GRN-23-21</t>
  </si>
  <si>
    <t>NVMY34535000013345</t>
  </si>
  <si>
    <t>NUR ATHIRAH</t>
  </si>
  <si>
    <t>135, KM3, KG KERIANG PULAU, LEBUHRAYA SULTAN ABDUL HALIM 05400 ALOR SETAR KEDAH</t>
  </si>
  <si>
    <t>NVMY34535000013364</t>
  </si>
  <si>
    <t>SIN CHIAN HING</t>
  </si>
  <si>
    <t xml:space="preserve">SIN CHIAN HING  FOOD INDUSTRIES SDN BHD , NO 8,12.14 LORONG MAK MANDIN 1 , MAK MANDIN INDUSTRIAL ESTATE 13400 BUTTERWORTH </t>
  </si>
  <si>
    <t>NVMY34535000013392</t>
  </si>
  <si>
    <t>SITI MASTURA BINTI YAKOF</t>
  </si>
  <si>
    <t xml:space="preserve">ARAS 1 NO 6 JALAN BP4 BANDAR BUKIT PUCHONG , PUCHONG SELANGOR , 47120 PUCHONG SELANGOR </t>
  </si>
  <si>
    <t>NVMY34535000013385</t>
  </si>
  <si>
    <t>RAJA FADZLI AZRI SHAH</t>
  </si>
  <si>
    <t>2-G-03, PANGSAPURI FLORA 3 JALAN ASTEROID U5/30 SEK U5 PETALING JAYA, 40150 SELANGOR</t>
  </si>
  <si>
    <t>NVMY34535000013375</t>
  </si>
  <si>
    <t>siti aishah</t>
  </si>
  <si>
    <t>no4, lorong 4 Taman batu 30, Fasa ll, 44300, ulu yam Selangor.</t>
  </si>
  <si>
    <t>D3-KKB-12-124</t>
  </si>
  <si>
    <t>NVMY34535000013384</t>
  </si>
  <si>
    <t>AKID ABDUL AZIZ</t>
  </si>
  <si>
    <t>UNIVERSITI KUALA LUMPUR KOLEJ KEDIAMAN SISWA, JALAN TANDOK OFF BANGSAR 59100 KUALA LUMPUR</t>
  </si>
  <si>
    <t>NVMY34535000013353</t>
  </si>
  <si>
    <t>JAMALIAH BINTI AHMAD TAIB</t>
  </si>
  <si>
    <t>46 A KAMPUNG ANAK KURAU 34500 BATU KURAU TAIPING, PERAK</t>
  </si>
  <si>
    <t>NVMY34535000013395</t>
  </si>
  <si>
    <t>ZUHAIRI BIN ZAINUL ABIDIN</t>
  </si>
  <si>
    <t>LOT 1094, KG KUALA  MERABANG, 16600 PULAI CHONDONG, KELANTAN</t>
  </si>
  <si>
    <t>NVMY34535000013387</t>
  </si>
  <si>
    <t>Nur Atika Bt Mohd Noor</t>
  </si>
  <si>
    <t xml:space="preserve">No 8 lorong seri damai perdana 33 batu 6 jalan gambang 25150 kuantan pahang </t>
  </si>
  <si>
    <t>NVMY34535000013389</t>
  </si>
  <si>
    <t>ATTN NASH</t>
  </si>
  <si>
    <t>EDDIE LUBRICANTS S/B LOT PT 29680 JLN GONG BADAK 21300 KUALA TERENGGANU KAWASAN PERINDUSTRIAN GONG BADAK TERENGGANU</t>
  </si>
  <si>
    <t>NVMY34535000013350</t>
  </si>
  <si>
    <t>IKIN</t>
  </si>
  <si>
    <t>NO 22 JALAN SUBANG 5 TAMAN KOBENA 81200 JOHOR BHARU JOHOR</t>
  </si>
  <si>
    <t>NVMY34535000013326</t>
  </si>
  <si>
    <t>NESTEER ALEVIS</t>
  </si>
  <si>
    <t>LOT 20 , NO 1-1 , LORONG 8E TAMAN SIBU JAYA 96000 SIBU SARAWAK</t>
  </si>
  <si>
    <t>E3-SBW-1-169</t>
  </si>
  <si>
    <t>NVMY34535000013349</t>
  </si>
  <si>
    <t>MR WOON</t>
  </si>
  <si>
    <t>9, JALAN TAMAN TAMPOI INDUSTRIAL ESTATES 80350 JOHOR BAHRU JOHOR</t>
  </si>
  <si>
    <t>NVMY34535000013388</t>
  </si>
  <si>
    <t>shaa</t>
  </si>
  <si>
    <t>Novum bangsar south  B-26-6 jalan kerinchi kiri 2  Jalan bangsar south  59200 kl</t>
  </si>
  <si>
    <t>NVMY34535000013341</t>
  </si>
  <si>
    <t>NUR AMIRA</t>
  </si>
  <si>
    <t>BLOCK C-9-3 PANGSAPURI ATM JALAN AU2B OFF TAMAN SETIAWANGSA , SETIAWANGSA KUALA LUMPUR , 54200</t>
  </si>
  <si>
    <t>NVMY34535000013420</t>
  </si>
  <si>
    <t>ADIDAS ONLINE STORE</t>
  </si>
  <si>
    <t>LF LOGISTICS SERVICES (M) SDN BHD LOT 6 PERSIARAN BUDIMAN 40300 SHAH ALAM, SELANGOR</t>
  </si>
  <si>
    <t>NVMY34535000013287</t>
  </si>
  <si>
    <t>ZULKIFLI BIN TALIP</t>
  </si>
  <si>
    <t>NO 1912 KAMPUNG GERSIK, 87000 WILAYAH PERSEKUTUAN LABUAN, SABAH</t>
  </si>
  <si>
    <t>E2A-LBN-1-167</t>
  </si>
  <si>
    <t>NVMY34535000013415</t>
  </si>
  <si>
    <t>NORIAH BINTI SALLEH</t>
  </si>
  <si>
    <t xml:space="preserve">LOT 336 BANDAR BARU 18300 GUA MUSANG KELANTAN </t>
  </si>
  <si>
    <t>NVMY34535000013359</t>
  </si>
  <si>
    <t>MOHAMAD NADZERI BIN ABD LATIP</t>
  </si>
  <si>
    <t xml:space="preserve">BLOK F-T02-U08 APARTMENT FASA 18R12 , JALAN TEJA P18B , PRESINT 18 62150 PUTRAJAYA W.P PUTRAJAYA </t>
  </si>
  <si>
    <t>NVMY34535000013382</t>
  </si>
  <si>
    <t>CAWANGAN GERAKAN BATALION 16 PASUKAN GERAKAN AM KINARUT, PAPAR 89600 SABAH</t>
  </si>
  <si>
    <t>NVMY34535000013381</t>
  </si>
  <si>
    <t>SITI ROHANI BT MUSTAPA</t>
  </si>
  <si>
    <t>NO 966 JALAN KELISA RIA 3/8 TAMAN KELISA RIA 08000 SUNGAI PETANI, KEDAH</t>
  </si>
  <si>
    <t>NVMY34535000013406</t>
  </si>
  <si>
    <t>DHIA ADLINA</t>
  </si>
  <si>
    <t>PT10780, TAMAN DESA CHUKAI 24000 CUKAI, TERENGGANU MALAYSIA</t>
  </si>
  <si>
    <t>NVMY34535000013393</t>
  </si>
  <si>
    <t>MOHAYAH BINTI KHAMIS</t>
  </si>
  <si>
    <t>262 PT MOIN 2 , MK 2 BAGAN , 83000 BATU PAHAT JOHOR</t>
  </si>
  <si>
    <t>YPG-YPG</t>
  </si>
  <si>
    <t>NVMY34535000013418</t>
  </si>
  <si>
    <t>KAHIRIL ASWAN</t>
  </si>
  <si>
    <t xml:space="preserve">THE STORE ( MALAYSIA ) SDN BHD BRANCHTEMERLOH ( TERMINAL UTAMA ) NO 2 JALAN SEDIRMAN , 28000 TEMERLOH PAHANG DARUL MAKMUR </t>
  </si>
  <si>
    <t>NVMY34535000013410</t>
  </si>
  <si>
    <t>SITI AMILIA BT ABDUL MANAF</t>
  </si>
  <si>
    <t xml:space="preserve">NO A-1-05 SURIA APARTMENT JALAN SURIA TROPIKA 3 , TAMAN SURIA TROPIKA 43300 SERI KEMBANGAN SELANGOR </t>
  </si>
  <si>
    <t>NVMY34535000013408</t>
  </si>
  <si>
    <t>yatie awang</t>
  </si>
  <si>
    <t>6912 taman fikri 2, fasa 4 24000 kemaman, terenggnu</t>
  </si>
  <si>
    <t>NVMY34535000013391</t>
  </si>
  <si>
    <t>DAVID</t>
  </si>
  <si>
    <t>DSL SETIA SDN BHD (837876-A) NO43 JALAN 5/39 KINRARA INDUSTRIAL PARK 47190 PUCHONG, SELANGOR</t>
  </si>
  <si>
    <t>NVMY34535000013378</t>
  </si>
  <si>
    <t>NUR ARIFAH MASYITAH</t>
  </si>
  <si>
    <t>NO 7, JALAN SEJAMBAK 11 TAMAN BUKIT DAHLIA 81700 PASIR GUDANG, JOHOR</t>
  </si>
  <si>
    <t>NVMY34535000013414</t>
  </si>
  <si>
    <t>ATTN . SAM</t>
  </si>
  <si>
    <t xml:space="preserve">1747 TAMAN KUALA KRAI 18000 KUALA KRAI KELANTAN </t>
  </si>
  <si>
    <t>A1-RAI-27-7</t>
  </si>
  <si>
    <t>NVMY34535000013400</t>
  </si>
  <si>
    <t>ADRIANA</t>
  </si>
  <si>
    <t>E-04-05 BLOK E, PPR KG MUHIBBAH, JALAN 2/155 TAMAN MUHIBBAH, 58200 KUALA LUMPUR</t>
  </si>
  <si>
    <t>NVMY34535000013402</t>
  </si>
  <si>
    <t>NORAWATI BINTI NAWI</t>
  </si>
  <si>
    <t>C-1-23, JALAN PUTRA INDAH 9/1C, APARTMENT SRI MUTIARA PUTRA HEIGHTS, 47650 SUBANG JAYA SELANGOR</t>
  </si>
  <si>
    <t>NVMY34535000013374</t>
  </si>
  <si>
    <t>NORHUZAIMAH BINTI JAMIL</t>
  </si>
  <si>
    <t xml:space="preserve">No124 KAMPUNG LANEH 33010 LUBUK MERBAU PERAK. </t>
  </si>
  <si>
    <t>NVMY34535000013371</t>
  </si>
  <si>
    <t>U/P BAHAGIAN PENGURUS PROJEK DAN SENGGARAAN (EN. SAFWAN)</t>
  </si>
  <si>
    <t>KETUA PEGWAI EKSEKUTIF GIATMARA SDN BHD, WISMA GIATMARA NO 39 &amp; 41 JALAN MEDAN TUANKU 50300 KUALA LUMPUR</t>
  </si>
  <si>
    <t>NVMY34535000013416</t>
  </si>
  <si>
    <t>NIK AMNI</t>
  </si>
  <si>
    <t xml:space="preserve">RSTORAN FENOMENA NO 2 PERSIARAN PINGGIRAN PUTRA 4A , DESA PINGGIRAN PUTRA SG MERAB 43650 BANGI SEPANG SELANGOR </t>
  </si>
  <si>
    <t>NVMY34535000013397</t>
  </si>
  <si>
    <t>Hazim Azlan</t>
  </si>
  <si>
    <t>1-3-1, Menara Kenanga Hospital Kuala Lumpur, 15-Au3, Jalan, Keramat, 54200, Bandar Kuala Lumpur W.P. Kuala Lumpur, W.P. Kuala Lumpur</t>
  </si>
  <si>
    <t>NVMY34535000013413</t>
  </si>
  <si>
    <t>HARIFF SAFUAN</t>
  </si>
  <si>
    <t xml:space="preserve">NO 29 JALAN WARISAN MEGAH 1/2 , KOTA WARISAN SEPANG SELANGOR </t>
  </si>
  <si>
    <t>NVMY34535000013422</t>
  </si>
  <si>
    <t>MOHD SUKRI BIN MOHD YUSOF</t>
  </si>
  <si>
    <t>PT23876 JALAN TAMAN MURNI PERDANA IDAMAN 7 PAKA, 23100 DUNGUN TERENGGANU</t>
  </si>
  <si>
    <t>NVMY34535000013380</t>
  </si>
  <si>
    <t>SITI MUSLIHA BT MOHD SAID</t>
  </si>
  <si>
    <t>KG TANJONG BELIT 08200 SIK, KEDAH</t>
  </si>
  <si>
    <t>NVMY34535000013417</t>
  </si>
  <si>
    <t>NORIHA BT MOHD KAHA</t>
  </si>
  <si>
    <t xml:space="preserve">BLOCK E 9 3 , PANGSAPURI ENGGANG APARTMENT  BLOCK E 9 3 JALAN KINRARA 6F BANDAR KINRARA 47100 PUCHONG SELANGOR </t>
  </si>
  <si>
    <t>NVMY34535000013372</t>
  </si>
  <si>
    <t>AMIRAH HUSNA</t>
  </si>
  <si>
    <t>K3-4-2 PHASE 3 , PANTAI HILLPARK 59200 KUALA LUMPUR</t>
  </si>
  <si>
    <t>NVMY34535000013411</t>
  </si>
  <si>
    <t>MUHAMMAD SYAZWAN</t>
  </si>
  <si>
    <t xml:space="preserve">PT 1904 ( A ) JALAN 3 KG SHAFIE 28730 BENTONG PAHANG </t>
  </si>
  <si>
    <t>NVMY34535000013419</t>
  </si>
  <si>
    <t>ABU AMMAR</t>
  </si>
  <si>
    <t>PT 2832 DESA BUKIT KG BELUKAR, 18500 MACHANG, KELANTAN</t>
  </si>
  <si>
    <t>NVMY34535000013398</t>
  </si>
  <si>
    <t>57, 12/3C, BANDAR PUTERA INDAH, TONGKANG PECHAH, 83010 JOHOR BAHRU JOHOR</t>
  </si>
  <si>
    <t>NVMY34535000013386</t>
  </si>
  <si>
    <t>ZIEMAN</t>
  </si>
  <si>
    <t>31, GLENMARIE RESIDENCES, JALAN U1/13A, GLENMARIE SHAH ALAM 40150 SELANGOR</t>
  </si>
  <si>
    <t>NVMY34535000013399</t>
  </si>
  <si>
    <t>AQILAH</t>
  </si>
  <si>
    <t>NO 5 BLOK 56 TAMAN AIR BIRU, PASIR GUDANG 81700 JOHOR</t>
  </si>
  <si>
    <t>NVMY34535000013407</t>
  </si>
  <si>
    <t>NVMY34535000013401</t>
  </si>
  <si>
    <t>EMILIA ZULAIKHA</t>
  </si>
  <si>
    <t>NO 17 JALAN PULAI BESTARI 2, BANDAR BARU KANGKAR PULAI 81110 JOHOR BAHRU JOHOR</t>
  </si>
  <si>
    <t>NVMY34535000013455</t>
  </si>
  <si>
    <t>CHOIZES CONCEPT STORE SDN BHD</t>
  </si>
  <si>
    <t>UNIT NO D6-3A-17 BANGUNAN PERDAGANGAN D6, SENTUL RAYA, 801 JLN SENTUL 51100 KUALA LUMPUR</t>
  </si>
  <si>
    <t>NVMY34535000013425</t>
  </si>
  <si>
    <t>U/P IR HAJI MOHYDDIN MOHAMED NOOR</t>
  </si>
  <si>
    <t>TNB KUALA TERENGGANU PEJABAT TNB JALAN BANGGOL, 20100 KUALA TERENGGANU</t>
  </si>
  <si>
    <t>NVMY34535000013434</t>
  </si>
  <si>
    <t>Rozinani binti Yahya</t>
  </si>
  <si>
    <t>No 25 lorong 17 taman mintiga jaya pekan Pahang</t>
  </si>
  <si>
    <t>NVMY34535000013450</t>
  </si>
  <si>
    <t>NORLIYANA BINTI SHANUSI</t>
  </si>
  <si>
    <t>NO 13, LORONG S.K.M 1/2, PERUMAHAN SUNGAI KARANG MAJU 1, 26100 KUANTAN PAHANG</t>
  </si>
  <si>
    <t>NVMY34535000013412</t>
  </si>
  <si>
    <t>AHMAD ZAHID BIN IDRUS</t>
  </si>
  <si>
    <t xml:space="preserve">245 , JALAN SERI IMPIAN 1/6 TAMAN SERI IMPIAN , 86000 KLUANG JOHOR </t>
  </si>
  <si>
    <t>C2-KLU-5-76</t>
  </si>
  <si>
    <t>NVMY34535000013189</t>
  </si>
  <si>
    <t>SITI NUR SYUHADA BT MOHAMED ZAKARIA</t>
  </si>
  <si>
    <t>NO 27 JLN TG BAKTI 6 TMN TG BAKTI 31250 PERAK</t>
  </si>
  <si>
    <t>NVMY34535000013447</t>
  </si>
  <si>
    <t>AZURA</t>
  </si>
  <si>
    <t>A28 FELDA BUKIT JALOR 73200 GEMENCHEH NEGERI SEMBILAN</t>
  </si>
  <si>
    <t>NVMY34535000013456</t>
  </si>
  <si>
    <t>UCOP</t>
  </si>
  <si>
    <t xml:space="preserve">THRIGTY LEGACY , NO 12-1 , FIRST FLOOR JALAN C 180/1 DATARAN C180 , 43200 CHERAS SELANGOR </t>
  </si>
  <si>
    <t>NVMY34535000013452</t>
  </si>
  <si>
    <t>MOHD FAZLY ISMAR BIN MOHD GHAZALI</t>
  </si>
  <si>
    <t>NO 19, PERSIARAN ASTANA / KU2, BANDAR BUKIT RAJA 41050 KLANG, SELANGOR</t>
  </si>
  <si>
    <t>NVMY34535000013403</t>
  </si>
  <si>
    <t>Zainab Binti Man</t>
  </si>
  <si>
    <t>TASCO BERHAD, 1441, Lorong Perusahaan Maju 8, Prai Industrial Estate, 13600, Prai, Penang</t>
  </si>
  <si>
    <t>NVMY34535000013404</t>
  </si>
  <si>
    <t>FITRI SURIA HANINI</t>
  </si>
  <si>
    <t>LOT 890 KAMPUNG TERSUSUN TALANG 33000 KUALA KANGSAR, PERAK</t>
  </si>
  <si>
    <t>NVMY34535000013426</t>
  </si>
  <si>
    <t>KHAIRUL</t>
  </si>
  <si>
    <t>LOT 5162, KAMPUNG PERMATANG BADAK 2, 25150 KUANTAN PAHANG</t>
  </si>
  <si>
    <t>NVMY34535000013440</t>
  </si>
  <si>
    <t>SITI SALMIRA BT SULAIMAN</t>
  </si>
  <si>
    <t>KEDAI NO 4 SIMPANG TIGA LATA TEMBAKAH 22010 JERTEH, TERENGGANU</t>
  </si>
  <si>
    <t>NVMY34535000013451</t>
  </si>
  <si>
    <t>JALAN DELIMA 1/3 BATU 3 SUBANG HI-TECH INDUSTRIAL PARK 40000 SHAH ALAM SELANGOR</t>
  </si>
  <si>
    <t>NVMY34535000013427</t>
  </si>
  <si>
    <t>SITI MAISARAH MD SAAD</t>
  </si>
  <si>
    <t>A-3-2 KUARTERS TNB JENGKA  26400 BANDAR PUSAT JENGKA  PAHANG</t>
  </si>
  <si>
    <t>NVMY34535000013446</t>
  </si>
  <si>
    <t>ABADI</t>
  </si>
  <si>
    <t>E21-03, SKY CONDOMINIUM, PERSIARAN PUCHONG JAYA SELATAN 47170 PUCHONG, SELANGOR</t>
  </si>
  <si>
    <t>NVMY34535000013448</t>
  </si>
  <si>
    <t>SYED MOHAMAD NEIDZAM BIN SYED HASAN</t>
  </si>
  <si>
    <t xml:space="preserve">MACRO PLASTIC SDN BHD , LOT 3 JALAN 6/1 SERI KEMBANGAN INDUSTRIAL AREA , 43300 SERI KEMBANGAN SELANGOR </t>
  </si>
  <si>
    <t>NVMY34535000013429</t>
  </si>
  <si>
    <t>md fadzli</t>
  </si>
  <si>
    <t>20, jalan melawis 1 taman melawis, hang tuah jaya 75450 ayer keroh melaka</t>
  </si>
  <si>
    <t>NVMY34535000013437</t>
  </si>
  <si>
    <t>WAN NUR SHAHIRAH AISHAH</t>
  </si>
  <si>
    <t>LOT 2855 LRG SERI KEMUNTING 1, KG GONG KEPAS DALAM 22200 KG RAJA TERENGGANU</t>
  </si>
  <si>
    <t>NVMY34535000013457</t>
  </si>
  <si>
    <t>ROHANI BINTI ZAIN</t>
  </si>
  <si>
    <t>NO 28, JLN SEROJA 37 TAMAN SEROJA BANDAR BARU SALAK TINGGI 43900 SEPANG, SELANGOR</t>
  </si>
  <si>
    <t>NVMY34535000013409</t>
  </si>
  <si>
    <t>NO 8 JLN PERMAS 2/14 BANDAR BARU PERMAS JAYA 81750 MASAI, JOHOR BAHRU JOHOR</t>
  </si>
  <si>
    <t>JHB-JHB</t>
  </si>
  <si>
    <t>NVMY34535000013405</t>
  </si>
  <si>
    <t>SUNDARA MOORTHY</t>
  </si>
  <si>
    <t>NO 75 JLN KEMBOJA 19 TAMAN AMANJAYA SUNGAI PETANI 08000 KEDAH</t>
  </si>
  <si>
    <t>NVMY34535000013433</t>
  </si>
  <si>
    <t>Salinahaiza sulaiman</t>
  </si>
  <si>
    <t>Malaysia Transformer Manufacturing Sdn Bhd Lot 22 Jln AU 3/1 Ulu kelang 54200 Kuala Lumpur</t>
  </si>
  <si>
    <t>NVMY34535000013428</t>
  </si>
  <si>
    <t>FARHAH FAQIHAH BT NORIZAINAN</t>
  </si>
  <si>
    <t>NO. 3194-32, KG KERDAS 2, GOMBAK, 53100 GOMBAK KUALA LUMPUR</t>
  </si>
  <si>
    <t>NVMY34535000013438</t>
  </si>
  <si>
    <t>JASMIE JANE MOBBINGIN</t>
  </si>
  <si>
    <t>NO 4 LORONG KG PADANG PERDANA 28, JALAN SUNGAI KEMBING 25200 KUANTAN PAHANG</t>
  </si>
  <si>
    <t>NVMY34535000013454</t>
  </si>
  <si>
    <t>NUR FATIN BATRISYA</t>
  </si>
  <si>
    <t>NO 24, LORONG TERATAI 2, TAMAN TERATAI KAMPUNG MARHUN 26660 PEKAN, PAHANG</t>
  </si>
  <si>
    <t>NVMY34535000013423</t>
  </si>
  <si>
    <t>GUDANG MUMMY</t>
  </si>
  <si>
    <t>LOT 395-36 KAMPUNG TENGAH 7 BATU 6 1/2 GOMBAK 53100 KUALA LUMPUR</t>
  </si>
  <si>
    <t>NVMY34535000013477</t>
  </si>
  <si>
    <t>NORSYAKIRA BINTI ROHMAT AYOB</t>
  </si>
  <si>
    <t xml:space="preserve">TAWAKKAL VETERINARY LOT 16135 JALAN TENGKU AMPUAN INTAN ZAHARAH 21300 KUALA TERENGGANU TERENGGANU </t>
  </si>
  <si>
    <t>NVMY34535000013424</t>
  </si>
  <si>
    <t>U/P (IR MAHATHIR NOR BIN ISMAIL)</t>
  </si>
  <si>
    <t>CHIEF DISTRIBUTION NETWORK OFFICER TENAGA NASIONAL BERHAD ARAS 20 NO 19 JALAN TIMUR PJS 10 46200 PETALING JAYA, SELANGOR</t>
  </si>
  <si>
    <t>NVMY34535000013466</t>
  </si>
  <si>
    <t>MOHD AMINUDIN BIN ZAMERI</t>
  </si>
  <si>
    <t xml:space="preserve">131C , POWER WELD SDN BHD , JALAN USAHA 5 , 75450 BUKIT KATIL , MELAKA TENGAH </t>
  </si>
  <si>
    <t>NVMY34535000013475</t>
  </si>
  <si>
    <t>NOORSHAZREN BT MOHAMAD</t>
  </si>
  <si>
    <t>RWNA ENGINEERING SDN BHD LOT 1/129, KAWASAN PERINDUSTRIAN GEBENG FASA 2, 26080 KUANTAN PAHANG DARUL MAKMUR</t>
  </si>
  <si>
    <t>NVMY34535000013474</t>
  </si>
  <si>
    <t>WAN AKMAL HAKIM BIN ABDUL RAZAK</t>
  </si>
  <si>
    <t>NO 23, JALAN SETIA PERDANA U13/27A, 40170 SHAH ALAM , SELANGOR</t>
  </si>
  <si>
    <t>NVMY34535000013441</t>
  </si>
  <si>
    <t>AZILA</t>
  </si>
  <si>
    <t>LOT 85 KAMPUNG TERENTANG 72200 BATU KIKIR NEGERI SEMBILAN</t>
  </si>
  <si>
    <t>NVMY34535000013506</t>
  </si>
  <si>
    <t>NVMY34535000013443</t>
  </si>
  <si>
    <t>Azura Binti Mohd Bakri</t>
  </si>
  <si>
    <t>Rajin Food Industries Sdn Bhd.  Lot A2-3, Kedah Halal Park Sungai Petani, Lot 5 Kawasan Perindustrian Sungai Petani, 08000 Sungai Petani Kedah.</t>
  </si>
  <si>
    <t>NVMY34535000013469</t>
  </si>
  <si>
    <t>FAUL ZANA YA</t>
  </si>
  <si>
    <t>R213, APARTMENT IDAMAN JALAN PJU 10/1, DAMANSARA DAMAI 47830 PETALING JAYA, SELANGOR</t>
  </si>
  <si>
    <t>D1-KEP-22-103</t>
  </si>
  <si>
    <t>NVMY34535000013468</t>
  </si>
  <si>
    <t>203 JALAN TUN RAZAK, KUALA LUMPUR 50400 WILAYAH PERSEKUTUAN KUALA LUMPUR</t>
  </si>
  <si>
    <t>NVMY34535000013511</t>
  </si>
  <si>
    <t>YASMIN</t>
  </si>
  <si>
    <t>108 JALAN ZUHRAH U5/151, BANDAR PINGGIRAN SUBANG 40150 SHAH ALAM, SELANGOR</t>
  </si>
  <si>
    <t>NVMY34535000013458</t>
  </si>
  <si>
    <t>NVMY34535000013453</t>
  </si>
  <si>
    <t>MUHD HASNOL ARIF</t>
  </si>
  <si>
    <t>F524 PARIT LEBAI AKIR TITI SERONG 34200 PARIT BUNTAR, PERAK</t>
  </si>
  <si>
    <t>NVMY34535000013377</t>
  </si>
  <si>
    <t>RAZIEE BIN LEE</t>
  </si>
  <si>
    <t>D/A MOHAMAD RADUAN BIN OSMAN, IBU PEJABAT POLIS DAERAH MIRI, JALAN MIRI PUJUT 98000 MIRI, SARAWAK</t>
  </si>
  <si>
    <t>E4-MYY-1-180</t>
  </si>
  <si>
    <t>NVMY34535000013470</t>
  </si>
  <si>
    <t>NURFAZLINA MARIATY MD ALI</t>
  </si>
  <si>
    <t>NO 31, JALAN SR 1/1D, SAUJANA RAWANG 48000 SELANGOR</t>
  </si>
  <si>
    <t>NVMY34535000013435</t>
  </si>
  <si>
    <t>MOHD FAKHRUL NIZAR BIN ZAINOL</t>
  </si>
  <si>
    <t>SKC B/10/23/1 BATU 10 , KAMPUNG SUNGAI KOROK , ALOR BIAK , AIR HITAM , 06150 , ALOR SETAR , KEDAH</t>
  </si>
  <si>
    <t>NVMY34535000013461</t>
  </si>
  <si>
    <t>WAN FIRA</t>
  </si>
  <si>
    <t>NO 532, JALAN SAMUDRA SELATAN 5, TAMAN SAMUDRA 68100 BATU CAVES, SELANGOR</t>
  </si>
  <si>
    <t>NVMY34535000013507</t>
  </si>
  <si>
    <t>ATTN PN SALMI</t>
  </si>
  <si>
    <t>MY-SUTERA SDN BHD, LOT NO 9&amp;11, JALAN TUKANG 16/4 KAWASAN PERINDUSTRIAN SEKSYEN 16, 40702 SHAH ALAM, SELANGOR</t>
  </si>
  <si>
    <t>NVMY34535000013449</t>
  </si>
  <si>
    <t>FIKA PRL 223</t>
  </si>
  <si>
    <t xml:space="preserve">BLOK D23 ( LASKARNITA ) PANGKALAN TLDM 32100 LUMUT PERAK </t>
  </si>
  <si>
    <t>NVMY34535000013431</t>
  </si>
  <si>
    <t>CEH HASNAH BT CHE HARUN</t>
  </si>
  <si>
    <t>B 7 -09-21 PPR MELANA INDAH JLN SUTRA ROS 12/1 TAMAN PERLING 81200 JOHOR BAHRU ,JOHOR.</t>
  </si>
  <si>
    <t>NVMY34535000013379</t>
  </si>
  <si>
    <t>YANTI JAMRI</t>
  </si>
  <si>
    <t>BLK 7/2/6, TINGKAT PAYA TERUBONG 5, TAMAN TERUBONG INDAH, PAYA TERUBONG 11060 PULAU PINANG</t>
  </si>
  <si>
    <t>NVMY34535000013465</t>
  </si>
  <si>
    <t>NURUL NAJMAH BINTI ABD HADI</t>
  </si>
  <si>
    <t>MATRIC NUMBER (247550), MAHALLAH UMAMAH PUSAT ASASI UIAM GAMBANG, 26300 GAMBANG PAHANG</t>
  </si>
  <si>
    <t>NVMY34535000013442</t>
  </si>
  <si>
    <t>Ina</t>
  </si>
  <si>
    <t>NVMY34535000013430</t>
  </si>
  <si>
    <t>Mimie Ruza</t>
  </si>
  <si>
    <t>02  - 16 Blok KENARI A 5 Pangsapuri KENARI JLN pulai harmoni 3 Bandar Baru Kangkar Pulai 81110 Johor Bahru  Johor</t>
  </si>
  <si>
    <t>NVMY34535000013432</t>
  </si>
  <si>
    <t>Siti salehan bt adnan</t>
  </si>
  <si>
    <t>1097 C jln permatang rawa,  13110 Penaga  Seberang perai utara, Pulau pinang.</t>
  </si>
  <si>
    <t>NVMY34535000013473</t>
  </si>
  <si>
    <t>2-02-06 BLOCK JED JALAN SERI MERDEKA 1 TAMAN SERI MERDEKA 68000 AMPANG, SELANGOR</t>
  </si>
  <si>
    <t>NVMY34535000013463</t>
  </si>
  <si>
    <t>KAMARUL HISAN</t>
  </si>
  <si>
    <t>NO 3, JALAN KESUMBA 3A/7, SEK BB18 BUKIT BERUNTUNG 48300 RAWANG, SELANGOR</t>
  </si>
  <si>
    <t>NVMY34535000013436</t>
  </si>
  <si>
    <t>MELYN AMALINA (BUTIK MOQNA)</t>
  </si>
  <si>
    <t>NO.328, LORONG 1, JALAN TMJ 7, TAMAN TANAH MERAH JAYA, TANJONG KLING, MELAKA</t>
  </si>
  <si>
    <t>NVMY34535000013462</t>
  </si>
  <si>
    <t>NIK NAZIRAH BT WAN DAUD</t>
  </si>
  <si>
    <t>01-2-8, APARTMENT BAIDURI DESA PANDAN 55100 KUALA LUMPUR</t>
  </si>
  <si>
    <t>NVMY34535000013444</t>
  </si>
  <si>
    <t>Nor msread</t>
  </si>
  <si>
    <t>Lot G03 ground floor, Aeon mall Tebrau city No 1 jalan desa tebrau, Taman desa tebrau  81100 Johor Bahru</t>
  </si>
  <si>
    <t>NVMY34535000013472</t>
  </si>
  <si>
    <t>RINA ALI</t>
  </si>
  <si>
    <t xml:space="preserve">C03-07 VISTA MILLENIUM CONDO TAMAN DESA MILLENIA JALAN DM 1 47150 PUCHONG SELANGOR </t>
  </si>
  <si>
    <t>NVMY34535000013540</t>
  </si>
  <si>
    <t>FATIN HAZWANI</t>
  </si>
  <si>
    <t>B-7-10, DE ROZELLE CONDO, JALAN MERBAH 10/1, KOTA DAMANSARA 47810 PETALING JAYA SELANGOR</t>
  </si>
  <si>
    <t>NVMY34535000013522</t>
  </si>
  <si>
    <t>NVMY34535000013529</t>
  </si>
  <si>
    <t>AIDI AZRUL BIN NORDEEN</t>
  </si>
  <si>
    <t>21/16 PANGSAPURI LADANG TOK PELAM 20000 KUALA TERENGGANU</t>
  </si>
  <si>
    <t>NVMY34535000013519</t>
  </si>
  <si>
    <t>ZAIJAS SHAH RIZAN BIN JAMALLUDIN</t>
  </si>
  <si>
    <t>NO 5 PERINGKAT 4 KAMPUNG IB JOHSEN 71760 BANDAR BARU ENSTEK, NEGERI SEMBILAN</t>
  </si>
  <si>
    <t>NVMY34535000013483</t>
  </si>
  <si>
    <t>Shalini / Farid</t>
  </si>
  <si>
    <t xml:space="preserve">No19, Jalan Layang 13, Taman Perling, 81200 Johor Bharu Johor </t>
  </si>
  <si>
    <t>NVMY34535000013481</t>
  </si>
  <si>
    <t>NVMY34535000013480</t>
  </si>
  <si>
    <t>NVMY34535000013520</t>
  </si>
  <si>
    <t>Norfasiha bt mohamad din</t>
  </si>
  <si>
    <t xml:space="preserve">No 14 jalan eco grandeur 13/1F eco grandeur, bandar puncak alam kuala selangor 42300 </t>
  </si>
  <si>
    <t>NVMY34535000013530</t>
  </si>
  <si>
    <t>AZIMAH</t>
  </si>
  <si>
    <t>NO 46 LORONG 2 TAMAN MAWAR, KAMPUNG MARHUM, 26660 PEKAN PAHANG, DARUL MAKMUR</t>
  </si>
  <si>
    <t>NVMY34535000013478</t>
  </si>
  <si>
    <t>NVMY34535000013479</t>
  </si>
  <si>
    <t>NVMY34535000013482</t>
  </si>
  <si>
    <t>NVMY34535000013528</t>
  </si>
  <si>
    <t>NO 32 JALAN JAYA 8 TAMAN JAYA 8 BATU 3 1/2 JALAN MARAN 28000 TEMERLOH, PAHANG</t>
  </si>
  <si>
    <t>NVMY34535000013521</t>
  </si>
  <si>
    <t>Erdawaty bt zainol abidin</t>
  </si>
  <si>
    <t>No 2607 Jalan Sri  puteri 8/3 taman puteri kulai 81000 kulai johor</t>
  </si>
  <si>
    <t>NVMY34535000013489</t>
  </si>
  <si>
    <t>Maulana</t>
  </si>
  <si>
    <t>Pandan Resident 1, Jalan Pandan Ria 7, Kawasan Seri Purnama Johor Bharu  Johor 81100</t>
  </si>
  <si>
    <t>NVMY34535000013514</t>
  </si>
  <si>
    <t>minaini binti che wil</t>
  </si>
  <si>
    <t>kampung panglima bayu 17500 tanah merah kelantan</t>
  </si>
  <si>
    <t>NVMY34535000013485</t>
  </si>
  <si>
    <t>NVMY34535000013486</t>
  </si>
  <si>
    <t>NVMY34535000013484</t>
  </si>
  <si>
    <t>NVMY34535000013487</t>
  </si>
  <si>
    <t>NVMY34535000013460</t>
  </si>
  <si>
    <t>EIYRA</t>
  </si>
  <si>
    <t>A-17-7 RESIDENSI PRIMA TEBRAU 81100 JOHOR BAHRU JOHOR</t>
  </si>
  <si>
    <t>NVMY34535000013488</t>
  </si>
  <si>
    <t>NVMY34535000013513</t>
  </si>
  <si>
    <t>hamidah binti mat zain</t>
  </si>
  <si>
    <t>kampung panglima bayu 17500 tanah merah kelantan(kedai kopi cekdah)</t>
  </si>
  <si>
    <t>NVMY34535000013516</t>
  </si>
  <si>
    <t>MURUGAN MUNIANDY</t>
  </si>
  <si>
    <t>LOT 15 KG SUNGAI CHIK ULU YAM BHARU AMBASHA RESTAURANT 44300 BATANG KALI, SELANGOR</t>
  </si>
  <si>
    <t>NVMY34535000013525</t>
  </si>
  <si>
    <t>NURUL ADILAH MOHD NOOR</t>
  </si>
  <si>
    <t>404, BLOCK A2, APARTMENT ENGGANG JALAN IDAMAN 6 TAMAN BUKIT IDAMAN 68100 BATU CAVES, SELANGOR</t>
  </si>
  <si>
    <t>D5-SLG-2-142</t>
  </si>
  <si>
    <t>NVMY34535000013439</t>
  </si>
  <si>
    <t>MUHAMAD BIN HAMZAH</t>
  </si>
  <si>
    <t>NO 23/01 JALAN BESAR KAMPUNG MALIM NAWAR 31700 MALIM NAWAR, PERAK</t>
  </si>
  <si>
    <t>NVMY34535000013490</t>
  </si>
  <si>
    <t>Jamaliah Zainal</t>
  </si>
  <si>
    <t>Ni 35 A Kampung Sabar Jaya 35600 Sungkai Perak</t>
  </si>
  <si>
    <t>B3-SLM-13-50</t>
  </si>
  <si>
    <t>NVMY34535000013541</t>
  </si>
  <si>
    <t>MARSITA BINTI HASHIM</t>
  </si>
  <si>
    <t>MC4 1006 BLOCK TERATAI TAMAN TUN TEJA 48000 RAWANG SELANGOR</t>
  </si>
  <si>
    <t>NVMY34535000013524</t>
  </si>
  <si>
    <t>NORMAIZURA BT MOHD AFFENDI</t>
  </si>
  <si>
    <t>KLINIK PERGIGIAN PALONG 4,5,6, 73430 GEMAS, NEGERI SEMBILAN</t>
  </si>
  <si>
    <t>NVMY34535000013421</t>
  </si>
  <si>
    <t>VANTANGE PACK SDN BHD</t>
  </si>
  <si>
    <t>NO 4, JALAN BK 5B/3, BANDAR KINRARA, 47180 PUCHONG, SELANGOR</t>
  </si>
  <si>
    <t>NVMY34535000013471</t>
  </si>
  <si>
    <t>NURUL QUSHIEDA BT ABDULLAH</t>
  </si>
  <si>
    <t>LOT 2898, LORONG MERBAU 5A RAMPANGI FASA 2 93050 KUCHING, SARAWAK</t>
  </si>
  <si>
    <t>NVMY34535000013464</t>
  </si>
  <si>
    <t>OOTD BT MULIATI (HQ)</t>
  </si>
  <si>
    <t>NO 305, TINGKAT ATAS, JALAN JALAI JAYA 1/6/1, TAMAN JALAI JAYA 06200 KEDAH</t>
  </si>
  <si>
    <t>NVMY34535000013499</t>
  </si>
  <si>
    <t>En. Rahim</t>
  </si>
  <si>
    <t xml:space="preserve"> Arestech Enterprise 794, Jalan Pulai 23 Taman Pulai Utama 81300 Skudai Johor</t>
  </si>
  <si>
    <t>NVMY34535000013503</t>
  </si>
  <si>
    <t>Arestech Enterprise 794, Jalan Pulai 23 Taman Pulai Utama 81300 Skudai Johor</t>
  </si>
  <si>
    <t>NVMY34535000013497</t>
  </si>
  <si>
    <t>NVMY34535000013504</t>
  </si>
  <si>
    <t>NVMY34535000013493</t>
  </si>
  <si>
    <t>NVMY34535000013498</t>
  </si>
  <si>
    <t>NVMY34535000013505</t>
  </si>
  <si>
    <t>NVMY34535000013459</t>
  </si>
  <si>
    <t>MOHD SYUKRI BIN YUSOF</t>
  </si>
  <si>
    <t>JABATAN SIASATAN DAN PENGUATKUASAAN TRAFIK IBU PEJABAT POLIS KONTINJEN JOHOR JLN TEBRAU 80990 JOHOR BAHRU JOHOR</t>
  </si>
  <si>
    <t>C1-LKN-7-72</t>
  </si>
  <si>
    <t>NVMY34535000013502</t>
  </si>
  <si>
    <t>NVMY34535000013492</t>
  </si>
  <si>
    <t>NVMY34535000013500</t>
  </si>
  <si>
    <t>NVMY34535000013494</t>
  </si>
  <si>
    <t>NVMY34535000013495</t>
  </si>
  <si>
    <t>NVMY34535000013491</t>
  </si>
  <si>
    <t>NVMY34535000013496</t>
  </si>
  <si>
    <t>NVMY34535000013501</t>
  </si>
  <si>
    <t>NVMY34535000013508</t>
  </si>
  <si>
    <t>ATTN EN WAREED KAUSAR EFFENDY</t>
  </si>
  <si>
    <t>UNI STORAGE UNIKL MIAT, STUDENT CENTER, LOT 2891 JALAN JENDERAM HULU, JENDERAM HULU SEPANG 43800 SELANGOR</t>
  </si>
  <si>
    <t>NVMY34535000013527</t>
  </si>
  <si>
    <t>NIZA</t>
  </si>
  <si>
    <t>NO 29, LORONG BKP 92, BANDAR KUANTAN PUTRI 26060 KUANTAN PAHANG</t>
  </si>
  <si>
    <t>NVMY34535000013526</t>
  </si>
  <si>
    <t>NURUL SHAHIRA IBRAHIM</t>
  </si>
  <si>
    <t>KLINIK PERGIGIAN DABONG 18200 KUALA KRAI, KELANTAN</t>
  </si>
  <si>
    <t>NVMY34535000013536</t>
  </si>
  <si>
    <t>Nor</t>
  </si>
  <si>
    <t>Petaling</t>
  </si>
  <si>
    <t>sjkc tongkang pechah , jkr 1904 , 83010 tongkang pechah , batu pahat , johor</t>
  </si>
  <si>
    <t>NVMY34535000013535</t>
  </si>
  <si>
    <t>razak</t>
  </si>
  <si>
    <t xml:space="preserve">LG-03,LG Floor Sunway carnival mall 3068 Jalan todak 13700 Pulau pinang </t>
  </si>
  <si>
    <t>NVMY34535000013476</t>
  </si>
  <si>
    <t>FAKULTI SENIBINA &amp; EKISTIK</t>
  </si>
  <si>
    <t>U/P PN JULIZA MOHAMAD, UMK KAMPUS BACHOK BEG BERKUNCI NO 01, 16300 BACHOK, KELANTAN</t>
  </si>
  <si>
    <t>NVMY34535000013467</t>
  </si>
  <si>
    <t>BABO SHEIKH SHAHRULNIZAM</t>
  </si>
  <si>
    <t xml:space="preserve">JKR 411 , PEJABAT POS PASIR MAS , POS AR-RAHNU , JALAN PEJABAT , JAJAHAN 17000 PASIR MAS KELANTAN </t>
  </si>
  <si>
    <t>NVMY34535000013533</t>
  </si>
  <si>
    <t>NUR AMANI</t>
  </si>
  <si>
    <t xml:space="preserve">NO 1262 /TO , JALAN BUKIT MERTAJAM , KG PERTAMA SEBERANG PERAI TENGAH , PENANG </t>
  </si>
  <si>
    <t>NVMY34535000013523</t>
  </si>
  <si>
    <t>NO 966 JALAN KELISA RIA 3/8 TAMAN KELISA RIA 08000 SUNGAI PETANI KEDAH</t>
  </si>
  <si>
    <t>NVMY34535000013534</t>
  </si>
  <si>
    <t>Adilah</t>
  </si>
  <si>
    <t>Lot 2052 Kampung Lubuk Merbau Mukim Pedu 06300 Kuala Nerang Kedah</t>
  </si>
  <si>
    <t>A3-PSN-23-20</t>
  </si>
  <si>
    <t>NVMY34535000013545</t>
  </si>
  <si>
    <t>NORFADLINA BINTI MOHD SALIM</t>
  </si>
  <si>
    <t>LOT10591 KG BUKIT RANG PULAU TAWAR 27050 JERANTUT PAHANG</t>
  </si>
  <si>
    <t>B1-JER-19-33</t>
  </si>
  <si>
    <t>NVMY34535000013509</t>
  </si>
  <si>
    <t>EN MAHMOOD/MAT ABIDIN</t>
  </si>
  <si>
    <t>NO 4 JLN PANDAN INDAH 19, PANDAN INDAH 55100 KL</t>
  </si>
  <si>
    <t>NVMY34535000013557</t>
  </si>
  <si>
    <t>MUHAMAD TAUFIK BIN AMAN</t>
  </si>
  <si>
    <t>no 1 jalan taman negara                   merapoh 27210 kuala lipis pahang</t>
  </si>
  <si>
    <t>NVMY34535000013531</t>
  </si>
  <si>
    <t>ATTN EN RAPIDI</t>
  </si>
  <si>
    <t>NO 12 TINGKAT 3, JALAN DANG WANGI 50100 KUALA LUMPUR</t>
  </si>
  <si>
    <t>NVMY34535000013577</t>
  </si>
  <si>
    <t>ROSNANI ABDUL KARI</t>
  </si>
  <si>
    <t>1556-1 IG LABOHAN 24300 KERTEH KEMAMAN TERENGGANU</t>
  </si>
  <si>
    <t>NVMY34535000013549</t>
  </si>
  <si>
    <t>NVMY34535000013512</t>
  </si>
  <si>
    <t>Cahaya</t>
  </si>
  <si>
    <t>B-10-5 Pangsapuri Berembang indah off jalan nipah ampang 52000 kuala lumpur</t>
  </si>
  <si>
    <t>NVMY34535000013571</t>
  </si>
  <si>
    <t>INSTITUT KEMAHIRAN BELIA NEGARA WAKAF TAPAI  KM 24 , JALAN KUALA TERENGGANU-KUALA BERANG  21040 MARANG , TERENGGANU DARUL IMAN</t>
  </si>
  <si>
    <t>A2-AJL-25-13</t>
  </si>
  <si>
    <t>NVMY34535000013539</t>
  </si>
  <si>
    <t>MAYA ALI</t>
  </si>
  <si>
    <t>NO 20, TAMAN PADAS, BEAUFORT 89808 SABAH</t>
  </si>
  <si>
    <t>NVMY34535000013543</t>
  </si>
  <si>
    <t>NUR FATIN MAT SUKI</t>
  </si>
  <si>
    <t>NO 17, JALAN DUA 02700 TAMAN SIMPANG EMPAT PERLIS</t>
  </si>
  <si>
    <t>NVMY34535000013544</t>
  </si>
  <si>
    <t>MUHAMMAD FITRI BIN MOHD FAUZI</t>
  </si>
  <si>
    <t>NO 506 BLOK 12 KUARTERS PDRM JLN 20/16A SEKSYEN 20, 40300 SHAH ALAM, SELANGOR</t>
  </si>
  <si>
    <t>NVMY34535000013548</t>
  </si>
  <si>
    <t>AISHAH ISMAIL</t>
  </si>
  <si>
    <t>NO18 KG GUNUNG HILIR MUKIM GUNUNG KERIANG 06570 ALOR SETAR KEDAH</t>
  </si>
  <si>
    <t>NVMY34535000013569</t>
  </si>
  <si>
    <t>1-3-1, Menara Kenanga Hospital Kuala Lumpur, 15-Au3, Jalan, Keramat, 54200, Bandar Kuala Lumpur W.P. Kuala Lumpur, W.P. Kuala Lumpur.</t>
  </si>
  <si>
    <t>NVMY34535000013546</t>
  </si>
  <si>
    <t>EN AIMAN TAK KESAH WAN DAUD</t>
  </si>
  <si>
    <t>8-05-15, DESA DAYA PERSIARAN BUKIT JAMBUL SUNGAI NIBONG 11900 TIMUR LAUT, PENANG</t>
  </si>
  <si>
    <t>NVMY34535000013445</t>
  </si>
  <si>
    <t>NORWAHIDA BINTI HJ A WAHID</t>
  </si>
  <si>
    <t>D/A EN MOHD SHAHZATULEZZAT BIN RAHMAT, [EJABAT TENAGA KERJA JOHOR BAHRU TINGKAT 10 MENARA ANSAR 65, JALAN TERUS BANDAR JOHOR BAHRU 80000 JOHOR</t>
  </si>
  <si>
    <t>NVMY34535000013573</t>
  </si>
  <si>
    <t>A1-10-02 NORDICA RESIDENCE GRAVIT8, KOTA BAYUEMAS 41200 KLANG SELANGOR</t>
  </si>
  <si>
    <t>NVMY34535000013576</t>
  </si>
  <si>
    <t>NVMY34535000013556</t>
  </si>
  <si>
    <t>NOOR SALWANI AWANG</t>
  </si>
  <si>
    <t>G1-2-8 PERUMAHAN POLIS IPPD GOMBAK, JALAN BUKIT IDAMAN, 68100 BATU CAVES, SELANGOR</t>
  </si>
  <si>
    <t>NVMY34535000013575</t>
  </si>
  <si>
    <t>MOHAMAD AMMAR ABDUL QADIR BIN OMAR SUKRI</t>
  </si>
  <si>
    <t>PT 4205, RMM PERUMAHAN BARU PADANG KUBU 24010 CUKAI, TERENGGANU</t>
  </si>
  <si>
    <t>NVMY34535000013547</t>
  </si>
  <si>
    <t>HISHAM AFFENDI</t>
  </si>
  <si>
    <t>NO 11, JALAN SB 5, TAMAN SALAK BUDI 43900 SEPANG, SELANGOR</t>
  </si>
  <si>
    <t>NVMY34535000013550</t>
  </si>
  <si>
    <t>NOR AZIZAN AHMAD TAIB</t>
  </si>
  <si>
    <t>133A JALAN SRI BAYU 2/4 TAMAN SRI BAYU 2 SUNGAI LALANG 08100 BEDONG, KEDAH</t>
  </si>
  <si>
    <t>NVMY34535000013553</t>
  </si>
  <si>
    <t>TERYY KONG</t>
  </si>
  <si>
    <t xml:space="preserve">NO 22 JALAN 1/2C TAMAN WANGSA AMAN , 52200 W.P KUALA LUMPUR </t>
  </si>
  <si>
    <t>NVMY34535000013554</t>
  </si>
  <si>
    <t>GUAN SIEW CHAN</t>
  </si>
  <si>
    <t xml:space="preserve">B1284 JALAN HJ AHMAD LORONG GALING 7 , 25300 KUANTAN , PAHANG </t>
  </si>
  <si>
    <t>NVMY34535000013538</t>
  </si>
  <si>
    <t>AMMAR FAWWAZ BIN ISHAK</t>
  </si>
  <si>
    <t>KEM KEMENTAH, PUSAT OPERASI PERTAHANAN, SETAPAK, 54100 W.P KUALA LUMPUR.</t>
  </si>
  <si>
    <t>D1-WMJ-24-98</t>
  </si>
  <si>
    <t>NVMY34535000013532</t>
  </si>
  <si>
    <t>Nik aizat</t>
  </si>
  <si>
    <t>PopBox@Blok A, No 7-02 , Regina Residence USJ 1, Jalan Subang Permai, Usj 1, Subang Jaya, Subang Jaya, Petaling, Selangor,47500</t>
  </si>
  <si>
    <t>NVMY34535000013517</t>
  </si>
  <si>
    <t>ABE MAT</t>
  </si>
  <si>
    <t>BEYO GLOBAL ENTERPRISE NO 14 JALAN PP 3/2, TAMAN PUTRA PERDANA 47130 PUCHONG, SELANGOR</t>
  </si>
  <si>
    <t>NVMY34535000013515</t>
  </si>
  <si>
    <t>Nurhidayah Binti Idris</t>
  </si>
  <si>
    <t>No.16, Jalan TK 2/11, Taman Kinrara, 47180 Puchong, Selangor</t>
  </si>
  <si>
    <t>NVMY34535000013567</t>
  </si>
  <si>
    <t>ADRYENA NATASHA</t>
  </si>
  <si>
    <t xml:space="preserve">B 15-18 APARTMENT FLORA DAMANSARA , JALAN PJU 8/9 DAMANSARA PERDANA , 47820 PETALING JAYA , SELANGOR </t>
  </si>
  <si>
    <t>NVMY34535000013551</t>
  </si>
  <si>
    <t>HASNIDA AHMAD TAIB</t>
  </si>
  <si>
    <t>F 63 KUATERS KEDIAMAN KAKITANGAN AWAM JALAN DUTA MAS 3, 50480 KUALA LUMPUR</t>
  </si>
  <si>
    <t>NVMY34535000013552</t>
  </si>
  <si>
    <t>SHUHAIDA ISMAIL</t>
  </si>
  <si>
    <t>NO 11, LORONG LIMONIA 17 BERTAM PERDANA 2, 13200 PULAU PINANG</t>
  </si>
  <si>
    <t>NVMY34535000013564</t>
  </si>
  <si>
    <t>WAN MUHAMMAD BIN WAN MAHMOOD</t>
  </si>
  <si>
    <t>NO 881, JALAN SERI IMPIAN 3/16, TAMAN SERI IMPIAN 86000 KLUANG JOHOR</t>
  </si>
  <si>
    <t>NVMY34535000013574</t>
  </si>
  <si>
    <t>NOR MAZLAN BIN SAAD</t>
  </si>
  <si>
    <t>KAMPUNG BERJAYA SUNGAI KECIL ULU 34950 BANDAR BAHARU , KEDAH</t>
  </si>
  <si>
    <t>B3-BAG-11-58</t>
  </si>
  <si>
    <t>NVMY34535000013596</t>
  </si>
  <si>
    <t>NVMY34535000013565</t>
  </si>
  <si>
    <t>YASMIN JEFFRI</t>
  </si>
  <si>
    <t xml:space="preserve">138 , LORONG BAKTI 1 JALAN SULTAN TENGAH SEMARIANG 93050 KUCHING SARAWAK </t>
  </si>
  <si>
    <t>E3-PTJ-1-185</t>
  </si>
  <si>
    <t>NVMY34535000013598</t>
  </si>
  <si>
    <t>CIKMANGGIS</t>
  </si>
  <si>
    <t>46 RUMAH KOS RENDAH TELAGA DAING SEBERANG TAKIR 21300 KUALA TERENGGANU TERENGGANU</t>
  </si>
  <si>
    <t>NVMY34535000013572</t>
  </si>
  <si>
    <t>ATTN SAMANTHA</t>
  </si>
  <si>
    <t>BMW TIAN SIANG PREMIUM AUTO LOT 6235, JALAN BARU 13700 PERAI, PENANG</t>
  </si>
  <si>
    <t>NVMY34535000013599</t>
  </si>
  <si>
    <t>EN AMIR IKRAM SAKRI</t>
  </si>
  <si>
    <t>BAHAGIAN HARTANAH LEMBAGA KEMAJUAN KELANTAN SELATAN (KESEDAR) KOMPLEKS IBU PEJABAT KESEDAR BANDAR BARU GUA MUSANG 18300 GUA MUSANG, KELANTAN</t>
  </si>
  <si>
    <t>NVMY34535000013606</t>
  </si>
  <si>
    <t>NUR NADIAH SUDIN</t>
  </si>
  <si>
    <t>LOT 1983 A (1) JALAN MEMPELAM, BATU 9 KG MEDAN SIJANGKANG, 42500 TPG KUALA LANGAT, SELANGOR</t>
  </si>
  <si>
    <t>NVMY34535000013580</t>
  </si>
  <si>
    <t>SHAH REZZA BIN MD NOOR</t>
  </si>
  <si>
    <t xml:space="preserve">LOT 916 KAMPUNG BUKIT CINA , KOK LANAS 16450 KETEREH KELANTAN </t>
  </si>
  <si>
    <t>NVMY34535000013594</t>
  </si>
  <si>
    <t>PIJIE</t>
  </si>
  <si>
    <t xml:space="preserve">NO 306 FELDA CHIKU 01 18300 GUA MUSANG KELANTAN </t>
  </si>
  <si>
    <t>NVMY34535000013590</t>
  </si>
  <si>
    <t>Alfadilah Mustafa</t>
  </si>
  <si>
    <t>No.210,blok 29,  jalan Selayang satu, 27/27 A, seksyen 27 Taman bunga negara  40400 Shah Alam Selangor.</t>
  </si>
  <si>
    <t>NVMY34535000013595</t>
  </si>
  <si>
    <t>Mohd shahril bin ehsan</t>
  </si>
  <si>
    <t>93 BATALION  KOR PERKHIDMATAN DIRAJA KEM BATU KENTONMEN 51100 JALAN IPOH KUALA LUMPUR</t>
  </si>
  <si>
    <t>NVMY34535000013561</t>
  </si>
  <si>
    <t>Alia Shops</t>
  </si>
  <si>
    <t>No 6-1 , Jalan BPP 8/4 , Bandar Putra Permai , 43300 Selangor ( KEDAI ATAS )</t>
  </si>
  <si>
    <t>NVMY34535000013566</t>
  </si>
  <si>
    <t>MUHAMMAD IZZARUL IZZAT BIN AHMAD FAUZI</t>
  </si>
  <si>
    <t xml:space="preserve">LOT 508A JALAN YADI , TELOK GADONG KECIL , 41250 KLANG SELANGOR </t>
  </si>
  <si>
    <t>D5-PKL-2-146</t>
  </si>
  <si>
    <t>NVMY34535000013583</t>
  </si>
  <si>
    <t>Cik .puan rara</t>
  </si>
  <si>
    <t>C -G-8 CONDOMINIUM KEN RIMBA 1 JALAN LENGKUAS 16/26 SEKSYEN 16  40200 shah alam selangor</t>
  </si>
  <si>
    <t>NVMY34535000013604</t>
  </si>
  <si>
    <t>MOHD SUHAIMI BIN SURATMAN</t>
  </si>
  <si>
    <t xml:space="preserve">NO 40 JALAN DESA MAWAR 3/4 TAMAN DESA MAWAR 45500 TANJONG KARANG , SELANGOR </t>
  </si>
  <si>
    <t>NVMY34535000013591</t>
  </si>
  <si>
    <t>MUHAMMAD FAIRUZ BIN ABD RAHMAN</t>
  </si>
  <si>
    <t xml:space="preserve">GOMBAK HORSE RIDING CLUB , LOT 5639 , JALAN SG PASU , KAMPUNG SUNGAI PASU , 53100 KUALA LUMPUR </t>
  </si>
  <si>
    <t>NVMY34535000013568</t>
  </si>
  <si>
    <t>MIMI MOHAMAD</t>
  </si>
  <si>
    <t xml:space="preserve">218/ JALAN CENGAL 12 , TAMAN CENGAL INDAH 4 09000 KULIM KEDAH </t>
  </si>
  <si>
    <t>NVMY34535000013592</t>
  </si>
  <si>
    <t>AZIZI</t>
  </si>
  <si>
    <t>30, JALAN P10/21, TAMAN PERINDUSTRIAN SELAMAN 43650 BANDAR BARU BANGI SELANGOR</t>
  </si>
  <si>
    <t>NVMY34535000013559</t>
  </si>
  <si>
    <t>VANITHA</t>
  </si>
  <si>
    <t>77-03-26, Bandar Baru Sentul, Kuala Lumpur 51000, W.Persekutuan (KL)</t>
  </si>
  <si>
    <t>NVMY34535000013600</t>
  </si>
  <si>
    <t>CIK NOR ANIS NADIA</t>
  </si>
  <si>
    <t>NO 12-22 RESIDENSI MEDAN , JLN PJS 3/54 , PJS 3 46000 PETALING JAYA SELANGOR</t>
  </si>
  <si>
    <t>NVMY34535000013555</t>
  </si>
  <si>
    <t>NOR AIN MUSA</t>
  </si>
  <si>
    <t>NO 73 JALAN SRI TEMENGGONG 28, TAMAN SRI TEMENGGONG 84000 MUAR JOHOR</t>
  </si>
  <si>
    <t>NVMY34535000013558</t>
  </si>
  <si>
    <t>NORASIDAH BUANG</t>
  </si>
  <si>
    <t>TL JPA/3 PARIT PUASA KAMPUNG PARIT PANJANG 82100 AYER BALOI PONTIAN JOHOR</t>
  </si>
  <si>
    <t>NVMY34535000013542</t>
  </si>
  <si>
    <t>NURUL AMIRA BT ZAMBRI</t>
  </si>
  <si>
    <t>NO 18 LORONG MEWAH 33, TAMAN MEWAH 34600 KAMUNTING PERAK</t>
  </si>
  <si>
    <t>NVMY34535000013579</t>
  </si>
  <si>
    <t>SYARAFINA BINTI MAZLAN</t>
  </si>
  <si>
    <t>NO 51, KAMPUNG MASJID SERA MUKIM PULAI 09100 BALING, KEDAH</t>
  </si>
  <si>
    <t>NVMY34535000013586</t>
  </si>
  <si>
    <t>Sarina bt Sulaiman</t>
  </si>
  <si>
    <t>No 381 A Jalan Alang Ishak Kg Sg Tapah Tambahan 30020 Ipoh Perak.</t>
  </si>
  <si>
    <t>NVMY34535000013610</t>
  </si>
  <si>
    <t>ROSEZAPRIMA A/P MOHD ROSLAN</t>
  </si>
  <si>
    <t>NO 26 TAMAN KENANGA 1, 28600 KARAK PAHANG</t>
  </si>
  <si>
    <t>NVMY34535000013633</t>
  </si>
  <si>
    <t>SHAMSUL EZWAN BIN AZIZAN</t>
  </si>
  <si>
    <t>NO 15, JALAN 23, TAMAN RAMBAI JAYA BUKIT RAMBAI 75250 MELAKA</t>
  </si>
  <si>
    <t>NVMY34535000013563</t>
  </si>
  <si>
    <t xml:space="preserve">NIK IKAN BAKAR NO 1 MEDAN SELERA MASJID KAYANGAN BRINCHANG 39100 CAMERON HIGHLANDS PAHANG </t>
  </si>
  <si>
    <t>NVMY34535000013582</t>
  </si>
  <si>
    <t>MARYNA ZAMRI</t>
  </si>
  <si>
    <t xml:space="preserve">NO 27 , LALUAN MBM 16 TAMAN MEDAN BEMBAN MESRA , 31000 BATU GAJAH PERAK </t>
  </si>
  <si>
    <t>NVMY34535000013562</t>
  </si>
  <si>
    <t>NVMY34535000013585</t>
  </si>
  <si>
    <t>Rasina Binti Mat Yasin</t>
  </si>
  <si>
    <t>Blok A15 Unit 909 RKTLDM, Pangkalan TLDM 32100 Lumut, Perak</t>
  </si>
  <si>
    <t>NVMY34535000013628</t>
  </si>
  <si>
    <t>25 JALAN DELIMA 1/3, BATU 3, SUBANG HI-TECH INDUSTRIAL PARK 40000 SHAH ALAM, SELANGOR, Selangor, Shah Alam, -, 40000</t>
  </si>
  <si>
    <t>NVMY34535000013578</t>
  </si>
  <si>
    <t>ARNOLD IDOL JANI</t>
  </si>
  <si>
    <t>JS TRADING PETI SURAT, 286, 89320 KAMPUNG TAVIU TELUPID, SABAH</t>
  </si>
  <si>
    <t>NVMY34535000013615</t>
  </si>
  <si>
    <t>LAI TZU LYNN</t>
  </si>
  <si>
    <t>NO 37 JALAN DU 3/2, TAMAN DAMAI UTAMA 47180 PUCHONG, SELANGOR</t>
  </si>
  <si>
    <t>NVMY34535000013616</t>
  </si>
  <si>
    <t>NVMY34535000013634</t>
  </si>
  <si>
    <t>OFFICE - SHARUL NIZAM</t>
  </si>
  <si>
    <t>G-10, JALAN PUJ 3/7, TAMAN PUNCAK JALIL 43300 SELANGOR</t>
  </si>
  <si>
    <t>NVMY34535000013618</t>
  </si>
  <si>
    <t>AZLINDA HAIZA HANAFI</t>
  </si>
  <si>
    <t xml:space="preserve">PT 7884 TAMAN DESA RU RENDANG , JALAN BUKIT KOR , 21600 MARANG TERENGGANU </t>
  </si>
  <si>
    <t>NVMY34535000013560</t>
  </si>
  <si>
    <t>Mashitoh binti Alias</t>
  </si>
  <si>
    <t>Kampung kubang Palas  06300 Kuala Nerang Kedah</t>
  </si>
  <si>
    <t>NVMY34535000013581</t>
  </si>
  <si>
    <t>NOOR HASNIZA BT AZIZDIN SHAH</t>
  </si>
  <si>
    <t xml:space="preserve">NO 17 , JALAN JH 15 , TAMAN JANA HARMONI 34600 KEMUNTING , PERAK </t>
  </si>
  <si>
    <t>NVMY34535000013611</t>
  </si>
  <si>
    <t>NOR SYUHADA BT SAIBUN</t>
  </si>
  <si>
    <t>NO 297 FELDA KERTEH 1, 23300 KETENGAH JAYA DUNGUN TERENGGANU</t>
  </si>
  <si>
    <t>NVMY34535000013636</t>
  </si>
  <si>
    <t>ZAMRI BIN OMAR</t>
  </si>
  <si>
    <t>SU 887, JALAN INDAH 20 TAMAN INDAH 78300 MASJID TANAH MELAKA</t>
  </si>
  <si>
    <t>NVMY34535000013627</t>
  </si>
  <si>
    <t>ATTN ; MS/MR LOW</t>
  </si>
  <si>
    <t xml:space="preserve">NO 20 JALAN TAIPING 40200 KLANG SELANGOR </t>
  </si>
  <si>
    <t>NVMY34535000013614</t>
  </si>
  <si>
    <t>FELICIA TAN</t>
  </si>
  <si>
    <t>BREM PARK 2 HILLRICE CONDOMINIUM 6-9-19, JALAN SELESA, HAPPY GARDEN 58200 KUALA LUMPUR</t>
  </si>
  <si>
    <t>NVMY34535000013637</t>
  </si>
  <si>
    <t xml:space="preserve"> I WORK MANAGEMENT SERVICES</t>
  </si>
  <si>
    <t>2765-C, JALAN CHANGKAT PERMATA, TAMAN PERMATA 53300 KUALA LUMPUR</t>
  </si>
  <si>
    <t>NVMY34535000013584</t>
  </si>
  <si>
    <t>SITI ZAHARAH BT AHMAD</t>
  </si>
  <si>
    <t xml:space="preserve">A07-06 RIMBUN SANCTUARY APARTMENT U8/54 JALAN BIRAI BUKIT JELUTONG 40150 SHAH ALAM SELANGOR </t>
  </si>
  <si>
    <t>NVMY34535000013631</t>
  </si>
  <si>
    <t>AZMAN AB GHANI</t>
  </si>
  <si>
    <t>AMANAH IKHTIAR MALAYSIA CAWANGAN PASIR PUTEH LOT 1897, TAMAN PASIR PERMAI 16800 PASIR PUTEH, KELANTAN</t>
  </si>
  <si>
    <t>NVMY34535000013601</t>
  </si>
  <si>
    <t>Nur adriana izara</t>
  </si>
  <si>
    <t>No.7 Tingkat 2, Jln Perdana Height 2/1, Lot88 Perdana Height 08000 Sungai Petani, Kedah.</t>
  </si>
  <si>
    <t>NVMY34535000013589</t>
  </si>
  <si>
    <t>INTAN AZUAN</t>
  </si>
  <si>
    <t>NO 12,JLN SRI API-API 8, TAMAN SRI API-API,82000 PONTIAN,JOHOR</t>
  </si>
  <si>
    <t>NVMY34535000013629</t>
  </si>
  <si>
    <t>ISMAIL MOTOR</t>
  </si>
  <si>
    <t>155-C WAKAF CHE YEH, CABANG TIGA JALAN KUALA KRAI KOTA BHARU, KELANTAN</t>
  </si>
  <si>
    <t>NVMY34535000013625</t>
  </si>
  <si>
    <t>PUAN SAFINAZ</t>
  </si>
  <si>
    <t>MY-SUTERA SDN BHD, LOT NO 9 &amp; 11 JALAN TUKANG 16/4, SEKSYEN 16, 40000 SHAH ALAM, SELANGOR</t>
  </si>
  <si>
    <t>NVMY34535000014024</t>
  </si>
  <si>
    <t>MOHD FAUZAN B RAMLE</t>
  </si>
  <si>
    <t xml:space="preserve">NO 385 FELDA LEPAR HILIR 1 26300 GAMBANG KUANTAN PAHANG </t>
  </si>
  <si>
    <t>NVMY34535000014022</t>
  </si>
  <si>
    <t>NVMY34535000013987</t>
  </si>
  <si>
    <t>Sufian Hadi</t>
  </si>
  <si>
    <t>Kampung Batu 16 1/2, Hadapan Pusat Perkhidmatan Veterinar, Jalan Air Putih, 24050, kemaman. Terengganu</t>
  </si>
  <si>
    <t>NVMY34535000013991</t>
  </si>
  <si>
    <t>SHAH SHAHMIE</t>
  </si>
  <si>
    <t>NO 495, LORONG KUCAI 6/5 TAMAN KUCAI 09600 LUNAS KEDAH</t>
  </si>
  <si>
    <t>NVMY34535000014023</t>
  </si>
  <si>
    <t>WAN NUR FARHANA BINTI WAN ISMAIL</t>
  </si>
  <si>
    <t>PT5954 TAMAN SAUJANA HARMONI JALAN BALAU 1/4, 18300 GUA MUSANG KELANTAN</t>
  </si>
  <si>
    <t>NVMY34535000013973</t>
  </si>
  <si>
    <t>CIK ATIKAH</t>
  </si>
  <si>
    <t>B-16-11,PELANGI UTAMA CONDOMINIUM BANDAR UTAMA 47800 PETALING JAYA SELANGOR</t>
  </si>
  <si>
    <t>NVMY34535000013981</t>
  </si>
  <si>
    <t>SITI NOR JANNAH BT WAHAB</t>
  </si>
  <si>
    <t xml:space="preserve">1188/ MUKIM 21 GUAR JERING 14400 KUBANG SEMANG , BUKIT MERTAJAM PULAU PINANG </t>
  </si>
  <si>
    <t>NVMY34535000013990</t>
  </si>
  <si>
    <t>NVMY34535000014012</t>
  </si>
  <si>
    <t>Aisyah Adam</t>
  </si>
  <si>
    <t>Blok E4-4-8 flat desa pandan jalan 1/76B desa pandan, 55100 kuala lumpur</t>
  </si>
  <si>
    <t>NVMY34535000014021</t>
  </si>
  <si>
    <t>ETHAN TAN</t>
  </si>
  <si>
    <t>9, JALAN SS 2/72, 47300 PETALING JAYA SELANGOR</t>
  </si>
  <si>
    <t>NVMY34535000014002</t>
  </si>
  <si>
    <t>Siti Nor Hasiah Binti Md Hussin</t>
  </si>
  <si>
    <t>2807 Jalan Belatok Kg Dato Ahmad Said Tambahan 2,30020 Ipoh Perak</t>
  </si>
  <si>
    <t>NVMY34535000013920</t>
  </si>
  <si>
    <t>NOOR HASNIZAH BT MASUNI</t>
  </si>
  <si>
    <t>LOT 2200 LORONG 5, TMN KIDURONG AVENUE, COASTAL ROAD 97000 BINTULU, SARAWAK</t>
  </si>
  <si>
    <t>NVMY34535000014004</t>
  </si>
  <si>
    <t>ZAITUN BINTI MUSTAPA</t>
  </si>
  <si>
    <t>NO 1884 KAMPUNG JOH LABOK 18500 MACHANG KELANTAN</t>
  </si>
  <si>
    <t>NVMY34535000014001</t>
  </si>
  <si>
    <t>Rozanah binti musid.</t>
  </si>
  <si>
    <t>No32jalan tk5/32a,taman mawar.47100 puchong selangor</t>
  </si>
  <si>
    <t>NVMY34535000013984</t>
  </si>
  <si>
    <t>ain sukhman</t>
  </si>
  <si>
    <t>no 1684 jalan warisan puteri a57 Precint 6 70400 seremban negeri sembilan</t>
  </si>
  <si>
    <t>NVMY34535000014015</t>
  </si>
  <si>
    <t>Cha</t>
  </si>
  <si>
    <t>No 13 jalan rhu 2/2 pines , bandar hillpark 42300 puncak alam selangor</t>
  </si>
  <si>
    <t>NVMY34535000014013</t>
  </si>
  <si>
    <t>INDAH</t>
  </si>
  <si>
    <t>NO 7 JALAN GP 12 TAMAN GADONG PERDANA 75200 MELAKA</t>
  </si>
  <si>
    <t>NVMY34535000014017</t>
  </si>
  <si>
    <t>RAIMI</t>
  </si>
  <si>
    <t>NO 30 JKR 990 LORONG 9 TAMAN BALOK RIA BALOK 26100 SUNGAI KARANG KUANTAN PAHANG</t>
  </si>
  <si>
    <t>NVMY34535000013977</t>
  </si>
  <si>
    <t>ZIQO</t>
  </si>
  <si>
    <t xml:space="preserve">NO 8 , JALAN ME49A , TAMAN KLUANG BARAT , 86000 KLUANG JOHOR </t>
  </si>
  <si>
    <t>NVMY34535000014018</t>
  </si>
  <si>
    <t>LUKMAN</t>
  </si>
  <si>
    <t>LOT 5184 NO 19B JALAN MAHANG 42700 OLAK LEMPIT BANTING SELANGOR</t>
  </si>
  <si>
    <t>NVMY34535000013986</t>
  </si>
  <si>
    <t>ATTN TUI SWEE HING</t>
  </si>
  <si>
    <t>M &amp; T TRADING NO 9 JALAN 12/1 SEKSYEN 12, 43650 BANDAR BARU BANGI SELANGOR</t>
  </si>
  <si>
    <t>NVMY34535000013997</t>
  </si>
  <si>
    <t>BANK PERTANIAN MALAYSIA BERHAD (AGROBANK)</t>
  </si>
  <si>
    <t xml:space="preserve">TRADE FINANCE DEPARTMENT SUITE 8.0.8 TH FLOOR , WISMA MARAN NO 28 MEDAN PASAR , 50050 KUALA LUMPUR </t>
  </si>
  <si>
    <t>NVMY34535000014007</t>
  </si>
  <si>
    <t>Nur ainaa zuliyana</t>
  </si>
  <si>
    <t>No 13 jalan penghulu 8/3 bandar mahkota cheras seksyen 3 43200 selangor</t>
  </si>
  <si>
    <t>D4-BMC-6-135</t>
  </si>
  <si>
    <t>NVMY34535000013998</t>
  </si>
  <si>
    <t>Alvin</t>
  </si>
  <si>
    <t>No 11 Jalan Zuhrah U5/154 Bandar Pinggiran Subang 40150 Shah Alam</t>
  </si>
  <si>
    <t>NVMY34535000013978</t>
  </si>
  <si>
    <t>NUR ATIKAH BINTI ROSIDI</t>
  </si>
  <si>
    <t xml:space="preserve">20 TAMAN SERI JITRA 06000 KEDAH DARULAMAN </t>
  </si>
  <si>
    <t>NVMY34535000013982</t>
  </si>
  <si>
    <t>MUHD NUR HASSAN</t>
  </si>
  <si>
    <t xml:space="preserve">2089 MUKIM 5 , KAMPUNG PETANI KUBANG SEMANG 14000 PENANG </t>
  </si>
  <si>
    <t>NVMY34535000014011</t>
  </si>
  <si>
    <t>suhaida nafisa bt udin</t>
  </si>
  <si>
    <t>b-1334 kampung tebauk 21200 kuala terengganu</t>
  </si>
  <si>
    <t>NVMY34535000014014</t>
  </si>
  <si>
    <t>IEYDA RAZAK</t>
  </si>
  <si>
    <t>115 KG PADANG LALANG FELDA NERAM SATU , 24060 KEMAMAN TERENGGANU</t>
  </si>
  <si>
    <t>B1-BLK-19-30</t>
  </si>
  <si>
    <t>NVMY34535000014029</t>
  </si>
  <si>
    <t>ELL MELOR</t>
  </si>
  <si>
    <t>8-5-1 PANGSAPURI TERATAI BLOK 1 TAMAN BUKIT SUBANG JALAN METAFASA SEKSYEN U16, 40160 SHAH ALAM SELANGOR</t>
  </si>
  <si>
    <t>NVMY34535000013993</t>
  </si>
  <si>
    <t>Chee Yong Ning</t>
  </si>
  <si>
    <t>Block B 13-20 1, Jalan PJU 1a/1, Ara Damansara, 47301 Petaling Jaya, Selangor</t>
  </si>
  <si>
    <t>NVMY34535000014000</t>
  </si>
  <si>
    <t>shalina</t>
  </si>
  <si>
    <t>41 jalan ambang 2/3 79100 iskandar puteri johor  bharu</t>
  </si>
  <si>
    <t>NVMY34535000013956</t>
  </si>
  <si>
    <t>Sukri bin Mamat</t>
  </si>
  <si>
    <t>M94 OMQ Jalan Sabah Pangkalan Udara Subang 40000 shah alam</t>
  </si>
  <si>
    <t>NVMY34535000014026</t>
  </si>
  <si>
    <t>NORASHIKEN OSMAN</t>
  </si>
  <si>
    <t xml:space="preserve">LOT 14992 , KG JOHAN SETIA KM8 JALAN LANGAT , 41200 KLANG SELANGOR </t>
  </si>
  <si>
    <t>NVMY34535000013975</t>
  </si>
  <si>
    <t>MOHD ZAWAWI MOHD ZAIN</t>
  </si>
  <si>
    <t>206 BLOK 12 JLN 4/2 SEKSYEN 4 BANDAR BARU BANGI 43650 SELANGOR</t>
  </si>
  <si>
    <t>NVMY34535000014003</t>
  </si>
  <si>
    <t>SITI NORHUSNIBAWATI MAT NAWAWI</t>
  </si>
  <si>
    <t>NO 42 KUARTERS KTMB, JALAN KASTAM 42000 PELABUHAN KLANG SELANGOR</t>
  </si>
  <si>
    <t>NVMY34535000014027</t>
  </si>
  <si>
    <t>RAZIF BIN ABDUL HAKIM</t>
  </si>
  <si>
    <t xml:space="preserve">LOT 2175 JALAN KHAMIS MERU , 41050 KLANG SELANGOR </t>
  </si>
  <si>
    <t>NVMY34535000013979</t>
  </si>
  <si>
    <t>HASZ</t>
  </si>
  <si>
    <t xml:space="preserve">1-30-1 THE RISE COLLECTION 2 , JALAN BR WU LIEN TEH , 10150 GEORGETOWN , PENANG </t>
  </si>
  <si>
    <t>NVMY34535000014006</t>
  </si>
  <si>
    <t>SITI ROHANI BT ABDUL WAHAB</t>
  </si>
  <si>
    <t>KLINIK KESIHATAN BUTTERWORTH (IBU DAN ANAK) JALAN PANTAI 12000 BUTTERWORTH PULAU PINANG</t>
  </si>
  <si>
    <t>NVMY34535000014050</t>
  </si>
  <si>
    <t>Azlin Md Ariff</t>
  </si>
  <si>
    <t>37, Jalan SP6/4, BANDAR SERI PUTRA 43000 KAJANG SELANGOR</t>
  </si>
  <si>
    <t>NVMY34535000014042</t>
  </si>
  <si>
    <t>KARTINA BINTI ISMAIL</t>
  </si>
  <si>
    <t>NO 11, TAMAN MUTIARA PERDANA 1, LORONG SG KARANG DARAT 18 , KUANTAN , PAHANG MY 26100</t>
  </si>
  <si>
    <t>NVMY34535000014037</t>
  </si>
  <si>
    <t>ANIS HAZWAN BINTI ABDULLAH</t>
  </si>
  <si>
    <t xml:space="preserve">NO 1A BLOK G , QUATERS HOSPITAL KUALA KRAI , JALAN PINTAS 18000 KUALA KRAI KELANTAN </t>
  </si>
  <si>
    <t>NVMY34535000014008</t>
  </si>
  <si>
    <t>NUR TT</t>
  </si>
  <si>
    <t>T/L 17 , kampung permatang palas laut 82200 benut , pontian , johor</t>
  </si>
  <si>
    <t>NVMY34535000014040</t>
  </si>
  <si>
    <t>DANIAL</t>
  </si>
  <si>
    <t xml:space="preserve">LOT 61 KAMPUNG TOK PANJANG JALAN KUALA BESAR , 15350 KOTA BHARU , KELANTAN </t>
  </si>
  <si>
    <t>NVMY34535000014020</t>
  </si>
  <si>
    <t>NVMY34535000014010</t>
  </si>
  <si>
    <t>Afiqah Mutalib</t>
  </si>
  <si>
    <t>378, Lorong Tiram 4/5,Taman Tiram,09600 Lunas Kedah</t>
  </si>
  <si>
    <t>NVMY34535000014034</t>
  </si>
  <si>
    <t>SYAFIRA ANIS BT ISMAIL</t>
  </si>
  <si>
    <t xml:space="preserve">KOMPLEKS PERUMAHAN POLIS ALOR AKAR BLOK HELECONIA F-4-5 JALAN ALOR AKAR 25250 KUANTAN PAHANG </t>
  </si>
  <si>
    <t>NVMY34535000014043</t>
  </si>
  <si>
    <t>Mahayani Binti Rajab</t>
  </si>
  <si>
    <t>No 13 A Kg. Tanjong Besar  Paya Pulai  28000 Temerloh Pahang</t>
  </si>
  <si>
    <t>NVMY34535000013947</t>
  </si>
  <si>
    <t>NVMY34535000014016</t>
  </si>
  <si>
    <t>MOHD AZMAN</t>
  </si>
  <si>
    <t>NO 16, JALAN TEMBUSU, TMN CEMPAKA SELATAN JLN JUNID 84000 MUAR JOHOR BAHRU JOHOR</t>
  </si>
  <si>
    <t>NVMY34535000014025</t>
  </si>
  <si>
    <t>MURNI ZAINAL</t>
  </si>
  <si>
    <t xml:space="preserve">NO 13 PENGKALAN MUTIARA 13 DESA PENGKALAN MUTIARA 31500 LAHAT PERAK </t>
  </si>
  <si>
    <t>NVMY34535000014064</t>
  </si>
  <si>
    <t>Siti zubaidah binti muda</t>
  </si>
  <si>
    <t>No 20 rumah kedai Jengka 8, 26400 bandar Jengka,Pahang darul makmur</t>
  </si>
  <si>
    <t>NVMY34535000014057</t>
  </si>
  <si>
    <t>Syila BT Ab Halim</t>
  </si>
  <si>
    <t>Dt 88,Kampung Pandan Satu,26070,Kuantan Pahang.Darulmakmur</t>
  </si>
  <si>
    <t>NVMY34535000014009</t>
  </si>
  <si>
    <t>UMI AFIQAh</t>
  </si>
  <si>
    <t>Lot 5092, simpang 3 ulu sepetang, 34010 taiping perak</t>
  </si>
  <si>
    <t>NVMY34535000014005</t>
  </si>
  <si>
    <t>MUHAMMAD FAKRUL HAKIMI BIN YUSOFF</t>
  </si>
  <si>
    <t>LORONG 1, JALAN IMAN ATAS PADANG KAMPUNG MELAYU PANDAN 81100 JOHOR BAHRU JOHOR</t>
  </si>
  <si>
    <t>NVMY34535000014030</t>
  </si>
  <si>
    <t>NORIAH BT JAAFAR</t>
  </si>
  <si>
    <t>NO 5 JALAN CEMPAKA 12/1A BANDAR SRI DAMANSARA 52200 KL</t>
  </si>
  <si>
    <t>NVMY34535000014033</t>
  </si>
  <si>
    <t>NOR NAJIMA</t>
  </si>
  <si>
    <t>PUSAT PEMULIHAN PENAGIHAN NARKOTIK (PUSPEN) SEPANG BLOCK JKR SPG JALAN WARISAN INDAH 43900 SEPANG, SELANGOR</t>
  </si>
  <si>
    <t>NVMY34535000014065</t>
  </si>
  <si>
    <t>FADHLIL WAFI MUDIN</t>
  </si>
  <si>
    <t>LOT 808, KAMPUNG PENGKALAN BARU 16350 BACHOK KELANTAN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</si>
</sst>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0" fillId="6" borderId="0" xfId="1" applyFont="1" applyFill="1"/>
    <xf numFmtId="43" fontId="0" fillId="6" borderId="0" xfId="0" applyNumberFormat="1" applyFill="1"/>
    <xf numFmtId="43" fontId="0" fillId="7" borderId="0" xfId="1" applyFont="1" applyFill="1" applyBorder="1" applyAlignment="1" applyProtecti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4744-C20F-43E9-B704-D4382DA88DAE}">
  <dimension ref="A1:AH772"/>
  <sheetViews>
    <sheetView tabSelected="1" workbookViewId="0">
      <selection sqref="A1:AH770"/>
    </sheetView>
  </sheetViews>
  <sheetFormatPr defaultRowHeight="15" x14ac:dyDescent="0.25"/>
  <sheetData>
    <row r="1" spans="1:34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</row>
    <row r="2" spans="1:34" ht="15" customHeight="1" x14ac:dyDescent="0.25">
      <c r="A2">
        <v>7547676</v>
      </c>
      <c r="B2" t="s">
        <v>34</v>
      </c>
      <c r="C2" t="s">
        <v>35</v>
      </c>
      <c r="D2" s="6" t="s">
        <v>34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>
        <v>2</v>
      </c>
      <c r="K2" t="s">
        <v>41</v>
      </c>
      <c r="L2" t="s">
        <v>42</v>
      </c>
      <c r="M2" t="s">
        <v>43</v>
      </c>
      <c r="N2" s="7">
        <v>1</v>
      </c>
      <c r="O2" s="8">
        <v>45516.725173611114</v>
      </c>
      <c r="P2" s="9">
        <v>45518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>
        <v>31900</v>
      </c>
      <c r="W2" t="s">
        <v>45</v>
      </c>
      <c r="X2" t="s">
        <v>49</v>
      </c>
      <c r="Y2" t="s">
        <v>50</v>
      </c>
      <c r="Z2" s="10">
        <f t="shared" ref="Z2:Z17" si="0">IF(N2&lt;=1,9,9+0.8*ROUNDUP(N2-1,0))</f>
        <v>9</v>
      </c>
      <c r="AA2" s="11">
        <v>0</v>
      </c>
      <c r="AB2" s="11">
        <v>-2</v>
      </c>
      <c r="AC2" s="11">
        <v>0</v>
      </c>
      <c r="AD2" s="11">
        <v>0</v>
      </c>
      <c r="AE2" s="11">
        <v>0</v>
      </c>
      <c r="AF2" s="11">
        <f t="shared" ref="AF2:AF65" si="1">(Z2+AB2+AC2+AE2)*6%</f>
        <v>0.42</v>
      </c>
      <c r="AG2" s="11">
        <f t="shared" ref="AG2:AG65" si="2">Z2+AB2+AC2+AE2+AF2</f>
        <v>7.42</v>
      </c>
      <c r="AH2" t="s">
        <v>51</v>
      </c>
    </row>
    <row r="3" spans="1:34" ht="15" customHeight="1" x14ac:dyDescent="0.25">
      <c r="A3">
        <v>7547676</v>
      </c>
      <c r="B3" t="s">
        <v>34</v>
      </c>
      <c r="C3" t="s">
        <v>35</v>
      </c>
      <c r="D3" s="6" t="s">
        <v>34</v>
      </c>
      <c r="E3" t="s">
        <v>52</v>
      </c>
      <c r="F3" t="s">
        <v>37</v>
      </c>
      <c r="G3" t="s">
        <v>38</v>
      </c>
      <c r="H3" t="s">
        <v>53</v>
      </c>
      <c r="I3" t="s">
        <v>40</v>
      </c>
      <c r="J3">
        <v>2</v>
      </c>
      <c r="K3" t="s">
        <v>41</v>
      </c>
      <c r="L3" t="s">
        <v>42</v>
      </c>
      <c r="M3" t="s">
        <v>43</v>
      </c>
      <c r="N3" s="7">
        <v>1</v>
      </c>
      <c r="O3" s="8">
        <v>45516.708865740744</v>
      </c>
      <c r="P3" s="9">
        <v>45518</v>
      </c>
      <c r="Q3" t="s">
        <v>44</v>
      </c>
      <c r="R3" t="s">
        <v>45</v>
      </c>
      <c r="S3" t="s">
        <v>46</v>
      </c>
      <c r="T3" t="s">
        <v>54</v>
      </c>
      <c r="U3" t="s">
        <v>55</v>
      </c>
      <c r="V3">
        <v>82300</v>
      </c>
      <c r="W3" t="s">
        <v>45</v>
      </c>
      <c r="X3" t="s">
        <v>56</v>
      </c>
      <c r="Y3" t="s">
        <v>50</v>
      </c>
      <c r="Z3" s="10">
        <f t="shared" si="0"/>
        <v>9</v>
      </c>
      <c r="AA3" s="11">
        <v>0</v>
      </c>
      <c r="AB3" s="11">
        <v>-2</v>
      </c>
      <c r="AC3" s="11">
        <v>0</v>
      </c>
      <c r="AD3" s="11">
        <v>0</v>
      </c>
      <c r="AE3" s="11">
        <v>0</v>
      </c>
      <c r="AF3" s="11">
        <f t="shared" si="1"/>
        <v>0.42</v>
      </c>
      <c r="AG3" s="11">
        <f t="shared" si="2"/>
        <v>7.42</v>
      </c>
      <c r="AH3" t="s">
        <v>51</v>
      </c>
    </row>
    <row r="4" spans="1:34" ht="15" customHeight="1" x14ac:dyDescent="0.25">
      <c r="A4">
        <v>7547676</v>
      </c>
      <c r="B4" t="s">
        <v>34</v>
      </c>
      <c r="C4" t="s">
        <v>35</v>
      </c>
      <c r="D4" s="6" t="s">
        <v>34</v>
      </c>
      <c r="E4" t="s">
        <v>57</v>
      </c>
      <c r="F4" t="s">
        <v>37</v>
      </c>
      <c r="G4" t="s">
        <v>38</v>
      </c>
      <c r="H4" t="s">
        <v>58</v>
      </c>
      <c r="I4" t="s">
        <v>40</v>
      </c>
      <c r="J4">
        <v>2</v>
      </c>
      <c r="K4" t="s">
        <v>41</v>
      </c>
      <c r="L4" t="s">
        <v>42</v>
      </c>
      <c r="M4" t="s">
        <v>43</v>
      </c>
      <c r="N4" s="7">
        <v>1</v>
      </c>
      <c r="O4" s="8">
        <v>45515.828287037039</v>
      </c>
      <c r="P4" s="9">
        <v>45518</v>
      </c>
      <c r="Q4" t="s">
        <v>44</v>
      </c>
      <c r="R4" t="s">
        <v>45</v>
      </c>
      <c r="S4" t="s">
        <v>46</v>
      </c>
      <c r="T4" t="s">
        <v>59</v>
      </c>
      <c r="U4" t="s">
        <v>60</v>
      </c>
      <c r="V4">
        <v>13800</v>
      </c>
      <c r="W4" t="s">
        <v>45</v>
      </c>
      <c r="X4" t="s">
        <v>61</v>
      </c>
      <c r="Y4" t="s">
        <v>50</v>
      </c>
      <c r="Z4" s="10">
        <f t="shared" si="0"/>
        <v>9</v>
      </c>
      <c r="AA4" s="11">
        <v>0</v>
      </c>
      <c r="AB4" s="11">
        <v>-2</v>
      </c>
      <c r="AC4" s="11">
        <v>0</v>
      </c>
      <c r="AD4" s="11">
        <v>0</v>
      </c>
      <c r="AE4" s="11">
        <v>0</v>
      </c>
      <c r="AF4" s="11">
        <f t="shared" si="1"/>
        <v>0.42</v>
      </c>
      <c r="AG4" s="11">
        <f t="shared" si="2"/>
        <v>7.42</v>
      </c>
      <c r="AH4" t="s">
        <v>51</v>
      </c>
    </row>
    <row r="5" spans="1:34" ht="15" customHeight="1" x14ac:dyDescent="0.25">
      <c r="A5">
        <v>7547676</v>
      </c>
      <c r="B5" t="s">
        <v>34</v>
      </c>
      <c r="C5" t="s">
        <v>35</v>
      </c>
      <c r="D5" s="6" t="s">
        <v>34</v>
      </c>
      <c r="E5" t="s">
        <v>62</v>
      </c>
      <c r="F5" t="s">
        <v>37</v>
      </c>
      <c r="G5" t="s">
        <v>38</v>
      </c>
      <c r="H5" t="s">
        <v>63</v>
      </c>
      <c r="I5" t="s">
        <v>40</v>
      </c>
      <c r="J5">
        <v>2</v>
      </c>
      <c r="K5" t="s">
        <v>41</v>
      </c>
      <c r="L5" t="s">
        <v>42</v>
      </c>
      <c r="M5" t="s">
        <v>43</v>
      </c>
      <c r="N5" s="7">
        <v>20</v>
      </c>
      <c r="O5" s="8">
        <v>45516.476805555554</v>
      </c>
      <c r="P5" s="9">
        <v>45518</v>
      </c>
      <c r="Q5" t="s">
        <v>44</v>
      </c>
      <c r="R5" t="s">
        <v>45</v>
      </c>
      <c r="S5" t="s">
        <v>46</v>
      </c>
      <c r="T5" t="s">
        <v>54</v>
      </c>
      <c r="U5" t="s">
        <v>64</v>
      </c>
      <c r="V5">
        <v>81750</v>
      </c>
      <c r="W5" t="s">
        <v>45</v>
      </c>
      <c r="X5" t="s">
        <v>65</v>
      </c>
      <c r="Y5" t="s">
        <v>50</v>
      </c>
      <c r="Z5" s="10">
        <f t="shared" si="0"/>
        <v>24.200000000000003</v>
      </c>
      <c r="AA5" s="11">
        <v>0</v>
      </c>
      <c r="AB5" s="11">
        <v>-2</v>
      </c>
      <c r="AC5" s="11">
        <v>0</v>
      </c>
      <c r="AD5" s="11">
        <v>0</v>
      </c>
      <c r="AE5" s="11">
        <v>0</v>
      </c>
      <c r="AF5" s="11">
        <f t="shared" si="1"/>
        <v>1.3320000000000001</v>
      </c>
      <c r="AG5" s="11">
        <f t="shared" si="2"/>
        <v>23.532000000000004</v>
      </c>
      <c r="AH5" t="s">
        <v>51</v>
      </c>
    </row>
    <row r="6" spans="1:34" ht="15" customHeight="1" x14ac:dyDescent="0.25">
      <c r="A6">
        <v>7547676</v>
      </c>
      <c r="B6" t="s">
        <v>34</v>
      </c>
      <c r="C6" t="s">
        <v>35</v>
      </c>
      <c r="D6" s="6" t="s">
        <v>34</v>
      </c>
      <c r="E6" t="s">
        <v>66</v>
      </c>
      <c r="F6" t="s">
        <v>37</v>
      </c>
      <c r="G6" t="s">
        <v>38</v>
      </c>
      <c r="H6" t="s">
        <v>67</v>
      </c>
      <c r="I6" t="s">
        <v>40</v>
      </c>
      <c r="J6">
        <v>2</v>
      </c>
      <c r="K6" t="s">
        <v>41</v>
      </c>
      <c r="L6" t="s">
        <v>42</v>
      </c>
      <c r="M6" t="s">
        <v>43</v>
      </c>
      <c r="N6" s="7">
        <v>2</v>
      </c>
      <c r="O6" s="8">
        <v>45516.725173611114</v>
      </c>
      <c r="P6" s="9">
        <v>45518</v>
      </c>
      <c r="Q6" t="s">
        <v>44</v>
      </c>
      <c r="R6" t="s">
        <v>45</v>
      </c>
      <c r="S6" t="s">
        <v>46</v>
      </c>
      <c r="T6" t="s">
        <v>54</v>
      </c>
      <c r="U6" t="s">
        <v>68</v>
      </c>
      <c r="V6">
        <v>81300</v>
      </c>
      <c r="W6" t="s">
        <v>45</v>
      </c>
      <c r="X6" t="s">
        <v>69</v>
      </c>
      <c r="Y6" t="s">
        <v>50</v>
      </c>
      <c r="Z6" s="10">
        <f t="shared" si="0"/>
        <v>9.8000000000000007</v>
      </c>
      <c r="AA6" s="11">
        <v>0</v>
      </c>
      <c r="AB6" s="11">
        <v>-2</v>
      </c>
      <c r="AC6" s="11">
        <v>0</v>
      </c>
      <c r="AD6" s="11">
        <v>0</v>
      </c>
      <c r="AE6" s="11">
        <v>0</v>
      </c>
      <c r="AF6" s="11">
        <f t="shared" si="1"/>
        <v>0.46800000000000003</v>
      </c>
      <c r="AG6" s="11">
        <f t="shared" si="2"/>
        <v>8.2680000000000007</v>
      </c>
      <c r="AH6" t="s">
        <v>51</v>
      </c>
    </row>
    <row r="7" spans="1:34" ht="15" customHeight="1" x14ac:dyDescent="0.25">
      <c r="A7">
        <v>7547676</v>
      </c>
      <c r="B7" t="s">
        <v>34</v>
      </c>
      <c r="C7" t="s">
        <v>35</v>
      </c>
      <c r="D7" s="6" t="s">
        <v>34</v>
      </c>
      <c r="E7" t="s">
        <v>70</v>
      </c>
      <c r="F7" t="s">
        <v>37</v>
      </c>
      <c r="G7" t="s">
        <v>38</v>
      </c>
      <c r="H7" t="s">
        <v>71</v>
      </c>
      <c r="I7" t="s">
        <v>40</v>
      </c>
      <c r="J7">
        <v>2</v>
      </c>
      <c r="K7" t="s">
        <v>41</v>
      </c>
      <c r="L7" t="s">
        <v>42</v>
      </c>
      <c r="M7" t="s">
        <v>43</v>
      </c>
      <c r="N7" s="7">
        <v>1</v>
      </c>
      <c r="O7" s="8">
        <v>45517.478020833332</v>
      </c>
      <c r="P7" s="9">
        <v>45518</v>
      </c>
      <c r="Q7" t="s">
        <v>44</v>
      </c>
      <c r="R7" t="s">
        <v>45</v>
      </c>
      <c r="S7" t="s">
        <v>46</v>
      </c>
      <c r="T7" t="s">
        <v>72</v>
      </c>
      <c r="U7" t="s">
        <v>73</v>
      </c>
      <c r="V7">
        <v>22000</v>
      </c>
      <c r="W7" t="s">
        <v>45</v>
      </c>
      <c r="X7" t="s">
        <v>74</v>
      </c>
      <c r="Y7" t="s">
        <v>50</v>
      </c>
      <c r="Z7" s="10">
        <f t="shared" si="0"/>
        <v>9</v>
      </c>
      <c r="AA7" s="11">
        <v>0</v>
      </c>
      <c r="AB7" s="11">
        <v>-2</v>
      </c>
      <c r="AC7" s="11">
        <v>0</v>
      </c>
      <c r="AD7" s="11">
        <v>0</v>
      </c>
      <c r="AE7" s="11">
        <v>0</v>
      </c>
      <c r="AF7" s="11">
        <f t="shared" si="1"/>
        <v>0.42</v>
      </c>
      <c r="AG7" s="11">
        <f t="shared" si="2"/>
        <v>7.42</v>
      </c>
      <c r="AH7" t="s">
        <v>51</v>
      </c>
    </row>
    <row r="8" spans="1:34" ht="15" customHeight="1" x14ac:dyDescent="0.25">
      <c r="A8">
        <v>7547676</v>
      </c>
      <c r="B8" t="s">
        <v>34</v>
      </c>
      <c r="C8" t="s">
        <v>35</v>
      </c>
      <c r="D8" s="6" t="s">
        <v>34</v>
      </c>
      <c r="E8" t="s">
        <v>75</v>
      </c>
      <c r="F8" t="s">
        <v>37</v>
      </c>
      <c r="G8" t="s">
        <v>38</v>
      </c>
      <c r="H8" t="s">
        <v>76</v>
      </c>
      <c r="I8" t="s">
        <v>40</v>
      </c>
      <c r="J8">
        <v>2</v>
      </c>
      <c r="K8" t="s">
        <v>41</v>
      </c>
      <c r="L8" t="s">
        <v>42</v>
      </c>
      <c r="M8" t="s">
        <v>43</v>
      </c>
      <c r="N8" s="7">
        <v>1</v>
      </c>
      <c r="O8" s="8">
        <v>45515.828287037039</v>
      </c>
      <c r="P8" s="9">
        <v>45518</v>
      </c>
      <c r="Q8" t="s">
        <v>44</v>
      </c>
      <c r="R8" t="s">
        <v>45</v>
      </c>
      <c r="S8" t="s">
        <v>46</v>
      </c>
      <c r="T8" t="s">
        <v>59</v>
      </c>
      <c r="U8" t="s">
        <v>77</v>
      </c>
      <c r="V8">
        <v>13300</v>
      </c>
      <c r="W8" t="s">
        <v>45</v>
      </c>
      <c r="X8" t="s">
        <v>61</v>
      </c>
      <c r="Y8" t="s">
        <v>50</v>
      </c>
      <c r="Z8" s="10">
        <f t="shared" si="0"/>
        <v>9</v>
      </c>
      <c r="AA8" s="11">
        <v>0</v>
      </c>
      <c r="AB8" s="11">
        <v>-2</v>
      </c>
      <c r="AC8" s="11">
        <v>0</v>
      </c>
      <c r="AD8" s="11">
        <v>0</v>
      </c>
      <c r="AE8" s="11">
        <v>0</v>
      </c>
      <c r="AF8" s="11">
        <f t="shared" si="1"/>
        <v>0.42</v>
      </c>
      <c r="AG8" s="11">
        <f t="shared" si="2"/>
        <v>7.42</v>
      </c>
      <c r="AH8" t="s">
        <v>51</v>
      </c>
    </row>
    <row r="9" spans="1:34" ht="15" customHeight="1" x14ac:dyDescent="0.25">
      <c r="A9">
        <v>7547676</v>
      </c>
      <c r="B9" t="s">
        <v>34</v>
      </c>
      <c r="C9" t="s">
        <v>35</v>
      </c>
      <c r="D9" s="6" t="s">
        <v>34</v>
      </c>
      <c r="E9" t="s">
        <v>78</v>
      </c>
      <c r="F9" t="s">
        <v>37</v>
      </c>
      <c r="G9" t="s">
        <v>38</v>
      </c>
      <c r="H9" t="s">
        <v>79</v>
      </c>
      <c r="I9" t="s">
        <v>40</v>
      </c>
      <c r="J9">
        <v>2</v>
      </c>
      <c r="K9" t="s">
        <v>41</v>
      </c>
      <c r="L9" t="s">
        <v>42</v>
      </c>
      <c r="M9" t="s">
        <v>43</v>
      </c>
      <c r="N9" s="7">
        <v>2</v>
      </c>
      <c r="O9" s="8">
        <v>45516.758518518516</v>
      </c>
      <c r="P9" s="9">
        <v>45519</v>
      </c>
      <c r="Q9" t="s">
        <v>44</v>
      </c>
      <c r="R9" t="s">
        <v>45</v>
      </c>
      <c r="S9" t="s">
        <v>46</v>
      </c>
      <c r="T9" t="s">
        <v>54</v>
      </c>
      <c r="U9" t="s">
        <v>80</v>
      </c>
      <c r="V9">
        <v>84200</v>
      </c>
      <c r="W9" t="s">
        <v>45</v>
      </c>
      <c r="X9" t="s">
        <v>81</v>
      </c>
      <c r="Y9" t="s">
        <v>50</v>
      </c>
      <c r="Z9" s="10">
        <f t="shared" si="0"/>
        <v>9.8000000000000007</v>
      </c>
      <c r="AA9" s="11">
        <v>0</v>
      </c>
      <c r="AB9" s="11">
        <v>-2</v>
      </c>
      <c r="AC9" s="11">
        <v>0</v>
      </c>
      <c r="AD9" s="11">
        <v>0</v>
      </c>
      <c r="AE9" s="11">
        <v>0</v>
      </c>
      <c r="AF9" s="11">
        <f t="shared" si="1"/>
        <v>0.46800000000000003</v>
      </c>
      <c r="AG9" s="11">
        <f t="shared" si="2"/>
        <v>8.2680000000000007</v>
      </c>
      <c r="AH9" t="s">
        <v>51</v>
      </c>
    </row>
    <row r="10" spans="1:34" ht="15" customHeight="1" x14ac:dyDescent="0.25">
      <c r="A10">
        <v>7547676</v>
      </c>
      <c r="B10" t="s">
        <v>34</v>
      </c>
      <c r="C10" t="s">
        <v>35</v>
      </c>
      <c r="D10" s="6" t="s">
        <v>34</v>
      </c>
      <c r="E10" t="s">
        <v>82</v>
      </c>
      <c r="F10" t="s">
        <v>37</v>
      </c>
      <c r="G10" t="s">
        <v>38</v>
      </c>
      <c r="H10" t="s">
        <v>83</v>
      </c>
      <c r="I10" t="s">
        <v>40</v>
      </c>
      <c r="J10">
        <v>2</v>
      </c>
      <c r="K10" t="s">
        <v>41</v>
      </c>
      <c r="L10" t="s">
        <v>42</v>
      </c>
      <c r="M10" t="s">
        <v>43</v>
      </c>
      <c r="N10" s="7">
        <v>1</v>
      </c>
      <c r="O10" s="8">
        <v>45517.658229166664</v>
      </c>
      <c r="P10" s="9">
        <v>45518</v>
      </c>
      <c r="Q10" t="s">
        <v>44</v>
      </c>
      <c r="R10" t="s">
        <v>45</v>
      </c>
      <c r="S10" t="s">
        <v>46</v>
      </c>
      <c r="T10" t="s">
        <v>84</v>
      </c>
      <c r="U10" t="s">
        <v>85</v>
      </c>
      <c r="V10">
        <v>18200</v>
      </c>
      <c r="W10" t="s">
        <v>45</v>
      </c>
      <c r="X10" t="s">
        <v>74</v>
      </c>
      <c r="Y10" t="s">
        <v>50</v>
      </c>
      <c r="Z10" s="10">
        <f t="shared" si="0"/>
        <v>9</v>
      </c>
      <c r="AA10" s="11">
        <v>0</v>
      </c>
      <c r="AB10" s="11">
        <v>-2</v>
      </c>
      <c r="AC10" s="11">
        <v>0</v>
      </c>
      <c r="AD10" s="11">
        <v>0</v>
      </c>
      <c r="AE10" s="11">
        <v>0</v>
      </c>
      <c r="AF10" s="11">
        <f t="shared" si="1"/>
        <v>0.42</v>
      </c>
      <c r="AG10" s="11">
        <f t="shared" si="2"/>
        <v>7.42</v>
      </c>
      <c r="AH10" t="s">
        <v>51</v>
      </c>
    </row>
    <row r="11" spans="1:34" ht="15" customHeight="1" x14ac:dyDescent="0.25">
      <c r="A11">
        <v>7547676</v>
      </c>
      <c r="B11" t="s">
        <v>34</v>
      </c>
      <c r="C11" t="s">
        <v>35</v>
      </c>
      <c r="D11" s="6" t="s">
        <v>34</v>
      </c>
      <c r="E11" t="s">
        <v>86</v>
      </c>
      <c r="F11" t="s">
        <v>37</v>
      </c>
      <c r="G11" t="s">
        <v>38</v>
      </c>
      <c r="H11" t="s">
        <v>87</v>
      </c>
      <c r="I11" t="s">
        <v>40</v>
      </c>
      <c r="J11">
        <v>2</v>
      </c>
      <c r="K11" t="s">
        <v>41</v>
      </c>
      <c r="L11" t="s">
        <v>42</v>
      </c>
      <c r="M11" t="s">
        <v>43</v>
      </c>
      <c r="N11" s="7">
        <v>1</v>
      </c>
      <c r="O11" s="8">
        <v>45517.572662037041</v>
      </c>
      <c r="P11" s="9">
        <v>45519</v>
      </c>
      <c r="Q11" t="s">
        <v>44</v>
      </c>
      <c r="R11" t="s">
        <v>45</v>
      </c>
      <c r="S11" t="s">
        <v>46</v>
      </c>
      <c r="T11" t="s">
        <v>47</v>
      </c>
      <c r="U11" t="s">
        <v>88</v>
      </c>
      <c r="V11">
        <v>31650</v>
      </c>
      <c r="W11" t="s">
        <v>45</v>
      </c>
      <c r="X11" t="s">
        <v>89</v>
      </c>
      <c r="Y11" t="s">
        <v>50</v>
      </c>
      <c r="Z11" s="10">
        <f t="shared" si="0"/>
        <v>9</v>
      </c>
      <c r="AA11" s="11">
        <v>0</v>
      </c>
      <c r="AB11" s="11">
        <v>-2</v>
      </c>
      <c r="AC11" s="11">
        <v>0</v>
      </c>
      <c r="AD11" s="11">
        <v>0</v>
      </c>
      <c r="AE11" s="11">
        <v>0</v>
      </c>
      <c r="AF11" s="11">
        <f t="shared" si="1"/>
        <v>0.42</v>
      </c>
      <c r="AG11" s="11">
        <f t="shared" si="2"/>
        <v>7.42</v>
      </c>
      <c r="AH11" t="s">
        <v>51</v>
      </c>
    </row>
    <row r="12" spans="1:34" ht="15" customHeight="1" x14ac:dyDescent="0.25">
      <c r="A12">
        <v>7547676</v>
      </c>
      <c r="B12" t="s">
        <v>34</v>
      </c>
      <c r="C12" t="s">
        <v>35</v>
      </c>
      <c r="D12" s="6" t="s">
        <v>34</v>
      </c>
      <c r="E12" t="s">
        <v>90</v>
      </c>
      <c r="F12" t="s">
        <v>37</v>
      </c>
      <c r="G12" t="s">
        <v>38</v>
      </c>
      <c r="H12" t="s">
        <v>91</v>
      </c>
      <c r="I12" t="s">
        <v>40</v>
      </c>
      <c r="J12">
        <v>2</v>
      </c>
      <c r="K12" t="s">
        <v>41</v>
      </c>
      <c r="L12" t="s">
        <v>42</v>
      </c>
      <c r="M12" t="s">
        <v>43</v>
      </c>
      <c r="N12" s="7">
        <v>1</v>
      </c>
      <c r="O12" s="8">
        <v>45517.61241898148</v>
      </c>
      <c r="P12" s="9">
        <v>45519</v>
      </c>
      <c r="Q12" t="s">
        <v>44</v>
      </c>
      <c r="R12" t="s">
        <v>45</v>
      </c>
      <c r="S12" t="s">
        <v>46</v>
      </c>
      <c r="T12" t="s">
        <v>92</v>
      </c>
      <c r="U12" t="s">
        <v>93</v>
      </c>
      <c r="V12">
        <v>40200</v>
      </c>
      <c r="W12" t="s">
        <v>45</v>
      </c>
      <c r="X12" t="s">
        <v>94</v>
      </c>
      <c r="Y12" t="s">
        <v>50</v>
      </c>
      <c r="Z12" s="10">
        <f t="shared" si="0"/>
        <v>9</v>
      </c>
      <c r="AA12" s="11">
        <v>0</v>
      </c>
      <c r="AB12" s="11">
        <v>-2</v>
      </c>
      <c r="AC12" s="11">
        <v>0</v>
      </c>
      <c r="AD12" s="11">
        <v>0</v>
      </c>
      <c r="AE12" s="11">
        <v>0</v>
      </c>
      <c r="AF12" s="11">
        <f t="shared" si="1"/>
        <v>0.42</v>
      </c>
      <c r="AG12" s="11">
        <f t="shared" si="2"/>
        <v>7.42</v>
      </c>
      <c r="AH12" t="s">
        <v>51</v>
      </c>
    </row>
    <row r="13" spans="1:34" ht="15" customHeight="1" x14ac:dyDescent="0.25">
      <c r="A13">
        <v>7547676</v>
      </c>
      <c r="B13" t="s">
        <v>34</v>
      </c>
      <c r="C13" t="s">
        <v>35</v>
      </c>
      <c r="D13" s="6" t="s">
        <v>34</v>
      </c>
      <c r="E13" t="s">
        <v>95</v>
      </c>
      <c r="F13" t="s">
        <v>37</v>
      </c>
      <c r="G13" t="s">
        <v>38</v>
      </c>
      <c r="H13" t="s">
        <v>96</v>
      </c>
      <c r="I13" t="s">
        <v>40</v>
      </c>
      <c r="J13">
        <v>2</v>
      </c>
      <c r="K13" t="s">
        <v>41</v>
      </c>
      <c r="L13" t="s">
        <v>42</v>
      </c>
      <c r="M13" t="s">
        <v>43</v>
      </c>
      <c r="N13" s="7">
        <v>1</v>
      </c>
      <c r="O13" s="8">
        <v>45517.658229166664</v>
      </c>
      <c r="P13" s="9">
        <v>45519</v>
      </c>
      <c r="Q13" t="s">
        <v>44</v>
      </c>
      <c r="R13" t="s">
        <v>45</v>
      </c>
      <c r="S13" t="s">
        <v>46</v>
      </c>
      <c r="T13" t="s">
        <v>54</v>
      </c>
      <c r="U13" t="s">
        <v>97</v>
      </c>
      <c r="V13">
        <v>85100</v>
      </c>
      <c r="W13" t="s">
        <v>45</v>
      </c>
      <c r="X13" t="s">
        <v>69</v>
      </c>
      <c r="Y13" t="s">
        <v>50</v>
      </c>
      <c r="Z13" s="10">
        <f t="shared" si="0"/>
        <v>9</v>
      </c>
      <c r="AA13" s="11">
        <v>0</v>
      </c>
      <c r="AB13" s="11">
        <v>-2</v>
      </c>
      <c r="AC13" s="11">
        <v>0</v>
      </c>
      <c r="AD13" s="11">
        <v>0</v>
      </c>
      <c r="AE13" s="11">
        <v>0</v>
      </c>
      <c r="AF13" s="11">
        <f t="shared" si="1"/>
        <v>0.42</v>
      </c>
      <c r="AG13" s="11">
        <f t="shared" si="2"/>
        <v>7.42</v>
      </c>
      <c r="AH13" t="s">
        <v>51</v>
      </c>
    </row>
    <row r="14" spans="1:34" ht="15" customHeight="1" x14ac:dyDescent="0.25">
      <c r="A14">
        <v>7547676</v>
      </c>
      <c r="B14" t="s">
        <v>34</v>
      </c>
      <c r="C14" t="s">
        <v>35</v>
      </c>
      <c r="D14" s="6" t="s">
        <v>34</v>
      </c>
      <c r="E14" t="s">
        <v>98</v>
      </c>
      <c r="F14" t="s">
        <v>37</v>
      </c>
      <c r="G14" t="s">
        <v>38</v>
      </c>
      <c r="H14" t="s">
        <v>99</v>
      </c>
      <c r="I14" t="s">
        <v>40</v>
      </c>
      <c r="J14">
        <v>2</v>
      </c>
      <c r="K14" t="s">
        <v>41</v>
      </c>
      <c r="L14" t="s">
        <v>42</v>
      </c>
      <c r="M14" t="s">
        <v>43</v>
      </c>
      <c r="N14" s="7">
        <v>1</v>
      </c>
      <c r="O14" s="8">
        <v>45517.706574074073</v>
      </c>
      <c r="P14" s="9">
        <v>45519</v>
      </c>
      <c r="Q14" t="s">
        <v>44</v>
      </c>
      <c r="R14" t="s">
        <v>45</v>
      </c>
      <c r="S14" t="s">
        <v>46</v>
      </c>
      <c r="T14" t="s">
        <v>92</v>
      </c>
      <c r="U14" t="s">
        <v>100</v>
      </c>
      <c r="V14">
        <v>43300</v>
      </c>
      <c r="W14" t="s">
        <v>45</v>
      </c>
      <c r="X14" t="s">
        <v>69</v>
      </c>
      <c r="Y14" t="s">
        <v>50</v>
      </c>
      <c r="Z14" s="10">
        <f t="shared" si="0"/>
        <v>9</v>
      </c>
      <c r="AA14" s="11">
        <v>0</v>
      </c>
      <c r="AB14" s="11">
        <v>-2</v>
      </c>
      <c r="AC14" s="11">
        <v>0</v>
      </c>
      <c r="AD14" s="11">
        <v>0</v>
      </c>
      <c r="AE14" s="11">
        <v>0</v>
      </c>
      <c r="AF14" s="11">
        <f t="shared" si="1"/>
        <v>0.42</v>
      </c>
      <c r="AG14" s="11">
        <f t="shared" si="2"/>
        <v>7.42</v>
      </c>
      <c r="AH14" t="s">
        <v>51</v>
      </c>
    </row>
    <row r="15" spans="1:34" ht="15" customHeight="1" x14ac:dyDescent="0.25">
      <c r="A15">
        <v>7547676</v>
      </c>
      <c r="B15" t="s">
        <v>34</v>
      </c>
      <c r="C15" t="s">
        <v>35</v>
      </c>
      <c r="D15" s="6" t="s">
        <v>34</v>
      </c>
      <c r="E15" t="s">
        <v>101</v>
      </c>
      <c r="F15" t="s">
        <v>37</v>
      </c>
      <c r="G15" t="s">
        <v>38</v>
      </c>
      <c r="H15" t="s">
        <v>102</v>
      </c>
      <c r="I15" t="s">
        <v>40</v>
      </c>
      <c r="J15">
        <v>2</v>
      </c>
      <c r="K15" t="s">
        <v>41</v>
      </c>
      <c r="L15" t="s">
        <v>42</v>
      </c>
      <c r="M15" t="s">
        <v>43</v>
      </c>
      <c r="N15" s="7">
        <v>1</v>
      </c>
      <c r="O15" s="8">
        <v>45518.650023148148</v>
      </c>
      <c r="P15" s="9">
        <v>45519</v>
      </c>
      <c r="Q15" t="s">
        <v>44</v>
      </c>
      <c r="R15" t="s">
        <v>45</v>
      </c>
      <c r="S15" t="s">
        <v>46</v>
      </c>
      <c r="T15" t="s">
        <v>92</v>
      </c>
      <c r="U15" t="s">
        <v>103</v>
      </c>
      <c r="V15">
        <v>40000</v>
      </c>
      <c r="W15" t="s">
        <v>45</v>
      </c>
      <c r="X15" t="s">
        <v>104</v>
      </c>
      <c r="Y15" t="s">
        <v>50</v>
      </c>
      <c r="Z15" s="10">
        <f t="shared" si="0"/>
        <v>9</v>
      </c>
      <c r="AA15" s="11">
        <v>0</v>
      </c>
      <c r="AB15" s="11">
        <v>-2</v>
      </c>
      <c r="AC15" s="11">
        <v>0</v>
      </c>
      <c r="AD15" s="11">
        <v>0</v>
      </c>
      <c r="AE15" s="11">
        <v>0</v>
      </c>
      <c r="AF15" s="11">
        <f t="shared" si="1"/>
        <v>0.42</v>
      </c>
      <c r="AG15" s="11">
        <f t="shared" si="2"/>
        <v>7.42</v>
      </c>
      <c r="AH15" t="s">
        <v>51</v>
      </c>
    </row>
    <row r="16" spans="1:34" ht="15" customHeight="1" x14ac:dyDescent="0.25">
      <c r="A16">
        <v>7547676</v>
      </c>
      <c r="B16" t="s">
        <v>34</v>
      </c>
      <c r="C16" t="s">
        <v>35</v>
      </c>
      <c r="D16" s="6" t="s">
        <v>34</v>
      </c>
      <c r="E16" t="s">
        <v>105</v>
      </c>
      <c r="F16" t="s">
        <v>37</v>
      </c>
      <c r="G16" t="s">
        <v>38</v>
      </c>
      <c r="H16" t="s">
        <v>106</v>
      </c>
      <c r="I16" t="s">
        <v>40</v>
      </c>
      <c r="J16">
        <v>2</v>
      </c>
      <c r="K16" t="s">
        <v>41</v>
      </c>
      <c r="L16" t="s">
        <v>42</v>
      </c>
      <c r="M16" t="s">
        <v>43</v>
      </c>
      <c r="N16" s="7">
        <v>1</v>
      </c>
      <c r="O16" s="8">
        <v>45516.758483796293</v>
      </c>
      <c r="P16" s="9">
        <v>45519</v>
      </c>
      <c r="Q16" t="s">
        <v>44</v>
      </c>
      <c r="R16" t="s">
        <v>45</v>
      </c>
      <c r="S16" t="s">
        <v>46</v>
      </c>
      <c r="T16" t="s">
        <v>107</v>
      </c>
      <c r="U16" t="s">
        <v>108</v>
      </c>
      <c r="V16">
        <v>8000</v>
      </c>
      <c r="W16" t="s">
        <v>45</v>
      </c>
      <c r="X16" t="s">
        <v>109</v>
      </c>
      <c r="Y16" t="s">
        <v>50</v>
      </c>
      <c r="Z16" s="10">
        <f t="shared" si="0"/>
        <v>9</v>
      </c>
      <c r="AA16" s="11">
        <v>0</v>
      </c>
      <c r="AB16" s="11">
        <v>-2</v>
      </c>
      <c r="AC16" s="11">
        <v>0</v>
      </c>
      <c r="AD16" s="11">
        <v>0</v>
      </c>
      <c r="AE16" s="11">
        <v>0</v>
      </c>
      <c r="AF16" s="11">
        <f t="shared" si="1"/>
        <v>0.42</v>
      </c>
      <c r="AG16" s="11">
        <f t="shared" si="2"/>
        <v>7.42</v>
      </c>
      <c r="AH16" t="s">
        <v>51</v>
      </c>
    </row>
    <row r="17" spans="1:34" ht="15" customHeight="1" x14ac:dyDescent="0.25">
      <c r="A17">
        <v>7547676</v>
      </c>
      <c r="B17" t="s">
        <v>34</v>
      </c>
      <c r="C17" t="s">
        <v>35</v>
      </c>
      <c r="D17" s="6" t="s">
        <v>34</v>
      </c>
      <c r="E17" t="s">
        <v>110</v>
      </c>
      <c r="F17" t="s">
        <v>37</v>
      </c>
      <c r="G17" t="s">
        <v>38</v>
      </c>
      <c r="H17" t="s">
        <v>111</v>
      </c>
      <c r="I17" t="s">
        <v>40</v>
      </c>
      <c r="J17">
        <v>2</v>
      </c>
      <c r="K17" t="s">
        <v>41</v>
      </c>
      <c r="L17" t="s">
        <v>42</v>
      </c>
      <c r="M17" t="s">
        <v>43</v>
      </c>
      <c r="N17" s="7">
        <v>3</v>
      </c>
      <c r="O17" s="8">
        <v>45518.43540509259</v>
      </c>
      <c r="P17" s="9">
        <v>45519</v>
      </c>
      <c r="Q17" t="s">
        <v>44</v>
      </c>
      <c r="R17" t="s">
        <v>45</v>
      </c>
      <c r="S17" t="s">
        <v>46</v>
      </c>
      <c r="T17" t="s">
        <v>92</v>
      </c>
      <c r="U17" t="s">
        <v>112</v>
      </c>
      <c r="V17">
        <v>41200</v>
      </c>
      <c r="W17" t="s">
        <v>45</v>
      </c>
      <c r="X17" t="s">
        <v>113</v>
      </c>
      <c r="Y17" t="s">
        <v>50</v>
      </c>
      <c r="Z17" s="10">
        <f t="shared" si="0"/>
        <v>10.6</v>
      </c>
      <c r="AA17" s="11">
        <v>0</v>
      </c>
      <c r="AB17" s="11">
        <v>-2</v>
      </c>
      <c r="AC17" s="11">
        <v>0</v>
      </c>
      <c r="AD17" s="11">
        <v>0</v>
      </c>
      <c r="AE17" s="11">
        <v>0</v>
      </c>
      <c r="AF17" s="11">
        <f t="shared" si="1"/>
        <v>0.51600000000000001</v>
      </c>
      <c r="AG17" s="11">
        <f t="shared" si="2"/>
        <v>9.1159999999999997</v>
      </c>
      <c r="AH17" t="s">
        <v>51</v>
      </c>
    </row>
    <row r="18" spans="1:34" ht="15" customHeight="1" x14ac:dyDescent="0.25">
      <c r="A18">
        <v>7547676</v>
      </c>
      <c r="B18" t="s">
        <v>34</v>
      </c>
      <c r="C18" t="s">
        <v>35</v>
      </c>
      <c r="D18" s="6" t="s">
        <v>34</v>
      </c>
      <c r="E18" t="s">
        <v>114</v>
      </c>
      <c r="F18" t="s">
        <v>37</v>
      </c>
      <c r="G18" t="s">
        <v>38</v>
      </c>
      <c r="H18" t="s">
        <v>115</v>
      </c>
      <c r="I18" t="s">
        <v>40</v>
      </c>
      <c r="J18">
        <v>2</v>
      </c>
      <c r="K18" t="s">
        <v>41</v>
      </c>
      <c r="L18" t="s">
        <v>42</v>
      </c>
      <c r="M18" t="s">
        <v>43</v>
      </c>
      <c r="N18" s="7">
        <v>1</v>
      </c>
      <c r="O18" s="8">
        <v>45516.698680555557</v>
      </c>
      <c r="P18" s="9">
        <v>45519</v>
      </c>
      <c r="Q18" t="s">
        <v>44</v>
      </c>
      <c r="R18" t="s">
        <v>45</v>
      </c>
      <c r="S18" t="s">
        <v>46</v>
      </c>
      <c r="T18" t="s">
        <v>116</v>
      </c>
      <c r="U18" t="s">
        <v>117</v>
      </c>
      <c r="V18">
        <v>88300</v>
      </c>
      <c r="W18" t="s">
        <v>118</v>
      </c>
      <c r="X18" t="s">
        <v>69</v>
      </c>
      <c r="Y18" t="s">
        <v>50</v>
      </c>
      <c r="Z18" s="12">
        <f>IF(N18&lt;=1,13,IF(N18&lt;=2,23,IF(N18&lt;=3,35,IF(N18&lt;=4,43,IF(N18&lt;=5,53,IF(N18&lt;=6,63,IF(N18&lt;=7,71,IF(N18&lt;=8,79,IF(N18&lt;=9,87,IF(N18&lt;=10,95,IF(N18&lt;=11,105,IF(N18&lt;=12,114,IF(N18&lt;=13,119,IF(N18&lt;=14,127,IF(N18&lt;=15,135,IF(N18&lt;=16,143,IF(N18&lt;=17,153,IF(N18&lt;=18,163,IF(N18&lt;=19,171,IF(N18&lt;=20,185,IF(N18&lt;=21,193,IF(N18&lt;=22,201,IF(N18&lt;=23,210,IF(N18&lt;=24,220,IF(N18&lt;=25,230,IF(N18&lt;=26,240,IF(N18&lt;=27,250,IF(N18&lt;=28,260,IF(N18&lt;=29,270,IF(N18&lt;=30,280,280+10*ROUNDUP(N18-30,0)))))))))))))))))))))))))))))))</f>
        <v>13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f t="shared" si="1"/>
        <v>0.78</v>
      </c>
      <c r="AG18" s="11">
        <f t="shared" si="2"/>
        <v>13.78</v>
      </c>
      <c r="AH18" t="s">
        <v>119</v>
      </c>
    </row>
    <row r="19" spans="1:34" ht="15" customHeight="1" x14ac:dyDescent="0.25">
      <c r="A19">
        <v>7547676</v>
      </c>
      <c r="B19" t="s">
        <v>34</v>
      </c>
      <c r="C19" t="s">
        <v>35</v>
      </c>
      <c r="D19" s="6" t="s">
        <v>34</v>
      </c>
      <c r="E19" t="s">
        <v>120</v>
      </c>
      <c r="F19" t="s">
        <v>37</v>
      </c>
      <c r="G19" t="s">
        <v>38</v>
      </c>
      <c r="H19" t="s">
        <v>121</v>
      </c>
      <c r="I19" t="s">
        <v>40</v>
      </c>
      <c r="J19">
        <v>2</v>
      </c>
      <c r="K19" t="s">
        <v>41</v>
      </c>
      <c r="L19" t="s">
        <v>42</v>
      </c>
      <c r="M19" t="s">
        <v>43</v>
      </c>
      <c r="N19" s="7">
        <v>1</v>
      </c>
      <c r="O19" s="8">
        <v>45516.711157407408</v>
      </c>
      <c r="P19" s="9">
        <v>45519</v>
      </c>
      <c r="Q19" t="s">
        <v>44</v>
      </c>
      <c r="R19" t="s">
        <v>45</v>
      </c>
      <c r="S19" t="s">
        <v>46</v>
      </c>
      <c r="T19" t="s">
        <v>107</v>
      </c>
      <c r="U19" t="s">
        <v>122</v>
      </c>
      <c r="V19">
        <v>7000</v>
      </c>
      <c r="W19" t="s">
        <v>45</v>
      </c>
      <c r="X19" t="s">
        <v>69</v>
      </c>
      <c r="Y19" t="s">
        <v>50</v>
      </c>
      <c r="Z19" s="10">
        <f t="shared" ref="Z19:Z50" si="3">IF(N19&lt;=1,9,9+0.8*ROUNDUP(N19-1,0))</f>
        <v>9</v>
      </c>
      <c r="AA19" s="11">
        <v>0</v>
      </c>
      <c r="AB19" s="11">
        <v>-2</v>
      </c>
      <c r="AC19" s="11">
        <v>0</v>
      </c>
      <c r="AD19" s="11">
        <v>0</v>
      </c>
      <c r="AE19" s="11">
        <v>0</v>
      </c>
      <c r="AF19" s="11">
        <f t="shared" si="1"/>
        <v>0.42</v>
      </c>
      <c r="AG19" s="11">
        <f t="shared" si="2"/>
        <v>7.42</v>
      </c>
      <c r="AH19" t="s">
        <v>51</v>
      </c>
    </row>
    <row r="20" spans="1:34" ht="15" customHeight="1" x14ac:dyDescent="0.25">
      <c r="A20">
        <v>7547676</v>
      </c>
      <c r="B20" t="s">
        <v>34</v>
      </c>
      <c r="C20" t="s">
        <v>35</v>
      </c>
      <c r="D20" s="6" t="s">
        <v>34</v>
      </c>
      <c r="E20" t="s">
        <v>123</v>
      </c>
      <c r="F20" t="s">
        <v>37</v>
      </c>
      <c r="G20" t="s">
        <v>38</v>
      </c>
      <c r="H20" t="s">
        <v>124</v>
      </c>
      <c r="I20" t="s">
        <v>40</v>
      </c>
      <c r="J20">
        <v>2</v>
      </c>
      <c r="K20" t="s">
        <v>41</v>
      </c>
      <c r="L20" t="s">
        <v>42</v>
      </c>
      <c r="M20" t="s">
        <v>43</v>
      </c>
      <c r="N20" s="7">
        <v>1</v>
      </c>
      <c r="O20" s="8">
        <v>45516.758483796293</v>
      </c>
      <c r="P20" s="9">
        <v>45519</v>
      </c>
      <c r="Q20" t="s">
        <v>44</v>
      </c>
      <c r="R20" t="s">
        <v>45</v>
      </c>
      <c r="S20" t="s">
        <v>46</v>
      </c>
      <c r="T20" t="s">
        <v>107</v>
      </c>
      <c r="U20" t="s">
        <v>125</v>
      </c>
      <c r="V20">
        <v>9400</v>
      </c>
      <c r="W20" t="s">
        <v>45</v>
      </c>
      <c r="X20" t="s">
        <v>126</v>
      </c>
      <c r="Y20" t="s">
        <v>50</v>
      </c>
      <c r="Z20" s="10">
        <f t="shared" si="3"/>
        <v>9</v>
      </c>
      <c r="AA20" s="11">
        <v>0</v>
      </c>
      <c r="AB20" s="11">
        <v>-2</v>
      </c>
      <c r="AC20" s="11">
        <v>0</v>
      </c>
      <c r="AD20" s="11">
        <v>0</v>
      </c>
      <c r="AE20" s="11">
        <v>0</v>
      </c>
      <c r="AF20" s="11">
        <f t="shared" si="1"/>
        <v>0.42</v>
      </c>
      <c r="AG20" s="11">
        <f t="shared" si="2"/>
        <v>7.42</v>
      </c>
      <c r="AH20" t="s">
        <v>51</v>
      </c>
    </row>
    <row r="21" spans="1:34" ht="15" customHeight="1" x14ac:dyDescent="0.25">
      <c r="A21">
        <v>7547676</v>
      </c>
      <c r="B21" t="s">
        <v>34</v>
      </c>
      <c r="C21" t="s">
        <v>35</v>
      </c>
      <c r="D21" s="6" t="s">
        <v>34</v>
      </c>
      <c r="E21" t="s">
        <v>127</v>
      </c>
      <c r="F21" t="s">
        <v>37</v>
      </c>
      <c r="G21" t="s">
        <v>38</v>
      </c>
      <c r="H21" t="s">
        <v>128</v>
      </c>
      <c r="I21" t="s">
        <v>40</v>
      </c>
      <c r="J21">
        <v>2</v>
      </c>
      <c r="K21" t="s">
        <v>41</v>
      </c>
      <c r="L21" t="s">
        <v>42</v>
      </c>
      <c r="M21" t="s">
        <v>43</v>
      </c>
      <c r="N21" s="7">
        <v>1</v>
      </c>
      <c r="O21" s="8">
        <v>45518.703298611108</v>
      </c>
      <c r="P21" s="9">
        <v>45519</v>
      </c>
      <c r="Q21" t="s">
        <v>44</v>
      </c>
      <c r="R21" t="s">
        <v>45</v>
      </c>
      <c r="S21" t="s">
        <v>46</v>
      </c>
      <c r="T21" t="s">
        <v>129</v>
      </c>
      <c r="U21" t="s">
        <v>130</v>
      </c>
      <c r="V21">
        <v>70400</v>
      </c>
      <c r="W21" t="s">
        <v>45</v>
      </c>
      <c r="X21" t="s">
        <v>131</v>
      </c>
      <c r="Y21" t="s">
        <v>50</v>
      </c>
      <c r="Z21" s="10">
        <f t="shared" si="3"/>
        <v>9</v>
      </c>
      <c r="AA21" s="11">
        <v>0</v>
      </c>
      <c r="AB21" s="11">
        <v>-2</v>
      </c>
      <c r="AC21" s="11">
        <v>0</v>
      </c>
      <c r="AD21" s="11">
        <v>0</v>
      </c>
      <c r="AE21" s="11">
        <v>0</v>
      </c>
      <c r="AF21" s="11">
        <f t="shared" si="1"/>
        <v>0.42</v>
      </c>
      <c r="AG21" s="11">
        <f t="shared" si="2"/>
        <v>7.42</v>
      </c>
      <c r="AH21" t="s">
        <v>51</v>
      </c>
    </row>
    <row r="22" spans="1:34" ht="15" customHeight="1" x14ac:dyDescent="0.25">
      <c r="A22">
        <v>7547676</v>
      </c>
      <c r="B22" t="s">
        <v>34</v>
      </c>
      <c r="C22" t="s">
        <v>35</v>
      </c>
      <c r="D22" s="6" t="s">
        <v>34</v>
      </c>
      <c r="E22" t="s">
        <v>132</v>
      </c>
      <c r="F22" t="s">
        <v>37</v>
      </c>
      <c r="G22" t="s">
        <v>38</v>
      </c>
      <c r="H22" t="s">
        <v>133</v>
      </c>
      <c r="I22" t="s">
        <v>40</v>
      </c>
      <c r="J22">
        <v>2</v>
      </c>
      <c r="K22" t="s">
        <v>41</v>
      </c>
      <c r="L22" t="s">
        <v>42</v>
      </c>
      <c r="M22" t="s">
        <v>43</v>
      </c>
      <c r="N22" s="7">
        <v>1</v>
      </c>
      <c r="O22" s="8">
        <v>45518.647858796299</v>
      </c>
      <c r="P22" s="9">
        <v>45519</v>
      </c>
      <c r="Q22" t="s">
        <v>44</v>
      </c>
      <c r="R22" t="s">
        <v>45</v>
      </c>
      <c r="S22" t="s">
        <v>46</v>
      </c>
      <c r="T22" t="s">
        <v>92</v>
      </c>
      <c r="U22" t="s">
        <v>134</v>
      </c>
      <c r="V22">
        <v>62604</v>
      </c>
      <c r="W22" t="s">
        <v>45</v>
      </c>
      <c r="X22" t="s">
        <v>135</v>
      </c>
      <c r="Y22" t="s">
        <v>50</v>
      </c>
      <c r="Z22" s="10">
        <f t="shared" si="3"/>
        <v>9</v>
      </c>
      <c r="AA22" s="11">
        <v>0</v>
      </c>
      <c r="AB22" s="11">
        <v>-2</v>
      </c>
      <c r="AC22" s="11">
        <v>0</v>
      </c>
      <c r="AD22" s="11">
        <v>0</v>
      </c>
      <c r="AE22" s="11">
        <v>0</v>
      </c>
      <c r="AF22" s="11">
        <f t="shared" si="1"/>
        <v>0.42</v>
      </c>
      <c r="AG22" s="11">
        <f t="shared" si="2"/>
        <v>7.42</v>
      </c>
      <c r="AH22" t="s">
        <v>51</v>
      </c>
    </row>
    <row r="23" spans="1:34" ht="15" customHeight="1" x14ac:dyDescent="0.25">
      <c r="A23">
        <v>7547676</v>
      </c>
      <c r="B23" t="s">
        <v>34</v>
      </c>
      <c r="C23" t="s">
        <v>35</v>
      </c>
      <c r="D23" s="6" t="s">
        <v>34</v>
      </c>
      <c r="E23" t="s">
        <v>136</v>
      </c>
      <c r="F23" t="s">
        <v>37</v>
      </c>
      <c r="G23" t="s">
        <v>38</v>
      </c>
      <c r="H23" t="s">
        <v>137</v>
      </c>
      <c r="I23" t="s">
        <v>40</v>
      </c>
      <c r="J23">
        <v>2</v>
      </c>
      <c r="K23" t="s">
        <v>41</v>
      </c>
      <c r="L23" t="s">
        <v>42</v>
      </c>
      <c r="M23" t="s">
        <v>43</v>
      </c>
      <c r="N23" s="7">
        <v>1</v>
      </c>
      <c r="O23" s="8">
        <v>45517.748194444444</v>
      </c>
      <c r="P23" s="9">
        <v>45519</v>
      </c>
      <c r="Q23" t="s">
        <v>44</v>
      </c>
      <c r="R23" t="s">
        <v>45</v>
      </c>
      <c r="S23" t="s">
        <v>46</v>
      </c>
      <c r="T23" t="s">
        <v>72</v>
      </c>
      <c r="U23" t="s">
        <v>138</v>
      </c>
      <c r="V23">
        <v>21600</v>
      </c>
      <c r="W23" t="s">
        <v>45</v>
      </c>
      <c r="X23" t="s">
        <v>139</v>
      </c>
      <c r="Y23" t="s">
        <v>50</v>
      </c>
      <c r="Z23" s="10">
        <f t="shared" si="3"/>
        <v>9</v>
      </c>
      <c r="AA23" s="11">
        <v>0</v>
      </c>
      <c r="AB23" s="11">
        <v>-2</v>
      </c>
      <c r="AC23" s="11">
        <v>0</v>
      </c>
      <c r="AD23" s="11">
        <v>0</v>
      </c>
      <c r="AE23" s="11">
        <v>0</v>
      </c>
      <c r="AF23" s="11">
        <f t="shared" si="1"/>
        <v>0.42</v>
      </c>
      <c r="AG23" s="11">
        <f t="shared" si="2"/>
        <v>7.42</v>
      </c>
      <c r="AH23" t="s">
        <v>51</v>
      </c>
    </row>
    <row r="24" spans="1:34" ht="15" customHeight="1" x14ac:dyDescent="0.25">
      <c r="A24">
        <v>7547676</v>
      </c>
      <c r="B24" t="s">
        <v>34</v>
      </c>
      <c r="C24" t="s">
        <v>35</v>
      </c>
      <c r="D24" s="6" t="s">
        <v>34</v>
      </c>
      <c r="E24" t="s">
        <v>140</v>
      </c>
      <c r="F24" t="s">
        <v>37</v>
      </c>
      <c r="G24" t="s">
        <v>38</v>
      </c>
      <c r="H24" t="s">
        <v>141</v>
      </c>
      <c r="I24" t="s">
        <v>40</v>
      </c>
      <c r="J24">
        <v>2</v>
      </c>
      <c r="K24" t="s">
        <v>41</v>
      </c>
      <c r="L24" t="s">
        <v>42</v>
      </c>
      <c r="M24" t="s">
        <v>43</v>
      </c>
      <c r="N24" s="7">
        <v>1</v>
      </c>
      <c r="O24" s="8">
        <v>45518.698530092595</v>
      </c>
      <c r="P24" s="9">
        <v>45519</v>
      </c>
      <c r="Q24" t="s">
        <v>44</v>
      </c>
      <c r="R24" t="s">
        <v>45</v>
      </c>
      <c r="S24" t="s">
        <v>46</v>
      </c>
      <c r="T24" t="s">
        <v>92</v>
      </c>
      <c r="U24" t="s">
        <v>142</v>
      </c>
      <c r="V24">
        <v>40150</v>
      </c>
      <c r="W24" t="s">
        <v>45</v>
      </c>
      <c r="X24" t="s">
        <v>143</v>
      </c>
      <c r="Y24" t="s">
        <v>50</v>
      </c>
      <c r="Z24" s="10">
        <f t="shared" si="3"/>
        <v>9</v>
      </c>
      <c r="AA24" s="11">
        <v>0</v>
      </c>
      <c r="AB24" s="11">
        <v>-2</v>
      </c>
      <c r="AC24" s="11">
        <v>0</v>
      </c>
      <c r="AD24" s="11">
        <v>0</v>
      </c>
      <c r="AE24" s="11">
        <v>0</v>
      </c>
      <c r="AF24" s="11">
        <f t="shared" si="1"/>
        <v>0.42</v>
      </c>
      <c r="AG24" s="11">
        <f t="shared" si="2"/>
        <v>7.42</v>
      </c>
      <c r="AH24" t="s">
        <v>51</v>
      </c>
    </row>
    <row r="25" spans="1:34" ht="15" customHeight="1" x14ac:dyDescent="0.25">
      <c r="A25">
        <v>7547676</v>
      </c>
      <c r="B25" t="s">
        <v>34</v>
      </c>
      <c r="C25" t="s">
        <v>35</v>
      </c>
      <c r="D25" s="6" t="s">
        <v>34</v>
      </c>
      <c r="E25" t="s">
        <v>144</v>
      </c>
      <c r="F25" t="s">
        <v>37</v>
      </c>
      <c r="G25" t="s">
        <v>38</v>
      </c>
      <c r="H25" t="s">
        <v>145</v>
      </c>
      <c r="I25" t="s">
        <v>40</v>
      </c>
      <c r="J25">
        <v>2</v>
      </c>
      <c r="K25" t="s">
        <v>41</v>
      </c>
      <c r="L25" t="s">
        <v>42</v>
      </c>
      <c r="M25" t="s">
        <v>43</v>
      </c>
      <c r="N25" s="7">
        <v>4</v>
      </c>
      <c r="O25" s="8">
        <v>45518.669305555559</v>
      </c>
      <c r="P25" s="9">
        <v>45519</v>
      </c>
      <c r="Q25" t="s">
        <v>44</v>
      </c>
      <c r="R25" t="s">
        <v>45</v>
      </c>
      <c r="S25" t="s">
        <v>46</v>
      </c>
      <c r="T25" t="s">
        <v>146</v>
      </c>
      <c r="U25" t="s">
        <v>147</v>
      </c>
      <c r="V25">
        <v>51200</v>
      </c>
      <c r="W25" t="s">
        <v>45</v>
      </c>
      <c r="X25" t="s">
        <v>148</v>
      </c>
      <c r="Y25" t="s">
        <v>50</v>
      </c>
      <c r="Z25" s="10">
        <f t="shared" si="3"/>
        <v>11.4</v>
      </c>
      <c r="AA25" s="11">
        <v>0</v>
      </c>
      <c r="AB25" s="11">
        <v>-2</v>
      </c>
      <c r="AC25" s="11">
        <v>0</v>
      </c>
      <c r="AD25" s="11">
        <v>0</v>
      </c>
      <c r="AE25" s="11">
        <v>0</v>
      </c>
      <c r="AF25" s="11">
        <f t="shared" si="1"/>
        <v>0.56399999999999995</v>
      </c>
      <c r="AG25" s="11">
        <f t="shared" si="2"/>
        <v>9.9640000000000004</v>
      </c>
      <c r="AH25" t="s">
        <v>51</v>
      </c>
    </row>
    <row r="26" spans="1:34" ht="15" customHeight="1" x14ac:dyDescent="0.25">
      <c r="A26">
        <v>7547676</v>
      </c>
      <c r="B26" t="s">
        <v>34</v>
      </c>
      <c r="C26" t="s">
        <v>35</v>
      </c>
      <c r="D26" s="6" t="s">
        <v>34</v>
      </c>
      <c r="E26" t="s">
        <v>149</v>
      </c>
      <c r="F26" t="s">
        <v>37</v>
      </c>
      <c r="G26" t="s">
        <v>38</v>
      </c>
      <c r="H26" t="s">
        <v>150</v>
      </c>
      <c r="I26" t="s">
        <v>40</v>
      </c>
      <c r="J26">
        <v>2</v>
      </c>
      <c r="K26" t="s">
        <v>41</v>
      </c>
      <c r="L26" t="s">
        <v>42</v>
      </c>
      <c r="M26" t="s">
        <v>43</v>
      </c>
      <c r="N26" s="7">
        <v>1</v>
      </c>
      <c r="O26" s="8">
        <v>45517.756967592592</v>
      </c>
      <c r="P26" s="9">
        <v>45519</v>
      </c>
      <c r="Q26" t="s">
        <v>44</v>
      </c>
      <c r="R26" t="s">
        <v>45</v>
      </c>
      <c r="S26" t="s">
        <v>46</v>
      </c>
      <c r="T26" t="s">
        <v>151</v>
      </c>
      <c r="U26" t="s">
        <v>152</v>
      </c>
      <c r="V26">
        <v>77000</v>
      </c>
      <c r="W26" t="s">
        <v>45</v>
      </c>
      <c r="X26" t="s">
        <v>153</v>
      </c>
      <c r="Y26" t="s">
        <v>50</v>
      </c>
      <c r="Z26" s="10">
        <f t="shared" si="3"/>
        <v>9</v>
      </c>
      <c r="AA26" s="11">
        <v>0</v>
      </c>
      <c r="AB26" s="11">
        <v>-2</v>
      </c>
      <c r="AC26" s="11">
        <v>0</v>
      </c>
      <c r="AD26" s="11">
        <v>0</v>
      </c>
      <c r="AE26" s="11">
        <v>0</v>
      </c>
      <c r="AF26" s="11">
        <f t="shared" si="1"/>
        <v>0.42</v>
      </c>
      <c r="AG26" s="11">
        <f t="shared" si="2"/>
        <v>7.42</v>
      </c>
      <c r="AH26" t="s">
        <v>51</v>
      </c>
    </row>
    <row r="27" spans="1:34" ht="15" customHeight="1" x14ac:dyDescent="0.25">
      <c r="A27">
        <v>7547676</v>
      </c>
      <c r="B27" t="s">
        <v>34</v>
      </c>
      <c r="C27" t="s">
        <v>35</v>
      </c>
      <c r="D27" s="6" t="s">
        <v>34</v>
      </c>
      <c r="E27" t="s">
        <v>154</v>
      </c>
      <c r="F27" t="s">
        <v>37</v>
      </c>
      <c r="G27" t="s">
        <v>38</v>
      </c>
      <c r="H27" t="s">
        <v>155</v>
      </c>
      <c r="I27" t="s">
        <v>40</v>
      </c>
      <c r="J27">
        <v>2</v>
      </c>
      <c r="K27" t="s">
        <v>41</v>
      </c>
      <c r="L27" t="s">
        <v>42</v>
      </c>
      <c r="M27" t="s">
        <v>43</v>
      </c>
      <c r="N27" s="7">
        <v>1</v>
      </c>
      <c r="O27" s="8">
        <v>45518.699780092589</v>
      </c>
      <c r="P27" s="9">
        <v>45519</v>
      </c>
      <c r="Q27" t="s">
        <v>44</v>
      </c>
      <c r="R27" t="s">
        <v>45</v>
      </c>
      <c r="S27" t="s">
        <v>46</v>
      </c>
      <c r="T27" t="s">
        <v>92</v>
      </c>
      <c r="U27" t="s">
        <v>156</v>
      </c>
      <c r="V27">
        <v>43500</v>
      </c>
      <c r="W27" t="s">
        <v>45</v>
      </c>
      <c r="X27" t="s">
        <v>157</v>
      </c>
      <c r="Y27" t="s">
        <v>50</v>
      </c>
      <c r="Z27" s="10">
        <f t="shared" si="3"/>
        <v>9</v>
      </c>
      <c r="AA27" s="11">
        <v>0</v>
      </c>
      <c r="AB27" s="11">
        <v>-2</v>
      </c>
      <c r="AC27" s="11">
        <v>0</v>
      </c>
      <c r="AD27" s="11">
        <v>0</v>
      </c>
      <c r="AE27" s="11">
        <v>0</v>
      </c>
      <c r="AF27" s="11">
        <f t="shared" si="1"/>
        <v>0.42</v>
      </c>
      <c r="AG27" s="11">
        <f t="shared" si="2"/>
        <v>7.42</v>
      </c>
      <c r="AH27" t="s">
        <v>51</v>
      </c>
    </row>
    <row r="28" spans="1:34" ht="15" customHeight="1" x14ac:dyDescent="0.25">
      <c r="A28">
        <v>7547676</v>
      </c>
      <c r="B28" t="s">
        <v>34</v>
      </c>
      <c r="C28" t="s">
        <v>35</v>
      </c>
      <c r="D28" s="6" t="s">
        <v>34</v>
      </c>
      <c r="E28" t="s">
        <v>158</v>
      </c>
      <c r="F28" t="s">
        <v>37</v>
      </c>
      <c r="G28" t="s">
        <v>38</v>
      </c>
      <c r="H28" t="s">
        <v>159</v>
      </c>
      <c r="I28" t="s">
        <v>40</v>
      </c>
      <c r="J28">
        <v>2</v>
      </c>
      <c r="K28" t="s">
        <v>41</v>
      </c>
      <c r="L28" t="s">
        <v>42</v>
      </c>
      <c r="M28" t="s">
        <v>43</v>
      </c>
      <c r="N28" s="7">
        <v>1</v>
      </c>
      <c r="O28" s="8">
        <v>45517.493287037039</v>
      </c>
      <c r="P28" s="9">
        <v>45519</v>
      </c>
      <c r="Q28" t="s">
        <v>44</v>
      </c>
      <c r="R28" t="s">
        <v>45</v>
      </c>
      <c r="S28" t="s">
        <v>46</v>
      </c>
      <c r="T28" t="s">
        <v>92</v>
      </c>
      <c r="U28" t="s">
        <v>160</v>
      </c>
      <c r="V28">
        <v>47100</v>
      </c>
      <c r="W28" t="s">
        <v>45</v>
      </c>
      <c r="X28" t="s">
        <v>69</v>
      </c>
      <c r="Y28" t="s">
        <v>50</v>
      </c>
      <c r="Z28" s="10">
        <f t="shared" si="3"/>
        <v>9</v>
      </c>
      <c r="AA28" s="11">
        <v>0</v>
      </c>
      <c r="AB28" s="11">
        <v>-2</v>
      </c>
      <c r="AC28" s="11">
        <v>0</v>
      </c>
      <c r="AD28" s="11">
        <v>0</v>
      </c>
      <c r="AE28" s="11">
        <v>0</v>
      </c>
      <c r="AF28" s="11">
        <f t="shared" si="1"/>
        <v>0.42</v>
      </c>
      <c r="AG28" s="11">
        <f t="shared" si="2"/>
        <v>7.42</v>
      </c>
      <c r="AH28" t="s">
        <v>51</v>
      </c>
    </row>
    <row r="29" spans="1:34" ht="15" customHeight="1" x14ac:dyDescent="0.25">
      <c r="A29">
        <v>7547676</v>
      </c>
      <c r="B29" t="s">
        <v>34</v>
      </c>
      <c r="C29" t="s">
        <v>35</v>
      </c>
      <c r="D29" s="6" t="s">
        <v>34</v>
      </c>
      <c r="E29" t="s">
        <v>161</v>
      </c>
      <c r="F29" t="s">
        <v>37</v>
      </c>
      <c r="G29" t="s">
        <v>38</v>
      </c>
      <c r="H29" t="s">
        <v>162</v>
      </c>
      <c r="I29" t="s">
        <v>40</v>
      </c>
      <c r="J29">
        <v>2</v>
      </c>
      <c r="K29" t="s">
        <v>41</v>
      </c>
      <c r="L29" t="s">
        <v>42</v>
      </c>
      <c r="M29" t="s">
        <v>43</v>
      </c>
      <c r="N29" s="7">
        <v>4</v>
      </c>
      <c r="O29" s="8">
        <v>45517.785624999997</v>
      </c>
      <c r="P29" s="9">
        <v>45519</v>
      </c>
      <c r="Q29" t="s">
        <v>44</v>
      </c>
      <c r="R29" t="s">
        <v>45</v>
      </c>
      <c r="S29" t="s">
        <v>46</v>
      </c>
      <c r="T29" t="s">
        <v>92</v>
      </c>
      <c r="U29" t="s">
        <v>163</v>
      </c>
      <c r="V29">
        <v>42000</v>
      </c>
      <c r="W29" t="s">
        <v>45</v>
      </c>
      <c r="X29" t="s">
        <v>113</v>
      </c>
      <c r="Y29" t="s">
        <v>50</v>
      </c>
      <c r="Z29" s="10">
        <f t="shared" si="3"/>
        <v>11.4</v>
      </c>
      <c r="AA29" s="11">
        <v>0</v>
      </c>
      <c r="AB29" s="11">
        <v>-2</v>
      </c>
      <c r="AC29" s="11">
        <v>0</v>
      </c>
      <c r="AD29" s="11">
        <v>0</v>
      </c>
      <c r="AE29" s="11">
        <v>0</v>
      </c>
      <c r="AF29" s="11">
        <f t="shared" si="1"/>
        <v>0.56399999999999995</v>
      </c>
      <c r="AG29" s="11">
        <f t="shared" si="2"/>
        <v>9.9640000000000004</v>
      </c>
      <c r="AH29" t="s">
        <v>51</v>
      </c>
    </row>
    <row r="30" spans="1:34" ht="15" customHeight="1" x14ac:dyDescent="0.25">
      <c r="A30">
        <v>7547676</v>
      </c>
      <c r="B30" t="s">
        <v>34</v>
      </c>
      <c r="C30" t="s">
        <v>35</v>
      </c>
      <c r="D30" s="6" t="s">
        <v>34</v>
      </c>
      <c r="E30" t="s">
        <v>164</v>
      </c>
      <c r="F30" t="s">
        <v>37</v>
      </c>
      <c r="G30" t="s">
        <v>38</v>
      </c>
      <c r="H30" t="s">
        <v>165</v>
      </c>
      <c r="I30" t="s">
        <v>40</v>
      </c>
      <c r="J30">
        <v>2</v>
      </c>
      <c r="K30" t="s">
        <v>41</v>
      </c>
      <c r="L30" t="s">
        <v>42</v>
      </c>
      <c r="M30" t="s">
        <v>43</v>
      </c>
      <c r="N30" s="7">
        <v>2</v>
      </c>
      <c r="O30" s="8">
        <v>45517.712291666663</v>
      </c>
      <c r="P30" s="9">
        <v>45519</v>
      </c>
      <c r="Q30" t="s">
        <v>44</v>
      </c>
      <c r="R30" t="s">
        <v>45</v>
      </c>
      <c r="S30" t="s">
        <v>46</v>
      </c>
      <c r="T30" t="s">
        <v>92</v>
      </c>
      <c r="U30" t="s">
        <v>166</v>
      </c>
      <c r="V30">
        <v>47100</v>
      </c>
      <c r="W30" t="s">
        <v>45</v>
      </c>
      <c r="X30" t="s">
        <v>69</v>
      </c>
      <c r="Y30" t="s">
        <v>50</v>
      </c>
      <c r="Z30" s="10">
        <f t="shared" si="3"/>
        <v>9.8000000000000007</v>
      </c>
      <c r="AA30" s="11">
        <v>0</v>
      </c>
      <c r="AB30" s="11">
        <v>-2</v>
      </c>
      <c r="AC30" s="11">
        <v>0</v>
      </c>
      <c r="AD30" s="11">
        <v>0</v>
      </c>
      <c r="AE30" s="11">
        <v>0</v>
      </c>
      <c r="AF30" s="11">
        <f t="shared" si="1"/>
        <v>0.46800000000000003</v>
      </c>
      <c r="AG30" s="11">
        <f t="shared" si="2"/>
        <v>8.2680000000000007</v>
      </c>
      <c r="AH30" t="s">
        <v>51</v>
      </c>
    </row>
    <row r="31" spans="1:34" ht="15" customHeight="1" x14ac:dyDescent="0.25">
      <c r="A31">
        <v>7547676</v>
      </c>
      <c r="B31" t="s">
        <v>34</v>
      </c>
      <c r="C31" t="s">
        <v>35</v>
      </c>
      <c r="D31" s="6" t="s">
        <v>34</v>
      </c>
      <c r="E31" t="s">
        <v>167</v>
      </c>
      <c r="F31" t="s">
        <v>37</v>
      </c>
      <c r="G31" t="s">
        <v>38</v>
      </c>
      <c r="H31" t="s">
        <v>168</v>
      </c>
      <c r="I31" t="s">
        <v>40</v>
      </c>
      <c r="J31">
        <v>2</v>
      </c>
      <c r="K31" t="s">
        <v>41</v>
      </c>
      <c r="L31" t="s">
        <v>42</v>
      </c>
      <c r="M31" t="s">
        <v>43</v>
      </c>
      <c r="N31" s="7">
        <v>24</v>
      </c>
      <c r="O31" s="8">
        <v>45518.69027777778</v>
      </c>
      <c r="P31" s="9">
        <v>45519</v>
      </c>
      <c r="Q31" t="s">
        <v>44</v>
      </c>
      <c r="R31" t="s">
        <v>45</v>
      </c>
      <c r="S31" t="s">
        <v>46</v>
      </c>
      <c r="T31" t="s">
        <v>92</v>
      </c>
      <c r="U31" t="s">
        <v>169</v>
      </c>
      <c r="V31">
        <v>48300</v>
      </c>
      <c r="W31" t="s">
        <v>45</v>
      </c>
      <c r="X31" t="s">
        <v>170</v>
      </c>
      <c r="Y31" t="s">
        <v>50</v>
      </c>
      <c r="Z31" s="10">
        <f t="shared" si="3"/>
        <v>27.400000000000002</v>
      </c>
      <c r="AA31" s="11">
        <v>0</v>
      </c>
      <c r="AB31" s="11">
        <v>-2</v>
      </c>
      <c r="AC31" s="11">
        <v>0</v>
      </c>
      <c r="AD31" s="11">
        <v>0</v>
      </c>
      <c r="AE31" s="11">
        <v>0</v>
      </c>
      <c r="AF31" s="11">
        <f t="shared" si="1"/>
        <v>1.524</v>
      </c>
      <c r="AG31" s="11">
        <f t="shared" si="2"/>
        <v>26.924000000000003</v>
      </c>
      <c r="AH31" t="s">
        <v>51</v>
      </c>
    </row>
    <row r="32" spans="1:34" ht="15" customHeight="1" x14ac:dyDescent="0.25">
      <c r="A32">
        <v>7547676</v>
      </c>
      <c r="B32" t="s">
        <v>34</v>
      </c>
      <c r="C32" t="s">
        <v>35</v>
      </c>
      <c r="D32" s="6" t="s">
        <v>34</v>
      </c>
      <c r="E32" t="s">
        <v>171</v>
      </c>
      <c r="F32" t="s">
        <v>37</v>
      </c>
      <c r="G32" t="s">
        <v>38</v>
      </c>
      <c r="H32" t="s">
        <v>172</v>
      </c>
      <c r="I32" t="s">
        <v>40</v>
      </c>
      <c r="J32">
        <v>2</v>
      </c>
      <c r="K32" t="s">
        <v>41</v>
      </c>
      <c r="L32" t="s">
        <v>42</v>
      </c>
      <c r="M32" t="s">
        <v>43</v>
      </c>
      <c r="N32" s="7">
        <v>7</v>
      </c>
      <c r="O32" s="8">
        <v>45517.79042824074</v>
      </c>
      <c r="P32" s="9">
        <v>45519</v>
      </c>
      <c r="Q32" t="s">
        <v>44</v>
      </c>
      <c r="R32" t="s">
        <v>45</v>
      </c>
      <c r="S32" t="s">
        <v>46</v>
      </c>
      <c r="T32" t="s">
        <v>129</v>
      </c>
      <c r="U32" t="s">
        <v>173</v>
      </c>
      <c r="V32">
        <v>71900</v>
      </c>
      <c r="W32" t="s">
        <v>45</v>
      </c>
      <c r="X32" t="s">
        <v>174</v>
      </c>
      <c r="Y32" t="s">
        <v>50</v>
      </c>
      <c r="Z32" s="10">
        <f t="shared" si="3"/>
        <v>13.8</v>
      </c>
      <c r="AA32" s="11">
        <v>0</v>
      </c>
      <c r="AB32" s="11">
        <v>-2</v>
      </c>
      <c r="AC32" s="11">
        <v>0</v>
      </c>
      <c r="AD32" s="11">
        <v>0</v>
      </c>
      <c r="AE32" s="11">
        <v>0</v>
      </c>
      <c r="AF32" s="11">
        <f t="shared" si="1"/>
        <v>0.70799999999999996</v>
      </c>
      <c r="AG32" s="11">
        <f t="shared" si="2"/>
        <v>12.508000000000001</v>
      </c>
      <c r="AH32" t="s">
        <v>51</v>
      </c>
    </row>
    <row r="33" spans="1:34" ht="15" customHeight="1" x14ac:dyDescent="0.25">
      <c r="A33">
        <v>7547676</v>
      </c>
      <c r="B33" t="s">
        <v>34</v>
      </c>
      <c r="C33" t="s">
        <v>35</v>
      </c>
      <c r="D33" s="6" t="s">
        <v>34</v>
      </c>
      <c r="E33" t="s">
        <v>175</v>
      </c>
      <c r="F33" t="s">
        <v>37</v>
      </c>
      <c r="G33" t="s">
        <v>38</v>
      </c>
      <c r="H33" t="s">
        <v>176</v>
      </c>
      <c r="I33" t="s">
        <v>40</v>
      </c>
      <c r="J33">
        <v>2</v>
      </c>
      <c r="K33" t="s">
        <v>41</v>
      </c>
      <c r="L33" t="s">
        <v>42</v>
      </c>
      <c r="M33" t="s">
        <v>43</v>
      </c>
      <c r="N33" s="7">
        <v>3</v>
      </c>
      <c r="O33" s="8">
        <v>45517.788622685184</v>
      </c>
      <c r="P33" s="9">
        <v>45519</v>
      </c>
      <c r="Q33" t="s">
        <v>44</v>
      </c>
      <c r="R33" t="s">
        <v>45</v>
      </c>
      <c r="S33" t="s">
        <v>46</v>
      </c>
      <c r="T33" t="s">
        <v>92</v>
      </c>
      <c r="U33" t="s">
        <v>177</v>
      </c>
      <c r="V33">
        <v>42700</v>
      </c>
      <c r="W33" t="s">
        <v>45</v>
      </c>
      <c r="X33" t="s">
        <v>178</v>
      </c>
      <c r="Y33" t="s">
        <v>50</v>
      </c>
      <c r="Z33" s="10">
        <f t="shared" si="3"/>
        <v>10.6</v>
      </c>
      <c r="AA33" s="11">
        <v>0</v>
      </c>
      <c r="AB33" s="11">
        <v>-2</v>
      </c>
      <c r="AC33" s="11">
        <v>0</v>
      </c>
      <c r="AD33" s="11">
        <v>0</v>
      </c>
      <c r="AE33" s="11">
        <v>0</v>
      </c>
      <c r="AF33" s="11">
        <f t="shared" si="1"/>
        <v>0.51600000000000001</v>
      </c>
      <c r="AG33" s="11">
        <f t="shared" si="2"/>
        <v>9.1159999999999997</v>
      </c>
      <c r="AH33" t="s">
        <v>51</v>
      </c>
    </row>
    <row r="34" spans="1:34" ht="15" customHeight="1" x14ac:dyDescent="0.25">
      <c r="A34">
        <v>7547676</v>
      </c>
      <c r="B34" t="s">
        <v>34</v>
      </c>
      <c r="C34" t="s">
        <v>35</v>
      </c>
      <c r="D34" s="6" t="s">
        <v>34</v>
      </c>
      <c r="E34" t="s">
        <v>179</v>
      </c>
      <c r="F34" t="s">
        <v>37</v>
      </c>
      <c r="G34" t="s">
        <v>38</v>
      </c>
      <c r="H34" t="s">
        <v>180</v>
      </c>
      <c r="I34" t="s">
        <v>40</v>
      </c>
      <c r="J34">
        <v>2</v>
      </c>
      <c r="K34" t="s">
        <v>41</v>
      </c>
      <c r="L34" t="s">
        <v>42</v>
      </c>
      <c r="M34" t="s">
        <v>43</v>
      </c>
      <c r="N34" s="7">
        <v>12</v>
      </c>
      <c r="O34" s="8">
        <v>45517.606296296297</v>
      </c>
      <c r="P34" s="9">
        <v>45519</v>
      </c>
      <c r="Q34" t="s">
        <v>44</v>
      </c>
      <c r="R34" t="s">
        <v>45</v>
      </c>
      <c r="S34" t="s">
        <v>46</v>
      </c>
      <c r="T34" t="s">
        <v>107</v>
      </c>
      <c r="U34" t="s">
        <v>181</v>
      </c>
      <c r="V34">
        <v>8200</v>
      </c>
      <c r="W34" t="s">
        <v>45</v>
      </c>
      <c r="X34" t="s">
        <v>182</v>
      </c>
      <c r="Y34" t="s">
        <v>50</v>
      </c>
      <c r="Z34" s="10">
        <f t="shared" si="3"/>
        <v>17.8</v>
      </c>
      <c r="AA34" s="11">
        <v>0</v>
      </c>
      <c r="AB34" s="11">
        <v>-2</v>
      </c>
      <c r="AC34" s="11">
        <v>0</v>
      </c>
      <c r="AD34" s="11">
        <v>0</v>
      </c>
      <c r="AE34" s="11">
        <v>0</v>
      </c>
      <c r="AF34" s="11">
        <f t="shared" si="1"/>
        <v>0.94799999999999995</v>
      </c>
      <c r="AG34" s="11">
        <f t="shared" si="2"/>
        <v>16.748000000000001</v>
      </c>
      <c r="AH34" t="s">
        <v>51</v>
      </c>
    </row>
    <row r="35" spans="1:34" ht="15" customHeight="1" x14ac:dyDescent="0.25">
      <c r="A35">
        <v>7547676</v>
      </c>
      <c r="B35" t="s">
        <v>34</v>
      </c>
      <c r="C35" t="s">
        <v>35</v>
      </c>
      <c r="D35" s="6" t="s">
        <v>34</v>
      </c>
      <c r="E35" t="s">
        <v>183</v>
      </c>
      <c r="F35" t="s">
        <v>37</v>
      </c>
      <c r="G35" t="s">
        <v>38</v>
      </c>
      <c r="H35" t="s">
        <v>172</v>
      </c>
      <c r="I35" t="s">
        <v>40</v>
      </c>
      <c r="J35">
        <v>2</v>
      </c>
      <c r="K35" t="s">
        <v>41</v>
      </c>
      <c r="L35" t="s">
        <v>42</v>
      </c>
      <c r="M35" t="s">
        <v>43</v>
      </c>
      <c r="N35" s="7">
        <v>14</v>
      </c>
      <c r="O35" s="8">
        <v>45517.79042824074</v>
      </c>
      <c r="P35" s="9">
        <v>45519</v>
      </c>
      <c r="Q35" t="s">
        <v>44</v>
      </c>
      <c r="R35" t="s">
        <v>45</v>
      </c>
      <c r="S35" t="s">
        <v>46</v>
      </c>
      <c r="T35" t="s">
        <v>129</v>
      </c>
      <c r="U35" t="s">
        <v>173</v>
      </c>
      <c r="V35">
        <v>71900</v>
      </c>
      <c r="W35" t="s">
        <v>45</v>
      </c>
      <c r="X35" t="s">
        <v>174</v>
      </c>
      <c r="Y35" t="s">
        <v>50</v>
      </c>
      <c r="Z35" s="10">
        <f t="shared" si="3"/>
        <v>19.399999999999999</v>
      </c>
      <c r="AA35" s="11">
        <v>0</v>
      </c>
      <c r="AB35" s="11">
        <v>-2</v>
      </c>
      <c r="AC35" s="11">
        <v>0</v>
      </c>
      <c r="AD35" s="11">
        <v>0</v>
      </c>
      <c r="AE35" s="11">
        <v>0</v>
      </c>
      <c r="AF35" s="11">
        <f t="shared" si="1"/>
        <v>1.0439999999999998</v>
      </c>
      <c r="AG35" s="11">
        <f t="shared" si="2"/>
        <v>18.443999999999999</v>
      </c>
      <c r="AH35" t="s">
        <v>51</v>
      </c>
    </row>
    <row r="36" spans="1:34" ht="15" customHeight="1" x14ac:dyDescent="0.25">
      <c r="A36">
        <v>7547676</v>
      </c>
      <c r="B36" t="s">
        <v>34</v>
      </c>
      <c r="C36" t="s">
        <v>35</v>
      </c>
      <c r="D36" s="6" t="s">
        <v>34</v>
      </c>
      <c r="E36" t="s">
        <v>184</v>
      </c>
      <c r="F36" t="s">
        <v>37</v>
      </c>
      <c r="G36" t="s">
        <v>38</v>
      </c>
      <c r="H36" t="s">
        <v>185</v>
      </c>
      <c r="I36" t="s">
        <v>40</v>
      </c>
      <c r="J36">
        <v>2</v>
      </c>
      <c r="K36" t="s">
        <v>41</v>
      </c>
      <c r="L36" t="s">
        <v>42</v>
      </c>
      <c r="M36" t="s">
        <v>43</v>
      </c>
      <c r="N36" s="7">
        <v>1</v>
      </c>
      <c r="O36" s="8">
        <v>45517.788622685184</v>
      </c>
      <c r="P36" s="9">
        <v>45519</v>
      </c>
      <c r="Q36" t="s">
        <v>44</v>
      </c>
      <c r="R36" t="s">
        <v>45</v>
      </c>
      <c r="S36" t="s">
        <v>46</v>
      </c>
      <c r="T36" t="s">
        <v>92</v>
      </c>
      <c r="U36" t="s">
        <v>186</v>
      </c>
      <c r="V36">
        <v>43800</v>
      </c>
      <c r="W36" t="s">
        <v>45</v>
      </c>
      <c r="X36" t="s">
        <v>187</v>
      </c>
      <c r="Y36" t="s">
        <v>50</v>
      </c>
      <c r="Z36" s="10">
        <f t="shared" si="3"/>
        <v>9</v>
      </c>
      <c r="AA36" s="11">
        <v>0</v>
      </c>
      <c r="AB36" s="11">
        <v>-2</v>
      </c>
      <c r="AC36" s="11">
        <v>0</v>
      </c>
      <c r="AD36" s="11">
        <v>0</v>
      </c>
      <c r="AE36" s="11">
        <v>0</v>
      </c>
      <c r="AF36" s="11">
        <f t="shared" si="1"/>
        <v>0.42</v>
      </c>
      <c r="AG36" s="11">
        <f t="shared" si="2"/>
        <v>7.42</v>
      </c>
      <c r="AH36" t="s">
        <v>51</v>
      </c>
    </row>
    <row r="37" spans="1:34" ht="15" customHeight="1" x14ac:dyDescent="0.25">
      <c r="A37">
        <v>7547676</v>
      </c>
      <c r="B37" t="s">
        <v>34</v>
      </c>
      <c r="C37" t="s">
        <v>35</v>
      </c>
      <c r="D37" s="6" t="s">
        <v>34</v>
      </c>
      <c r="E37" t="s">
        <v>188</v>
      </c>
      <c r="F37" t="s">
        <v>37</v>
      </c>
      <c r="G37" t="s">
        <v>38</v>
      </c>
      <c r="H37" t="s">
        <v>189</v>
      </c>
      <c r="I37" t="s">
        <v>40</v>
      </c>
      <c r="J37">
        <v>2</v>
      </c>
      <c r="K37" t="s">
        <v>41</v>
      </c>
      <c r="L37" t="s">
        <v>42</v>
      </c>
      <c r="M37" t="s">
        <v>43</v>
      </c>
      <c r="N37" s="7">
        <v>1</v>
      </c>
      <c r="O37" s="8">
        <v>45516.758518518516</v>
      </c>
      <c r="P37" s="9">
        <v>45519</v>
      </c>
      <c r="Q37" t="s">
        <v>44</v>
      </c>
      <c r="R37" t="s">
        <v>45</v>
      </c>
      <c r="S37" t="s">
        <v>46</v>
      </c>
      <c r="T37" t="s">
        <v>47</v>
      </c>
      <c r="U37" t="s">
        <v>190</v>
      </c>
      <c r="V37">
        <v>33020</v>
      </c>
      <c r="W37" t="s">
        <v>45</v>
      </c>
      <c r="X37" t="s">
        <v>191</v>
      </c>
      <c r="Y37" t="s">
        <v>50</v>
      </c>
      <c r="Z37" s="10">
        <f t="shared" si="3"/>
        <v>9</v>
      </c>
      <c r="AA37" s="11">
        <v>0</v>
      </c>
      <c r="AB37" s="11">
        <v>-2</v>
      </c>
      <c r="AC37" s="11">
        <v>0</v>
      </c>
      <c r="AD37" s="11">
        <v>0</v>
      </c>
      <c r="AE37" s="11">
        <v>0</v>
      </c>
      <c r="AF37" s="11">
        <f t="shared" si="1"/>
        <v>0.42</v>
      </c>
      <c r="AG37" s="11">
        <f t="shared" si="2"/>
        <v>7.42</v>
      </c>
      <c r="AH37" t="s">
        <v>51</v>
      </c>
    </row>
    <row r="38" spans="1:34" ht="15" customHeight="1" x14ac:dyDescent="0.25">
      <c r="A38">
        <v>7547676</v>
      </c>
      <c r="B38" t="s">
        <v>34</v>
      </c>
      <c r="C38" t="s">
        <v>35</v>
      </c>
      <c r="D38" s="6" t="s">
        <v>34</v>
      </c>
      <c r="E38" t="s">
        <v>192</v>
      </c>
      <c r="F38" t="s">
        <v>37</v>
      </c>
      <c r="G38" t="s">
        <v>38</v>
      </c>
      <c r="H38" t="s">
        <v>180</v>
      </c>
      <c r="I38" t="s">
        <v>40</v>
      </c>
      <c r="J38">
        <v>2</v>
      </c>
      <c r="K38" t="s">
        <v>41</v>
      </c>
      <c r="L38" t="s">
        <v>42</v>
      </c>
      <c r="M38" t="s">
        <v>43</v>
      </c>
      <c r="N38" s="7">
        <v>11</v>
      </c>
      <c r="O38" s="8">
        <v>45517.606296296297</v>
      </c>
      <c r="P38" s="9">
        <v>45519</v>
      </c>
      <c r="Q38" t="s">
        <v>44</v>
      </c>
      <c r="R38" t="s">
        <v>45</v>
      </c>
      <c r="S38" t="s">
        <v>46</v>
      </c>
      <c r="T38" t="s">
        <v>107</v>
      </c>
      <c r="U38" t="s">
        <v>181</v>
      </c>
      <c r="V38">
        <v>8200</v>
      </c>
      <c r="W38" t="s">
        <v>45</v>
      </c>
      <c r="X38" t="s">
        <v>182</v>
      </c>
      <c r="Y38" t="s">
        <v>50</v>
      </c>
      <c r="Z38" s="10">
        <f t="shared" si="3"/>
        <v>17</v>
      </c>
      <c r="AA38" s="11">
        <v>0</v>
      </c>
      <c r="AB38" s="11">
        <v>-2</v>
      </c>
      <c r="AC38" s="11">
        <v>0</v>
      </c>
      <c r="AD38" s="11">
        <v>0</v>
      </c>
      <c r="AE38" s="11">
        <v>0</v>
      </c>
      <c r="AF38" s="11">
        <f t="shared" si="1"/>
        <v>0.89999999999999991</v>
      </c>
      <c r="AG38" s="11">
        <f t="shared" si="2"/>
        <v>15.9</v>
      </c>
      <c r="AH38" t="s">
        <v>51</v>
      </c>
    </row>
    <row r="39" spans="1:34" ht="15" customHeight="1" x14ac:dyDescent="0.25">
      <c r="A39">
        <v>7547676</v>
      </c>
      <c r="B39" t="s">
        <v>34</v>
      </c>
      <c r="C39" t="s">
        <v>35</v>
      </c>
      <c r="D39" s="6" t="s">
        <v>34</v>
      </c>
      <c r="E39" t="s">
        <v>193</v>
      </c>
      <c r="F39" t="s">
        <v>37</v>
      </c>
      <c r="G39" t="s">
        <v>38</v>
      </c>
      <c r="H39" t="s">
        <v>172</v>
      </c>
      <c r="I39" t="s">
        <v>40</v>
      </c>
      <c r="J39">
        <v>2</v>
      </c>
      <c r="K39" t="s">
        <v>41</v>
      </c>
      <c r="L39" t="s">
        <v>42</v>
      </c>
      <c r="M39" t="s">
        <v>43</v>
      </c>
      <c r="N39" s="7">
        <v>14</v>
      </c>
      <c r="O39" s="8">
        <v>45517.79042824074</v>
      </c>
      <c r="P39" s="9">
        <v>45519</v>
      </c>
      <c r="Q39" t="s">
        <v>44</v>
      </c>
      <c r="R39" t="s">
        <v>45</v>
      </c>
      <c r="S39" t="s">
        <v>46</v>
      </c>
      <c r="T39" t="s">
        <v>129</v>
      </c>
      <c r="U39" t="s">
        <v>173</v>
      </c>
      <c r="V39">
        <v>71900</v>
      </c>
      <c r="W39" t="s">
        <v>45</v>
      </c>
      <c r="X39" t="s">
        <v>174</v>
      </c>
      <c r="Y39" t="s">
        <v>50</v>
      </c>
      <c r="Z39" s="10">
        <f t="shared" si="3"/>
        <v>19.399999999999999</v>
      </c>
      <c r="AA39" s="11">
        <v>0</v>
      </c>
      <c r="AB39" s="11">
        <v>-2</v>
      </c>
      <c r="AC39" s="11">
        <v>0</v>
      </c>
      <c r="AD39" s="11">
        <v>0</v>
      </c>
      <c r="AE39" s="11">
        <v>0</v>
      </c>
      <c r="AF39" s="11">
        <f t="shared" si="1"/>
        <v>1.0439999999999998</v>
      </c>
      <c r="AG39" s="11">
        <f t="shared" si="2"/>
        <v>18.443999999999999</v>
      </c>
      <c r="AH39" t="s">
        <v>51</v>
      </c>
    </row>
    <row r="40" spans="1:34" ht="15" customHeight="1" x14ac:dyDescent="0.25">
      <c r="A40">
        <v>7547676</v>
      </c>
      <c r="B40" t="s">
        <v>34</v>
      </c>
      <c r="C40" t="s">
        <v>35</v>
      </c>
      <c r="D40" s="6" t="s">
        <v>34</v>
      </c>
      <c r="E40" t="s">
        <v>194</v>
      </c>
      <c r="F40" t="s">
        <v>37</v>
      </c>
      <c r="G40" t="s">
        <v>38</v>
      </c>
      <c r="H40" t="s">
        <v>195</v>
      </c>
      <c r="I40" t="s">
        <v>40</v>
      </c>
      <c r="J40">
        <v>2</v>
      </c>
      <c r="K40" t="s">
        <v>41</v>
      </c>
      <c r="L40" t="s">
        <v>42</v>
      </c>
      <c r="M40" t="s">
        <v>43</v>
      </c>
      <c r="N40" s="7">
        <v>3</v>
      </c>
      <c r="O40" s="8">
        <v>45518.605358796296</v>
      </c>
      <c r="P40" s="9">
        <v>45519</v>
      </c>
      <c r="Q40" t="s">
        <v>44</v>
      </c>
      <c r="R40" t="s">
        <v>45</v>
      </c>
      <c r="S40" t="s">
        <v>46</v>
      </c>
      <c r="T40" t="s">
        <v>72</v>
      </c>
      <c r="U40" t="s">
        <v>196</v>
      </c>
      <c r="V40">
        <v>21040</v>
      </c>
      <c r="W40" t="s">
        <v>45</v>
      </c>
      <c r="X40" t="s">
        <v>139</v>
      </c>
      <c r="Y40" t="s">
        <v>50</v>
      </c>
      <c r="Z40" s="10">
        <f t="shared" si="3"/>
        <v>10.6</v>
      </c>
      <c r="AA40" s="11">
        <v>0</v>
      </c>
      <c r="AB40" s="11">
        <v>-2</v>
      </c>
      <c r="AC40" s="11">
        <v>0</v>
      </c>
      <c r="AD40" s="11">
        <v>0</v>
      </c>
      <c r="AE40" s="11">
        <v>0</v>
      </c>
      <c r="AF40" s="11">
        <f t="shared" si="1"/>
        <v>0.51600000000000001</v>
      </c>
      <c r="AG40" s="11">
        <f t="shared" si="2"/>
        <v>9.1159999999999997</v>
      </c>
      <c r="AH40" t="s">
        <v>51</v>
      </c>
    </row>
    <row r="41" spans="1:34" ht="15" customHeight="1" x14ac:dyDescent="0.25">
      <c r="A41">
        <v>7547676</v>
      </c>
      <c r="B41" t="s">
        <v>34</v>
      </c>
      <c r="C41" t="s">
        <v>35</v>
      </c>
      <c r="D41" s="6" t="s">
        <v>34</v>
      </c>
      <c r="E41" t="s">
        <v>197</v>
      </c>
      <c r="F41" t="s">
        <v>37</v>
      </c>
      <c r="G41" t="s">
        <v>38</v>
      </c>
      <c r="H41" t="s">
        <v>198</v>
      </c>
      <c r="I41" t="s">
        <v>40</v>
      </c>
      <c r="J41">
        <v>2</v>
      </c>
      <c r="K41" t="s">
        <v>41</v>
      </c>
      <c r="L41" t="s">
        <v>42</v>
      </c>
      <c r="M41" t="s">
        <v>43</v>
      </c>
      <c r="N41" s="7">
        <v>1</v>
      </c>
      <c r="O41" s="8">
        <v>45517.756967592592</v>
      </c>
      <c r="P41" s="9">
        <v>45519</v>
      </c>
      <c r="Q41" t="s">
        <v>44</v>
      </c>
      <c r="R41" t="s">
        <v>45</v>
      </c>
      <c r="S41" t="s">
        <v>46</v>
      </c>
      <c r="T41" t="s">
        <v>151</v>
      </c>
      <c r="U41" t="s">
        <v>199</v>
      </c>
      <c r="V41">
        <v>75260</v>
      </c>
      <c r="W41" t="s">
        <v>45</v>
      </c>
      <c r="X41" t="s">
        <v>200</v>
      </c>
      <c r="Y41" t="s">
        <v>50</v>
      </c>
      <c r="Z41" s="10">
        <f t="shared" si="3"/>
        <v>9</v>
      </c>
      <c r="AA41" s="11">
        <v>0</v>
      </c>
      <c r="AB41" s="11">
        <v>-2</v>
      </c>
      <c r="AC41" s="11">
        <v>0</v>
      </c>
      <c r="AD41" s="11">
        <v>0</v>
      </c>
      <c r="AE41" s="11">
        <v>0</v>
      </c>
      <c r="AF41" s="11">
        <f t="shared" si="1"/>
        <v>0.42</v>
      </c>
      <c r="AG41" s="11">
        <f t="shared" si="2"/>
        <v>7.42</v>
      </c>
      <c r="AH41" t="s">
        <v>51</v>
      </c>
    </row>
    <row r="42" spans="1:34" ht="15" customHeight="1" x14ac:dyDescent="0.25">
      <c r="A42">
        <v>7547676</v>
      </c>
      <c r="B42" t="s">
        <v>34</v>
      </c>
      <c r="C42" t="s">
        <v>35</v>
      </c>
      <c r="D42" s="6" t="s">
        <v>34</v>
      </c>
      <c r="E42" t="s">
        <v>201</v>
      </c>
      <c r="F42" t="s">
        <v>37</v>
      </c>
      <c r="G42" t="s">
        <v>38</v>
      </c>
      <c r="H42" t="s">
        <v>202</v>
      </c>
      <c r="I42" t="s">
        <v>40</v>
      </c>
      <c r="J42">
        <v>2</v>
      </c>
      <c r="K42" t="s">
        <v>41</v>
      </c>
      <c r="L42" t="s">
        <v>42</v>
      </c>
      <c r="M42" t="s">
        <v>43</v>
      </c>
      <c r="N42" s="7">
        <v>1</v>
      </c>
      <c r="O42" s="8">
        <v>45517.751585648148</v>
      </c>
      <c r="P42" s="9">
        <v>45519</v>
      </c>
      <c r="Q42" t="s">
        <v>44</v>
      </c>
      <c r="R42" t="s">
        <v>45</v>
      </c>
      <c r="S42" t="s">
        <v>46</v>
      </c>
      <c r="T42" t="s">
        <v>72</v>
      </c>
      <c r="U42" t="s">
        <v>203</v>
      </c>
      <c r="V42">
        <v>21040</v>
      </c>
      <c r="W42" t="s">
        <v>45</v>
      </c>
      <c r="X42" t="s">
        <v>139</v>
      </c>
      <c r="Y42" t="s">
        <v>50</v>
      </c>
      <c r="Z42" s="10">
        <f t="shared" si="3"/>
        <v>9</v>
      </c>
      <c r="AA42" s="11">
        <v>0</v>
      </c>
      <c r="AB42" s="11">
        <v>-2</v>
      </c>
      <c r="AC42" s="11">
        <v>0</v>
      </c>
      <c r="AD42" s="11">
        <v>0</v>
      </c>
      <c r="AE42" s="11">
        <v>0</v>
      </c>
      <c r="AF42" s="11">
        <f t="shared" si="1"/>
        <v>0.42</v>
      </c>
      <c r="AG42" s="11">
        <f t="shared" si="2"/>
        <v>7.42</v>
      </c>
      <c r="AH42" t="s">
        <v>51</v>
      </c>
    </row>
    <row r="43" spans="1:34" ht="15" customHeight="1" x14ac:dyDescent="0.25">
      <c r="A43">
        <v>7547676</v>
      </c>
      <c r="B43" t="s">
        <v>34</v>
      </c>
      <c r="C43" t="s">
        <v>35</v>
      </c>
      <c r="D43" s="6" t="s">
        <v>34</v>
      </c>
      <c r="E43" t="s">
        <v>204</v>
      </c>
      <c r="F43" t="s">
        <v>37</v>
      </c>
      <c r="G43" t="s">
        <v>38</v>
      </c>
      <c r="H43" t="s">
        <v>205</v>
      </c>
      <c r="I43" t="s">
        <v>40</v>
      </c>
      <c r="J43">
        <v>2</v>
      </c>
      <c r="K43" t="s">
        <v>41</v>
      </c>
      <c r="L43" t="s">
        <v>42</v>
      </c>
      <c r="M43" t="s">
        <v>43</v>
      </c>
      <c r="N43" s="7">
        <v>3</v>
      </c>
      <c r="O43" s="8">
        <v>45517.785624999997</v>
      </c>
      <c r="P43" s="9">
        <v>45519</v>
      </c>
      <c r="Q43" t="s">
        <v>44</v>
      </c>
      <c r="R43" t="s">
        <v>45</v>
      </c>
      <c r="S43" t="s">
        <v>46</v>
      </c>
      <c r="T43" t="s">
        <v>92</v>
      </c>
      <c r="U43" t="s">
        <v>206</v>
      </c>
      <c r="V43">
        <v>42700</v>
      </c>
      <c r="W43" t="s">
        <v>45</v>
      </c>
      <c r="X43" t="s">
        <v>178</v>
      </c>
      <c r="Y43" t="s">
        <v>50</v>
      </c>
      <c r="Z43" s="10">
        <f t="shared" si="3"/>
        <v>10.6</v>
      </c>
      <c r="AA43" s="11">
        <v>0</v>
      </c>
      <c r="AB43" s="11">
        <v>-2</v>
      </c>
      <c r="AC43" s="11">
        <v>0</v>
      </c>
      <c r="AD43" s="11">
        <v>0</v>
      </c>
      <c r="AE43" s="11">
        <v>0</v>
      </c>
      <c r="AF43" s="11">
        <f t="shared" si="1"/>
        <v>0.51600000000000001</v>
      </c>
      <c r="AG43" s="11">
        <f t="shared" si="2"/>
        <v>9.1159999999999997</v>
      </c>
      <c r="AH43" t="s">
        <v>51</v>
      </c>
    </row>
    <row r="44" spans="1:34" ht="15" customHeight="1" x14ac:dyDescent="0.25">
      <c r="A44">
        <v>7547676</v>
      </c>
      <c r="B44" t="s">
        <v>34</v>
      </c>
      <c r="C44" t="s">
        <v>35</v>
      </c>
      <c r="D44" s="6" t="s">
        <v>34</v>
      </c>
      <c r="E44" t="s">
        <v>207</v>
      </c>
      <c r="F44" t="s">
        <v>37</v>
      </c>
      <c r="G44" t="s">
        <v>38</v>
      </c>
      <c r="H44" t="s">
        <v>208</v>
      </c>
      <c r="I44" t="s">
        <v>40</v>
      </c>
      <c r="J44">
        <v>2</v>
      </c>
      <c r="K44" t="s">
        <v>41</v>
      </c>
      <c r="L44" t="s">
        <v>42</v>
      </c>
      <c r="M44" t="s">
        <v>43</v>
      </c>
      <c r="N44" s="7">
        <v>1</v>
      </c>
      <c r="O44" s="8">
        <v>45517.572662037041</v>
      </c>
      <c r="P44" s="9">
        <v>45519</v>
      </c>
      <c r="Q44" t="s">
        <v>44</v>
      </c>
      <c r="R44" t="s">
        <v>45</v>
      </c>
      <c r="S44" t="s">
        <v>46</v>
      </c>
      <c r="T44" t="s">
        <v>129</v>
      </c>
      <c r="U44" t="s">
        <v>209</v>
      </c>
      <c r="V44">
        <v>71950</v>
      </c>
      <c r="W44" t="s">
        <v>45</v>
      </c>
      <c r="X44" t="s">
        <v>131</v>
      </c>
      <c r="Y44" t="s">
        <v>50</v>
      </c>
      <c r="Z44" s="10">
        <f t="shared" si="3"/>
        <v>9</v>
      </c>
      <c r="AA44" s="11">
        <v>0</v>
      </c>
      <c r="AB44" s="11">
        <v>-2</v>
      </c>
      <c r="AC44" s="11">
        <v>0</v>
      </c>
      <c r="AD44" s="11">
        <v>0</v>
      </c>
      <c r="AE44" s="11">
        <v>0</v>
      </c>
      <c r="AF44" s="11">
        <f t="shared" si="1"/>
        <v>0.42</v>
      </c>
      <c r="AG44" s="11">
        <f t="shared" si="2"/>
        <v>7.42</v>
      </c>
      <c r="AH44" t="s">
        <v>51</v>
      </c>
    </row>
    <row r="45" spans="1:34" ht="15" customHeight="1" x14ac:dyDescent="0.25">
      <c r="A45">
        <v>7547676</v>
      </c>
      <c r="B45" t="s">
        <v>34</v>
      </c>
      <c r="C45" t="s">
        <v>35</v>
      </c>
      <c r="D45" s="6" t="s">
        <v>34</v>
      </c>
      <c r="E45" t="s">
        <v>210</v>
      </c>
      <c r="F45" t="s">
        <v>37</v>
      </c>
      <c r="G45" t="s">
        <v>38</v>
      </c>
      <c r="H45" t="s">
        <v>211</v>
      </c>
      <c r="I45" t="s">
        <v>40</v>
      </c>
      <c r="J45">
        <v>2</v>
      </c>
      <c r="K45" t="s">
        <v>41</v>
      </c>
      <c r="L45" t="s">
        <v>42</v>
      </c>
      <c r="M45" t="s">
        <v>43</v>
      </c>
      <c r="N45" s="7">
        <v>1</v>
      </c>
      <c r="O45" s="8">
        <v>45517.788622685184</v>
      </c>
      <c r="P45" s="9">
        <v>45519</v>
      </c>
      <c r="Q45" t="s">
        <v>44</v>
      </c>
      <c r="R45" t="s">
        <v>45</v>
      </c>
      <c r="S45" t="s">
        <v>46</v>
      </c>
      <c r="T45" t="s">
        <v>92</v>
      </c>
      <c r="U45" t="s">
        <v>212</v>
      </c>
      <c r="V45">
        <v>42100</v>
      </c>
      <c r="W45" t="s">
        <v>45</v>
      </c>
      <c r="X45" t="s">
        <v>213</v>
      </c>
      <c r="Y45" t="s">
        <v>50</v>
      </c>
      <c r="Z45" s="10">
        <f t="shared" si="3"/>
        <v>9</v>
      </c>
      <c r="AA45" s="11">
        <v>0</v>
      </c>
      <c r="AB45" s="11">
        <v>-2</v>
      </c>
      <c r="AC45" s="11">
        <v>0</v>
      </c>
      <c r="AD45" s="11">
        <v>0</v>
      </c>
      <c r="AE45" s="11">
        <v>0</v>
      </c>
      <c r="AF45" s="11">
        <f t="shared" si="1"/>
        <v>0.42</v>
      </c>
      <c r="AG45" s="11">
        <f t="shared" si="2"/>
        <v>7.42</v>
      </c>
      <c r="AH45" t="s">
        <v>51</v>
      </c>
    </row>
    <row r="46" spans="1:34" ht="15" customHeight="1" x14ac:dyDescent="0.25">
      <c r="A46">
        <v>7547676</v>
      </c>
      <c r="B46" t="s">
        <v>34</v>
      </c>
      <c r="C46" t="s">
        <v>35</v>
      </c>
      <c r="D46" s="6" t="s">
        <v>34</v>
      </c>
      <c r="E46" t="s">
        <v>214</v>
      </c>
      <c r="F46" t="s">
        <v>37</v>
      </c>
      <c r="G46" t="s">
        <v>38</v>
      </c>
      <c r="H46" t="s">
        <v>215</v>
      </c>
      <c r="I46" t="s">
        <v>40</v>
      </c>
      <c r="J46">
        <v>2</v>
      </c>
      <c r="K46" t="s">
        <v>41</v>
      </c>
      <c r="L46" t="s">
        <v>42</v>
      </c>
      <c r="M46" t="s">
        <v>43</v>
      </c>
      <c r="N46" s="7">
        <v>3</v>
      </c>
      <c r="O46" s="8">
        <v>45517.785624999997</v>
      </c>
      <c r="P46" s="9">
        <v>45519</v>
      </c>
      <c r="Q46" t="s">
        <v>44</v>
      </c>
      <c r="R46" t="s">
        <v>45</v>
      </c>
      <c r="S46" t="s">
        <v>46</v>
      </c>
      <c r="T46" t="s">
        <v>92</v>
      </c>
      <c r="U46" t="s">
        <v>216</v>
      </c>
      <c r="V46">
        <v>48300</v>
      </c>
      <c r="W46" t="s">
        <v>45</v>
      </c>
      <c r="X46" t="s">
        <v>170</v>
      </c>
      <c r="Y46" t="s">
        <v>50</v>
      </c>
      <c r="Z46" s="10">
        <f t="shared" si="3"/>
        <v>10.6</v>
      </c>
      <c r="AA46" s="11">
        <v>0</v>
      </c>
      <c r="AB46" s="11">
        <v>-2</v>
      </c>
      <c r="AC46" s="11">
        <v>0</v>
      </c>
      <c r="AD46" s="11">
        <v>0</v>
      </c>
      <c r="AE46" s="11">
        <v>0</v>
      </c>
      <c r="AF46" s="11">
        <f t="shared" si="1"/>
        <v>0.51600000000000001</v>
      </c>
      <c r="AG46" s="11">
        <f t="shared" si="2"/>
        <v>9.1159999999999997</v>
      </c>
      <c r="AH46" t="s">
        <v>51</v>
      </c>
    </row>
    <row r="47" spans="1:34" ht="15" customHeight="1" x14ac:dyDescent="0.25">
      <c r="A47">
        <v>7547676</v>
      </c>
      <c r="B47" t="s">
        <v>34</v>
      </c>
      <c r="C47" t="s">
        <v>35</v>
      </c>
      <c r="D47" s="6" t="s">
        <v>34</v>
      </c>
      <c r="E47" t="s">
        <v>217</v>
      </c>
      <c r="F47" t="s">
        <v>37</v>
      </c>
      <c r="G47" t="s">
        <v>38</v>
      </c>
      <c r="H47" t="s">
        <v>218</v>
      </c>
      <c r="I47" t="s">
        <v>40</v>
      </c>
      <c r="J47">
        <v>2</v>
      </c>
      <c r="K47" t="s">
        <v>41</v>
      </c>
      <c r="L47" t="s">
        <v>42</v>
      </c>
      <c r="M47" t="s">
        <v>43</v>
      </c>
      <c r="N47" s="7">
        <v>5</v>
      </c>
      <c r="O47" s="8">
        <v>45518.693865740737</v>
      </c>
      <c r="P47" s="9">
        <v>45519</v>
      </c>
      <c r="Q47" t="s">
        <v>44</v>
      </c>
      <c r="R47" t="s">
        <v>45</v>
      </c>
      <c r="S47" t="s">
        <v>46</v>
      </c>
      <c r="T47" t="s">
        <v>72</v>
      </c>
      <c r="U47" t="s">
        <v>219</v>
      </c>
      <c r="V47">
        <v>22100</v>
      </c>
      <c r="W47" t="s">
        <v>45</v>
      </c>
      <c r="X47" t="s">
        <v>220</v>
      </c>
      <c r="Y47" t="s">
        <v>50</v>
      </c>
      <c r="Z47" s="10">
        <f t="shared" si="3"/>
        <v>12.2</v>
      </c>
      <c r="AA47" s="11">
        <v>0</v>
      </c>
      <c r="AB47" s="11">
        <v>-2</v>
      </c>
      <c r="AC47" s="11">
        <v>0</v>
      </c>
      <c r="AD47" s="11">
        <v>0</v>
      </c>
      <c r="AE47" s="11">
        <v>0</v>
      </c>
      <c r="AF47" s="11">
        <f t="shared" si="1"/>
        <v>0.61199999999999999</v>
      </c>
      <c r="AG47" s="11">
        <f t="shared" si="2"/>
        <v>10.811999999999999</v>
      </c>
      <c r="AH47" t="s">
        <v>51</v>
      </c>
    </row>
    <row r="48" spans="1:34" ht="15" customHeight="1" x14ac:dyDescent="0.25">
      <c r="A48">
        <v>7547676</v>
      </c>
      <c r="B48" t="s">
        <v>34</v>
      </c>
      <c r="C48" t="s">
        <v>35</v>
      </c>
      <c r="D48" s="6" t="s">
        <v>34</v>
      </c>
      <c r="E48" t="s">
        <v>221</v>
      </c>
      <c r="F48" t="s">
        <v>37</v>
      </c>
      <c r="G48" t="s">
        <v>38</v>
      </c>
      <c r="H48" t="s">
        <v>222</v>
      </c>
      <c r="I48" t="s">
        <v>40</v>
      </c>
      <c r="J48">
        <v>2</v>
      </c>
      <c r="K48" t="s">
        <v>41</v>
      </c>
      <c r="L48" t="s">
        <v>42</v>
      </c>
      <c r="M48" t="s">
        <v>43</v>
      </c>
      <c r="N48" s="7">
        <v>1</v>
      </c>
      <c r="O48" s="8">
        <v>45517.771782407406</v>
      </c>
      <c r="P48" s="9">
        <v>45519</v>
      </c>
      <c r="Q48" t="s">
        <v>44</v>
      </c>
      <c r="R48" t="s">
        <v>45</v>
      </c>
      <c r="S48" t="s">
        <v>46</v>
      </c>
      <c r="T48" t="s">
        <v>223</v>
      </c>
      <c r="U48" t="s">
        <v>224</v>
      </c>
      <c r="V48">
        <v>28730</v>
      </c>
      <c r="W48" t="s">
        <v>45</v>
      </c>
      <c r="X48" t="s">
        <v>225</v>
      </c>
      <c r="Y48" t="s">
        <v>50</v>
      </c>
      <c r="Z48" s="10">
        <f t="shared" si="3"/>
        <v>9</v>
      </c>
      <c r="AA48" s="11">
        <v>0</v>
      </c>
      <c r="AB48" s="11">
        <v>-2</v>
      </c>
      <c r="AC48" s="11">
        <v>0</v>
      </c>
      <c r="AD48" s="11">
        <v>0</v>
      </c>
      <c r="AE48" s="11">
        <v>0</v>
      </c>
      <c r="AF48" s="11">
        <f t="shared" si="1"/>
        <v>0.42</v>
      </c>
      <c r="AG48" s="11">
        <f t="shared" si="2"/>
        <v>7.42</v>
      </c>
      <c r="AH48" t="s">
        <v>51</v>
      </c>
    </row>
    <row r="49" spans="1:34" ht="15" customHeight="1" x14ac:dyDescent="0.25">
      <c r="A49">
        <v>7547676</v>
      </c>
      <c r="B49" t="s">
        <v>34</v>
      </c>
      <c r="C49" t="s">
        <v>35</v>
      </c>
      <c r="D49" s="6" t="s">
        <v>34</v>
      </c>
      <c r="E49" t="s">
        <v>226</v>
      </c>
      <c r="F49" t="s">
        <v>37</v>
      </c>
      <c r="G49" t="s">
        <v>38</v>
      </c>
      <c r="H49" t="s">
        <v>227</v>
      </c>
      <c r="I49" t="s">
        <v>40</v>
      </c>
      <c r="J49">
        <v>2</v>
      </c>
      <c r="K49" t="s">
        <v>41</v>
      </c>
      <c r="L49" t="s">
        <v>42</v>
      </c>
      <c r="M49" t="s">
        <v>43</v>
      </c>
      <c r="N49" s="7">
        <v>1</v>
      </c>
      <c r="O49" s="8">
        <v>45518.437928240739</v>
      </c>
      <c r="P49" s="9">
        <v>45519</v>
      </c>
      <c r="Q49" t="s">
        <v>44</v>
      </c>
      <c r="R49" t="s">
        <v>45</v>
      </c>
      <c r="S49" t="s">
        <v>46</v>
      </c>
      <c r="T49" t="s">
        <v>72</v>
      </c>
      <c r="U49" t="s">
        <v>228</v>
      </c>
      <c r="V49">
        <v>22300</v>
      </c>
      <c r="W49" t="s">
        <v>45</v>
      </c>
      <c r="X49" t="s">
        <v>74</v>
      </c>
      <c r="Y49" t="s">
        <v>50</v>
      </c>
      <c r="Z49" s="10">
        <f t="shared" si="3"/>
        <v>9</v>
      </c>
      <c r="AA49" s="11">
        <v>0</v>
      </c>
      <c r="AB49" s="11">
        <v>-2</v>
      </c>
      <c r="AC49" s="11">
        <v>0</v>
      </c>
      <c r="AD49" s="11">
        <v>0</v>
      </c>
      <c r="AE49" s="11">
        <v>0</v>
      </c>
      <c r="AF49" s="11">
        <f t="shared" si="1"/>
        <v>0.42</v>
      </c>
      <c r="AG49" s="11">
        <f t="shared" si="2"/>
        <v>7.42</v>
      </c>
      <c r="AH49" t="s">
        <v>51</v>
      </c>
    </row>
    <row r="50" spans="1:34" ht="15" customHeight="1" x14ac:dyDescent="0.25">
      <c r="A50">
        <v>7547676</v>
      </c>
      <c r="B50" t="s">
        <v>34</v>
      </c>
      <c r="C50" t="s">
        <v>35</v>
      </c>
      <c r="D50" s="6" t="s">
        <v>34</v>
      </c>
      <c r="E50" t="s">
        <v>229</v>
      </c>
      <c r="F50" t="s">
        <v>37</v>
      </c>
      <c r="G50" t="s">
        <v>38</v>
      </c>
      <c r="H50" t="s">
        <v>230</v>
      </c>
      <c r="I50" t="s">
        <v>40</v>
      </c>
      <c r="J50">
        <v>2</v>
      </c>
      <c r="K50" t="s">
        <v>41</v>
      </c>
      <c r="L50" t="s">
        <v>42</v>
      </c>
      <c r="M50" t="s">
        <v>43</v>
      </c>
      <c r="N50" s="7">
        <v>1</v>
      </c>
      <c r="O50" s="8">
        <v>45518.705648148149</v>
      </c>
      <c r="P50" s="9">
        <v>45519</v>
      </c>
      <c r="Q50" t="s">
        <v>44</v>
      </c>
      <c r="R50" t="s">
        <v>45</v>
      </c>
      <c r="S50" t="s">
        <v>46</v>
      </c>
      <c r="T50" t="s">
        <v>92</v>
      </c>
      <c r="U50" t="s">
        <v>231</v>
      </c>
      <c r="V50">
        <v>62050</v>
      </c>
      <c r="W50" t="s">
        <v>45</v>
      </c>
      <c r="X50" t="s">
        <v>232</v>
      </c>
      <c r="Y50" t="s">
        <v>50</v>
      </c>
      <c r="Z50" s="10">
        <f t="shared" si="3"/>
        <v>9</v>
      </c>
      <c r="AA50" s="11">
        <v>0</v>
      </c>
      <c r="AB50" s="11">
        <v>-2</v>
      </c>
      <c r="AC50" s="11">
        <v>0</v>
      </c>
      <c r="AD50" s="11">
        <v>0</v>
      </c>
      <c r="AE50" s="11">
        <v>0</v>
      </c>
      <c r="AF50" s="11">
        <f t="shared" si="1"/>
        <v>0.42</v>
      </c>
      <c r="AG50" s="11">
        <f t="shared" si="2"/>
        <v>7.42</v>
      </c>
      <c r="AH50" t="s">
        <v>51</v>
      </c>
    </row>
    <row r="51" spans="1:34" ht="15" customHeight="1" x14ac:dyDescent="0.25">
      <c r="A51">
        <v>7547676</v>
      </c>
      <c r="B51" t="s">
        <v>34</v>
      </c>
      <c r="C51" t="s">
        <v>35</v>
      </c>
      <c r="D51" s="6" t="s">
        <v>34</v>
      </c>
      <c r="E51" t="s">
        <v>233</v>
      </c>
      <c r="F51" t="s">
        <v>37</v>
      </c>
      <c r="G51" t="s">
        <v>38</v>
      </c>
      <c r="H51" t="s">
        <v>234</v>
      </c>
      <c r="I51" t="s">
        <v>40</v>
      </c>
      <c r="J51">
        <v>2</v>
      </c>
      <c r="K51" t="s">
        <v>41</v>
      </c>
      <c r="L51" t="s">
        <v>42</v>
      </c>
      <c r="M51" t="s">
        <v>43</v>
      </c>
      <c r="N51" s="7">
        <v>6</v>
      </c>
      <c r="O51" s="8">
        <v>45517.674571759257</v>
      </c>
      <c r="P51" s="9">
        <v>45519</v>
      </c>
      <c r="Q51" t="s">
        <v>44</v>
      </c>
      <c r="R51" t="s">
        <v>45</v>
      </c>
      <c r="S51" t="s">
        <v>46</v>
      </c>
      <c r="T51" t="s">
        <v>92</v>
      </c>
      <c r="U51" t="s">
        <v>235</v>
      </c>
      <c r="V51">
        <v>47810</v>
      </c>
      <c r="W51" t="s">
        <v>45</v>
      </c>
      <c r="X51" t="s">
        <v>69</v>
      </c>
      <c r="Y51" t="s">
        <v>50</v>
      </c>
      <c r="Z51" s="10">
        <f>IF(N51&lt;=1,9,9+0.8*ROUNDUP(N51-1,0))</f>
        <v>13</v>
      </c>
      <c r="AA51" s="11">
        <v>0</v>
      </c>
      <c r="AB51" s="11">
        <v>-2</v>
      </c>
      <c r="AC51" s="11">
        <v>0</v>
      </c>
      <c r="AD51" s="11">
        <v>0</v>
      </c>
      <c r="AE51" s="11">
        <v>0</v>
      </c>
      <c r="AF51" s="11">
        <f t="shared" si="1"/>
        <v>0.65999999999999992</v>
      </c>
      <c r="AG51" s="11">
        <f t="shared" si="2"/>
        <v>11.66</v>
      </c>
      <c r="AH51" t="s">
        <v>51</v>
      </c>
    </row>
    <row r="52" spans="1:34" ht="15" customHeight="1" x14ac:dyDescent="0.25">
      <c r="A52">
        <v>7547676</v>
      </c>
      <c r="B52" t="s">
        <v>34</v>
      </c>
      <c r="C52" t="s">
        <v>35</v>
      </c>
      <c r="D52" s="6" t="s">
        <v>34</v>
      </c>
      <c r="E52" t="s">
        <v>236</v>
      </c>
      <c r="F52" t="s">
        <v>37</v>
      </c>
      <c r="G52" t="s">
        <v>38</v>
      </c>
      <c r="H52" t="s">
        <v>237</v>
      </c>
      <c r="I52" t="s">
        <v>40</v>
      </c>
      <c r="J52">
        <v>2</v>
      </c>
      <c r="K52" t="s">
        <v>41</v>
      </c>
      <c r="L52" t="s">
        <v>42</v>
      </c>
      <c r="M52" t="s">
        <v>43</v>
      </c>
      <c r="N52" s="7">
        <v>3</v>
      </c>
      <c r="O52" s="8">
        <v>45517.788622685184</v>
      </c>
      <c r="P52" s="9">
        <v>45519</v>
      </c>
      <c r="Q52" t="s">
        <v>44</v>
      </c>
      <c r="R52" t="s">
        <v>45</v>
      </c>
      <c r="S52" t="s">
        <v>46</v>
      </c>
      <c r="T52" t="s">
        <v>92</v>
      </c>
      <c r="U52" t="s">
        <v>238</v>
      </c>
      <c r="V52">
        <v>40150</v>
      </c>
      <c r="W52" t="s">
        <v>45</v>
      </c>
      <c r="X52" t="s">
        <v>143</v>
      </c>
      <c r="Y52" t="s">
        <v>50</v>
      </c>
      <c r="Z52" s="10">
        <f t="shared" ref="Z52" si="4">IF(N52&lt;=1,9,9+0.8*ROUNDUP(N52-1,0))</f>
        <v>10.6</v>
      </c>
      <c r="AA52" s="11">
        <v>0</v>
      </c>
      <c r="AB52" s="11">
        <v>-2</v>
      </c>
      <c r="AC52" s="11">
        <v>0</v>
      </c>
      <c r="AD52" s="11">
        <v>0</v>
      </c>
      <c r="AE52" s="11">
        <v>0</v>
      </c>
      <c r="AF52" s="11">
        <f t="shared" si="1"/>
        <v>0.51600000000000001</v>
      </c>
      <c r="AG52" s="11">
        <f t="shared" si="2"/>
        <v>9.1159999999999997</v>
      </c>
      <c r="AH52" t="s">
        <v>51</v>
      </c>
    </row>
    <row r="53" spans="1:34" ht="15" customHeight="1" x14ac:dyDescent="0.25">
      <c r="A53">
        <v>7547676</v>
      </c>
      <c r="B53" t="s">
        <v>34</v>
      </c>
      <c r="C53" t="s">
        <v>35</v>
      </c>
      <c r="D53" s="6" t="s">
        <v>34</v>
      </c>
      <c r="E53" t="s">
        <v>239</v>
      </c>
      <c r="F53" t="s">
        <v>37</v>
      </c>
      <c r="G53" t="s">
        <v>38</v>
      </c>
      <c r="H53" t="s">
        <v>240</v>
      </c>
      <c r="I53" t="s">
        <v>40</v>
      </c>
      <c r="J53">
        <v>2</v>
      </c>
      <c r="K53" t="s">
        <v>41</v>
      </c>
      <c r="L53" t="s">
        <v>42</v>
      </c>
      <c r="M53" t="s">
        <v>43</v>
      </c>
      <c r="N53" s="7">
        <v>1</v>
      </c>
      <c r="O53" s="8">
        <v>45517.771782407406</v>
      </c>
      <c r="P53" s="9">
        <v>45519</v>
      </c>
      <c r="Q53" t="s">
        <v>44</v>
      </c>
      <c r="R53" t="s">
        <v>45</v>
      </c>
      <c r="S53" t="s">
        <v>46</v>
      </c>
      <c r="T53" t="s">
        <v>223</v>
      </c>
      <c r="U53" t="s">
        <v>241</v>
      </c>
      <c r="V53">
        <v>25150</v>
      </c>
      <c r="W53" t="s">
        <v>45</v>
      </c>
      <c r="X53" t="s">
        <v>225</v>
      </c>
      <c r="Y53" t="s">
        <v>50</v>
      </c>
      <c r="Z53" s="10">
        <f>IF(N53&lt;=1,9,9+0.8*ROUNDUP(N53-1,0))</f>
        <v>9</v>
      </c>
      <c r="AA53" s="11">
        <v>0</v>
      </c>
      <c r="AB53" s="11">
        <v>-2</v>
      </c>
      <c r="AC53" s="11">
        <v>0</v>
      </c>
      <c r="AD53" s="11">
        <v>0</v>
      </c>
      <c r="AE53" s="11">
        <v>0</v>
      </c>
      <c r="AF53" s="11">
        <f t="shared" si="1"/>
        <v>0.42</v>
      </c>
      <c r="AG53" s="11">
        <f t="shared" si="2"/>
        <v>7.42</v>
      </c>
      <c r="AH53" t="s">
        <v>51</v>
      </c>
    </row>
    <row r="54" spans="1:34" ht="15" customHeight="1" x14ac:dyDescent="0.25">
      <c r="A54">
        <v>7547676</v>
      </c>
      <c r="B54" t="s">
        <v>34</v>
      </c>
      <c r="C54" t="s">
        <v>35</v>
      </c>
      <c r="D54" s="6" t="s">
        <v>34</v>
      </c>
      <c r="E54" t="s">
        <v>242</v>
      </c>
      <c r="F54" t="s">
        <v>37</v>
      </c>
      <c r="G54" t="s">
        <v>38</v>
      </c>
      <c r="H54" t="s">
        <v>243</v>
      </c>
      <c r="I54" t="s">
        <v>40</v>
      </c>
      <c r="J54">
        <v>2</v>
      </c>
      <c r="K54" t="s">
        <v>41</v>
      </c>
      <c r="L54" t="s">
        <v>42</v>
      </c>
      <c r="M54" t="s">
        <v>43</v>
      </c>
      <c r="N54" s="7">
        <v>1</v>
      </c>
      <c r="O54" s="8">
        <v>45517.765902777777</v>
      </c>
      <c r="P54" s="9">
        <v>45520</v>
      </c>
      <c r="Q54" t="s">
        <v>44</v>
      </c>
      <c r="R54" t="s">
        <v>45</v>
      </c>
      <c r="S54" t="s">
        <v>46</v>
      </c>
      <c r="T54" t="s">
        <v>54</v>
      </c>
      <c r="U54" t="s">
        <v>244</v>
      </c>
      <c r="V54">
        <v>86400</v>
      </c>
      <c r="W54" t="s">
        <v>45</v>
      </c>
      <c r="X54" t="s">
        <v>245</v>
      </c>
      <c r="Y54" t="s">
        <v>50</v>
      </c>
      <c r="Z54" s="10">
        <f t="shared" ref="Z54:Z68" si="5">IF(N54&lt;=1,9,9+0.8*ROUNDUP(N54-1,0))</f>
        <v>9</v>
      </c>
      <c r="AA54" s="11">
        <v>0</v>
      </c>
      <c r="AB54" s="11">
        <v>-2</v>
      </c>
      <c r="AC54" s="11">
        <v>0</v>
      </c>
      <c r="AD54" s="11">
        <v>0</v>
      </c>
      <c r="AE54" s="11">
        <v>0</v>
      </c>
      <c r="AF54" s="11">
        <f t="shared" si="1"/>
        <v>0.42</v>
      </c>
      <c r="AG54" s="11">
        <f t="shared" si="2"/>
        <v>7.42</v>
      </c>
      <c r="AH54" t="s">
        <v>51</v>
      </c>
    </row>
    <row r="55" spans="1:34" ht="15" customHeight="1" x14ac:dyDescent="0.25">
      <c r="A55">
        <v>7547676</v>
      </c>
      <c r="B55" t="s">
        <v>34</v>
      </c>
      <c r="C55" t="s">
        <v>35</v>
      </c>
      <c r="D55" s="6" t="s">
        <v>34</v>
      </c>
      <c r="E55" t="s">
        <v>246</v>
      </c>
      <c r="F55" t="s">
        <v>37</v>
      </c>
      <c r="G55" t="s">
        <v>38</v>
      </c>
      <c r="H55" t="s">
        <v>247</v>
      </c>
      <c r="I55" t="s">
        <v>40</v>
      </c>
      <c r="J55">
        <v>2</v>
      </c>
      <c r="K55" t="s">
        <v>41</v>
      </c>
      <c r="L55" t="s">
        <v>42</v>
      </c>
      <c r="M55" t="s">
        <v>43</v>
      </c>
      <c r="N55" s="7">
        <v>8</v>
      </c>
      <c r="O55" s="8">
        <v>45517.785624999997</v>
      </c>
      <c r="P55" s="9">
        <v>45520</v>
      </c>
      <c r="Q55" t="s">
        <v>44</v>
      </c>
      <c r="R55" t="s">
        <v>45</v>
      </c>
      <c r="S55" t="s">
        <v>46</v>
      </c>
      <c r="T55" t="s">
        <v>223</v>
      </c>
      <c r="U55" t="s">
        <v>248</v>
      </c>
      <c r="V55">
        <v>27600</v>
      </c>
      <c r="W55" t="s">
        <v>45</v>
      </c>
      <c r="X55" t="s">
        <v>249</v>
      </c>
      <c r="Y55" t="s">
        <v>50</v>
      </c>
      <c r="Z55" s="10">
        <f t="shared" si="5"/>
        <v>14.600000000000001</v>
      </c>
      <c r="AA55" s="11">
        <v>0</v>
      </c>
      <c r="AB55" s="11">
        <v>-2</v>
      </c>
      <c r="AC55" s="11">
        <v>0</v>
      </c>
      <c r="AD55" s="11">
        <v>0</v>
      </c>
      <c r="AE55" s="11">
        <v>0</v>
      </c>
      <c r="AF55" s="11">
        <f t="shared" si="1"/>
        <v>0.75600000000000001</v>
      </c>
      <c r="AG55" s="11">
        <f t="shared" si="2"/>
        <v>13.356000000000002</v>
      </c>
      <c r="AH55" t="s">
        <v>51</v>
      </c>
    </row>
    <row r="56" spans="1:34" ht="15" customHeight="1" x14ac:dyDescent="0.25">
      <c r="A56">
        <v>7547676</v>
      </c>
      <c r="B56" t="s">
        <v>34</v>
      </c>
      <c r="C56" t="s">
        <v>35</v>
      </c>
      <c r="D56" s="6" t="s">
        <v>34</v>
      </c>
      <c r="E56" t="s">
        <v>250</v>
      </c>
      <c r="F56" t="s">
        <v>37</v>
      </c>
      <c r="G56" t="s">
        <v>38</v>
      </c>
      <c r="H56" t="s">
        <v>251</v>
      </c>
      <c r="I56" t="s">
        <v>40</v>
      </c>
      <c r="J56">
        <v>2</v>
      </c>
      <c r="K56" t="s">
        <v>41</v>
      </c>
      <c r="L56" t="s">
        <v>42</v>
      </c>
      <c r="M56" t="s">
        <v>43</v>
      </c>
      <c r="N56" s="7">
        <v>1</v>
      </c>
      <c r="O56" s="8">
        <v>45519.690011574072</v>
      </c>
      <c r="P56" s="9">
        <v>45520</v>
      </c>
      <c r="Q56" t="s">
        <v>44</v>
      </c>
      <c r="R56" t="s">
        <v>45</v>
      </c>
      <c r="S56" t="s">
        <v>46</v>
      </c>
      <c r="T56" t="s">
        <v>72</v>
      </c>
      <c r="U56" t="s">
        <v>252</v>
      </c>
      <c r="V56">
        <v>20050</v>
      </c>
      <c r="W56" t="s">
        <v>45</v>
      </c>
      <c r="X56" t="s">
        <v>139</v>
      </c>
      <c r="Y56" t="s">
        <v>50</v>
      </c>
      <c r="Z56" s="10">
        <f t="shared" si="5"/>
        <v>9</v>
      </c>
      <c r="AA56" s="11">
        <v>0</v>
      </c>
      <c r="AB56" s="11">
        <v>-2</v>
      </c>
      <c r="AC56" s="11">
        <v>0</v>
      </c>
      <c r="AD56" s="11">
        <v>0</v>
      </c>
      <c r="AE56" s="11">
        <v>0</v>
      </c>
      <c r="AF56" s="11">
        <f t="shared" si="1"/>
        <v>0.42</v>
      </c>
      <c r="AG56" s="11">
        <f t="shared" si="2"/>
        <v>7.42</v>
      </c>
      <c r="AH56" t="s">
        <v>51</v>
      </c>
    </row>
    <row r="57" spans="1:34" ht="15" customHeight="1" x14ac:dyDescent="0.25">
      <c r="A57">
        <v>7547676</v>
      </c>
      <c r="B57" t="s">
        <v>34</v>
      </c>
      <c r="C57" t="s">
        <v>35</v>
      </c>
      <c r="D57" s="6" t="s">
        <v>34</v>
      </c>
      <c r="E57" t="s">
        <v>253</v>
      </c>
      <c r="F57" t="s">
        <v>37</v>
      </c>
      <c r="G57" t="s">
        <v>38</v>
      </c>
      <c r="H57" t="s">
        <v>254</v>
      </c>
      <c r="I57" t="s">
        <v>40</v>
      </c>
      <c r="J57">
        <v>2</v>
      </c>
      <c r="K57" t="s">
        <v>41</v>
      </c>
      <c r="L57" t="s">
        <v>42</v>
      </c>
      <c r="M57" t="s">
        <v>43</v>
      </c>
      <c r="N57" s="7">
        <v>1</v>
      </c>
      <c r="O57" s="8">
        <v>45519.73715277778</v>
      </c>
      <c r="P57" s="9">
        <v>45520</v>
      </c>
      <c r="Q57" t="s">
        <v>44</v>
      </c>
      <c r="R57" t="s">
        <v>45</v>
      </c>
      <c r="S57" t="s">
        <v>46</v>
      </c>
      <c r="T57" t="s">
        <v>92</v>
      </c>
      <c r="U57" t="s">
        <v>255</v>
      </c>
      <c r="V57">
        <v>43200</v>
      </c>
      <c r="W57" t="s">
        <v>45</v>
      </c>
      <c r="X57" t="s">
        <v>256</v>
      </c>
      <c r="Y57" t="s">
        <v>50</v>
      </c>
      <c r="Z57" s="10">
        <f t="shared" si="5"/>
        <v>9</v>
      </c>
      <c r="AA57" s="11">
        <v>0</v>
      </c>
      <c r="AB57" s="11">
        <v>-2</v>
      </c>
      <c r="AC57" s="11">
        <v>0</v>
      </c>
      <c r="AD57" s="11">
        <v>0</v>
      </c>
      <c r="AE57" s="11">
        <v>0</v>
      </c>
      <c r="AF57" s="11">
        <f t="shared" si="1"/>
        <v>0.42</v>
      </c>
      <c r="AG57" s="11">
        <f t="shared" si="2"/>
        <v>7.42</v>
      </c>
      <c r="AH57" t="s">
        <v>51</v>
      </c>
    </row>
    <row r="58" spans="1:34" ht="15" customHeight="1" x14ac:dyDescent="0.25">
      <c r="A58">
        <v>7547676</v>
      </c>
      <c r="B58" t="s">
        <v>34</v>
      </c>
      <c r="C58" t="s">
        <v>35</v>
      </c>
      <c r="D58" s="6" t="s">
        <v>34</v>
      </c>
      <c r="E58" t="s">
        <v>257</v>
      </c>
      <c r="F58" t="s">
        <v>37</v>
      </c>
      <c r="G58" t="s">
        <v>38</v>
      </c>
      <c r="H58" t="s">
        <v>258</v>
      </c>
      <c r="I58" t="s">
        <v>40</v>
      </c>
      <c r="J58">
        <v>2</v>
      </c>
      <c r="K58" t="s">
        <v>41</v>
      </c>
      <c r="L58" t="s">
        <v>42</v>
      </c>
      <c r="M58" t="s">
        <v>43</v>
      </c>
      <c r="N58" s="7">
        <v>1</v>
      </c>
      <c r="O58" s="8">
        <v>45519.721319444441</v>
      </c>
      <c r="P58" s="9">
        <v>45520</v>
      </c>
      <c r="Q58" t="s">
        <v>44</v>
      </c>
      <c r="R58" t="s">
        <v>45</v>
      </c>
      <c r="S58" t="s">
        <v>46</v>
      </c>
      <c r="T58" t="s">
        <v>146</v>
      </c>
      <c r="U58" t="s">
        <v>259</v>
      </c>
      <c r="V58">
        <v>56000</v>
      </c>
      <c r="W58" t="s">
        <v>45</v>
      </c>
      <c r="X58" t="s">
        <v>260</v>
      </c>
      <c r="Y58" t="s">
        <v>50</v>
      </c>
      <c r="Z58" s="10">
        <f t="shared" si="5"/>
        <v>9</v>
      </c>
      <c r="AA58" s="11">
        <v>0</v>
      </c>
      <c r="AB58" s="11">
        <v>-2</v>
      </c>
      <c r="AC58" s="11">
        <v>0</v>
      </c>
      <c r="AD58" s="11">
        <v>0</v>
      </c>
      <c r="AE58" s="11">
        <v>0</v>
      </c>
      <c r="AF58" s="11">
        <f t="shared" si="1"/>
        <v>0.42</v>
      </c>
      <c r="AG58" s="11">
        <f t="shared" si="2"/>
        <v>7.42</v>
      </c>
      <c r="AH58" t="s">
        <v>51</v>
      </c>
    </row>
    <row r="59" spans="1:34" ht="15" customHeight="1" x14ac:dyDescent="0.25">
      <c r="A59">
        <v>7547676</v>
      </c>
      <c r="B59" t="s">
        <v>34</v>
      </c>
      <c r="C59" t="s">
        <v>35</v>
      </c>
      <c r="D59" s="6" t="s">
        <v>34</v>
      </c>
      <c r="E59" t="s">
        <v>261</v>
      </c>
      <c r="F59" t="s">
        <v>37</v>
      </c>
      <c r="G59" t="s">
        <v>38</v>
      </c>
      <c r="H59" t="s">
        <v>262</v>
      </c>
      <c r="I59" t="s">
        <v>40</v>
      </c>
      <c r="J59">
        <v>2</v>
      </c>
      <c r="K59" t="s">
        <v>41</v>
      </c>
      <c r="L59" t="s">
        <v>42</v>
      </c>
      <c r="M59" t="s">
        <v>43</v>
      </c>
      <c r="N59" s="7">
        <v>1</v>
      </c>
      <c r="O59" s="8">
        <v>45519.73715277778</v>
      </c>
      <c r="P59" s="9">
        <v>45520</v>
      </c>
      <c r="Q59" t="s">
        <v>44</v>
      </c>
      <c r="R59" t="s">
        <v>45</v>
      </c>
      <c r="S59" t="s">
        <v>46</v>
      </c>
      <c r="T59" t="s">
        <v>92</v>
      </c>
      <c r="U59" t="s">
        <v>263</v>
      </c>
      <c r="V59">
        <v>41000</v>
      </c>
      <c r="W59" t="s">
        <v>45</v>
      </c>
      <c r="X59" t="s">
        <v>264</v>
      </c>
      <c r="Y59" t="s">
        <v>50</v>
      </c>
      <c r="Z59" s="10">
        <f t="shared" si="5"/>
        <v>9</v>
      </c>
      <c r="AA59" s="11">
        <v>0</v>
      </c>
      <c r="AB59" s="11">
        <v>-2</v>
      </c>
      <c r="AC59" s="11">
        <v>0</v>
      </c>
      <c r="AD59" s="11">
        <v>0</v>
      </c>
      <c r="AE59" s="11">
        <v>0</v>
      </c>
      <c r="AF59" s="11">
        <f t="shared" si="1"/>
        <v>0.42</v>
      </c>
      <c r="AG59" s="11">
        <f t="shared" si="2"/>
        <v>7.42</v>
      </c>
      <c r="AH59" t="s">
        <v>51</v>
      </c>
    </row>
    <row r="60" spans="1:34" ht="15" customHeight="1" x14ac:dyDescent="0.25">
      <c r="A60">
        <v>7547676</v>
      </c>
      <c r="B60" t="s">
        <v>34</v>
      </c>
      <c r="C60" t="s">
        <v>35</v>
      </c>
      <c r="D60" s="6" t="s">
        <v>34</v>
      </c>
      <c r="E60" t="s">
        <v>265</v>
      </c>
      <c r="F60" t="s">
        <v>37</v>
      </c>
      <c r="G60" t="s">
        <v>38</v>
      </c>
      <c r="H60" t="s">
        <v>266</v>
      </c>
      <c r="I60" t="s">
        <v>40</v>
      </c>
      <c r="J60">
        <v>2</v>
      </c>
      <c r="K60" t="s">
        <v>41</v>
      </c>
      <c r="L60" t="s">
        <v>42</v>
      </c>
      <c r="M60" t="s">
        <v>43</v>
      </c>
      <c r="N60" s="7">
        <v>1</v>
      </c>
      <c r="O60" s="8">
        <v>45518.806909722225</v>
      </c>
      <c r="P60" s="9">
        <v>45520</v>
      </c>
      <c r="Q60" t="s">
        <v>44</v>
      </c>
      <c r="R60" t="s">
        <v>45</v>
      </c>
      <c r="S60" t="s">
        <v>46</v>
      </c>
      <c r="T60" t="s">
        <v>92</v>
      </c>
      <c r="U60" t="s">
        <v>267</v>
      </c>
      <c r="V60">
        <v>47500</v>
      </c>
      <c r="W60" t="s">
        <v>45</v>
      </c>
      <c r="X60" t="s">
        <v>104</v>
      </c>
      <c r="Y60" t="s">
        <v>50</v>
      </c>
      <c r="Z60" s="10">
        <f t="shared" si="5"/>
        <v>9</v>
      </c>
      <c r="AA60" s="11">
        <v>0</v>
      </c>
      <c r="AB60" s="11">
        <v>-2</v>
      </c>
      <c r="AC60" s="11">
        <v>0</v>
      </c>
      <c r="AD60" s="11">
        <v>0</v>
      </c>
      <c r="AE60" s="11">
        <v>0</v>
      </c>
      <c r="AF60" s="11">
        <f t="shared" si="1"/>
        <v>0.42</v>
      </c>
      <c r="AG60" s="11">
        <f t="shared" si="2"/>
        <v>7.42</v>
      </c>
      <c r="AH60" t="s">
        <v>51</v>
      </c>
    </row>
    <row r="61" spans="1:34" ht="15" customHeight="1" x14ac:dyDescent="0.25">
      <c r="A61">
        <v>7547676</v>
      </c>
      <c r="B61" t="s">
        <v>34</v>
      </c>
      <c r="C61" t="s">
        <v>35</v>
      </c>
      <c r="D61" s="6" t="s">
        <v>34</v>
      </c>
      <c r="E61" t="s">
        <v>268</v>
      </c>
      <c r="F61" t="s">
        <v>37</v>
      </c>
      <c r="G61" t="s">
        <v>38</v>
      </c>
      <c r="H61" t="s">
        <v>269</v>
      </c>
      <c r="I61" t="s">
        <v>40</v>
      </c>
      <c r="J61">
        <v>2</v>
      </c>
      <c r="K61" t="s">
        <v>41</v>
      </c>
      <c r="L61" t="s">
        <v>42</v>
      </c>
      <c r="M61" t="s">
        <v>43</v>
      </c>
      <c r="N61" s="7">
        <v>1</v>
      </c>
      <c r="O61" s="8">
        <v>45519.690011574072</v>
      </c>
      <c r="P61" s="9">
        <v>45520</v>
      </c>
      <c r="Q61" t="s">
        <v>44</v>
      </c>
      <c r="R61" t="s">
        <v>45</v>
      </c>
      <c r="S61" t="s">
        <v>46</v>
      </c>
      <c r="T61" t="s">
        <v>72</v>
      </c>
      <c r="U61" t="s">
        <v>270</v>
      </c>
      <c r="V61">
        <v>21300</v>
      </c>
      <c r="W61" t="s">
        <v>45</v>
      </c>
      <c r="X61" t="s">
        <v>139</v>
      </c>
      <c r="Y61" t="s">
        <v>50</v>
      </c>
      <c r="Z61" s="10">
        <f t="shared" si="5"/>
        <v>9</v>
      </c>
      <c r="AA61" s="11">
        <v>0</v>
      </c>
      <c r="AB61" s="11">
        <v>-2</v>
      </c>
      <c r="AC61" s="11">
        <v>0</v>
      </c>
      <c r="AD61" s="11">
        <v>0</v>
      </c>
      <c r="AE61" s="11">
        <v>0</v>
      </c>
      <c r="AF61" s="11">
        <f t="shared" si="1"/>
        <v>0.42</v>
      </c>
      <c r="AG61" s="11">
        <f t="shared" si="2"/>
        <v>7.42</v>
      </c>
      <c r="AH61" t="s">
        <v>51</v>
      </c>
    </row>
    <row r="62" spans="1:34" ht="15" customHeight="1" x14ac:dyDescent="0.25">
      <c r="A62">
        <v>7547676</v>
      </c>
      <c r="B62" t="s">
        <v>34</v>
      </c>
      <c r="C62" t="s">
        <v>35</v>
      </c>
      <c r="D62" s="6" t="s">
        <v>34</v>
      </c>
      <c r="E62" t="s">
        <v>271</v>
      </c>
      <c r="F62" t="s">
        <v>37</v>
      </c>
      <c r="G62" t="s">
        <v>38</v>
      </c>
      <c r="H62" t="s">
        <v>272</v>
      </c>
      <c r="I62" t="s">
        <v>40</v>
      </c>
      <c r="J62">
        <v>2</v>
      </c>
      <c r="K62" t="s">
        <v>41</v>
      </c>
      <c r="L62" t="s">
        <v>42</v>
      </c>
      <c r="M62" t="s">
        <v>43</v>
      </c>
      <c r="N62" s="7">
        <v>1</v>
      </c>
      <c r="O62" s="8">
        <v>45518.441747685189</v>
      </c>
      <c r="P62" s="9">
        <v>45520</v>
      </c>
      <c r="Q62" t="s">
        <v>44</v>
      </c>
      <c r="R62" t="s">
        <v>45</v>
      </c>
      <c r="S62" t="s">
        <v>46</v>
      </c>
      <c r="T62" t="s">
        <v>146</v>
      </c>
      <c r="U62" t="s">
        <v>273</v>
      </c>
      <c r="V62">
        <v>57000</v>
      </c>
      <c r="W62" t="s">
        <v>45</v>
      </c>
      <c r="X62" t="s">
        <v>274</v>
      </c>
      <c r="Y62" t="s">
        <v>50</v>
      </c>
      <c r="Z62" s="10">
        <f t="shared" si="5"/>
        <v>9</v>
      </c>
      <c r="AA62" s="11">
        <v>0</v>
      </c>
      <c r="AB62" s="11">
        <v>-2</v>
      </c>
      <c r="AC62" s="11">
        <v>0</v>
      </c>
      <c r="AD62" s="11">
        <v>0</v>
      </c>
      <c r="AE62" s="11">
        <v>0</v>
      </c>
      <c r="AF62" s="11">
        <f t="shared" si="1"/>
        <v>0.42</v>
      </c>
      <c r="AG62" s="11">
        <f t="shared" si="2"/>
        <v>7.42</v>
      </c>
      <c r="AH62" t="s">
        <v>51</v>
      </c>
    </row>
    <row r="63" spans="1:34" ht="15" customHeight="1" x14ac:dyDescent="0.25">
      <c r="A63">
        <v>7547676</v>
      </c>
      <c r="B63" t="s">
        <v>34</v>
      </c>
      <c r="C63" t="s">
        <v>35</v>
      </c>
      <c r="D63" s="6" t="s">
        <v>34</v>
      </c>
      <c r="E63" t="s">
        <v>275</v>
      </c>
      <c r="F63" t="s">
        <v>37</v>
      </c>
      <c r="G63" t="s">
        <v>38</v>
      </c>
      <c r="H63" t="s">
        <v>276</v>
      </c>
      <c r="I63" t="s">
        <v>40</v>
      </c>
      <c r="J63">
        <v>2</v>
      </c>
      <c r="K63" t="s">
        <v>41</v>
      </c>
      <c r="L63" t="s">
        <v>42</v>
      </c>
      <c r="M63" t="s">
        <v>43</v>
      </c>
      <c r="N63" s="7">
        <v>1</v>
      </c>
      <c r="O63" s="8">
        <v>45517.771782407406</v>
      </c>
      <c r="P63" s="9">
        <v>45520</v>
      </c>
      <c r="Q63" t="s">
        <v>44</v>
      </c>
      <c r="R63" t="s">
        <v>45</v>
      </c>
      <c r="S63" t="s">
        <v>46</v>
      </c>
      <c r="T63" t="s">
        <v>129</v>
      </c>
      <c r="U63" t="s">
        <v>277</v>
      </c>
      <c r="V63">
        <v>72200</v>
      </c>
      <c r="W63" t="s">
        <v>45</v>
      </c>
      <c r="X63" t="s">
        <v>278</v>
      </c>
      <c r="Y63" t="s">
        <v>50</v>
      </c>
      <c r="Z63" s="10">
        <f t="shared" si="5"/>
        <v>9</v>
      </c>
      <c r="AA63" s="11">
        <v>0</v>
      </c>
      <c r="AB63" s="11">
        <v>-2</v>
      </c>
      <c r="AC63" s="11">
        <v>0</v>
      </c>
      <c r="AD63" s="11">
        <v>0</v>
      </c>
      <c r="AE63" s="11">
        <v>0</v>
      </c>
      <c r="AF63" s="11">
        <f t="shared" si="1"/>
        <v>0.42</v>
      </c>
      <c r="AG63" s="11">
        <f t="shared" si="2"/>
        <v>7.42</v>
      </c>
      <c r="AH63" t="s">
        <v>51</v>
      </c>
    </row>
    <row r="64" spans="1:34" ht="15" customHeight="1" x14ac:dyDescent="0.25">
      <c r="A64">
        <v>7547676</v>
      </c>
      <c r="B64" t="s">
        <v>34</v>
      </c>
      <c r="C64" t="s">
        <v>35</v>
      </c>
      <c r="D64" s="6" t="s">
        <v>34</v>
      </c>
      <c r="E64" t="s">
        <v>279</v>
      </c>
      <c r="F64" t="s">
        <v>37</v>
      </c>
      <c r="G64" t="s">
        <v>38</v>
      </c>
      <c r="H64" t="s">
        <v>280</v>
      </c>
      <c r="I64" t="s">
        <v>40</v>
      </c>
      <c r="J64">
        <v>2</v>
      </c>
      <c r="K64" t="s">
        <v>41</v>
      </c>
      <c r="L64" t="s">
        <v>42</v>
      </c>
      <c r="M64" t="s">
        <v>43</v>
      </c>
      <c r="N64" s="7">
        <v>1</v>
      </c>
      <c r="O64" s="8">
        <v>45518.738703703704</v>
      </c>
      <c r="P64" s="9">
        <v>45520</v>
      </c>
      <c r="Q64" t="s">
        <v>44</v>
      </c>
      <c r="R64" t="s">
        <v>45</v>
      </c>
      <c r="S64" t="s">
        <v>46</v>
      </c>
      <c r="T64" t="s">
        <v>72</v>
      </c>
      <c r="U64" t="s">
        <v>281</v>
      </c>
      <c r="V64">
        <v>21600</v>
      </c>
      <c r="W64" t="s">
        <v>45</v>
      </c>
      <c r="X64" t="s">
        <v>139</v>
      </c>
      <c r="Y64" t="s">
        <v>50</v>
      </c>
      <c r="Z64" s="10">
        <f t="shared" si="5"/>
        <v>9</v>
      </c>
      <c r="AA64" s="11">
        <v>0</v>
      </c>
      <c r="AB64" s="11">
        <v>-2</v>
      </c>
      <c r="AC64" s="11">
        <v>0</v>
      </c>
      <c r="AD64" s="11">
        <v>0</v>
      </c>
      <c r="AE64" s="11">
        <v>0</v>
      </c>
      <c r="AF64" s="11">
        <f t="shared" si="1"/>
        <v>0.42</v>
      </c>
      <c r="AG64" s="11">
        <f t="shared" si="2"/>
        <v>7.42</v>
      </c>
      <c r="AH64" t="s">
        <v>51</v>
      </c>
    </row>
    <row r="65" spans="1:34" ht="15" customHeight="1" x14ac:dyDescent="0.25">
      <c r="A65">
        <v>7547676</v>
      </c>
      <c r="B65" t="s">
        <v>34</v>
      </c>
      <c r="C65" t="s">
        <v>35</v>
      </c>
      <c r="D65" s="6" t="s">
        <v>34</v>
      </c>
      <c r="E65" t="s">
        <v>282</v>
      </c>
      <c r="F65" t="s">
        <v>37</v>
      </c>
      <c r="G65" t="s">
        <v>38</v>
      </c>
      <c r="H65" t="s">
        <v>283</v>
      </c>
      <c r="I65" t="s">
        <v>40</v>
      </c>
      <c r="J65">
        <v>2</v>
      </c>
      <c r="K65" t="s">
        <v>41</v>
      </c>
      <c r="L65" t="s">
        <v>42</v>
      </c>
      <c r="M65" t="s">
        <v>43</v>
      </c>
      <c r="N65" s="7">
        <v>1</v>
      </c>
      <c r="O65" s="8">
        <v>45517.748194444444</v>
      </c>
      <c r="P65" s="9">
        <v>45520</v>
      </c>
      <c r="Q65" t="s">
        <v>44</v>
      </c>
      <c r="R65" t="s">
        <v>45</v>
      </c>
      <c r="S65" t="s">
        <v>46</v>
      </c>
      <c r="T65" t="s">
        <v>47</v>
      </c>
      <c r="U65" t="s">
        <v>284</v>
      </c>
      <c r="V65">
        <v>34850</v>
      </c>
      <c r="W65" t="s">
        <v>45</v>
      </c>
      <c r="X65" t="s">
        <v>285</v>
      </c>
      <c r="Y65" t="s">
        <v>50</v>
      </c>
      <c r="Z65" s="10">
        <f t="shared" si="5"/>
        <v>9</v>
      </c>
      <c r="AA65" s="11">
        <v>0</v>
      </c>
      <c r="AB65" s="11">
        <v>-2</v>
      </c>
      <c r="AC65" s="11">
        <v>0</v>
      </c>
      <c r="AD65" s="11">
        <v>0</v>
      </c>
      <c r="AE65" s="11">
        <v>0</v>
      </c>
      <c r="AF65" s="11">
        <f t="shared" si="1"/>
        <v>0.42</v>
      </c>
      <c r="AG65" s="11">
        <f t="shared" si="2"/>
        <v>7.42</v>
      </c>
      <c r="AH65" t="s">
        <v>51</v>
      </c>
    </row>
    <row r="66" spans="1:34" ht="15" customHeight="1" x14ac:dyDescent="0.25">
      <c r="A66">
        <v>7547676</v>
      </c>
      <c r="B66" t="s">
        <v>34</v>
      </c>
      <c r="C66" t="s">
        <v>35</v>
      </c>
      <c r="D66" s="6" t="s">
        <v>34</v>
      </c>
      <c r="E66" t="s">
        <v>286</v>
      </c>
      <c r="F66" t="s">
        <v>37</v>
      </c>
      <c r="G66" t="s">
        <v>38</v>
      </c>
      <c r="H66" t="s">
        <v>287</v>
      </c>
      <c r="I66" t="s">
        <v>40</v>
      </c>
      <c r="J66">
        <v>2</v>
      </c>
      <c r="K66" t="s">
        <v>41</v>
      </c>
      <c r="L66" t="s">
        <v>42</v>
      </c>
      <c r="M66" t="s">
        <v>43</v>
      </c>
      <c r="N66" s="7">
        <v>1</v>
      </c>
      <c r="O66" s="8">
        <v>45518.806909722225</v>
      </c>
      <c r="P66" s="9">
        <v>45520</v>
      </c>
      <c r="Q66" t="s">
        <v>44</v>
      </c>
      <c r="R66" t="s">
        <v>45</v>
      </c>
      <c r="S66" t="s">
        <v>46</v>
      </c>
      <c r="T66" t="s">
        <v>151</v>
      </c>
      <c r="U66" t="s">
        <v>288</v>
      </c>
      <c r="V66">
        <v>75200</v>
      </c>
      <c r="W66" t="s">
        <v>45</v>
      </c>
      <c r="X66" t="s">
        <v>289</v>
      </c>
      <c r="Y66" t="s">
        <v>50</v>
      </c>
      <c r="Z66" s="10">
        <f t="shared" si="5"/>
        <v>9</v>
      </c>
      <c r="AA66" s="11">
        <v>0</v>
      </c>
      <c r="AB66" s="11">
        <v>-2</v>
      </c>
      <c r="AC66" s="11">
        <v>0</v>
      </c>
      <c r="AD66" s="11">
        <v>0</v>
      </c>
      <c r="AE66" s="11">
        <v>0</v>
      </c>
      <c r="AF66" s="11">
        <f t="shared" ref="AF66:AF129" si="6">(Z66+AB66+AC66+AE66)*6%</f>
        <v>0.42</v>
      </c>
      <c r="AG66" s="11">
        <f t="shared" ref="AG66:AG129" si="7">Z66+AB66+AC66+AE66+AF66</f>
        <v>7.42</v>
      </c>
      <c r="AH66" t="s">
        <v>51</v>
      </c>
    </row>
    <row r="67" spans="1:34" ht="15" customHeight="1" x14ac:dyDescent="0.25">
      <c r="A67">
        <v>7547676</v>
      </c>
      <c r="B67" t="s">
        <v>34</v>
      </c>
      <c r="C67" t="s">
        <v>35</v>
      </c>
      <c r="D67" s="6" t="s">
        <v>34</v>
      </c>
      <c r="E67" t="s">
        <v>290</v>
      </c>
      <c r="F67" t="s">
        <v>37</v>
      </c>
      <c r="G67" t="s">
        <v>38</v>
      </c>
      <c r="H67" t="s">
        <v>291</v>
      </c>
      <c r="I67" t="s">
        <v>40</v>
      </c>
      <c r="J67">
        <v>2</v>
      </c>
      <c r="K67" t="s">
        <v>41</v>
      </c>
      <c r="L67" t="s">
        <v>42</v>
      </c>
      <c r="M67" t="s">
        <v>43</v>
      </c>
      <c r="N67" s="7">
        <v>5</v>
      </c>
      <c r="O67" s="8">
        <v>45517.788622685184</v>
      </c>
      <c r="P67" s="9">
        <v>45520</v>
      </c>
      <c r="Q67" t="s">
        <v>44</v>
      </c>
      <c r="R67" t="s">
        <v>45</v>
      </c>
      <c r="S67" t="s">
        <v>46</v>
      </c>
      <c r="T67" t="s">
        <v>47</v>
      </c>
      <c r="U67" t="s">
        <v>292</v>
      </c>
      <c r="V67">
        <v>34600</v>
      </c>
      <c r="W67" t="s">
        <v>45</v>
      </c>
      <c r="X67" t="s">
        <v>285</v>
      </c>
      <c r="Y67" t="s">
        <v>50</v>
      </c>
      <c r="Z67" s="10">
        <f t="shared" si="5"/>
        <v>12.2</v>
      </c>
      <c r="AA67" s="11">
        <v>0</v>
      </c>
      <c r="AB67" s="11">
        <v>-2</v>
      </c>
      <c r="AC67" s="11">
        <v>0</v>
      </c>
      <c r="AD67" s="11">
        <v>0</v>
      </c>
      <c r="AE67" s="11">
        <v>0</v>
      </c>
      <c r="AF67" s="11">
        <f t="shared" si="6"/>
        <v>0.61199999999999999</v>
      </c>
      <c r="AG67" s="11">
        <f t="shared" si="7"/>
        <v>10.811999999999999</v>
      </c>
      <c r="AH67" t="s">
        <v>51</v>
      </c>
    </row>
    <row r="68" spans="1:34" ht="15" customHeight="1" x14ac:dyDescent="0.25">
      <c r="A68">
        <v>7547676</v>
      </c>
      <c r="B68" t="s">
        <v>34</v>
      </c>
      <c r="C68" t="s">
        <v>35</v>
      </c>
      <c r="D68" s="6" t="s">
        <v>34</v>
      </c>
      <c r="E68" t="s">
        <v>293</v>
      </c>
      <c r="F68" t="s">
        <v>37</v>
      </c>
      <c r="G68" t="s">
        <v>38</v>
      </c>
      <c r="H68" t="s">
        <v>294</v>
      </c>
      <c r="I68" t="s">
        <v>40</v>
      </c>
      <c r="J68">
        <v>2</v>
      </c>
      <c r="K68" t="s">
        <v>41</v>
      </c>
      <c r="L68" t="s">
        <v>42</v>
      </c>
      <c r="M68" t="s">
        <v>43</v>
      </c>
      <c r="N68" s="7">
        <v>1</v>
      </c>
      <c r="O68" s="8">
        <v>45519.690011574072</v>
      </c>
      <c r="P68" s="9">
        <v>45520</v>
      </c>
      <c r="Q68" t="s">
        <v>44</v>
      </c>
      <c r="R68" t="s">
        <v>45</v>
      </c>
      <c r="S68" t="s">
        <v>46</v>
      </c>
      <c r="T68" t="s">
        <v>92</v>
      </c>
      <c r="U68" t="s">
        <v>295</v>
      </c>
      <c r="V68">
        <v>47100</v>
      </c>
      <c r="W68" t="s">
        <v>45</v>
      </c>
      <c r="X68" t="s">
        <v>296</v>
      </c>
      <c r="Y68" t="s">
        <v>50</v>
      </c>
      <c r="Z68" s="10">
        <f t="shared" si="5"/>
        <v>9</v>
      </c>
      <c r="AA68" s="11">
        <v>0</v>
      </c>
      <c r="AB68" s="11">
        <v>-2</v>
      </c>
      <c r="AC68" s="11">
        <v>0</v>
      </c>
      <c r="AD68" s="11">
        <v>0</v>
      </c>
      <c r="AE68" s="11">
        <v>0</v>
      </c>
      <c r="AF68" s="11">
        <f t="shared" si="6"/>
        <v>0.42</v>
      </c>
      <c r="AG68" s="11">
        <f t="shared" si="7"/>
        <v>7.42</v>
      </c>
      <c r="AH68" t="s">
        <v>51</v>
      </c>
    </row>
    <row r="69" spans="1:34" ht="15" customHeight="1" x14ac:dyDescent="0.25">
      <c r="A69">
        <v>7547676</v>
      </c>
      <c r="B69" t="s">
        <v>34</v>
      </c>
      <c r="C69" t="s">
        <v>35</v>
      </c>
      <c r="D69" s="6" t="s">
        <v>34</v>
      </c>
      <c r="E69" t="s">
        <v>297</v>
      </c>
      <c r="F69" t="s">
        <v>37</v>
      </c>
      <c r="G69" t="s">
        <v>38</v>
      </c>
      <c r="H69" t="s">
        <v>298</v>
      </c>
      <c r="I69" t="s">
        <v>40</v>
      </c>
      <c r="J69">
        <v>2</v>
      </c>
      <c r="K69" t="s">
        <v>41</v>
      </c>
      <c r="L69" t="s">
        <v>42</v>
      </c>
      <c r="M69" t="s">
        <v>43</v>
      </c>
      <c r="N69" s="7">
        <v>2</v>
      </c>
      <c r="O69" s="8">
        <v>45518.738703703704</v>
      </c>
      <c r="P69" s="9">
        <v>45520</v>
      </c>
      <c r="Q69" t="s">
        <v>44</v>
      </c>
      <c r="R69" t="s">
        <v>45</v>
      </c>
      <c r="S69" t="s">
        <v>46</v>
      </c>
      <c r="T69" t="s">
        <v>72</v>
      </c>
      <c r="U69" t="s">
        <v>299</v>
      </c>
      <c r="V69">
        <v>24200</v>
      </c>
      <c r="W69" t="s">
        <v>45</v>
      </c>
      <c r="X69" t="s">
        <v>139</v>
      </c>
      <c r="Y69" t="s">
        <v>50</v>
      </c>
      <c r="Z69" s="10">
        <f>IF(N69&lt;=1,9,9+0.8*ROUNDUP(N69-1,0))</f>
        <v>9.8000000000000007</v>
      </c>
      <c r="AA69" s="11">
        <v>0</v>
      </c>
      <c r="AB69" s="11">
        <v>-2</v>
      </c>
      <c r="AC69" s="11">
        <v>0</v>
      </c>
      <c r="AD69" s="11">
        <v>0</v>
      </c>
      <c r="AE69" s="11">
        <v>0</v>
      </c>
      <c r="AF69" s="11">
        <f t="shared" si="6"/>
        <v>0.46800000000000003</v>
      </c>
      <c r="AG69" s="11">
        <f t="shared" si="7"/>
        <v>8.2680000000000007</v>
      </c>
      <c r="AH69" t="s">
        <v>51</v>
      </c>
    </row>
    <row r="70" spans="1:34" ht="15" customHeight="1" x14ac:dyDescent="0.25">
      <c r="A70">
        <v>7547676</v>
      </c>
      <c r="B70" t="s">
        <v>34</v>
      </c>
      <c r="C70" t="s">
        <v>35</v>
      </c>
      <c r="D70" s="6" t="s">
        <v>34</v>
      </c>
      <c r="E70" t="s">
        <v>300</v>
      </c>
      <c r="F70" t="s">
        <v>37</v>
      </c>
      <c r="G70" t="s">
        <v>38</v>
      </c>
      <c r="H70" t="s">
        <v>301</v>
      </c>
      <c r="I70" t="s">
        <v>40</v>
      </c>
      <c r="J70">
        <v>2</v>
      </c>
      <c r="K70" t="s">
        <v>41</v>
      </c>
      <c r="L70" t="s">
        <v>42</v>
      </c>
      <c r="M70" t="s">
        <v>43</v>
      </c>
      <c r="N70" s="7">
        <v>1</v>
      </c>
      <c r="O70" s="8">
        <v>45518.806909722225</v>
      </c>
      <c r="P70" s="9">
        <v>45520</v>
      </c>
      <c r="Q70" t="s">
        <v>44</v>
      </c>
      <c r="R70" t="s">
        <v>45</v>
      </c>
      <c r="S70" t="s">
        <v>46</v>
      </c>
      <c r="T70" t="s">
        <v>72</v>
      </c>
      <c r="U70" t="s">
        <v>302</v>
      </c>
      <c r="V70">
        <v>22020</v>
      </c>
      <c r="W70" t="s">
        <v>45</v>
      </c>
      <c r="X70" t="s">
        <v>74</v>
      </c>
      <c r="Y70" t="s">
        <v>50</v>
      </c>
      <c r="Z70" s="10">
        <f t="shared" ref="Z70:Z72" si="8">IF(N70&lt;=1,9,9+0.8*ROUNDUP(N70-1,0))</f>
        <v>9</v>
      </c>
      <c r="AA70" s="11">
        <v>0</v>
      </c>
      <c r="AB70" s="11">
        <v>-2</v>
      </c>
      <c r="AC70" s="11">
        <v>0</v>
      </c>
      <c r="AD70" s="11">
        <v>0</v>
      </c>
      <c r="AE70" s="11">
        <v>0</v>
      </c>
      <c r="AF70" s="11">
        <f t="shared" si="6"/>
        <v>0.42</v>
      </c>
      <c r="AG70" s="11">
        <f t="shared" si="7"/>
        <v>7.42</v>
      </c>
      <c r="AH70" t="s">
        <v>51</v>
      </c>
    </row>
    <row r="71" spans="1:34" ht="15" customHeight="1" x14ac:dyDescent="0.25">
      <c r="A71">
        <v>7547676</v>
      </c>
      <c r="B71" t="s">
        <v>34</v>
      </c>
      <c r="C71" t="s">
        <v>35</v>
      </c>
      <c r="D71" s="6" t="s">
        <v>34</v>
      </c>
      <c r="E71" t="s">
        <v>303</v>
      </c>
      <c r="F71" t="s">
        <v>37</v>
      </c>
      <c r="G71" t="s">
        <v>38</v>
      </c>
      <c r="H71" t="s">
        <v>304</v>
      </c>
      <c r="I71" t="s">
        <v>40</v>
      </c>
      <c r="J71">
        <v>2</v>
      </c>
      <c r="K71" t="s">
        <v>41</v>
      </c>
      <c r="L71" t="s">
        <v>42</v>
      </c>
      <c r="M71" t="s">
        <v>43</v>
      </c>
      <c r="N71" s="7">
        <v>2</v>
      </c>
      <c r="O71" s="8">
        <v>45518.806921296295</v>
      </c>
      <c r="P71" s="9">
        <v>45520</v>
      </c>
      <c r="Q71" t="s">
        <v>44</v>
      </c>
      <c r="R71" t="s">
        <v>45</v>
      </c>
      <c r="S71" t="s">
        <v>46</v>
      </c>
      <c r="T71" t="s">
        <v>84</v>
      </c>
      <c r="U71" t="s">
        <v>305</v>
      </c>
      <c r="V71">
        <v>16100</v>
      </c>
      <c r="W71" t="s">
        <v>45</v>
      </c>
      <c r="X71" t="s">
        <v>74</v>
      </c>
      <c r="Y71" t="s">
        <v>50</v>
      </c>
      <c r="Z71" s="10">
        <f t="shared" si="8"/>
        <v>9.8000000000000007</v>
      </c>
      <c r="AA71" s="11">
        <v>0</v>
      </c>
      <c r="AB71" s="11">
        <v>-2</v>
      </c>
      <c r="AC71" s="11">
        <v>0</v>
      </c>
      <c r="AD71" s="11">
        <v>0</v>
      </c>
      <c r="AE71" s="11">
        <v>0</v>
      </c>
      <c r="AF71" s="11">
        <f t="shared" si="6"/>
        <v>0.46800000000000003</v>
      </c>
      <c r="AG71" s="11">
        <f t="shared" si="7"/>
        <v>8.2680000000000007</v>
      </c>
      <c r="AH71" t="s">
        <v>51</v>
      </c>
    </row>
    <row r="72" spans="1:34" ht="15" customHeight="1" x14ac:dyDescent="0.25">
      <c r="A72">
        <v>7547676</v>
      </c>
      <c r="B72" t="s">
        <v>34</v>
      </c>
      <c r="C72" t="s">
        <v>35</v>
      </c>
      <c r="D72" s="6" t="s">
        <v>34</v>
      </c>
      <c r="E72" t="s">
        <v>306</v>
      </c>
      <c r="F72" t="s">
        <v>37</v>
      </c>
      <c r="G72" t="s">
        <v>38</v>
      </c>
      <c r="H72" t="s">
        <v>307</v>
      </c>
      <c r="I72" t="s">
        <v>40</v>
      </c>
      <c r="J72">
        <v>2</v>
      </c>
      <c r="K72" t="s">
        <v>41</v>
      </c>
      <c r="L72" t="s">
        <v>42</v>
      </c>
      <c r="M72" t="s">
        <v>43</v>
      </c>
      <c r="N72" s="7">
        <v>1</v>
      </c>
      <c r="O72" s="8">
        <v>45517.788622685184</v>
      </c>
      <c r="P72" s="9">
        <v>45520</v>
      </c>
      <c r="Q72" t="s">
        <v>44</v>
      </c>
      <c r="R72" t="s">
        <v>45</v>
      </c>
      <c r="S72" t="s">
        <v>46</v>
      </c>
      <c r="T72" t="s">
        <v>54</v>
      </c>
      <c r="U72" t="s">
        <v>308</v>
      </c>
      <c r="V72">
        <v>81800</v>
      </c>
      <c r="W72" t="s">
        <v>45</v>
      </c>
      <c r="X72" t="s">
        <v>309</v>
      </c>
      <c r="Y72" t="s">
        <v>50</v>
      </c>
      <c r="Z72" s="10">
        <f t="shared" si="8"/>
        <v>9</v>
      </c>
      <c r="AA72" s="11">
        <v>0</v>
      </c>
      <c r="AB72" s="11">
        <v>-2</v>
      </c>
      <c r="AC72" s="11">
        <v>0</v>
      </c>
      <c r="AD72" s="11">
        <v>0</v>
      </c>
      <c r="AE72" s="11">
        <v>0</v>
      </c>
      <c r="AF72" s="11">
        <f t="shared" si="6"/>
        <v>0.42</v>
      </c>
      <c r="AG72" s="11">
        <f t="shared" si="7"/>
        <v>7.42</v>
      </c>
      <c r="AH72" t="s">
        <v>51</v>
      </c>
    </row>
    <row r="73" spans="1:34" ht="15" customHeight="1" x14ac:dyDescent="0.25">
      <c r="A73">
        <v>7547676</v>
      </c>
      <c r="B73" t="s">
        <v>34</v>
      </c>
      <c r="C73" t="s">
        <v>35</v>
      </c>
      <c r="D73" s="6" t="s">
        <v>34</v>
      </c>
      <c r="E73" t="s">
        <v>310</v>
      </c>
      <c r="F73" t="s">
        <v>37</v>
      </c>
      <c r="G73" t="s">
        <v>38</v>
      </c>
      <c r="H73" t="s">
        <v>311</v>
      </c>
      <c r="I73" t="s">
        <v>40</v>
      </c>
      <c r="J73">
        <v>2</v>
      </c>
      <c r="K73" t="s">
        <v>41</v>
      </c>
      <c r="L73" t="s">
        <v>42</v>
      </c>
      <c r="M73" t="s">
        <v>43</v>
      </c>
      <c r="N73" s="7">
        <v>1</v>
      </c>
      <c r="O73" s="8">
        <v>45516.815011574072</v>
      </c>
      <c r="P73" s="9">
        <v>45520</v>
      </c>
      <c r="Q73" t="s">
        <v>44</v>
      </c>
      <c r="R73" t="s">
        <v>45</v>
      </c>
      <c r="S73" t="s">
        <v>46</v>
      </c>
      <c r="T73" t="s">
        <v>312</v>
      </c>
      <c r="U73" t="s">
        <v>313</v>
      </c>
      <c r="V73">
        <v>96300</v>
      </c>
      <c r="W73" t="s">
        <v>118</v>
      </c>
      <c r="X73" t="s">
        <v>69</v>
      </c>
      <c r="Y73" t="s">
        <v>50</v>
      </c>
      <c r="Z73" s="12">
        <f>IF(N73&lt;=1,13,IF(N73&lt;=2,23,IF(N73&lt;=3,35,IF(N73&lt;=4,43,IF(N73&lt;=5,53,IF(N73&lt;=6,63,IF(N73&lt;=7,71,IF(N73&lt;=8,79,IF(N73&lt;=9,87,IF(N73&lt;=10,95,IF(N73&lt;=11,105,IF(N73&lt;=12,114,IF(N73&lt;=13,119,IF(N73&lt;=14,127,IF(N73&lt;=15,135,IF(N73&lt;=16,143,IF(N73&lt;=17,153,IF(N73&lt;=18,163,IF(N73&lt;=19,171,IF(N73&lt;=20,185,IF(N73&lt;=21,193,IF(N73&lt;=22,201,IF(N73&lt;=23,210,IF(N73&lt;=24,220,IF(N73&lt;=25,230,IF(N73&lt;=26,240,IF(N73&lt;=27,250,IF(N73&lt;=28,260,IF(N73&lt;=29,270,IF(N73&lt;=30,280,280+10*ROUNDUP(N73-30,0)))))))))))))))))))))))))))))))</f>
        <v>13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f t="shared" si="6"/>
        <v>0.78</v>
      </c>
      <c r="AG73" s="11">
        <f t="shared" si="7"/>
        <v>13.78</v>
      </c>
      <c r="AH73" t="s">
        <v>119</v>
      </c>
    </row>
    <row r="74" spans="1:34" ht="15" customHeight="1" x14ac:dyDescent="0.25">
      <c r="A74">
        <v>7547676</v>
      </c>
      <c r="B74" t="s">
        <v>34</v>
      </c>
      <c r="C74" t="s">
        <v>35</v>
      </c>
      <c r="D74" s="6" t="s">
        <v>34</v>
      </c>
      <c r="E74" t="s">
        <v>314</v>
      </c>
      <c r="F74" t="s">
        <v>37</v>
      </c>
      <c r="G74" t="s">
        <v>38</v>
      </c>
      <c r="H74" t="s">
        <v>315</v>
      </c>
      <c r="I74" t="s">
        <v>40</v>
      </c>
      <c r="J74">
        <v>2</v>
      </c>
      <c r="K74" t="s">
        <v>41</v>
      </c>
      <c r="L74" t="s">
        <v>42</v>
      </c>
      <c r="M74" t="s">
        <v>43</v>
      </c>
      <c r="N74" s="7">
        <v>1</v>
      </c>
      <c r="O74" s="8">
        <v>45519.741585648146</v>
      </c>
      <c r="P74" s="9">
        <v>45520</v>
      </c>
      <c r="Q74" t="s">
        <v>44</v>
      </c>
      <c r="R74" t="s">
        <v>45</v>
      </c>
      <c r="S74" t="s">
        <v>46</v>
      </c>
      <c r="T74" t="s">
        <v>92</v>
      </c>
      <c r="U74" t="s">
        <v>316</v>
      </c>
      <c r="V74">
        <v>47610</v>
      </c>
      <c r="W74" t="s">
        <v>45</v>
      </c>
      <c r="X74" t="s">
        <v>104</v>
      </c>
      <c r="Y74" t="s">
        <v>50</v>
      </c>
      <c r="Z74" s="10">
        <f t="shared" ref="Z74:Z92" si="9">IF(N74&lt;=1,9,9+0.8*ROUNDUP(N74-1,0))</f>
        <v>9</v>
      </c>
      <c r="AA74" s="11">
        <v>0</v>
      </c>
      <c r="AB74" s="11">
        <v>-2</v>
      </c>
      <c r="AC74" s="11">
        <v>0</v>
      </c>
      <c r="AD74" s="11">
        <v>0</v>
      </c>
      <c r="AE74" s="11">
        <v>0</v>
      </c>
      <c r="AF74" s="11">
        <f t="shared" si="6"/>
        <v>0.42</v>
      </c>
      <c r="AG74" s="11">
        <f t="shared" si="7"/>
        <v>7.42</v>
      </c>
      <c r="AH74" t="s">
        <v>51</v>
      </c>
    </row>
    <row r="75" spans="1:34" ht="15" customHeight="1" x14ac:dyDescent="0.25">
      <c r="A75">
        <v>7547676</v>
      </c>
      <c r="B75" t="s">
        <v>34</v>
      </c>
      <c r="C75" t="s">
        <v>35</v>
      </c>
      <c r="D75" s="6" t="s">
        <v>34</v>
      </c>
      <c r="E75" t="s">
        <v>317</v>
      </c>
      <c r="F75" t="s">
        <v>37</v>
      </c>
      <c r="G75" t="s">
        <v>38</v>
      </c>
      <c r="H75" t="s">
        <v>318</v>
      </c>
      <c r="I75" t="s">
        <v>40</v>
      </c>
      <c r="J75">
        <v>2</v>
      </c>
      <c r="K75" t="s">
        <v>41</v>
      </c>
      <c r="L75" t="s">
        <v>42</v>
      </c>
      <c r="M75" t="s">
        <v>43</v>
      </c>
      <c r="N75" s="7">
        <v>1</v>
      </c>
      <c r="O75" s="8">
        <v>45518.806909722225</v>
      </c>
      <c r="P75" s="9">
        <v>45520</v>
      </c>
      <c r="Q75" t="s">
        <v>44</v>
      </c>
      <c r="R75" t="s">
        <v>45</v>
      </c>
      <c r="S75" t="s">
        <v>46</v>
      </c>
      <c r="T75" t="s">
        <v>92</v>
      </c>
      <c r="U75" t="s">
        <v>319</v>
      </c>
      <c r="V75">
        <v>46150</v>
      </c>
      <c r="W75" t="s">
        <v>45</v>
      </c>
      <c r="X75" t="s">
        <v>320</v>
      </c>
      <c r="Y75" t="s">
        <v>50</v>
      </c>
      <c r="Z75" s="10">
        <f t="shared" si="9"/>
        <v>9</v>
      </c>
      <c r="AA75" s="11">
        <v>0</v>
      </c>
      <c r="AB75" s="11">
        <v>-2</v>
      </c>
      <c r="AC75" s="11">
        <v>0</v>
      </c>
      <c r="AD75" s="11">
        <v>0</v>
      </c>
      <c r="AE75" s="11">
        <v>0</v>
      </c>
      <c r="AF75" s="11">
        <f t="shared" si="6"/>
        <v>0.42</v>
      </c>
      <c r="AG75" s="11">
        <f t="shared" si="7"/>
        <v>7.42</v>
      </c>
      <c r="AH75" t="s">
        <v>51</v>
      </c>
    </row>
    <row r="76" spans="1:34" ht="15" customHeight="1" x14ac:dyDescent="0.25">
      <c r="A76">
        <v>7547676</v>
      </c>
      <c r="B76" t="s">
        <v>34</v>
      </c>
      <c r="C76" t="s">
        <v>35</v>
      </c>
      <c r="D76" s="6" t="s">
        <v>34</v>
      </c>
      <c r="E76" t="s">
        <v>321</v>
      </c>
      <c r="F76" t="s">
        <v>37</v>
      </c>
      <c r="G76" t="s">
        <v>38</v>
      </c>
      <c r="H76" t="s">
        <v>322</v>
      </c>
      <c r="I76" t="s">
        <v>40</v>
      </c>
      <c r="J76">
        <v>2</v>
      </c>
      <c r="K76" t="s">
        <v>41</v>
      </c>
      <c r="L76" t="s">
        <v>42</v>
      </c>
      <c r="M76" t="s">
        <v>43</v>
      </c>
      <c r="N76" s="7">
        <v>1</v>
      </c>
      <c r="O76" s="8">
        <v>45518.792013888888</v>
      </c>
      <c r="P76" s="9">
        <v>45520</v>
      </c>
      <c r="Q76" t="s">
        <v>44</v>
      </c>
      <c r="R76" t="s">
        <v>45</v>
      </c>
      <c r="S76" t="s">
        <v>46</v>
      </c>
      <c r="T76" t="s">
        <v>92</v>
      </c>
      <c r="U76" t="s">
        <v>323</v>
      </c>
      <c r="V76">
        <v>42700</v>
      </c>
      <c r="W76" t="s">
        <v>45</v>
      </c>
      <c r="X76" t="s">
        <v>178</v>
      </c>
      <c r="Y76" t="s">
        <v>50</v>
      </c>
      <c r="Z76" s="10">
        <f t="shared" si="9"/>
        <v>9</v>
      </c>
      <c r="AA76" s="11">
        <v>0</v>
      </c>
      <c r="AB76" s="11">
        <v>-2</v>
      </c>
      <c r="AC76" s="11">
        <v>0</v>
      </c>
      <c r="AD76" s="11">
        <v>0</v>
      </c>
      <c r="AE76" s="11">
        <v>0</v>
      </c>
      <c r="AF76" s="11">
        <f t="shared" si="6"/>
        <v>0.42</v>
      </c>
      <c r="AG76" s="11">
        <f t="shared" si="7"/>
        <v>7.42</v>
      </c>
      <c r="AH76" t="s">
        <v>51</v>
      </c>
    </row>
    <row r="77" spans="1:34" ht="15" customHeight="1" x14ac:dyDescent="0.25">
      <c r="A77">
        <v>7547676</v>
      </c>
      <c r="B77" t="s">
        <v>34</v>
      </c>
      <c r="C77" t="s">
        <v>35</v>
      </c>
      <c r="D77" s="6" t="s">
        <v>34</v>
      </c>
      <c r="E77" t="s">
        <v>324</v>
      </c>
      <c r="F77" t="s">
        <v>37</v>
      </c>
      <c r="G77" t="s">
        <v>38</v>
      </c>
      <c r="H77" t="s">
        <v>325</v>
      </c>
      <c r="I77" t="s">
        <v>40</v>
      </c>
      <c r="J77">
        <v>2</v>
      </c>
      <c r="K77" t="s">
        <v>41</v>
      </c>
      <c r="L77" t="s">
        <v>42</v>
      </c>
      <c r="M77" t="s">
        <v>43</v>
      </c>
      <c r="N77" s="7">
        <v>1</v>
      </c>
      <c r="O77" s="8">
        <v>45519.662395833337</v>
      </c>
      <c r="P77" s="9">
        <v>45520</v>
      </c>
      <c r="Q77" t="s">
        <v>44</v>
      </c>
      <c r="R77" t="s">
        <v>45</v>
      </c>
      <c r="S77" t="s">
        <v>46</v>
      </c>
      <c r="T77" t="s">
        <v>92</v>
      </c>
      <c r="U77" t="s">
        <v>326</v>
      </c>
      <c r="V77">
        <v>43650</v>
      </c>
      <c r="W77" t="s">
        <v>45</v>
      </c>
      <c r="X77" t="s">
        <v>232</v>
      </c>
      <c r="Y77" t="s">
        <v>50</v>
      </c>
      <c r="Z77" s="10">
        <f t="shared" si="9"/>
        <v>9</v>
      </c>
      <c r="AA77" s="11">
        <v>0</v>
      </c>
      <c r="AB77" s="11">
        <v>-2</v>
      </c>
      <c r="AC77" s="11">
        <v>0</v>
      </c>
      <c r="AD77" s="11">
        <v>0</v>
      </c>
      <c r="AE77" s="11">
        <v>0</v>
      </c>
      <c r="AF77" s="11">
        <f t="shared" si="6"/>
        <v>0.42</v>
      </c>
      <c r="AG77" s="11">
        <f t="shared" si="7"/>
        <v>7.42</v>
      </c>
      <c r="AH77" t="s">
        <v>51</v>
      </c>
    </row>
    <row r="78" spans="1:34" ht="15" customHeight="1" x14ac:dyDescent="0.25">
      <c r="A78">
        <v>7547676</v>
      </c>
      <c r="B78" t="s">
        <v>34</v>
      </c>
      <c r="C78" t="s">
        <v>35</v>
      </c>
      <c r="D78" s="6" t="s">
        <v>34</v>
      </c>
      <c r="E78" t="s">
        <v>327</v>
      </c>
      <c r="F78" t="s">
        <v>37</v>
      </c>
      <c r="G78" t="s">
        <v>38</v>
      </c>
      <c r="H78" t="s">
        <v>328</v>
      </c>
      <c r="I78" t="s">
        <v>40</v>
      </c>
      <c r="J78">
        <v>2</v>
      </c>
      <c r="K78" t="s">
        <v>41</v>
      </c>
      <c r="L78" t="s">
        <v>42</v>
      </c>
      <c r="M78" t="s">
        <v>43</v>
      </c>
      <c r="N78" s="7">
        <v>3</v>
      </c>
      <c r="O78" s="8">
        <v>45518.679236111115</v>
      </c>
      <c r="P78" s="9">
        <v>45520</v>
      </c>
      <c r="Q78" t="s">
        <v>44</v>
      </c>
      <c r="R78" t="s">
        <v>45</v>
      </c>
      <c r="S78" t="s">
        <v>46</v>
      </c>
      <c r="T78" t="s">
        <v>54</v>
      </c>
      <c r="U78" t="s">
        <v>329</v>
      </c>
      <c r="V78">
        <v>81300</v>
      </c>
      <c r="W78" t="s">
        <v>45</v>
      </c>
      <c r="X78" t="s">
        <v>330</v>
      </c>
      <c r="Y78" t="s">
        <v>50</v>
      </c>
      <c r="Z78" s="10">
        <f t="shared" si="9"/>
        <v>10.6</v>
      </c>
      <c r="AA78" s="11">
        <v>0</v>
      </c>
      <c r="AB78" s="11">
        <v>-2</v>
      </c>
      <c r="AC78" s="11">
        <v>0</v>
      </c>
      <c r="AD78" s="11">
        <v>0</v>
      </c>
      <c r="AE78" s="11">
        <v>0</v>
      </c>
      <c r="AF78" s="11">
        <f t="shared" si="6"/>
        <v>0.51600000000000001</v>
      </c>
      <c r="AG78" s="11">
        <f t="shared" si="7"/>
        <v>9.1159999999999997</v>
      </c>
      <c r="AH78" t="s">
        <v>51</v>
      </c>
    </row>
    <row r="79" spans="1:34" ht="15" customHeight="1" x14ac:dyDescent="0.25">
      <c r="A79">
        <v>7547676</v>
      </c>
      <c r="B79" t="s">
        <v>34</v>
      </c>
      <c r="C79" t="s">
        <v>35</v>
      </c>
      <c r="D79" s="6" t="s">
        <v>34</v>
      </c>
      <c r="E79" t="s">
        <v>331</v>
      </c>
      <c r="F79" t="s">
        <v>37</v>
      </c>
      <c r="G79" t="s">
        <v>38</v>
      </c>
      <c r="H79" t="s">
        <v>332</v>
      </c>
      <c r="I79" t="s">
        <v>40</v>
      </c>
      <c r="J79">
        <v>2</v>
      </c>
      <c r="K79" t="s">
        <v>41</v>
      </c>
      <c r="L79" t="s">
        <v>42</v>
      </c>
      <c r="M79" t="s">
        <v>43</v>
      </c>
      <c r="N79" s="7">
        <v>3</v>
      </c>
      <c r="O79" s="8">
        <v>45517.785624999997</v>
      </c>
      <c r="P79" s="9">
        <v>45520</v>
      </c>
      <c r="Q79" t="s">
        <v>44</v>
      </c>
      <c r="R79" t="s">
        <v>45</v>
      </c>
      <c r="S79" t="s">
        <v>46</v>
      </c>
      <c r="T79" t="s">
        <v>333</v>
      </c>
      <c r="U79" t="s">
        <v>334</v>
      </c>
      <c r="V79">
        <v>1000</v>
      </c>
      <c r="W79" t="s">
        <v>45</v>
      </c>
      <c r="X79" t="s">
        <v>335</v>
      </c>
      <c r="Y79" t="s">
        <v>50</v>
      </c>
      <c r="Z79" s="10">
        <f t="shared" si="9"/>
        <v>10.6</v>
      </c>
      <c r="AA79" s="11">
        <v>0</v>
      </c>
      <c r="AB79" s="11">
        <v>-2</v>
      </c>
      <c r="AC79" s="11">
        <v>0</v>
      </c>
      <c r="AD79" s="11">
        <v>0</v>
      </c>
      <c r="AE79" s="11">
        <v>0</v>
      </c>
      <c r="AF79" s="11">
        <f t="shared" si="6"/>
        <v>0.51600000000000001</v>
      </c>
      <c r="AG79" s="11">
        <f t="shared" si="7"/>
        <v>9.1159999999999997</v>
      </c>
      <c r="AH79" t="s">
        <v>51</v>
      </c>
    </row>
    <row r="80" spans="1:34" ht="15" customHeight="1" x14ac:dyDescent="0.25">
      <c r="A80">
        <v>7547676</v>
      </c>
      <c r="B80" t="s">
        <v>34</v>
      </c>
      <c r="C80" t="s">
        <v>35</v>
      </c>
      <c r="D80" s="6" t="s">
        <v>34</v>
      </c>
      <c r="E80" t="s">
        <v>336</v>
      </c>
      <c r="F80" t="s">
        <v>37</v>
      </c>
      <c r="G80" t="s">
        <v>38</v>
      </c>
      <c r="H80" t="s">
        <v>337</v>
      </c>
      <c r="I80" t="s">
        <v>40</v>
      </c>
      <c r="J80">
        <v>2</v>
      </c>
      <c r="K80" t="s">
        <v>41</v>
      </c>
      <c r="L80" t="s">
        <v>42</v>
      </c>
      <c r="M80" t="s">
        <v>43</v>
      </c>
      <c r="N80" s="7">
        <v>1</v>
      </c>
      <c r="O80" s="8">
        <v>45519.655694444446</v>
      </c>
      <c r="P80" s="9">
        <v>45520</v>
      </c>
      <c r="Q80" t="s">
        <v>44</v>
      </c>
      <c r="R80" t="s">
        <v>45</v>
      </c>
      <c r="S80" t="s">
        <v>46</v>
      </c>
      <c r="T80" t="s">
        <v>151</v>
      </c>
      <c r="U80" t="s">
        <v>338</v>
      </c>
      <c r="V80">
        <v>76100</v>
      </c>
      <c r="W80" t="s">
        <v>45</v>
      </c>
      <c r="X80" t="s">
        <v>339</v>
      </c>
      <c r="Y80" t="s">
        <v>50</v>
      </c>
      <c r="Z80" s="10">
        <f t="shared" si="9"/>
        <v>9</v>
      </c>
      <c r="AA80" s="11">
        <v>0</v>
      </c>
      <c r="AB80" s="11">
        <v>-2</v>
      </c>
      <c r="AC80" s="11">
        <v>0</v>
      </c>
      <c r="AD80" s="11">
        <v>0</v>
      </c>
      <c r="AE80" s="11">
        <v>0</v>
      </c>
      <c r="AF80" s="11">
        <f t="shared" si="6"/>
        <v>0.42</v>
      </c>
      <c r="AG80" s="11">
        <f t="shared" si="7"/>
        <v>7.42</v>
      </c>
      <c r="AH80" t="s">
        <v>51</v>
      </c>
    </row>
    <row r="81" spans="1:34" ht="15" customHeight="1" x14ac:dyDescent="0.25">
      <c r="A81">
        <v>7547676</v>
      </c>
      <c r="B81" t="s">
        <v>34</v>
      </c>
      <c r="C81" t="s">
        <v>35</v>
      </c>
      <c r="D81" s="6" t="s">
        <v>34</v>
      </c>
      <c r="E81" t="s">
        <v>340</v>
      </c>
      <c r="F81" t="s">
        <v>37</v>
      </c>
      <c r="G81" t="s">
        <v>38</v>
      </c>
      <c r="H81" t="s">
        <v>341</v>
      </c>
      <c r="I81" t="s">
        <v>40</v>
      </c>
      <c r="J81">
        <v>2</v>
      </c>
      <c r="K81" t="s">
        <v>41</v>
      </c>
      <c r="L81" t="s">
        <v>42</v>
      </c>
      <c r="M81" t="s">
        <v>43</v>
      </c>
      <c r="N81" s="7">
        <v>1</v>
      </c>
      <c r="O81" s="8">
        <v>45517.748194444444</v>
      </c>
      <c r="P81" s="9">
        <v>45520</v>
      </c>
      <c r="Q81" t="s">
        <v>44</v>
      </c>
      <c r="R81" t="s">
        <v>45</v>
      </c>
      <c r="S81" t="s">
        <v>46</v>
      </c>
      <c r="T81" t="s">
        <v>54</v>
      </c>
      <c r="U81" t="s">
        <v>342</v>
      </c>
      <c r="V81">
        <v>81800</v>
      </c>
      <c r="W81" t="s">
        <v>45</v>
      </c>
      <c r="X81" t="s">
        <v>309</v>
      </c>
      <c r="Y81" t="s">
        <v>50</v>
      </c>
      <c r="Z81" s="10">
        <f t="shared" si="9"/>
        <v>9</v>
      </c>
      <c r="AA81" s="11">
        <v>0</v>
      </c>
      <c r="AB81" s="11">
        <v>-2</v>
      </c>
      <c r="AC81" s="11">
        <v>0</v>
      </c>
      <c r="AD81" s="11">
        <v>0</v>
      </c>
      <c r="AE81" s="11">
        <v>0</v>
      </c>
      <c r="AF81" s="11">
        <f t="shared" si="6"/>
        <v>0.42</v>
      </c>
      <c r="AG81" s="11">
        <f t="shared" si="7"/>
        <v>7.42</v>
      </c>
      <c r="AH81" t="s">
        <v>51</v>
      </c>
    </row>
    <row r="82" spans="1:34" ht="15" customHeight="1" x14ac:dyDescent="0.25">
      <c r="A82">
        <v>7547676</v>
      </c>
      <c r="B82" t="s">
        <v>34</v>
      </c>
      <c r="C82" t="s">
        <v>35</v>
      </c>
      <c r="D82" s="6" t="s">
        <v>34</v>
      </c>
      <c r="E82" t="s">
        <v>343</v>
      </c>
      <c r="F82" t="s">
        <v>37</v>
      </c>
      <c r="G82" t="s">
        <v>38</v>
      </c>
      <c r="H82" t="s">
        <v>344</v>
      </c>
      <c r="I82" t="s">
        <v>40</v>
      </c>
      <c r="J82">
        <v>2</v>
      </c>
      <c r="K82" t="s">
        <v>41</v>
      </c>
      <c r="L82" t="s">
        <v>42</v>
      </c>
      <c r="M82" t="s">
        <v>43</v>
      </c>
      <c r="N82" s="7">
        <v>1</v>
      </c>
      <c r="O82" s="8">
        <v>45517.748194444444</v>
      </c>
      <c r="P82" s="9">
        <v>45520</v>
      </c>
      <c r="Q82" t="s">
        <v>44</v>
      </c>
      <c r="R82" t="s">
        <v>45</v>
      </c>
      <c r="S82" t="s">
        <v>46</v>
      </c>
      <c r="T82" t="s">
        <v>151</v>
      </c>
      <c r="U82" t="s">
        <v>345</v>
      </c>
      <c r="V82">
        <v>76300</v>
      </c>
      <c r="W82" t="s">
        <v>45</v>
      </c>
      <c r="X82" t="s">
        <v>346</v>
      </c>
      <c r="Y82" t="s">
        <v>50</v>
      </c>
      <c r="Z82" s="10">
        <f t="shared" si="9"/>
        <v>9</v>
      </c>
      <c r="AA82" s="11">
        <v>0</v>
      </c>
      <c r="AB82" s="11">
        <v>-2</v>
      </c>
      <c r="AC82" s="11">
        <v>0</v>
      </c>
      <c r="AD82" s="11">
        <v>0</v>
      </c>
      <c r="AE82" s="11">
        <v>0</v>
      </c>
      <c r="AF82" s="11">
        <f t="shared" si="6"/>
        <v>0.42</v>
      </c>
      <c r="AG82" s="11">
        <f t="shared" si="7"/>
        <v>7.42</v>
      </c>
      <c r="AH82" t="s">
        <v>51</v>
      </c>
    </row>
    <row r="83" spans="1:34" ht="15" customHeight="1" x14ac:dyDescent="0.25">
      <c r="A83">
        <v>7547676</v>
      </c>
      <c r="B83" t="s">
        <v>34</v>
      </c>
      <c r="C83" t="s">
        <v>35</v>
      </c>
      <c r="D83" s="6" t="s">
        <v>34</v>
      </c>
      <c r="E83" t="s">
        <v>347</v>
      </c>
      <c r="F83" t="s">
        <v>37</v>
      </c>
      <c r="G83" t="s">
        <v>38</v>
      </c>
      <c r="H83" t="s">
        <v>348</v>
      </c>
      <c r="I83" t="s">
        <v>40</v>
      </c>
      <c r="J83">
        <v>2</v>
      </c>
      <c r="K83" t="s">
        <v>41</v>
      </c>
      <c r="L83" t="s">
        <v>42</v>
      </c>
      <c r="M83" t="s">
        <v>43</v>
      </c>
      <c r="N83" s="7">
        <v>1</v>
      </c>
      <c r="O83" s="8">
        <v>45519.73715277778</v>
      </c>
      <c r="P83" s="9">
        <v>45520</v>
      </c>
      <c r="Q83" t="s">
        <v>44</v>
      </c>
      <c r="R83" t="s">
        <v>45</v>
      </c>
      <c r="S83" t="s">
        <v>46</v>
      </c>
      <c r="T83" t="s">
        <v>146</v>
      </c>
      <c r="U83" t="s">
        <v>349</v>
      </c>
      <c r="V83">
        <v>55200</v>
      </c>
      <c r="W83" t="s">
        <v>45</v>
      </c>
      <c r="X83" t="s">
        <v>350</v>
      </c>
      <c r="Y83" t="s">
        <v>50</v>
      </c>
      <c r="Z83" s="10">
        <f t="shared" si="9"/>
        <v>9</v>
      </c>
      <c r="AA83" s="11">
        <v>0</v>
      </c>
      <c r="AB83" s="11">
        <v>-2</v>
      </c>
      <c r="AC83" s="11">
        <v>0</v>
      </c>
      <c r="AD83" s="11">
        <v>0</v>
      </c>
      <c r="AE83" s="11">
        <v>0</v>
      </c>
      <c r="AF83" s="11">
        <f t="shared" si="6"/>
        <v>0.42</v>
      </c>
      <c r="AG83" s="11">
        <f t="shared" si="7"/>
        <v>7.42</v>
      </c>
      <c r="AH83" t="s">
        <v>51</v>
      </c>
    </row>
    <row r="84" spans="1:34" ht="15" customHeight="1" x14ac:dyDescent="0.25">
      <c r="A84">
        <v>7547676</v>
      </c>
      <c r="B84" t="s">
        <v>34</v>
      </c>
      <c r="C84" t="s">
        <v>35</v>
      </c>
      <c r="D84" s="6" t="s">
        <v>34</v>
      </c>
      <c r="E84" t="s">
        <v>351</v>
      </c>
      <c r="F84" t="s">
        <v>37</v>
      </c>
      <c r="G84" t="s">
        <v>38</v>
      </c>
      <c r="H84" t="s">
        <v>352</v>
      </c>
      <c r="I84" t="s">
        <v>40</v>
      </c>
      <c r="J84">
        <v>2</v>
      </c>
      <c r="K84" t="s">
        <v>41</v>
      </c>
      <c r="L84" t="s">
        <v>42</v>
      </c>
      <c r="M84" t="s">
        <v>43</v>
      </c>
      <c r="N84" s="7">
        <v>4</v>
      </c>
      <c r="O84" s="8">
        <v>45519.690011574072</v>
      </c>
      <c r="P84" s="9">
        <v>45520</v>
      </c>
      <c r="Q84" t="s">
        <v>44</v>
      </c>
      <c r="R84" t="s">
        <v>45</v>
      </c>
      <c r="S84" t="s">
        <v>46</v>
      </c>
      <c r="T84" t="s">
        <v>146</v>
      </c>
      <c r="U84" t="s">
        <v>353</v>
      </c>
      <c r="V84">
        <v>50450</v>
      </c>
      <c r="W84" t="s">
        <v>45</v>
      </c>
      <c r="X84" t="s">
        <v>354</v>
      </c>
      <c r="Y84" t="s">
        <v>50</v>
      </c>
      <c r="Z84" s="10">
        <f t="shared" si="9"/>
        <v>11.4</v>
      </c>
      <c r="AA84" s="11">
        <v>0</v>
      </c>
      <c r="AB84" s="11">
        <v>-2</v>
      </c>
      <c r="AC84" s="11">
        <v>0</v>
      </c>
      <c r="AD84" s="11">
        <v>0</v>
      </c>
      <c r="AE84" s="11">
        <v>0</v>
      </c>
      <c r="AF84" s="11">
        <f t="shared" si="6"/>
        <v>0.56399999999999995</v>
      </c>
      <c r="AG84" s="11">
        <f t="shared" si="7"/>
        <v>9.9640000000000004</v>
      </c>
      <c r="AH84" t="s">
        <v>51</v>
      </c>
    </row>
    <row r="85" spans="1:34" ht="15" customHeight="1" x14ac:dyDescent="0.25">
      <c r="A85">
        <v>7547676</v>
      </c>
      <c r="B85" t="s">
        <v>34</v>
      </c>
      <c r="C85" t="s">
        <v>35</v>
      </c>
      <c r="D85" s="6" t="s">
        <v>34</v>
      </c>
      <c r="E85" t="s">
        <v>355</v>
      </c>
      <c r="F85" t="s">
        <v>37</v>
      </c>
      <c r="G85" t="s">
        <v>38</v>
      </c>
      <c r="H85" t="s">
        <v>356</v>
      </c>
      <c r="I85" t="s">
        <v>40</v>
      </c>
      <c r="J85">
        <v>2</v>
      </c>
      <c r="K85" t="s">
        <v>41</v>
      </c>
      <c r="L85" t="s">
        <v>42</v>
      </c>
      <c r="M85" t="s">
        <v>43</v>
      </c>
      <c r="N85" s="7">
        <v>1</v>
      </c>
      <c r="O85" s="8">
        <v>45519.740173611113</v>
      </c>
      <c r="P85" s="9">
        <v>45520</v>
      </c>
      <c r="Q85" t="s">
        <v>44</v>
      </c>
      <c r="R85" t="s">
        <v>45</v>
      </c>
      <c r="S85" t="s">
        <v>46</v>
      </c>
      <c r="T85" t="s">
        <v>151</v>
      </c>
      <c r="U85" t="s">
        <v>357</v>
      </c>
      <c r="V85">
        <v>77300</v>
      </c>
      <c r="W85" t="s">
        <v>45</v>
      </c>
      <c r="X85" t="s">
        <v>358</v>
      </c>
      <c r="Y85" t="s">
        <v>50</v>
      </c>
      <c r="Z85" s="10">
        <f t="shared" si="9"/>
        <v>9</v>
      </c>
      <c r="AA85" s="11">
        <v>0</v>
      </c>
      <c r="AB85" s="11">
        <v>-2</v>
      </c>
      <c r="AC85" s="11">
        <v>0</v>
      </c>
      <c r="AD85" s="11">
        <v>0</v>
      </c>
      <c r="AE85" s="11">
        <v>0</v>
      </c>
      <c r="AF85" s="11">
        <f t="shared" si="6"/>
        <v>0.42</v>
      </c>
      <c r="AG85" s="11">
        <f t="shared" si="7"/>
        <v>7.42</v>
      </c>
      <c r="AH85" t="s">
        <v>51</v>
      </c>
    </row>
    <row r="86" spans="1:34" ht="15" customHeight="1" x14ac:dyDescent="0.25">
      <c r="A86">
        <v>7547676</v>
      </c>
      <c r="B86" t="s">
        <v>34</v>
      </c>
      <c r="C86" t="s">
        <v>35</v>
      </c>
      <c r="D86" s="6" t="s">
        <v>34</v>
      </c>
      <c r="E86" t="s">
        <v>359</v>
      </c>
      <c r="F86" t="s">
        <v>37</v>
      </c>
      <c r="G86" t="s">
        <v>38</v>
      </c>
      <c r="H86" t="s">
        <v>360</v>
      </c>
      <c r="I86" t="s">
        <v>40</v>
      </c>
      <c r="J86">
        <v>2</v>
      </c>
      <c r="K86" t="s">
        <v>41</v>
      </c>
      <c r="L86" t="s">
        <v>42</v>
      </c>
      <c r="M86" t="s">
        <v>43</v>
      </c>
      <c r="N86" s="7">
        <v>20</v>
      </c>
      <c r="O86" s="8">
        <v>45519.501828703702</v>
      </c>
      <c r="P86" s="9">
        <v>45520</v>
      </c>
      <c r="Q86" t="s">
        <v>44</v>
      </c>
      <c r="R86" t="s">
        <v>45</v>
      </c>
      <c r="S86" t="s">
        <v>46</v>
      </c>
      <c r="T86" t="s">
        <v>146</v>
      </c>
      <c r="U86" t="s">
        <v>361</v>
      </c>
      <c r="V86">
        <v>58200</v>
      </c>
      <c r="W86" t="s">
        <v>45</v>
      </c>
      <c r="X86" t="s">
        <v>362</v>
      </c>
      <c r="Y86" t="s">
        <v>50</v>
      </c>
      <c r="Z86" s="10">
        <f t="shared" si="9"/>
        <v>24.200000000000003</v>
      </c>
      <c r="AA86" s="11">
        <v>0</v>
      </c>
      <c r="AB86" s="11">
        <v>-2</v>
      </c>
      <c r="AC86" s="11">
        <v>0</v>
      </c>
      <c r="AD86" s="11">
        <v>0</v>
      </c>
      <c r="AE86" s="11">
        <v>0</v>
      </c>
      <c r="AF86" s="11">
        <f t="shared" si="6"/>
        <v>1.3320000000000001</v>
      </c>
      <c r="AG86" s="11">
        <f t="shared" si="7"/>
        <v>23.532000000000004</v>
      </c>
      <c r="AH86" t="s">
        <v>51</v>
      </c>
    </row>
    <row r="87" spans="1:34" ht="15" customHeight="1" x14ac:dyDescent="0.25">
      <c r="A87">
        <v>7547676</v>
      </c>
      <c r="B87" t="s">
        <v>34</v>
      </c>
      <c r="C87" t="s">
        <v>35</v>
      </c>
      <c r="D87" s="6" t="s">
        <v>34</v>
      </c>
      <c r="E87" t="s">
        <v>363</v>
      </c>
      <c r="F87" t="s">
        <v>37</v>
      </c>
      <c r="G87" t="s">
        <v>38</v>
      </c>
      <c r="H87" t="s">
        <v>360</v>
      </c>
      <c r="I87" t="s">
        <v>40</v>
      </c>
      <c r="J87">
        <v>2</v>
      </c>
      <c r="K87" t="s">
        <v>41</v>
      </c>
      <c r="L87" t="s">
        <v>42</v>
      </c>
      <c r="M87" t="s">
        <v>43</v>
      </c>
      <c r="N87" s="7">
        <v>12</v>
      </c>
      <c r="O87" s="8">
        <v>45519.501817129632</v>
      </c>
      <c r="P87" s="9">
        <v>45520</v>
      </c>
      <c r="Q87" t="s">
        <v>44</v>
      </c>
      <c r="R87" t="s">
        <v>45</v>
      </c>
      <c r="S87" t="s">
        <v>46</v>
      </c>
      <c r="T87" t="s">
        <v>146</v>
      </c>
      <c r="U87" t="s">
        <v>361</v>
      </c>
      <c r="V87">
        <v>58200</v>
      </c>
      <c r="W87" t="s">
        <v>45</v>
      </c>
      <c r="X87" t="s">
        <v>362</v>
      </c>
      <c r="Y87" t="s">
        <v>50</v>
      </c>
      <c r="Z87" s="10">
        <f t="shared" si="9"/>
        <v>17.8</v>
      </c>
      <c r="AA87" s="11">
        <v>0</v>
      </c>
      <c r="AB87" s="11">
        <v>-2</v>
      </c>
      <c r="AC87" s="11">
        <v>0</v>
      </c>
      <c r="AD87" s="11">
        <v>0</v>
      </c>
      <c r="AE87" s="11">
        <v>0</v>
      </c>
      <c r="AF87" s="11">
        <f t="shared" si="6"/>
        <v>0.94799999999999995</v>
      </c>
      <c r="AG87" s="11">
        <f t="shared" si="7"/>
        <v>16.748000000000001</v>
      </c>
      <c r="AH87" t="s">
        <v>51</v>
      </c>
    </row>
    <row r="88" spans="1:34" ht="15" customHeight="1" x14ac:dyDescent="0.25">
      <c r="A88">
        <v>7547676</v>
      </c>
      <c r="B88" t="s">
        <v>34</v>
      </c>
      <c r="C88" t="s">
        <v>35</v>
      </c>
      <c r="D88" s="6" t="s">
        <v>34</v>
      </c>
      <c r="E88" t="s">
        <v>364</v>
      </c>
      <c r="F88" t="s">
        <v>37</v>
      </c>
      <c r="G88" t="s">
        <v>38</v>
      </c>
      <c r="H88" t="s">
        <v>365</v>
      </c>
      <c r="I88" t="s">
        <v>40</v>
      </c>
      <c r="J88">
        <v>2</v>
      </c>
      <c r="K88" t="s">
        <v>41</v>
      </c>
      <c r="L88" t="s">
        <v>42</v>
      </c>
      <c r="M88" t="s">
        <v>43</v>
      </c>
      <c r="N88" s="7">
        <v>1</v>
      </c>
      <c r="O88" s="8">
        <v>45518.738703703704</v>
      </c>
      <c r="P88" s="9">
        <v>45520</v>
      </c>
      <c r="Q88" t="s">
        <v>44</v>
      </c>
      <c r="R88" t="s">
        <v>45</v>
      </c>
      <c r="S88" t="s">
        <v>46</v>
      </c>
      <c r="T88" t="s">
        <v>92</v>
      </c>
      <c r="U88" t="s">
        <v>366</v>
      </c>
      <c r="V88">
        <v>42700</v>
      </c>
      <c r="W88" t="s">
        <v>45</v>
      </c>
      <c r="X88" t="s">
        <v>178</v>
      </c>
      <c r="Y88" t="s">
        <v>50</v>
      </c>
      <c r="Z88" s="10">
        <f t="shared" si="9"/>
        <v>9</v>
      </c>
      <c r="AA88" s="11">
        <v>0</v>
      </c>
      <c r="AB88" s="11">
        <v>-2</v>
      </c>
      <c r="AC88" s="11">
        <v>0</v>
      </c>
      <c r="AD88" s="11">
        <v>0</v>
      </c>
      <c r="AE88" s="11">
        <v>0</v>
      </c>
      <c r="AF88" s="11">
        <f t="shared" si="6"/>
        <v>0.42</v>
      </c>
      <c r="AG88" s="11">
        <f t="shared" si="7"/>
        <v>7.42</v>
      </c>
      <c r="AH88" t="s">
        <v>51</v>
      </c>
    </row>
    <row r="89" spans="1:34" ht="15" customHeight="1" x14ac:dyDescent="0.25">
      <c r="A89">
        <v>7547676</v>
      </c>
      <c r="B89" t="s">
        <v>34</v>
      </c>
      <c r="C89" t="s">
        <v>35</v>
      </c>
      <c r="D89" s="6" t="s">
        <v>34</v>
      </c>
      <c r="E89" t="s">
        <v>367</v>
      </c>
      <c r="F89" t="s">
        <v>37</v>
      </c>
      <c r="G89" t="s">
        <v>38</v>
      </c>
      <c r="H89" t="s">
        <v>368</v>
      </c>
      <c r="I89" t="s">
        <v>40</v>
      </c>
      <c r="J89">
        <v>2</v>
      </c>
      <c r="K89" t="s">
        <v>41</v>
      </c>
      <c r="L89" t="s">
        <v>42</v>
      </c>
      <c r="M89" t="s">
        <v>43</v>
      </c>
      <c r="N89" s="7">
        <v>1</v>
      </c>
      <c r="O89" s="8">
        <v>45518.672812500001</v>
      </c>
      <c r="P89" s="9">
        <v>45520</v>
      </c>
      <c r="Q89" t="s">
        <v>44</v>
      </c>
      <c r="R89" t="s">
        <v>45</v>
      </c>
      <c r="S89" t="s">
        <v>46</v>
      </c>
      <c r="T89" t="s">
        <v>54</v>
      </c>
      <c r="U89" t="s">
        <v>369</v>
      </c>
      <c r="V89">
        <v>81100</v>
      </c>
      <c r="W89" t="s">
        <v>45</v>
      </c>
      <c r="X89" t="s">
        <v>370</v>
      </c>
      <c r="Y89" t="s">
        <v>50</v>
      </c>
      <c r="Z89" s="10">
        <f t="shared" si="9"/>
        <v>9</v>
      </c>
      <c r="AA89" s="11">
        <v>0</v>
      </c>
      <c r="AB89" s="11">
        <v>-2</v>
      </c>
      <c r="AC89" s="11">
        <v>0</v>
      </c>
      <c r="AD89" s="11">
        <v>0</v>
      </c>
      <c r="AE89" s="11">
        <v>0</v>
      </c>
      <c r="AF89" s="11">
        <f t="shared" si="6"/>
        <v>0.42</v>
      </c>
      <c r="AG89" s="11">
        <f t="shared" si="7"/>
        <v>7.42</v>
      </c>
      <c r="AH89" t="s">
        <v>51</v>
      </c>
    </row>
    <row r="90" spans="1:34" ht="15" customHeight="1" x14ac:dyDescent="0.25">
      <c r="A90">
        <v>7547676</v>
      </c>
      <c r="B90" t="s">
        <v>34</v>
      </c>
      <c r="C90" t="s">
        <v>35</v>
      </c>
      <c r="D90" s="6" t="s">
        <v>34</v>
      </c>
      <c r="E90" t="s">
        <v>371</v>
      </c>
      <c r="F90" t="s">
        <v>37</v>
      </c>
      <c r="G90" t="s">
        <v>38</v>
      </c>
      <c r="H90" t="s">
        <v>372</v>
      </c>
      <c r="I90" t="s">
        <v>40</v>
      </c>
      <c r="J90">
        <v>2</v>
      </c>
      <c r="K90" t="s">
        <v>41</v>
      </c>
      <c r="L90" t="s">
        <v>42</v>
      </c>
      <c r="M90" t="s">
        <v>43</v>
      </c>
      <c r="N90" s="7">
        <v>1</v>
      </c>
      <c r="O90" s="8">
        <v>45518.707048611112</v>
      </c>
      <c r="P90" s="9">
        <v>45520</v>
      </c>
      <c r="Q90" t="s">
        <v>44</v>
      </c>
      <c r="R90" t="s">
        <v>45</v>
      </c>
      <c r="S90" t="s">
        <v>46</v>
      </c>
      <c r="T90" t="s">
        <v>59</v>
      </c>
      <c r="U90" t="s">
        <v>373</v>
      </c>
      <c r="V90">
        <v>14000</v>
      </c>
      <c r="W90" t="s">
        <v>45</v>
      </c>
      <c r="X90" t="s">
        <v>374</v>
      </c>
      <c r="Y90" t="s">
        <v>50</v>
      </c>
      <c r="Z90" s="10">
        <f t="shared" si="9"/>
        <v>9</v>
      </c>
      <c r="AA90" s="11">
        <v>0</v>
      </c>
      <c r="AB90" s="11">
        <v>-2</v>
      </c>
      <c r="AC90" s="11">
        <v>0</v>
      </c>
      <c r="AD90" s="11">
        <v>0</v>
      </c>
      <c r="AE90" s="11">
        <v>0</v>
      </c>
      <c r="AF90" s="11">
        <f t="shared" si="6"/>
        <v>0.42</v>
      </c>
      <c r="AG90" s="11">
        <f t="shared" si="7"/>
        <v>7.42</v>
      </c>
      <c r="AH90" t="s">
        <v>51</v>
      </c>
    </row>
    <row r="91" spans="1:34" ht="15" customHeight="1" x14ac:dyDescent="0.25">
      <c r="A91">
        <v>7547676</v>
      </c>
      <c r="B91" t="s">
        <v>34</v>
      </c>
      <c r="C91" t="s">
        <v>35</v>
      </c>
      <c r="D91" s="6" t="s">
        <v>34</v>
      </c>
      <c r="E91" t="s">
        <v>375</v>
      </c>
      <c r="F91" t="s">
        <v>37</v>
      </c>
      <c r="G91" t="s">
        <v>38</v>
      </c>
      <c r="H91" t="s">
        <v>376</v>
      </c>
      <c r="I91" t="s">
        <v>40</v>
      </c>
      <c r="J91">
        <v>2</v>
      </c>
      <c r="K91" t="s">
        <v>41</v>
      </c>
      <c r="L91" t="s">
        <v>42</v>
      </c>
      <c r="M91" t="s">
        <v>43</v>
      </c>
      <c r="N91" s="7">
        <v>1</v>
      </c>
      <c r="O91" s="8">
        <v>45518.729537037034</v>
      </c>
      <c r="P91" s="9">
        <v>45520</v>
      </c>
      <c r="Q91" t="s">
        <v>44</v>
      </c>
      <c r="R91" t="s">
        <v>45</v>
      </c>
      <c r="S91" t="s">
        <v>46</v>
      </c>
      <c r="T91" t="s">
        <v>72</v>
      </c>
      <c r="U91" t="s">
        <v>377</v>
      </c>
      <c r="V91">
        <v>24000</v>
      </c>
      <c r="W91" t="s">
        <v>45</v>
      </c>
      <c r="X91" t="s">
        <v>225</v>
      </c>
      <c r="Y91" t="s">
        <v>50</v>
      </c>
      <c r="Z91" s="10">
        <f t="shared" si="9"/>
        <v>9</v>
      </c>
      <c r="AA91" s="11">
        <v>0</v>
      </c>
      <c r="AB91" s="11">
        <v>-2</v>
      </c>
      <c r="AC91" s="11">
        <v>0</v>
      </c>
      <c r="AD91" s="11">
        <v>0</v>
      </c>
      <c r="AE91" s="11">
        <v>0</v>
      </c>
      <c r="AF91" s="11">
        <f t="shared" si="6"/>
        <v>0.42</v>
      </c>
      <c r="AG91" s="11">
        <f t="shared" si="7"/>
        <v>7.42</v>
      </c>
      <c r="AH91" t="s">
        <v>51</v>
      </c>
    </row>
    <row r="92" spans="1:34" ht="15" customHeight="1" x14ac:dyDescent="0.25">
      <c r="A92">
        <v>7547676</v>
      </c>
      <c r="B92" t="s">
        <v>34</v>
      </c>
      <c r="C92" t="s">
        <v>35</v>
      </c>
      <c r="D92" s="6" t="s">
        <v>34</v>
      </c>
      <c r="E92" t="s">
        <v>378</v>
      </c>
      <c r="F92" t="s">
        <v>37</v>
      </c>
      <c r="G92" t="s">
        <v>38</v>
      </c>
      <c r="H92" t="s">
        <v>379</v>
      </c>
      <c r="I92" t="s">
        <v>40</v>
      </c>
      <c r="J92">
        <v>2</v>
      </c>
      <c r="K92" t="s">
        <v>41</v>
      </c>
      <c r="L92" t="s">
        <v>42</v>
      </c>
      <c r="M92" t="s">
        <v>43</v>
      </c>
      <c r="N92" s="7">
        <v>1</v>
      </c>
      <c r="O92" s="8">
        <v>45519.665462962963</v>
      </c>
      <c r="P92" s="9">
        <v>45520</v>
      </c>
      <c r="Q92" t="s">
        <v>44</v>
      </c>
      <c r="R92" t="s">
        <v>45</v>
      </c>
      <c r="S92" t="s">
        <v>46</v>
      </c>
      <c r="T92" t="s">
        <v>92</v>
      </c>
      <c r="U92" t="s">
        <v>380</v>
      </c>
      <c r="V92">
        <v>43000</v>
      </c>
      <c r="W92" t="s">
        <v>45</v>
      </c>
      <c r="X92" t="s">
        <v>187</v>
      </c>
      <c r="Y92" t="s">
        <v>50</v>
      </c>
      <c r="Z92" s="10">
        <f t="shared" si="9"/>
        <v>9</v>
      </c>
      <c r="AA92" s="11">
        <v>0</v>
      </c>
      <c r="AB92" s="11">
        <v>-2</v>
      </c>
      <c r="AC92" s="11">
        <v>0</v>
      </c>
      <c r="AD92" s="11">
        <v>0</v>
      </c>
      <c r="AE92" s="11">
        <v>0</v>
      </c>
      <c r="AF92" s="11">
        <f t="shared" si="6"/>
        <v>0.42</v>
      </c>
      <c r="AG92" s="11">
        <f t="shared" si="7"/>
        <v>7.42</v>
      </c>
      <c r="AH92" t="s">
        <v>51</v>
      </c>
    </row>
    <row r="93" spans="1:34" ht="15" customHeight="1" x14ac:dyDescent="0.25">
      <c r="A93">
        <v>7547676</v>
      </c>
      <c r="B93" t="s">
        <v>34</v>
      </c>
      <c r="C93" t="s">
        <v>35</v>
      </c>
      <c r="D93" s="6" t="s">
        <v>34</v>
      </c>
      <c r="E93" t="s">
        <v>381</v>
      </c>
      <c r="F93" t="s">
        <v>37</v>
      </c>
      <c r="G93" t="s">
        <v>38</v>
      </c>
      <c r="H93" t="s">
        <v>382</v>
      </c>
      <c r="I93" t="s">
        <v>40</v>
      </c>
      <c r="J93">
        <v>2</v>
      </c>
      <c r="K93" t="s">
        <v>41</v>
      </c>
      <c r="L93" t="s">
        <v>42</v>
      </c>
      <c r="M93" t="s">
        <v>43</v>
      </c>
      <c r="N93" s="7">
        <v>1</v>
      </c>
      <c r="O93" s="8">
        <v>45517.771782407406</v>
      </c>
      <c r="P93" s="9">
        <v>45520</v>
      </c>
      <c r="Q93" t="s">
        <v>44</v>
      </c>
      <c r="R93" t="s">
        <v>45</v>
      </c>
      <c r="S93" t="s">
        <v>46</v>
      </c>
      <c r="T93" t="s">
        <v>107</v>
      </c>
      <c r="U93" t="s">
        <v>383</v>
      </c>
      <c r="V93">
        <v>8000</v>
      </c>
      <c r="W93" t="s">
        <v>45</v>
      </c>
      <c r="X93" t="s">
        <v>109</v>
      </c>
      <c r="Y93" t="s">
        <v>50</v>
      </c>
      <c r="Z93" s="10">
        <f>IF(N93&lt;=1,9,9+0.8*ROUNDUP(N93-1,0))</f>
        <v>9</v>
      </c>
      <c r="AA93" s="11">
        <v>0</v>
      </c>
      <c r="AB93" s="11">
        <v>-2</v>
      </c>
      <c r="AC93" s="11">
        <v>0</v>
      </c>
      <c r="AD93" s="11">
        <v>0</v>
      </c>
      <c r="AE93" s="11">
        <v>0</v>
      </c>
      <c r="AF93" s="11">
        <f t="shared" si="6"/>
        <v>0.42</v>
      </c>
      <c r="AG93" s="11">
        <f t="shared" si="7"/>
        <v>7.42</v>
      </c>
      <c r="AH93" t="s">
        <v>51</v>
      </c>
    </row>
    <row r="94" spans="1:34" ht="15" customHeight="1" x14ac:dyDescent="0.25">
      <c r="A94">
        <v>7547676</v>
      </c>
      <c r="B94" t="s">
        <v>34</v>
      </c>
      <c r="C94" t="s">
        <v>35</v>
      </c>
      <c r="D94" s="6" t="s">
        <v>34</v>
      </c>
      <c r="E94" t="s">
        <v>384</v>
      </c>
      <c r="F94" t="s">
        <v>37</v>
      </c>
      <c r="G94" t="s">
        <v>38</v>
      </c>
      <c r="H94" t="s">
        <v>385</v>
      </c>
      <c r="I94" t="s">
        <v>40</v>
      </c>
      <c r="J94">
        <v>2</v>
      </c>
      <c r="K94" t="s">
        <v>41</v>
      </c>
      <c r="L94" t="s">
        <v>42</v>
      </c>
      <c r="M94" t="s">
        <v>43</v>
      </c>
      <c r="N94" s="7">
        <v>3</v>
      </c>
      <c r="O94" s="8">
        <v>45512.835821759261</v>
      </c>
      <c r="P94" s="9">
        <v>45520</v>
      </c>
      <c r="Q94" t="s">
        <v>386</v>
      </c>
      <c r="R94" t="s">
        <v>45</v>
      </c>
      <c r="S94" t="s">
        <v>46</v>
      </c>
      <c r="T94" t="s">
        <v>116</v>
      </c>
      <c r="U94" t="s">
        <v>387</v>
      </c>
      <c r="V94">
        <v>91100</v>
      </c>
      <c r="W94" t="s">
        <v>118</v>
      </c>
      <c r="X94" t="s">
        <v>69</v>
      </c>
      <c r="Y94" t="s">
        <v>50</v>
      </c>
      <c r="Z94" s="12">
        <f>IF(N94&lt;=1,13,IF(N94&lt;=2,23,IF(N94&lt;=3,35,IF(N94&lt;=4,43,IF(N94&lt;=5,53,IF(N94&lt;=6,63,IF(N94&lt;=7,71,IF(N94&lt;=8,79,IF(N94&lt;=9,87,IF(N94&lt;=10,95,IF(N94&lt;=11,105,IF(N94&lt;=12,114,IF(N94&lt;=13,119,IF(N94&lt;=14,127,IF(N94&lt;=15,135,IF(N94&lt;=16,143,IF(N94&lt;=17,153,IF(N94&lt;=18,163,IF(N94&lt;=19,171,IF(N94&lt;=20,185,IF(N94&lt;=21,193,IF(N94&lt;=22,201,IF(N94&lt;=23,210,IF(N94&lt;=24,220,IF(N94&lt;=25,230,IF(N94&lt;=26,240,IF(N94&lt;=27,250,IF(N94&lt;=28,260,IF(N94&lt;=29,270,IF(N94&lt;=30,280,280+10*ROUNDUP(N94-30,0)))))))))))))))))))))))))))))))</f>
        <v>35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11">
        <f t="shared" si="6"/>
        <v>2.1</v>
      </c>
      <c r="AG94" s="11">
        <f t="shared" si="7"/>
        <v>37.1</v>
      </c>
      <c r="AH94" t="s">
        <v>119</v>
      </c>
    </row>
    <row r="95" spans="1:34" ht="15" customHeight="1" x14ac:dyDescent="0.25">
      <c r="A95">
        <v>7547676</v>
      </c>
      <c r="B95" t="s">
        <v>34</v>
      </c>
      <c r="C95" t="s">
        <v>35</v>
      </c>
      <c r="D95" s="6" t="s">
        <v>34</v>
      </c>
      <c r="E95" t="s">
        <v>388</v>
      </c>
      <c r="F95" t="s">
        <v>37</v>
      </c>
      <c r="G95" t="s">
        <v>38</v>
      </c>
      <c r="H95" t="s">
        <v>389</v>
      </c>
      <c r="I95" t="s">
        <v>40</v>
      </c>
      <c r="J95">
        <v>2</v>
      </c>
      <c r="K95" t="s">
        <v>41</v>
      </c>
      <c r="L95" t="s">
        <v>42</v>
      </c>
      <c r="M95" t="s">
        <v>43</v>
      </c>
      <c r="N95" s="7">
        <v>1</v>
      </c>
      <c r="O95" s="8">
        <v>45519.734907407408</v>
      </c>
      <c r="P95" s="9">
        <v>45521</v>
      </c>
      <c r="Q95" t="s">
        <v>44</v>
      </c>
      <c r="R95" t="s">
        <v>45</v>
      </c>
      <c r="S95" t="s">
        <v>46</v>
      </c>
      <c r="T95" t="s">
        <v>47</v>
      </c>
      <c r="U95" t="s">
        <v>390</v>
      </c>
      <c r="V95">
        <v>31550</v>
      </c>
      <c r="W95" t="s">
        <v>45</v>
      </c>
      <c r="X95" t="s">
        <v>391</v>
      </c>
      <c r="Y95" t="s">
        <v>50</v>
      </c>
      <c r="Z95" s="10">
        <f>IF(N95&lt;=1,9,9+0.8*ROUNDUP(N95-1,0))</f>
        <v>9</v>
      </c>
      <c r="AA95" s="11">
        <v>0</v>
      </c>
      <c r="AB95" s="11">
        <v>-2</v>
      </c>
      <c r="AC95" s="11">
        <v>0</v>
      </c>
      <c r="AD95" s="11">
        <v>0</v>
      </c>
      <c r="AE95" s="11">
        <v>0</v>
      </c>
      <c r="AF95" s="11">
        <f t="shared" si="6"/>
        <v>0.42</v>
      </c>
      <c r="AG95" s="11">
        <f t="shared" si="7"/>
        <v>7.42</v>
      </c>
      <c r="AH95" t="s">
        <v>51</v>
      </c>
    </row>
    <row r="96" spans="1:34" ht="15" customHeight="1" x14ac:dyDescent="0.25">
      <c r="A96">
        <v>7547676</v>
      </c>
      <c r="B96" t="s">
        <v>34</v>
      </c>
      <c r="C96" t="s">
        <v>35</v>
      </c>
      <c r="D96" s="6" t="s">
        <v>34</v>
      </c>
      <c r="E96" t="s">
        <v>392</v>
      </c>
      <c r="F96" t="s">
        <v>37</v>
      </c>
      <c r="G96" t="s">
        <v>38</v>
      </c>
      <c r="H96" t="s">
        <v>102</v>
      </c>
      <c r="I96" t="s">
        <v>40</v>
      </c>
      <c r="J96">
        <v>2</v>
      </c>
      <c r="K96" t="s">
        <v>41</v>
      </c>
      <c r="L96" t="s">
        <v>42</v>
      </c>
      <c r="M96" t="s">
        <v>43</v>
      </c>
      <c r="N96" s="7">
        <v>1</v>
      </c>
      <c r="O96" s="8">
        <v>45519.600034722222</v>
      </c>
      <c r="P96" s="9">
        <v>45521</v>
      </c>
      <c r="Q96" t="s">
        <v>44</v>
      </c>
      <c r="R96" t="s">
        <v>45</v>
      </c>
      <c r="S96" t="s">
        <v>46</v>
      </c>
      <c r="T96" t="s">
        <v>92</v>
      </c>
      <c r="U96" t="s">
        <v>103</v>
      </c>
      <c r="V96">
        <v>40000</v>
      </c>
      <c r="W96" t="s">
        <v>45</v>
      </c>
      <c r="X96" t="s">
        <v>69</v>
      </c>
      <c r="Y96" t="s">
        <v>50</v>
      </c>
      <c r="Z96" s="10">
        <f t="shared" ref="Z96:Z125" si="10">IF(N96&lt;=1,9,9+0.8*ROUNDUP(N96-1,0))</f>
        <v>9</v>
      </c>
      <c r="AA96" s="11">
        <v>0</v>
      </c>
      <c r="AB96" s="11">
        <v>-2</v>
      </c>
      <c r="AC96" s="11">
        <v>0</v>
      </c>
      <c r="AD96" s="11">
        <v>0</v>
      </c>
      <c r="AE96" s="11">
        <v>0</v>
      </c>
      <c r="AF96" s="11">
        <f t="shared" si="6"/>
        <v>0.42</v>
      </c>
      <c r="AG96" s="11">
        <f t="shared" si="7"/>
        <v>7.42</v>
      </c>
      <c r="AH96" t="s">
        <v>51</v>
      </c>
    </row>
    <row r="97" spans="1:34" ht="15" customHeight="1" x14ac:dyDescent="0.25">
      <c r="A97">
        <v>7547676</v>
      </c>
      <c r="B97" t="s">
        <v>34</v>
      </c>
      <c r="C97" t="s">
        <v>35</v>
      </c>
      <c r="D97" s="6" t="s">
        <v>34</v>
      </c>
      <c r="E97" t="s">
        <v>393</v>
      </c>
      <c r="F97" t="s">
        <v>37</v>
      </c>
      <c r="G97" t="s">
        <v>38</v>
      </c>
      <c r="H97" t="s">
        <v>102</v>
      </c>
      <c r="I97" t="s">
        <v>40</v>
      </c>
      <c r="J97">
        <v>2</v>
      </c>
      <c r="K97" t="s">
        <v>41</v>
      </c>
      <c r="L97" t="s">
        <v>42</v>
      </c>
      <c r="M97" t="s">
        <v>43</v>
      </c>
      <c r="N97" s="7">
        <v>4</v>
      </c>
      <c r="O97" s="8">
        <v>45519.634050925924</v>
      </c>
      <c r="P97" s="9">
        <v>45521</v>
      </c>
      <c r="Q97" t="s">
        <v>44</v>
      </c>
      <c r="R97" t="s">
        <v>45</v>
      </c>
      <c r="S97" t="s">
        <v>46</v>
      </c>
      <c r="T97" t="s">
        <v>92</v>
      </c>
      <c r="U97" t="s">
        <v>103</v>
      </c>
      <c r="V97">
        <v>40000</v>
      </c>
      <c r="W97" t="s">
        <v>45</v>
      </c>
      <c r="X97" t="s">
        <v>69</v>
      </c>
      <c r="Y97" t="s">
        <v>50</v>
      </c>
      <c r="Z97" s="10">
        <f t="shared" si="10"/>
        <v>11.4</v>
      </c>
      <c r="AA97" s="11">
        <v>0</v>
      </c>
      <c r="AB97" s="11">
        <v>-2</v>
      </c>
      <c r="AC97" s="11">
        <v>0</v>
      </c>
      <c r="AD97" s="11">
        <v>0</v>
      </c>
      <c r="AE97" s="11">
        <v>0</v>
      </c>
      <c r="AF97" s="11">
        <f t="shared" si="6"/>
        <v>0.56399999999999995</v>
      </c>
      <c r="AG97" s="11">
        <f t="shared" si="7"/>
        <v>9.9640000000000004</v>
      </c>
      <c r="AH97" t="s">
        <v>51</v>
      </c>
    </row>
    <row r="98" spans="1:34" ht="15" customHeight="1" x14ac:dyDescent="0.25">
      <c r="A98">
        <v>7547676</v>
      </c>
      <c r="B98" t="s">
        <v>34</v>
      </c>
      <c r="C98" t="s">
        <v>35</v>
      </c>
      <c r="D98" s="6" t="s">
        <v>34</v>
      </c>
      <c r="E98" t="s">
        <v>394</v>
      </c>
      <c r="F98" t="s">
        <v>37</v>
      </c>
      <c r="G98" t="s">
        <v>38</v>
      </c>
      <c r="H98" t="s">
        <v>395</v>
      </c>
      <c r="I98" t="s">
        <v>40</v>
      </c>
      <c r="J98">
        <v>2</v>
      </c>
      <c r="K98" t="s">
        <v>41</v>
      </c>
      <c r="L98" t="s">
        <v>42</v>
      </c>
      <c r="M98" t="s">
        <v>43</v>
      </c>
      <c r="N98" s="7">
        <v>1</v>
      </c>
      <c r="O98" s="8">
        <v>45519.734907407408</v>
      </c>
      <c r="P98" s="9">
        <v>45521</v>
      </c>
      <c r="Q98" t="s">
        <v>44</v>
      </c>
      <c r="R98" t="s">
        <v>45</v>
      </c>
      <c r="S98" t="s">
        <v>46</v>
      </c>
      <c r="T98" t="s">
        <v>107</v>
      </c>
      <c r="U98" t="s">
        <v>396</v>
      </c>
      <c r="V98">
        <v>8000</v>
      </c>
      <c r="W98" t="s">
        <v>45</v>
      </c>
      <c r="X98" t="s">
        <v>109</v>
      </c>
      <c r="Y98" t="s">
        <v>50</v>
      </c>
      <c r="Z98" s="10">
        <f t="shared" si="10"/>
        <v>9</v>
      </c>
      <c r="AA98" s="11">
        <v>0</v>
      </c>
      <c r="AB98" s="11">
        <v>-2</v>
      </c>
      <c r="AC98" s="11">
        <v>0</v>
      </c>
      <c r="AD98" s="11">
        <v>0</v>
      </c>
      <c r="AE98" s="11">
        <v>0</v>
      </c>
      <c r="AF98" s="11">
        <f t="shared" si="6"/>
        <v>0.42</v>
      </c>
      <c r="AG98" s="11">
        <f t="shared" si="7"/>
        <v>7.42</v>
      </c>
      <c r="AH98" t="s">
        <v>51</v>
      </c>
    </row>
    <row r="99" spans="1:34" ht="15" customHeight="1" x14ac:dyDescent="0.25">
      <c r="A99">
        <v>7547676</v>
      </c>
      <c r="B99" t="s">
        <v>34</v>
      </c>
      <c r="C99" t="s">
        <v>35</v>
      </c>
      <c r="D99" s="6" t="s">
        <v>34</v>
      </c>
      <c r="E99" t="s">
        <v>397</v>
      </c>
      <c r="F99" t="s">
        <v>37</v>
      </c>
      <c r="G99" t="s">
        <v>38</v>
      </c>
      <c r="H99" t="s">
        <v>398</v>
      </c>
      <c r="I99" t="s">
        <v>40</v>
      </c>
      <c r="J99">
        <v>2</v>
      </c>
      <c r="K99" t="s">
        <v>41</v>
      </c>
      <c r="L99" t="s">
        <v>42</v>
      </c>
      <c r="M99" t="s">
        <v>43</v>
      </c>
      <c r="N99" s="7">
        <v>14</v>
      </c>
      <c r="O99" s="8">
        <v>45520.510451388887</v>
      </c>
      <c r="P99" s="9">
        <v>45521</v>
      </c>
      <c r="Q99" t="s">
        <v>386</v>
      </c>
      <c r="R99" t="s">
        <v>45</v>
      </c>
      <c r="S99" t="s">
        <v>46</v>
      </c>
      <c r="T99" t="s">
        <v>223</v>
      </c>
      <c r="U99" t="s">
        <v>399</v>
      </c>
      <c r="V99">
        <v>26600</v>
      </c>
      <c r="W99" t="s">
        <v>45</v>
      </c>
      <c r="X99" t="s">
        <v>400</v>
      </c>
      <c r="Y99" t="s">
        <v>50</v>
      </c>
      <c r="Z99" s="10">
        <f t="shared" si="10"/>
        <v>19.399999999999999</v>
      </c>
      <c r="AA99" s="11">
        <v>0</v>
      </c>
      <c r="AB99" s="11">
        <v>-2</v>
      </c>
      <c r="AC99" s="11">
        <v>0</v>
      </c>
      <c r="AD99" s="11">
        <v>0</v>
      </c>
      <c r="AE99" s="11">
        <v>0</v>
      </c>
      <c r="AF99" s="11">
        <f t="shared" si="6"/>
        <v>1.0439999999999998</v>
      </c>
      <c r="AG99" s="11">
        <f t="shared" si="7"/>
        <v>18.443999999999999</v>
      </c>
      <c r="AH99" t="s">
        <v>51</v>
      </c>
    </row>
    <row r="100" spans="1:34" ht="15" customHeight="1" x14ac:dyDescent="0.25">
      <c r="A100">
        <v>7547676</v>
      </c>
      <c r="B100" t="s">
        <v>34</v>
      </c>
      <c r="C100" t="s">
        <v>35</v>
      </c>
      <c r="D100" s="6" t="s">
        <v>34</v>
      </c>
      <c r="E100" t="s">
        <v>401</v>
      </c>
      <c r="F100" t="s">
        <v>37</v>
      </c>
      <c r="G100" t="s">
        <v>38</v>
      </c>
      <c r="H100" t="s">
        <v>402</v>
      </c>
      <c r="I100" t="s">
        <v>40</v>
      </c>
      <c r="J100">
        <v>2</v>
      </c>
      <c r="K100" t="s">
        <v>41</v>
      </c>
      <c r="L100" t="s">
        <v>42</v>
      </c>
      <c r="M100" t="s">
        <v>43</v>
      </c>
      <c r="N100" s="7">
        <v>1</v>
      </c>
      <c r="O100" s="8">
        <v>45519.734907407408</v>
      </c>
      <c r="P100" s="9">
        <v>45521</v>
      </c>
      <c r="Q100" t="s">
        <v>44</v>
      </c>
      <c r="R100" t="s">
        <v>45</v>
      </c>
      <c r="S100" t="s">
        <v>46</v>
      </c>
      <c r="T100" t="s">
        <v>151</v>
      </c>
      <c r="U100" t="s">
        <v>403</v>
      </c>
      <c r="V100">
        <v>78000</v>
      </c>
      <c r="W100" t="s">
        <v>45</v>
      </c>
      <c r="X100" t="s">
        <v>69</v>
      </c>
      <c r="Y100" t="s">
        <v>50</v>
      </c>
      <c r="Z100" s="10">
        <f t="shared" si="10"/>
        <v>9</v>
      </c>
      <c r="AA100" s="11">
        <v>0</v>
      </c>
      <c r="AB100" s="11">
        <v>-2</v>
      </c>
      <c r="AC100" s="11">
        <v>0</v>
      </c>
      <c r="AD100" s="11">
        <v>0</v>
      </c>
      <c r="AE100" s="11">
        <v>0</v>
      </c>
      <c r="AF100" s="11">
        <f t="shared" si="6"/>
        <v>0.42</v>
      </c>
      <c r="AG100" s="11">
        <f t="shared" si="7"/>
        <v>7.42</v>
      </c>
      <c r="AH100" t="s">
        <v>51</v>
      </c>
    </row>
    <row r="101" spans="1:34" ht="15" customHeight="1" x14ac:dyDescent="0.25">
      <c r="A101">
        <v>7547676</v>
      </c>
      <c r="B101" t="s">
        <v>34</v>
      </c>
      <c r="C101" t="s">
        <v>35</v>
      </c>
      <c r="D101" s="6" t="s">
        <v>34</v>
      </c>
      <c r="E101" t="s">
        <v>404</v>
      </c>
      <c r="F101" t="s">
        <v>37</v>
      </c>
      <c r="G101" t="s">
        <v>38</v>
      </c>
      <c r="H101" t="s">
        <v>102</v>
      </c>
      <c r="I101" t="s">
        <v>40</v>
      </c>
      <c r="J101">
        <v>2</v>
      </c>
      <c r="K101" t="s">
        <v>41</v>
      </c>
      <c r="L101" t="s">
        <v>42</v>
      </c>
      <c r="M101" t="s">
        <v>43</v>
      </c>
      <c r="N101" s="7">
        <v>3</v>
      </c>
      <c r="O101" s="8">
        <v>45519.663738425923</v>
      </c>
      <c r="P101" s="9">
        <v>45521</v>
      </c>
      <c r="Q101" t="s">
        <v>44</v>
      </c>
      <c r="R101" t="s">
        <v>45</v>
      </c>
      <c r="S101" t="s">
        <v>46</v>
      </c>
      <c r="T101" t="s">
        <v>92</v>
      </c>
      <c r="U101" t="s">
        <v>103</v>
      </c>
      <c r="V101">
        <v>40000</v>
      </c>
      <c r="W101" t="s">
        <v>45</v>
      </c>
      <c r="X101" t="s">
        <v>69</v>
      </c>
      <c r="Y101" t="s">
        <v>50</v>
      </c>
      <c r="Z101" s="10">
        <f t="shared" si="10"/>
        <v>10.6</v>
      </c>
      <c r="AA101" s="11">
        <v>0</v>
      </c>
      <c r="AB101" s="11">
        <v>-2</v>
      </c>
      <c r="AC101" s="11">
        <v>0</v>
      </c>
      <c r="AD101" s="11">
        <v>0</v>
      </c>
      <c r="AE101" s="11">
        <v>0</v>
      </c>
      <c r="AF101" s="11">
        <f t="shared" si="6"/>
        <v>0.51600000000000001</v>
      </c>
      <c r="AG101" s="11">
        <f t="shared" si="7"/>
        <v>9.1159999999999997</v>
      </c>
      <c r="AH101" t="s">
        <v>51</v>
      </c>
    </row>
    <row r="102" spans="1:34" ht="15" customHeight="1" x14ac:dyDescent="0.25">
      <c r="A102">
        <v>7547676</v>
      </c>
      <c r="B102" t="s">
        <v>34</v>
      </c>
      <c r="C102" t="s">
        <v>35</v>
      </c>
      <c r="D102" s="6" t="s">
        <v>34</v>
      </c>
      <c r="E102" t="s">
        <v>405</v>
      </c>
      <c r="F102" t="s">
        <v>37</v>
      </c>
      <c r="G102" t="s">
        <v>38</v>
      </c>
      <c r="H102" t="s">
        <v>406</v>
      </c>
      <c r="I102" t="s">
        <v>40</v>
      </c>
      <c r="J102">
        <v>2</v>
      </c>
      <c r="K102" t="s">
        <v>41</v>
      </c>
      <c r="L102" t="s">
        <v>42</v>
      </c>
      <c r="M102" t="s">
        <v>43</v>
      </c>
      <c r="N102" s="7">
        <v>7</v>
      </c>
      <c r="O102" s="8">
        <v>45519.777384259258</v>
      </c>
      <c r="P102" s="9">
        <v>45521</v>
      </c>
      <c r="Q102" t="s">
        <v>386</v>
      </c>
      <c r="R102" t="s">
        <v>45</v>
      </c>
      <c r="S102" t="s">
        <v>46</v>
      </c>
      <c r="T102" t="s">
        <v>92</v>
      </c>
      <c r="U102" t="s">
        <v>407</v>
      </c>
      <c r="V102">
        <v>46000</v>
      </c>
      <c r="W102" t="s">
        <v>45</v>
      </c>
      <c r="X102" t="s">
        <v>320</v>
      </c>
      <c r="Y102" t="s">
        <v>50</v>
      </c>
      <c r="Z102" s="10">
        <f t="shared" si="10"/>
        <v>13.8</v>
      </c>
      <c r="AA102" s="11">
        <v>0</v>
      </c>
      <c r="AB102" s="11">
        <v>-2</v>
      </c>
      <c r="AC102" s="11">
        <v>0</v>
      </c>
      <c r="AD102" s="11">
        <v>0</v>
      </c>
      <c r="AE102" s="11">
        <v>0</v>
      </c>
      <c r="AF102" s="11">
        <f t="shared" si="6"/>
        <v>0.70799999999999996</v>
      </c>
      <c r="AG102" s="11">
        <f t="shared" si="7"/>
        <v>12.508000000000001</v>
      </c>
      <c r="AH102" t="s">
        <v>51</v>
      </c>
    </row>
    <row r="103" spans="1:34" ht="15" customHeight="1" x14ac:dyDescent="0.25">
      <c r="A103">
        <v>7547676</v>
      </c>
      <c r="B103" t="s">
        <v>34</v>
      </c>
      <c r="C103" t="s">
        <v>35</v>
      </c>
      <c r="D103" s="6" t="s">
        <v>34</v>
      </c>
      <c r="E103" t="s">
        <v>408</v>
      </c>
      <c r="F103" t="s">
        <v>37</v>
      </c>
      <c r="G103" t="s">
        <v>38</v>
      </c>
      <c r="H103" t="s">
        <v>409</v>
      </c>
      <c r="I103" t="s">
        <v>40</v>
      </c>
      <c r="J103">
        <v>2</v>
      </c>
      <c r="K103" t="s">
        <v>41</v>
      </c>
      <c r="L103" t="s">
        <v>42</v>
      </c>
      <c r="M103" t="s">
        <v>43</v>
      </c>
      <c r="N103" s="7">
        <v>1</v>
      </c>
      <c r="O103" s="8">
        <v>45519.734907407408</v>
      </c>
      <c r="P103" s="9">
        <v>45521</v>
      </c>
      <c r="Q103" t="s">
        <v>44</v>
      </c>
      <c r="R103" t="s">
        <v>45</v>
      </c>
      <c r="S103" t="s">
        <v>46</v>
      </c>
      <c r="T103" t="s">
        <v>129</v>
      </c>
      <c r="U103" t="s">
        <v>277</v>
      </c>
      <c r="V103">
        <v>72200</v>
      </c>
      <c r="W103" t="s">
        <v>45</v>
      </c>
      <c r="X103" t="s">
        <v>278</v>
      </c>
      <c r="Y103" t="s">
        <v>50</v>
      </c>
      <c r="Z103" s="10">
        <f t="shared" si="10"/>
        <v>9</v>
      </c>
      <c r="AA103" s="11">
        <v>0</v>
      </c>
      <c r="AB103" s="11">
        <v>-2</v>
      </c>
      <c r="AC103" s="11">
        <v>0</v>
      </c>
      <c r="AD103" s="11">
        <v>0</v>
      </c>
      <c r="AE103" s="11">
        <v>0</v>
      </c>
      <c r="AF103" s="11">
        <f t="shared" si="6"/>
        <v>0.42</v>
      </c>
      <c r="AG103" s="11">
        <f t="shared" si="7"/>
        <v>7.42</v>
      </c>
      <c r="AH103" t="s">
        <v>51</v>
      </c>
    </row>
    <row r="104" spans="1:34" ht="15" customHeight="1" x14ac:dyDescent="0.25">
      <c r="A104">
        <v>7547676</v>
      </c>
      <c r="B104" t="s">
        <v>34</v>
      </c>
      <c r="C104" t="s">
        <v>35</v>
      </c>
      <c r="D104" s="6" t="s">
        <v>34</v>
      </c>
      <c r="E104" t="s">
        <v>410</v>
      </c>
      <c r="F104" t="s">
        <v>37</v>
      </c>
      <c r="G104" t="s">
        <v>38</v>
      </c>
      <c r="H104" t="s">
        <v>411</v>
      </c>
      <c r="I104" t="s">
        <v>40</v>
      </c>
      <c r="J104">
        <v>2</v>
      </c>
      <c r="K104" t="s">
        <v>41</v>
      </c>
      <c r="L104" t="s">
        <v>42</v>
      </c>
      <c r="M104" t="s">
        <v>43</v>
      </c>
      <c r="N104" s="7">
        <v>1</v>
      </c>
      <c r="O104" s="8">
        <v>45519.470069444447</v>
      </c>
      <c r="P104" s="9">
        <v>45521</v>
      </c>
      <c r="Q104" t="s">
        <v>44</v>
      </c>
      <c r="R104" t="s">
        <v>45</v>
      </c>
      <c r="S104" t="s">
        <v>46</v>
      </c>
      <c r="T104" t="s">
        <v>151</v>
      </c>
      <c r="U104" t="s">
        <v>412</v>
      </c>
      <c r="V104">
        <v>75250</v>
      </c>
      <c r="W104" t="s">
        <v>45</v>
      </c>
      <c r="X104" t="s">
        <v>69</v>
      </c>
      <c r="Y104" t="s">
        <v>50</v>
      </c>
      <c r="Z104" s="10">
        <f t="shared" si="10"/>
        <v>9</v>
      </c>
      <c r="AA104" s="11">
        <v>0</v>
      </c>
      <c r="AB104" s="11">
        <v>-2</v>
      </c>
      <c r="AC104" s="11">
        <v>0</v>
      </c>
      <c r="AD104" s="11">
        <v>0</v>
      </c>
      <c r="AE104" s="11">
        <v>0</v>
      </c>
      <c r="AF104" s="11">
        <f t="shared" si="6"/>
        <v>0.42</v>
      </c>
      <c r="AG104" s="11">
        <f t="shared" si="7"/>
        <v>7.42</v>
      </c>
      <c r="AH104" t="s">
        <v>51</v>
      </c>
    </row>
    <row r="105" spans="1:34" ht="15" customHeight="1" x14ac:dyDescent="0.25">
      <c r="A105">
        <v>7547676</v>
      </c>
      <c r="B105" t="s">
        <v>34</v>
      </c>
      <c r="C105" t="s">
        <v>35</v>
      </c>
      <c r="D105" s="6" t="s">
        <v>34</v>
      </c>
      <c r="E105" t="s">
        <v>413</v>
      </c>
      <c r="F105" t="s">
        <v>37</v>
      </c>
      <c r="G105" t="s">
        <v>38</v>
      </c>
      <c r="H105" t="s">
        <v>414</v>
      </c>
      <c r="I105" t="s">
        <v>40</v>
      </c>
      <c r="J105">
        <v>2</v>
      </c>
      <c r="K105" t="s">
        <v>41</v>
      </c>
      <c r="L105" t="s">
        <v>42</v>
      </c>
      <c r="M105" t="s">
        <v>43</v>
      </c>
      <c r="N105" s="7">
        <v>1</v>
      </c>
      <c r="O105" s="8">
        <v>45519.692569444444</v>
      </c>
      <c r="P105" s="9">
        <v>45521</v>
      </c>
      <c r="Q105" t="s">
        <v>44</v>
      </c>
      <c r="R105" t="s">
        <v>45</v>
      </c>
      <c r="S105" t="s">
        <v>46</v>
      </c>
      <c r="T105" t="s">
        <v>92</v>
      </c>
      <c r="U105" t="s">
        <v>415</v>
      </c>
      <c r="V105">
        <v>45500</v>
      </c>
      <c r="W105" t="s">
        <v>45</v>
      </c>
      <c r="X105" t="s">
        <v>416</v>
      </c>
      <c r="Y105" t="s">
        <v>50</v>
      </c>
      <c r="Z105" s="10">
        <f t="shared" si="10"/>
        <v>9</v>
      </c>
      <c r="AA105" s="11">
        <v>0</v>
      </c>
      <c r="AB105" s="11">
        <v>-2</v>
      </c>
      <c r="AC105" s="11">
        <v>0</v>
      </c>
      <c r="AD105" s="11">
        <v>0</v>
      </c>
      <c r="AE105" s="11">
        <v>0</v>
      </c>
      <c r="AF105" s="11">
        <f t="shared" si="6"/>
        <v>0.42</v>
      </c>
      <c r="AG105" s="11">
        <f t="shared" si="7"/>
        <v>7.42</v>
      </c>
      <c r="AH105" t="s">
        <v>51</v>
      </c>
    </row>
    <row r="106" spans="1:34" ht="15" customHeight="1" x14ac:dyDescent="0.25">
      <c r="A106">
        <v>7547676</v>
      </c>
      <c r="B106" t="s">
        <v>34</v>
      </c>
      <c r="C106" t="s">
        <v>35</v>
      </c>
      <c r="D106" s="6" t="s">
        <v>34</v>
      </c>
      <c r="E106" t="s">
        <v>417</v>
      </c>
      <c r="F106" t="s">
        <v>37</v>
      </c>
      <c r="G106" t="s">
        <v>38</v>
      </c>
      <c r="H106" t="s">
        <v>418</v>
      </c>
      <c r="I106" t="s">
        <v>40</v>
      </c>
      <c r="J106">
        <v>2</v>
      </c>
      <c r="K106" t="s">
        <v>41</v>
      </c>
      <c r="L106" t="s">
        <v>42</v>
      </c>
      <c r="M106" t="s">
        <v>43</v>
      </c>
      <c r="N106" s="7">
        <v>2</v>
      </c>
      <c r="O106" s="8">
        <v>45518.806909722225</v>
      </c>
      <c r="P106" s="9">
        <v>45521</v>
      </c>
      <c r="Q106" t="s">
        <v>44</v>
      </c>
      <c r="R106" t="s">
        <v>45</v>
      </c>
      <c r="S106" t="s">
        <v>46</v>
      </c>
      <c r="T106" t="s">
        <v>54</v>
      </c>
      <c r="U106" t="s">
        <v>419</v>
      </c>
      <c r="V106">
        <v>81200</v>
      </c>
      <c r="W106" t="s">
        <v>45</v>
      </c>
      <c r="X106" t="s">
        <v>420</v>
      </c>
      <c r="Y106" t="s">
        <v>50</v>
      </c>
      <c r="Z106" s="10">
        <f t="shared" si="10"/>
        <v>9.8000000000000007</v>
      </c>
      <c r="AA106" s="11">
        <v>0</v>
      </c>
      <c r="AB106" s="11">
        <v>-2</v>
      </c>
      <c r="AC106" s="11">
        <v>0</v>
      </c>
      <c r="AD106" s="11">
        <v>0</v>
      </c>
      <c r="AE106" s="11">
        <v>0</v>
      </c>
      <c r="AF106" s="11">
        <f t="shared" si="6"/>
        <v>0.46800000000000003</v>
      </c>
      <c r="AG106" s="11">
        <f t="shared" si="7"/>
        <v>8.2680000000000007</v>
      </c>
      <c r="AH106" t="s">
        <v>51</v>
      </c>
    </row>
    <row r="107" spans="1:34" ht="15" customHeight="1" x14ac:dyDescent="0.25">
      <c r="A107">
        <v>7547676</v>
      </c>
      <c r="B107" t="s">
        <v>34</v>
      </c>
      <c r="C107" t="s">
        <v>35</v>
      </c>
      <c r="D107" s="6" t="s">
        <v>34</v>
      </c>
      <c r="E107" t="s">
        <v>421</v>
      </c>
      <c r="F107" t="s">
        <v>37</v>
      </c>
      <c r="G107" t="s">
        <v>38</v>
      </c>
      <c r="H107" t="s">
        <v>422</v>
      </c>
      <c r="I107" t="s">
        <v>40</v>
      </c>
      <c r="J107">
        <v>2</v>
      </c>
      <c r="K107" t="s">
        <v>41</v>
      </c>
      <c r="L107" t="s">
        <v>42</v>
      </c>
      <c r="M107" t="s">
        <v>43</v>
      </c>
      <c r="N107" s="7">
        <v>1</v>
      </c>
      <c r="O107" s="8">
        <v>45518.806909722225</v>
      </c>
      <c r="P107" s="9">
        <v>45521</v>
      </c>
      <c r="Q107" t="s">
        <v>44</v>
      </c>
      <c r="R107" t="s">
        <v>45</v>
      </c>
      <c r="S107" t="s">
        <v>46</v>
      </c>
      <c r="T107" t="s">
        <v>146</v>
      </c>
      <c r="U107" t="s">
        <v>423</v>
      </c>
      <c r="V107">
        <v>51200</v>
      </c>
      <c r="W107" t="s">
        <v>45</v>
      </c>
      <c r="X107" t="s">
        <v>148</v>
      </c>
      <c r="Y107" t="s">
        <v>50</v>
      </c>
      <c r="Z107" s="10">
        <f t="shared" si="10"/>
        <v>9</v>
      </c>
      <c r="AA107" s="11">
        <v>0</v>
      </c>
      <c r="AB107" s="11">
        <v>-2</v>
      </c>
      <c r="AC107" s="11">
        <v>0</v>
      </c>
      <c r="AD107" s="11">
        <v>0</v>
      </c>
      <c r="AE107" s="11">
        <v>0</v>
      </c>
      <c r="AF107" s="11">
        <f t="shared" si="6"/>
        <v>0.42</v>
      </c>
      <c r="AG107" s="11">
        <f t="shared" si="7"/>
        <v>7.42</v>
      </c>
      <c r="AH107" t="s">
        <v>51</v>
      </c>
    </row>
    <row r="108" spans="1:34" ht="15" customHeight="1" x14ac:dyDescent="0.25">
      <c r="A108">
        <v>7547676</v>
      </c>
      <c r="B108" t="s">
        <v>34</v>
      </c>
      <c r="C108" t="s">
        <v>35</v>
      </c>
      <c r="D108" s="6" t="s">
        <v>34</v>
      </c>
      <c r="E108" t="s">
        <v>424</v>
      </c>
      <c r="F108" t="s">
        <v>37</v>
      </c>
      <c r="G108" t="s">
        <v>38</v>
      </c>
      <c r="H108" t="s">
        <v>425</v>
      </c>
      <c r="I108" t="s">
        <v>40</v>
      </c>
      <c r="J108">
        <v>2</v>
      </c>
      <c r="K108" t="s">
        <v>41</v>
      </c>
      <c r="L108" t="s">
        <v>42</v>
      </c>
      <c r="M108" t="s">
        <v>43</v>
      </c>
      <c r="N108" s="7">
        <v>11</v>
      </c>
      <c r="O108" s="8">
        <v>45519.610231481478</v>
      </c>
      <c r="P108" s="9">
        <v>45521</v>
      </c>
      <c r="Q108" t="s">
        <v>44</v>
      </c>
      <c r="R108" t="s">
        <v>45</v>
      </c>
      <c r="S108" t="s">
        <v>46</v>
      </c>
      <c r="T108" t="s">
        <v>223</v>
      </c>
      <c r="U108" t="s">
        <v>426</v>
      </c>
      <c r="V108">
        <v>39100</v>
      </c>
      <c r="W108" t="s">
        <v>45</v>
      </c>
      <c r="X108" t="s">
        <v>427</v>
      </c>
      <c r="Y108" t="s">
        <v>50</v>
      </c>
      <c r="Z108" s="10">
        <f t="shared" si="10"/>
        <v>17</v>
      </c>
      <c r="AA108" s="11">
        <v>0</v>
      </c>
      <c r="AB108" s="11">
        <v>-2</v>
      </c>
      <c r="AC108" s="11">
        <v>0</v>
      </c>
      <c r="AD108" s="11">
        <v>0</v>
      </c>
      <c r="AE108" s="11">
        <v>0</v>
      </c>
      <c r="AF108" s="11">
        <f t="shared" si="6"/>
        <v>0.89999999999999991</v>
      </c>
      <c r="AG108" s="11">
        <f t="shared" si="7"/>
        <v>15.9</v>
      </c>
      <c r="AH108" t="s">
        <v>51</v>
      </c>
    </row>
    <row r="109" spans="1:34" ht="15" customHeight="1" x14ac:dyDescent="0.25">
      <c r="A109">
        <v>7547676</v>
      </c>
      <c r="B109" t="s">
        <v>34</v>
      </c>
      <c r="C109" t="s">
        <v>35</v>
      </c>
      <c r="D109" s="6" t="s">
        <v>34</v>
      </c>
      <c r="E109" t="s">
        <v>428</v>
      </c>
      <c r="F109" t="s">
        <v>37</v>
      </c>
      <c r="G109" t="s">
        <v>38</v>
      </c>
      <c r="H109" t="s">
        <v>429</v>
      </c>
      <c r="I109" t="s">
        <v>40</v>
      </c>
      <c r="J109">
        <v>2</v>
      </c>
      <c r="K109" t="s">
        <v>41</v>
      </c>
      <c r="L109" t="s">
        <v>42</v>
      </c>
      <c r="M109" t="s">
        <v>43</v>
      </c>
      <c r="N109" s="7">
        <v>1</v>
      </c>
      <c r="O109" s="8">
        <v>45518.730833333335</v>
      </c>
      <c r="P109" s="9">
        <v>45521</v>
      </c>
      <c r="Q109" t="s">
        <v>44</v>
      </c>
      <c r="R109" t="s">
        <v>45</v>
      </c>
      <c r="S109" t="s">
        <v>46</v>
      </c>
      <c r="T109" t="s">
        <v>107</v>
      </c>
      <c r="U109" t="s">
        <v>430</v>
      </c>
      <c r="V109">
        <v>9000</v>
      </c>
      <c r="W109" t="s">
        <v>45</v>
      </c>
      <c r="X109" t="s">
        <v>69</v>
      </c>
      <c r="Y109" t="s">
        <v>50</v>
      </c>
      <c r="Z109" s="10">
        <f t="shared" si="10"/>
        <v>9</v>
      </c>
      <c r="AA109" s="11">
        <v>0</v>
      </c>
      <c r="AB109" s="11">
        <v>-2</v>
      </c>
      <c r="AC109" s="11">
        <v>0</v>
      </c>
      <c r="AD109" s="11">
        <v>0</v>
      </c>
      <c r="AE109" s="11">
        <v>0</v>
      </c>
      <c r="AF109" s="11">
        <f t="shared" si="6"/>
        <v>0.42</v>
      </c>
      <c r="AG109" s="11">
        <f t="shared" si="7"/>
        <v>7.42</v>
      </c>
      <c r="AH109" t="s">
        <v>51</v>
      </c>
    </row>
    <row r="110" spans="1:34" ht="15" customHeight="1" x14ac:dyDescent="0.25">
      <c r="A110">
        <v>7547676</v>
      </c>
      <c r="B110" t="s">
        <v>34</v>
      </c>
      <c r="C110" t="s">
        <v>35</v>
      </c>
      <c r="D110" s="6" t="s">
        <v>34</v>
      </c>
      <c r="E110" t="s">
        <v>431</v>
      </c>
      <c r="F110" t="s">
        <v>37</v>
      </c>
      <c r="G110" t="s">
        <v>38</v>
      </c>
      <c r="H110" t="s">
        <v>432</v>
      </c>
      <c r="I110" t="s">
        <v>40</v>
      </c>
      <c r="J110">
        <v>2</v>
      </c>
      <c r="K110" t="s">
        <v>41</v>
      </c>
      <c r="L110" t="s">
        <v>42</v>
      </c>
      <c r="M110" t="s">
        <v>43</v>
      </c>
      <c r="N110" s="7">
        <v>1</v>
      </c>
      <c r="O110" s="8">
        <v>45519.722916666666</v>
      </c>
      <c r="P110" s="9">
        <v>45521</v>
      </c>
      <c r="Q110" t="s">
        <v>44</v>
      </c>
      <c r="R110" t="s">
        <v>45</v>
      </c>
      <c r="S110" t="s">
        <v>46</v>
      </c>
      <c r="T110" t="s">
        <v>92</v>
      </c>
      <c r="U110" t="s">
        <v>433</v>
      </c>
      <c r="V110">
        <v>53100</v>
      </c>
      <c r="W110" t="s">
        <v>45</v>
      </c>
      <c r="X110" t="s">
        <v>69</v>
      </c>
      <c r="Y110" t="s">
        <v>50</v>
      </c>
      <c r="Z110" s="10">
        <f t="shared" si="10"/>
        <v>9</v>
      </c>
      <c r="AA110" s="11">
        <v>0</v>
      </c>
      <c r="AB110" s="11">
        <v>-2</v>
      </c>
      <c r="AC110" s="11">
        <v>0</v>
      </c>
      <c r="AD110" s="11">
        <v>0</v>
      </c>
      <c r="AE110" s="11">
        <v>0</v>
      </c>
      <c r="AF110" s="11">
        <f t="shared" si="6"/>
        <v>0.42</v>
      </c>
      <c r="AG110" s="11">
        <f t="shared" si="7"/>
        <v>7.42</v>
      </c>
      <c r="AH110" t="s">
        <v>51</v>
      </c>
    </row>
    <row r="111" spans="1:34" ht="15" customHeight="1" x14ac:dyDescent="0.25">
      <c r="A111">
        <v>7547676</v>
      </c>
      <c r="B111" t="s">
        <v>34</v>
      </c>
      <c r="C111" t="s">
        <v>35</v>
      </c>
      <c r="D111" s="6" t="s">
        <v>34</v>
      </c>
      <c r="E111" t="s">
        <v>434</v>
      </c>
      <c r="F111" t="s">
        <v>37</v>
      </c>
      <c r="G111" t="s">
        <v>38</v>
      </c>
      <c r="H111" t="s">
        <v>435</v>
      </c>
      <c r="I111" t="s">
        <v>40</v>
      </c>
      <c r="J111">
        <v>2</v>
      </c>
      <c r="K111" t="s">
        <v>41</v>
      </c>
      <c r="L111" t="s">
        <v>42</v>
      </c>
      <c r="M111" t="s">
        <v>43</v>
      </c>
      <c r="N111" s="7">
        <v>1</v>
      </c>
      <c r="O111" s="8">
        <v>45519.73715277778</v>
      </c>
      <c r="P111" s="9">
        <v>45521</v>
      </c>
      <c r="Q111" t="s">
        <v>44</v>
      </c>
      <c r="R111" t="s">
        <v>45</v>
      </c>
      <c r="S111" t="s">
        <v>46</v>
      </c>
      <c r="T111" t="s">
        <v>47</v>
      </c>
      <c r="U111" t="s">
        <v>436</v>
      </c>
      <c r="V111">
        <v>34600</v>
      </c>
      <c r="W111" t="s">
        <v>45</v>
      </c>
      <c r="X111" t="s">
        <v>285</v>
      </c>
      <c r="Y111" t="s">
        <v>50</v>
      </c>
      <c r="Z111" s="10">
        <f t="shared" si="10"/>
        <v>9</v>
      </c>
      <c r="AA111" s="11">
        <v>0</v>
      </c>
      <c r="AB111" s="11">
        <v>-2</v>
      </c>
      <c r="AC111" s="11">
        <v>0</v>
      </c>
      <c r="AD111" s="11">
        <v>0</v>
      </c>
      <c r="AE111" s="11">
        <v>0</v>
      </c>
      <c r="AF111" s="11">
        <f t="shared" si="6"/>
        <v>0.42</v>
      </c>
      <c r="AG111" s="11">
        <f t="shared" si="7"/>
        <v>7.42</v>
      </c>
      <c r="AH111" t="s">
        <v>51</v>
      </c>
    </row>
    <row r="112" spans="1:34" ht="15" customHeight="1" x14ac:dyDescent="0.25">
      <c r="A112">
        <v>7547676</v>
      </c>
      <c r="B112" t="s">
        <v>34</v>
      </c>
      <c r="C112" t="s">
        <v>35</v>
      </c>
      <c r="D112" s="6" t="s">
        <v>34</v>
      </c>
      <c r="E112" t="s">
        <v>437</v>
      </c>
      <c r="F112" t="s">
        <v>37</v>
      </c>
      <c r="G112" t="s">
        <v>38</v>
      </c>
      <c r="H112" t="s">
        <v>438</v>
      </c>
      <c r="I112" t="s">
        <v>40</v>
      </c>
      <c r="J112">
        <v>2</v>
      </c>
      <c r="K112" t="s">
        <v>41</v>
      </c>
      <c r="L112" t="s">
        <v>42</v>
      </c>
      <c r="M112" t="s">
        <v>43</v>
      </c>
      <c r="N112" s="7">
        <v>1</v>
      </c>
      <c r="O112" s="8">
        <v>45519.723368055558</v>
      </c>
      <c r="P112" s="9">
        <v>45521</v>
      </c>
      <c r="Q112" t="s">
        <v>44</v>
      </c>
      <c r="R112" t="s">
        <v>45</v>
      </c>
      <c r="S112" t="s">
        <v>46</v>
      </c>
      <c r="T112" t="s">
        <v>47</v>
      </c>
      <c r="U112" t="s">
        <v>439</v>
      </c>
      <c r="V112">
        <v>35000</v>
      </c>
      <c r="W112" t="s">
        <v>45</v>
      </c>
      <c r="X112" t="s">
        <v>69</v>
      </c>
      <c r="Y112" t="s">
        <v>50</v>
      </c>
      <c r="Z112" s="10">
        <f t="shared" si="10"/>
        <v>9</v>
      </c>
      <c r="AA112" s="11">
        <v>0</v>
      </c>
      <c r="AB112" s="11">
        <v>-2</v>
      </c>
      <c r="AC112" s="11">
        <v>0</v>
      </c>
      <c r="AD112" s="11">
        <v>0</v>
      </c>
      <c r="AE112" s="11">
        <v>0</v>
      </c>
      <c r="AF112" s="11">
        <f t="shared" si="6"/>
        <v>0.42</v>
      </c>
      <c r="AG112" s="11">
        <f t="shared" si="7"/>
        <v>7.42</v>
      </c>
      <c r="AH112" t="s">
        <v>51</v>
      </c>
    </row>
    <row r="113" spans="1:34" ht="15" customHeight="1" x14ac:dyDescent="0.25">
      <c r="A113">
        <v>7547676</v>
      </c>
      <c r="B113" t="s">
        <v>34</v>
      </c>
      <c r="C113" t="s">
        <v>35</v>
      </c>
      <c r="D113" s="6" t="s">
        <v>34</v>
      </c>
      <c r="E113" t="s">
        <v>440</v>
      </c>
      <c r="F113" t="s">
        <v>37</v>
      </c>
      <c r="G113" t="s">
        <v>38</v>
      </c>
      <c r="H113" t="s">
        <v>441</v>
      </c>
      <c r="I113" t="s">
        <v>40</v>
      </c>
      <c r="J113">
        <v>2</v>
      </c>
      <c r="K113" t="s">
        <v>41</v>
      </c>
      <c r="L113" t="s">
        <v>42</v>
      </c>
      <c r="M113" t="s">
        <v>43</v>
      </c>
      <c r="N113" s="7">
        <v>1</v>
      </c>
      <c r="O113" s="8">
        <v>45519.692569444444</v>
      </c>
      <c r="P113" s="9">
        <v>45521</v>
      </c>
      <c r="Q113" t="s">
        <v>44</v>
      </c>
      <c r="R113" t="s">
        <v>45</v>
      </c>
      <c r="S113" t="s">
        <v>46</v>
      </c>
      <c r="T113" t="s">
        <v>47</v>
      </c>
      <c r="U113" t="s">
        <v>442</v>
      </c>
      <c r="V113">
        <v>36100</v>
      </c>
      <c r="W113" t="s">
        <v>45</v>
      </c>
      <c r="X113" t="s">
        <v>69</v>
      </c>
      <c r="Y113" t="s">
        <v>50</v>
      </c>
      <c r="Z113" s="10">
        <f t="shared" si="10"/>
        <v>9</v>
      </c>
      <c r="AA113" s="11">
        <v>0</v>
      </c>
      <c r="AB113" s="11">
        <v>-2</v>
      </c>
      <c r="AC113" s="11">
        <v>0</v>
      </c>
      <c r="AD113" s="11">
        <v>0</v>
      </c>
      <c r="AE113" s="11">
        <v>0</v>
      </c>
      <c r="AF113" s="11">
        <f t="shared" si="6"/>
        <v>0.42</v>
      </c>
      <c r="AG113" s="11">
        <f t="shared" si="7"/>
        <v>7.42</v>
      </c>
      <c r="AH113" t="s">
        <v>51</v>
      </c>
    </row>
    <row r="114" spans="1:34" ht="15" customHeight="1" x14ac:dyDescent="0.25">
      <c r="A114">
        <v>7547676</v>
      </c>
      <c r="B114" t="s">
        <v>34</v>
      </c>
      <c r="C114" t="s">
        <v>35</v>
      </c>
      <c r="D114" s="6" t="s">
        <v>34</v>
      </c>
      <c r="E114" t="s">
        <v>443</v>
      </c>
      <c r="F114" t="s">
        <v>37</v>
      </c>
      <c r="G114" t="s">
        <v>38</v>
      </c>
      <c r="H114" t="s">
        <v>444</v>
      </c>
      <c r="I114" t="s">
        <v>40</v>
      </c>
      <c r="J114">
        <v>2</v>
      </c>
      <c r="K114" t="s">
        <v>41</v>
      </c>
      <c r="L114" t="s">
        <v>42</v>
      </c>
      <c r="M114" t="s">
        <v>43</v>
      </c>
      <c r="N114" s="7">
        <v>1</v>
      </c>
      <c r="O114" s="8">
        <v>45518.590439814812</v>
      </c>
      <c r="P114" s="9">
        <v>45521</v>
      </c>
      <c r="Q114" t="s">
        <v>44</v>
      </c>
      <c r="R114" t="s">
        <v>45</v>
      </c>
      <c r="S114" t="s">
        <v>46</v>
      </c>
      <c r="T114" t="s">
        <v>84</v>
      </c>
      <c r="U114" t="s">
        <v>445</v>
      </c>
      <c r="V114">
        <v>16100</v>
      </c>
      <c r="W114" t="s">
        <v>45</v>
      </c>
      <c r="X114" t="s">
        <v>446</v>
      </c>
      <c r="Y114" t="s">
        <v>50</v>
      </c>
      <c r="Z114" s="10">
        <f t="shared" si="10"/>
        <v>9</v>
      </c>
      <c r="AA114" s="11">
        <v>0</v>
      </c>
      <c r="AB114" s="11">
        <v>-2</v>
      </c>
      <c r="AC114" s="11">
        <v>0</v>
      </c>
      <c r="AD114" s="11">
        <v>0</v>
      </c>
      <c r="AE114" s="11">
        <v>0</v>
      </c>
      <c r="AF114" s="11">
        <f t="shared" si="6"/>
        <v>0.42</v>
      </c>
      <c r="AG114" s="11">
        <f t="shared" si="7"/>
        <v>7.42</v>
      </c>
      <c r="AH114" t="s">
        <v>51</v>
      </c>
    </row>
    <row r="115" spans="1:34" ht="15" customHeight="1" x14ac:dyDescent="0.25">
      <c r="A115">
        <v>7547676</v>
      </c>
      <c r="B115" t="s">
        <v>34</v>
      </c>
      <c r="C115" t="s">
        <v>35</v>
      </c>
      <c r="D115" s="6" t="s">
        <v>34</v>
      </c>
      <c r="E115" t="s">
        <v>447</v>
      </c>
      <c r="F115" t="s">
        <v>37</v>
      </c>
      <c r="G115" t="s">
        <v>38</v>
      </c>
      <c r="H115" t="s">
        <v>448</v>
      </c>
      <c r="I115" t="s">
        <v>40</v>
      </c>
      <c r="J115">
        <v>2</v>
      </c>
      <c r="K115" t="s">
        <v>41</v>
      </c>
      <c r="L115" t="s">
        <v>42</v>
      </c>
      <c r="M115" t="s">
        <v>43</v>
      </c>
      <c r="N115" s="7">
        <v>3</v>
      </c>
      <c r="O115" s="8">
        <v>45519.777384259258</v>
      </c>
      <c r="P115" s="9">
        <v>45521</v>
      </c>
      <c r="Q115" t="s">
        <v>386</v>
      </c>
      <c r="R115" t="s">
        <v>45</v>
      </c>
      <c r="S115" t="s">
        <v>46</v>
      </c>
      <c r="T115" t="s">
        <v>84</v>
      </c>
      <c r="U115" t="s">
        <v>449</v>
      </c>
      <c r="V115">
        <v>17000</v>
      </c>
      <c r="W115" t="s">
        <v>45</v>
      </c>
      <c r="X115" t="s">
        <v>74</v>
      </c>
      <c r="Y115" t="s">
        <v>50</v>
      </c>
      <c r="Z115" s="10">
        <f t="shared" si="10"/>
        <v>10.6</v>
      </c>
      <c r="AA115" s="11">
        <v>0</v>
      </c>
      <c r="AB115" s="11">
        <v>-2</v>
      </c>
      <c r="AC115" s="11">
        <v>0</v>
      </c>
      <c r="AD115" s="11">
        <v>0</v>
      </c>
      <c r="AE115" s="11">
        <v>0</v>
      </c>
      <c r="AF115" s="11">
        <f t="shared" si="6"/>
        <v>0.51600000000000001</v>
      </c>
      <c r="AG115" s="11">
        <f t="shared" si="7"/>
        <v>9.1159999999999997</v>
      </c>
      <c r="AH115" t="s">
        <v>51</v>
      </c>
    </row>
    <row r="116" spans="1:34" ht="15" customHeight="1" x14ac:dyDescent="0.25">
      <c r="A116">
        <v>7547676</v>
      </c>
      <c r="B116" t="s">
        <v>34</v>
      </c>
      <c r="C116" t="s">
        <v>35</v>
      </c>
      <c r="D116" s="6" t="s">
        <v>34</v>
      </c>
      <c r="E116" t="s">
        <v>450</v>
      </c>
      <c r="F116" t="s">
        <v>37</v>
      </c>
      <c r="G116" t="s">
        <v>38</v>
      </c>
      <c r="H116" t="s">
        <v>451</v>
      </c>
      <c r="I116" t="s">
        <v>40</v>
      </c>
      <c r="J116">
        <v>2</v>
      </c>
      <c r="K116" t="s">
        <v>41</v>
      </c>
      <c r="L116" t="s">
        <v>42</v>
      </c>
      <c r="M116" t="s">
        <v>43</v>
      </c>
      <c r="N116" s="7">
        <v>1</v>
      </c>
      <c r="O116" s="8">
        <v>45518.806909722225</v>
      </c>
      <c r="P116" s="9">
        <v>45521</v>
      </c>
      <c r="Q116" t="s">
        <v>44</v>
      </c>
      <c r="R116" t="s">
        <v>45</v>
      </c>
      <c r="S116" t="s">
        <v>46</v>
      </c>
      <c r="T116" t="s">
        <v>47</v>
      </c>
      <c r="U116" t="s">
        <v>452</v>
      </c>
      <c r="V116">
        <v>33800</v>
      </c>
      <c r="W116" t="s">
        <v>45</v>
      </c>
      <c r="X116" t="s">
        <v>191</v>
      </c>
      <c r="Y116" t="s">
        <v>50</v>
      </c>
      <c r="Z116" s="10">
        <f t="shared" si="10"/>
        <v>9</v>
      </c>
      <c r="AA116" s="11">
        <v>0</v>
      </c>
      <c r="AB116" s="11">
        <v>-2</v>
      </c>
      <c r="AC116" s="11">
        <v>0</v>
      </c>
      <c r="AD116" s="11">
        <v>0</v>
      </c>
      <c r="AE116" s="11">
        <v>0</v>
      </c>
      <c r="AF116" s="11">
        <f t="shared" si="6"/>
        <v>0.42</v>
      </c>
      <c r="AG116" s="11">
        <f t="shared" si="7"/>
        <v>7.42</v>
      </c>
      <c r="AH116" t="s">
        <v>51</v>
      </c>
    </row>
    <row r="117" spans="1:34" ht="15" customHeight="1" x14ac:dyDescent="0.25">
      <c r="A117">
        <v>7547676</v>
      </c>
      <c r="B117" t="s">
        <v>34</v>
      </c>
      <c r="C117" t="s">
        <v>35</v>
      </c>
      <c r="D117" s="6" t="s">
        <v>34</v>
      </c>
      <c r="E117" t="s">
        <v>453</v>
      </c>
      <c r="F117" t="s">
        <v>37</v>
      </c>
      <c r="G117" t="s">
        <v>38</v>
      </c>
      <c r="H117" t="s">
        <v>454</v>
      </c>
      <c r="I117" t="s">
        <v>40</v>
      </c>
      <c r="J117">
        <v>2</v>
      </c>
      <c r="K117" t="s">
        <v>41</v>
      </c>
      <c r="L117" t="s">
        <v>42</v>
      </c>
      <c r="M117" t="s">
        <v>43</v>
      </c>
      <c r="N117" s="7">
        <v>4</v>
      </c>
      <c r="O117" s="8">
        <v>45519.742893518516</v>
      </c>
      <c r="P117" s="9">
        <v>45521</v>
      </c>
      <c r="Q117" t="s">
        <v>44</v>
      </c>
      <c r="R117" t="s">
        <v>45</v>
      </c>
      <c r="S117" t="s">
        <v>46</v>
      </c>
      <c r="T117" t="s">
        <v>54</v>
      </c>
      <c r="U117" t="s">
        <v>455</v>
      </c>
      <c r="V117">
        <v>81750</v>
      </c>
      <c r="W117" t="s">
        <v>45</v>
      </c>
      <c r="X117" t="s">
        <v>65</v>
      </c>
      <c r="Y117" t="s">
        <v>50</v>
      </c>
      <c r="Z117" s="10">
        <f t="shared" si="10"/>
        <v>11.4</v>
      </c>
      <c r="AA117" s="11">
        <v>0</v>
      </c>
      <c r="AB117" s="11">
        <v>-2</v>
      </c>
      <c r="AC117" s="11">
        <v>0</v>
      </c>
      <c r="AD117" s="11">
        <v>0</v>
      </c>
      <c r="AE117" s="11">
        <v>0</v>
      </c>
      <c r="AF117" s="11">
        <f t="shared" si="6"/>
        <v>0.56399999999999995</v>
      </c>
      <c r="AG117" s="11">
        <f t="shared" si="7"/>
        <v>9.9640000000000004</v>
      </c>
      <c r="AH117" t="s">
        <v>51</v>
      </c>
    </row>
    <row r="118" spans="1:34" ht="15" customHeight="1" x14ac:dyDescent="0.25">
      <c r="A118">
        <v>7547676</v>
      </c>
      <c r="B118" t="s">
        <v>34</v>
      </c>
      <c r="C118" t="s">
        <v>35</v>
      </c>
      <c r="D118" s="6" t="s">
        <v>34</v>
      </c>
      <c r="E118" t="s">
        <v>456</v>
      </c>
      <c r="F118" t="s">
        <v>37</v>
      </c>
      <c r="G118" t="s">
        <v>38</v>
      </c>
      <c r="H118" t="s">
        <v>457</v>
      </c>
      <c r="I118" t="s">
        <v>40</v>
      </c>
      <c r="J118">
        <v>2</v>
      </c>
      <c r="K118" t="s">
        <v>41</v>
      </c>
      <c r="L118" t="s">
        <v>42</v>
      </c>
      <c r="M118" t="s">
        <v>43</v>
      </c>
      <c r="N118" s="7">
        <v>1</v>
      </c>
      <c r="O118" s="8">
        <v>45518.738703703704</v>
      </c>
      <c r="P118" s="9">
        <v>45521</v>
      </c>
      <c r="Q118" t="s">
        <v>44</v>
      </c>
      <c r="R118" t="s">
        <v>45</v>
      </c>
      <c r="S118" t="s">
        <v>46</v>
      </c>
      <c r="T118" t="s">
        <v>107</v>
      </c>
      <c r="U118" t="s">
        <v>458</v>
      </c>
      <c r="V118">
        <v>6600</v>
      </c>
      <c r="W118" t="s">
        <v>45</v>
      </c>
      <c r="X118" t="s">
        <v>459</v>
      </c>
      <c r="Y118" t="s">
        <v>50</v>
      </c>
      <c r="Z118" s="10">
        <f t="shared" si="10"/>
        <v>9</v>
      </c>
      <c r="AA118" s="11">
        <v>0</v>
      </c>
      <c r="AB118" s="11">
        <v>-2</v>
      </c>
      <c r="AC118" s="11">
        <v>0</v>
      </c>
      <c r="AD118" s="11">
        <v>0</v>
      </c>
      <c r="AE118" s="11">
        <v>0</v>
      </c>
      <c r="AF118" s="11">
        <f t="shared" si="6"/>
        <v>0.42</v>
      </c>
      <c r="AG118" s="11">
        <f t="shared" si="7"/>
        <v>7.42</v>
      </c>
      <c r="AH118" t="s">
        <v>51</v>
      </c>
    </row>
    <row r="119" spans="1:34" ht="15" customHeight="1" x14ac:dyDescent="0.25">
      <c r="A119">
        <v>7547676</v>
      </c>
      <c r="B119" t="s">
        <v>34</v>
      </c>
      <c r="C119" t="s">
        <v>35</v>
      </c>
      <c r="D119" s="6" t="s">
        <v>34</v>
      </c>
      <c r="E119" t="s">
        <v>460</v>
      </c>
      <c r="F119" t="s">
        <v>37</v>
      </c>
      <c r="G119" t="s">
        <v>38</v>
      </c>
      <c r="H119" t="s">
        <v>461</v>
      </c>
      <c r="I119" t="s">
        <v>40</v>
      </c>
      <c r="J119">
        <v>2</v>
      </c>
      <c r="K119" t="s">
        <v>41</v>
      </c>
      <c r="L119" t="s">
        <v>42</v>
      </c>
      <c r="M119" t="s">
        <v>43</v>
      </c>
      <c r="N119" s="7">
        <v>1</v>
      </c>
      <c r="O119" s="8">
        <v>45519.73715277778</v>
      </c>
      <c r="P119" s="9">
        <v>45521</v>
      </c>
      <c r="Q119" t="s">
        <v>44</v>
      </c>
      <c r="R119" t="s">
        <v>45</v>
      </c>
      <c r="S119" t="s">
        <v>46</v>
      </c>
      <c r="T119" t="s">
        <v>107</v>
      </c>
      <c r="U119" t="s">
        <v>462</v>
      </c>
      <c r="V119">
        <v>6010</v>
      </c>
      <c r="W119" t="s">
        <v>45</v>
      </c>
      <c r="X119" t="s">
        <v>463</v>
      </c>
      <c r="Y119" t="s">
        <v>50</v>
      </c>
      <c r="Z119" s="10">
        <f t="shared" si="10"/>
        <v>9</v>
      </c>
      <c r="AA119" s="11">
        <v>0</v>
      </c>
      <c r="AB119" s="11">
        <v>-2</v>
      </c>
      <c r="AC119" s="11">
        <v>0</v>
      </c>
      <c r="AD119" s="11">
        <v>0</v>
      </c>
      <c r="AE119" s="11">
        <v>0</v>
      </c>
      <c r="AF119" s="11">
        <f t="shared" si="6"/>
        <v>0.42</v>
      </c>
      <c r="AG119" s="11">
        <f t="shared" si="7"/>
        <v>7.42</v>
      </c>
      <c r="AH119" t="s">
        <v>51</v>
      </c>
    </row>
    <row r="120" spans="1:34" ht="15" customHeight="1" x14ac:dyDescent="0.25">
      <c r="A120">
        <v>7547676</v>
      </c>
      <c r="B120" t="s">
        <v>34</v>
      </c>
      <c r="C120" t="s">
        <v>35</v>
      </c>
      <c r="D120" s="6" t="s">
        <v>34</v>
      </c>
      <c r="E120" t="s">
        <v>464</v>
      </c>
      <c r="F120" t="s">
        <v>37</v>
      </c>
      <c r="G120" t="s">
        <v>38</v>
      </c>
      <c r="H120" t="s">
        <v>465</v>
      </c>
      <c r="I120" t="s">
        <v>40</v>
      </c>
      <c r="J120">
        <v>2</v>
      </c>
      <c r="K120" t="s">
        <v>41</v>
      </c>
      <c r="L120" t="s">
        <v>42</v>
      </c>
      <c r="M120" t="s">
        <v>43</v>
      </c>
      <c r="N120" s="7">
        <v>1</v>
      </c>
      <c r="O120" s="8">
        <v>45519.690011574072</v>
      </c>
      <c r="P120" s="9">
        <v>45521</v>
      </c>
      <c r="Q120" t="s">
        <v>44</v>
      </c>
      <c r="R120" t="s">
        <v>45</v>
      </c>
      <c r="S120" t="s">
        <v>46</v>
      </c>
      <c r="T120" t="s">
        <v>54</v>
      </c>
      <c r="U120" t="s">
        <v>466</v>
      </c>
      <c r="V120">
        <v>81000</v>
      </c>
      <c r="W120" t="s">
        <v>45</v>
      </c>
      <c r="X120" t="s">
        <v>467</v>
      </c>
      <c r="Y120" t="s">
        <v>50</v>
      </c>
      <c r="Z120" s="10">
        <f t="shared" si="10"/>
        <v>9</v>
      </c>
      <c r="AA120" s="11">
        <v>0</v>
      </c>
      <c r="AB120" s="11">
        <v>-2</v>
      </c>
      <c r="AC120" s="11">
        <v>0</v>
      </c>
      <c r="AD120" s="11">
        <v>0</v>
      </c>
      <c r="AE120" s="11">
        <v>0</v>
      </c>
      <c r="AF120" s="11">
        <f t="shared" si="6"/>
        <v>0.42</v>
      </c>
      <c r="AG120" s="11">
        <f t="shared" si="7"/>
        <v>7.42</v>
      </c>
      <c r="AH120" t="s">
        <v>51</v>
      </c>
    </row>
    <row r="121" spans="1:34" ht="15" customHeight="1" x14ac:dyDescent="0.25">
      <c r="A121">
        <v>7547676</v>
      </c>
      <c r="B121" t="s">
        <v>34</v>
      </c>
      <c r="C121" t="s">
        <v>35</v>
      </c>
      <c r="D121" s="6" t="s">
        <v>34</v>
      </c>
      <c r="E121" t="s">
        <v>468</v>
      </c>
      <c r="F121" t="s">
        <v>37</v>
      </c>
      <c r="G121" t="s">
        <v>38</v>
      </c>
      <c r="H121" t="s">
        <v>469</v>
      </c>
      <c r="I121" t="s">
        <v>40</v>
      </c>
      <c r="J121">
        <v>2</v>
      </c>
      <c r="K121" t="s">
        <v>41</v>
      </c>
      <c r="L121" t="s">
        <v>42</v>
      </c>
      <c r="M121" t="s">
        <v>43</v>
      </c>
      <c r="N121" s="7">
        <v>1</v>
      </c>
      <c r="O121" s="8">
        <v>45519.777384259258</v>
      </c>
      <c r="P121" s="9">
        <v>45521</v>
      </c>
      <c r="Q121" t="s">
        <v>386</v>
      </c>
      <c r="R121" t="s">
        <v>45</v>
      </c>
      <c r="S121" t="s">
        <v>46</v>
      </c>
      <c r="T121" t="s">
        <v>84</v>
      </c>
      <c r="U121" t="s">
        <v>470</v>
      </c>
      <c r="V121">
        <v>16310</v>
      </c>
      <c r="W121" t="s">
        <v>45</v>
      </c>
      <c r="X121" t="s">
        <v>74</v>
      </c>
      <c r="Y121" t="s">
        <v>50</v>
      </c>
      <c r="Z121" s="10">
        <f t="shared" si="10"/>
        <v>9</v>
      </c>
      <c r="AA121" s="11">
        <v>0</v>
      </c>
      <c r="AB121" s="11">
        <v>-2</v>
      </c>
      <c r="AC121" s="11">
        <v>0</v>
      </c>
      <c r="AD121" s="11">
        <v>0</v>
      </c>
      <c r="AE121" s="11">
        <v>0</v>
      </c>
      <c r="AF121" s="11">
        <f t="shared" si="6"/>
        <v>0.42</v>
      </c>
      <c r="AG121" s="11">
        <f t="shared" si="7"/>
        <v>7.42</v>
      </c>
      <c r="AH121" t="s">
        <v>51</v>
      </c>
    </row>
    <row r="122" spans="1:34" ht="15" customHeight="1" x14ac:dyDescent="0.25">
      <c r="A122">
        <v>7547676</v>
      </c>
      <c r="B122" t="s">
        <v>34</v>
      </c>
      <c r="C122" t="s">
        <v>35</v>
      </c>
      <c r="D122" s="6" t="s">
        <v>34</v>
      </c>
      <c r="E122" t="s">
        <v>471</v>
      </c>
      <c r="F122" t="s">
        <v>37</v>
      </c>
      <c r="G122" t="s">
        <v>38</v>
      </c>
      <c r="H122" t="s">
        <v>472</v>
      </c>
      <c r="I122" t="s">
        <v>40</v>
      </c>
      <c r="J122">
        <v>2</v>
      </c>
      <c r="K122" t="s">
        <v>41</v>
      </c>
      <c r="L122" t="s">
        <v>42</v>
      </c>
      <c r="M122" t="s">
        <v>43</v>
      </c>
      <c r="N122" s="7">
        <v>1</v>
      </c>
      <c r="O122" s="8">
        <v>45521.68277777778</v>
      </c>
      <c r="P122" s="9">
        <v>45522</v>
      </c>
      <c r="Q122" t="s">
        <v>44</v>
      </c>
      <c r="R122" t="s">
        <v>45</v>
      </c>
      <c r="S122" t="s">
        <v>46</v>
      </c>
      <c r="T122" t="s">
        <v>223</v>
      </c>
      <c r="U122" t="s">
        <v>473</v>
      </c>
      <c r="V122">
        <v>27200</v>
      </c>
      <c r="W122" t="s">
        <v>45</v>
      </c>
      <c r="X122" t="s">
        <v>474</v>
      </c>
      <c r="Y122" t="s">
        <v>50</v>
      </c>
      <c r="Z122" s="10">
        <f t="shared" si="10"/>
        <v>9</v>
      </c>
      <c r="AA122" s="11">
        <v>0</v>
      </c>
      <c r="AB122" s="11">
        <v>-2</v>
      </c>
      <c r="AC122" s="11">
        <v>0</v>
      </c>
      <c r="AD122" s="11">
        <v>0</v>
      </c>
      <c r="AE122" s="11">
        <v>0</v>
      </c>
      <c r="AF122" s="11">
        <f t="shared" si="6"/>
        <v>0.42</v>
      </c>
      <c r="AG122" s="11">
        <f t="shared" si="7"/>
        <v>7.42</v>
      </c>
      <c r="AH122" t="s">
        <v>51</v>
      </c>
    </row>
    <row r="123" spans="1:34" ht="15" customHeight="1" x14ac:dyDescent="0.25">
      <c r="A123">
        <v>7547676</v>
      </c>
      <c r="B123" t="s">
        <v>34</v>
      </c>
      <c r="C123" t="s">
        <v>35</v>
      </c>
      <c r="D123" s="6" t="s">
        <v>34</v>
      </c>
      <c r="E123" t="s">
        <v>475</v>
      </c>
      <c r="F123" t="s">
        <v>37</v>
      </c>
      <c r="G123" t="s">
        <v>38</v>
      </c>
      <c r="H123" t="s">
        <v>476</v>
      </c>
      <c r="I123" t="s">
        <v>40</v>
      </c>
      <c r="J123">
        <v>2</v>
      </c>
      <c r="K123" t="s">
        <v>41</v>
      </c>
      <c r="L123" t="s">
        <v>42</v>
      </c>
      <c r="M123" t="s">
        <v>43</v>
      </c>
      <c r="N123" s="7">
        <v>1</v>
      </c>
      <c r="O123" s="8">
        <v>45521.609016203707</v>
      </c>
      <c r="P123" s="9">
        <v>45522</v>
      </c>
      <c r="Q123" t="s">
        <v>44</v>
      </c>
      <c r="R123" t="s">
        <v>45</v>
      </c>
      <c r="S123" t="s">
        <v>46</v>
      </c>
      <c r="T123" t="s">
        <v>92</v>
      </c>
      <c r="U123" t="s">
        <v>477</v>
      </c>
      <c r="V123">
        <v>40200</v>
      </c>
      <c r="W123" t="s">
        <v>45</v>
      </c>
      <c r="X123" t="s">
        <v>478</v>
      </c>
      <c r="Y123" t="s">
        <v>50</v>
      </c>
      <c r="Z123" s="10">
        <f t="shared" si="10"/>
        <v>9</v>
      </c>
      <c r="AA123" s="11">
        <v>0</v>
      </c>
      <c r="AB123" s="11">
        <v>-2</v>
      </c>
      <c r="AC123" s="11">
        <v>0</v>
      </c>
      <c r="AD123" s="11">
        <v>0</v>
      </c>
      <c r="AE123" s="11">
        <v>0</v>
      </c>
      <c r="AF123" s="11">
        <f t="shared" si="6"/>
        <v>0.42</v>
      </c>
      <c r="AG123" s="11">
        <f t="shared" si="7"/>
        <v>7.42</v>
      </c>
      <c r="AH123" t="s">
        <v>51</v>
      </c>
    </row>
    <row r="124" spans="1:34" ht="15" customHeight="1" x14ac:dyDescent="0.25">
      <c r="A124">
        <v>7547676</v>
      </c>
      <c r="B124" t="s">
        <v>34</v>
      </c>
      <c r="C124" t="s">
        <v>35</v>
      </c>
      <c r="D124" s="6" t="s">
        <v>34</v>
      </c>
      <c r="E124" t="s">
        <v>479</v>
      </c>
      <c r="F124" t="s">
        <v>37</v>
      </c>
      <c r="G124" t="s">
        <v>38</v>
      </c>
      <c r="H124" t="s">
        <v>480</v>
      </c>
      <c r="I124" t="s">
        <v>40</v>
      </c>
      <c r="J124">
        <v>2</v>
      </c>
      <c r="K124" t="s">
        <v>41</v>
      </c>
      <c r="L124" t="s">
        <v>42</v>
      </c>
      <c r="M124" t="s">
        <v>43</v>
      </c>
      <c r="N124" s="7">
        <v>1</v>
      </c>
      <c r="O124" s="8">
        <v>45517.760474537034</v>
      </c>
      <c r="P124" s="9">
        <v>45522</v>
      </c>
      <c r="Q124" t="s">
        <v>44</v>
      </c>
      <c r="R124" t="s">
        <v>45</v>
      </c>
      <c r="S124" t="s">
        <v>46</v>
      </c>
      <c r="T124" t="s">
        <v>107</v>
      </c>
      <c r="U124" t="s">
        <v>481</v>
      </c>
      <c r="V124">
        <v>6660</v>
      </c>
      <c r="W124" t="s">
        <v>45</v>
      </c>
      <c r="X124" t="s">
        <v>482</v>
      </c>
      <c r="Y124" t="s">
        <v>50</v>
      </c>
      <c r="Z124" s="10">
        <f t="shared" si="10"/>
        <v>9</v>
      </c>
      <c r="AA124" s="11">
        <v>0</v>
      </c>
      <c r="AB124" s="11">
        <v>-2</v>
      </c>
      <c r="AC124" s="11">
        <v>0</v>
      </c>
      <c r="AD124" s="11">
        <v>0</v>
      </c>
      <c r="AE124" s="11">
        <v>0</v>
      </c>
      <c r="AF124" s="11">
        <f t="shared" si="6"/>
        <v>0.42</v>
      </c>
      <c r="AG124" s="11">
        <f t="shared" si="7"/>
        <v>7.42</v>
      </c>
      <c r="AH124" t="s">
        <v>51</v>
      </c>
    </row>
    <row r="125" spans="1:34" ht="15" customHeight="1" x14ac:dyDescent="0.25">
      <c r="A125">
        <v>7547676</v>
      </c>
      <c r="B125" t="s">
        <v>34</v>
      </c>
      <c r="C125" t="s">
        <v>35</v>
      </c>
      <c r="D125" s="6" t="s">
        <v>34</v>
      </c>
      <c r="E125" t="s">
        <v>483</v>
      </c>
      <c r="F125" t="s">
        <v>37</v>
      </c>
      <c r="G125" t="s">
        <v>38</v>
      </c>
      <c r="H125" t="s">
        <v>484</v>
      </c>
      <c r="I125" t="s">
        <v>40</v>
      </c>
      <c r="J125">
        <v>2</v>
      </c>
      <c r="K125" t="s">
        <v>41</v>
      </c>
      <c r="L125" t="s">
        <v>42</v>
      </c>
      <c r="M125" t="s">
        <v>43</v>
      </c>
      <c r="N125" s="7">
        <v>1</v>
      </c>
      <c r="O125" s="8">
        <v>45521.424537037034</v>
      </c>
      <c r="P125" s="9">
        <v>45522</v>
      </c>
      <c r="Q125" t="s">
        <v>44</v>
      </c>
      <c r="R125" t="s">
        <v>45</v>
      </c>
      <c r="S125" t="s">
        <v>46</v>
      </c>
      <c r="T125" t="s">
        <v>92</v>
      </c>
      <c r="U125" t="s">
        <v>485</v>
      </c>
      <c r="V125">
        <v>43650</v>
      </c>
      <c r="W125" t="s">
        <v>45</v>
      </c>
      <c r="X125" t="s">
        <v>69</v>
      </c>
      <c r="Y125" t="s">
        <v>50</v>
      </c>
      <c r="Z125" s="10">
        <f t="shared" si="10"/>
        <v>9</v>
      </c>
      <c r="AA125" s="11">
        <v>0</v>
      </c>
      <c r="AB125" s="11">
        <v>-2</v>
      </c>
      <c r="AC125" s="11">
        <v>0</v>
      </c>
      <c r="AD125" s="11">
        <v>0</v>
      </c>
      <c r="AE125" s="11">
        <v>0</v>
      </c>
      <c r="AF125" s="11">
        <f t="shared" si="6"/>
        <v>0.42</v>
      </c>
      <c r="AG125" s="11">
        <f t="shared" si="7"/>
        <v>7.42</v>
      </c>
      <c r="AH125" t="s">
        <v>51</v>
      </c>
    </row>
    <row r="126" spans="1:34" ht="15" customHeight="1" x14ac:dyDescent="0.25">
      <c r="A126">
        <v>7547676</v>
      </c>
      <c r="B126" t="s">
        <v>34</v>
      </c>
      <c r="C126" t="s">
        <v>35</v>
      </c>
      <c r="D126" s="6" t="s">
        <v>34</v>
      </c>
      <c r="E126" t="s">
        <v>486</v>
      </c>
      <c r="F126" t="s">
        <v>37</v>
      </c>
      <c r="G126" t="s">
        <v>38</v>
      </c>
      <c r="H126" t="s">
        <v>487</v>
      </c>
      <c r="I126" t="s">
        <v>40</v>
      </c>
      <c r="J126">
        <v>2</v>
      </c>
      <c r="K126" t="s">
        <v>41</v>
      </c>
      <c r="L126" t="s">
        <v>42</v>
      </c>
      <c r="M126" t="s">
        <v>43</v>
      </c>
      <c r="N126" s="7">
        <v>1</v>
      </c>
      <c r="O126" s="8">
        <v>45519.690011574072</v>
      </c>
      <c r="P126" s="9">
        <v>45522</v>
      </c>
      <c r="Q126" t="s">
        <v>44</v>
      </c>
      <c r="R126" t="s">
        <v>45</v>
      </c>
      <c r="S126" t="s">
        <v>46</v>
      </c>
      <c r="T126" t="s">
        <v>116</v>
      </c>
      <c r="U126" t="s">
        <v>488</v>
      </c>
      <c r="V126">
        <v>91000</v>
      </c>
      <c r="W126" t="s">
        <v>118</v>
      </c>
      <c r="X126" t="s">
        <v>69</v>
      </c>
      <c r="Y126" t="s">
        <v>50</v>
      </c>
      <c r="Z126" s="12">
        <f>IF(N126&lt;=1,13,IF(N126&lt;=2,23,IF(N126&lt;=3,35,IF(N126&lt;=4,43,IF(N126&lt;=5,53,IF(N126&lt;=6,63,IF(N126&lt;=7,71,IF(N126&lt;=8,79,IF(N126&lt;=9,87,IF(N126&lt;=10,95,IF(N126&lt;=11,105,IF(N126&lt;=12,114,IF(N126&lt;=13,119,IF(N126&lt;=14,127,IF(N126&lt;=15,135,IF(N126&lt;=16,143,IF(N126&lt;=17,153,IF(N126&lt;=18,163,IF(N126&lt;=19,171,IF(N126&lt;=20,185,IF(N126&lt;=21,193,IF(N126&lt;=22,201,IF(N126&lt;=23,210,IF(N126&lt;=24,220,IF(N126&lt;=25,230,IF(N126&lt;=26,240,IF(N126&lt;=27,250,IF(N126&lt;=28,260,IF(N126&lt;=29,270,IF(N126&lt;=30,280,280+10*ROUNDUP(N126-30,0)))))))))))))))))))))))))))))))</f>
        <v>13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f t="shared" si="6"/>
        <v>0.78</v>
      </c>
      <c r="AG126" s="11">
        <f t="shared" si="7"/>
        <v>13.78</v>
      </c>
      <c r="AH126" t="s">
        <v>119</v>
      </c>
    </row>
    <row r="127" spans="1:34" ht="15" customHeight="1" x14ac:dyDescent="0.25">
      <c r="A127">
        <v>7547676</v>
      </c>
      <c r="B127" t="s">
        <v>34</v>
      </c>
      <c r="C127" t="s">
        <v>35</v>
      </c>
      <c r="D127" s="6" t="s">
        <v>34</v>
      </c>
      <c r="E127" t="s">
        <v>489</v>
      </c>
      <c r="F127" t="s">
        <v>37</v>
      </c>
      <c r="G127" t="s">
        <v>38</v>
      </c>
      <c r="H127" t="s">
        <v>490</v>
      </c>
      <c r="I127" t="s">
        <v>40</v>
      </c>
      <c r="J127">
        <v>2</v>
      </c>
      <c r="K127" t="s">
        <v>41</v>
      </c>
      <c r="L127" t="s">
        <v>42</v>
      </c>
      <c r="M127" t="s">
        <v>43</v>
      </c>
      <c r="N127" s="7">
        <v>1</v>
      </c>
      <c r="O127" s="8">
        <v>45518.825289351851</v>
      </c>
      <c r="P127" s="9">
        <v>45522</v>
      </c>
      <c r="Q127" t="s">
        <v>44</v>
      </c>
      <c r="R127" t="s">
        <v>45</v>
      </c>
      <c r="S127" t="s">
        <v>46</v>
      </c>
      <c r="T127" t="s">
        <v>54</v>
      </c>
      <c r="U127" t="s">
        <v>491</v>
      </c>
      <c r="V127">
        <v>82200</v>
      </c>
      <c r="W127" t="s">
        <v>45</v>
      </c>
      <c r="X127" t="s">
        <v>56</v>
      </c>
      <c r="Y127" t="s">
        <v>50</v>
      </c>
      <c r="Z127" s="10">
        <f t="shared" ref="Z127:Z145" si="11">IF(N127&lt;=1,9,9+0.8*ROUNDUP(N127-1,0))</f>
        <v>9</v>
      </c>
      <c r="AA127" s="11">
        <v>0</v>
      </c>
      <c r="AB127" s="11">
        <v>-2</v>
      </c>
      <c r="AC127" s="11">
        <v>0</v>
      </c>
      <c r="AD127" s="11">
        <v>0</v>
      </c>
      <c r="AE127" s="11">
        <v>0</v>
      </c>
      <c r="AF127" s="11">
        <f t="shared" si="6"/>
        <v>0.42</v>
      </c>
      <c r="AG127" s="11">
        <f t="shared" si="7"/>
        <v>7.42</v>
      </c>
      <c r="AH127" t="s">
        <v>51</v>
      </c>
    </row>
    <row r="128" spans="1:34" ht="15" customHeight="1" x14ac:dyDescent="0.25">
      <c r="A128">
        <v>7547676</v>
      </c>
      <c r="B128" t="s">
        <v>34</v>
      </c>
      <c r="C128" t="s">
        <v>35</v>
      </c>
      <c r="D128" s="6" t="s">
        <v>34</v>
      </c>
      <c r="E128" t="s">
        <v>492</v>
      </c>
      <c r="F128" t="s">
        <v>37</v>
      </c>
      <c r="G128" t="s">
        <v>38</v>
      </c>
      <c r="H128" t="s">
        <v>493</v>
      </c>
      <c r="I128" t="s">
        <v>40</v>
      </c>
      <c r="J128">
        <v>2</v>
      </c>
      <c r="K128" t="s">
        <v>41</v>
      </c>
      <c r="L128" t="s">
        <v>42</v>
      </c>
      <c r="M128" t="s">
        <v>43</v>
      </c>
      <c r="N128" s="7">
        <v>3</v>
      </c>
      <c r="O128" s="8">
        <v>45521.675995370373</v>
      </c>
      <c r="P128" s="9">
        <v>45522</v>
      </c>
      <c r="Q128" t="s">
        <v>44</v>
      </c>
      <c r="R128" t="s">
        <v>45</v>
      </c>
      <c r="S128" t="s">
        <v>46</v>
      </c>
      <c r="T128" t="s">
        <v>92</v>
      </c>
      <c r="U128" t="s">
        <v>494</v>
      </c>
      <c r="V128">
        <v>48050</v>
      </c>
      <c r="W128" t="s">
        <v>45</v>
      </c>
      <c r="X128" t="s">
        <v>495</v>
      </c>
      <c r="Y128" t="s">
        <v>50</v>
      </c>
      <c r="Z128" s="10">
        <f t="shared" si="11"/>
        <v>10.6</v>
      </c>
      <c r="AA128" s="11">
        <v>0</v>
      </c>
      <c r="AB128" s="11">
        <v>-2</v>
      </c>
      <c r="AC128" s="11">
        <v>0</v>
      </c>
      <c r="AD128" s="11">
        <v>0</v>
      </c>
      <c r="AE128" s="11">
        <v>0</v>
      </c>
      <c r="AF128" s="11">
        <f t="shared" si="6"/>
        <v>0.51600000000000001</v>
      </c>
      <c r="AG128" s="11">
        <f t="shared" si="7"/>
        <v>9.1159999999999997</v>
      </c>
      <c r="AH128" t="s">
        <v>51</v>
      </c>
    </row>
    <row r="129" spans="1:34" ht="15" customHeight="1" x14ac:dyDescent="0.25">
      <c r="A129">
        <v>7547676</v>
      </c>
      <c r="B129" t="s">
        <v>34</v>
      </c>
      <c r="C129" t="s">
        <v>35</v>
      </c>
      <c r="D129" s="6" t="s">
        <v>34</v>
      </c>
      <c r="E129" t="s">
        <v>496</v>
      </c>
      <c r="F129" t="s">
        <v>37</v>
      </c>
      <c r="G129" t="s">
        <v>38</v>
      </c>
      <c r="H129" t="s">
        <v>497</v>
      </c>
      <c r="I129" t="s">
        <v>40</v>
      </c>
      <c r="J129">
        <v>2</v>
      </c>
      <c r="K129" t="s">
        <v>41</v>
      </c>
      <c r="L129" t="s">
        <v>42</v>
      </c>
      <c r="M129" t="s">
        <v>43</v>
      </c>
      <c r="N129" s="7">
        <v>1</v>
      </c>
      <c r="O129" s="8">
        <v>45521.592268518521</v>
      </c>
      <c r="P129" s="9">
        <v>45522</v>
      </c>
      <c r="Q129" t="s">
        <v>44</v>
      </c>
      <c r="R129" t="s">
        <v>45</v>
      </c>
      <c r="S129" t="s">
        <v>46</v>
      </c>
      <c r="T129" t="s">
        <v>92</v>
      </c>
      <c r="U129" t="s">
        <v>498</v>
      </c>
      <c r="V129">
        <v>43650</v>
      </c>
      <c r="W129" t="s">
        <v>45</v>
      </c>
      <c r="X129" t="s">
        <v>232</v>
      </c>
      <c r="Y129" t="s">
        <v>50</v>
      </c>
      <c r="Z129" s="10">
        <f t="shared" si="11"/>
        <v>9</v>
      </c>
      <c r="AA129" s="11">
        <v>0</v>
      </c>
      <c r="AB129" s="11">
        <v>-2</v>
      </c>
      <c r="AC129" s="11">
        <v>0</v>
      </c>
      <c r="AD129" s="11">
        <v>0</v>
      </c>
      <c r="AE129" s="11">
        <v>0</v>
      </c>
      <c r="AF129" s="11">
        <f t="shared" si="6"/>
        <v>0.42</v>
      </c>
      <c r="AG129" s="11">
        <f t="shared" si="7"/>
        <v>7.42</v>
      </c>
      <c r="AH129" t="s">
        <v>51</v>
      </c>
    </row>
    <row r="130" spans="1:34" ht="15" customHeight="1" x14ac:dyDescent="0.25">
      <c r="A130">
        <v>7547676</v>
      </c>
      <c r="B130" t="s">
        <v>34</v>
      </c>
      <c r="C130" t="s">
        <v>35</v>
      </c>
      <c r="D130" s="6" t="s">
        <v>34</v>
      </c>
      <c r="E130" t="s">
        <v>499</v>
      </c>
      <c r="F130" t="s">
        <v>37</v>
      </c>
      <c r="G130" t="s">
        <v>38</v>
      </c>
      <c r="H130" t="s">
        <v>500</v>
      </c>
      <c r="I130" t="s">
        <v>40</v>
      </c>
      <c r="J130">
        <v>2</v>
      </c>
      <c r="K130" t="s">
        <v>41</v>
      </c>
      <c r="L130" t="s">
        <v>42</v>
      </c>
      <c r="M130" t="s">
        <v>43</v>
      </c>
      <c r="N130" s="7">
        <v>1</v>
      </c>
      <c r="O130" s="8">
        <v>45522.535752314812</v>
      </c>
      <c r="P130" s="9">
        <v>45523</v>
      </c>
      <c r="Q130" t="s">
        <v>44</v>
      </c>
      <c r="R130" t="s">
        <v>45</v>
      </c>
      <c r="S130" t="s">
        <v>46</v>
      </c>
      <c r="T130" t="s">
        <v>72</v>
      </c>
      <c r="U130" t="s">
        <v>501</v>
      </c>
      <c r="V130">
        <v>20050</v>
      </c>
      <c r="W130" t="s">
        <v>45</v>
      </c>
      <c r="X130" t="s">
        <v>139</v>
      </c>
      <c r="Y130" t="s">
        <v>50</v>
      </c>
      <c r="Z130" s="10">
        <f t="shared" si="11"/>
        <v>9</v>
      </c>
      <c r="AA130" s="11">
        <v>0</v>
      </c>
      <c r="AB130" s="11">
        <v>-2</v>
      </c>
      <c r="AC130" s="11">
        <v>0</v>
      </c>
      <c r="AD130" s="11">
        <v>0</v>
      </c>
      <c r="AE130" s="11">
        <v>0</v>
      </c>
      <c r="AF130" s="11">
        <f t="shared" ref="AF130:AF193" si="12">(Z130+AB130+AC130+AE130)*6%</f>
        <v>0.42</v>
      </c>
      <c r="AG130" s="11">
        <f t="shared" ref="AG130:AG193" si="13">Z130+AB130+AC130+AE130+AF130</f>
        <v>7.42</v>
      </c>
      <c r="AH130" t="s">
        <v>51</v>
      </c>
    </row>
    <row r="131" spans="1:34" ht="15" customHeight="1" x14ac:dyDescent="0.25">
      <c r="A131">
        <v>7547676</v>
      </c>
      <c r="B131" t="s">
        <v>34</v>
      </c>
      <c r="C131" t="s">
        <v>35</v>
      </c>
      <c r="D131" s="6" t="s">
        <v>34</v>
      </c>
      <c r="E131" t="s">
        <v>502</v>
      </c>
      <c r="F131" t="s">
        <v>37</v>
      </c>
      <c r="G131" t="s">
        <v>38</v>
      </c>
      <c r="H131" t="s">
        <v>503</v>
      </c>
      <c r="I131" t="s">
        <v>40</v>
      </c>
      <c r="J131">
        <v>2</v>
      </c>
      <c r="K131" t="s">
        <v>41</v>
      </c>
      <c r="L131" t="s">
        <v>42</v>
      </c>
      <c r="M131" t="s">
        <v>43</v>
      </c>
      <c r="N131" s="7">
        <v>1</v>
      </c>
      <c r="O131" s="8">
        <v>45522.590671296297</v>
      </c>
      <c r="P131" s="9">
        <v>45523</v>
      </c>
      <c r="Q131" t="s">
        <v>44</v>
      </c>
      <c r="R131" t="s">
        <v>45</v>
      </c>
      <c r="S131" t="s">
        <v>46</v>
      </c>
      <c r="T131" t="s">
        <v>146</v>
      </c>
      <c r="U131" t="s">
        <v>504</v>
      </c>
      <c r="V131">
        <v>50586</v>
      </c>
      <c r="W131" t="s">
        <v>45</v>
      </c>
      <c r="X131" t="s">
        <v>505</v>
      </c>
      <c r="Y131" t="s">
        <v>50</v>
      </c>
      <c r="Z131" s="10">
        <f t="shared" si="11"/>
        <v>9</v>
      </c>
      <c r="AA131" s="11">
        <v>0</v>
      </c>
      <c r="AB131" s="11">
        <v>-2</v>
      </c>
      <c r="AC131" s="11">
        <v>0</v>
      </c>
      <c r="AD131" s="11">
        <v>0</v>
      </c>
      <c r="AE131" s="11">
        <v>0</v>
      </c>
      <c r="AF131" s="11">
        <f t="shared" si="12"/>
        <v>0.42</v>
      </c>
      <c r="AG131" s="11">
        <f t="shared" si="13"/>
        <v>7.42</v>
      </c>
      <c r="AH131" t="s">
        <v>51</v>
      </c>
    </row>
    <row r="132" spans="1:34" ht="15" customHeight="1" x14ac:dyDescent="0.25">
      <c r="A132">
        <v>7547676</v>
      </c>
      <c r="B132" t="s">
        <v>34</v>
      </c>
      <c r="C132" t="s">
        <v>35</v>
      </c>
      <c r="D132" s="6" t="s">
        <v>34</v>
      </c>
      <c r="E132" t="s">
        <v>506</v>
      </c>
      <c r="F132" t="s">
        <v>37</v>
      </c>
      <c r="G132" t="s">
        <v>38</v>
      </c>
      <c r="H132" t="s">
        <v>507</v>
      </c>
      <c r="I132" t="s">
        <v>40</v>
      </c>
      <c r="J132">
        <v>2</v>
      </c>
      <c r="K132" t="s">
        <v>41</v>
      </c>
      <c r="L132" t="s">
        <v>42</v>
      </c>
      <c r="M132" t="s">
        <v>43</v>
      </c>
      <c r="N132" s="7">
        <v>1</v>
      </c>
      <c r="O132" s="8">
        <v>45521.822800925926</v>
      </c>
      <c r="P132" s="9">
        <v>45523</v>
      </c>
      <c r="Q132" t="s">
        <v>44</v>
      </c>
      <c r="R132" t="s">
        <v>45</v>
      </c>
      <c r="S132" t="s">
        <v>46</v>
      </c>
      <c r="T132" t="s">
        <v>84</v>
      </c>
      <c r="U132" t="s">
        <v>508</v>
      </c>
      <c r="V132">
        <v>18300</v>
      </c>
      <c r="W132" t="s">
        <v>45</v>
      </c>
      <c r="X132" t="s">
        <v>74</v>
      </c>
      <c r="Y132" t="s">
        <v>50</v>
      </c>
      <c r="Z132" s="10">
        <f t="shared" si="11"/>
        <v>9</v>
      </c>
      <c r="AA132" s="11">
        <v>0</v>
      </c>
      <c r="AB132" s="11">
        <v>-2</v>
      </c>
      <c r="AC132" s="11">
        <v>0</v>
      </c>
      <c r="AD132" s="11">
        <v>0</v>
      </c>
      <c r="AE132" s="11">
        <v>0</v>
      </c>
      <c r="AF132" s="11">
        <f t="shared" si="12"/>
        <v>0.42</v>
      </c>
      <c r="AG132" s="11">
        <f t="shared" si="13"/>
        <v>7.42</v>
      </c>
      <c r="AH132" t="s">
        <v>51</v>
      </c>
    </row>
    <row r="133" spans="1:34" ht="15" customHeight="1" x14ac:dyDescent="0.25">
      <c r="A133">
        <v>7547676</v>
      </c>
      <c r="B133" t="s">
        <v>34</v>
      </c>
      <c r="C133" t="s">
        <v>35</v>
      </c>
      <c r="D133" s="6" t="s">
        <v>34</v>
      </c>
      <c r="E133" t="s">
        <v>509</v>
      </c>
      <c r="F133" t="s">
        <v>37</v>
      </c>
      <c r="G133" t="s">
        <v>38</v>
      </c>
      <c r="H133" t="s">
        <v>510</v>
      </c>
      <c r="I133" t="s">
        <v>40</v>
      </c>
      <c r="J133">
        <v>2</v>
      </c>
      <c r="K133" t="s">
        <v>41</v>
      </c>
      <c r="L133" t="s">
        <v>42</v>
      </c>
      <c r="M133" t="s">
        <v>43</v>
      </c>
      <c r="N133" s="7">
        <v>1</v>
      </c>
      <c r="O133" s="8">
        <v>45521.641064814816</v>
      </c>
      <c r="P133" s="9">
        <v>45523</v>
      </c>
      <c r="Q133" t="s">
        <v>44</v>
      </c>
      <c r="R133" t="s">
        <v>45</v>
      </c>
      <c r="S133" t="s">
        <v>46</v>
      </c>
      <c r="T133" t="s">
        <v>92</v>
      </c>
      <c r="U133" t="s">
        <v>511</v>
      </c>
      <c r="V133">
        <v>41050</v>
      </c>
      <c r="W133" t="s">
        <v>45</v>
      </c>
      <c r="X133" t="s">
        <v>512</v>
      </c>
      <c r="Y133" t="s">
        <v>50</v>
      </c>
      <c r="Z133" s="10">
        <f t="shared" si="11"/>
        <v>9</v>
      </c>
      <c r="AA133" s="11">
        <v>0</v>
      </c>
      <c r="AB133" s="11">
        <v>-2</v>
      </c>
      <c r="AC133" s="11">
        <v>0</v>
      </c>
      <c r="AD133" s="11">
        <v>0</v>
      </c>
      <c r="AE133" s="11">
        <v>0</v>
      </c>
      <c r="AF133" s="11">
        <f t="shared" si="12"/>
        <v>0.42</v>
      </c>
      <c r="AG133" s="11">
        <f t="shared" si="13"/>
        <v>7.42</v>
      </c>
      <c r="AH133" t="s">
        <v>51</v>
      </c>
    </row>
    <row r="134" spans="1:34" ht="15" customHeight="1" x14ac:dyDescent="0.25">
      <c r="A134">
        <v>7547676</v>
      </c>
      <c r="B134" t="s">
        <v>34</v>
      </c>
      <c r="C134" t="s">
        <v>35</v>
      </c>
      <c r="D134" s="6" t="s">
        <v>34</v>
      </c>
      <c r="E134" t="s">
        <v>513</v>
      </c>
      <c r="F134" t="s">
        <v>37</v>
      </c>
      <c r="G134" t="s">
        <v>38</v>
      </c>
      <c r="H134" t="s">
        <v>514</v>
      </c>
      <c r="I134" t="s">
        <v>40</v>
      </c>
      <c r="J134">
        <v>2</v>
      </c>
      <c r="K134" t="s">
        <v>41</v>
      </c>
      <c r="L134" t="s">
        <v>42</v>
      </c>
      <c r="M134" t="s">
        <v>43</v>
      </c>
      <c r="N134" s="7">
        <v>1</v>
      </c>
      <c r="O134" s="8">
        <v>45522.587407407409</v>
      </c>
      <c r="P134" s="9">
        <v>45523</v>
      </c>
      <c r="Q134" t="s">
        <v>44</v>
      </c>
      <c r="R134" t="s">
        <v>45</v>
      </c>
      <c r="S134" t="s">
        <v>46</v>
      </c>
      <c r="T134" t="s">
        <v>92</v>
      </c>
      <c r="U134" t="s">
        <v>515</v>
      </c>
      <c r="V134">
        <v>42200</v>
      </c>
      <c r="W134" t="s">
        <v>45</v>
      </c>
      <c r="X134" t="s">
        <v>512</v>
      </c>
      <c r="Y134" t="s">
        <v>50</v>
      </c>
      <c r="Z134" s="10">
        <f t="shared" si="11"/>
        <v>9</v>
      </c>
      <c r="AA134" s="11">
        <v>0</v>
      </c>
      <c r="AB134" s="11">
        <v>-2</v>
      </c>
      <c r="AC134" s="11">
        <v>0</v>
      </c>
      <c r="AD134" s="11">
        <v>0</v>
      </c>
      <c r="AE134" s="11">
        <v>0</v>
      </c>
      <c r="AF134" s="11">
        <f t="shared" si="12"/>
        <v>0.42</v>
      </c>
      <c r="AG134" s="11">
        <f t="shared" si="13"/>
        <v>7.42</v>
      </c>
      <c r="AH134" t="s">
        <v>51</v>
      </c>
    </row>
    <row r="135" spans="1:34" ht="15" customHeight="1" x14ac:dyDescent="0.25">
      <c r="A135">
        <v>7547676</v>
      </c>
      <c r="B135" t="s">
        <v>34</v>
      </c>
      <c r="C135" t="s">
        <v>35</v>
      </c>
      <c r="D135" s="6" t="s">
        <v>34</v>
      </c>
      <c r="E135" t="s">
        <v>516</v>
      </c>
      <c r="F135" t="s">
        <v>37</v>
      </c>
      <c r="G135" t="s">
        <v>38</v>
      </c>
      <c r="H135" t="s">
        <v>102</v>
      </c>
      <c r="I135" t="s">
        <v>40</v>
      </c>
      <c r="J135">
        <v>2</v>
      </c>
      <c r="K135" t="s">
        <v>41</v>
      </c>
      <c r="L135" t="s">
        <v>42</v>
      </c>
      <c r="M135" t="s">
        <v>43</v>
      </c>
      <c r="N135" s="7">
        <v>2</v>
      </c>
      <c r="O135" s="8">
        <v>45522.578275462962</v>
      </c>
      <c r="P135" s="9">
        <v>45523</v>
      </c>
      <c r="Q135" t="s">
        <v>44</v>
      </c>
      <c r="R135" t="s">
        <v>45</v>
      </c>
      <c r="S135" t="s">
        <v>46</v>
      </c>
      <c r="T135" t="s">
        <v>92</v>
      </c>
      <c r="U135" t="s">
        <v>103</v>
      </c>
      <c r="V135">
        <v>40000</v>
      </c>
      <c r="W135" t="s">
        <v>45</v>
      </c>
      <c r="X135" t="s">
        <v>69</v>
      </c>
      <c r="Y135" t="s">
        <v>50</v>
      </c>
      <c r="Z135" s="10">
        <f t="shared" si="11"/>
        <v>9.8000000000000007</v>
      </c>
      <c r="AA135" s="11">
        <v>0</v>
      </c>
      <c r="AB135" s="11">
        <v>-2</v>
      </c>
      <c r="AC135" s="11">
        <v>0</v>
      </c>
      <c r="AD135" s="11">
        <v>0</v>
      </c>
      <c r="AE135" s="11">
        <v>0</v>
      </c>
      <c r="AF135" s="11">
        <f t="shared" si="12"/>
        <v>0.46800000000000003</v>
      </c>
      <c r="AG135" s="11">
        <f t="shared" si="13"/>
        <v>8.2680000000000007</v>
      </c>
      <c r="AH135" t="s">
        <v>51</v>
      </c>
    </row>
    <row r="136" spans="1:34" ht="15" customHeight="1" x14ac:dyDescent="0.25">
      <c r="A136">
        <v>7547676</v>
      </c>
      <c r="B136" t="s">
        <v>34</v>
      </c>
      <c r="C136" t="s">
        <v>35</v>
      </c>
      <c r="D136" s="6" t="s">
        <v>34</v>
      </c>
      <c r="E136" t="s">
        <v>517</v>
      </c>
      <c r="F136" t="s">
        <v>37</v>
      </c>
      <c r="G136" t="s">
        <v>38</v>
      </c>
      <c r="H136" t="s">
        <v>518</v>
      </c>
      <c r="I136" t="s">
        <v>40</v>
      </c>
      <c r="J136">
        <v>2</v>
      </c>
      <c r="K136" t="s">
        <v>41</v>
      </c>
      <c r="L136" t="s">
        <v>42</v>
      </c>
      <c r="M136" t="s">
        <v>43</v>
      </c>
      <c r="N136" s="7">
        <v>1</v>
      </c>
      <c r="O136" s="8">
        <v>45521.684687499997</v>
      </c>
      <c r="P136" s="9">
        <v>45523</v>
      </c>
      <c r="Q136" t="s">
        <v>44</v>
      </c>
      <c r="R136" t="s">
        <v>45</v>
      </c>
      <c r="S136" t="s">
        <v>46</v>
      </c>
      <c r="T136" t="s">
        <v>92</v>
      </c>
      <c r="U136" t="s">
        <v>519</v>
      </c>
      <c r="V136">
        <v>47000</v>
      </c>
      <c r="W136" t="s">
        <v>45</v>
      </c>
      <c r="X136" t="s">
        <v>520</v>
      </c>
      <c r="Y136" t="s">
        <v>50</v>
      </c>
      <c r="Z136" s="10">
        <f t="shared" si="11"/>
        <v>9</v>
      </c>
      <c r="AA136" s="11">
        <v>0</v>
      </c>
      <c r="AB136" s="11">
        <v>-2</v>
      </c>
      <c r="AC136" s="11">
        <v>0</v>
      </c>
      <c r="AD136" s="11">
        <v>0</v>
      </c>
      <c r="AE136" s="11">
        <v>0</v>
      </c>
      <c r="AF136" s="11">
        <f t="shared" si="12"/>
        <v>0.42</v>
      </c>
      <c r="AG136" s="11">
        <f t="shared" si="13"/>
        <v>7.42</v>
      </c>
      <c r="AH136" t="s">
        <v>51</v>
      </c>
    </row>
    <row r="137" spans="1:34" ht="15" customHeight="1" x14ac:dyDescent="0.25">
      <c r="A137">
        <v>7547676</v>
      </c>
      <c r="B137" t="s">
        <v>34</v>
      </c>
      <c r="C137" t="s">
        <v>35</v>
      </c>
      <c r="D137" s="6" t="s">
        <v>34</v>
      </c>
      <c r="E137" t="s">
        <v>521</v>
      </c>
      <c r="F137" t="s">
        <v>37</v>
      </c>
      <c r="G137" t="s">
        <v>38</v>
      </c>
      <c r="H137" t="s">
        <v>522</v>
      </c>
      <c r="I137" t="s">
        <v>40</v>
      </c>
      <c r="J137">
        <v>2</v>
      </c>
      <c r="K137" t="s">
        <v>41</v>
      </c>
      <c r="L137" t="s">
        <v>42</v>
      </c>
      <c r="M137" t="s">
        <v>43</v>
      </c>
      <c r="N137" s="7">
        <v>12</v>
      </c>
      <c r="O137" s="8">
        <v>45522.64607638889</v>
      </c>
      <c r="P137" s="9">
        <v>45523</v>
      </c>
      <c r="Q137" t="s">
        <v>44</v>
      </c>
      <c r="R137" t="s">
        <v>45</v>
      </c>
      <c r="S137" t="s">
        <v>46</v>
      </c>
      <c r="T137" t="s">
        <v>92</v>
      </c>
      <c r="U137" t="s">
        <v>523</v>
      </c>
      <c r="V137">
        <v>40150</v>
      </c>
      <c r="W137" t="s">
        <v>45</v>
      </c>
      <c r="X137" t="s">
        <v>524</v>
      </c>
      <c r="Y137" t="s">
        <v>50</v>
      </c>
      <c r="Z137" s="10">
        <f t="shared" si="11"/>
        <v>17.8</v>
      </c>
      <c r="AA137" s="11">
        <v>0</v>
      </c>
      <c r="AB137" s="11">
        <v>-2</v>
      </c>
      <c r="AC137" s="11">
        <v>0</v>
      </c>
      <c r="AD137" s="11">
        <v>0</v>
      </c>
      <c r="AE137" s="11">
        <v>0</v>
      </c>
      <c r="AF137" s="11">
        <f t="shared" si="12"/>
        <v>0.94799999999999995</v>
      </c>
      <c r="AG137" s="11">
        <f t="shared" si="13"/>
        <v>16.748000000000001</v>
      </c>
      <c r="AH137" t="s">
        <v>51</v>
      </c>
    </row>
    <row r="138" spans="1:34" ht="15" customHeight="1" x14ac:dyDescent="0.25">
      <c r="A138">
        <v>7547676</v>
      </c>
      <c r="B138" t="s">
        <v>34</v>
      </c>
      <c r="C138" t="s">
        <v>35</v>
      </c>
      <c r="D138" s="6" t="s">
        <v>34</v>
      </c>
      <c r="E138" t="s">
        <v>525</v>
      </c>
      <c r="F138" t="s">
        <v>37</v>
      </c>
      <c r="G138" t="s">
        <v>38</v>
      </c>
      <c r="H138" t="s">
        <v>526</v>
      </c>
      <c r="I138" t="s">
        <v>40</v>
      </c>
      <c r="J138">
        <v>2</v>
      </c>
      <c r="K138" t="s">
        <v>41</v>
      </c>
      <c r="L138" t="s">
        <v>42</v>
      </c>
      <c r="M138" t="s">
        <v>43</v>
      </c>
      <c r="N138" s="7">
        <v>1</v>
      </c>
      <c r="O138" s="8">
        <v>45521.72865740741</v>
      </c>
      <c r="P138" s="9">
        <v>45523</v>
      </c>
      <c r="Q138" t="s">
        <v>44</v>
      </c>
      <c r="R138" t="s">
        <v>45</v>
      </c>
      <c r="S138" t="s">
        <v>46</v>
      </c>
      <c r="T138" t="s">
        <v>92</v>
      </c>
      <c r="U138" t="s">
        <v>527</v>
      </c>
      <c r="V138">
        <v>45800</v>
      </c>
      <c r="W138" t="s">
        <v>45</v>
      </c>
      <c r="X138" t="s">
        <v>416</v>
      </c>
      <c r="Y138" t="s">
        <v>50</v>
      </c>
      <c r="Z138" s="10">
        <f t="shared" si="11"/>
        <v>9</v>
      </c>
      <c r="AA138" s="11">
        <v>0</v>
      </c>
      <c r="AB138" s="11">
        <v>-2</v>
      </c>
      <c r="AC138" s="11">
        <v>0</v>
      </c>
      <c r="AD138" s="11">
        <v>0</v>
      </c>
      <c r="AE138" s="11">
        <v>0</v>
      </c>
      <c r="AF138" s="11">
        <f t="shared" si="12"/>
        <v>0.42</v>
      </c>
      <c r="AG138" s="11">
        <f t="shared" si="13"/>
        <v>7.42</v>
      </c>
      <c r="AH138" t="s">
        <v>51</v>
      </c>
    </row>
    <row r="139" spans="1:34" ht="15" customHeight="1" x14ac:dyDescent="0.25">
      <c r="A139">
        <v>7547676</v>
      </c>
      <c r="B139" t="s">
        <v>34</v>
      </c>
      <c r="C139" t="s">
        <v>35</v>
      </c>
      <c r="D139" s="6" t="s">
        <v>34</v>
      </c>
      <c r="E139" t="s">
        <v>528</v>
      </c>
      <c r="F139" t="s">
        <v>37</v>
      </c>
      <c r="G139" t="s">
        <v>38</v>
      </c>
      <c r="H139" t="s">
        <v>529</v>
      </c>
      <c r="I139" t="s">
        <v>40</v>
      </c>
      <c r="J139">
        <v>2</v>
      </c>
      <c r="K139" t="s">
        <v>41</v>
      </c>
      <c r="L139" t="s">
        <v>42</v>
      </c>
      <c r="M139" t="s">
        <v>43</v>
      </c>
      <c r="N139" s="7">
        <v>1</v>
      </c>
      <c r="O139" s="8">
        <v>45522.722453703704</v>
      </c>
      <c r="P139" s="9">
        <v>45523</v>
      </c>
      <c r="Q139" t="s">
        <v>44</v>
      </c>
      <c r="R139" t="s">
        <v>45</v>
      </c>
      <c r="S139" t="s">
        <v>46</v>
      </c>
      <c r="T139" t="s">
        <v>92</v>
      </c>
      <c r="U139" t="s">
        <v>530</v>
      </c>
      <c r="V139">
        <v>43300</v>
      </c>
      <c r="W139" t="s">
        <v>45</v>
      </c>
      <c r="X139" t="s">
        <v>69</v>
      </c>
      <c r="Y139" t="s">
        <v>50</v>
      </c>
      <c r="Z139" s="10">
        <f t="shared" si="11"/>
        <v>9</v>
      </c>
      <c r="AA139" s="11">
        <v>0</v>
      </c>
      <c r="AB139" s="11">
        <v>-2</v>
      </c>
      <c r="AC139" s="11">
        <v>0</v>
      </c>
      <c r="AD139" s="11">
        <v>0</v>
      </c>
      <c r="AE139" s="11">
        <v>0</v>
      </c>
      <c r="AF139" s="11">
        <f t="shared" si="12"/>
        <v>0.42</v>
      </c>
      <c r="AG139" s="11">
        <f t="shared" si="13"/>
        <v>7.42</v>
      </c>
      <c r="AH139" t="s">
        <v>51</v>
      </c>
    </row>
    <row r="140" spans="1:34" ht="15" customHeight="1" x14ac:dyDescent="0.25">
      <c r="A140">
        <v>7547676</v>
      </c>
      <c r="B140" t="s">
        <v>34</v>
      </c>
      <c r="C140" t="s">
        <v>35</v>
      </c>
      <c r="D140" s="6" t="s">
        <v>34</v>
      </c>
      <c r="E140" t="s">
        <v>531</v>
      </c>
      <c r="F140" t="s">
        <v>37</v>
      </c>
      <c r="G140" t="s">
        <v>38</v>
      </c>
      <c r="H140" t="s">
        <v>532</v>
      </c>
      <c r="I140" t="s">
        <v>40</v>
      </c>
      <c r="J140">
        <v>2</v>
      </c>
      <c r="K140" t="s">
        <v>41</v>
      </c>
      <c r="L140" t="s">
        <v>42</v>
      </c>
      <c r="M140" t="s">
        <v>43</v>
      </c>
      <c r="N140" s="7">
        <v>1</v>
      </c>
      <c r="O140" s="8">
        <v>45521.708761574075</v>
      </c>
      <c r="P140" s="9">
        <v>45523</v>
      </c>
      <c r="Q140" t="s">
        <v>44</v>
      </c>
      <c r="R140" t="s">
        <v>45</v>
      </c>
      <c r="S140" t="s">
        <v>46</v>
      </c>
      <c r="T140" t="s">
        <v>59</v>
      </c>
      <c r="U140" t="s">
        <v>533</v>
      </c>
      <c r="V140">
        <v>11900</v>
      </c>
      <c r="W140" t="s">
        <v>45</v>
      </c>
      <c r="X140" t="s">
        <v>69</v>
      </c>
      <c r="Y140" t="s">
        <v>50</v>
      </c>
      <c r="Z140" s="10">
        <f t="shared" si="11"/>
        <v>9</v>
      </c>
      <c r="AA140" s="11">
        <v>0</v>
      </c>
      <c r="AB140" s="11">
        <v>-2</v>
      </c>
      <c r="AC140" s="11">
        <v>0</v>
      </c>
      <c r="AD140" s="11">
        <v>0</v>
      </c>
      <c r="AE140" s="11">
        <v>0</v>
      </c>
      <c r="AF140" s="11">
        <f t="shared" si="12"/>
        <v>0.42</v>
      </c>
      <c r="AG140" s="11">
        <f t="shared" si="13"/>
        <v>7.42</v>
      </c>
      <c r="AH140" t="s">
        <v>51</v>
      </c>
    </row>
    <row r="141" spans="1:34" ht="15" customHeight="1" x14ac:dyDescent="0.25">
      <c r="A141">
        <v>7547676</v>
      </c>
      <c r="B141" t="s">
        <v>34</v>
      </c>
      <c r="C141" t="s">
        <v>35</v>
      </c>
      <c r="D141" s="6" t="s">
        <v>34</v>
      </c>
      <c r="E141" t="s">
        <v>534</v>
      </c>
      <c r="F141" t="s">
        <v>37</v>
      </c>
      <c r="G141" t="s">
        <v>38</v>
      </c>
      <c r="H141" t="s">
        <v>535</v>
      </c>
      <c r="I141" t="s">
        <v>40</v>
      </c>
      <c r="J141">
        <v>2</v>
      </c>
      <c r="K141" t="s">
        <v>41</v>
      </c>
      <c r="L141" t="s">
        <v>42</v>
      </c>
      <c r="M141" t="s">
        <v>43</v>
      </c>
      <c r="N141" s="7">
        <v>1</v>
      </c>
      <c r="O141" s="8">
        <v>45522.57980324074</v>
      </c>
      <c r="P141" s="9">
        <v>45523</v>
      </c>
      <c r="Q141" t="s">
        <v>44</v>
      </c>
      <c r="R141" t="s">
        <v>45</v>
      </c>
      <c r="S141" t="s">
        <v>46</v>
      </c>
      <c r="T141" t="s">
        <v>84</v>
      </c>
      <c r="U141" t="s">
        <v>536</v>
      </c>
      <c r="V141">
        <v>17200</v>
      </c>
      <c r="W141" t="s">
        <v>45</v>
      </c>
      <c r="X141" t="s">
        <v>74</v>
      </c>
      <c r="Y141" t="s">
        <v>50</v>
      </c>
      <c r="Z141" s="10">
        <f t="shared" si="11"/>
        <v>9</v>
      </c>
      <c r="AA141" s="11">
        <v>0</v>
      </c>
      <c r="AB141" s="11">
        <v>-2</v>
      </c>
      <c r="AC141" s="11">
        <v>0</v>
      </c>
      <c r="AD141" s="11">
        <v>0</v>
      </c>
      <c r="AE141" s="11">
        <v>0</v>
      </c>
      <c r="AF141" s="11">
        <f t="shared" si="12"/>
        <v>0.42</v>
      </c>
      <c r="AG141" s="11">
        <f t="shared" si="13"/>
        <v>7.42</v>
      </c>
      <c r="AH141" t="s">
        <v>51</v>
      </c>
    </row>
    <row r="142" spans="1:34" ht="15" customHeight="1" x14ac:dyDescent="0.25">
      <c r="A142">
        <v>7547676</v>
      </c>
      <c r="B142" t="s">
        <v>34</v>
      </c>
      <c r="C142" t="s">
        <v>35</v>
      </c>
      <c r="D142" s="6" t="s">
        <v>34</v>
      </c>
      <c r="E142" t="s">
        <v>537</v>
      </c>
      <c r="F142" t="s">
        <v>37</v>
      </c>
      <c r="G142" t="s">
        <v>38</v>
      </c>
      <c r="H142" t="s">
        <v>538</v>
      </c>
      <c r="I142" t="s">
        <v>40</v>
      </c>
      <c r="J142">
        <v>2</v>
      </c>
      <c r="K142" t="s">
        <v>41</v>
      </c>
      <c r="L142" t="s">
        <v>42</v>
      </c>
      <c r="M142" t="s">
        <v>43</v>
      </c>
      <c r="N142" s="7">
        <v>1</v>
      </c>
      <c r="O142" s="8">
        <v>45521.822800925926</v>
      </c>
      <c r="P142" s="9">
        <v>45523</v>
      </c>
      <c r="Q142" t="s">
        <v>44</v>
      </c>
      <c r="R142" t="s">
        <v>45</v>
      </c>
      <c r="S142" t="s">
        <v>46</v>
      </c>
      <c r="T142" t="s">
        <v>92</v>
      </c>
      <c r="U142" t="s">
        <v>539</v>
      </c>
      <c r="V142">
        <v>47130</v>
      </c>
      <c r="W142" t="s">
        <v>45</v>
      </c>
      <c r="X142" t="s">
        <v>135</v>
      </c>
      <c r="Y142" t="s">
        <v>50</v>
      </c>
      <c r="Z142" s="10">
        <f t="shared" si="11"/>
        <v>9</v>
      </c>
      <c r="AA142" s="11">
        <v>0</v>
      </c>
      <c r="AB142" s="11">
        <v>-2</v>
      </c>
      <c r="AC142" s="11">
        <v>0</v>
      </c>
      <c r="AD142" s="11">
        <v>0</v>
      </c>
      <c r="AE142" s="11">
        <v>0</v>
      </c>
      <c r="AF142" s="11">
        <f t="shared" si="12"/>
        <v>0.42</v>
      </c>
      <c r="AG142" s="11">
        <f t="shared" si="13"/>
        <v>7.42</v>
      </c>
      <c r="AH142" t="s">
        <v>51</v>
      </c>
    </row>
    <row r="143" spans="1:34" ht="15" customHeight="1" x14ac:dyDescent="0.25">
      <c r="A143">
        <v>7547676</v>
      </c>
      <c r="B143" t="s">
        <v>34</v>
      </c>
      <c r="C143" t="s">
        <v>35</v>
      </c>
      <c r="D143" s="6" t="s">
        <v>34</v>
      </c>
      <c r="E143" t="s">
        <v>540</v>
      </c>
      <c r="F143" t="s">
        <v>37</v>
      </c>
      <c r="G143" t="s">
        <v>38</v>
      </c>
      <c r="H143" t="s">
        <v>541</v>
      </c>
      <c r="I143" t="s">
        <v>40</v>
      </c>
      <c r="J143">
        <v>2</v>
      </c>
      <c r="K143" t="s">
        <v>41</v>
      </c>
      <c r="L143" t="s">
        <v>42</v>
      </c>
      <c r="M143" t="s">
        <v>43</v>
      </c>
      <c r="N143" s="7">
        <v>1</v>
      </c>
      <c r="O143" s="8">
        <v>45522.498263888891</v>
      </c>
      <c r="P143" s="9">
        <v>45523</v>
      </c>
      <c r="Q143" t="s">
        <v>44</v>
      </c>
      <c r="R143" t="s">
        <v>45</v>
      </c>
      <c r="S143" t="s">
        <v>46</v>
      </c>
      <c r="T143" t="s">
        <v>72</v>
      </c>
      <c r="U143" t="s">
        <v>542</v>
      </c>
      <c r="V143">
        <v>22300</v>
      </c>
      <c r="W143" t="s">
        <v>45</v>
      </c>
      <c r="X143" t="s">
        <v>74</v>
      </c>
      <c r="Y143" t="s">
        <v>50</v>
      </c>
      <c r="Z143" s="10">
        <f t="shared" si="11"/>
        <v>9</v>
      </c>
      <c r="AA143" s="11">
        <v>0</v>
      </c>
      <c r="AB143" s="11">
        <v>-2</v>
      </c>
      <c r="AC143" s="11">
        <v>0</v>
      </c>
      <c r="AD143" s="11">
        <v>0</v>
      </c>
      <c r="AE143" s="11">
        <v>0</v>
      </c>
      <c r="AF143" s="11">
        <f t="shared" si="12"/>
        <v>0.42</v>
      </c>
      <c r="AG143" s="11">
        <f t="shared" si="13"/>
        <v>7.42</v>
      </c>
      <c r="AH143" t="s">
        <v>51</v>
      </c>
    </row>
    <row r="144" spans="1:34" ht="15" customHeight="1" x14ac:dyDescent="0.25">
      <c r="A144">
        <v>7547676</v>
      </c>
      <c r="B144" t="s">
        <v>34</v>
      </c>
      <c r="C144" t="s">
        <v>35</v>
      </c>
      <c r="D144" s="6" t="s">
        <v>34</v>
      </c>
      <c r="E144" t="s">
        <v>543</v>
      </c>
      <c r="F144" t="s">
        <v>37</v>
      </c>
      <c r="G144" t="s">
        <v>38</v>
      </c>
      <c r="H144" t="s">
        <v>544</v>
      </c>
      <c r="I144" t="s">
        <v>40</v>
      </c>
      <c r="J144">
        <v>2</v>
      </c>
      <c r="K144" t="s">
        <v>41</v>
      </c>
      <c r="L144" t="s">
        <v>42</v>
      </c>
      <c r="M144" t="s">
        <v>43</v>
      </c>
      <c r="N144" s="7">
        <v>1</v>
      </c>
      <c r="O144" s="8">
        <v>45522.719849537039</v>
      </c>
      <c r="P144" s="9">
        <v>45523</v>
      </c>
      <c r="Q144" t="s">
        <v>44</v>
      </c>
      <c r="R144" t="s">
        <v>45</v>
      </c>
      <c r="S144" t="s">
        <v>46</v>
      </c>
      <c r="T144" t="s">
        <v>223</v>
      </c>
      <c r="U144" t="s">
        <v>545</v>
      </c>
      <c r="V144">
        <v>27050</v>
      </c>
      <c r="W144" t="s">
        <v>45</v>
      </c>
      <c r="X144" t="s">
        <v>225</v>
      </c>
      <c r="Y144" t="s">
        <v>50</v>
      </c>
      <c r="Z144" s="10">
        <f t="shared" si="11"/>
        <v>9</v>
      </c>
      <c r="AA144" s="11">
        <v>0</v>
      </c>
      <c r="AB144" s="11">
        <v>-2</v>
      </c>
      <c r="AC144" s="11">
        <v>0</v>
      </c>
      <c r="AD144" s="11">
        <v>0</v>
      </c>
      <c r="AE144" s="11">
        <v>0</v>
      </c>
      <c r="AF144" s="11">
        <f t="shared" si="12"/>
        <v>0.42</v>
      </c>
      <c r="AG144" s="11">
        <f t="shared" si="13"/>
        <v>7.42</v>
      </c>
      <c r="AH144" t="s">
        <v>51</v>
      </c>
    </row>
    <row r="145" spans="1:34" ht="15" customHeight="1" x14ac:dyDescent="0.25">
      <c r="A145">
        <v>7547676</v>
      </c>
      <c r="B145" t="s">
        <v>34</v>
      </c>
      <c r="C145" t="s">
        <v>35</v>
      </c>
      <c r="D145" s="6" t="s">
        <v>34</v>
      </c>
      <c r="E145" t="s">
        <v>546</v>
      </c>
      <c r="F145" t="s">
        <v>37</v>
      </c>
      <c r="G145" t="s">
        <v>38</v>
      </c>
      <c r="H145" t="s">
        <v>454</v>
      </c>
      <c r="I145" t="s">
        <v>40</v>
      </c>
      <c r="J145">
        <v>2</v>
      </c>
      <c r="K145" t="s">
        <v>41</v>
      </c>
      <c r="L145" t="s">
        <v>42</v>
      </c>
      <c r="M145" t="s">
        <v>43</v>
      </c>
      <c r="N145" s="7">
        <v>4</v>
      </c>
      <c r="O145" s="8">
        <v>45521.704502314817</v>
      </c>
      <c r="P145" s="9">
        <v>45523</v>
      </c>
      <c r="Q145" t="s">
        <v>44</v>
      </c>
      <c r="R145" t="s">
        <v>45</v>
      </c>
      <c r="S145" t="s">
        <v>46</v>
      </c>
      <c r="T145" t="s">
        <v>54</v>
      </c>
      <c r="U145" t="s">
        <v>547</v>
      </c>
      <c r="V145">
        <v>81750</v>
      </c>
      <c r="W145" t="s">
        <v>45</v>
      </c>
      <c r="X145" t="s">
        <v>65</v>
      </c>
      <c r="Y145" t="s">
        <v>50</v>
      </c>
      <c r="Z145" s="10">
        <f t="shared" si="11"/>
        <v>11.4</v>
      </c>
      <c r="AA145" s="11">
        <v>0</v>
      </c>
      <c r="AB145" s="11">
        <v>-2</v>
      </c>
      <c r="AC145" s="11">
        <v>0</v>
      </c>
      <c r="AD145" s="11">
        <v>0</v>
      </c>
      <c r="AE145" s="11">
        <v>0</v>
      </c>
      <c r="AF145" s="11">
        <f t="shared" si="12"/>
        <v>0.56399999999999995</v>
      </c>
      <c r="AG145" s="11">
        <f t="shared" si="13"/>
        <v>9.9640000000000004</v>
      </c>
      <c r="AH145" t="s">
        <v>51</v>
      </c>
    </row>
    <row r="146" spans="1:34" ht="15" customHeight="1" x14ac:dyDescent="0.25">
      <c r="A146">
        <v>7547676</v>
      </c>
      <c r="B146" t="s">
        <v>34</v>
      </c>
      <c r="C146" t="s">
        <v>35</v>
      </c>
      <c r="D146" s="6" t="s">
        <v>34</v>
      </c>
      <c r="E146" t="s">
        <v>548</v>
      </c>
      <c r="F146" t="s">
        <v>37</v>
      </c>
      <c r="G146" t="s">
        <v>38</v>
      </c>
      <c r="H146" t="s">
        <v>549</v>
      </c>
      <c r="I146" t="s">
        <v>40</v>
      </c>
      <c r="J146">
        <v>2</v>
      </c>
      <c r="K146" t="s">
        <v>41</v>
      </c>
      <c r="L146" t="s">
        <v>42</v>
      </c>
      <c r="M146" t="s">
        <v>43</v>
      </c>
      <c r="N146" s="7">
        <v>1</v>
      </c>
      <c r="O146" s="8">
        <v>45519.69258101852</v>
      </c>
      <c r="P146" s="9">
        <v>45523</v>
      </c>
      <c r="Q146" t="s">
        <v>44</v>
      </c>
      <c r="R146" t="s">
        <v>45</v>
      </c>
      <c r="S146" t="s">
        <v>46</v>
      </c>
      <c r="T146" t="s">
        <v>116</v>
      </c>
      <c r="U146" t="s">
        <v>550</v>
      </c>
      <c r="V146">
        <v>91100</v>
      </c>
      <c r="W146" t="s">
        <v>118</v>
      </c>
      <c r="X146" t="s">
        <v>69</v>
      </c>
      <c r="Y146" t="s">
        <v>50</v>
      </c>
      <c r="Z146" s="12">
        <f>IF(N146&lt;=1,13,IF(N146&lt;=2,23,IF(N146&lt;=3,35,IF(N146&lt;=4,43,IF(N146&lt;=5,53,IF(N146&lt;=6,63,IF(N146&lt;=7,71,IF(N146&lt;=8,79,IF(N146&lt;=9,87,IF(N146&lt;=10,95,IF(N146&lt;=11,105,IF(N146&lt;=12,114,IF(N146&lt;=13,119,IF(N146&lt;=14,127,IF(N146&lt;=15,135,IF(N146&lt;=16,143,IF(N146&lt;=17,153,IF(N146&lt;=18,163,IF(N146&lt;=19,171,IF(N146&lt;=20,185,IF(N146&lt;=21,193,IF(N146&lt;=22,201,IF(N146&lt;=23,210,IF(N146&lt;=24,220,IF(N146&lt;=25,230,IF(N146&lt;=26,240,IF(N146&lt;=27,250,IF(N146&lt;=28,260,IF(N146&lt;=29,270,IF(N146&lt;=30,280,280+10*ROUNDUP(N146-30,0)))))))))))))))))))))))))))))))</f>
        <v>13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f t="shared" si="12"/>
        <v>0.78</v>
      </c>
      <c r="AG146" s="11">
        <f t="shared" si="13"/>
        <v>13.78</v>
      </c>
      <c r="AH146" t="s">
        <v>119</v>
      </c>
    </row>
    <row r="147" spans="1:34" ht="15" customHeight="1" x14ac:dyDescent="0.25">
      <c r="A147">
        <v>7547676</v>
      </c>
      <c r="B147" t="s">
        <v>34</v>
      </c>
      <c r="C147" t="s">
        <v>35</v>
      </c>
      <c r="D147" s="6" t="s">
        <v>34</v>
      </c>
      <c r="E147" t="s">
        <v>551</v>
      </c>
      <c r="F147" t="s">
        <v>37</v>
      </c>
      <c r="G147" t="s">
        <v>38</v>
      </c>
      <c r="H147" t="s">
        <v>552</v>
      </c>
      <c r="I147" t="s">
        <v>40</v>
      </c>
      <c r="J147">
        <v>2</v>
      </c>
      <c r="K147" t="s">
        <v>41</v>
      </c>
      <c r="L147" t="s">
        <v>42</v>
      </c>
      <c r="M147" t="s">
        <v>43</v>
      </c>
      <c r="N147" s="7">
        <v>1</v>
      </c>
      <c r="O147" s="8">
        <v>45523.601435185185</v>
      </c>
      <c r="P147" s="9">
        <v>45524</v>
      </c>
      <c r="Q147" t="s">
        <v>44</v>
      </c>
      <c r="R147" t="s">
        <v>45</v>
      </c>
      <c r="S147" t="s">
        <v>46</v>
      </c>
      <c r="T147" t="s">
        <v>84</v>
      </c>
      <c r="U147" t="s">
        <v>553</v>
      </c>
      <c r="V147">
        <v>16020</v>
      </c>
      <c r="W147" t="s">
        <v>45</v>
      </c>
      <c r="X147" t="s">
        <v>74</v>
      </c>
      <c r="Y147" t="s">
        <v>50</v>
      </c>
      <c r="Z147" s="10">
        <f t="shared" ref="Z147:Z154" si="14">IF(N147&lt;=1,9,9+0.8*ROUNDUP(N147-1,0))</f>
        <v>9</v>
      </c>
      <c r="AA147" s="11">
        <v>0</v>
      </c>
      <c r="AB147" s="11">
        <v>-2</v>
      </c>
      <c r="AC147" s="11">
        <v>0</v>
      </c>
      <c r="AD147" s="11">
        <v>0</v>
      </c>
      <c r="AE147" s="11">
        <v>0</v>
      </c>
      <c r="AF147" s="11">
        <f t="shared" si="12"/>
        <v>0.42</v>
      </c>
      <c r="AG147" s="11">
        <f t="shared" si="13"/>
        <v>7.42</v>
      </c>
      <c r="AH147" t="s">
        <v>51</v>
      </c>
    </row>
    <row r="148" spans="1:34" ht="15" customHeight="1" x14ac:dyDescent="0.25">
      <c r="A148">
        <v>7547676</v>
      </c>
      <c r="B148" t="s">
        <v>34</v>
      </c>
      <c r="C148" t="s">
        <v>35</v>
      </c>
      <c r="D148" s="6" t="s">
        <v>34</v>
      </c>
      <c r="E148" t="s">
        <v>554</v>
      </c>
      <c r="F148" t="s">
        <v>37</v>
      </c>
      <c r="G148" t="s">
        <v>38</v>
      </c>
      <c r="H148" t="s">
        <v>555</v>
      </c>
      <c r="I148" t="s">
        <v>40</v>
      </c>
      <c r="J148">
        <v>2</v>
      </c>
      <c r="K148" t="s">
        <v>41</v>
      </c>
      <c r="L148" t="s">
        <v>42</v>
      </c>
      <c r="M148" t="s">
        <v>43</v>
      </c>
      <c r="N148" s="7">
        <v>5</v>
      </c>
      <c r="O148" s="8">
        <v>45523.520428240743</v>
      </c>
      <c r="P148" s="9">
        <v>45524</v>
      </c>
      <c r="Q148" t="s">
        <v>44</v>
      </c>
      <c r="R148" t="s">
        <v>45</v>
      </c>
      <c r="S148" t="s">
        <v>46</v>
      </c>
      <c r="T148" t="s">
        <v>72</v>
      </c>
      <c r="U148" t="s">
        <v>556</v>
      </c>
      <c r="V148">
        <v>20050</v>
      </c>
      <c r="W148" t="s">
        <v>45</v>
      </c>
      <c r="X148" t="s">
        <v>557</v>
      </c>
      <c r="Y148" t="s">
        <v>50</v>
      </c>
      <c r="Z148" s="10">
        <f t="shared" si="14"/>
        <v>12.2</v>
      </c>
      <c r="AA148" s="11">
        <v>0</v>
      </c>
      <c r="AB148" s="11">
        <v>-2</v>
      </c>
      <c r="AC148" s="11">
        <v>0</v>
      </c>
      <c r="AD148" s="11">
        <v>0</v>
      </c>
      <c r="AE148" s="11">
        <v>0</v>
      </c>
      <c r="AF148" s="11">
        <f t="shared" si="12"/>
        <v>0.61199999999999999</v>
      </c>
      <c r="AG148" s="11">
        <f t="shared" si="13"/>
        <v>10.811999999999999</v>
      </c>
      <c r="AH148" t="s">
        <v>51</v>
      </c>
    </row>
    <row r="149" spans="1:34" ht="15" customHeight="1" x14ac:dyDescent="0.25">
      <c r="A149">
        <v>7547676</v>
      </c>
      <c r="B149" t="s">
        <v>34</v>
      </c>
      <c r="C149" t="s">
        <v>35</v>
      </c>
      <c r="D149" s="6" t="s">
        <v>34</v>
      </c>
      <c r="E149" t="s">
        <v>558</v>
      </c>
      <c r="F149" t="s">
        <v>37</v>
      </c>
      <c r="G149" t="s">
        <v>38</v>
      </c>
      <c r="H149" t="s">
        <v>559</v>
      </c>
      <c r="I149" t="s">
        <v>40</v>
      </c>
      <c r="J149">
        <v>2</v>
      </c>
      <c r="K149" t="s">
        <v>41</v>
      </c>
      <c r="L149" t="s">
        <v>42</v>
      </c>
      <c r="M149" t="s">
        <v>43</v>
      </c>
      <c r="N149" s="7">
        <v>1</v>
      </c>
      <c r="O149" s="8">
        <v>45522.722453703704</v>
      </c>
      <c r="P149" s="9">
        <v>45524</v>
      </c>
      <c r="Q149" t="s">
        <v>44</v>
      </c>
      <c r="R149" t="s">
        <v>45</v>
      </c>
      <c r="S149" t="s">
        <v>46</v>
      </c>
      <c r="T149" t="s">
        <v>151</v>
      </c>
      <c r="U149" t="s">
        <v>560</v>
      </c>
      <c r="V149">
        <v>78100</v>
      </c>
      <c r="W149" t="s">
        <v>45</v>
      </c>
      <c r="X149" t="s">
        <v>69</v>
      </c>
      <c r="Y149" t="s">
        <v>50</v>
      </c>
      <c r="Z149" s="10">
        <f t="shared" si="14"/>
        <v>9</v>
      </c>
      <c r="AA149" s="11">
        <v>0</v>
      </c>
      <c r="AB149" s="11">
        <v>-2</v>
      </c>
      <c r="AC149" s="11">
        <v>0</v>
      </c>
      <c r="AD149" s="11">
        <v>0</v>
      </c>
      <c r="AE149" s="11">
        <v>0</v>
      </c>
      <c r="AF149" s="11">
        <f t="shared" si="12"/>
        <v>0.42</v>
      </c>
      <c r="AG149" s="11">
        <f t="shared" si="13"/>
        <v>7.42</v>
      </c>
      <c r="AH149" t="s">
        <v>51</v>
      </c>
    </row>
    <row r="150" spans="1:34" ht="15" customHeight="1" x14ac:dyDescent="0.25">
      <c r="A150">
        <v>7547676</v>
      </c>
      <c r="B150" t="s">
        <v>34</v>
      </c>
      <c r="C150" t="s">
        <v>35</v>
      </c>
      <c r="D150" s="6" t="s">
        <v>34</v>
      </c>
      <c r="E150" t="s">
        <v>561</v>
      </c>
      <c r="F150" t="s">
        <v>37</v>
      </c>
      <c r="G150" t="s">
        <v>38</v>
      </c>
      <c r="H150" t="s">
        <v>562</v>
      </c>
      <c r="I150" t="s">
        <v>40</v>
      </c>
      <c r="J150">
        <v>2</v>
      </c>
      <c r="K150" t="s">
        <v>41</v>
      </c>
      <c r="L150" t="s">
        <v>42</v>
      </c>
      <c r="M150" t="s">
        <v>43</v>
      </c>
      <c r="N150" s="7">
        <v>1</v>
      </c>
      <c r="O150" s="8">
        <v>45523.730023148149</v>
      </c>
      <c r="P150" s="9">
        <v>45524</v>
      </c>
      <c r="Q150" t="s">
        <v>44</v>
      </c>
      <c r="R150" t="s">
        <v>45</v>
      </c>
      <c r="S150" t="s">
        <v>46</v>
      </c>
      <c r="T150" t="s">
        <v>84</v>
      </c>
      <c r="U150" t="s">
        <v>563</v>
      </c>
      <c r="V150">
        <v>18500</v>
      </c>
      <c r="W150" t="s">
        <v>45</v>
      </c>
      <c r="X150" t="s">
        <v>74</v>
      </c>
      <c r="Y150" t="s">
        <v>50</v>
      </c>
      <c r="Z150" s="10">
        <f t="shared" si="14"/>
        <v>9</v>
      </c>
      <c r="AA150" s="11">
        <v>0</v>
      </c>
      <c r="AB150" s="11">
        <v>-2</v>
      </c>
      <c r="AC150" s="11">
        <v>0</v>
      </c>
      <c r="AD150" s="11">
        <v>0</v>
      </c>
      <c r="AE150" s="11">
        <v>0</v>
      </c>
      <c r="AF150" s="11">
        <f t="shared" si="12"/>
        <v>0.42</v>
      </c>
      <c r="AG150" s="11">
        <f t="shared" si="13"/>
        <v>7.42</v>
      </c>
      <c r="AH150" t="s">
        <v>51</v>
      </c>
    </row>
    <row r="151" spans="1:34" ht="15" customHeight="1" x14ac:dyDescent="0.25">
      <c r="A151">
        <v>7547676</v>
      </c>
      <c r="B151" t="s">
        <v>34</v>
      </c>
      <c r="C151" t="s">
        <v>35</v>
      </c>
      <c r="D151" s="6" t="s">
        <v>34</v>
      </c>
      <c r="E151" t="s">
        <v>564</v>
      </c>
      <c r="F151" t="s">
        <v>37</v>
      </c>
      <c r="G151" t="s">
        <v>38</v>
      </c>
      <c r="H151" t="s">
        <v>565</v>
      </c>
      <c r="I151" t="s">
        <v>40</v>
      </c>
      <c r="J151">
        <v>2</v>
      </c>
      <c r="K151" t="s">
        <v>41</v>
      </c>
      <c r="L151" t="s">
        <v>42</v>
      </c>
      <c r="M151" t="s">
        <v>43</v>
      </c>
      <c r="N151" s="7">
        <v>5</v>
      </c>
      <c r="O151" s="8">
        <v>45523.520428240743</v>
      </c>
      <c r="P151" s="9">
        <v>45524</v>
      </c>
      <c r="Q151" t="s">
        <v>44</v>
      </c>
      <c r="R151" t="s">
        <v>45</v>
      </c>
      <c r="S151" t="s">
        <v>46</v>
      </c>
      <c r="T151" t="s">
        <v>72</v>
      </c>
      <c r="U151" t="s">
        <v>566</v>
      </c>
      <c r="V151">
        <v>23100</v>
      </c>
      <c r="W151" t="s">
        <v>45</v>
      </c>
      <c r="X151" t="s">
        <v>567</v>
      </c>
      <c r="Y151" t="s">
        <v>50</v>
      </c>
      <c r="Z151" s="10">
        <f t="shared" si="14"/>
        <v>12.2</v>
      </c>
      <c r="AA151" s="11">
        <v>0</v>
      </c>
      <c r="AB151" s="11">
        <v>-2</v>
      </c>
      <c r="AC151" s="11">
        <v>0</v>
      </c>
      <c r="AD151" s="11">
        <v>0</v>
      </c>
      <c r="AE151" s="11">
        <v>0</v>
      </c>
      <c r="AF151" s="11">
        <f t="shared" si="12"/>
        <v>0.61199999999999999</v>
      </c>
      <c r="AG151" s="11">
        <f t="shared" si="13"/>
        <v>10.811999999999999</v>
      </c>
      <c r="AH151" t="s">
        <v>51</v>
      </c>
    </row>
    <row r="152" spans="1:34" ht="15" customHeight="1" x14ac:dyDescent="0.25">
      <c r="A152">
        <v>7547676</v>
      </c>
      <c r="B152" t="s">
        <v>34</v>
      </c>
      <c r="C152" t="s">
        <v>35</v>
      </c>
      <c r="D152" s="6" t="s">
        <v>34</v>
      </c>
      <c r="E152" t="s">
        <v>568</v>
      </c>
      <c r="F152" t="s">
        <v>37</v>
      </c>
      <c r="G152" t="s">
        <v>38</v>
      </c>
      <c r="H152" t="s">
        <v>569</v>
      </c>
      <c r="I152" t="s">
        <v>40</v>
      </c>
      <c r="J152">
        <v>2</v>
      </c>
      <c r="K152" t="s">
        <v>41</v>
      </c>
      <c r="L152" t="s">
        <v>42</v>
      </c>
      <c r="M152" t="s">
        <v>43</v>
      </c>
      <c r="N152" s="7">
        <v>22</v>
      </c>
      <c r="O152" s="8">
        <v>45523.496111111112</v>
      </c>
      <c r="P152" s="9">
        <v>45524</v>
      </c>
      <c r="Q152" t="s">
        <v>44</v>
      </c>
      <c r="R152" t="s">
        <v>45</v>
      </c>
      <c r="S152" t="s">
        <v>46</v>
      </c>
      <c r="T152" t="s">
        <v>92</v>
      </c>
      <c r="U152" t="s">
        <v>570</v>
      </c>
      <c r="V152">
        <v>43500</v>
      </c>
      <c r="W152" t="s">
        <v>45</v>
      </c>
      <c r="X152" t="s">
        <v>157</v>
      </c>
      <c r="Y152" t="s">
        <v>50</v>
      </c>
      <c r="Z152" s="10">
        <f t="shared" si="14"/>
        <v>25.8</v>
      </c>
      <c r="AA152" s="11">
        <v>0</v>
      </c>
      <c r="AB152" s="11">
        <v>-2</v>
      </c>
      <c r="AC152" s="11">
        <v>0</v>
      </c>
      <c r="AD152" s="11">
        <v>0</v>
      </c>
      <c r="AE152" s="11">
        <v>0</v>
      </c>
      <c r="AF152" s="11">
        <f t="shared" si="12"/>
        <v>1.4279999999999999</v>
      </c>
      <c r="AG152" s="11">
        <f t="shared" si="13"/>
        <v>25.228000000000002</v>
      </c>
      <c r="AH152" t="s">
        <v>51</v>
      </c>
    </row>
    <row r="153" spans="1:34" ht="15" customHeight="1" x14ac:dyDescent="0.25">
      <c r="A153">
        <v>7547676</v>
      </c>
      <c r="B153" t="s">
        <v>34</v>
      </c>
      <c r="C153" t="s">
        <v>35</v>
      </c>
      <c r="D153" s="6" t="s">
        <v>34</v>
      </c>
      <c r="E153" t="s">
        <v>571</v>
      </c>
      <c r="F153" t="s">
        <v>37</v>
      </c>
      <c r="G153" t="s">
        <v>38</v>
      </c>
      <c r="H153" t="s">
        <v>425</v>
      </c>
      <c r="I153" t="s">
        <v>40</v>
      </c>
      <c r="J153">
        <v>2</v>
      </c>
      <c r="K153" t="s">
        <v>41</v>
      </c>
      <c r="L153" t="s">
        <v>42</v>
      </c>
      <c r="M153" t="s">
        <v>43</v>
      </c>
      <c r="N153" s="7">
        <v>10</v>
      </c>
      <c r="O153" s="8">
        <v>45522.717222222222</v>
      </c>
      <c r="P153" s="9">
        <v>45524</v>
      </c>
      <c r="Q153" t="s">
        <v>44</v>
      </c>
      <c r="R153" t="s">
        <v>45</v>
      </c>
      <c r="S153" t="s">
        <v>46</v>
      </c>
      <c r="T153" t="s">
        <v>223</v>
      </c>
      <c r="U153" t="s">
        <v>426</v>
      </c>
      <c r="V153">
        <v>39100</v>
      </c>
      <c r="W153" t="s">
        <v>45</v>
      </c>
      <c r="X153" t="s">
        <v>427</v>
      </c>
      <c r="Y153" t="s">
        <v>50</v>
      </c>
      <c r="Z153" s="10">
        <f t="shared" si="14"/>
        <v>16.2</v>
      </c>
      <c r="AA153" s="11">
        <v>0</v>
      </c>
      <c r="AB153" s="11">
        <v>-2</v>
      </c>
      <c r="AC153" s="11">
        <v>0</v>
      </c>
      <c r="AD153" s="11">
        <v>0</v>
      </c>
      <c r="AE153" s="11">
        <v>0</v>
      </c>
      <c r="AF153" s="11">
        <f t="shared" si="12"/>
        <v>0.85199999999999998</v>
      </c>
      <c r="AG153" s="11">
        <f t="shared" si="13"/>
        <v>15.052</v>
      </c>
      <c r="AH153" t="s">
        <v>51</v>
      </c>
    </row>
    <row r="154" spans="1:34" ht="15" customHeight="1" x14ac:dyDescent="0.25">
      <c r="A154">
        <v>7547676</v>
      </c>
      <c r="B154" t="s">
        <v>34</v>
      </c>
      <c r="C154" t="s">
        <v>35</v>
      </c>
      <c r="D154" s="6" t="s">
        <v>34</v>
      </c>
      <c r="E154" t="s">
        <v>572</v>
      </c>
      <c r="F154" t="s">
        <v>37</v>
      </c>
      <c r="G154" t="s">
        <v>38</v>
      </c>
      <c r="H154" t="s">
        <v>573</v>
      </c>
      <c r="I154" t="s">
        <v>40</v>
      </c>
      <c r="J154">
        <v>2</v>
      </c>
      <c r="K154" t="s">
        <v>41</v>
      </c>
      <c r="L154" t="s">
        <v>42</v>
      </c>
      <c r="M154" t="s">
        <v>43</v>
      </c>
      <c r="N154" s="7">
        <v>1</v>
      </c>
      <c r="O154" s="8">
        <v>45522.750486111108</v>
      </c>
      <c r="P154" s="9">
        <v>45524</v>
      </c>
      <c r="Q154" t="s">
        <v>44</v>
      </c>
      <c r="R154" t="s">
        <v>45</v>
      </c>
      <c r="S154" t="s">
        <v>46</v>
      </c>
      <c r="T154" t="s">
        <v>72</v>
      </c>
      <c r="U154" t="s">
        <v>574</v>
      </c>
      <c r="V154">
        <v>21800</v>
      </c>
      <c r="W154" t="s">
        <v>45</v>
      </c>
      <c r="X154" t="s">
        <v>139</v>
      </c>
      <c r="Y154" t="s">
        <v>50</v>
      </c>
      <c r="Z154" s="10">
        <f t="shared" si="14"/>
        <v>9</v>
      </c>
      <c r="AA154" s="11">
        <v>0</v>
      </c>
      <c r="AB154" s="11">
        <v>-2</v>
      </c>
      <c r="AC154" s="11">
        <v>0</v>
      </c>
      <c r="AD154" s="11">
        <v>0</v>
      </c>
      <c r="AE154" s="11">
        <v>0</v>
      </c>
      <c r="AF154" s="11">
        <f t="shared" si="12"/>
        <v>0.42</v>
      </c>
      <c r="AG154" s="11">
        <f t="shared" si="13"/>
        <v>7.42</v>
      </c>
      <c r="AH154" t="s">
        <v>51</v>
      </c>
    </row>
    <row r="155" spans="1:34" ht="15" customHeight="1" x14ac:dyDescent="0.25">
      <c r="A155">
        <v>7547676</v>
      </c>
      <c r="B155" t="s">
        <v>34</v>
      </c>
      <c r="C155" t="s">
        <v>35</v>
      </c>
      <c r="D155" s="6" t="s">
        <v>34</v>
      </c>
      <c r="E155" t="s">
        <v>575</v>
      </c>
      <c r="F155" t="s">
        <v>37</v>
      </c>
      <c r="G155" t="s">
        <v>38</v>
      </c>
      <c r="H155" t="s">
        <v>576</v>
      </c>
      <c r="I155" t="s">
        <v>40</v>
      </c>
      <c r="J155">
        <v>2</v>
      </c>
      <c r="K155" t="s">
        <v>41</v>
      </c>
      <c r="L155" t="s">
        <v>42</v>
      </c>
      <c r="M155" t="s">
        <v>43</v>
      </c>
      <c r="N155" s="7">
        <v>6</v>
      </c>
      <c r="O155" s="8">
        <v>45512.881851851853</v>
      </c>
      <c r="P155" s="9">
        <v>45524</v>
      </c>
      <c r="Q155" t="s">
        <v>386</v>
      </c>
      <c r="R155" t="s">
        <v>45</v>
      </c>
      <c r="S155" t="s">
        <v>46</v>
      </c>
      <c r="T155" t="s">
        <v>116</v>
      </c>
      <c r="U155" t="s">
        <v>577</v>
      </c>
      <c r="V155">
        <v>89008</v>
      </c>
      <c r="W155" t="s">
        <v>118</v>
      </c>
      <c r="X155" t="s">
        <v>69</v>
      </c>
      <c r="Y155" t="s">
        <v>50</v>
      </c>
      <c r="Z155" s="12">
        <f>IF(N155&lt;=1,13,IF(N155&lt;=2,23,IF(N155&lt;=3,35,IF(N155&lt;=4,43,IF(N155&lt;=5,53,IF(N155&lt;=6,63,IF(N155&lt;=7,71,IF(N155&lt;=8,79,IF(N155&lt;=9,87,IF(N155&lt;=10,95,IF(N155&lt;=11,105,IF(N155&lt;=12,114,IF(N155&lt;=13,119,IF(N155&lt;=14,127,IF(N155&lt;=15,135,IF(N155&lt;=16,143,IF(N155&lt;=17,153,IF(N155&lt;=18,163,IF(N155&lt;=19,171,IF(N155&lt;=20,185,IF(N155&lt;=21,193,IF(N155&lt;=22,201,IF(N155&lt;=23,210,IF(N155&lt;=24,220,IF(N155&lt;=25,230,IF(N155&lt;=26,240,IF(N155&lt;=27,250,IF(N155&lt;=28,260,IF(N155&lt;=29,270,IF(N155&lt;=30,280,280+10*ROUNDUP(N155-30,0)))))))))))))))))))))))))))))))</f>
        <v>63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f t="shared" si="12"/>
        <v>3.78</v>
      </c>
      <c r="AG155" s="11">
        <f t="shared" si="13"/>
        <v>66.78</v>
      </c>
      <c r="AH155" t="s">
        <v>119</v>
      </c>
    </row>
    <row r="156" spans="1:34" ht="15" customHeight="1" x14ac:dyDescent="0.25">
      <c r="A156">
        <v>7547676</v>
      </c>
      <c r="B156" t="s">
        <v>34</v>
      </c>
      <c r="C156" t="s">
        <v>35</v>
      </c>
      <c r="D156" s="6" t="s">
        <v>34</v>
      </c>
      <c r="E156" t="s">
        <v>578</v>
      </c>
      <c r="F156" t="s">
        <v>37</v>
      </c>
      <c r="G156" t="s">
        <v>38</v>
      </c>
      <c r="H156" t="s">
        <v>569</v>
      </c>
      <c r="I156" t="s">
        <v>40</v>
      </c>
      <c r="J156">
        <v>2</v>
      </c>
      <c r="K156" t="s">
        <v>41</v>
      </c>
      <c r="L156" t="s">
        <v>42</v>
      </c>
      <c r="M156" t="s">
        <v>43</v>
      </c>
      <c r="N156" s="7">
        <v>22</v>
      </c>
      <c r="O156" s="8">
        <v>45523.496111111112</v>
      </c>
      <c r="P156" s="9">
        <v>45524</v>
      </c>
      <c r="Q156" t="s">
        <v>44</v>
      </c>
      <c r="R156" t="s">
        <v>45</v>
      </c>
      <c r="S156" t="s">
        <v>46</v>
      </c>
      <c r="T156" t="s">
        <v>92</v>
      </c>
      <c r="U156" t="s">
        <v>570</v>
      </c>
      <c r="V156">
        <v>43500</v>
      </c>
      <c r="W156" t="s">
        <v>45</v>
      </c>
      <c r="X156" t="s">
        <v>157</v>
      </c>
      <c r="Y156" t="s">
        <v>50</v>
      </c>
      <c r="Z156" s="10">
        <f t="shared" ref="Z156:Z158" si="15">IF(N156&lt;=1,9,9+0.8*ROUNDUP(N156-1,0))</f>
        <v>25.8</v>
      </c>
      <c r="AA156" s="11">
        <v>0</v>
      </c>
      <c r="AB156" s="11">
        <v>-2</v>
      </c>
      <c r="AC156" s="11">
        <v>0</v>
      </c>
      <c r="AD156" s="11">
        <v>0</v>
      </c>
      <c r="AE156" s="11">
        <v>0</v>
      </c>
      <c r="AF156" s="11">
        <f t="shared" si="12"/>
        <v>1.4279999999999999</v>
      </c>
      <c r="AG156" s="11">
        <f t="shared" si="13"/>
        <v>25.228000000000002</v>
      </c>
      <c r="AH156" t="s">
        <v>51</v>
      </c>
    </row>
    <row r="157" spans="1:34" ht="15" customHeight="1" x14ac:dyDescent="0.25">
      <c r="A157">
        <v>7547676</v>
      </c>
      <c r="B157" t="s">
        <v>34</v>
      </c>
      <c r="C157" t="s">
        <v>35</v>
      </c>
      <c r="D157" s="6" t="s">
        <v>34</v>
      </c>
      <c r="E157" t="s">
        <v>579</v>
      </c>
      <c r="F157" t="s">
        <v>37</v>
      </c>
      <c r="G157" t="s">
        <v>38</v>
      </c>
      <c r="H157" t="s">
        <v>580</v>
      </c>
      <c r="I157" t="s">
        <v>40</v>
      </c>
      <c r="J157">
        <v>2</v>
      </c>
      <c r="K157" t="s">
        <v>41</v>
      </c>
      <c r="L157" t="s">
        <v>42</v>
      </c>
      <c r="M157" t="s">
        <v>43</v>
      </c>
      <c r="N157" s="7">
        <v>2</v>
      </c>
      <c r="O157" s="8">
        <v>45523.61513888889</v>
      </c>
      <c r="P157" s="9">
        <v>45524</v>
      </c>
      <c r="Q157" t="s">
        <v>44</v>
      </c>
      <c r="R157" t="s">
        <v>45</v>
      </c>
      <c r="S157" t="s">
        <v>46</v>
      </c>
      <c r="T157" t="s">
        <v>72</v>
      </c>
      <c r="U157" t="s">
        <v>581</v>
      </c>
      <c r="V157">
        <v>23000</v>
      </c>
      <c r="W157" t="s">
        <v>45</v>
      </c>
      <c r="X157" t="s">
        <v>582</v>
      </c>
      <c r="Y157" t="s">
        <v>50</v>
      </c>
      <c r="Z157" s="10">
        <f t="shared" si="15"/>
        <v>9.8000000000000007</v>
      </c>
      <c r="AA157" s="11">
        <v>0</v>
      </c>
      <c r="AB157" s="11">
        <v>-2</v>
      </c>
      <c r="AC157" s="11">
        <v>0</v>
      </c>
      <c r="AD157" s="11">
        <v>0</v>
      </c>
      <c r="AE157" s="11">
        <v>0</v>
      </c>
      <c r="AF157" s="11">
        <f t="shared" si="12"/>
        <v>0.46800000000000003</v>
      </c>
      <c r="AG157" s="11">
        <f t="shared" si="13"/>
        <v>8.2680000000000007</v>
      </c>
      <c r="AH157" t="s">
        <v>51</v>
      </c>
    </row>
    <row r="158" spans="1:34" ht="15" customHeight="1" x14ac:dyDescent="0.25">
      <c r="A158">
        <v>7547676</v>
      </c>
      <c r="B158" t="s">
        <v>34</v>
      </c>
      <c r="C158" t="s">
        <v>35</v>
      </c>
      <c r="D158" s="6" t="s">
        <v>34</v>
      </c>
      <c r="E158" t="s">
        <v>583</v>
      </c>
      <c r="F158" t="s">
        <v>37</v>
      </c>
      <c r="G158" t="s">
        <v>38</v>
      </c>
      <c r="H158" t="s">
        <v>584</v>
      </c>
      <c r="I158" t="s">
        <v>40</v>
      </c>
      <c r="J158">
        <v>2</v>
      </c>
      <c r="K158" t="s">
        <v>41</v>
      </c>
      <c r="L158" t="s">
        <v>42</v>
      </c>
      <c r="M158" t="s">
        <v>43</v>
      </c>
      <c r="N158" s="7">
        <v>1</v>
      </c>
      <c r="O158" s="8">
        <v>45523.591238425928</v>
      </c>
      <c r="P158" s="9">
        <v>45524</v>
      </c>
      <c r="Q158" t="s">
        <v>44</v>
      </c>
      <c r="R158" t="s">
        <v>45</v>
      </c>
      <c r="S158" t="s">
        <v>46</v>
      </c>
      <c r="T158" t="s">
        <v>84</v>
      </c>
      <c r="U158" t="s">
        <v>585</v>
      </c>
      <c r="V158">
        <v>18300</v>
      </c>
      <c r="W158" t="s">
        <v>45</v>
      </c>
      <c r="X158" t="s">
        <v>74</v>
      </c>
      <c r="Y158" t="s">
        <v>50</v>
      </c>
      <c r="Z158" s="10">
        <f t="shared" si="15"/>
        <v>9</v>
      </c>
      <c r="AA158" s="11">
        <v>0</v>
      </c>
      <c r="AB158" s="11">
        <v>-2</v>
      </c>
      <c r="AC158" s="11">
        <v>0</v>
      </c>
      <c r="AD158" s="11">
        <v>0</v>
      </c>
      <c r="AE158" s="11">
        <v>0</v>
      </c>
      <c r="AF158" s="11">
        <f t="shared" si="12"/>
        <v>0.42</v>
      </c>
      <c r="AG158" s="11">
        <f t="shared" si="13"/>
        <v>7.42</v>
      </c>
      <c r="AH158" t="s">
        <v>51</v>
      </c>
    </row>
    <row r="159" spans="1:34" ht="15" customHeight="1" x14ac:dyDescent="0.25">
      <c r="A159">
        <v>7547676</v>
      </c>
      <c r="B159" t="s">
        <v>34</v>
      </c>
      <c r="C159" t="s">
        <v>35</v>
      </c>
      <c r="D159" s="6" t="s">
        <v>34</v>
      </c>
      <c r="E159" t="s">
        <v>586</v>
      </c>
      <c r="F159" t="s">
        <v>37</v>
      </c>
      <c r="G159" t="s">
        <v>38</v>
      </c>
      <c r="H159" t="s">
        <v>587</v>
      </c>
      <c r="I159" t="s">
        <v>40</v>
      </c>
      <c r="J159">
        <v>2</v>
      </c>
      <c r="K159" t="s">
        <v>41</v>
      </c>
      <c r="L159" t="s">
        <v>42</v>
      </c>
      <c r="M159" t="s">
        <v>43</v>
      </c>
      <c r="N159" s="7">
        <v>1</v>
      </c>
      <c r="O159" s="8">
        <v>45523.601435185185</v>
      </c>
      <c r="P159" s="9">
        <v>45524</v>
      </c>
      <c r="Q159" t="s">
        <v>44</v>
      </c>
      <c r="R159" t="s">
        <v>45</v>
      </c>
      <c r="S159" t="s">
        <v>46</v>
      </c>
      <c r="T159" t="s">
        <v>84</v>
      </c>
      <c r="U159" t="s">
        <v>588</v>
      </c>
      <c r="V159">
        <v>16310</v>
      </c>
      <c r="W159" t="s">
        <v>45</v>
      </c>
      <c r="X159" t="s">
        <v>74</v>
      </c>
      <c r="Y159" t="s">
        <v>50</v>
      </c>
      <c r="Z159" s="10">
        <f>IF(N159&lt;=1,9,9+0.8*ROUNDUP(N159-1,0))</f>
        <v>9</v>
      </c>
      <c r="AA159" s="11">
        <v>0</v>
      </c>
      <c r="AB159" s="11">
        <v>-2</v>
      </c>
      <c r="AC159" s="11">
        <v>0</v>
      </c>
      <c r="AD159" s="11">
        <v>0</v>
      </c>
      <c r="AE159" s="11">
        <v>0</v>
      </c>
      <c r="AF159" s="11">
        <f t="shared" si="12"/>
        <v>0.42</v>
      </c>
      <c r="AG159" s="11">
        <f t="shared" si="13"/>
        <v>7.42</v>
      </c>
      <c r="AH159" t="s">
        <v>51</v>
      </c>
    </row>
    <row r="160" spans="1:34" ht="15" customHeight="1" x14ac:dyDescent="0.25">
      <c r="A160">
        <v>7547676</v>
      </c>
      <c r="B160" t="s">
        <v>34</v>
      </c>
      <c r="C160" t="s">
        <v>35</v>
      </c>
      <c r="D160" s="6" t="s">
        <v>34</v>
      </c>
      <c r="E160" t="s">
        <v>589</v>
      </c>
      <c r="F160" t="s">
        <v>37</v>
      </c>
      <c r="G160" t="s">
        <v>38</v>
      </c>
      <c r="H160" t="s">
        <v>590</v>
      </c>
      <c r="I160" t="s">
        <v>40</v>
      </c>
      <c r="J160">
        <v>2</v>
      </c>
      <c r="K160" t="s">
        <v>41</v>
      </c>
      <c r="L160" t="s">
        <v>42</v>
      </c>
      <c r="M160" t="s">
        <v>43</v>
      </c>
      <c r="N160" s="7">
        <v>15</v>
      </c>
      <c r="O160" s="8">
        <v>45522.460775462961</v>
      </c>
      <c r="P160" s="9">
        <v>45524</v>
      </c>
      <c r="Q160" t="s">
        <v>44</v>
      </c>
      <c r="R160" t="s">
        <v>45</v>
      </c>
      <c r="S160" t="s">
        <v>46</v>
      </c>
      <c r="T160" t="s">
        <v>107</v>
      </c>
      <c r="U160" t="s">
        <v>591</v>
      </c>
      <c r="V160">
        <v>5250</v>
      </c>
      <c r="W160" t="s">
        <v>45</v>
      </c>
      <c r="X160" t="s">
        <v>459</v>
      </c>
      <c r="Y160" t="s">
        <v>50</v>
      </c>
      <c r="Z160" s="10">
        <f t="shared" ref="Z160:Z209" si="16">IF(N160&lt;=1,9,9+0.8*ROUNDUP(N160-1,0))</f>
        <v>20.200000000000003</v>
      </c>
      <c r="AA160" s="11">
        <v>0</v>
      </c>
      <c r="AB160" s="11">
        <v>-2</v>
      </c>
      <c r="AC160" s="11">
        <v>0</v>
      </c>
      <c r="AD160" s="11">
        <v>0</v>
      </c>
      <c r="AE160" s="11">
        <v>0</v>
      </c>
      <c r="AF160" s="11">
        <f t="shared" si="12"/>
        <v>1.0920000000000001</v>
      </c>
      <c r="AG160" s="11">
        <f t="shared" si="13"/>
        <v>19.292000000000002</v>
      </c>
      <c r="AH160" t="s">
        <v>51</v>
      </c>
    </row>
    <row r="161" spans="1:34" ht="15" customHeight="1" x14ac:dyDescent="0.25">
      <c r="A161">
        <v>7547676</v>
      </c>
      <c r="B161" t="s">
        <v>34</v>
      </c>
      <c r="C161" t="s">
        <v>35</v>
      </c>
      <c r="D161" s="6" t="s">
        <v>34</v>
      </c>
      <c r="E161" t="s">
        <v>592</v>
      </c>
      <c r="F161" t="s">
        <v>37</v>
      </c>
      <c r="G161" t="s">
        <v>38</v>
      </c>
      <c r="H161" t="s">
        <v>590</v>
      </c>
      <c r="I161" t="s">
        <v>40</v>
      </c>
      <c r="J161">
        <v>2</v>
      </c>
      <c r="K161" t="s">
        <v>41</v>
      </c>
      <c r="L161" t="s">
        <v>42</v>
      </c>
      <c r="M161" t="s">
        <v>43</v>
      </c>
      <c r="N161" s="7">
        <v>15</v>
      </c>
      <c r="O161" s="8">
        <v>45522.460775462961</v>
      </c>
      <c r="P161" s="9">
        <v>45524</v>
      </c>
      <c r="Q161" t="s">
        <v>44</v>
      </c>
      <c r="R161" t="s">
        <v>45</v>
      </c>
      <c r="S161" t="s">
        <v>46</v>
      </c>
      <c r="T161" t="s">
        <v>107</v>
      </c>
      <c r="U161" t="s">
        <v>591</v>
      </c>
      <c r="V161">
        <v>5250</v>
      </c>
      <c r="W161" t="s">
        <v>45</v>
      </c>
      <c r="X161" t="s">
        <v>459</v>
      </c>
      <c r="Y161" t="s">
        <v>50</v>
      </c>
      <c r="Z161" s="10">
        <f t="shared" si="16"/>
        <v>20.200000000000003</v>
      </c>
      <c r="AA161" s="11">
        <v>0</v>
      </c>
      <c r="AB161" s="11">
        <v>-2</v>
      </c>
      <c r="AC161" s="11">
        <v>0</v>
      </c>
      <c r="AD161" s="11">
        <v>0</v>
      </c>
      <c r="AE161" s="11">
        <v>0</v>
      </c>
      <c r="AF161" s="11">
        <f t="shared" si="12"/>
        <v>1.0920000000000001</v>
      </c>
      <c r="AG161" s="11">
        <f t="shared" si="13"/>
        <v>19.292000000000002</v>
      </c>
      <c r="AH161" t="s">
        <v>51</v>
      </c>
    </row>
    <row r="162" spans="1:34" ht="15" customHeight="1" x14ac:dyDescent="0.25">
      <c r="A162">
        <v>7547676</v>
      </c>
      <c r="B162" t="s">
        <v>34</v>
      </c>
      <c r="C162" t="s">
        <v>35</v>
      </c>
      <c r="D162" s="6" t="s">
        <v>34</v>
      </c>
      <c r="E162" t="s">
        <v>593</v>
      </c>
      <c r="F162" t="s">
        <v>37</v>
      </c>
      <c r="G162" t="s">
        <v>38</v>
      </c>
      <c r="H162" t="s">
        <v>594</v>
      </c>
      <c r="I162" t="s">
        <v>40</v>
      </c>
      <c r="J162">
        <v>2</v>
      </c>
      <c r="K162" t="s">
        <v>41</v>
      </c>
      <c r="L162" t="s">
        <v>42</v>
      </c>
      <c r="M162" t="s">
        <v>43</v>
      </c>
      <c r="N162" s="7">
        <v>1</v>
      </c>
      <c r="O162" s="8">
        <v>45522.619305555556</v>
      </c>
      <c r="P162" s="9">
        <v>45524</v>
      </c>
      <c r="Q162" t="s">
        <v>44</v>
      </c>
      <c r="R162" t="s">
        <v>45</v>
      </c>
      <c r="S162" t="s">
        <v>46</v>
      </c>
      <c r="T162" t="s">
        <v>92</v>
      </c>
      <c r="U162" t="s">
        <v>595</v>
      </c>
      <c r="V162">
        <v>40170</v>
      </c>
      <c r="W162" t="s">
        <v>45</v>
      </c>
      <c r="X162" t="s">
        <v>596</v>
      </c>
      <c r="Y162" t="s">
        <v>50</v>
      </c>
      <c r="Z162" s="10">
        <f t="shared" si="16"/>
        <v>9</v>
      </c>
      <c r="AA162" s="11">
        <v>0</v>
      </c>
      <c r="AB162" s="11">
        <v>-2</v>
      </c>
      <c r="AC162" s="11">
        <v>0</v>
      </c>
      <c r="AD162" s="11">
        <v>0</v>
      </c>
      <c r="AE162" s="11">
        <v>0</v>
      </c>
      <c r="AF162" s="11">
        <f t="shared" si="12"/>
        <v>0.42</v>
      </c>
      <c r="AG162" s="11">
        <f t="shared" si="13"/>
        <v>7.42</v>
      </c>
      <c r="AH162" t="s">
        <v>51</v>
      </c>
    </row>
    <row r="163" spans="1:34" ht="15" customHeight="1" x14ac:dyDescent="0.25">
      <c r="A163">
        <v>7547676</v>
      </c>
      <c r="B163" t="s">
        <v>34</v>
      </c>
      <c r="C163" t="s">
        <v>35</v>
      </c>
      <c r="D163" s="6" t="s">
        <v>34</v>
      </c>
      <c r="E163" t="s">
        <v>597</v>
      </c>
      <c r="F163" t="s">
        <v>37</v>
      </c>
      <c r="G163" t="s">
        <v>38</v>
      </c>
      <c r="H163" t="s">
        <v>590</v>
      </c>
      <c r="I163" t="s">
        <v>40</v>
      </c>
      <c r="J163">
        <v>2</v>
      </c>
      <c r="K163" t="s">
        <v>41</v>
      </c>
      <c r="L163" t="s">
        <v>42</v>
      </c>
      <c r="M163" t="s">
        <v>43</v>
      </c>
      <c r="N163" s="7">
        <v>15</v>
      </c>
      <c r="O163" s="8">
        <v>45522.460775462961</v>
      </c>
      <c r="P163" s="9">
        <v>45524</v>
      </c>
      <c r="Q163" t="s">
        <v>44</v>
      </c>
      <c r="R163" t="s">
        <v>45</v>
      </c>
      <c r="S163" t="s">
        <v>46</v>
      </c>
      <c r="T163" t="s">
        <v>107</v>
      </c>
      <c r="U163" t="s">
        <v>591</v>
      </c>
      <c r="V163">
        <v>5250</v>
      </c>
      <c r="W163" t="s">
        <v>45</v>
      </c>
      <c r="X163" t="s">
        <v>459</v>
      </c>
      <c r="Y163" t="s">
        <v>50</v>
      </c>
      <c r="Z163" s="10">
        <f t="shared" si="16"/>
        <v>20.200000000000003</v>
      </c>
      <c r="AA163" s="11">
        <v>0</v>
      </c>
      <c r="AB163" s="11">
        <v>-2</v>
      </c>
      <c r="AC163" s="11">
        <v>0</v>
      </c>
      <c r="AD163" s="11">
        <v>0</v>
      </c>
      <c r="AE163" s="11">
        <v>0</v>
      </c>
      <c r="AF163" s="11">
        <f t="shared" si="12"/>
        <v>1.0920000000000001</v>
      </c>
      <c r="AG163" s="11">
        <f t="shared" si="13"/>
        <v>19.292000000000002</v>
      </c>
      <c r="AH163" t="s">
        <v>51</v>
      </c>
    </row>
    <row r="164" spans="1:34" ht="15" customHeight="1" x14ac:dyDescent="0.25">
      <c r="A164">
        <v>7547676</v>
      </c>
      <c r="B164" t="s">
        <v>34</v>
      </c>
      <c r="C164" t="s">
        <v>35</v>
      </c>
      <c r="D164" s="6" t="s">
        <v>34</v>
      </c>
      <c r="E164" t="s">
        <v>598</v>
      </c>
      <c r="F164" t="s">
        <v>37</v>
      </c>
      <c r="G164" t="s">
        <v>38</v>
      </c>
      <c r="H164" t="s">
        <v>590</v>
      </c>
      <c r="I164" t="s">
        <v>40</v>
      </c>
      <c r="J164">
        <v>2</v>
      </c>
      <c r="K164" t="s">
        <v>41</v>
      </c>
      <c r="L164" t="s">
        <v>42</v>
      </c>
      <c r="M164" t="s">
        <v>43</v>
      </c>
      <c r="N164" s="7">
        <v>15</v>
      </c>
      <c r="O164" s="8">
        <v>45522.460775462961</v>
      </c>
      <c r="P164" s="9">
        <v>45524</v>
      </c>
      <c r="Q164" t="s">
        <v>44</v>
      </c>
      <c r="R164" t="s">
        <v>45</v>
      </c>
      <c r="S164" t="s">
        <v>46</v>
      </c>
      <c r="T164" t="s">
        <v>107</v>
      </c>
      <c r="U164" t="s">
        <v>591</v>
      </c>
      <c r="V164">
        <v>5250</v>
      </c>
      <c r="W164" t="s">
        <v>45</v>
      </c>
      <c r="X164" t="s">
        <v>459</v>
      </c>
      <c r="Y164" t="s">
        <v>50</v>
      </c>
      <c r="Z164" s="10">
        <f t="shared" si="16"/>
        <v>20.200000000000003</v>
      </c>
      <c r="AA164" s="11">
        <v>0</v>
      </c>
      <c r="AB164" s="11">
        <v>-2</v>
      </c>
      <c r="AC164" s="11">
        <v>0</v>
      </c>
      <c r="AD164" s="11">
        <v>0</v>
      </c>
      <c r="AE164" s="11">
        <v>0</v>
      </c>
      <c r="AF164" s="11">
        <f t="shared" si="12"/>
        <v>1.0920000000000001</v>
      </c>
      <c r="AG164" s="11">
        <f t="shared" si="13"/>
        <v>19.292000000000002</v>
      </c>
      <c r="AH164" t="s">
        <v>51</v>
      </c>
    </row>
    <row r="165" spans="1:34" ht="15" customHeight="1" x14ac:dyDescent="0.25">
      <c r="A165">
        <v>7547676</v>
      </c>
      <c r="B165" t="s">
        <v>34</v>
      </c>
      <c r="C165" t="s">
        <v>35</v>
      </c>
      <c r="D165" s="6" t="s">
        <v>34</v>
      </c>
      <c r="E165" t="s">
        <v>599</v>
      </c>
      <c r="F165" t="s">
        <v>37</v>
      </c>
      <c r="G165" t="s">
        <v>38</v>
      </c>
      <c r="H165" t="s">
        <v>600</v>
      </c>
      <c r="I165" t="s">
        <v>40</v>
      </c>
      <c r="J165">
        <v>2</v>
      </c>
      <c r="K165" t="s">
        <v>41</v>
      </c>
      <c r="L165" t="s">
        <v>42</v>
      </c>
      <c r="M165" t="s">
        <v>43</v>
      </c>
      <c r="N165" s="7">
        <v>1</v>
      </c>
      <c r="O165" s="8">
        <v>45523.649039351854</v>
      </c>
      <c r="P165" s="9">
        <v>45524</v>
      </c>
      <c r="Q165" t="s">
        <v>44</v>
      </c>
      <c r="R165" t="s">
        <v>45</v>
      </c>
      <c r="S165" t="s">
        <v>46</v>
      </c>
      <c r="T165" t="s">
        <v>84</v>
      </c>
      <c r="U165" t="s">
        <v>601</v>
      </c>
      <c r="V165">
        <v>17600</v>
      </c>
      <c r="W165" t="s">
        <v>45</v>
      </c>
      <c r="X165" t="s">
        <v>74</v>
      </c>
      <c r="Y165" t="s">
        <v>50</v>
      </c>
      <c r="Z165" s="10">
        <f t="shared" si="16"/>
        <v>9</v>
      </c>
      <c r="AA165" s="11">
        <v>0</v>
      </c>
      <c r="AB165" s="11">
        <v>-2</v>
      </c>
      <c r="AC165" s="11">
        <v>0</v>
      </c>
      <c r="AD165" s="11">
        <v>0</v>
      </c>
      <c r="AE165" s="11">
        <v>0</v>
      </c>
      <c r="AF165" s="11">
        <f t="shared" si="12"/>
        <v>0.42</v>
      </c>
      <c r="AG165" s="11">
        <f t="shared" si="13"/>
        <v>7.42</v>
      </c>
      <c r="AH165" t="s">
        <v>51</v>
      </c>
    </row>
    <row r="166" spans="1:34" ht="15" customHeight="1" x14ac:dyDescent="0.25">
      <c r="A166">
        <v>7547676</v>
      </c>
      <c r="B166" t="s">
        <v>34</v>
      </c>
      <c r="C166" t="s">
        <v>35</v>
      </c>
      <c r="D166" s="6" t="s">
        <v>34</v>
      </c>
      <c r="E166" t="s">
        <v>602</v>
      </c>
      <c r="F166" t="s">
        <v>37</v>
      </c>
      <c r="G166" t="s">
        <v>38</v>
      </c>
      <c r="H166" t="s">
        <v>603</v>
      </c>
      <c r="I166" t="s">
        <v>40</v>
      </c>
      <c r="J166">
        <v>2</v>
      </c>
      <c r="K166" t="s">
        <v>41</v>
      </c>
      <c r="L166" t="s">
        <v>42</v>
      </c>
      <c r="M166" t="s">
        <v>43</v>
      </c>
      <c r="N166" s="7">
        <v>30</v>
      </c>
      <c r="O166" s="8">
        <v>45523.435983796298</v>
      </c>
      <c r="P166" s="9">
        <v>45524</v>
      </c>
      <c r="Q166" t="s">
        <v>44</v>
      </c>
      <c r="R166" t="s">
        <v>45</v>
      </c>
      <c r="S166" t="s">
        <v>46</v>
      </c>
      <c r="T166" t="s">
        <v>92</v>
      </c>
      <c r="U166" t="s">
        <v>604</v>
      </c>
      <c r="V166">
        <v>41200</v>
      </c>
      <c r="W166" t="s">
        <v>45</v>
      </c>
      <c r="X166" t="s">
        <v>113</v>
      </c>
      <c r="Y166" t="s">
        <v>50</v>
      </c>
      <c r="Z166" s="10">
        <f t="shared" si="16"/>
        <v>32.200000000000003</v>
      </c>
      <c r="AA166" s="11">
        <v>0</v>
      </c>
      <c r="AB166" s="11">
        <v>-2</v>
      </c>
      <c r="AC166" s="11">
        <v>0</v>
      </c>
      <c r="AD166" s="11">
        <v>0</v>
      </c>
      <c r="AE166" s="11">
        <v>0</v>
      </c>
      <c r="AF166" s="11">
        <f t="shared" si="12"/>
        <v>1.8120000000000001</v>
      </c>
      <c r="AG166" s="11">
        <f t="shared" si="13"/>
        <v>32.012</v>
      </c>
      <c r="AH166" t="s">
        <v>51</v>
      </c>
    </row>
    <row r="167" spans="1:34" ht="15" customHeight="1" x14ac:dyDescent="0.25">
      <c r="A167">
        <v>7547676</v>
      </c>
      <c r="B167" t="s">
        <v>34</v>
      </c>
      <c r="C167" t="s">
        <v>35</v>
      </c>
      <c r="D167" s="6" t="s">
        <v>34</v>
      </c>
      <c r="E167" t="s">
        <v>605</v>
      </c>
      <c r="F167" t="s">
        <v>37</v>
      </c>
      <c r="G167" t="s">
        <v>38</v>
      </c>
      <c r="H167" t="s">
        <v>603</v>
      </c>
      <c r="I167" t="s">
        <v>40</v>
      </c>
      <c r="J167">
        <v>2</v>
      </c>
      <c r="K167" t="s">
        <v>41</v>
      </c>
      <c r="L167" t="s">
        <v>42</v>
      </c>
      <c r="M167" t="s">
        <v>43</v>
      </c>
      <c r="N167" s="7">
        <v>30</v>
      </c>
      <c r="O167" s="8">
        <v>45523.435983796298</v>
      </c>
      <c r="P167" s="9">
        <v>45524</v>
      </c>
      <c r="Q167" t="s">
        <v>44</v>
      </c>
      <c r="R167" t="s">
        <v>45</v>
      </c>
      <c r="S167" t="s">
        <v>46</v>
      </c>
      <c r="T167" t="s">
        <v>92</v>
      </c>
      <c r="U167" t="s">
        <v>604</v>
      </c>
      <c r="V167">
        <v>41200</v>
      </c>
      <c r="W167" t="s">
        <v>45</v>
      </c>
      <c r="X167" t="s">
        <v>113</v>
      </c>
      <c r="Y167" t="s">
        <v>50</v>
      </c>
      <c r="Z167" s="10">
        <f t="shared" si="16"/>
        <v>32.200000000000003</v>
      </c>
      <c r="AA167" s="11">
        <v>0</v>
      </c>
      <c r="AB167" s="11">
        <v>-2</v>
      </c>
      <c r="AC167" s="11">
        <v>0</v>
      </c>
      <c r="AD167" s="11">
        <v>0</v>
      </c>
      <c r="AE167" s="11">
        <v>0</v>
      </c>
      <c r="AF167" s="11">
        <f t="shared" si="12"/>
        <v>1.8120000000000001</v>
      </c>
      <c r="AG167" s="11">
        <f t="shared" si="13"/>
        <v>32.012</v>
      </c>
      <c r="AH167" t="s">
        <v>51</v>
      </c>
    </row>
    <row r="168" spans="1:34" ht="15" customHeight="1" x14ac:dyDescent="0.25">
      <c r="A168">
        <v>7547676</v>
      </c>
      <c r="B168" t="s">
        <v>34</v>
      </c>
      <c r="C168" t="s">
        <v>35</v>
      </c>
      <c r="D168" s="6" t="s">
        <v>34</v>
      </c>
      <c r="E168" t="s">
        <v>606</v>
      </c>
      <c r="F168" t="s">
        <v>37</v>
      </c>
      <c r="G168" t="s">
        <v>38</v>
      </c>
      <c r="H168" t="s">
        <v>607</v>
      </c>
      <c r="I168" t="s">
        <v>40</v>
      </c>
      <c r="J168">
        <v>2</v>
      </c>
      <c r="K168" t="s">
        <v>41</v>
      </c>
      <c r="L168" t="s">
        <v>42</v>
      </c>
      <c r="M168" t="s">
        <v>43</v>
      </c>
      <c r="N168" s="7">
        <v>1</v>
      </c>
      <c r="O168" s="8">
        <v>45521.819826388892</v>
      </c>
      <c r="P168" s="9">
        <v>45524</v>
      </c>
      <c r="Q168" t="s">
        <v>44</v>
      </c>
      <c r="R168" t="s">
        <v>45</v>
      </c>
      <c r="S168" t="s">
        <v>46</v>
      </c>
      <c r="T168" t="s">
        <v>59</v>
      </c>
      <c r="U168" t="s">
        <v>608</v>
      </c>
      <c r="V168">
        <v>11050</v>
      </c>
      <c r="W168" t="s">
        <v>45</v>
      </c>
      <c r="X168" t="s">
        <v>609</v>
      </c>
      <c r="Y168" t="s">
        <v>50</v>
      </c>
      <c r="Z168" s="10">
        <f t="shared" si="16"/>
        <v>9</v>
      </c>
      <c r="AA168" s="11">
        <v>0</v>
      </c>
      <c r="AB168" s="11">
        <v>-2</v>
      </c>
      <c r="AC168" s="11">
        <v>0</v>
      </c>
      <c r="AD168" s="11">
        <v>0</v>
      </c>
      <c r="AE168" s="11">
        <v>0</v>
      </c>
      <c r="AF168" s="11">
        <f t="shared" si="12"/>
        <v>0.42</v>
      </c>
      <c r="AG168" s="11">
        <f t="shared" si="13"/>
        <v>7.42</v>
      </c>
      <c r="AH168" t="s">
        <v>51</v>
      </c>
    </row>
    <row r="169" spans="1:34" ht="15" customHeight="1" x14ac:dyDescent="0.25">
      <c r="A169">
        <v>7547676</v>
      </c>
      <c r="B169" t="s">
        <v>34</v>
      </c>
      <c r="C169" t="s">
        <v>35</v>
      </c>
      <c r="D169" s="6" t="s">
        <v>34</v>
      </c>
      <c r="E169" t="s">
        <v>610</v>
      </c>
      <c r="F169" t="s">
        <v>37</v>
      </c>
      <c r="G169" t="s">
        <v>38</v>
      </c>
      <c r="H169" t="s">
        <v>611</v>
      </c>
      <c r="I169" t="s">
        <v>40</v>
      </c>
      <c r="J169">
        <v>2</v>
      </c>
      <c r="K169" t="s">
        <v>41</v>
      </c>
      <c r="L169" t="s">
        <v>42</v>
      </c>
      <c r="M169" t="s">
        <v>43</v>
      </c>
      <c r="N169" s="7">
        <v>1</v>
      </c>
      <c r="O169" s="8">
        <v>45523.431863425925</v>
      </c>
      <c r="P169" s="9">
        <v>45524</v>
      </c>
      <c r="Q169" t="s">
        <v>44</v>
      </c>
      <c r="R169" t="s">
        <v>45</v>
      </c>
      <c r="S169" t="s">
        <v>46</v>
      </c>
      <c r="T169" t="s">
        <v>92</v>
      </c>
      <c r="U169" t="s">
        <v>612</v>
      </c>
      <c r="V169">
        <v>40300</v>
      </c>
      <c r="W169" t="s">
        <v>45</v>
      </c>
      <c r="X169" t="s">
        <v>104</v>
      </c>
      <c r="Y169" t="s">
        <v>50</v>
      </c>
      <c r="Z169" s="10">
        <f t="shared" si="16"/>
        <v>9</v>
      </c>
      <c r="AA169" s="11">
        <v>0</v>
      </c>
      <c r="AB169" s="11">
        <v>-2</v>
      </c>
      <c r="AC169" s="11">
        <v>0</v>
      </c>
      <c r="AD169" s="11">
        <v>0</v>
      </c>
      <c r="AE169" s="11">
        <v>0</v>
      </c>
      <c r="AF169" s="11">
        <f t="shared" si="12"/>
        <v>0.42</v>
      </c>
      <c r="AG169" s="11">
        <f t="shared" si="13"/>
        <v>7.42</v>
      </c>
      <c r="AH169" t="s">
        <v>51</v>
      </c>
    </row>
    <row r="170" spans="1:34" ht="15" customHeight="1" x14ac:dyDescent="0.25">
      <c r="A170">
        <v>7547676</v>
      </c>
      <c r="B170" t="s">
        <v>34</v>
      </c>
      <c r="C170" t="s">
        <v>35</v>
      </c>
      <c r="D170" s="6" t="s">
        <v>34</v>
      </c>
      <c r="E170" t="s">
        <v>613</v>
      </c>
      <c r="F170" t="s">
        <v>37</v>
      </c>
      <c r="G170" t="s">
        <v>38</v>
      </c>
      <c r="H170" t="s">
        <v>614</v>
      </c>
      <c r="I170" t="s">
        <v>40</v>
      </c>
      <c r="J170">
        <v>2</v>
      </c>
      <c r="K170" t="s">
        <v>41</v>
      </c>
      <c r="L170" t="s">
        <v>42</v>
      </c>
      <c r="M170" t="s">
        <v>43</v>
      </c>
      <c r="N170" s="7">
        <v>3</v>
      </c>
      <c r="O170" s="8">
        <v>45523.520416666666</v>
      </c>
      <c r="P170" s="9">
        <v>45524</v>
      </c>
      <c r="Q170" t="s">
        <v>44</v>
      </c>
      <c r="R170" t="s">
        <v>45</v>
      </c>
      <c r="S170" t="s">
        <v>46</v>
      </c>
      <c r="T170" t="s">
        <v>84</v>
      </c>
      <c r="U170" t="s">
        <v>615</v>
      </c>
      <c r="V170">
        <v>18300</v>
      </c>
      <c r="W170" t="s">
        <v>45</v>
      </c>
      <c r="X170" t="s">
        <v>616</v>
      </c>
      <c r="Y170" t="s">
        <v>50</v>
      </c>
      <c r="Z170" s="10">
        <f t="shared" si="16"/>
        <v>10.6</v>
      </c>
      <c r="AA170" s="11">
        <v>0</v>
      </c>
      <c r="AB170" s="11">
        <v>-2</v>
      </c>
      <c r="AC170" s="11">
        <v>0</v>
      </c>
      <c r="AD170" s="11">
        <v>0</v>
      </c>
      <c r="AE170" s="11">
        <v>0</v>
      </c>
      <c r="AF170" s="11">
        <f t="shared" si="12"/>
        <v>0.51600000000000001</v>
      </c>
      <c r="AG170" s="11">
        <f t="shared" si="13"/>
        <v>9.1159999999999997</v>
      </c>
      <c r="AH170" t="s">
        <v>51</v>
      </c>
    </row>
    <row r="171" spans="1:34" ht="15" customHeight="1" x14ac:dyDescent="0.25">
      <c r="A171">
        <v>7547676</v>
      </c>
      <c r="B171" t="s">
        <v>34</v>
      </c>
      <c r="C171" t="s">
        <v>35</v>
      </c>
      <c r="D171" s="6" t="s">
        <v>34</v>
      </c>
      <c r="E171" t="s">
        <v>617</v>
      </c>
      <c r="F171" t="s">
        <v>37</v>
      </c>
      <c r="G171" t="s">
        <v>38</v>
      </c>
      <c r="H171" t="s">
        <v>222</v>
      </c>
      <c r="I171" t="s">
        <v>40</v>
      </c>
      <c r="J171">
        <v>2</v>
      </c>
      <c r="K171" t="s">
        <v>41</v>
      </c>
      <c r="L171" t="s">
        <v>42</v>
      </c>
      <c r="M171" t="s">
        <v>43</v>
      </c>
      <c r="N171" s="7">
        <v>1</v>
      </c>
      <c r="O171" s="8">
        <v>45522.802233796298</v>
      </c>
      <c r="P171" s="9">
        <v>45524</v>
      </c>
      <c r="Q171" t="s">
        <v>44</v>
      </c>
      <c r="R171" t="s">
        <v>45</v>
      </c>
      <c r="S171" t="s">
        <v>46</v>
      </c>
      <c r="T171" t="s">
        <v>223</v>
      </c>
      <c r="U171" t="s">
        <v>618</v>
      </c>
      <c r="V171">
        <v>28730</v>
      </c>
      <c r="W171" t="s">
        <v>45</v>
      </c>
      <c r="X171" t="s">
        <v>619</v>
      </c>
      <c r="Y171" t="s">
        <v>50</v>
      </c>
      <c r="Z171" s="10">
        <f t="shared" si="16"/>
        <v>9</v>
      </c>
      <c r="AA171" s="11">
        <v>0</v>
      </c>
      <c r="AB171" s="11">
        <v>-2</v>
      </c>
      <c r="AC171" s="11">
        <v>0</v>
      </c>
      <c r="AD171" s="11">
        <v>0</v>
      </c>
      <c r="AE171" s="11">
        <v>0</v>
      </c>
      <c r="AF171" s="11">
        <f t="shared" si="12"/>
        <v>0.42</v>
      </c>
      <c r="AG171" s="11">
        <f t="shared" si="13"/>
        <v>7.42</v>
      </c>
      <c r="AH171" t="s">
        <v>51</v>
      </c>
    </row>
    <row r="172" spans="1:34" ht="15" customHeight="1" x14ac:dyDescent="0.25">
      <c r="A172">
        <v>7547676</v>
      </c>
      <c r="B172" t="s">
        <v>34</v>
      </c>
      <c r="C172" t="s">
        <v>35</v>
      </c>
      <c r="D172" s="6" t="s">
        <v>34</v>
      </c>
      <c r="E172" t="s">
        <v>620</v>
      </c>
      <c r="F172" t="s">
        <v>37</v>
      </c>
      <c r="G172" t="s">
        <v>38</v>
      </c>
      <c r="H172" t="s">
        <v>621</v>
      </c>
      <c r="I172" t="s">
        <v>40</v>
      </c>
      <c r="J172">
        <v>2</v>
      </c>
      <c r="K172" t="s">
        <v>41</v>
      </c>
      <c r="L172" t="s">
        <v>42</v>
      </c>
      <c r="M172" t="s">
        <v>43</v>
      </c>
      <c r="N172" s="7">
        <v>1</v>
      </c>
      <c r="O172" s="8">
        <v>45523.727187500001</v>
      </c>
      <c r="P172" s="9">
        <v>45524</v>
      </c>
      <c r="Q172" t="s">
        <v>44</v>
      </c>
      <c r="R172" t="s">
        <v>45</v>
      </c>
      <c r="S172" t="s">
        <v>46</v>
      </c>
      <c r="T172" t="s">
        <v>223</v>
      </c>
      <c r="U172" t="s">
        <v>622</v>
      </c>
      <c r="V172">
        <v>25150</v>
      </c>
      <c r="W172" t="s">
        <v>45</v>
      </c>
      <c r="X172" t="s">
        <v>225</v>
      </c>
      <c r="Y172" t="s">
        <v>50</v>
      </c>
      <c r="Z172" s="10">
        <f t="shared" si="16"/>
        <v>9</v>
      </c>
      <c r="AA172" s="11">
        <v>0</v>
      </c>
      <c r="AB172" s="11">
        <v>-2</v>
      </c>
      <c r="AC172" s="11">
        <v>0</v>
      </c>
      <c r="AD172" s="11">
        <v>0</v>
      </c>
      <c r="AE172" s="11">
        <v>0</v>
      </c>
      <c r="AF172" s="11">
        <f t="shared" si="12"/>
        <v>0.42</v>
      </c>
      <c r="AG172" s="11">
        <f t="shared" si="13"/>
        <v>7.42</v>
      </c>
      <c r="AH172" t="s">
        <v>51</v>
      </c>
    </row>
    <row r="173" spans="1:34" ht="15" customHeight="1" x14ac:dyDescent="0.25">
      <c r="A173">
        <v>7547676</v>
      </c>
      <c r="B173" t="s">
        <v>34</v>
      </c>
      <c r="C173" t="s">
        <v>35</v>
      </c>
      <c r="D173" s="6" t="s">
        <v>34</v>
      </c>
      <c r="E173" t="s">
        <v>623</v>
      </c>
      <c r="F173" t="s">
        <v>37</v>
      </c>
      <c r="G173" t="s">
        <v>38</v>
      </c>
      <c r="H173" t="s">
        <v>624</v>
      </c>
      <c r="I173" t="s">
        <v>40</v>
      </c>
      <c r="J173">
        <v>2</v>
      </c>
      <c r="K173" t="s">
        <v>41</v>
      </c>
      <c r="L173" t="s">
        <v>42</v>
      </c>
      <c r="M173" t="s">
        <v>43</v>
      </c>
      <c r="N173" s="7">
        <v>1</v>
      </c>
      <c r="O173" s="8">
        <v>45524.684895833336</v>
      </c>
      <c r="P173" s="9">
        <v>45525</v>
      </c>
      <c r="Q173" t="s">
        <v>44</v>
      </c>
      <c r="R173" t="s">
        <v>45</v>
      </c>
      <c r="S173" t="s">
        <v>46</v>
      </c>
      <c r="T173" t="s">
        <v>92</v>
      </c>
      <c r="U173" t="s">
        <v>625</v>
      </c>
      <c r="V173">
        <v>43000</v>
      </c>
      <c r="W173" t="s">
        <v>45</v>
      </c>
      <c r="X173" t="s">
        <v>187</v>
      </c>
      <c r="Y173" t="s">
        <v>50</v>
      </c>
      <c r="Z173" s="10">
        <f t="shared" si="16"/>
        <v>9</v>
      </c>
      <c r="AA173" s="11">
        <v>0</v>
      </c>
      <c r="AB173" s="11">
        <v>-2</v>
      </c>
      <c r="AC173" s="11">
        <v>0</v>
      </c>
      <c r="AD173" s="11">
        <v>0</v>
      </c>
      <c r="AE173" s="11">
        <v>0</v>
      </c>
      <c r="AF173" s="11">
        <f t="shared" si="12"/>
        <v>0.42</v>
      </c>
      <c r="AG173" s="11">
        <f t="shared" si="13"/>
        <v>7.42</v>
      </c>
      <c r="AH173" t="s">
        <v>51</v>
      </c>
    </row>
    <row r="174" spans="1:34" ht="15" customHeight="1" x14ac:dyDescent="0.25">
      <c r="A174">
        <v>7547676</v>
      </c>
      <c r="B174" t="s">
        <v>34</v>
      </c>
      <c r="C174" t="s">
        <v>35</v>
      </c>
      <c r="D174" s="6" t="s">
        <v>34</v>
      </c>
      <c r="E174" t="s">
        <v>626</v>
      </c>
      <c r="F174" t="s">
        <v>37</v>
      </c>
      <c r="G174" t="s">
        <v>38</v>
      </c>
      <c r="H174" t="s">
        <v>102</v>
      </c>
      <c r="I174" t="s">
        <v>40</v>
      </c>
      <c r="J174">
        <v>2</v>
      </c>
      <c r="K174" t="s">
        <v>41</v>
      </c>
      <c r="L174" t="s">
        <v>42</v>
      </c>
      <c r="M174" t="s">
        <v>43</v>
      </c>
      <c r="N174" s="7">
        <v>3</v>
      </c>
      <c r="O174" s="8">
        <v>45524.667812500003</v>
      </c>
      <c r="P174" s="9">
        <v>45525</v>
      </c>
      <c r="Q174" t="s">
        <v>44</v>
      </c>
      <c r="R174" t="s">
        <v>45</v>
      </c>
      <c r="S174" t="s">
        <v>46</v>
      </c>
      <c r="T174" t="s">
        <v>92</v>
      </c>
      <c r="U174" t="s">
        <v>103</v>
      </c>
      <c r="V174">
        <v>40000</v>
      </c>
      <c r="W174" t="s">
        <v>45</v>
      </c>
      <c r="X174" t="s">
        <v>104</v>
      </c>
      <c r="Y174" t="s">
        <v>50</v>
      </c>
      <c r="Z174" s="10">
        <f t="shared" si="16"/>
        <v>10.6</v>
      </c>
      <c r="AA174" s="11">
        <v>0</v>
      </c>
      <c r="AB174" s="11">
        <v>-2</v>
      </c>
      <c r="AC174" s="11">
        <v>0</v>
      </c>
      <c r="AD174" s="11">
        <v>0</v>
      </c>
      <c r="AE174" s="11">
        <v>0</v>
      </c>
      <c r="AF174" s="11">
        <f t="shared" si="12"/>
        <v>0.51600000000000001</v>
      </c>
      <c r="AG174" s="11">
        <f t="shared" si="13"/>
        <v>9.1159999999999997</v>
      </c>
      <c r="AH174" t="s">
        <v>51</v>
      </c>
    </row>
    <row r="175" spans="1:34" ht="15" customHeight="1" x14ac:dyDescent="0.25">
      <c r="A175">
        <v>7547676</v>
      </c>
      <c r="B175" t="s">
        <v>34</v>
      </c>
      <c r="C175" t="s">
        <v>35</v>
      </c>
      <c r="D175" s="6" t="s">
        <v>34</v>
      </c>
      <c r="E175" t="s">
        <v>627</v>
      </c>
      <c r="F175" t="s">
        <v>37</v>
      </c>
      <c r="G175" t="s">
        <v>38</v>
      </c>
      <c r="H175" t="s">
        <v>628</v>
      </c>
      <c r="I175" t="s">
        <v>40</v>
      </c>
      <c r="J175">
        <v>2</v>
      </c>
      <c r="K175" t="s">
        <v>41</v>
      </c>
      <c r="L175" t="s">
        <v>42</v>
      </c>
      <c r="M175" t="s">
        <v>43</v>
      </c>
      <c r="N175" s="7">
        <v>1</v>
      </c>
      <c r="O175" s="8">
        <v>45523.794374999998</v>
      </c>
      <c r="P175" s="9">
        <v>45525</v>
      </c>
      <c r="Q175" t="s">
        <v>44</v>
      </c>
      <c r="R175" t="s">
        <v>45</v>
      </c>
      <c r="S175" t="s">
        <v>46</v>
      </c>
      <c r="T175" t="s">
        <v>84</v>
      </c>
      <c r="U175" t="s">
        <v>629</v>
      </c>
      <c r="V175">
        <v>18300</v>
      </c>
      <c r="W175" t="s">
        <v>45</v>
      </c>
      <c r="X175" t="s">
        <v>74</v>
      </c>
      <c r="Y175" t="s">
        <v>50</v>
      </c>
      <c r="Z175" s="10">
        <f t="shared" si="16"/>
        <v>9</v>
      </c>
      <c r="AA175" s="11">
        <v>0</v>
      </c>
      <c r="AB175" s="11">
        <v>-2</v>
      </c>
      <c r="AC175" s="11">
        <v>0</v>
      </c>
      <c r="AD175" s="11">
        <v>0</v>
      </c>
      <c r="AE175" s="11">
        <v>0</v>
      </c>
      <c r="AF175" s="11">
        <f t="shared" si="12"/>
        <v>0.42</v>
      </c>
      <c r="AG175" s="11">
        <f t="shared" si="13"/>
        <v>7.42</v>
      </c>
      <c r="AH175" t="s">
        <v>51</v>
      </c>
    </row>
    <row r="176" spans="1:34" ht="15" customHeight="1" x14ac:dyDescent="0.25">
      <c r="A176">
        <v>7547676</v>
      </c>
      <c r="B176" t="s">
        <v>34</v>
      </c>
      <c r="C176" t="s">
        <v>35</v>
      </c>
      <c r="D176" s="6" t="s">
        <v>34</v>
      </c>
      <c r="E176" t="s">
        <v>630</v>
      </c>
      <c r="F176" t="s">
        <v>37</v>
      </c>
      <c r="G176" t="s">
        <v>38</v>
      </c>
      <c r="H176" t="s">
        <v>631</v>
      </c>
      <c r="I176" t="s">
        <v>40</v>
      </c>
      <c r="J176">
        <v>2</v>
      </c>
      <c r="K176" t="s">
        <v>41</v>
      </c>
      <c r="L176" t="s">
        <v>42</v>
      </c>
      <c r="M176" t="s">
        <v>43</v>
      </c>
      <c r="N176" s="7">
        <v>1</v>
      </c>
      <c r="O176" s="8">
        <v>45524.592349537037</v>
      </c>
      <c r="P176" s="9">
        <v>45525</v>
      </c>
      <c r="Q176" t="s">
        <v>44</v>
      </c>
      <c r="R176" t="s">
        <v>45</v>
      </c>
      <c r="S176" t="s">
        <v>46</v>
      </c>
      <c r="T176" t="s">
        <v>223</v>
      </c>
      <c r="U176" t="s">
        <v>632</v>
      </c>
      <c r="V176">
        <v>28600</v>
      </c>
      <c r="W176" t="s">
        <v>45</v>
      </c>
      <c r="X176" t="s">
        <v>225</v>
      </c>
      <c r="Y176" t="s">
        <v>50</v>
      </c>
      <c r="Z176" s="10">
        <f t="shared" si="16"/>
        <v>9</v>
      </c>
      <c r="AA176" s="11">
        <v>0</v>
      </c>
      <c r="AB176" s="11">
        <v>-2</v>
      </c>
      <c r="AC176" s="11">
        <v>0</v>
      </c>
      <c r="AD176" s="11">
        <v>0</v>
      </c>
      <c r="AE176" s="11">
        <v>0</v>
      </c>
      <c r="AF176" s="11">
        <f t="shared" si="12"/>
        <v>0.42</v>
      </c>
      <c r="AG176" s="11">
        <f t="shared" si="13"/>
        <v>7.42</v>
      </c>
      <c r="AH176" t="s">
        <v>51</v>
      </c>
    </row>
    <row r="177" spans="1:34" ht="15" customHeight="1" x14ac:dyDescent="0.25">
      <c r="A177">
        <v>7547676</v>
      </c>
      <c r="B177" t="s">
        <v>34</v>
      </c>
      <c r="C177" t="s">
        <v>35</v>
      </c>
      <c r="D177" s="6" t="s">
        <v>34</v>
      </c>
      <c r="E177" t="s">
        <v>633</v>
      </c>
      <c r="F177" t="s">
        <v>37</v>
      </c>
      <c r="G177" t="s">
        <v>38</v>
      </c>
      <c r="H177" t="s">
        <v>634</v>
      </c>
      <c r="I177" t="s">
        <v>40</v>
      </c>
      <c r="J177">
        <v>2</v>
      </c>
      <c r="K177" t="s">
        <v>41</v>
      </c>
      <c r="L177" t="s">
        <v>42</v>
      </c>
      <c r="M177" t="s">
        <v>43</v>
      </c>
      <c r="N177" s="7">
        <v>2</v>
      </c>
      <c r="O177" s="8">
        <v>45523.738599537035</v>
      </c>
      <c r="P177" s="9">
        <v>45525</v>
      </c>
      <c r="Q177" t="s">
        <v>44</v>
      </c>
      <c r="R177" t="s">
        <v>45</v>
      </c>
      <c r="S177" t="s">
        <v>46</v>
      </c>
      <c r="T177" t="s">
        <v>129</v>
      </c>
      <c r="U177" t="s">
        <v>635</v>
      </c>
      <c r="V177">
        <v>70450</v>
      </c>
      <c r="W177" t="s">
        <v>45</v>
      </c>
      <c r="X177" t="s">
        <v>636</v>
      </c>
      <c r="Y177" t="s">
        <v>50</v>
      </c>
      <c r="Z177" s="10">
        <f t="shared" si="16"/>
        <v>9.8000000000000007</v>
      </c>
      <c r="AA177" s="11">
        <v>0</v>
      </c>
      <c r="AB177" s="11">
        <v>-2</v>
      </c>
      <c r="AC177" s="11">
        <v>0</v>
      </c>
      <c r="AD177" s="11">
        <v>0</v>
      </c>
      <c r="AE177" s="11">
        <v>0</v>
      </c>
      <c r="AF177" s="11">
        <f t="shared" si="12"/>
        <v>0.46800000000000003</v>
      </c>
      <c r="AG177" s="11">
        <f t="shared" si="13"/>
        <v>8.2680000000000007</v>
      </c>
      <c r="AH177" t="s">
        <v>51</v>
      </c>
    </row>
    <row r="178" spans="1:34" ht="15" customHeight="1" x14ac:dyDescent="0.25">
      <c r="A178">
        <v>7547676</v>
      </c>
      <c r="B178" t="s">
        <v>34</v>
      </c>
      <c r="C178" t="s">
        <v>35</v>
      </c>
      <c r="D178" s="6" t="s">
        <v>34</v>
      </c>
      <c r="E178" t="s">
        <v>637</v>
      </c>
      <c r="F178" t="s">
        <v>37</v>
      </c>
      <c r="G178" t="s">
        <v>38</v>
      </c>
      <c r="H178" t="s">
        <v>638</v>
      </c>
      <c r="I178" t="s">
        <v>40</v>
      </c>
      <c r="J178">
        <v>2</v>
      </c>
      <c r="K178" t="s">
        <v>41</v>
      </c>
      <c r="L178" t="s">
        <v>42</v>
      </c>
      <c r="M178" t="s">
        <v>43</v>
      </c>
      <c r="N178" s="7">
        <v>1</v>
      </c>
      <c r="O178" s="8">
        <v>45523.78638888889</v>
      </c>
      <c r="P178" s="9">
        <v>45525</v>
      </c>
      <c r="Q178" t="s">
        <v>44</v>
      </c>
      <c r="R178" t="s">
        <v>45</v>
      </c>
      <c r="S178" t="s">
        <v>46</v>
      </c>
      <c r="T178" t="s">
        <v>129</v>
      </c>
      <c r="U178" t="s">
        <v>639</v>
      </c>
      <c r="V178">
        <v>71450</v>
      </c>
      <c r="W178" t="s">
        <v>45</v>
      </c>
      <c r="X178" t="s">
        <v>636</v>
      </c>
      <c r="Y178" t="s">
        <v>50</v>
      </c>
      <c r="Z178" s="10">
        <f t="shared" si="16"/>
        <v>9</v>
      </c>
      <c r="AA178" s="11">
        <v>0</v>
      </c>
      <c r="AB178" s="11">
        <v>-2</v>
      </c>
      <c r="AC178" s="11">
        <v>0</v>
      </c>
      <c r="AD178" s="11">
        <v>0</v>
      </c>
      <c r="AE178" s="11">
        <v>0</v>
      </c>
      <c r="AF178" s="11">
        <f t="shared" si="12"/>
        <v>0.42</v>
      </c>
      <c r="AG178" s="11">
        <f t="shared" si="13"/>
        <v>7.42</v>
      </c>
      <c r="AH178" t="s">
        <v>51</v>
      </c>
    </row>
    <row r="179" spans="1:34" ht="15" customHeight="1" x14ac:dyDescent="0.25">
      <c r="A179">
        <v>7547676</v>
      </c>
      <c r="B179" t="s">
        <v>34</v>
      </c>
      <c r="C179" t="s">
        <v>35</v>
      </c>
      <c r="D179" s="6" t="s">
        <v>34</v>
      </c>
      <c r="E179" t="s">
        <v>640</v>
      </c>
      <c r="F179" t="s">
        <v>37</v>
      </c>
      <c r="G179" t="s">
        <v>38</v>
      </c>
      <c r="H179" t="s">
        <v>641</v>
      </c>
      <c r="I179" t="s">
        <v>40</v>
      </c>
      <c r="J179">
        <v>2</v>
      </c>
      <c r="K179" t="s">
        <v>41</v>
      </c>
      <c r="L179" t="s">
        <v>42</v>
      </c>
      <c r="M179" t="s">
        <v>43</v>
      </c>
      <c r="N179" s="7">
        <v>1</v>
      </c>
      <c r="O179" s="8">
        <v>45523.727187500001</v>
      </c>
      <c r="P179" s="9">
        <v>45525</v>
      </c>
      <c r="Q179" t="s">
        <v>44</v>
      </c>
      <c r="R179" t="s">
        <v>45</v>
      </c>
      <c r="S179" t="s">
        <v>46</v>
      </c>
      <c r="T179" t="s">
        <v>129</v>
      </c>
      <c r="U179" t="s">
        <v>642</v>
      </c>
      <c r="V179">
        <v>70450</v>
      </c>
      <c r="W179" t="s">
        <v>45</v>
      </c>
      <c r="X179" t="s">
        <v>636</v>
      </c>
      <c r="Y179" t="s">
        <v>50</v>
      </c>
      <c r="Z179" s="10">
        <f t="shared" si="16"/>
        <v>9</v>
      </c>
      <c r="AA179" s="11">
        <v>0</v>
      </c>
      <c r="AB179" s="11">
        <v>-2</v>
      </c>
      <c r="AC179" s="11">
        <v>0</v>
      </c>
      <c r="AD179" s="11">
        <v>0</v>
      </c>
      <c r="AE179" s="11">
        <v>0</v>
      </c>
      <c r="AF179" s="11">
        <f t="shared" si="12"/>
        <v>0.42</v>
      </c>
      <c r="AG179" s="11">
        <f t="shared" si="13"/>
        <v>7.42</v>
      </c>
      <c r="AH179" t="s">
        <v>51</v>
      </c>
    </row>
    <row r="180" spans="1:34" ht="15" customHeight="1" x14ac:dyDescent="0.25">
      <c r="A180">
        <v>7547676</v>
      </c>
      <c r="B180" t="s">
        <v>34</v>
      </c>
      <c r="C180" t="s">
        <v>35</v>
      </c>
      <c r="D180" s="6" t="s">
        <v>34</v>
      </c>
      <c r="E180" t="s">
        <v>643</v>
      </c>
      <c r="F180" t="s">
        <v>37</v>
      </c>
      <c r="G180" t="s">
        <v>38</v>
      </c>
      <c r="H180" t="s">
        <v>644</v>
      </c>
      <c r="I180" t="s">
        <v>40</v>
      </c>
      <c r="J180">
        <v>2</v>
      </c>
      <c r="K180" t="s">
        <v>41</v>
      </c>
      <c r="L180" t="s">
        <v>42</v>
      </c>
      <c r="M180" t="s">
        <v>43</v>
      </c>
      <c r="N180" s="7">
        <v>1</v>
      </c>
      <c r="O180" s="8">
        <v>45524.592349537037</v>
      </c>
      <c r="P180" s="9">
        <v>45525</v>
      </c>
      <c r="Q180" t="s">
        <v>44</v>
      </c>
      <c r="R180" t="s">
        <v>45</v>
      </c>
      <c r="S180" t="s">
        <v>46</v>
      </c>
      <c r="T180" t="s">
        <v>72</v>
      </c>
      <c r="U180" t="s">
        <v>645</v>
      </c>
      <c r="V180">
        <v>21450</v>
      </c>
      <c r="W180" t="s">
        <v>45</v>
      </c>
      <c r="X180" t="s">
        <v>139</v>
      </c>
      <c r="Y180" t="s">
        <v>50</v>
      </c>
      <c r="Z180" s="10">
        <f t="shared" si="16"/>
        <v>9</v>
      </c>
      <c r="AA180" s="11">
        <v>0</v>
      </c>
      <c r="AB180" s="11">
        <v>-2</v>
      </c>
      <c r="AC180" s="11">
        <v>0</v>
      </c>
      <c r="AD180" s="11">
        <v>0</v>
      </c>
      <c r="AE180" s="11">
        <v>0</v>
      </c>
      <c r="AF180" s="11">
        <f t="shared" si="12"/>
        <v>0.42</v>
      </c>
      <c r="AG180" s="11">
        <f t="shared" si="13"/>
        <v>7.42</v>
      </c>
      <c r="AH180" t="s">
        <v>51</v>
      </c>
    </row>
    <row r="181" spans="1:34" ht="15" customHeight="1" x14ac:dyDescent="0.25">
      <c r="A181">
        <v>7547676</v>
      </c>
      <c r="B181" t="s">
        <v>34</v>
      </c>
      <c r="C181" t="s">
        <v>35</v>
      </c>
      <c r="D181" s="6" t="s">
        <v>34</v>
      </c>
      <c r="E181" t="s">
        <v>646</v>
      </c>
      <c r="F181" t="s">
        <v>37</v>
      </c>
      <c r="G181" t="s">
        <v>38</v>
      </c>
      <c r="H181" t="s">
        <v>647</v>
      </c>
      <c r="I181" t="s">
        <v>40</v>
      </c>
      <c r="J181">
        <v>2</v>
      </c>
      <c r="K181" t="s">
        <v>41</v>
      </c>
      <c r="L181" t="s">
        <v>42</v>
      </c>
      <c r="M181" t="s">
        <v>43</v>
      </c>
      <c r="N181" s="7">
        <v>9</v>
      </c>
      <c r="O181" s="8">
        <v>45524.469004629631</v>
      </c>
      <c r="P181" s="9">
        <v>45525</v>
      </c>
      <c r="Q181" t="s">
        <v>44</v>
      </c>
      <c r="R181" t="s">
        <v>45</v>
      </c>
      <c r="S181" t="s">
        <v>46</v>
      </c>
      <c r="T181" t="s">
        <v>92</v>
      </c>
      <c r="U181" t="s">
        <v>648</v>
      </c>
      <c r="V181">
        <v>47301</v>
      </c>
      <c r="W181" t="s">
        <v>45</v>
      </c>
      <c r="X181" t="s">
        <v>524</v>
      </c>
      <c r="Y181" t="s">
        <v>50</v>
      </c>
      <c r="Z181" s="10">
        <f t="shared" si="16"/>
        <v>15.4</v>
      </c>
      <c r="AA181" s="11">
        <v>0</v>
      </c>
      <c r="AB181" s="11">
        <v>-2</v>
      </c>
      <c r="AC181" s="11">
        <v>0</v>
      </c>
      <c r="AD181" s="11">
        <v>0</v>
      </c>
      <c r="AE181" s="11">
        <v>0</v>
      </c>
      <c r="AF181" s="11">
        <f t="shared" si="12"/>
        <v>0.80399999999999994</v>
      </c>
      <c r="AG181" s="11">
        <f t="shared" si="13"/>
        <v>14.204000000000001</v>
      </c>
      <c r="AH181" t="s">
        <v>51</v>
      </c>
    </row>
    <row r="182" spans="1:34" ht="15" customHeight="1" x14ac:dyDescent="0.25">
      <c r="A182">
        <v>7547676</v>
      </c>
      <c r="B182" t="s">
        <v>34</v>
      </c>
      <c r="C182" t="s">
        <v>35</v>
      </c>
      <c r="D182" s="6" t="s">
        <v>34</v>
      </c>
      <c r="E182" t="s">
        <v>649</v>
      </c>
      <c r="F182" t="s">
        <v>37</v>
      </c>
      <c r="G182" t="s">
        <v>38</v>
      </c>
      <c r="H182" t="s">
        <v>650</v>
      </c>
      <c r="I182" t="s">
        <v>40</v>
      </c>
      <c r="J182">
        <v>2</v>
      </c>
      <c r="K182" t="s">
        <v>41</v>
      </c>
      <c r="L182" t="s">
        <v>42</v>
      </c>
      <c r="M182" t="s">
        <v>43</v>
      </c>
      <c r="N182" s="7">
        <v>1</v>
      </c>
      <c r="O182" s="8">
        <v>45523.638715277775</v>
      </c>
      <c r="P182" s="9">
        <v>45525</v>
      </c>
      <c r="Q182" t="s">
        <v>44</v>
      </c>
      <c r="R182" t="s">
        <v>45</v>
      </c>
      <c r="S182" t="s">
        <v>46</v>
      </c>
      <c r="T182" t="s">
        <v>92</v>
      </c>
      <c r="U182" t="s">
        <v>651</v>
      </c>
      <c r="V182">
        <v>43400</v>
      </c>
      <c r="W182" t="s">
        <v>45</v>
      </c>
      <c r="X182" t="s">
        <v>652</v>
      </c>
      <c r="Y182" t="s">
        <v>50</v>
      </c>
      <c r="Z182" s="10">
        <f t="shared" si="16"/>
        <v>9</v>
      </c>
      <c r="AA182" s="11">
        <v>0</v>
      </c>
      <c r="AB182" s="11">
        <v>-2</v>
      </c>
      <c r="AC182" s="11">
        <v>0</v>
      </c>
      <c r="AD182" s="11">
        <v>0</v>
      </c>
      <c r="AE182" s="11">
        <v>0</v>
      </c>
      <c r="AF182" s="11">
        <f t="shared" si="12"/>
        <v>0.42</v>
      </c>
      <c r="AG182" s="11">
        <f t="shared" si="13"/>
        <v>7.42</v>
      </c>
      <c r="AH182" t="s">
        <v>51</v>
      </c>
    </row>
    <row r="183" spans="1:34" ht="15" customHeight="1" x14ac:dyDescent="0.25">
      <c r="A183">
        <v>7547676</v>
      </c>
      <c r="B183" t="s">
        <v>34</v>
      </c>
      <c r="C183" t="s">
        <v>35</v>
      </c>
      <c r="D183" s="6" t="s">
        <v>34</v>
      </c>
      <c r="E183" t="s">
        <v>653</v>
      </c>
      <c r="F183" t="s">
        <v>37</v>
      </c>
      <c r="G183" t="s">
        <v>38</v>
      </c>
      <c r="H183" t="s">
        <v>654</v>
      </c>
      <c r="I183" t="s">
        <v>40</v>
      </c>
      <c r="J183">
        <v>2</v>
      </c>
      <c r="K183" t="s">
        <v>41</v>
      </c>
      <c r="L183" t="s">
        <v>42</v>
      </c>
      <c r="M183" t="s">
        <v>43</v>
      </c>
      <c r="N183" s="7">
        <v>1</v>
      </c>
      <c r="O183" s="8">
        <v>45523.816400462965</v>
      </c>
      <c r="P183" s="9">
        <v>45525</v>
      </c>
      <c r="Q183" t="s">
        <v>44</v>
      </c>
      <c r="R183" t="s">
        <v>45</v>
      </c>
      <c r="S183" t="s">
        <v>46</v>
      </c>
      <c r="T183" t="s">
        <v>72</v>
      </c>
      <c r="U183" t="s">
        <v>655</v>
      </c>
      <c r="V183">
        <v>23400</v>
      </c>
      <c r="W183" t="s">
        <v>45</v>
      </c>
      <c r="X183" t="s">
        <v>139</v>
      </c>
      <c r="Y183" t="s">
        <v>50</v>
      </c>
      <c r="Z183" s="10">
        <f t="shared" si="16"/>
        <v>9</v>
      </c>
      <c r="AA183" s="11">
        <v>0</v>
      </c>
      <c r="AB183" s="11">
        <v>-2</v>
      </c>
      <c r="AC183" s="11">
        <v>0</v>
      </c>
      <c r="AD183" s="11">
        <v>0</v>
      </c>
      <c r="AE183" s="11">
        <v>0</v>
      </c>
      <c r="AF183" s="11">
        <f t="shared" si="12"/>
        <v>0.42</v>
      </c>
      <c r="AG183" s="11">
        <f t="shared" si="13"/>
        <v>7.42</v>
      </c>
      <c r="AH183" t="s">
        <v>51</v>
      </c>
    </row>
    <row r="184" spans="1:34" ht="15" customHeight="1" x14ac:dyDescent="0.25">
      <c r="A184">
        <v>7547676</v>
      </c>
      <c r="B184" t="s">
        <v>34</v>
      </c>
      <c r="C184" t="s">
        <v>35</v>
      </c>
      <c r="D184" s="6" t="s">
        <v>34</v>
      </c>
      <c r="E184" t="s">
        <v>656</v>
      </c>
      <c r="F184" t="s">
        <v>37</v>
      </c>
      <c r="G184" t="s">
        <v>38</v>
      </c>
      <c r="H184" t="s">
        <v>657</v>
      </c>
      <c r="I184" t="s">
        <v>40</v>
      </c>
      <c r="J184">
        <v>2</v>
      </c>
      <c r="K184" t="s">
        <v>41</v>
      </c>
      <c r="L184" t="s">
        <v>42</v>
      </c>
      <c r="M184" t="s">
        <v>43</v>
      </c>
      <c r="N184" s="7">
        <v>1</v>
      </c>
      <c r="O184" s="8">
        <v>45523.742418981485</v>
      </c>
      <c r="P184" s="9">
        <v>45525</v>
      </c>
      <c r="Q184" t="s">
        <v>44</v>
      </c>
      <c r="R184" t="s">
        <v>45</v>
      </c>
      <c r="S184" t="s">
        <v>46</v>
      </c>
      <c r="T184" t="s">
        <v>151</v>
      </c>
      <c r="U184" t="s">
        <v>658</v>
      </c>
      <c r="V184">
        <v>76300</v>
      </c>
      <c r="W184" t="s">
        <v>45</v>
      </c>
      <c r="X184" t="s">
        <v>346</v>
      </c>
      <c r="Y184" t="s">
        <v>50</v>
      </c>
      <c r="Z184" s="10">
        <f t="shared" si="16"/>
        <v>9</v>
      </c>
      <c r="AA184" s="11">
        <v>0</v>
      </c>
      <c r="AB184" s="11">
        <v>-2</v>
      </c>
      <c r="AC184" s="11">
        <v>0</v>
      </c>
      <c r="AD184" s="11">
        <v>0</v>
      </c>
      <c r="AE184" s="11">
        <v>0</v>
      </c>
      <c r="AF184" s="11">
        <f t="shared" si="12"/>
        <v>0.42</v>
      </c>
      <c r="AG184" s="11">
        <f t="shared" si="13"/>
        <v>7.42</v>
      </c>
      <c r="AH184" t="s">
        <v>51</v>
      </c>
    </row>
    <row r="185" spans="1:34" ht="15" customHeight="1" x14ac:dyDescent="0.25">
      <c r="A185">
        <v>7547676</v>
      </c>
      <c r="B185" t="s">
        <v>34</v>
      </c>
      <c r="C185" t="s">
        <v>35</v>
      </c>
      <c r="D185" s="6" t="s">
        <v>34</v>
      </c>
      <c r="E185" t="s">
        <v>659</v>
      </c>
      <c r="F185" t="s">
        <v>37</v>
      </c>
      <c r="G185" t="s">
        <v>38</v>
      </c>
      <c r="H185" t="s">
        <v>660</v>
      </c>
      <c r="I185" t="s">
        <v>40</v>
      </c>
      <c r="J185">
        <v>2</v>
      </c>
      <c r="K185" t="s">
        <v>41</v>
      </c>
      <c r="L185" t="s">
        <v>42</v>
      </c>
      <c r="M185" t="s">
        <v>43</v>
      </c>
      <c r="N185" s="7">
        <v>1</v>
      </c>
      <c r="O185" s="8">
        <v>45522.802233796298</v>
      </c>
      <c r="P185" s="9">
        <v>45525</v>
      </c>
      <c r="Q185" t="s">
        <v>44</v>
      </c>
      <c r="R185" t="s">
        <v>45</v>
      </c>
      <c r="S185" t="s">
        <v>46</v>
      </c>
      <c r="T185" t="s">
        <v>47</v>
      </c>
      <c r="U185" t="s">
        <v>661</v>
      </c>
      <c r="V185">
        <v>34600</v>
      </c>
      <c r="W185" t="s">
        <v>45</v>
      </c>
      <c r="X185" t="s">
        <v>285</v>
      </c>
      <c r="Y185" t="s">
        <v>50</v>
      </c>
      <c r="Z185" s="10">
        <f t="shared" si="16"/>
        <v>9</v>
      </c>
      <c r="AA185" s="11">
        <v>0</v>
      </c>
      <c r="AB185" s="11">
        <v>-2</v>
      </c>
      <c r="AC185" s="11">
        <v>0</v>
      </c>
      <c r="AD185" s="11">
        <v>0</v>
      </c>
      <c r="AE185" s="11">
        <v>0</v>
      </c>
      <c r="AF185" s="11">
        <f t="shared" si="12"/>
        <v>0.42</v>
      </c>
      <c r="AG185" s="11">
        <f t="shared" si="13"/>
        <v>7.42</v>
      </c>
      <c r="AH185" t="s">
        <v>51</v>
      </c>
    </row>
    <row r="186" spans="1:34" ht="15" customHeight="1" x14ac:dyDescent="0.25">
      <c r="A186">
        <v>7547676</v>
      </c>
      <c r="B186" t="s">
        <v>34</v>
      </c>
      <c r="C186" t="s">
        <v>35</v>
      </c>
      <c r="D186" s="6" t="s">
        <v>34</v>
      </c>
      <c r="E186" t="s">
        <v>662</v>
      </c>
      <c r="F186" t="s">
        <v>37</v>
      </c>
      <c r="G186" t="s">
        <v>38</v>
      </c>
      <c r="H186" t="s">
        <v>663</v>
      </c>
      <c r="I186" t="s">
        <v>40</v>
      </c>
      <c r="J186">
        <v>2</v>
      </c>
      <c r="K186" t="s">
        <v>41</v>
      </c>
      <c r="L186" t="s">
        <v>42</v>
      </c>
      <c r="M186" t="s">
        <v>43</v>
      </c>
      <c r="N186" s="7">
        <v>1</v>
      </c>
      <c r="O186" s="8">
        <v>45524.596250000002</v>
      </c>
      <c r="P186" s="9">
        <v>45525</v>
      </c>
      <c r="Q186" t="s">
        <v>44</v>
      </c>
      <c r="R186" t="s">
        <v>45</v>
      </c>
      <c r="S186" t="s">
        <v>46</v>
      </c>
      <c r="T186" t="s">
        <v>146</v>
      </c>
      <c r="U186" t="s">
        <v>664</v>
      </c>
      <c r="V186">
        <v>46100</v>
      </c>
      <c r="W186" t="s">
        <v>45</v>
      </c>
      <c r="X186" t="s">
        <v>69</v>
      </c>
      <c r="Y186" t="s">
        <v>50</v>
      </c>
      <c r="Z186" s="10">
        <f t="shared" si="16"/>
        <v>9</v>
      </c>
      <c r="AA186" s="11">
        <v>0</v>
      </c>
      <c r="AB186" s="11">
        <v>-2</v>
      </c>
      <c r="AC186" s="11">
        <v>0</v>
      </c>
      <c r="AD186" s="11">
        <v>0</v>
      </c>
      <c r="AE186" s="11">
        <v>0</v>
      </c>
      <c r="AF186" s="11">
        <f t="shared" si="12"/>
        <v>0.42</v>
      </c>
      <c r="AG186" s="11">
        <f t="shared" si="13"/>
        <v>7.42</v>
      </c>
      <c r="AH186" t="s">
        <v>51</v>
      </c>
    </row>
    <row r="187" spans="1:34" ht="15" customHeight="1" x14ac:dyDescent="0.25">
      <c r="A187">
        <v>7547676</v>
      </c>
      <c r="B187" t="s">
        <v>34</v>
      </c>
      <c r="C187" t="s">
        <v>35</v>
      </c>
      <c r="D187" s="6" t="s">
        <v>34</v>
      </c>
      <c r="E187" t="s">
        <v>665</v>
      </c>
      <c r="F187" t="s">
        <v>37</v>
      </c>
      <c r="G187" t="s">
        <v>38</v>
      </c>
      <c r="H187" t="s">
        <v>666</v>
      </c>
      <c r="I187" t="s">
        <v>40</v>
      </c>
      <c r="J187">
        <v>2</v>
      </c>
      <c r="K187" t="s">
        <v>41</v>
      </c>
      <c r="L187" t="s">
        <v>42</v>
      </c>
      <c r="M187" t="s">
        <v>43</v>
      </c>
      <c r="N187" s="7">
        <v>1</v>
      </c>
      <c r="O187" s="8">
        <v>45523.589675925927</v>
      </c>
      <c r="P187" s="9">
        <v>45525</v>
      </c>
      <c r="Q187" t="s">
        <v>44</v>
      </c>
      <c r="R187" t="s">
        <v>45</v>
      </c>
      <c r="S187" t="s">
        <v>46</v>
      </c>
      <c r="T187" t="s">
        <v>92</v>
      </c>
      <c r="U187" t="s">
        <v>667</v>
      </c>
      <c r="V187">
        <v>62604</v>
      </c>
      <c r="W187" t="s">
        <v>45</v>
      </c>
      <c r="X187" t="s">
        <v>135</v>
      </c>
      <c r="Y187" t="s">
        <v>50</v>
      </c>
      <c r="Z187" s="10">
        <f t="shared" si="16"/>
        <v>9</v>
      </c>
      <c r="AA187" s="11">
        <v>0</v>
      </c>
      <c r="AB187" s="11">
        <v>-2</v>
      </c>
      <c r="AC187" s="11">
        <v>0</v>
      </c>
      <c r="AD187" s="11">
        <v>0</v>
      </c>
      <c r="AE187" s="11">
        <v>0</v>
      </c>
      <c r="AF187" s="11">
        <f t="shared" si="12"/>
        <v>0.42</v>
      </c>
      <c r="AG187" s="11">
        <f t="shared" si="13"/>
        <v>7.42</v>
      </c>
      <c r="AH187" t="s">
        <v>51</v>
      </c>
    </row>
    <row r="188" spans="1:34" ht="15" customHeight="1" x14ac:dyDescent="0.25">
      <c r="A188">
        <v>7547676</v>
      </c>
      <c r="B188" t="s">
        <v>34</v>
      </c>
      <c r="C188" t="s">
        <v>35</v>
      </c>
      <c r="D188" s="6" t="s">
        <v>34</v>
      </c>
      <c r="E188" t="s">
        <v>668</v>
      </c>
      <c r="F188" t="s">
        <v>37</v>
      </c>
      <c r="G188" t="s">
        <v>38</v>
      </c>
      <c r="H188" t="s">
        <v>669</v>
      </c>
      <c r="I188" t="s">
        <v>40</v>
      </c>
      <c r="J188">
        <v>2</v>
      </c>
      <c r="K188" t="s">
        <v>41</v>
      </c>
      <c r="L188" t="s">
        <v>42</v>
      </c>
      <c r="M188" t="s">
        <v>43</v>
      </c>
      <c r="N188" s="7">
        <v>1</v>
      </c>
      <c r="O188" s="8">
        <v>45524.629965277774</v>
      </c>
      <c r="P188" s="9">
        <v>45525</v>
      </c>
      <c r="Q188" t="s">
        <v>44</v>
      </c>
      <c r="R188" t="s">
        <v>45</v>
      </c>
      <c r="S188" t="s">
        <v>46</v>
      </c>
      <c r="T188" t="s">
        <v>92</v>
      </c>
      <c r="U188" t="s">
        <v>670</v>
      </c>
      <c r="V188">
        <v>45500</v>
      </c>
      <c r="W188" t="s">
        <v>45</v>
      </c>
      <c r="X188" t="s">
        <v>416</v>
      </c>
      <c r="Y188" t="s">
        <v>50</v>
      </c>
      <c r="Z188" s="10">
        <f t="shared" si="16"/>
        <v>9</v>
      </c>
      <c r="AA188" s="11">
        <v>0</v>
      </c>
      <c r="AB188" s="11">
        <v>-2</v>
      </c>
      <c r="AC188" s="11">
        <v>0</v>
      </c>
      <c r="AD188" s="11">
        <v>0</v>
      </c>
      <c r="AE188" s="11">
        <v>0</v>
      </c>
      <c r="AF188" s="11">
        <f t="shared" si="12"/>
        <v>0.42</v>
      </c>
      <c r="AG188" s="11">
        <f t="shared" si="13"/>
        <v>7.42</v>
      </c>
      <c r="AH188" t="s">
        <v>51</v>
      </c>
    </row>
    <row r="189" spans="1:34" ht="15" customHeight="1" x14ac:dyDescent="0.25">
      <c r="A189">
        <v>7547676</v>
      </c>
      <c r="B189" t="s">
        <v>34</v>
      </c>
      <c r="C189" t="s">
        <v>35</v>
      </c>
      <c r="D189" s="6" t="s">
        <v>34</v>
      </c>
      <c r="E189" t="s">
        <v>671</v>
      </c>
      <c r="F189" t="s">
        <v>37</v>
      </c>
      <c r="G189" t="s">
        <v>38</v>
      </c>
      <c r="H189" t="s">
        <v>672</v>
      </c>
      <c r="I189" t="s">
        <v>40</v>
      </c>
      <c r="J189">
        <v>2</v>
      </c>
      <c r="K189" t="s">
        <v>41</v>
      </c>
      <c r="L189" t="s">
        <v>42</v>
      </c>
      <c r="M189" t="s">
        <v>43</v>
      </c>
      <c r="N189" s="7">
        <v>1</v>
      </c>
      <c r="O189" s="8">
        <v>45523.564189814817</v>
      </c>
      <c r="P189" s="9">
        <v>45525</v>
      </c>
      <c r="Q189" t="s">
        <v>44</v>
      </c>
      <c r="R189" t="s">
        <v>45</v>
      </c>
      <c r="S189" t="s">
        <v>46</v>
      </c>
      <c r="T189" t="s">
        <v>92</v>
      </c>
      <c r="U189" t="s">
        <v>673</v>
      </c>
      <c r="V189">
        <v>42300</v>
      </c>
      <c r="W189" t="s">
        <v>45</v>
      </c>
      <c r="X189" t="s">
        <v>520</v>
      </c>
      <c r="Y189" t="s">
        <v>50</v>
      </c>
      <c r="Z189" s="10">
        <f t="shared" si="16"/>
        <v>9</v>
      </c>
      <c r="AA189" s="11">
        <v>0</v>
      </c>
      <c r="AB189" s="11">
        <v>-2</v>
      </c>
      <c r="AC189" s="11">
        <v>0</v>
      </c>
      <c r="AD189" s="11">
        <v>0</v>
      </c>
      <c r="AE189" s="11">
        <v>0</v>
      </c>
      <c r="AF189" s="11">
        <f t="shared" si="12"/>
        <v>0.42</v>
      </c>
      <c r="AG189" s="11">
        <f t="shared" si="13"/>
        <v>7.42</v>
      </c>
      <c r="AH189" t="s">
        <v>51</v>
      </c>
    </row>
    <row r="190" spans="1:34" ht="15" customHeight="1" x14ac:dyDescent="0.25">
      <c r="A190">
        <v>7547676</v>
      </c>
      <c r="B190" t="s">
        <v>34</v>
      </c>
      <c r="C190" t="s">
        <v>35</v>
      </c>
      <c r="D190" s="6" t="s">
        <v>34</v>
      </c>
      <c r="E190" t="s">
        <v>674</v>
      </c>
      <c r="F190" t="s">
        <v>37</v>
      </c>
      <c r="G190" t="s">
        <v>38</v>
      </c>
      <c r="H190" t="s">
        <v>675</v>
      </c>
      <c r="I190" t="s">
        <v>40</v>
      </c>
      <c r="J190">
        <v>2</v>
      </c>
      <c r="K190" t="s">
        <v>41</v>
      </c>
      <c r="L190" t="s">
        <v>42</v>
      </c>
      <c r="M190" t="s">
        <v>43</v>
      </c>
      <c r="N190" s="7">
        <v>2</v>
      </c>
      <c r="O190" s="8">
        <v>45523.418923611112</v>
      </c>
      <c r="P190" s="9">
        <v>45525</v>
      </c>
      <c r="Q190" t="s">
        <v>44</v>
      </c>
      <c r="R190" t="s">
        <v>45</v>
      </c>
      <c r="S190" t="s">
        <v>46</v>
      </c>
      <c r="T190" t="s">
        <v>54</v>
      </c>
      <c r="U190" t="s">
        <v>676</v>
      </c>
      <c r="V190">
        <v>81300</v>
      </c>
      <c r="W190" t="s">
        <v>45</v>
      </c>
      <c r="X190" t="s">
        <v>330</v>
      </c>
      <c r="Y190" t="s">
        <v>50</v>
      </c>
      <c r="Z190" s="10">
        <f t="shared" si="16"/>
        <v>9.8000000000000007</v>
      </c>
      <c r="AA190" s="11">
        <v>0</v>
      </c>
      <c r="AB190" s="11">
        <v>-2</v>
      </c>
      <c r="AC190" s="11">
        <v>0</v>
      </c>
      <c r="AD190" s="11">
        <v>0</v>
      </c>
      <c r="AE190" s="11">
        <v>0</v>
      </c>
      <c r="AF190" s="11">
        <f t="shared" si="12"/>
        <v>0.46800000000000003</v>
      </c>
      <c r="AG190" s="11">
        <f t="shared" si="13"/>
        <v>8.2680000000000007</v>
      </c>
      <c r="AH190" t="s">
        <v>51</v>
      </c>
    </row>
    <row r="191" spans="1:34" ht="15" customHeight="1" x14ac:dyDescent="0.25">
      <c r="A191">
        <v>7547676</v>
      </c>
      <c r="B191" t="s">
        <v>34</v>
      </c>
      <c r="C191" t="s">
        <v>35</v>
      </c>
      <c r="D191" s="6" t="s">
        <v>34</v>
      </c>
      <c r="E191" t="s">
        <v>677</v>
      </c>
      <c r="F191" t="s">
        <v>37</v>
      </c>
      <c r="G191" t="s">
        <v>38</v>
      </c>
      <c r="H191" t="s">
        <v>678</v>
      </c>
      <c r="I191" t="s">
        <v>40</v>
      </c>
      <c r="J191">
        <v>2</v>
      </c>
      <c r="K191" t="s">
        <v>41</v>
      </c>
      <c r="L191" t="s">
        <v>42</v>
      </c>
      <c r="M191" t="s">
        <v>43</v>
      </c>
      <c r="N191" s="7">
        <v>1</v>
      </c>
      <c r="O191" s="8">
        <v>45524.592349537037</v>
      </c>
      <c r="P191" s="9">
        <v>45525</v>
      </c>
      <c r="Q191" t="s">
        <v>44</v>
      </c>
      <c r="R191" t="s">
        <v>45</v>
      </c>
      <c r="S191" t="s">
        <v>46</v>
      </c>
      <c r="T191" t="s">
        <v>92</v>
      </c>
      <c r="U191" t="s">
        <v>679</v>
      </c>
      <c r="V191">
        <v>43000</v>
      </c>
      <c r="W191" t="s">
        <v>45</v>
      </c>
      <c r="X191" t="s">
        <v>69</v>
      </c>
      <c r="Y191" t="s">
        <v>50</v>
      </c>
      <c r="Z191" s="10">
        <f t="shared" si="16"/>
        <v>9</v>
      </c>
      <c r="AA191" s="11">
        <v>0</v>
      </c>
      <c r="AB191" s="11">
        <v>-2</v>
      </c>
      <c r="AC191" s="11">
        <v>0</v>
      </c>
      <c r="AD191" s="11">
        <v>0</v>
      </c>
      <c r="AE191" s="11">
        <v>0</v>
      </c>
      <c r="AF191" s="11">
        <f t="shared" si="12"/>
        <v>0.42</v>
      </c>
      <c r="AG191" s="11">
        <f t="shared" si="13"/>
        <v>7.42</v>
      </c>
      <c r="AH191" t="s">
        <v>51</v>
      </c>
    </row>
    <row r="192" spans="1:34" ht="15" customHeight="1" x14ac:dyDescent="0.25">
      <c r="A192">
        <v>7547676</v>
      </c>
      <c r="B192" t="s">
        <v>34</v>
      </c>
      <c r="C192" t="s">
        <v>35</v>
      </c>
      <c r="D192" s="6" t="s">
        <v>34</v>
      </c>
      <c r="E192" t="s">
        <v>680</v>
      </c>
      <c r="F192" t="s">
        <v>37</v>
      </c>
      <c r="G192" t="s">
        <v>38</v>
      </c>
      <c r="H192" t="s">
        <v>681</v>
      </c>
      <c r="I192" t="s">
        <v>40</v>
      </c>
      <c r="J192">
        <v>2</v>
      </c>
      <c r="K192" t="s">
        <v>41</v>
      </c>
      <c r="L192" t="s">
        <v>42</v>
      </c>
      <c r="M192" t="s">
        <v>43</v>
      </c>
      <c r="N192" s="7">
        <v>2</v>
      </c>
      <c r="O192" s="8">
        <v>45523.613229166665</v>
      </c>
      <c r="P192" s="9">
        <v>45525</v>
      </c>
      <c r="Q192" t="s">
        <v>44</v>
      </c>
      <c r="R192" t="s">
        <v>45</v>
      </c>
      <c r="S192" t="s">
        <v>46</v>
      </c>
      <c r="T192" t="s">
        <v>92</v>
      </c>
      <c r="U192" t="s">
        <v>682</v>
      </c>
      <c r="V192">
        <v>40000</v>
      </c>
      <c r="W192" t="s">
        <v>45</v>
      </c>
      <c r="X192" t="s">
        <v>478</v>
      </c>
      <c r="Y192" t="s">
        <v>50</v>
      </c>
      <c r="Z192" s="10">
        <f t="shared" si="16"/>
        <v>9.8000000000000007</v>
      </c>
      <c r="AA192" s="11">
        <v>0</v>
      </c>
      <c r="AB192" s="11">
        <v>-2</v>
      </c>
      <c r="AC192" s="11">
        <v>0</v>
      </c>
      <c r="AD192" s="11">
        <v>0</v>
      </c>
      <c r="AE192" s="11">
        <v>0</v>
      </c>
      <c r="AF192" s="11">
        <f t="shared" si="12"/>
        <v>0.46800000000000003</v>
      </c>
      <c r="AG192" s="11">
        <f t="shared" si="13"/>
        <v>8.2680000000000007</v>
      </c>
      <c r="AH192" t="s">
        <v>51</v>
      </c>
    </row>
    <row r="193" spans="1:34" ht="15" customHeight="1" x14ac:dyDescent="0.25">
      <c r="A193">
        <v>7547676</v>
      </c>
      <c r="B193" t="s">
        <v>34</v>
      </c>
      <c r="C193" t="s">
        <v>35</v>
      </c>
      <c r="D193" s="6" t="s">
        <v>34</v>
      </c>
      <c r="E193" t="s">
        <v>683</v>
      </c>
      <c r="F193" t="s">
        <v>37</v>
      </c>
      <c r="G193" t="s">
        <v>38</v>
      </c>
      <c r="H193" t="s">
        <v>684</v>
      </c>
      <c r="I193" t="s">
        <v>40</v>
      </c>
      <c r="J193">
        <v>2</v>
      </c>
      <c r="K193" t="s">
        <v>41</v>
      </c>
      <c r="L193" t="s">
        <v>42</v>
      </c>
      <c r="M193" t="s">
        <v>43</v>
      </c>
      <c r="N193" s="7">
        <v>1</v>
      </c>
      <c r="O193" s="8">
        <v>45524.599895833337</v>
      </c>
      <c r="P193" s="9">
        <v>45525</v>
      </c>
      <c r="Q193" t="s">
        <v>44</v>
      </c>
      <c r="R193" t="s">
        <v>45</v>
      </c>
      <c r="S193" t="s">
        <v>46</v>
      </c>
      <c r="T193" t="s">
        <v>223</v>
      </c>
      <c r="U193" t="s">
        <v>685</v>
      </c>
      <c r="V193">
        <v>28000</v>
      </c>
      <c r="W193" t="s">
        <v>45</v>
      </c>
      <c r="X193" t="s">
        <v>225</v>
      </c>
      <c r="Y193" t="s">
        <v>50</v>
      </c>
      <c r="Z193" s="10">
        <f t="shared" si="16"/>
        <v>9</v>
      </c>
      <c r="AA193" s="11">
        <v>0</v>
      </c>
      <c r="AB193" s="11">
        <v>-2</v>
      </c>
      <c r="AC193" s="11">
        <v>0</v>
      </c>
      <c r="AD193" s="11">
        <v>0</v>
      </c>
      <c r="AE193" s="11">
        <v>0</v>
      </c>
      <c r="AF193" s="11">
        <f t="shared" si="12"/>
        <v>0.42</v>
      </c>
      <c r="AG193" s="11">
        <f t="shared" si="13"/>
        <v>7.42</v>
      </c>
      <c r="AH193" t="s">
        <v>51</v>
      </c>
    </row>
    <row r="194" spans="1:34" ht="15" customHeight="1" x14ac:dyDescent="0.25">
      <c r="A194">
        <v>7547676</v>
      </c>
      <c r="B194" t="s">
        <v>34</v>
      </c>
      <c r="C194" t="s">
        <v>35</v>
      </c>
      <c r="D194" s="6" t="s">
        <v>34</v>
      </c>
      <c r="E194" t="s">
        <v>686</v>
      </c>
      <c r="F194" t="s">
        <v>37</v>
      </c>
      <c r="G194" t="s">
        <v>38</v>
      </c>
      <c r="H194" t="s">
        <v>687</v>
      </c>
      <c r="I194" t="s">
        <v>40</v>
      </c>
      <c r="J194">
        <v>2</v>
      </c>
      <c r="K194" t="s">
        <v>41</v>
      </c>
      <c r="L194" t="s">
        <v>42</v>
      </c>
      <c r="M194" t="s">
        <v>43</v>
      </c>
      <c r="N194" s="7">
        <v>1</v>
      </c>
      <c r="O194" s="8">
        <v>45523.59270833333</v>
      </c>
      <c r="P194" s="9">
        <v>45525</v>
      </c>
      <c r="Q194" t="s">
        <v>44</v>
      </c>
      <c r="R194" t="s">
        <v>45</v>
      </c>
      <c r="S194" t="s">
        <v>46</v>
      </c>
      <c r="T194" t="s">
        <v>92</v>
      </c>
      <c r="U194" t="s">
        <v>688</v>
      </c>
      <c r="V194">
        <v>43800</v>
      </c>
      <c r="W194" t="s">
        <v>45</v>
      </c>
      <c r="X194" t="s">
        <v>187</v>
      </c>
      <c r="Y194" t="s">
        <v>50</v>
      </c>
      <c r="Z194" s="10">
        <f t="shared" si="16"/>
        <v>9</v>
      </c>
      <c r="AA194" s="11">
        <v>0</v>
      </c>
      <c r="AB194" s="11">
        <v>-2</v>
      </c>
      <c r="AC194" s="11">
        <v>0</v>
      </c>
      <c r="AD194" s="11">
        <v>0</v>
      </c>
      <c r="AE194" s="11">
        <v>0</v>
      </c>
      <c r="AF194" s="11">
        <f t="shared" ref="AF194:AF257" si="17">(Z194+AB194+AC194+AE194)*6%</f>
        <v>0.42</v>
      </c>
      <c r="AG194" s="11">
        <f t="shared" ref="AG194:AG257" si="18">Z194+AB194+AC194+AE194+AF194</f>
        <v>7.42</v>
      </c>
      <c r="AH194" t="s">
        <v>51</v>
      </c>
    </row>
    <row r="195" spans="1:34" ht="15" customHeight="1" x14ac:dyDescent="0.25">
      <c r="A195">
        <v>7547676</v>
      </c>
      <c r="B195" t="s">
        <v>34</v>
      </c>
      <c r="C195" t="s">
        <v>35</v>
      </c>
      <c r="D195" s="6" t="s">
        <v>34</v>
      </c>
      <c r="E195" t="s">
        <v>689</v>
      </c>
      <c r="F195" t="s">
        <v>37</v>
      </c>
      <c r="G195" t="s">
        <v>38</v>
      </c>
      <c r="H195" t="s">
        <v>690</v>
      </c>
      <c r="I195" t="s">
        <v>40</v>
      </c>
      <c r="J195">
        <v>2</v>
      </c>
      <c r="K195" t="s">
        <v>41</v>
      </c>
      <c r="L195" t="s">
        <v>42</v>
      </c>
      <c r="M195" t="s">
        <v>43</v>
      </c>
      <c r="N195" s="7">
        <v>1</v>
      </c>
      <c r="O195" s="8">
        <v>45524.599907407406</v>
      </c>
      <c r="P195" s="9">
        <v>45525</v>
      </c>
      <c r="Q195" t="s">
        <v>44</v>
      </c>
      <c r="R195" t="s">
        <v>45</v>
      </c>
      <c r="S195" t="s">
        <v>46</v>
      </c>
      <c r="T195" t="s">
        <v>84</v>
      </c>
      <c r="U195" t="s">
        <v>691</v>
      </c>
      <c r="V195">
        <v>15100</v>
      </c>
      <c r="W195" t="s">
        <v>45</v>
      </c>
      <c r="X195" t="s">
        <v>74</v>
      </c>
      <c r="Y195" t="s">
        <v>50</v>
      </c>
      <c r="Z195" s="10">
        <f t="shared" si="16"/>
        <v>9</v>
      </c>
      <c r="AA195" s="11">
        <v>0</v>
      </c>
      <c r="AB195" s="11">
        <v>-2</v>
      </c>
      <c r="AC195" s="11">
        <v>0</v>
      </c>
      <c r="AD195" s="11">
        <v>0</v>
      </c>
      <c r="AE195" s="11">
        <v>0</v>
      </c>
      <c r="AF195" s="11">
        <f t="shared" si="17"/>
        <v>0.42</v>
      </c>
      <c r="AG195" s="11">
        <f t="shared" si="18"/>
        <v>7.42</v>
      </c>
      <c r="AH195" t="s">
        <v>51</v>
      </c>
    </row>
    <row r="196" spans="1:34" ht="15" customHeight="1" x14ac:dyDescent="0.25">
      <c r="A196">
        <v>7547676</v>
      </c>
      <c r="B196" t="s">
        <v>34</v>
      </c>
      <c r="C196" t="s">
        <v>35</v>
      </c>
      <c r="D196" s="6" t="s">
        <v>34</v>
      </c>
      <c r="E196" t="s">
        <v>692</v>
      </c>
      <c r="F196" t="s">
        <v>37</v>
      </c>
      <c r="G196" t="s">
        <v>38</v>
      </c>
      <c r="H196" t="s">
        <v>693</v>
      </c>
      <c r="I196" t="s">
        <v>40</v>
      </c>
      <c r="J196">
        <v>2</v>
      </c>
      <c r="K196" t="s">
        <v>41</v>
      </c>
      <c r="L196" t="s">
        <v>42</v>
      </c>
      <c r="M196" t="s">
        <v>43</v>
      </c>
      <c r="N196" s="7">
        <v>1</v>
      </c>
      <c r="O196" s="8">
        <v>45523.59270833333</v>
      </c>
      <c r="P196" s="9">
        <v>45525</v>
      </c>
      <c r="Q196" t="s">
        <v>44</v>
      </c>
      <c r="R196" t="s">
        <v>45</v>
      </c>
      <c r="S196" t="s">
        <v>46</v>
      </c>
      <c r="T196" t="s">
        <v>54</v>
      </c>
      <c r="U196" t="s">
        <v>694</v>
      </c>
      <c r="V196">
        <v>81750</v>
      </c>
      <c r="W196" t="s">
        <v>45</v>
      </c>
      <c r="X196" t="s">
        <v>65</v>
      </c>
      <c r="Y196" t="s">
        <v>50</v>
      </c>
      <c r="Z196" s="10">
        <f t="shared" si="16"/>
        <v>9</v>
      </c>
      <c r="AA196" s="11">
        <v>0</v>
      </c>
      <c r="AB196" s="11">
        <v>-2</v>
      </c>
      <c r="AC196" s="11">
        <v>0</v>
      </c>
      <c r="AD196" s="11">
        <v>0</v>
      </c>
      <c r="AE196" s="11">
        <v>0</v>
      </c>
      <c r="AF196" s="11">
        <f t="shared" si="17"/>
        <v>0.42</v>
      </c>
      <c r="AG196" s="11">
        <f t="shared" si="18"/>
        <v>7.42</v>
      </c>
      <c r="AH196" t="s">
        <v>51</v>
      </c>
    </row>
    <row r="197" spans="1:34" ht="15" customHeight="1" x14ac:dyDescent="0.25">
      <c r="A197">
        <v>7547676</v>
      </c>
      <c r="B197" t="s">
        <v>34</v>
      </c>
      <c r="C197" t="s">
        <v>35</v>
      </c>
      <c r="D197" s="6" t="s">
        <v>34</v>
      </c>
      <c r="E197" t="s">
        <v>695</v>
      </c>
      <c r="F197" t="s">
        <v>37</v>
      </c>
      <c r="G197" t="s">
        <v>38</v>
      </c>
      <c r="H197" t="s">
        <v>696</v>
      </c>
      <c r="I197" t="s">
        <v>40</v>
      </c>
      <c r="J197">
        <v>2</v>
      </c>
      <c r="K197" t="s">
        <v>41</v>
      </c>
      <c r="L197" t="s">
        <v>42</v>
      </c>
      <c r="M197" t="s">
        <v>43</v>
      </c>
      <c r="N197" s="7">
        <v>1</v>
      </c>
      <c r="O197" s="8">
        <v>45523.601435185185</v>
      </c>
      <c r="P197" s="9">
        <v>45525</v>
      </c>
      <c r="Q197" t="s">
        <v>44</v>
      </c>
      <c r="R197" t="s">
        <v>45</v>
      </c>
      <c r="S197" t="s">
        <v>46</v>
      </c>
      <c r="T197" t="s">
        <v>146</v>
      </c>
      <c r="U197" t="s">
        <v>697</v>
      </c>
      <c r="V197">
        <v>51000</v>
      </c>
      <c r="W197" t="s">
        <v>45</v>
      </c>
      <c r="X197" t="s">
        <v>69</v>
      </c>
      <c r="Y197" t="s">
        <v>50</v>
      </c>
      <c r="Z197" s="10">
        <f t="shared" si="16"/>
        <v>9</v>
      </c>
      <c r="AA197" s="11">
        <v>0</v>
      </c>
      <c r="AB197" s="11">
        <v>-2</v>
      </c>
      <c r="AC197" s="11">
        <v>0</v>
      </c>
      <c r="AD197" s="11">
        <v>0</v>
      </c>
      <c r="AE197" s="11">
        <v>0</v>
      </c>
      <c r="AF197" s="11">
        <f t="shared" si="17"/>
        <v>0.42</v>
      </c>
      <c r="AG197" s="11">
        <f t="shared" si="18"/>
        <v>7.42</v>
      </c>
      <c r="AH197" t="s">
        <v>51</v>
      </c>
    </row>
    <row r="198" spans="1:34" ht="15" customHeight="1" x14ac:dyDescent="0.25">
      <c r="A198">
        <v>7547676</v>
      </c>
      <c r="B198" t="s">
        <v>34</v>
      </c>
      <c r="C198" t="s">
        <v>35</v>
      </c>
      <c r="D198" s="6" t="s">
        <v>34</v>
      </c>
      <c r="E198" t="s">
        <v>698</v>
      </c>
      <c r="F198" t="s">
        <v>37</v>
      </c>
      <c r="G198" t="s">
        <v>38</v>
      </c>
      <c r="H198" t="s">
        <v>699</v>
      </c>
      <c r="I198" t="s">
        <v>40</v>
      </c>
      <c r="J198">
        <v>2</v>
      </c>
      <c r="K198" t="s">
        <v>41</v>
      </c>
      <c r="L198" t="s">
        <v>42</v>
      </c>
      <c r="M198" t="s">
        <v>43</v>
      </c>
      <c r="N198" s="7">
        <v>1</v>
      </c>
      <c r="O198" s="8">
        <v>45524.599895833337</v>
      </c>
      <c r="P198" s="9">
        <v>45525</v>
      </c>
      <c r="Q198" t="s">
        <v>44</v>
      </c>
      <c r="R198" t="s">
        <v>45</v>
      </c>
      <c r="S198" t="s">
        <v>46</v>
      </c>
      <c r="T198" t="s">
        <v>84</v>
      </c>
      <c r="U198" t="s">
        <v>700</v>
      </c>
      <c r="V198">
        <v>15000</v>
      </c>
      <c r="W198" t="s">
        <v>45</v>
      </c>
      <c r="X198" t="s">
        <v>74</v>
      </c>
      <c r="Y198" t="s">
        <v>50</v>
      </c>
      <c r="Z198" s="10">
        <f t="shared" si="16"/>
        <v>9</v>
      </c>
      <c r="AA198" s="11">
        <v>0</v>
      </c>
      <c r="AB198" s="11">
        <v>-2</v>
      </c>
      <c r="AC198" s="11">
        <v>0</v>
      </c>
      <c r="AD198" s="11">
        <v>0</v>
      </c>
      <c r="AE198" s="11">
        <v>0</v>
      </c>
      <c r="AF198" s="11">
        <f t="shared" si="17"/>
        <v>0.42</v>
      </c>
      <c r="AG198" s="11">
        <f t="shared" si="18"/>
        <v>7.42</v>
      </c>
      <c r="AH198" t="s">
        <v>51</v>
      </c>
    </row>
    <row r="199" spans="1:34" ht="15" customHeight="1" x14ac:dyDescent="0.25">
      <c r="A199">
        <v>7547676</v>
      </c>
      <c r="B199" t="s">
        <v>34</v>
      </c>
      <c r="C199" t="s">
        <v>35</v>
      </c>
      <c r="D199" s="6" t="s">
        <v>34</v>
      </c>
      <c r="E199" t="s">
        <v>701</v>
      </c>
      <c r="F199" t="s">
        <v>37</v>
      </c>
      <c r="G199" t="s">
        <v>38</v>
      </c>
      <c r="H199" t="s">
        <v>702</v>
      </c>
      <c r="I199" t="s">
        <v>40</v>
      </c>
      <c r="J199">
        <v>2</v>
      </c>
      <c r="K199" t="s">
        <v>41</v>
      </c>
      <c r="L199" t="s">
        <v>42</v>
      </c>
      <c r="M199" t="s">
        <v>43</v>
      </c>
      <c r="N199" s="7">
        <v>1</v>
      </c>
      <c r="O199" s="8">
        <v>45524.728055555555</v>
      </c>
      <c r="P199" s="9">
        <v>45525</v>
      </c>
      <c r="Q199" t="s">
        <v>44</v>
      </c>
      <c r="R199" t="s">
        <v>45</v>
      </c>
      <c r="S199" t="s">
        <v>46</v>
      </c>
      <c r="T199" t="s">
        <v>72</v>
      </c>
      <c r="U199" t="s">
        <v>703</v>
      </c>
      <c r="V199">
        <v>21010</v>
      </c>
      <c r="W199" t="s">
        <v>45</v>
      </c>
      <c r="X199" t="s">
        <v>139</v>
      </c>
      <c r="Y199" t="s">
        <v>50</v>
      </c>
      <c r="Z199" s="10">
        <f t="shared" si="16"/>
        <v>9</v>
      </c>
      <c r="AA199" s="11">
        <v>0</v>
      </c>
      <c r="AB199" s="11">
        <v>-2</v>
      </c>
      <c r="AC199" s="11">
        <v>0</v>
      </c>
      <c r="AD199" s="11">
        <v>0</v>
      </c>
      <c r="AE199" s="11">
        <v>0</v>
      </c>
      <c r="AF199" s="11">
        <f t="shared" si="17"/>
        <v>0.42</v>
      </c>
      <c r="AG199" s="11">
        <f t="shared" si="18"/>
        <v>7.42</v>
      </c>
      <c r="AH199" t="s">
        <v>51</v>
      </c>
    </row>
    <row r="200" spans="1:34" ht="15" customHeight="1" x14ac:dyDescent="0.25">
      <c r="A200">
        <v>7547676</v>
      </c>
      <c r="B200" t="s">
        <v>34</v>
      </c>
      <c r="C200" t="s">
        <v>35</v>
      </c>
      <c r="D200" s="6" t="s">
        <v>34</v>
      </c>
      <c r="E200" t="s">
        <v>704</v>
      </c>
      <c r="F200" t="s">
        <v>37</v>
      </c>
      <c r="G200" t="s">
        <v>38</v>
      </c>
      <c r="H200" t="s">
        <v>705</v>
      </c>
      <c r="I200" t="s">
        <v>40</v>
      </c>
      <c r="J200">
        <v>2</v>
      </c>
      <c r="K200" t="s">
        <v>41</v>
      </c>
      <c r="L200" t="s">
        <v>42</v>
      </c>
      <c r="M200" t="s">
        <v>43</v>
      </c>
      <c r="N200" s="7">
        <v>1</v>
      </c>
      <c r="O200" s="8">
        <v>45523.601435185185</v>
      </c>
      <c r="P200" s="9">
        <v>45526</v>
      </c>
      <c r="Q200" t="s">
        <v>44</v>
      </c>
      <c r="R200" t="s">
        <v>45</v>
      </c>
      <c r="S200" t="s">
        <v>46</v>
      </c>
      <c r="T200" t="s">
        <v>107</v>
      </c>
      <c r="U200" t="s">
        <v>706</v>
      </c>
      <c r="V200">
        <v>8000</v>
      </c>
      <c r="W200" t="s">
        <v>45</v>
      </c>
      <c r="X200" t="s">
        <v>69</v>
      </c>
      <c r="Y200" t="s">
        <v>50</v>
      </c>
      <c r="Z200" s="10">
        <f t="shared" si="16"/>
        <v>9</v>
      </c>
      <c r="AA200" s="11">
        <v>0</v>
      </c>
      <c r="AB200" s="11">
        <v>-2</v>
      </c>
      <c r="AC200" s="11">
        <v>0</v>
      </c>
      <c r="AD200" s="11">
        <v>0</v>
      </c>
      <c r="AE200" s="11">
        <v>0</v>
      </c>
      <c r="AF200" s="11">
        <f t="shared" si="17"/>
        <v>0.42</v>
      </c>
      <c r="AG200" s="11">
        <f t="shared" si="18"/>
        <v>7.42</v>
      </c>
      <c r="AH200" t="s">
        <v>51</v>
      </c>
    </row>
    <row r="201" spans="1:34" ht="15" customHeight="1" x14ac:dyDescent="0.25">
      <c r="A201">
        <v>7547676</v>
      </c>
      <c r="B201" t="s">
        <v>34</v>
      </c>
      <c r="C201" t="s">
        <v>35</v>
      </c>
      <c r="D201" s="6" t="s">
        <v>34</v>
      </c>
      <c r="E201" t="s">
        <v>707</v>
      </c>
      <c r="F201" t="s">
        <v>37</v>
      </c>
      <c r="G201" t="s">
        <v>38</v>
      </c>
      <c r="H201" t="s">
        <v>708</v>
      </c>
      <c r="I201" t="s">
        <v>40</v>
      </c>
      <c r="J201">
        <v>2</v>
      </c>
      <c r="K201" t="s">
        <v>41</v>
      </c>
      <c r="L201" t="s">
        <v>42</v>
      </c>
      <c r="M201" t="s">
        <v>43</v>
      </c>
      <c r="N201" s="7">
        <v>1</v>
      </c>
      <c r="O201" s="8">
        <v>45523.794374999998</v>
      </c>
      <c r="P201" s="9">
        <v>45526</v>
      </c>
      <c r="Q201" t="s">
        <v>44</v>
      </c>
      <c r="R201" t="s">
        <v>45</v>
      </c>
      <c r="S201" t="s">
        <v>46</v>
      </c>
      <c r="T201" t="s">
        <v>151</v>
      </c>
      <c r="U201" t="s">
        <v>709</v>
      </c>
      <c r="V201">
        <v>78300</v>
      </c>
      <c r="W201" t="s">
        <v>45</v>
      </c>
      <c r="X201" t="s">
        <v>69</v>
      </c>
      <c r="Y201" t="s">
        <v>50</v>
      </c>
      <c r="Z201" s="10">
        <f t="shared" si="16"/>
        <v>9</v>
      </c>
      <c r="AA201" s="11">
        <v>0</v>
      </c>
      <c r="AB201" s="11">
        <v>-2</v>
      </c>
      <c r="AC201" s="11">
        <v>0</v>
      </c>
      <c r="AD201" s="11">
        <v>0</v>
      </c>
      <c r="AE201" s="11">
        <v>0</v>
      </c>
      <c r="AF201" s="11">
        <f t="shared" si="17"/>
        <v>0.42</v>
      </c>
      <c r="AG201" s="11">
        <f t="shared" si="18"/>
        <v>7.42</v>
      </c>
      <c r="AH201" t="s">
        <v>51</v>
      </c>
    </row>
    <row r="202" spans="1:34" ht="15" customHeight="1" x14ac:dyDescent="0.25">
      <c r="A202">
        <v>7547676</v>
      </c>
      <c r="B202" t="s">
        <v>34</v>
      </c>
      <c r="C202" t="s">
        <v>35</v>
      </c>
      <c r="D202" s="6" t="s">
        <v>34</v>
      </c>
      <c r="E202" t="s">
        <v>710</v>
      </c>
      <c r="F202" t="s">
        <v>37</v>
      </c>
      <c r="G202" t="s">
        <v>38</v>
      </c>
      <c r="H202" t="s">
        <v>102</v>
      </c>
      <c r="I202" t="s">
        <v>40</v>
      </c>
      <c r="J202">
        <v>2</v>
      </c>
      <c r="K202" t="s">
        <v>41</v>
      </c>
      <c r="L202" t="s">
        <v>42</v>
      </c>
      <c r="M202" t="s">
        <v>43</v>
      </c>
      <c r="N202" s="7">
        <v>4</v>
      </c>
      <c r="O202" s="8">
        <v>45523.644768518519</v>
      </c>
      <c r="P202" s="9">
        <v>45526</v>
      </c>
      <c r="Q202" t="s">
        <v>44</v>
      </c>
      <c r="R202" t="s">
        <v>45</v>
      </c>
      <c r="S202" t="s">
        <v>46</v>
      </c>
      <c r="T202" t="s">
        <v>92</v>
      </c>
      <c r="U202" t="s">
        <v>103</v>
      </c>
      <c r="V202">
        <v>40000</v>
      </c>
      <c r="W202" t="s">
        <v>45</v>
      </c>
      <c r="X202" t="s">
        <v>104</v>
      </c>
      <c r="Y202" t="s">
        <v>50</v>
      </c>
      <c r="Z202" s="10">
        <f t="shared" si="16"/>
        <v>11.4</v>
      </c>
      <c r="AA202" s="11">
        <v>0</v>
      </c>
      <c r="AB202" s="11">
        <v>-2</v>
      </c>
      <c r="AC202" s="11">
        <v>0</v>
      </c>
      <c r="AD202" s="11">
        <v>0</v>
      </c>
      <c r="AE202" s="11">
        <v>0</v>
      </c>
      <c r="AF202" s="11">
        <f t="shared" si="17"/>
        <v>0.56399999999999995</v>
      </c>
      <c r="AG202" s="11">
        <f t="shared" si="18"/>
        <v>9.9640000000000004</v>
      </c>
      <c r="AH202" t="s">
        <v>51</v>
      </c>
    </row>
    <row r="203" spans="1:34" ht="15" customHeight="1" x14ac:dyDescent="0.25">
      <c r="A203">
        <v>7547676</v>
      </c>
      <c r="B203" t="s">
        <v>34</v>
      </c>
      <c r="C203" t="s">
        <v>35</v>
      </c>
      <c r="D203" s="6" t="s">
        <v>34</v>
      </c>
      <c r="E203" t="s">
        <v>711</v>
      </c>
      <c r="F203" t="s">
        <v>37</v>
      </c>
      <c r="G203" t="s">
        <v>38</v>
      </c>
      <c r="H203" t="s">
        <v>102</v>
      </c>
      <c r="I203" t="s">
        <v>40</v>
      </c>
      <c r="J203">
        <v>2</v>
      </c>
      <c r="K203" t="s">
        <v>41</v>
      </c>
      <c r="L203" t="s">
        <v>42</v>
      </c>
      <c r="M203" t="s">
        <v>43</v>
      </c>
      <c r="N203" s="7">
        <v>10</v>
      </c>
      <c r="O203" s="8">
        <v>45523.667129629626</v>
      </c>
      <c r="P203" s="9">
        <v>45526</v>
      </c>
      <c r="Q203" t="s">
        <v>44</v>
      </c>
      <c r="R203" t="s">
        <v>45</v>
      </c>
      <c r="S203" t="s">
        <v>46</v>
      </c>
      <c r="T203" t="s">
        <v>92</v>
      </c>
      <c r="U203" t="s">
        <v>103</v>
      </c>
      <c r="V203">
        <v>40000</v>
      </c>
      <c r="W203" t="s">
        <v>45</v>
      </c>
      <c r="X203" t="s">
        <v>104</v>
      </c>
      <c r="Y203" t="s">
        <v>50</v>
      </c>
      <c r="Z203" s="10">
        <f t="shared" si="16"/>
        <v>16.2</v>
      </c>
      <c r="AA203" s="11">
        <v>0</v>
      </c>
      <c r="AB203" s="11">
        <v>-2</v>
      </c>
      <c r="AC203" s="11">
        <v>0</v>
      </c>
      <c r="AD203" s="11">
        <v>0</v>
      </c>
      <c r="AE203" s="11">
        <v>0</v>
      </c>
      <c r="AF203" s="11">
        <f t="shared" si="17"/>
        <v>0.85199999999999998</v>
      </c>
      <c r="AG203" s="11">
        <f t="shared" si="18"/>
        <v>15.052</v>
      </c>
      <c r="AH203" t="s">
        <v>51</v>
      </c>
    </row>
    <row r="204" spans="1:34" ht="15" customHeight="1" x14ac:dyDescent="0.25">
      <c r="A204">
        <v>7547676</v>
      </c>
      <c r="B204" t="s">
        <v>34</v>
      </c>
      <c r="C204" t="s">
        <v>35</v>
      </c>
      <c r="D204" s="6" t="s">
        <v>34</v>
      </c>
      <c r="E204" t="s">
        <v>712</v>
      </c>
      <c r="F204" t="s">
        <v>37</v>
      </c>
      <c r="G204" t="s">
        <v>38</v>
      </c>
      <c r="H204" t="s">
        <v>647</v>
      </c>
      <c r="I204" t="s">
        <v>40</v>
      </c>
      <c r="J204">
        <v>2</v>
      </c>
      <c r="K204" t="s">
        <v>41</v>
      </c>
      <c r="L204" t="s">
        <v>42</v>
      </c>
      <c r="M204" t="s">
        <v>43</v>
      </c>
      <c r="N204" s="7">
        <v>14</v>
      </c>
      <c r="O204" s="8">
        <v>45524.469004629631</v>
      </c>
      <c r="P204" s="9">
        <v>45526</v>
      </c>
      <c r="Q204" t="s">
        <v>44</v>
      </c>
      <c r="R204" t="s">
        <v>45</v>
      </c>
      <c r="S204" t="s">
        <v>46</v>
      </c>
      <c r="T204" t="s">
        <v>92</v>
      </c>
      <c r="U204" t="s">
        <v>713</v>
      </c>
      <c r="V204">
        <v>47301</v>
      </c>
      <c r="W204" t="s">
        <v>45</v>
      </c>
      <c r="X204" t="s">
        <v>524</v>
      </c>
      <c r="Y204" t="s">
        <v>50</v>
      </c>
      <c r="Z204" s="10">
        <f t="shared" si="16"/>
        <v>19.399999999999999</v>
      </c>
      <c r="AA204" s="11">
        <v>0</v>
      </c>
      <c r="AB204" s="11">
        <v>-2</v>
      </c>
      <c r="AC204" s="11">
        <v>0</v>
      </c>
      <c r="AD204" s="11">
        <v>0</v>
      </c>
      <c r="AE204" s="11">
        <v>0</v>
      </c>
      <c r="AF204" s="11">
        <f t="shared" si="17"/>
        <v>1.0439999999999998</v>
      </c>
      <c r="AG204" s="11">
        <f t="shared" si="18"/>
        <v>18.443999999999999</v>
      </c>
      <c r="AH204" t="s">
        <v>51</v>
      </c>
    </row>
    <row r="205" spans="1:34" ht="15" customHeight="1" x14ac:dyDescent="0.25">
      <c r="A205">
        <v>7547676</v>
      </c>
      <c r="B205" t="s">
        <v>34</v>
      </c>
      <c r="C205" t="s">
        <v>35</v>
      </c>
      <c r="D205" s="6" t="s">
        <v>34</v>
      </c>
      <c r="E205" t="s">
        <v>714</v>
      </c>
      <c r="F205" t="s">
        <v>37</v>
      </c>
      <c r="G205" t="s">
        <v>38</v>
      </c>
      <c r="H205" t="s">
        <v>715</v>
      </c>
      <c r="I205" t="s">
        <v>40</v>
      </c>
      <c r="J205">
        <v>2</v>
      </c>
      <c r="K205" t="s">
        <v>41</v>
      </c>
      <c r="L205" t="s">
        <v>42</v>
      </c>
      <c r="M205" t="s">
        <v>43</v>
      </c>
      <c r="N205" s="7">
        <v>1</v>
      </c>
      <c r="O205" s="8">
        <v>45523.601435185185</v>
      </c>
      <c r="P205" s="9">
        <v>45526</v>
      </c>
      <c r="Q205" t="s">
        <v>44</v>
      </c>
      <c r="R205" t="s">
        <v>45</v>
      </c>
      <c r="S205" t="s">
        <v>46</v>
      </c>
      <c r="T205" t="s">
        <v>47</v>
      </c>
      <c r="U205" t="s">
        <v>716</v>
      </c>
      <c r="V205">
        <v>33000</v>
      </c>
      <c r="W205" t="s">
        <v>45</v>
      </c>
      <c r="X205" t="s">
        <v>69</v>
      </c>
      <c r="Y205" t="s">
        <v>50</v>
      </c>
      <c r="Z205" s="10">
        <f t="shared" si="16"/>
        <v>9</v>
      </c>
      <c r="AA205" s="11">
        <v>0</v>
      </c>
      <c r="AB205" s="11">
        <v>-2</v>
      </c>
      <c r="AC205" s="11">
        <v>0</v>
      </c>
      <c r="AD205" s="11">
        <v>0</v>
      </c>
      <c r="AE205" s="11">
        <v>0</v>
      </c>
      <c r="AF205" s="11">
        <f t="shared" si="17"/>
        <v>0.42</v>
      </c>
      <c r="AG205" s="11">
        <f t="shared" si="18"/>
        <v>7.42</v>
      </c>
      <c r="AH205" t="s">
        <v>51</v>
      </c>
    </row>
    <row r="206" spans="1:34" ht="15" customHeight="1" x14ac:dyDescent="0.25">
      <c r="A206">
        <v>7547676</v>
      </c>
      <c r="B206" t="s">
        <v>34</v>
      </c>
      <c r="C206" t="s">
        <v>35</v>
      </c>
      <c r="D206" s="6" t="s">
        <v>34</v>
      </c>
      <c r="E206" t="s">
        <v>717</v>
      </c>
      <c r="F206" t="s">
        <v>37</v>
      </c>
      <c r="G206" t="s">
        <v>38</v>
      </c>
      <c r="H206" t="s">
        <v>718</v>
      </c>
      <c r="I206" t="s">
        <v>40</v>
      </c>
      <c r="J206">
        <v>2</v>
      </c>
      <c r="K206" t="s">
        <v>41</v>
      </c>
      <c r="L206" t="s">
        <v>42</v>
      </c>
      <c r="M206" t="s">
        <v>43</v>
      </c>
      <c r="N206" s="7">
        <v>1</v>
      </c>
      <c r="O206" s="8">
        <v>45523.800150462965</v>
      </c>
      <c r="P206" s="9">
        <v>45526</v>
      </c>
      <c r="Q206" t="s">
        <v>44</v>
      </c>
      <c r="R206" t="s">
        <v>45</v>
      </c>
      <c r="S206" t="s">
        <v>46</v>
      </c>
      <c r="T206" t="s">
        <v>151</v>
      </c>
      <c r="U206" t="s">
        <v>719</v>
      </c>
      <c r="V206">
        <v>77000</v>
      </c>
      <c r="W206" t="s">
        <v>45</v>
      </c>
      <c r="X206" t="s">
        <v>69</v>
      </c>
      <c r="Y206" t="s">
        <v>50</v>
      </c>
      <c r="Z206" s="10">
        <f t="shared" si="16"/>
        <v>9</v>
      </c>
      <c r="AA206" s="11">
        <v>0</v>
      </c>
      <c r="AB206" s="11">
        <v>-2</v>
      </c>
      <c r="AC206" s="11">
        <v>0</v>
      </c>
      <c r="AD206" s="11">
        <v>0</v>
      </c>
      <c r="AE206" s="11">
        <v>0</v>
      </c>
      <c r="AF206" s="11">
        <f t="shared" si="17"/>
        <v>0.42</v>
      </c>
      <c r="AG206" s="11">
        <f t="shared" si="18"/>
        <v>7.42</v>
      </c>
      <c r="AH206" t="s">
        <v>51</v>
      </c>
    </row>
    <row r="207" spans="1:34" ht="15" customHeight="1" x14ac:dyDescent="0.25">
      <c r="A207">
        <v>7547676</v>
      </c>
      <c r="B207" t="s">
        <v>34</v>
      </c>
      <c r="C207" t="s">
        <v>35</v>
      </c>
      <c r="D207" s="6" t="s">
        <v>34</v>
      </c>
      <c r="E207" t="s">
        <v>720</v>
      </c>
      <c r="F207" t="s">
        <v>37</v>
      </c>
      <c r="G207" t="s">
        <v>38</v>
      </c>
      <c r="H207" t="s">
        <v>647</v>
      </c>
      <c r="I207" t="s">
        <v>40</v>
      </c>
      <c r="J207">
        <v>2</v>
      </c>
      <c r="K207" t="s">
        <v>41</v>
      </c>
      <c r="L207" t="s">
        <v>42</v>
      </c>
      <c r="M207" t="s">
        <v>43</v>
      </c>
      <c r="N207" s="7">
        <v>8</v>
      </c>
      <c r="O207" s="8">
        <v>45524.469004629631</v>
      </c>
      <c r="P207" s="9">
        <v>45526</v>
      </c>
      <c r="Q207" t="s">
        <v>44</v>
      </c>
      <c r="R207" t="s">
        <v>45</v>
      </c>
      <c r="S207" t="s">
        <v>46</v>
      </c>
      <c r="T207" t="s">
        <v>92</v>
      </c>
      <c r="U207" t="s">
        <v>648</v>
      </c>
      <c r="V207">
        <v>47301</v>
      </c>
      <c r="W207" t="s">
        <v>45</v>
      </c>
      <c r="X207" t="s">
        <v>524</v>
      </c>
      <c r="Y207" t="s">
        <v>50</v>
      </c>
      <c r="Z207" s="10">
        <f t="shared" si="16"/>
        <v>14.600000000000001</v>
      </c>
      <c r="AA207" s="11">
        <v>0</v>
      </c>
      <c r="AB207" s="11">
        <v>-2</v>
      </c>
      <c r="AC207" s="11">
        <v>0</v>
      </c>
      <c r="AD207" s="11">
        <v>0</v>
      </c>
      <c r="AE207" s="11">
        <v>0</v>
      </c>
      <c r="AF207" s="11">
        <f t="shared" si="17"/>
        <v>0.75600000000000001</v>
      </c>
      <c r="AG207" s="11">
        <f t="shared" si="18"/>
        <v>13.356000000000002</v>
      </c>
      <c r="AH207" t="s">
        <v>51</v>
      </c>
    </row>
    <row r="208" spans="1:34" ht="15" customHeight="1" x14ac:dyDescent="0.25">
      <c r="A208">
        <v>7547676</v>
      </c>
      <c r="B208" t="s">
        <v>34</v>
      </c>
      <c r="C208" t="s">
        <v>35</v>
      </c>
      <c r="D208" s="6" t="s">
        <v>34</v>
      </c>
      <c r="E208" t="s">
        <v>721</v>
      </c>
      <c r="F208" t="s">
        <v>37</v>
      </c>
      <c r="G208" t="s">
        <v>38</v>
      </c>
      <c r="H208" t="s">
        <v>722</v>
      </c>
      <c r="I208" t="s">
        <v>40</v>
      </c>
      <c r="J208">
        <v>2</v>
      </c>
      <c r="K208" t="s">
        <v>41</v>
      </c>
      <c r="L208" t="s">
        <v>42</v>
      </c>
      <c r="M208" t="s">
        <v>43</v>
      </c>
      <c r="N208" s="7">
        <v>1</v>
      </c>
      <c r="O208" s="8">
        <v>45523.800150462965</v>
      </c>
      <c r="P208" s="9">
        <v>45526</v>
      </c>
      <c r="Q208" t="s">
        <v>44</v>
      </c>
      <c r="R208" t="s">
        <v>45</v>
      </c>
      <c r="S208" t="s">
        <v>46</v>
      </c>
      <c r="T208" t="s">
        <v>54</v>
      </c>
      <c r="U208" t="s">
        <v>723</v>
      </c>
      <c r="V208">
        <v>84600</v>
      </c>
      <c r="W208" t="s">
        <v>45</v>
      </c>
      <c r="X208" t="s">
        <v>724</v>
      </c>
      <c r="Y208" t="s">
        <v>50</v>
      </c>
      <c r="Z208" s="10">
        <f t="shared" si="16"/>
        <v>9</v>
      </c>
      <c r="AA208" s="11">
        <v>0</v>
      </c>
      <c r="AB208" s="11">
        <v>-2</v>
      </c>
      <c r="AC208" s="11">
        <v>0</v>
      </c>
      <c r="AD208" s="11">
        <v>0</v>
      </c>
      <c r="AE208" s="11">
        <v>0</v>
      </c>
      <c r="AF208" s="11">
        <f t="shared" si="17"/>
        <v>0.42</v>
      </c>
      <c r="AG208" s="11">
        <f t="shared" si="18"/>
        <v>7.42</v>
      </c>
      <c r="AH208" t="s">
        <v>51</v>
      </c>
    </row>
    <row r="209" spans="1:34" ht="15" customHeight="1" x14ac:dyDescent="0.25">
      <c r="A209">
        <v>7547676</v>
      </c>
      <c r="B209" t="s">
        <v>34</v>
      </c>
      <c r="C209" t="s">
        <v>35</v>
      </c>
      <c r="D209" s="6" t="s">
        <v>34</v>
      </c>
      <c r="E209" t="s">
        <v>725</v>
      </c>
      <c r="F209" t="s">
        <v>37</v>
      </c>
      <c r="G209" t="s">
        <v>38</v>
      </c>
      <c r="H209" t="s">
        <v>647</v>
      </c>
      <c r="I209" t="s">
        <v>40</v>
      </c>
      <c r="J209">
        <v>2</v>
      </c>
      <c r="K209" t="s">
        <v>41</v>
      </c>
      <c r="L209" t="s">
        <v>42</v>
      </c>
      <c r="M209" t="s">
        <v>43</v>
      </c>
      <c r="N209" s="7">
        <v>15</v>
      </c>
      <c r="O209" s="8">
        <v>45524.469004629631</v>
      </c>
      <c r="P209" s="9">
        <v>45526</v>
      </c>
      <c r="Q209" t="s">
        <v>44</v>
      </c>
      <c r="R209" t="s">
        <v>45</v>
      </c>
      <c r="S209" t="s">
        <v>46</v>
      </c>
      <c r="T209" t="s">
        <v>92</v>
      </c>
      <c r="U209" t="s">
        <v>648</v>
      </c>
      <c r="V209">
        <v>47301</v>
      </c>
      <c r="W209" t="s">
        <v>45</v>
      </c>
      <c r="X209" t="s">
        <v>524</v>
      </c>
      <c r="Y209" t="s">
        <v>50</v>
      </c>
      <c r="Z209" s="10">
        <f t="shared" si="16"/>
        <v>20.200000000000003</v>
      </c>
      <c r="AA209" s="11">
        <v>0</v>
      </c>
      <c r="AB209" s="11">
        <v>-2</v>
      </c>
      <c r="AC209" s="11">
        <v>0</v>
      </c>
      <c r="AD209" s="11">
        <v>0</v>
      </c>
      <c r="AE209" s="11">
        <v>0</v>
      </c>
      <c r="AF209" s="11">
        <f t="shared" si="17"/>
        <v>1.0920000000000001</v>
      </c>
      <c r="AG209" s="11">
        <f t="shared" si="18"/>
        <v>19.292000000000002</v>
      </c>
      <c r="AH209" t="s">
        <v>51</v>
      </c>
    </row>
    <row r="210" spans="1:34" ht="15" customHeight="1" x14ac:dyDescent="0.25">
      <c r="A210">
        <v>7547676</v>
      </c>
      <c r="B210" t="s">
        <v>34</v>
      </c>
      <c r="C210" t="s">
        <v>35</v>
      </c>
      <c r="D210" s="6" t="s">
        <v>34</v>
      </c>
      <c r="E210" t="s">
        <v>726</v>
      </c>
      <c r="F210" t="s">
        <v>37</v>
      </c>
      <c r="G210" t="s">
        <v>38</v>
      </c>
      <c r="H210" t="s">
        <v>727</v>
      </c>
      <c r="I210" t="s">
        <v>40</v>
      </c>
      <c r="J210">
        <v>2</v>
      </c>
      <c r="K210" t="s">
        <v>41</v>
      </c>
      <c r="L210" t="s">
        <v>42</v>
      </c>
      <c r="M210" t="s">
        <v>43</v>
      </c>
      <c r="N210" s="7">
        <v>1</v>
      </c>
      <c r="O210" s="8">
        <v>45525.630694444444</v>
      </c>
      <c r="P210" s="9">
        <v>45526</v>
      </c>
      <c r="Q210" t="s">
        <v>44</v>
      </c>
      <c r="R210" t="s">
        <v>45</v>
      </c>
      <c r="S210" t="s">
        <v>46</v>
      </c>
      <c r="T210" t="s">
        <v>223</v>
      </c>
      <c r="U210" t="s">
        <v>728</v>
      </c>
      <c r="V210">
        <v>26600</v>
      </c>
      <c r="W210" t="s">
        <v>45</v>
      </c>
      <c r="X210" t="s">
        <v>225</v>
      </c>
      <c r="Y210" t="s">
        <v>50</v>
      </c>
      <c r="Z210" s="10">
        <f>IF(N210&lt;=1,9,9+0.8*ROUNDUP(N210-1,0))</f>
        <v>9</v>
      </c>
      <c r="AA210" s="11">
        <v>0</v>
      </c>
      <c r="AB210" s="11">
        <v>-2</v>
      </c>
      <c r="AC210" s="11">
        <v>0</v>
      </c>
      <c r="AD210" s="11">
        <v>0</v>
      </c>
      <c r="AE210" s="11">
        <v>0</v>
      </c>
      <c r="AF210" s="11">
        <f t="shared" si="17"/>
        <v>0.42</v>
      </c>
      <c r="AG210" s="11">
        <f t="shared" si="18"/>
        <v>7.42</v>
      </c>
      <c r="AH210" t="s">
        <v>51</v>
      </c>
    </row>
    <row r="211" spans="1:34" ht="15" customHeight="1" x14ac:dyDescent="0.25">
      <c r="A211">
        <v>7547676</v>
      </c>
      <c r="B211" t="s">
        <v>34</v>
      </c>
      <c r="C211" t="s">
        <v>35</v>
      </c>
      <c r="D211" s="6" t="s">
        <v>34</v>
      </c>
      <c r="E211" t="s">
        <v>729</v>
      </c>
      <c r="F211" t="s">
        <v>37</v>
      </c>
      <c r="G211" t="s">
        <v>38</v>
      </c>
      <c r="H211" t="s">
        <v>730</v>
      </c>
      <c r="I211" t="s">
        <v>40</v>
      </c>
      <c r="J211">
        <v>2</v>
      </c>
      <c r="K211" t="s">
        <v>41</v>
      </c>
      <c r="L211" t="s">
        <v>42</v>
      </c>
      <c r="M211" t="s">
        <v>43</v>
      </c>
      <c r="N211" s="7">
        <v>3</v>
      </c>
      <c r="O211" s="8">
        <v>45524.676666666666</v>
      </c>
      <c r="P211" s="9">
        <v>45526</v>
      </c>
      <c r="Q211" t="s">
        <v>44</v>
      </c>
      <c r="R211" t="s">
        <v>45</v>
      </c>
      <c r="S211" t="s">
        <v>46</v>
      </c>
      <c r="T211" t="s">
        <v>54</v>
      </c>
      <c r="U211" t="s">
        <v>731</v>
      </c>
      <c r="V211">
        <v>81200</v>
      </c>
      <c r="W211" t="s">
        <v>45</v>
      </c>
      <c r="X211" t="s">
        <v>732</v>
      </c>
      <c r="Y211" t="s">
        <v>50</v>
      </c>
      <c r="Z211" s="10">
        <f t="shared" ref="Z211" si="19">IF(N211&lt;=1,9,9+0.8*ROUNDUP(N211-1,0))</f>
        <v>10.6</v>
      </c>
      <c r="AA211" s="11">
        <v>0</v>
      </c>
      <c r="AB211" s="11">
        <v>-2</v>
      </c>
      <c r="AC211" s="11">
        <v>0</v>
      </c>
      <c r="AD211" s="11">
        <v>0</v>
      </c>
      <c r="AE211" s="11">
        <v>0</v>
      </c>
      <c r="AF211" s="11">
        <f t="shared" si="17"/>
        <v>0.51600000000000001</v>
      </c>
      <c r="AG211" s="11">
        <f t="shared" si="18"/>
        <v>9.1159999999999997</v>
      </c>
      <c r="AH211" t="s">
        <v>51</v>
      </c>
    </row>
    <row r="212" spans="1:34" ht="15" customHeight="1" x14ac:dyDescent="0.25">
      <c r="A212">
        <v>7547676</v>
      </c>
      <c r="B212" t="s">
        <v>34</v>
      </c>
      <c r="C212" t="s">
        <v>35</v>
      </c>
      <c r="D212" s="6" t="s">
        <v>34</v>
      </c>
      <c r="E212" t="s">
        <v>733</v>
      </c>
      <c r="F212" t="s">
        <v>37</v>
      </c>
      <c r="G212" t="s">
        <v>38</v>
      </c>
      <c r="H212" t="s">
        <v>734</v>
      </c>
      <c r="I212" t="s">
        <v>40</v>
      </c>
      <c r="J212">
        <v>2</v>
      </c>
      <c r="K212" t="s">
        <v>41</v>
      </c>
      <c r="L212" t="s">
        <v>42</v>
      </c>
      <c r="M212" t="s">
        <v>43</v>
      </c>
      <c r="N212" s="7">
        <v>1</v>
      </c>
      <c r="O212" s="8">
        <v>45523.733981481484</v>
      </c>
      <c r="P212" s="9">
        <v>45526</v>
      </c>
      <c r="Q212" t="s">
        <v>44</v>
      </c>
      <c r="R212" t="s">
        <v>45</v>
      </c>
      <c r="S212" t="s">
        <v>46</v>
      </c>
      <c r="T212" t="s">
        <v>312</v>
      </c>
      <c r="U212" t="s">
        <v>735</v>
      </c>
      <c r="V212">
        <v>93050</v>
      </c>
      <c r="W212" t="s">
        <v>118</v>
      </c>
      <c r="X212" t="s">
        <v>69</v>
      </c>
      <c r="Y212" t="s">
        <v>50</v>
      </c>
      <c r="Z212" s="12">
        <f>IF(N212&lt;=1,13,IF(N212&lt;=2,23,IF(N212&lt;=3,35,IF(N212&lt;=4,43,IF(N212&lt;=5,53,IF(N212&lt;=6,63,IF(N212&lt;=7,71,IF(N212&lt;=8,79,IF(N212&lt;=9,87,IF(N212&lt;=10,95,IF(N212&lt;=11,105,IF(N212&lt;=12,114,IF(N212&lt;=13,119,IF(N212&lt;=14,127,IF(N212&lt;=15,135,IF(N212&lt;=16,143,IF(N212&lt;=17,153,IF(N212&lt;=18,163,IF(N212&lt;=19,171,IF(N212&lt;=20,185,IF(N212&lt;=21,193,IF(N212&lt;=22,201,IF(N212&lt;=23,210,IF(N212&lt;=24,220,IF(N212&lt;=25,230,IF(N212&lt;=26,240,IF(N212&lt;=27,250,IF(N212&lt;=28,260,IF(N212&lt;=29,270,IF(N212&lt;=30,280,280+10*ROUNDUP(N212-30,0)))))))))))))))))))))))))))))))</f>
        <v>13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f t="shared" si="17"/>
        <v>0.78</v>
      </c>
      <c r="AG212" s="11">
        <f t="shared" si="18"/>
        <v>13.78</v>
      </c>
      <c r="AH212" t="s">
        <v>119</v>
      </c>
    </row>
    <row r="213" spans="1:34" ht="15" customHeight="1" x14ac:dyDescent="0.25">
      <c r="A213">
        <v>7547676</v>
      </c>
      <c r="B213" t="s">
        <v>34</v>
      </c>
      <c r="C213" t="s">
        <v>35</v>
      </c>
      <c r="D213" s="6" t="s">
        <v>34</v>
      </c>
      <c r="E213" t="s">
        <v>736</v>
      </c>
      <c r="F213" t="s">
        <v>37</v>
      </c>
      <c r="G213" t="s">
        <v>38</v>
      </c>
      <c r="H213" t="s">
        <v>737</v>
      </c>
      <c r="I213" t="s">
        <v>40</v>
      </c>
      <c r="J213">
        <v>2</v>
      </c>
      <c r="K213" t="s">
        <v>41</v>
      </c>
      <c r="L213" t="s">
        <v>42</v>
      </c>
      <c r="M213" t="s">
        <v>43</v>
      </c>
      <c r="N213" s="7">
        <v>1</v>
      </c>
      <c r="O213" s="8">
        <v>45525.55667824074</v>
      </c>
      <c r="P213" s="9">
        <v>45526</v>
      </c>
      <c r="Q213" t="s">
        <v>44</v>
      </c>
      <c r="R213" t="s">
        <v>45</v>
      </c>
      <c r="S213" t="s">
        <v>46</v>
      </c>
      <c r="T213" t="s">
        <v>72</v>
      </c>
      <c r="U213" t="s">
        <v>738</v>
      </c>
      <c r="V213">
        <v>24100</v>
      </c>
      <c r="W213" t="s">
        <v>45</v>
      </c>
      <c r="X213" t="s">
        <v>225</v>
      </c>
      <c r="Y213" t="s">
        <v>50</v>
      </c>
      <c r="Z213" s="10">
        <f t="shared" ref="Z213:Z233" si="20">IF(N213&lt;=1,9,9+0.8*ROUNDUP(N213-1,0))</f>
        <v>9</v>
      </c>
      <c r="AA213" s="11">
        <v>0</v>
      </c>
      <c r="AB213" s="11">
        <v>-2</v>
      </c>
      <c r="AC213" s="11">
        <v>0</v>
      </c>
      <c r="AD213" s="11">
        <v>0</v>
      </c>
      <c r="AE213" s="11">
        <v>0</v>
      </c>
      <c r="AF213" s="11">
        <f t="shared" si="17"/>
        <v>0.42</v>
      </c>
      <c r="AG213" s="11">
        <f t="shared" si="18"/>
        <v>7.42</v>
      </c>
      <c r="AH213" t="s">
        <v>51</v>
      </c>
    </row>
    <row r="214" spans="1:34" ht="15" customHeight="1" x14ac:dyDescent="0.25">
      <c r="A214">
        <v>7547676</v>
      </c>
      <c r="B214" t="s">
        <v>34</v>
      </c>
      <c r="C214" t="s">
        <v>35</v>
      </c>
      <c r="D214" s="6" t="s">
        <v>34</v>
      </c>
      <c r="E214" t="s">
        <v>739</v>
      </c>
      <c r="F214" t="s">
        <v>37</v>
      </c>
      <c r="G214" t="s">
        <v>38</v>
      </c>
      <c r="H214" t="s">
        <v>740</v>
      </c>
      <c r="I214" t="s">
        <v>40</v>
      </c>
      <c r="J214">
        <v>2</v>
      </c>
      <c r="K214" t="s">
        <v>41</v>
      </c>
      <c r="L214" t="s">
        <v>42</v>
      </c>
      <c r="M214" t="s">
        <v>43</v>
      </c>
      <c r="N214" s="7">
        <v>1</v>
      </c>
      <c r="O214" s="8">
        <v>45525.665439814817</v>
      </c>
      <c r="P214" s="9">
        <v>45526</v>
      </c>
      <c r="Q214" t="s">
        <v>44</v>
      </c>
      <c r="R214" t="s">
        <v>45</v>
      </c>
      <c r="S214" t="s">
        <v>46</v>
      </c>
      <c r="T214" t="s">
        <v>84</v>
      </c>
      <c r="U214" t="s">
        <v>741</v>
      </c>
      <c r="V214">
        <v>17200</v>
      </c>
      <c r="W214" t="s">
        <v>45</v>
      </c>
      <c r="X214" t="s">
        <v>74</v>
      </c>
      <c r="Y214" t="s">
        <v>50</v>
      </c>
      <c r="Z214" s="10">
        <f t="shared" si="20"/>
        <v>9</v>
      </c>
      <c r="AA214" s="11">
        <v>0</v>
      </c>
      <c r="AB214" s="11">
        <v>-2</v>
      </c>
      <c r="AC214" s="11">
        <v>0</v>
      </c>
      <c r="AD214" s="11">
        <v>0</v>
      </c>
      <c r="AE214" s="11">
        <v>0</v>
      </c>
      <c r="AF214" s="11">
        <f t="shared" si="17"/>
        <v>0.42</v>
      </c>
      <c r="AG214" s="11">
        <f t="shared" si="18"/>
        <v>7.42</v>
      </c>
      <c r="AH214" t="s">
        <v>51</v>
      </c>
    </row>
    <row r="215" spans="1:34" ht="15" customHeight="1" x14ac:dyDescent="0.25">
      <c r="A215">
        <v>7547676</v>
      </c>
      <c r="B215" t="s">
        <v>34</v>
      </c>
      <c r="C215" t="s">
        <v>35</v>
      </c>
      <c r="D215" s="6" t="s">
        <v>34</v>
      </c>
      <c r="E215" t="s">
        <v>742</v>
      </c>
      <c r="F215" t="s">
        <v>37</v>
      </c>
      <c r="G215" t="s">
        <v>38</v>
      </c>
      <c r="H215" t="s">
        <v>743</v>
      </c>
      <c r="I215" t="s">
        <v>40</v>
      </c>
      <c r="J215">
        <v>2</v>
      </c>
      <c r="K215" t="s">
        <v>41</v>
      </c>
      <c r="L215" t="s">
        <v>42</v>
      </c>
      <c r="M215" t="s">
        <v>43</v>
      </c>
      <c r="N215" s="7">
        <v>1</v>
      </c>
      <c r="O215" s="8">
        <v>45524.761990740742</v>
      </c>
      <c r="P215" s="9">
        <v>45526</v>
      </c>
      <c r="Q215" t="s">
        <v>44</v>
      </c>
      <c r="R215" t="s">
        <v>45</v>
      </c>
      <c r="S215" t="s">
        <v>46</v>
      </c>
      <c r="T215" t="s">
        <v>223</v>
      </c>
      <c r="U215" t="s">
        <v>744</v>
      </c>
      <c r="V215">
        <v>28000</v>
      </c>
      <c r="W215" t="s">
        <v>45</v>
      </c>
      <c r="X215" t="s">
        <v>225</v>
      </c>
      <c r="Y215" t="s">
        <v>50</v>
      </c>
      <c r="Z215" s="10">
        <f t="shared" si="20"/>
        <v>9</v>
      </c>
      <c r="AA215" s="11">
        <v>0</v>
      </c>
      <c r="AB215" s="11">
        <v>-2</v>
      </c>
      <c r="AC215" s="11">
        <v>0</v>
      </c>
      <c r="AD215" s="11">
        <v>0</v>
      </c>
      <c r="AE215" s="11">
        <v>0</v>
      </c>
      <c r="AF215" s="11">
        <f t="shared" si="17"/>
        <v>0.42</v>
      </c>
      <c r="AG215" s="11">
        <f t="shared" si="18"/>
        <v>7.42</v>
      </c>
      <c r="AH215" t="s">
        <v>51</v>
      </c>
    </row>
    <row r="216" spans="1:34" ht="15" customHeight="1" x14ac:dyDescent="0.25">
      <c r="A216">
        <v>7547676</v>
      </c>
      <c r="B216" t="s">
        <v>34</v>
      </c>
      <c r="C216" t="s">
        <v>35</v>
      </c>
      <c r="D216" s="6" t="s">
        <v>34</v>
      </c>
      <c r="E216" t="s">
        <v>745</v>
      </c>
      <c r="F216" t="s">
        <v>37</v>
      </c>
      <c r="G216" t="s">
        <v>38</v>
      </c>
      <c r="H216" t="s">
        <v>746</v>
      </c>
      <c r="I216" t="s">
        <v>40</v>
      </c>
      <c r="J216">
        <v>2</v>
      </c>
      <c r="K216" t="s">
        <v>41</v>
      </c>
      <c r="L216" t="s">
        <v>42</v>
      </c>
      <c r="M216" t="s">
        <v>43</v>
      </c>
      <c r="N216" s="7">
        <v>1</v>
      </c>
      <c r="O216" s="8">
        <v>45524.599895833337</v>
      </c>
      <c r="P216" s="9">
        <v>45526</v>
      </c>
      <c r="Q216" t="s">
        <v>44</v>
      </c>
      <c r="R216" t="s">
        <v>45</v>
      </c>
      <c r="S216" t="s">
        <v>46</v>
      </c>
      <c r="T216" t="s">
        <v>47</v>
      </c>
      <c r="U216" t="s">
        <v>747</v>
      </c>
      <c r="V216">
        <v>31500</v>
      </c>
      <c r="W216" t="s">
        <v>45</v>
      </c>
      <c r="X216" t="s">
        <v>69</v>
      </c>
      <c r="Y216" t="s">
        <v>50</v>
      </c>
      <c r="Z216" s="10">
        <f t="shared" si="20"/>
        <v>9</v>
      </c>
      <c r="AA216" s="11">
        <v>0</v>
      </c>
      <c r="AB216" s="11">
        <v>-2</v>
      </c>
      <c r="AC216" s="11">
        <v>0</v>
      </c>
      <c r="AD216" s="11">
        <v>0</v>
      </c>
      <c r="AE216" s="11">
        <v>0</v>
      </c>
      <c r="AF216" s="11">
        <f t="shared" si="17"/>
        <v>0.42</v>
      </c>
      <c r="AG216" s="11">
        <f t="shared" si="18"/>
        <v>7.42</v>
      </c>
      <c r="AH216" t="s">
        <v>51</v>
      </c>
    </row>
    <row r="217" spans="1:34" ht="15" customHeight="1" x14ac:dyDescent="0.25">
      <c r="A217">
        <v>7547676</v>
      </c>
      <c r="B217" t="s">
        <v>34</v>
      </c>
      <c r="C217" t="s">
        <v>35</v>
      </c>
      <c r="D217" s="6" t="s">
        <v>34</v>
      </c>
      <c r="E217" t="s">
        <v>748</v>
      </c>
      <c r="F217" t="s">
        <v>37</v>
      </c>
      <c r="G217" t="s">
        <v>38</v>
      </c>
      <c r="H217" t="s">
        <v>749</v>
      </c>
      <c r="I217" t="s">
        <v>40</v>
      </c>
      <c r="J217">
        <v>2</v>
      </c>
      <c r="K217" t="s">
        <v>41</v>
      </c>
      <c r="L217" t="s">
        <v>42</v>
      </c>
      <c r="M217" t="s">
        <v>43</v>
      </c>
      <c r="N217" s="7">
        <v>1</v>
      </c>
      <c r="O217" s="8">
        <v>45523.816400462965</v>
      </c>
      <c r="P217" s="9">
        <v>45526</v>
      </c>
      <c r="Q217" t="s">
        <v>44</v>
      </c>
      <c r="R217" t="s">
        <v>45</v>
      </c>
      <c r="S217" t="s">
        <v>46</v>
      </c>
      <c r="T217" t="s">
        <v>107</v>
      </c>
      <c r="U217" t="s">
        <v>750</v>
      </c>
      <c r="V217">
        <v>8200</v>
      </c>
      <c r="W217" t="s">
        <v>45</v>
      </c>
      <c r="X217" t="s">
        <v>182</v>
      </c>
      <c r="Y217" t="s">
        <v>50</v>
      </c>
      <c r="Z217" s="10">
        <f t="shared" si="20"/>
        <v>9</v>
      </c>
      <c r="AA217" s="11">
        <v>0</v>
      </c>
      <c r="AB217" s="11">
        <v>-2</v>
      </c>
      <c r="AC217" s="11">
        <v>0</v>
      </c>
      <c r="AD217" s="11">
        <v>0</v>
      </c>
      <c r="AE217" s="11">
        <v>0</v>
      </c>
      <c r="AF217" s="11">
        <f t="shared" si="17"/>
        <v>0.42</v>
      </c>
      <c r="AG217" s="11">
        <f t="shared" si="18"/>
        <v>7.42</v>
      </c>
      <c r="AH217" t="s">
        <v>51</v>
      </c>
    </row>
    <row r="218" spans="1:34" ht="15" customHeight="1" x14ac:dyDescent="0.25">
      <c r="A218">
        <v>7547676</v>
      </c>
      <c r="B218" t="s">
        <v>34</v>
      </c>
      <c r="C218" t="s">
        <v>35</v>
      </c>
      <c r="D218" s="6" t="s">
        <v>34</v>
      </c>
      <c r="E218" t="s">
        <v>751</v>
      </c>
      <c r="F218" t="s">
        <v>37</v>
      </c>
      <c r="G218" t="s">
        <v>38</v>
      </c>
      <c r="H218" t="s">
        <v>752</v>
      </c>
      <c r="I218" t="s">
        <v>40</v>
      </c>
      <c r="J218">
        <v>2</v>
      </c>
      <c r="K218" t="s">
        <v>41</v>
      </c>
      <c r="L218" t="s">
        <v>42</v>
      </c>
      <c r="M218" t="s">
        <v>43</v>
      </c>
      <c r="N218" s="7">
        <v>1</v>
      </c>
      <c r="O218" s="8">
        <v>45523.602916666663</v>
      </c>
      <c r="P218" s="9">
        <v>45526</v>
      </c>
      <c r="Q218" t="s">
        <v>44</v>
      </c>
      <c r="R218" t="s">
        <v>45</v>
      </c>
      <c r="S218" t="s">
        <v>46</v>
      </c>
      <c r="T218" t="s">
        <v>333</v>
      </c>
      <c r="U218" t="s">
        <v>753</v>
      </c>
      <c r="V218">
        <v>1000</v>
      </c>
      <c r="W218" t="s">
        <v>45</v>
      </c>
      <c r="X218" t="s">
        <v>69</v>
      </c>
      <c r="Y218" t="s">
        <v>50</v>
      </c>
      <c r="Z218" s="10">
        <f t="shared" si="20"/>
        <v>9</v>
      </c>
      <c r="AA218" s="11">
        <v>0</v>
      </c>
      <c r="AB218" s="11">
        <v>-2</v>
      </c>
      <c r="AC218" s="11">
        <v>0</v>
      </c>
      <c r="AD218" s="11">
        <v>0</v>
      </c>
      <c r="AE218" s="11">
        <v>0</v>
      </c>
      <c r="AF218" s="11">
        <f t="shared" si="17"/>
        <v>0.42</v>
      </c>
      <c r="AG218" s="11">
        <f t="shared" si="18"/>
        <v>7.42</v>
      </c>
      <c r="AH218" t="s">
        <v>51</v>
      </c>
    </row>
    <row r="219" spans="1:34" ht="15" customHeight="1" x14ac:dyDescent="0.25">
      <c r="A219">
        <v>7547676</v>
      </c>
      <c r="B219" t="s">
        <v>34</v>
      </c>
      <c r="C219" t="s">
        <v>35</v>
      </c>
      <c r="D219" s="6" t="s">
        <v>34</v>
      </c>
      <c r="E219" t="s">
        <v>754</v>
      </c>
      <c r="F219" t="s">
        <v>37</v>
      </c>
      <c r="G219" t="s">
        <v>38</v>
      </c>
      <c r="H219" t="s">
        <v>755</v>
      </c>
      <c r="I219" t="s">
        <v>40</v>
      </c>
      <c r="J219">
        <v>2</v>
      </c>
      <c r="K219" t="s">
        <v>41</v>
      </c>
      <c r="L219" t="s">
        <v>42</v>
      </c>
      <c r="M219" t="s">
        <v>43</v>
      </c>
      <c r="N219" s="7">
        <v>1</v>
      </c>
      <c r="O219" s="8">
        <v>45523.800150462965</v>
      </c>
      <c r="P219" s="9">
        <v>45526</v>
      </c>
      <c r="Q219" t="s">
        <v>44</v>
      </c>
      <c r="R219" t="s">
        <v>45</v>
      </c>
      <c r="S219" t="s">
        <v>46</v>
      </c>
      <c r="T219" t="s">
        <v>54</v>
      </c>
      <c r="U219" t="s">
        <v>756</v>
      </c>
      <c r="V219">
        <v>84900</v>
      </c>
      <c r="W219" t="s">
        <v>45</v>
      </c>
      <c r="X219" t="s">
        <v>724</v>
      </c>
      <c r="Y219" t="s">
        <v>50</v>
      </c>
      <c r="Z219" s="10">
        <f t="shared" si="20"/>
        <v>9</v>
      </c>
      <c r="AA219" s="11">
        <v>0</v>
      </c>
      <c r="AB219" s="11">
        <v>-2</v>
      </c>
      <c r="AC219" s="11">
        <v>0</v>
      </c>
      <c r="AD219" s="11">
        <v>0</v>
      </c>
      <c r="AE219" s="11">
        <v>0</v>
      </c>
      <c r="AF219" s="11">
        <f t="shared" si="17"/>
        <v>0.42</v>
      </c>
      <c r="AG219" s="11">
        <f t="shared" si="18"/>
        <v>7.42</v>
      </c>
      <c r="AH219" t="s">
        <v>51</v>
      </c>
    </row>
    <row r="220" spans="1:34" ht="15" customHeight="1" x14ac:dyDescent="0.25">
      <c r="A220">
        <v>7547676</v>
      </c>
      <c r="B220" t="s">
        <v>34</v>
      </c>
      <c r="C220" t="s">
        <v>35</v>
      </c>
      <c r="D220" s="6" t="s">
        <v>34</v>
      </c>
      <c r="E220" t="s">
        <v>757</v>
      </c>
      <c r="F220" t="s">
        <v>37</v>
      </c>
      <c r="G220" t="s">
        <v>38</v>
      </c>
      <c r="H220" t="s">
        <v>758</v>
      </c>
      <c r="I220" t="s">
        <v>40</v>
      </c>
      <c r="J220">
        <v>2</v>
      </c>
      <c r="K220" t="s">
        <v>41</v>
      </c>
      <c r="L220" t="s">
        <v>42</v>
      </c>
      <c r="M220" t="s">
        <v>43</v>
      </c>
      <c r="N220" s="7">
        <v>1</v>
      </c>
      <c r="O220" s="8">
        <v>45524.592349537037</v>
      </c>
      <c r="P220" s="9">
        <v>45526</v>
      </c>
      <c r="Q220" t="s">
        <v>44</v>
      </c>
      <c r="R220" t="s">
        <v>45</v>
      </c>
      <c r="S220" t="s">
        <v>46</v>
      </c>
      <c r="T220" t="s">
        <v>107</v>
      </c>
      <c r="U220" t="s">
        <v>759</v>
      </c>
      <c r="V220">
        <v>6300</v>
      </c>
      <c r="W220" t="s">
        <v>45</v>
      </c>
      <c r="X220" t="s">
        <v>69</v>
      </c>
      <c r="Y220" t="s">
        <v>50</v>
      </c>
      <c r="Z220" s="10">
        <f t="shared" si="20"/>
        <v>9</v>
      </c>
      <c r="AA220" s="11">
        <v>0</v>
      </c>
      <c r="AB220" s="11">
        <v>-2</v>
      </c>
      <c r="AC220" s="11">
        <v>0</v>
      </c>
      <c r="AD220" s="11">
        <v>0</v>
      </c>
      <c r="AE220" s="11">
        <v>0</v>
      </c>
      <c r="AF220" s="11">
        <f t="shared" si="17"/>
        <v>0.42</v>
      </c>
      <c r="AG220" s="11">
        <f t="shared" si="18"/>
        <v>7.42</v>
      </c>
      <c r="AH220" t="s">
        <v>51</v>
      </c>
    </row>
    <row r="221" spans="1:34" ht="15" customHeight="1" x14ac:dyDescent="0.25">
      <c r="A221">
        <v>7547676</v>
      </c>
      <c r="B221" t="s">
        <v>34</v>
      </c>
      <c r="C221" t="s">
        <v>35</v>
      </c>
      <c r="D221" s="6" t="s">
        <v>34</v>
      </c>
      <c r="E221" t="s">
        <v>760</v>
      </c>
      <c r="F221" t="s">
        <v>37</v>
      </c>
      <c r="G221" t="s">
        <v>38</v>
      </c>
      <c r="H221" t="s">
        <v>761</v>
      </c>
      <c r="I221" t="s">
        <v>40</v>
      </c>
      <c r="J221">
        <v>2</v>
      </c>
      <c r="K221" t="s">
        <v>41</v>
      </c>
      <c r="L221" t="s">
        <v>42</v>
      </c>
      <c r="M221" t="s">
        <v>43</v>
      </c>
      <c r="N221" s="7">
        <v>8</v>
      </c>
      <c r="O221" s="8">
        <v>45524.607662037037</v>
      </c>
      <c r="P221" s="9">
        <v>45526</v>
      </c>
      <c r="Q221" t="s">
        <v>44</v>
      </c>
      <c r="R221" t="s">
        <v>45</v>
      </c>
      <c r="S221" t="s">
        <v>46</v>
      </c>
      <c r="T221" t="s">
        <v>92</v>
      </c>
      <c r="U221" t="s">
        <v>762</v>
      </c>
      <c r="V221">
        <v>40150</v>
      </c>
      <c r="W221" t="s">
        <v>45</v>
      </c>
      <c r="X221" t="s">
        <v>104</v>
      </c>
      <c r="Y221" t="s">
        <v>50</v>
      </c>
      <c r="Z221" s="10">
        <f t="shared" si="20"/>
        <v>14.600000000000001</v>
      </c>
      <c r="AA221" s="11">
        <v>0</v>
      </c>
      <c r="AB221" s="11">
        <v>-2</v>
      </c>
      <c r="AC221" s="11">
        <v>0</v>
      </c>
      <c r="AD221" s="11">
        <v>0</v>
      </c>
      <c r="AE221" s="11">
        <v>0</v>
      </c>
      <c r="AF221" s="11">
        <f t="shared" si="17"/>
        <v>0.75600000000000001</v>
      </c>
      <c r="AG221" s="11">
        <f t="shared" si="18"/>
        <v>13.356000000000002</v>
      </c>
      <c r="AH221" t="s">
        <v>51</v>
      </c>
    </row>
    <row r="222" spans="1:34" ht="15" customHeight="1" x14ac:dyDescent="0.25">
      <c r="A222">
        <v>7547676</v>
      </c>
      <c r="B222" t="s">
        <v>34</v>
      </c>
      <c r="C222" t="s">
        <v>35</v>
      </c>
      <c r="D222" s="6" t="s">
        <v>34</v>
      </c>
      <c r="E222" t="s">
        <v>763</v>
      </c>
      <c r="F222" t="s">
        <v>37</v>
      </c>
      <c r="G222" t="s">
        <v>38</v>
      </c>
      <c r="H222" t="s">
        <v>764</v>
      </c>
      <c r="I222" t="s">
        <v>40</v>
      </c>
      <c r="J222">
        <v>2</v>
      </c>
      <c r="K222" t="s">
        <v>41</v>
      </c>
      <c r="L222" t="s">
        <v>42</v>
      </c>
      <c r="M222" t="s">
        <v>43</v>
      </c>
      <c r="N222" s="7">
        <v>2</v>
      </c>
      <c r="O222" s="8">
        <v>45523.78638888889</v>
      </c>
      <c r="P222" s="9">
        <v>45526</v>
      </c>
      <c r="Q222" t="s">
        <v>44</v>
      </c>
      <c r="R222" t="s">
        <v>45</v>
      </c>
      <c r="S222" t="s">
        <v>46</v>
      </c>
      <c r="T222" t="s">
        <v>47</v>
      </c>
      <c r="U222" t="s">
        <v>765</v>
      </c>
      <c r="V222">
        <v>31100</v>
      </c>
      <c r="W222" t="s">
        <v>45</v>
      </c>
      <c r="X222" t="s">
        <v>191</v>
      </c>
      <c r="Y222" t="s">
        <v>50</v>
      </c>
      <c r="Z222" s="10">
        <f t="shared" si="20"/>
        <v>9.8000000000000007</v>
      </c>
      <c r="AA222" s="11">
        <v>0</v>
      </c>
      <c r="AB222" s="11">
        <v>-2</v>
      </c>
      <c r="AC222" s="11">
        <v>0</v>
      </c>
      <c r="AD222" s="11">
        <v>0</v>
      </c>
      <c r="AE222" s="11">
        <v>0</v>
      </c>
      <c r="AF222" s="11">
        <f t="shared" si="17"/>
        <v>0.46800000000000003</v>
      </c>
      <c r="AG222" s="11">
        <f t="shared" si="18"/>
        <v>8.2680000000000007</v>
      </c>
      <c r="AH222" t="s">
        <v>51</v>
      </c>
    </row>
    <row r="223" spans="1:34" ht="15" customHeight="1" x14ac:dyDescent="0.25">
      <c r="A223">
        <v>7547676</v>
      </c>
      <c r="B223" t="s">
        <v>34</v>
      </c>
      <c r="C223" t="s">
        <v>35</v>
      </c>
      <c r="D223" s="6" t="s">
        <v>34</v>
      </c>
      <c r="E223" t="s">
        <v>766</v>
      </c>
      <c r="F223" t="s">
        <v>37</v>
      </c>
      <c r="G223" t="s">
        <v>38</v>
      </c>
      <c r="H223" t="s">
        <v>767</v>
      </c>
      <c r="I223" t="s">
        <v>40</v>
      </c>
      <c r="J223">
        <v>2</v>
      </c>
      <c r="K223" t="s">
        <v>41</v>
      </c>
      <c r="L223" t="s">
        <v>42</v>
      </c>
      <c r="M223" t="s">
        <v>43</v>
      </c>
      <c r="N223" s="7">
        <v>1</v>
      </c>
      <c r="O223" s="8">
        <v>45524.592349537037</v>
      </c>
      <c r="P223" s="9">
        <v>45526</v>
      </c>
      <c r="Q223" t="s">
        <v>44</v>
      </c>
      <c r="R223" t="s">
        <v>45</v>
      </c>
      <c r="S223" t="s">
        <v>46</v>
      </c>
      <c r="T223" t="s">
        <v>54</v>
      </c>
      <c r="U223" t="s">
        <v>768</v>
      </c>
      <c r="V223">
        <v>86200</v>
      </c>
      <c r="W223" t="s">
        <v>45</v>
      </c>
      <c r="X223" t="s">
        <v>69</v>
      </c>
      <c r="Y223" t="s">
        <v>50</v>
      </c>
      <c r="Z223" s="10">
        <f t="shared" si="20"/>
        <v>9</v>
      </c>
      <c r="AA223" s="11">
        <v>0</v>
      </c>
      <c r="AB223" s="11">
        <v>-2</v>
      </c>
      <c r="AC223" s="11">
        <v>0</v>
      </c>
      <c r="AD223" s="11">
        <v>0</v>
      </c>
      <c r="AE223" s="11">
        <v>0</v>
      </c>
      <c r="AF223" s="11">
        <f t="shared" si="17"/>
        <v>0.42</v>
      </c>
      <c r="AG223" s="11">
        <f t="shared" si="18"/>
        <v>7.42</v>
      </c>
      <c r="AH223" t="s">
        <v>51</v>
      </c>
    </row>
    <row r="224" spans="1:34" ht="15" customHeight="1" x14ac:dyDescent="0.25">
      <c r="A224">
        <v>7547676</v>
      </c>
      <c r="B224" t="s">
        <v>34</v>
      </c>
      <c r="C224" t="s">
        <v>35</v>
      </c>
      <c r="D224" s="6" t="s">
        <v>34</v>
      </c>
      <c r="E224" t="s">
        <v>769</v>
      </c>
      <c r="F224" t="s">
        <v>37</v>
      </c>
      <c r="G224" t="s">
        <v>38</v>
      </c>
      <c r="H224" t="s">
        <v>770</v>
      </c>
      <c r="I224" t="s">
        <v>40</v>
      </c>
      <c r="J224">
        <v>2</v>
      </c>
      <c r="K224" t="s">
        <v>41</v>
      </c>
      <c r="L224" t="s">
        <v>42</v>
      </c>
      <c r="M224" t="s">
        <v>43</v>
      </c>
      <c r="N224" s="7">
        <v>1</v>
      </c>
      <c r="O224" s="8">
        <v>45524.592349537037</v>
      </c>
      <c r="P224" s="9">
        <v>45526</v>
      </c>
      <c r="Q224" t="s">
        <v>44</v>
      </c>
      <c r="R224" t="s">
        <v>45</v>
      </c>
      <c r="S224" t="s">
        <v>46</v>
      </c>
      <c r="T224" t="s">
        <v>47</v>
      </c>
      <c r="U224" t="s">
        <v>771</v>
      </c>
      <c r="V224">
        <v>34850</v>
      </c>
      <c r="W224" t="s">
        <v>45</v>
      </c>
      <c r="X224" t="s">
        <v>69</v>
      </c>
      <c r="Y224" t="s">
        <v>50</v>
      </c>
      <c r="Z224" s="10">
        <f t="shared" si="20"/>
        <v>9</v>
      </c>
      <c r="AA224" s="11">
        <v>0</v>
      </c>
      <c r="AB224" s="11">
        <v>-2</v>
      </c>
      <c r="AC224" s="11">
        <v>0</v>
      </c>
      <c r="AD224" s="11">
        <v>0</v>
      </c>
      <c r="AE224" s="11">
        <v>0</v>
      </c>
      <c r="AF224" s="11">
        <f t="shared" si="17"/>
        <v>0.42</v>
      </c>
      <c r="AG224" s="11">
        <f t="shared" si="18"/>
        <v>7.42</v>
      </c>
      <c r="AH224" t="s">
        <v>51</v>
      </c>
    </row>
    <row r="225" spans="1:34" ht="15" customHeight="1" x14ac:dyDescent="0.25">
      <c r="A225">
        <v>7547676</v>
      </c>
      <c r="B225" t="s">
        <v>34</v>
      </c>
      <c r="C225" t="s">
        <v>35</v>
      </c>
      <c r="D225" s="6" t="s">
        <v>34</v>
      </c>
      <c r="E225" t="s">
        <v>772</v>
      </c>
      <c r="F225" t="s">
        <v>37</v>
      </c>
      <c r="G225" t="s">
        <v>38</v>
      </c>
      <c r="H225" t="s">
        <v>773</v>
      </c>
      <c r="I225" t="s">
        <v>40</v>
      </c>
      <c r="J225">
        <v>2</v>
      </c>
      <c r="K225" t="s">
        <v>41</v>
      </c>
      <c r="L225" t="s">
        <v>42</v>
      </c>
      <c r="M225" t="s">
        <v>43</v>
      </c>
      <c r="N225" s="7">
        <v>1</v>
      </c>
      <c r="O225" s="8">
        <v>45524.599895833337</v>
      </c>
      <c r="P225" s="9">
        <v>45526</v>
      </c>
      <c r="Q225" t="s">
        <v>44</v>
      </c>
      <c r="R225" t="s">
        <v>45</v>
      </c>
      <c r="S225" t="s">
        <v>46</v>
      </c>
      <c r="T225" t="s">
        <v>54</v>
      </c>
      <c r="U225" t="s">
        <v>774</v>
      </c>
      <c r="V225">
        <v>81300</v>
      </c>
      <c r="W225" t="s">
        <v>45</v>
      </c>
      <c r="X225" t="s">
        <v>69</v>
      </c>
      <c r="Y225" t="s">
        <v>50</v>
      </c>
      <c r="Z225" s="10">
        <f t="shared" si="20"/>
        <v>9</v>
      </c>
      <c r="AA225" s="11">
        <v>0</v>
      </c>
      <c r="AB225" s="11">
        <v>-2</v>
      </c>
      <c r="AC225" s="11">
        <v>0</v>
      </c>
      <c r="AD225" s="11">
        <v>0</v>
      </c>
      <c r="AE225" s="11">
        <v>0</v>
      </c>
      <c r="AF225" s="11">
        <f t="shared" si="17"/>
        <v>0.42</v>
      </c>
      <c r="AG225" s="11">
        <f t="shared" si="18"/>
        <v>7.42</v>
      </c>
      <c r="AH225" t="s">
        <v>51</v>
      </c>
    </row>
    <row r="226" spans="1:34" ht="15" customHeight="1" x14ac:dyDescent="0.25">
      <c r="A226">
        <v>7547676</v>
      </c>
      <c r="B226" t="s">
        <v>34</v>
      </c>
      <c r="C226" t="s">
        <v>35</v>
      </c>
      <c r="D226" s="6" t="s">
        <v>34</v>
      </c>
      <c r="E226" t="s">
        <v>775</v>
      </c>
      <c r="F226" t="s">
        <v>37</v>
      </c>
      <c r="G226" t="s">
        <v>38</v>
      </c>
      <c r="H226" t="s">
        <v>715</v>
      </c>
      <c r="I226" t="s">
        <v>40</v>
      </c>
      <c r="J226">
        <v>2</v>
      </c>
      <c r="K226" t="s">
        <v>41</v>
      </c>
      <c r="L226" t="s">
        <v>42</v>
      </c>
      <c r="M226" t="s">
        <v>43</v>
      </c>
      <c r="N226" s="7">
        <v>1</v>
      </c>
      <c r="O226" s="8">
        <v>45523.601435185185</v>
      </c>
      <c r="P226" s="9">
        <v>45526</v>
      </c>
      <c r="Q226" t="s">
        <v>44</v>
      </c>
      <c r="R226" t="s">
        <v>45</v>
      </c>
      <c r="S226" t="s">
        <v>46</v>
      </c>
      <c r="T226" t="s">
        <v>54</v>
      </c>
      <c r="U226" t="s">
        <v>776</v>
      </c>
      <c r="V226">
        <v>81800</v>
      </c>
      <c r="W226" t="s">
        <v>45</v>
      </c>
      <c r="X226" t="s">
        <v>69</v>
      </c>
      <c r="Y226" t="s">
        <v>50</v>
      </c>
      <c r="Z226" s="10">
        <f t="shared" si="20"/>
        <v>9</v>
      </c>
      <c r="AA226" s="11">
        <v>0</v>
      </c>
      <c r="AB226" s="11">
        <v>-2</v>
      </c>
      <c r="AC226" s="11">
        <v>0</v>
      </c>
      <c r="AD226" s="11">
        <v>0</v>
      </c>
      <c r="AE226" s="11">
        <v>0</v>
      </c>
      <c r="AF226" s="11">
        <f t="shared" si="17"/>
        <v>0.42</v>
      </c>
      <c r="AG226" s="11">
        <f t="shared" si="18"/>
        <v>7.42</v>
      </c>
      <c r="AH226" t="s">
        <v>51</v>
      </c>
    </row>
    <row r="227" spans="1:34" ht="15" customHeight="1" x14ac:dyDescent="0.25">
      <c r="A227">
        <v>7547676</v>
      </c>
      <c r="B227" t="s">
        <v>34</v>
      </c>
      <c r="C227" t="s">
        <v>35</v>
      </c>
      <c r="D227" s="6" t="s">
        <v>34</v>
      </c>
      <c r="E227" t="s">
        <v>777</v>
      </c>
      <c r="F227" t="s">
        <v>37</v>
      </c>
      <c r="G227" t="s">
        <v>38</v>
      </c>
      <c r="H227" t="s">
        <v>778</v>
      </c>
      <c r="I227" t="s">
        <v>40</v>
      </c>
      <c r="J227">
        <v>2</v>
      </c>
      <c r="K227" t="s">
        <v>41</v>
      </c>
      <c r="L227" t="s">
        <v>42</v>
      </c>
      <c r="M227" t="s">
        <v>43</v>
      </c>
      <c r="N227" s="7">
        <v>1</v>
      </c>
      <c r="O227" s="8">
        <v>45523.800150462965</v>
      </c>
      <c r="P227" s="9">
        <v>45526</v>
      </c>
      <c r="Q227" t="s">
        <v>44</v>
      </c>
      <c r="R227" t="s">
        <v>45</v>
      </c>
      <c r="S227" t="s">
        <v>46</v>
      </c>
      <c r="T227" t="s">
        <v>54</v>
      </c>
      <c r="U227" t="s">
        <v>779</v>
      </c>
      <c r="V227">
        <v>83700</v>
      </c>
      <c r="W227" t="s">
        <v>45</v>
      </c>
      <c r="X227" t="s">
        <v>69</v>
      </c>
      <c r="Y227" t="s">
        <v>50</v>
      </c>
      <c r="Z227" s="10">
        <f t="shared" si="20"/>
        <v>9</v>
      </c>
      <c r="AA227" s="11">
        <v>0</v>
      </c>
      <c r="AB227" s="11">
        <v>-2</v>
      </c>
      <c r="AC227" s="11">
        <v>0</v>
      </c>
      <c r="AD227" s="11">
        <v>0</v>
      </c>
      <c r="AE227" s="11">
        <v>0</v>
      </c>
      <c r="AF227" s="11">
        <f t="shared" si="17"/>
        <v>0.42</v>
      </c>
      <c r="AG227" s="11">
        <f t="shared" si="18"/>
        <v>7.42</v>
      </c>
      <c r="AH227" t="s">
        <v>51</v>
      </c>
    </row>
    <row r="228" spans="1:34" ht="15" customHeight="1" x14ac:dyDescent="0.25">
      <c r="A228">
        <v>7547676</v>
      </c>
      <c r="B228" t="s">
        <v>34</v>
      </c>
      <c r="C228" t="s">
        <v>35</v>
      </c>
      <c r="D228" s="6" t="s">
        <v>34</v>
      </c>
      <c r="E228" t="s">
        <v>780</v>
      </c>
      <c r="F228" t="s">
        <v>37</v>
      </c>
      <c r="G228" t="s">
        <v>38</v>
      </c>
      <c r="H228" t="s">
        <v>781</v>
      </c>
      <c r="I228" t="s">
        <v>40</v>
      </c>
      <c r="J228">
        <v>2</v>
      </c>
      <c r="K228" t="s">
        <v>41</v>
      </c>
      <c r="L228" t="s">
        <v>42</v>
      </c>
      <c r="M228" t="s">
        <v>43</v>
      </c>
      <c r="N228" s="7">
        <v>1</v>
      </c>
      <c r="O228" s="8">
        <v>45524.602233796293</v>
      </c>
      <c r="P228" s="9">
        <v>45526</v>
      </c>
      <c r="Q228" t="s">
        <v>44</v>
      </c>
      <c r="R228" t="s">
        <v>45</v>
      </c>
      <c r="S228" t="s">
        <v>46</v>
      </c>
      <c r="T228" t="s">
        <v>54</v>
      </c>
      <c r="U228" t="s">
        <v>782</v>
      </c>
      <c r="V228">
        <v>81200</v>
      </c>
      <c r="W228" t="s">
        <v>45</v>
      </c>
      <c r="X228" t="s">
        <v>69</v>
      </c>
      <c r="Y228" t="s">
        <v>50</v>
      </c>
      <c r="Z228" s="10">
        <f t="shared" si="20"/>
        <v>9</v>
      </c>
      <c r="AA228" s="11">
        <v>0</v>
      </c>
      <c r="AB228" s="11">
        <v>-2</v>
      </c>
      <c r="AC228" s="11">
        <v>0</v>
      </c>
      <c r="AD228" s="11">
        <v>0</v>
      </c>
      <c r="AE228" s="11">
        <v>0</v>
      </c>
      <c r="AF228" s="11">
        <f t="shared" si="17"/>
        <v>0.42</v>
      </c>
      <c r="AG228" s="11">
        <f t="shared" si="18"/>
        <v>7.42</v>
      </c>
      <c r="AH228" t="s">
        <v>51</v>
      </c>
    </row>
    <row r="229" spans="1:34" ht="15" customHeight="1" x14ac:dyDescent="0.25">
      <c r="A229">
        <v>7547676</v>
      </c>
      <c r="B229" t="s">
        <v>34</v>
      </c>
      <c r="C229" t="s">
        <v>35</v>
      </c>
      <c r="D229" s="6" t="s">
        <v>34</v>
      </c>
      <c r="E229" t="s">
        <v>783</v>
      </c>
      <c r="F229" t="s">
        <v>37</v>
      </c>
      <c r="G229" t="s">
        <v>38</v>
      </c>
      <c r="H229" t="s">
        <v>784</v>
      </c>
      <c r="I229" t="s">
        <v>40</v>
      </c>
      <c r="J229">
        <v>2</v>
      </c>
      <c r="K229" t="s">
        <v>41</v>
      </c>
      <c r="L229" t="s">
        <v>42</v>
      </c>
      <c r="M229" t="s">
        <v>43</v>
      </c>
      <c r="N229" s="7">
        <v>1</v>
      </c>
      <c r="O229" s="8">
        <v>45524.599895833337</v>
      </c>
      <c r="P229" s="9">
        <v>45527</v>
      </c>
      <c r="Q229" t="s">
        <v>44</v>
      </c>
      <c r="R229" t="s">
        <v>45</v>
      </c>
      <c r="S229" t="s">
        <v>46</v>
      </c>
      <c r="T229" t="s">
        <v>146</v>
      </c>
      <c r="U229" t="s">
        <v>785</v>
      </c>
      <c r="V229">
        <v>54000</v>
      </c>
      <c r="W229" t="s">
        <v>45</v>
      </c>
      <c r="X229" t="s">
        <v>69</v>
      </c>
      <c r="Y229" t="s">
        <v>50</v>
      </c>
      <c r="Z229" s="10">
        <f t="shared" si="20"/>
        <v>9</v>
      </c>
      <c r="AA229" s="11">
        <v>0</v>
      </c>
      <c r="AB229" s="11">
        <v>-2</v>
      </c>
      <c r="AC229" s="11">
        <v>0</v>
      </c>
      <c r="AD229" s="11">
        <v>0</v>
      </c>
      <c r="AE229" s="11">
        <v>0</v>
      </c>
      <c r="AF229" s="11">
        <f t="shared" si="17"/>
        <v>0.42</v>
      </c>
      <c r="AG229" s="11">
        <f t="shared" si="18"/>
        <v>7.42</v>
      </c>
      <c r="AH229" t="s">
        <v>51</v>
      </c>
    </row>
    <row r="230" spans="1:34" ht="15" customHeight="1" x14ac:dyDescent="0.25">
      <c r="A230">
        <v>7547676</v>
      </c>
      <c r="B230" t="s">
        <v>34</v>
      </c>
      <c r="C230" t="s">
        <v>35</v>
      </c>
      <c r="D230" s="6" t="s">
        <v>34</v>
      </c>
      <c r="E230" t="s">
        <v>786</v>
      </c>
      <c r="F230" t="s">
        <v>37</v>
      </c>
      <c r="G230" t="s">
        <v>38</v>
      </c>
      <c r="H230" t="s">
        <v>102</v>
      </c>
      <c r="I230" t="s">
        <v>40</v>
      </c>
      <c r="J230">
        <v>2</v>
      </c>
      <c r="K230" t="s">
        <v>41</v>
      </c>
      <c r="L230" t="s">
        <v>42</v>
      </c>
      <c r="M230" t="s">
        <v>43</v>
      </c>
      <c r="N230" s="7">
        <v>1</v>
      </c>
      <c r="O230" s="8">
        <v>45525.605636574073</v>
      </c>
      <c r="P230" s="9">
        <v>45527</v>
      </c>
      <c r="Q230" t="s">
        <v>44</v>
      </c>
      <c r="R230" t="s">
        <v>45</v>
      </c>
      <c r="S230" t="s">
        <v>46</v>
      </c>
      <c r="T230" t="s">
        <v>92</v>
      </c>
      <c r="U230" t="s">
        <v>103</v>
      </c>
      <c r="V230">
        <v>40000</v>
      </c>
      <c r="W230" t="s">
        <v>45</v>
      </c>
      <c r="X230" t="s">
        <v>69</v>
      </c>
      <c r="Y230" t="s">
        <v>50</v>
      </c>
      <c r="Z230" s="10">
        <f t="shared" si="20"/>
        <v>9</v>
      </c>
      <c r="AA230" s="11">
        <v>0</v>
      </c>
      <c r="AB230" s="11">
        <v>-2</v>
      </c>
      <c r="AC230" s="11">
        <v>0</v>
      </c>
      <c r="AD230" s="11">
        <v>0</v>
      </c>
      <c r="AE230" s="11">
        <v>0</v>
      </c>
      <c r="AF230" s="11">
        <f t="shared" si="17"/>
        <v>0.42</v>
      </c>
      <c r="AG230" s="11">
        <f t="shared" si="18"/>
        <v>7.42</v>
      </c>
      <c r="AH230" t="s">
        <v>51</v>
      </c>
    </row>
    <row r="231" spans="1:34" ht="15" customHeight="1" x14ac:dyDescent="0.25">
      <c r="A231">
        <v>7547676</v>
      </c>
      <c r="B231" t="s">
        <v>34</v>
      </c>
      <c r="C231" t="s">
        <v>35</v>
      </c>
      <c r="D231" s="6" t="s">
        <v>34</v>
      </c>
      <c r="E231" t="s">
        <v>787</v>
      </c>
      <c r="F231" t="s">
        <v>37</v>
      </c>
      <c r="G231" t="s">
        <v>38</v>
      </c>
      <c r="H231" t="s">
        <v>102</v>
      </c>
      <c r="I231" t="s">
        <v>40</v>
      </c>
      <c r="J231">
        <v>2</v>
      </c>
      <c r="K231" t="s">
        <v>41</v>
      </c>
      <c r="L231" t="s">
        <v>42</v>
      </c>
      <c r="M231" t="s">
        <v>43</v>
      </c>
      <c r="N231" s="7">
        <v>5</v>
      </c>
      <c r="O231" s="8">
        <v>45526.626307870371</v>
      </c>
      <c r="P231" s="9">
        <v>45527</v>
      </c>
      <c r="Q231" t="s">
        <v>44</v>
      </c>
      <c r="R231" t="s">
        <v>45</v>
      </c>
      <c r="S231" t="s">
        <v>46</v>
      </c>
      <c r="T231" t="s">
        <v>92</v>
      </c>
      <c r="U231" t="s">
        <v>103</v>
      </c>
      <c r="V231">
        <v>40000</v>
      </c>
      <c r="W231" t="s">
        <v>45</v>
      </c>
      <c r="X231" t="s">
        <v>104</v>
      </c>
      <c r="Y231" t="s">
        <v>50</v>
      </c>
      <c r="Z231" s="10">
        <f t="shared" si="20"/>
        <v>12.2</v>
      </c>
      <c r="AA231" s="11">
        <v>0</v>
      </c>
      <c r="AB231" s="11">
        <v>-2</v>
      </c>
      <c r="AC231" s="11">
        <v>0</v>
      </c>
      <c r="AD231" s="11">
        <v>0</v>
      </c>
      <c r="AE231" s="11">
        <v>0</v>
      </c>
      <c r="AF231" s="11">
        <f t="shared" si="17"/>
        <v>0.61199999999999999</v>
      </c>
      <c r="AG231" s="11">
        <f t="shared" si="18"/>
        <v>10.811999999999999</v>
      </c>
      <c r="AH231" t="s">
        <v>51</v>
      </c>
    </row>
    <row r="232" spans="1:34" ht="15" customHeight="1" x14ac:dyDescent="0.25">
      <c r="A232">
        <v>7547676</v>
      </c>
      <c r="B232" t="s">
        <v>34</v>
      </c>
      <c r="C232" t="s">
        <v>35</v>
      </c>
      <c r="D232" s="6" t="s">
        <v>34</v>
      </c>
      <c r="E232" t="s">
        <v>788</v>
      </c>
      <c r="F232" t="s">
        <v>37</v>
      </c>
      <c r="G232" t="s">
        <v>38</v>
      </c>
      <c r="H232" t="s">
        <v>789</v>
      </c>
      <c r="I232" t="s">
        <v>40</v>
      </c>
      <c r="J232">
        <v>2</v>
      </c>
      <c r="K232" t="s">
        <v>41</v>
      </c>
      <c r="L232" t="s">
        <v>42</v>
      </c>
      <c r="M232" t="s">
        <v>43</v>
      </c>
      <c r="N232" s="7">
        <v>2</v>
      </c>
      <c r="O232" s="8">
        <v>45525.626284722224</v>
      </c>
      <c r="P232" s="9">
        <v>45527</v>
      </c>
      <c r="Q232" t="s">
        <v>44</v>
      </c>
      <c r="R232" t="s">
        <v>45</v>
      </c>
      <c r="S232" t="s">
        <v>46</v>
      </c>
      <c r="T232" t="s">
        <v>54</v>
      </c>
      <c r="U232" t="s">
        <v>790</v>
      </c>
      <c r="V232">
        <v>81750</v>
      </c>
      <c r="W232" t="s">
        <v>45</v>
      </c>
      <c r="X232" t="s">
        <v>65</v>
      </c>
      <c r="Y232" t="s">
        <v>50</v>
      </c>
      <c r="Z232" s="10">
        <f t="shared" si="20"/>
        <v>9.8000000000000007</v>
      </c>
      <c r="AA232" s="11">
        <v>0</v>
      </c>
      <c r="AB232" s="11">
        <v>-2</v>
      </c>
      <c r="AC232" s="11">
        <v>0</v>
      </c>
      <c r="AD232" s="11">
        <v>0</v>
      </c>
      <c r="AE232" s="11">
        <v>0</v>
      </c>
      <c r="AF232" s="11">
        <f t="shared" si="17"/>
        <v>0.46800000000000003</v>
      </c>
      <c r="AG232" s="11">
        <f t="shared" si="18"/>
        <v>8.2680000000000007</v>
      </c>
      <c r="AH232" t="s">
        <v>51</v>
      </c>
    </row>
    <row r="233" spans="1:34" ht="15" customHeight="1" x14ac:dyDescent="0.25">
      <c r="A233">
        <v>7547676</v>
      </c>
      <c r="B233" t="s">
        <v>34</v>
      </c>
      <c r="C233" t="s">
        <v>35</v>
      </c>
      <c r="D233" s="6" t="s">
        <v>34</v>
      </c>
      <c r="E233" t="s">
        <v>791</v>
      </c>
      <c r="F233" t="s">
        <v>37</v>
      </c>
      <c r="G233" t="s">
        <v>38</v>
      </c>
      <c r="H233" t="s">
        <v>102</v>
      </c>
      <c r="I233" t="s">
        <v>40</v>
      </c>
      <c r="J233">
        <v>2</v>
      </c>
      <c r="K233" t="s">
        <v>41</v>
      </c>
      <c r="L233" t="s">
        <v>42</v>
      </c>
      <c r="M233" t="s">
        <v>43</v>
      </c>
      <c r="N233" s="7">
        <v>6</v>
      </c>
      <c r="O233" s="8">
        <v>45526.673101851855</v>
      </c>
      <c r="P233" s="9">
        <v>45527</v>
      </c>
      <c r="Q233" t="s">
        <v>44</v>
      </c>
      <c r="R233" t="s">
        <v>45</v>
      </c>
      <c r="S233" t="s">
        <v>46</v>
      </c>
      <c r="T233" t="s">
        <v>92</v>
      </c>
      <c r="U233" t="s">
        <v>103</v>
      </c>
      <c r="V233">
        <v>40000</v>
      </c>
      <c r="W233" t="s">
        <v>45</v>
      </c>
      <c r="X233" t="s">
        <v>104</v>
      </c>
      <c r="Y233" t="s">
        <v>50</v>
      </c>
      <c r="Z233" s="10">
        <f t="shared" si="20"/>
        <v>13</v>
      </c>
      <c r="AA233" s="11">
        <v>0</v>
      </c>
      <c r="AB233" s="11">
        <v>-2</v>
      </c>
      <c r="AC233" s="11">
        <v>0</v>
      </c>
      <c r="AD233" s="11">
        <v>0</v>
      </c>
      <c r="AE233" s="11">
        <v>0</v>
      </c>
      <c r="AF233" s="11">
        <f t="shared" si="17"/>
        <v>0.65999999999999992</v>
      </c>
      <c r="AG233" s="11">
        <f t="shared" si="18"/>
        <v>11.66</v>
      </c>
      <c r="AH233" t="s">
        <v>51</v>
      </c>
    </row>
    <row r="234" spans="1:34" ht="15" customHeight="1" x14ac:dyDescent="0.25">
      <c r="A234">
        <v>7547676</v>
      </c>
      <c r="B234" t="s">
        <v>34</v>
      </c>
      <c r="C234" t="s">
        <v>35</v>
      </c>
      <c r="D234" s="6" t="s">
        <v>34</v>
      </c>
      <c r="E234" t="s">
        <v>792</v>
      </c>
      <c r="F234" t="s">
        <v>37</v>
      </c>
      <c r="G234" t="s">
        <v>38</v>
      </c>
      <c r="H234" t="s">
        <v>793</v>
      </c>
      <c r="I234" t="s">
        <v>40</v>
      </c>
      <c r="J234">
        <v>2</v>
      </c>
      <c r="K234" t="s">
        <v>41</v>
      </c>
      <c r="L234" t="s">
        <v>42</v>
      </c>
      <c r="M234" t="s">
        <v>43</v>
      </c>
      <c r="N234" s="7">
        <v>1</v>
      </c>
      <c r="O234" s="8">
        <v>45523.816400462965</v>
      </c>
      <c r="P234" s="9">
        <v>45527</v>
      </c>
      <c r="Q234" t="s">
        <v>44</v>
      </c>
      <c r="R234" t="s">
        <v>45</v>
      </c>
      <c r="S234" t="s">
        <v>46</v>
      </c>
      <c r="T234" t="s">
        <v>116</v>
      </c>
      <c r="U234" t="s">
        <v>794</v>
      </c>
      <c r="V234">
        <v>89300</v>
      </c>
      <c r="W234" t="s">
        <v>118</v>
      </c>
      <c r="X234" t="s">
        <v>69</v>
      </c>
      <c r="Y234" t="s">
        <v>50</v>
      </c>
      <c r="Z234" s="12">
        <f>IF(N234&lt;=1,13,IF(N234&lt;=2,23,IF(N234&lt;=3,35,IF(N234&lt;=4,43,IF(N234&lt;=5,53,IF(N234&lt;=6,63,IF(N234&lt;=7,71,IF(N234&lt;=8,79,IF(N234&lt;=9,87,IF(N234&lt;=10,95,IF(N234&lt;=11,105,IF(N234&lt;=12,114,IF(N234&lt;=13,119,IF(N234&lt;=14,127,IF(N234&lt;=15,135,IF(N234&lt;=16,143,IF(N234&lt;=17,153,IF(N234&lt;=18,163,IF(N234&lt;=19,171,IF(N234&lt;=20,185,IF(N234&lt;=21,193,IF(N234&lt;=22,201,IF(N234&lt;=23,210,IF(N234&lt;=24,220,IF(N234&lt;=25,230,IF(N234&lt;=26,240,IF(N234&lt;=27,250,IF(N234&lt;=28,260,IF(N234&lt;=29,270,IF(N234&lt;=30,280,280+10*ROUNDUP(N234-30,0)))))))))))))))))))))))))))))))</f>
        <v>13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f t="shared" si="17"/>
        <v>0.78</v>
      </c>
      <c r="AG234" s="11">
        <f t="shared" si="18"/>
        <v>13.78</v>
      </c>
      <c r="AH234" t="s">
        <v>119</v>
      </c>
    </row>
    <row r="235" spans="1:34" ht="15" customHeight="1" x14ac:dyDescent="0.25">
      <c r="A235">
        <v>7547676</v>
      </c>
      <c r="B235" t="s">
        <v>34</v>
      </c>
      <c r="C235" t="s">
        <v>35</v>
      </c>
      <c r="D235" s="6" t="s">
        <v>34</v>
      </c>
      <c r="E235" t="s">
        <v>795</v>
      </c>
      <c r="F235" t="s">
        <v>37</v>
      </c>
      <c r="G235" t="s">
        <v>38</v>
      </c>
      <c r="H235" t="s">
        <v>796</v>
      </c>
      <c r="I235" t="s">
        <v>40</v>
      </c>
      <c r="J235">
        <v>2</v>
      </c>
      <c r="K235" t="s">
        <v>41</v>
      </c>
      <c r="L235" t="s">
        <v>42</v>
      </c>
      <c r="M235" t="s">
        <v>43</v>
      </c>
      <c r="N235" s="7">
        <v>1</v>
      </c>
      <c r="O235" s="8">
        <v>45525.798101851855</v>
      </c>
      <c r="P235" s="9">
        <v>45527</v>
      </c>
      <c r="Q235" t="s">
        <v>44</v>
      </c>
      <c r="R235" t="s">
        <v>45</v>
      </c>
      <c r="S235" t="s">
        <v>46</v>
      </c>
      <c r="T235" t="s">
        <v>146</v>
      </c>
      <c r="U235" t="s">
        <v>797</v>
      </c>
      <c r="V235">
        <v>59200</v>
      </c>
      <c r="W235" t="s">
        <v>45</v>
      </c>
      <c r="X235" t="s">
        <v>798</v>
      </c>
      <c r="Y235" t="s">
        <v>50</v>
      </c>
      <c r="Z235" s="10">
        <f t="shared" ref="Z235:Z237" si="21">IF(N235&lt;=1,9,9+0.8*ROUNDUP(N235-1,0))</f>
        <v>9</v>
      </c>
      <c r="AA235" s="11">
        <v>0</v>
      </c>
      <c r="AB235" s="11">
        <v>-2</v>
      </c>
      <c r="AC235" s="11">
        <v>0</v>
      </c>
      <c r="AD235" s="11">
        <v>0</v>
      </c>
      <c r="AE235" s="11">
        <v>0</v>
      </c>
      <c r="AF235" s="11">
        <f t="shared" si="17"/>
        <v>0.42</v>
      </c>
      <c r="AG235" s="11">
        <f t="shared" si="18"/>
        <v>7.42</v>
      </c>
      <c r="AH235" t="s">
        <v>51</v>
      </c>
    </row>
    <row r="236" spans="1:34" ht="15" customHeight="1" x14ac:dyDescent="0.25">
      <c r="A236">
        <v>7547676</v>
      </c>
      <c r="B236" t="s">
        <v>34</v>
      </c>
      <c r="C236" t="s">
        <v>35</v>
      </c>
      <c r="D236" s="6" t="s">
        <v>34</v>
      </c>
      <c r="E236" t="s">
        <v>799</v>
      </c>
      <c r="F236" t="s">
        <v>37</v>
      </c>
      <c r="G236" t="s">
        <v>38</v>
      </c>
      <c r="H236" t="s">
        <v>800</v>
      </c>
      <c r="I236" t="s">
        <v>40</v>
      </c>
      <c r="J236">
        <v>2</v>
      </c>
      <c r="K236" t="s">
        <v>41</v>
      </c>
      <c r="L236" t="s">
        <v>42</v>
      </c>
      <c r="M236" t="s">
        <v>43</v>
      </c>
      <c r="N236" s="7">
        <v>1</v>
      </c>
      <c r="O236" s="8">
        <v>45525.48951388889</v>
      </c>
      <c r="P236" s="9">
        <v>45527</v>
      </c>
      <c r="Q236" t="s">
        <v>44</v>
      </c>
      <c r="R236" t="s">
        <v>45</v>
      </c>
      <c r="S236" t="s">
        <v>46</v>
      </c>
      <c r="T236" t="s">
        <v>92</v>
      </c>
      <c r="U236" t="s">
        <v>801</v>
      </c>
      <c r="V236">
        <v>43200</v>
      </c>
      <c r="W236" t="s">
        <v>45</v>
      </c>
      <c r="X236" t="s">
        <v>69</v>
      </c>
      <c r="Y236" t="s">
        <v>50</v>
      </c>
      <c r="Z236" s="10">
        <f t="shared" si="21"/>
        <v>9</v>
      </c>
      <c r="AA236" s="11">
        <v>0</v>
      </c>
      <c r="AB236" s="11">
        <v>-2</v>
      </c>
      <c r="AC236" s="11">
        <v>0</v>
      </c>
      <c r="AD236" s="11">
        <v>0</v>
      </c>
      <c r="AE236" s="11">
        <v>0</v>
      </c>
      <c r="AF236" s="11">
        <f t="shared" si="17"/>
        <v>0.42</v>
      </c>
      <c r="AG236" s="11">
        <f t="shared" si="18"/>
        <v>7.42</v>
      </c>
      <c r="AH236" t="s">
        <v>51</v>
      </c>
    </row>
    <row r="237" spans="1:34" ht="15" customHeight="1" x14ac:dyDescent="0.25">
      <c r="A237">
        <v>7547676</v>
      </c>
      <c r="B237" t="s">
        <v>34</v>
      </c>
      <c r="C237" t="s">
        <v>35</v>
      </c>
      <c r="D237" s="6" t="s">
        <v>34</v>
      </c>
      <c r="E237" t="s">
        <v>802</v>
      </c>
      <c r="F237" t="s">
        <v>37</v>
      </c>
      <c r="G237" t="s">
        <v>38</v>
      </c>
      <c r="H237" t="s">
        <v>600</v>
      </c>
      <c r="I237" t="s">
        <v>40</v>
      </c>
      <c r="J237">
        <v>2</v>
      </c>
      <c r="K237" t="s">
        <v>41</v>
      </c>
      <c r="L237" t="s">
        <v>42</v>
      </c>
      <c r="M237" t="s">
        <v>43</v>
      </c>
      <c r="N237" s="7">
        <v>4</v>
      </c>
      <c r="O237" s="8">
        <v>45526.643657407411</v>
      </c>
      <c r="P237" s="9">
        <v>45527</v>
      </c>
      <c r="Q237" t="s">
        <v>44</v>
      </c>
      <c r="R237" t="s">
        <v>45</v>
      </c>
      <c r="S237" t="s">
        <v>46</v>
      </c>
      <c r="T237" t="s">
        <v>72</v>
      </c>
      <c r="U237" t="s">
        <v>803</v>
      </c>
      <c r="V237">
        <v>22000</v>
      </c>
      <c r="W237" t="s">
        <v>45</v>
      </c>
      <c r="X237" t="s">
        <v>139</v>
      </c>
      <c r="Y237" t="s">
        <v>50</v>
      </c>
      <c r="Z237" s="10">
        <f t="shared" si="21"/>
        <v>11.4</v>
      </c>
      <c r="AA237" s="11">
        <v>0</v>
      </c>
      <c r="AB237" s="11">
        <v>-2</v>
      </c>
      <c r="AC237" s="11">
        <v>0</v>
      </c>
      <c r="AD237" s="11">
        <v>0</v>
      </c>
      <c r="AE237" s="11">
        <v>0</v>
      </c>
      <c r="AF237" s="11">
        <f t="shared" si="17"/>
        <v>0.56399999999999995</v>
      </c>
      <c r="AG237" s="11">
        <f t="shared" si="18"/>
        <v>9.9640000000000004</v>
      </c>
      <c r="AH237" t="s">
        <v>51</v>
      </c>
    </row>
    <row r="238" spans="1:34" ht="15" customHeight="1" x14ac:dyDescent="0.25">
      <c r="A238">
        <v>7547676</v>
      </c>
      <c r="B238" t="s">
        <v>34</v>
      </c>
      <c r="C238" t="s">
        <v>35</v>
      </c>
      <c r="D238" s="6" t="s">
        <v>34</v>
      </c>
      <c r="E238" t="s">
        <v>804</v>
      </c>
      <c r="F238" t="s">
        <v>37</v>
      </c>
      <c r="G238" t="s">
        <v>38</v>
      </c>
      <c r="H238" t="s">
        <v>805</v>
      </c>
      <c r="I238" t="s">
        <v>40</v>
      </c>
      <c r="J238">
        <v>2</v>
      </c>
      <c r="K238" t="s">
        <v>41</v>
      </c>
      <c r="L238" t="s">
        <v>42</v>
      </c>
      <c r="M238" t="s">
        <v>43</v>
      </c>
      <c r="N238" s="7">
        <v>1</v>
      </c>
      <c r="O238" s="8">
        <v>45523.816400462965</v>
      </c>
      <c r="P238" s="9">
        <v>45527</v>
      </c>
      <c r="Q238" t="s">
        <v>44</v>
      </c>
      <c r="R238" t="s">
        <v>45</v>
      </c>
      <c r="S238" t="s">
        <v>46</v>
      </c>
      <c r="T238" t="s">
        <v>312</v>
      </c>
      <c r="U238" t="s">
        <v>806</v>
      </c>
      <c r="V238">
        <v>96100</v>
      </c>
      <c r="W238" t="s">
        <v>118</v>
      </c>
      <c r="X238" t="s">
        <v>69</v>
      </c>
      <c r="Y238" t="s">
        <v>50</v>
      </c>
      <c r="Z238" s="12">
        <f>IF(N238&lt;=1,13,IF(N238&lt;=2,23,IF(N238&lt;=3,35,IF(N238&lt;=4,43,IF(N238&lt;=5,53,IF(N238&lt;=6,63,IF(N238&lt;=7,71,IF(N238&lt;=8,79,IF(N238&lt;=9,87,IF(N238&lt;=10,95,IF(N238&lt;=11,105,IF(N238&lt;=12,114,IF(N238&lt;=13,119,IF(N238&lt;=14,127,IF(N238&lt;=15,135,IF(N238&lt;=16,143,IF(N238&lt;=17,153,IF(N238&lt;=18,163,IF(N238&lt;=19,171,IF(N238&lt;=20,185,IF(N238&lt;=21,193,IF(N238&lt;=22,201,IF(N238&lt;=23,210,IF(N238&lt;=24,220,IF(N238&lt;=25,230,IF(N238&lt;=26,240,IF(N238&lt;=27,250,IF(N238&lt;=28,260,IF(N238&lt;=29,270,IF(N238&lt;=30,280,280+10*ROUNDUP(N238-30,0)))))))))))))))))))))))))))))))</f>
        <v>13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f t="shared" si="17"/>
        <v>0.78</v>
      </c>
      <c r="AG238" s="11">
        <f t="shared" si="18"/>
        <v>13.78</v>
      </c>
      <c r="AH238" t="s">
        <v>119</v>
      </c>
    </row>
    <row r="239" spans="1:34" ht="15" customHeight="1" x14ac:dyDescent="0.25">
      <c r="A239">
        <v>7547676</v>
      </c>
      <c r="B239" t="s">
        <v>34</v>
      </c>
      <c r="C239" t="s">
        <v>35</v>
      </c>
      <c r="D239" s="6" t="s">
        <v>34</v>
      </c>
      <c r="E239" t="s">
        <v>807</v>
      </c>
      <c r="F239" t="s">
        <v>37</v>
      </c>
      <c r="G239" t="s">
        <v>38</v>
      </c>
      <c r="H239" t="s">
        <v>808</v>
      </c>
      <c r="I239" t="s">
        <v>40</v>
      </c>
      <c r="J239">
        <v>2</v>
      </c>
      <c r="K239" t="s">
        <v>41</v>
      </c>
      <c r="L239" t="s">
        <v>42</v>
      </c>
      <c r="M239" t="s">
        <v>43</v>
      </c>
      <c r="N239" s="7">
        <v>1</v>
      </c>
      <c r="O239" s="8">
        <v>45523.601435185185</v>
      </c>
      <c r="P239" s="9">
        <v>45527</v>
      </c>
      <c r="Q239" t="s">
        <v>44</v>
      </c>
      <c r="R239" t="s">
        <v>45</v>
      </c>
      <c r="S239" t="s">
        <v>46</v>
      </c>
      <c r="T239" t="s">
        <v>54</v>
      </c>
      <c r="U239" t="s">
        <v>809</v>
      </c>
      <c r="V239">
        <v>86800</v>
      </c>
      <c r="W239" t="s">
        <v>45</v>
      </c>
      <c r="X239" t="s">
        <v>69</v>
      </c>
      <c r="Y239" t="s">
        <v>50</v>
      </c>
      <c r="Z239" s="10">
        <f t="shared" ref="Z239:Z290" si="22">IF(N239&lt;=1,9,9+0.8*ROUNDUP(N239-1,0))</f>
        <v>9</v>
      </c>
      <c r="AA239" s="11">
        <v>0</v>
      </c>
      <c r="AB239" s="11">
        <v>-2</v>
      </c>
      <c r="AC239" s="11">
        <v>0</v>
      </c>
      <c r="AD239" s="11">
        <v>0</v>
      </c>
      <c r="AE239" s="11">
        <v>0</v>
      </c>
      <c r="AF239" s="11">
        <f t="shared" si="17"/>
        <v>0.42</v>
      </c>
      <c r="AG239" s="11">
        <f t="shared" si="18"/>
        <v>7.42</v>
      </c>
      <c r="AH239" t="s">
        <v>51</v>
      </c>
    </row>
    <row r="240" spans="1:34" ht="15" customHeight="1" x14ac:dyDescent="0.25">
      <c r="A240">
        <v>7547676</v>
      </c>
      <c r="B240" t="s">
        <v>34</v>
      </c>
      <c r="C240" t="s">
        <v>35</v>
      </c>
      <c r="D240" s="6" t="s">
        <v>34</v>
      </c>
      <c r="E240" t="s">
        <v>810</v>
      </c>
      <c r="F240" t="s">
        <v>37</v>
      </c>
      <c r="G240" t="s">
        <v>38</v>
      </c>
      <c r="H240" t="s">
        <v>811</v>
      </c>
      <c r="I240" t="s">
        <v>40</v>
      </c>
      <c r="J240">
        <v>2</v>
      </c>
      <c r="K240" t="s">
        <v>41</v>
      </c>
      <c r="L240" t="s">
        <v>42</v>
      </c>
      <c r="M240" t="s">
        <v>43</v>
      </c>
      <c r="N240" s="7">
        <v>6</v>
      </c>
      <c r="O240" s="8">
        <v>45525.737071759257</v>
      </c>
      <c r="P240" s="9">
        <v>45527</v>
      </c>
      <c r="Q240" t="s">
        <v>44</v>
      </c>
      <c r="R240" t="s">
        <v>45</v>
      </c>
      <c r="S240" t="s">
        <v>46</v>
      </c>
      <c r="T240" t="s">
        <v>72</v>
      </c>
      <c r="U240" t="s">
        <v>812</v>
      </c>
      <c r="V240">
        <v>24000</v>
      </c>
      <c r="W240" t="s">
        <v>45</v>
      </c>
      <c r="X240" t="s">
        <v>813</v>
      </c>
      <c r="Y240" t="s">
        <v>50</v>
      </c>
      <c r="Z240" s="10">
        <f t="shared" si="22"/>
        <v>13</v>
      </c>
      <c r="AA240" s="11">
        <v>0</v>
      </c>
      <c r="AB240" s="11">
        <v>-2</v>
      </c>
      <c r="AC240" s="11">
        <v>0</v>
      </c>
      <c r="AD240" s="11">
        <v>0</v>
      </c>
      <c r="AE240" s="11">
        <v>0</v>
      </c>
      <c r="AF240" s="11">
        <f t="shared" si="17"/>
        <v>0.65999999999999992</v>
      </c>
      <c r="AG240" s="11">
        <f t="shared" si="18"/>
        <v>11.66</v>
      </c>
      <c r="AH240" t="s">
        <v>51</v>
      </c>
    </row>
    <row r="241" spans="1:34" ht="15" customHeight="1" x14ac:dyDescent="0.25">
      <c r="A241">
        <v>7547676</v>
      </c>
      <c r="B241" t="s">
        <v>34</v>
      </c>
      <c r="C241" t="s">
        <v>35</v>
      </c>
      <c r="D241" s="6" t="s">
        <v>34</v>
      </c>
      <c r="E241" t="s">
        <v>814</v>
      </c>
      <c r="F241" t="s">
        <v>37</v>
      </c>
      <c r="G241" t="s">
        <v>38</v>
      </c>
      <c r="H241" t="s">
        <v>815</v>
      </c>
      <c r="I241" t="s">
        <v>40</v>
      </c>
      <c r="J241">
        <v>2</v>
      </c>
      <c r="K241" t="s">
        <v>41</v>
      </c>
      <c r="L241" t="s">
        <v>42</v>
      </c>
      <c r="M241" t="s">
        <v>43</v>
      </c>
      <c r="N241" s="7">
        <v>1</v>
      </c>
      <c r="O241" s="8">
        <v>45525.652488425927</v>
      </c>
      <c r="P241" s="9">
        <v>45527</v>
      </c>
      <c r="Q241" t="s">
        <v>44</v>
      </c>
      <c r="R241" t="s">
        <v>45</v>
      </c>
      <c r="S241" t="s">
        <v>46</v>
      </c>
      <c r="T241" t="s">
        <v>92</v>
      </c>
      <c r="U241" t="s">
        <v>816</v>
      </c>
      <c r="V241">
        <v>40200</v>
      </c>
      <c r="W241" t="s">
        <v>45</v>
      </c>
      <c r="X241" t="s">
        <v>478</v>
      </c>
      <c r="Y241" t="s">
        <v>50</v>
      </c>
      <c r="Z241" s="10">
        <f t="shared" si="22"/>
        <v>9</v>
      </c>
      <c r="AA241" s="11">
        <v>0</v>
      </c>
      <c r="AB241" s="11">
        <v>-2</v>
      </c>
      <c r="AC241" s="11">
        <v>0</v>
      </c>
      <c r="AD241" s="11">
        <v>0</v>
      </c>
      <c r="AE241" s="11">
        <v>0</v>
      </c>
      <c r="AF241" s="11">
        <f t="shared" si="17"/>
        <v>0.42</v>
      </c>
      <c r="AG241" s="11">
        <f t="shared" si="18"/>
        <v>7.42</v>
      </c>
      <c r="AH241" t="s">
        <v>51</v>
      </c>
    </row>
    <row r="242" spans="1:34" ht="15" customHeight="1" x14ac:dyDescent="0.25">
      <c r="A242">
        <v>7547676</v>
      </c>
      <c r="B242" t="s">
        <v>34</v>
      </c>
      <c r="C242" t="s">
        <v>35</v>
      </c>
      <c r="D242" s="6" t="s">
        <v>34</v>
      </c>
      <c r="E242" t="s">
        <v>817</v>
      </c>
      <c r="F242" t="s">
        <v>37</v>
      </c>
      <c r="G242" t="s">
        <v>38</v>
      </c>
      <c r="H242" t="s">
        <v>398</v>
      </c>
      <c r="I242" t="s">
        <v>40</v>
      </c>
      <c r="J242">
        <v>2</v>
      </c>
      <c r="K242" t="s">
        <v>41</v>
      </c>
      <c r="L242" t="s">
        <v>42</v>
      </c>
      <c r="M242" t="s">
        <v>43</v>
      </c>
      <c r="N242" s="7">
        <v>14</v>
      </c>
      <c r="O242" s="8">
        <v>45525.768252314818</v>
      </c>
      <c r="P242" s="9">
        <v>45527</v>
      </c>
      <c r="Q242" t="s">
        <v>44</v>
      </c>
      <c r="R242" t="s">
        <v>45</v>
      </c>
      <c r="S242" t="s">
        <v>46</v>
      </c>
      <c r="T242" t="s">
        <v>223</v>
      </c>
      <c r="U242" t="s">
        <v>399</v>
      </c>
      <c r="V242">
        <v>26600</v>
      </c>
      <c r="W242" t="s">
        <v>45</v>
      </c>
      <c r="X242" t="s">
        <v>400</v>
      </c>
      <c r="Y242" t="s">
        <v>50</v>
      </c>
      <c r="Z242" s="10">
        <f t="shared" si="22"/>
        <v>19.399999999999999</v>
      </c>
      <c r="AA242" s="11">
        <v>0</v>
      </c>
      <c r="AB242" s="11">
        <v>-2</v>
      </c>
      <c r="AC242" s="11">
        <v>0</v>
      </c>
      <c r="AD242" s="11">
        <v>0</v>
      </c>
      <c r="AE242" s="11">
        <v>0</v>
      </c>
      <c r="AF242" s="11">
        <f t="shared" si="17"/>
        <v>1.0439999999999998</v>
      </c>
      <c r="AG242" s="11">
        <f t="shared" si="18"/>
        <v>18.443999999999999</v>
      </c>
      <c r="AH242" t="s">
        <v>51</v>
      </c>
    </row>
    <row r="243" spans="1:34" ht="15" customHeight="1" x14ac:dyDescent="0.25">
      <c r="A243">
        <v>7547676</v>
      </c>
      <c r="B243" t="s">
        <v>34</v>
      </c>
      <c r="C243" t="s">
        <v>35</v>
      </c>
      <c r="D243" s="6" t="s">
        <v>34</v>
      </c>
      <c r="E243" t="s">
        <v>818</v>
      </c>
      <c r="F243" t="s">
        <v>37</v>
      </c>
      <c r="G243" t="s">
        <v>38</v>
      </c>
      <c r="H243" t="s">
        <v>819</v>
      </c>
      <c r="I243" t="s">
        <v>40</v>
      </c>
      <c r="J243">
        <v>2</v>
      </c>
      <c r="K243" t="s">
        <v>41</v>
      </c>
      <c r="L243" t="s">
        <v>42</v>
      </c>
      <c r="M243" t="s">
        <v>43</v>
      </c>
      <c r="N243" s="7">
        <v>1</v>
      </c>
      <c r="O243" s="8">
        <v>45523.64916666667</v>
      </c>
      <c r="P243" s="9">
        <v>45527</v>
      </c>
      <c r="Q243" t="s">
        <v>44</v>
      </c>
      <c r="R243" t="s">
        <v>45</v>
      </c>
      <c r="S243" t="s">
        <v>46</v>
      </c>
      <c r="T243" t="s">
        <v>92</v>
      </c>
      <c r="U243" t="s">
        <v>820</v>
      </c>
      <c r="V243">
        <v>68000</v>
      </c>
      <c r="W243" t="s">
        <v>45</v>
      </c>
      <c r="X243" t="s">
        <v>148</v>
      </c>
      <c r="Y243" t="s">
        <v>50</v>
      </c>
      <c r="Z243" s="10">
        <f t="shared" si="22"/>
        <v>9</v>
      </c>
      <c r="AA243" s="11">
        <v>0</v>
      </c>
      <c r="AB243" s="11">
        <v>-2</v>
      </c>
      <c r="AC243" s="11">
        <v>0</v>
      </c>
      <c r="AD243" s="11">
        <v>0</v>
      </c>
      <c r="AE243" s="11">
        <v>0</v>
      </c>
      <c r="AF243" s="11">
        <f t="shared" si="17"/>
        <v>0.42</v>
      </c>
      <c r="AG243" s="11">
        <f t="shared" si="18"/>
        <v>7.42</v>
      </c>
      <c r="AH243" t="s">
        <v>51</v>
      </c>
    </row>
    <row r="244" spans="1:34" ht="15" customHeight="1" x14ac:dyDescent="0.25">
      <c r="A244">
        <v>7547676</v>
      </c>
      <c r="B244" t="s">
        <v>34</v>
      </c>
      <c r="C244" t="s">
        <v>35</v>
      </c>
      <c r="D244" s="6" t="s">
        <v>34</v>
      </c>
      <c r="E244" t="s">
        <v>821</v>
      </c>
      <c r="F244" t="s">
        <v>37</v>
      </c>
      <c r="G244" t="s">
        <v>38</v>
      </c>
      <c r="H244" t="s">
        <v>822</v>
      </c>
      <c r="I244" t="s">
        <v>40</v>
      </c>
      <c r="J244">
        <v>2</v>
      </c>
      <c r="K244" t="s">
        <v>41</v>
      </c>
      <c r="L244" t="s">
        <v>42</v>
      </c>
      <c r="M244" t="s">
        <v>43</v>
      </c>
      <c r="N244" s="7">
        <v>1</v>
      </c>
      <c r="O244" s="8">
        <v>45526.62059027778</v>
      </c>
      <c r="P244" s="9">
        <v>45527</v>
      </c>
      <c r="Q244" t="s">
        <v>44</v>
      </c>
      <c r="R244" t="s">
        <v>45</v>
      </c>
      <c r="S244" t="s">
        <v>46</v>
      </c>
      <c r="T244" t="s">
        <v>223</v>
      </c>
      <c r="U244" t="s">
        <v>823</v>
      </c>
      <c r="V244">
        <v>28200</v>
      </c>
      <c r="W244" t="s">
        <v>45</v>
      </c>
      <c r="X244" t="s">
        <v>225</v>
      </c>
      <c r="Y244" t="s">
        <v>50</v>
      </c>
      <c r="Z244" s="10">
        <f t="shared" si="22"/>
        <v>9</v>
      </c>
      <c r="AA244" s="11">
        <v>0</v>
      </c>
      <c r="AB244" s="11">
        <v>-2</v>
      </c>
      <c r="AC244" s="11">
        <v>0</v>
      </c>
      <c r="AD244" s="11">
        <v>0</v>
      </c>
      <c r="AE244" s="11">
        <v>0</v>
      </c>
      <c r="AF244" s="11">
        <f t="shared" si="17"/>
        <v>0.42</v>
      </c>
      <c r="AG244" s="11">
        <f t="shared" si="18"/>
        <v>7.42</v>
      </c>
      <c r="AH244" t="s">
        <v>51</v>
      </c>
    </row>
    <row r="245" spans="1:34" ht="15" customHeight="1" x14ac:dyDescent="0.25">
      <c r="A245">
        <v>7547676</v>
      </c>
      <c r="B245" t="s">
        <v>34</v>
      </c>
      <c r="C245" t="s">
        <v>35</v>
      </c>
      <c r="D245" s="6" t="s">
        <v>34</v>
      </c>
      <c r="E245" t="s">
        <v>824</v>
      </c>
      <c r="F245" t="s">
        <v>37</v>
      </c>
      <c r="G245" t="s">
        <v>38</v>
      </c>
      <c r="H245" t="s">
        <v>825</v>
      </c>
      <c r="I245" t="s">
        <v>40</v>
      </c>
      <c r="J245">
        <v>2</v>
      </c>
      <c r="K245" t="s">
        <v>41</v>
      </c>
      <c r="L245" t="s">
        <v>42</v>
      </c>
      <c r="M245" t="s">
        <v>43</v>
      </c>
      <c r="N245" s="7">
        <v>1</v>
      </c>
      <c r="O245" s="8">
        <v>45526.678854166668</v>
      </c>
      <c r="P245" s="9">
        <v>45527</v>
      </c>
      <c r="Q245" t="s">
        <v>44</v>
      </c>
      <c r="R245" t="s">
        <v>45</v>
      </c>
      <c r="S245" t="s">
        <v>46</v>
      </c>
      <c r="T245" t="s">
        <v>223</v>
      </c>
      <c r="U245" t="s">
        <v>826</v>
      </c>
      <c r="V245">
        <v>27200</v>
      </c>
      <c r="W245" t="s">
        <v>45</v>
      </c>
      <c r="X245" t="s">
        <v>225</v>
      </c>
      <c r="Y245" t="s">
        <v>50</v>
      </c>
      <c r="Z245" s="10">
        <f t="shared" si="22"/>
        <v>9</v>
      </c>
      <c r="AA245" s="11">
        <v>0</v>
      </c>
      <c r="AB245" s="11">
        <v>-2</v>
      </c>
      <c r="AC245" s="11">
        <v>0</v>
      </c>
      <c r="AD245" s="11">
        <v>0</v>
      </c>
      <c r="AE245" s="11">
        <v>0</v>
      </c>
      <c r="AF245" s="11">
        <f t="shared" si="17"/>
        <v>0.42</v>
      </c>
      <c r="AG245" s="11">
        <f t="shared" si="18"/>
        <v>7.42</v>
      </c>
      <c r="AH245" t="s">
        <v>51</v>
      </c>
    </row>
    <row r="246" spans="1:34" ht="15" customHeight="1" x14ac:dyDescent="0.25">
      <c r="A246">
        <v>7547676</v>
      </c>
      <c r="B246" t="s">
        <v>34</v>
      </c>
      <c r="C246" t="s">
        <v>35</v>
      </c>
      <c r="D246" s="6" t="s">
        <v>34</v>
      </c>
      <c r="E246" t="s">
        <v>827</v>
      </c>
      <c r="F246" t="s">
        <v>37</v>
      </c>
      <c r="G246" t="s">
        <v>38</v>
      </c>
      <c r="H246" t="s">
        <v>828</v>
      </c>
      <c r="I246" t="s">
        <v>40</v>
      </c>
      <c r="J246">
        <v>2</v>
      </c>
      <c r="K246" t="s">
        <v>41</v>
      </c>
      <c r="L246" t="s">
        <v>42</v>
      </c>
      <c r="M246" t="s">
        <v>43</v>
      </c>
      <c r="N246" s="7">
        <v>1</v>
      </c>
      <c r="O246" s="8">
        <v>45525.73296296296</v>
      </c>
      <c r="P246" s="9">
        <v>45527</v>
      </c>
      <c r="Q246" t="s">
        <v>44</v>
      </c>
      <c r="R246" t="s">
        <v>45</v>
      </c>
      <c r="S246" t="s">
        <v>46</v>
      </c>
      <c r="T246" t="s">
        <v>92</v>
      </c>
      <c r="U246" t="s">
        <v>829</v>
      </c>
      <c r="V246">
        <v>40150</v>
      </c>
      <c r="W246" t="s">
        <v>45</v>
      </c>
      <c r="X246" t="s">
        <v>596</v>
      </c>
      <c r="Y246" t="s">
        <v>50</v>
      </c>
      <c r="Z246" s="10">
        <f t="shared" si="22"/>
        <v>9</v>
      </c>
      <c r="AA246" s="11">
        <v>0</v>
      </c>
      <c r="AB246" s="11">
        <v>-2</v>
      </c>
      <c r="AC246" s="11">
        <v>0</v>
      </c>
      <c r="AD246" s="11">
        <v>0</v>
      </c>
      <c r="AE246" s="11">
        <v>0</v>
      </c>
      <c r="AF246" s="11">
        <f t="shared" si="17"/>
        <v>0.42</v>
      </c>
      <c r="AG246" s="11">
        <f t="shared" si="18"/>
        <v>7.42</v>
      </c>
      <c r="AH246" t="s">
        <v>51</v>
      </c>
    </row>
    <row r="247" spans="1:34" ht="15" customHeight="1" x14ac:dyDescent="0.25">
      <c r="A247">
        <v>7547676</v>
      </c>
      <c r="B247" t="s">
        <v>34</v>
      </c>
      <c r="C247" t="s">
        <v>35</v>
      </c>
      <c r="D247" s="6" t="s">
        <v>34</v>
      </c>
      <c r="E247" t="s">
        <v>830</v>
      </c>
      <c r="F247" t="s">
        <v>37</v>
      </c>
      <c r="G247" t="s">
        <v>38</v>
      </c>
      <c r="H247" t="s">
        <v>831</v>
      </c>
      <c r="I247" t="s">
        <v>40</v>
      </c>
      <c r="J247">
        <v>2</v>
      </c>
      <c r="K247" t="s">
        <v>41</v>
      </c>
      <c r="L247" t="s">
        <v>42</v>
      </c>
      <c r="M247" t="s">
        <v>43</v>
      </c>
      <c r="N247" s="7">
        <v>1</v>
      </c>
      <c r="O247" s="8">
        <v>45525.717685185184</v>
      </c>
      <c r="P247" s="9">
        <v>45527</v>
      </c>
      <c r="Q247" t="s">
        <v>44</v>
      </c>
      <c r="R247" t="s">
        <v>45</v>
      </c>
      <c r="S247" t="s">
        <v>46</v>
      </c>
      <c r="T247" t="s">
        <v>92</v>
      </c>
      <c r="U247" t="s">
        <v>832</v>
      </c>
      <c r="V247">
        <v>44300</v>
      </c>
      <c r="W247" t="s">
        <v>45</v>
      </c>
      <c r="X247" t="s">
        <v>69</v>
      </c>
      <c r="Y247" t="s">
        <v>50</v>
      </c>
      <c r="Z247" s="10">
        <f t="shared" si="22"/>
        <v>9</v>
      </c>
      <c r="AA247" s="11">
        <v>0</v>
      </c>
      <c r="AB247" s="11">
        <v>-2</v>
      </c>
      <c r="AC247" s="11">
        <v>0</v>
      </c>
      <c r="AD247" s="11">
        <v>0</v>
      </c>
      <c r="AE247" s="11">
        <v>0</v>
      </c>
      <c r="AF247" s="11">
        <f t="shared" si="17"/>
        <v>0.42</v>
      </c>
      <c r="AG247" s="11">
        <f t="shared" si="18"/>
        <v>7.42</v>
      </c>
      <c r="AH247" t="s">
        <v>51</v>
      </c>
    </row>
    <row r="248" spans="1:34" ht="15" customHeight="1" x14ac:dyDescent="0.25">
      <c r="A248">
        <v>7547676</v>
      </c>
      <c r="B248" t="s">
        <v>34</v>
      </c>
      <c r="C248" t="s">
        <v>35</v>
      </c>
      <c r="D248" s="6" t="s">
        <v>34</v>
      </c>
      <c r="E248" t="s">
        <v>833</v>
      </c>
      <c r="F248" t="s">
        <v>37</v>
      </c>
      <c r="G248" t="s">
        <v>38</v>
      </c>
      <c r="H248" t="s">
        <v>834</v>
      </c>
      <c r="I248" t="s">
        <v>40</v>
      </c>
      <c r="J248">
        <v>2</v>
      </c>
      <c r="K248" t="s">
        <v>41</v>
      </c>
      <c r="L248" t="s">
        <v>42</v>
      </c>
      <c r="M248" t="s">
        <v>43</v>
      </c>
      <c r="N248" s="7">
        <v>1</v>
      </c>
      <c r="O248" s="8">
        <v>45525.717685185184</v>
      </c>
      <c r="P248" s="9">
        <v>45527</v>
      </c>
      <c r="Q248" t="s">
        <v>44</v>
      </c>
      <c r="R248" t="s">
        <v>45</v>
      </c>
      <c r="S248" t="s">
        <v>46</v>
      </c>
      <c r="T248" t="s">
        <v>54</v>
      </c>
      <c r="U248" t="s">
        <v>835</v>
      </c>
      <c r="V248">
        <v>86800</v>
      </c>
      <c r="W248" t="s">
        <v>45</v>
      </c>
      <c r="X248" t="s">
        <v>69</v>
      </c>
      <c r="Y248" t="s">
        <v>50</v>
      </c>
      <c r="Z248" s="10">
        <f t="shared" si="22"/>
        <v>9</v>
      </c>
      <c r="AA248" s="11">
        <v>0</v>
      </c>
      <c r="AB248" s="11">
        <v>-2</v>
      </c>
      <c r="AC248" s="11">
        <v>0</v>
      </c>
      <c r="AD248" s="11">
        <v>0</v>
      </c>
      <c r="AE248" s="11">
        <v>0</v>
      </c>
      <c r="AF248" s="11">
        <f t="shared" si="17"/>
        <v>0.42</v>
      </c>
      <c r="AG248" s="11">
        <f t="shared" si="18"/>
        <v>7.42</v>
      </c>
      <c r="AH248" t="s">
        <v>51</v>
      </c>
    </row>
    <row r="249" spans="1:34" ht="15" customHeight="1" x14ac:dyDescent="0.25">
      <c r="A249">
        <v>7547676</v>
      </c>
      <c r="B249" t="s">
        <v>34</v>
      </c>
      <c r="C249" t="s">
        <v>35</v>
      </c>
      <c r="D249" s="6" t="s">
        <v>34</v>
      </c>
      <c r="E249" t="s">
        <v>836</v>
      </c>
      <c r="F249" t="s">
        <v>37</v>
      </c>
      <c r="G249" t="s">
        <v>38</v>
      </c>
      <c r="H249" t="s">
        <v>837</v>
      </c>
      <c r="I249" t="s">
        <v>40</v>
      </c>
      <c r="J249">
        <v>2</v>
      </c>
      <c r="K249" t="s">
        <v>41</v>
      </c>
      <c r="L249" t="s">
        <v>42</v>
      </c>
      <c r="M249" t="s">
        <v>43</v>
      </c>
      <c r="N249" s="7">
        <v>1</v>
      </c>
      <c r="O249" s="8">
        <v>45526.611250000002</v>
      </c>
      <c r="P249" s="9">
        <v>45527</v>
      </c>
      <c r="Q249" t="s">
        <v>44</v>
      </c>
      <c r="R249" t="s">
        <v>45</v>
      </c>
      <c r="S249" t="s">
        <v>46</v>
      </c>
      <c r="T249" t="s">
        <v>146</v>
      </c>
      <c r="U249" t="s">
        <v>838</v>
      </c>
      <c r="V249">
        <v>54200</v>
      </c>
      <c r="W249" t="s">
        <v>45</v>
      </c>
      <c r="X249" t="s">
        <v>354</v>
      </c>
      <c r="Y249" t="s">
        <v>50</v>
      </c>
      <c r="Z249" s="10">
        <f t="shared" si="22"/>
        <v>9</v>
      </c>
      <c r="AA249" s="11">
        <v>0</v>
      </c>
      <c r="AB249" s="11">
        <v>-2</v>
      </c>
      <c r="AC249" s="11">
        <v>0</v>
      </c>
      <c r="AD249" s="11">
        <v>0</v>
      </c>
      <c r="AE249" s="11">
        <v>0</v>
      </c>
      <c r="AF249" s="11">
        <f t="shared" si="17"/>
        <v>0.42</v>
      </c>
      <c r="AG249" s="11">
        <f t="shared" si="18"/>
        <v>7.42</v>
      </c>
      <c r="AH249" t="s">
        <v>51</v>
      </c>
    </row>
    <row r="250" spans="1:34" ht="15" customHeight="1" x14ac:dyDescent="0.25">
      <c r="A250">
        <v>7547676</v>
      </c>
      <c r="B250" t="s">
        <v>34</v>
      </c>
      <c r="C250" t="s">
        <v>35</v>
      </c>
      <c r="D250" s="6" t="s">
        <v>34</v>
      </c>
      <c r="E250" t="s">
        <v>839</v>
      </c>
      <c r="F250" t="s">
        <v>37</v>
      </c>
      <c r="G250" t="s">
        <v>38</v>
      </c>
      <c r="H250" t="s">
        <v>840</v>
      </c>
      <c r="I250" t="s">
        <v>40</v>
      </c>
      <c r="J250">
        <v>2</v>
      </c>
      <c r="K250" t="s">
        <v>41</v>
      </c>
      <c r="L250" t="s">
        <v>42</v>
      </c>
      <c r="M250" t="s">
        <v>43</v>
      </c>
      <c r="N250" s="7">
        <v>1</v>
      </c>
      <c r="O250" s="8">
        <v>45524.758356481485</v>
      </c>
      <c r="P250" s="9">
        <v>45527</v>
      </c>
      <c r="Q250" t="s">
        <v>44</v>
      </c>
      <c r="R250" t="s">
        <v>45</v>
      </c>
      <c r="S250" t="s">
        <v>46</v>
      </c>
      <c r="T250" t="s">
        <v>146</v>
      </c>
      <c r="U250" t="s">
        <v>841</v>
      </c>
      <c r="V250">
        <v>51100</v>
      </c>
      <c r="W250" t="s">
        <v>45</v>
      </c>
      <c r="X250" t="s">
        <v>842</v>
      </c>
      <c r="Y250" t="s">
        <v>50</v>
      </c>
      <c r="Z250" s="10">
        <f t="shared" si="22"/>
        <v>9</v>
      </c>
      <c r="AA250" s="11">
        <v>0</v>
      </c>
      <c r="AB250" s="11">
        <v>-2</v>
      </c>
      <c r="AC250" s="11">
        <v>0</v>
      </c>
      <c r="AD250" s="11">
        <v>0</v>
      </c>
      <c r="AE250" s="11">
        <v>0</v>
      </c>
      <c r="AF250" s="11">
        <f t="shared" si="17"/>
        <v>0.42</v>
      </c>
      <c r="AG250" s="11">
        <f t="shared" si="18"/>
        <v>7.42</v>
      </c>
      <c r="AH250" t="s">
        <v>51</v>
      </c>
    </row>
    <row r="251" spans="1:34" ht="15" customHeight="1" x14ac:dyDescent="0.25">
      <c r="A251">
        <v>7547676</v>
      </c>
      <c r="B251" t="s">
        <v>34</v>
      </c>
      <c r="C251" t="s">
        <v>35</v>
      </c>
      <c r="D251" s="6" t="s">
        <v>34</v>
      </c>
      <c r="E251" t="s">
        <v>843</v>
      </c>
      <c r="F251" t="s">
        <v>37</v>
      </c>
      <c r="G251" t="s">
        <v>38</v>
      </c>
      <c r="H251" t="s">
        <v>844</v>
      </c>
      <c r="I251" t="s">
        <v>40</v>
      </c>
      <c r="J251">
        <v>2</v>
      </c>
      <c r="K251" t="s">
        <v>41</v>
      </c>
      <c r="L251" t="s">
        <v>42</v>
      </c>
      <c r="M251" t="s">
        <v>43</v>
      </c>
      <c r="N251" s="7">
        <v>1</v>
      </c>
      <c r="O251" s="8">
        <v>45525.654456018521</v>
      </c>
      <c r="P251" s="9">
        <v>45527</v>
      </c>
      <c r="Q251" t="s">
        <v>44</v>
      </c>
      <c r="R251" t="s">
        <v>45</v>
      </c>
      <c r="S251" t="s">
        <v>46</v>
      </c>
      <c r="T251" t="s">
        <v>92</v>
      </c>
      <c r="U251" t="s">
        <v>845</v>
      </c>
      <c r="V251">
        <v>40150</v>
      </c>
      <c r="W251" t="s">
        <v>45</v>
      </c>
      <c r="X251" t="s">
        <v>143</v>
      </c>
      <c r="Y251" t="s">
        <v>50</v>
      </c>
      <c r="Z251" s="10">
        <f t="shared" si="22"/>
        <v>9</v>
      </c>
      <c r="AA251" s="11">
        <v>0</v>
      </c>
      <c r="AB251" s="11">
        <v>-2</v>
      </c>
      <c r="AC251" s="11">
        <v>0</v>
      </c>
      <c r="AD251" s="11">
        <v>0</v>
      </c>
      <c r="AE251" s="11">
        <v>0</v>
      </c>
      <c r="AF251" s="11">
        <f t="shared" si="17"/>
        <v>0.42</v>
      </c>
      <c r="AG251" s="11">
        <f t="shared" si="18"/>
        <v>7.42</v>
      </c>
      <c r="AH251" t="s">
        <v>51</v>
      </c>
    </row>
    <row r="252" spans="1:34" ht="15" customHeight="1" x14ac:dyDescent="0.25">
      <c r="A252">
        <v>7547676</v>
      </c>
      <c r="B252" t="s">
        <v>34</v>
      </c>
      <c r="C252" t="s">
        <v>35</v>
      </c>
      <c r="D252" s="6" t="s">
        <v>34</v>
      </c>
      <c r="E252" t="s">
        <v>846</v>
      </c>
      <c r="F252" t="s">
        <v>37</v>
      </c>
      <c r="G252" t="s">
        <v>38</v>
      </c>
      <c r="H252" t="s">
        <v>847</v>
      </c>
      <c r="I252" t="s">
        <v>40</v>
      </c>
      <c r="J252">
        <v>2</v>
      </c>
      <c r="K252" t="s">
        <v>41</v>
      </c>
      <c r="L252" t="s">
        <v>42</v>
      </c>
      <c r="M252" t="s">
        <v>43</v>
      </c>
      <c r="N252" s="7">
        <v>1</v>
      </c>
      <c r="O252" s="8">
        <v>45526.677384259259</v>
      </c>
      <c r="P252" s="9">
        <v>45528</v>
      </c>
      <c r="Q252" t="s">
        <v>44</v>
      </c>
      <c r="R252" t="s">
        <v>45</v>
      </c>
      <c r="S252" t="s">
        <v>46</v>
      </c>
      <c r="T252" t="s">
        <v>54</v>
      </c>
      <c r="U252" t="s">
        <v>848</v>
      </c>
      <c r="V252">
        <v>84000</v>
      </c>
      <c r="W252" t="s">
        <v>45</v>
      </c>
      <c r="X252" t="s">
        <v>69</v>
      </c>
      <c r="Y252" t="s">
        <v>50</v>
      </c>
      <c r="Z252" s="10">
        <f t="shared" si="22"/>
        <v>9</v>
      </c>
      <c r="AA252" s="11">
        <v>0</v>
      </c>
      <c r="AB252" s="11">
        <v>-2</v>
      </c>
      <c r="AC252" s="11">
        <v>0</v>
      </c>
      <c r="AD252" s="11">
        <v>0</v>
      </c>
      <c r="AE252" s="11">
        <v>0</v>
      </c>
      <c r="AF252" s="11">
        <f t="shared" si="17"/>
        <v>0.42</v>
      </c>
      <c r="AG252" s="11">
        <f t="shared" si="18"/>
        <v>7.42</v>
      </c>
      <c r="AH252" t="s">
        <v>51</v>
      </c>
    </row>
    <row r="253" spans="1:34" ht="15" customHeight="1" x14ac:dyDescent="0.25">
      <c r="A253">
        <v>7547676</v>
      </c>
      <c r="B253" t="s">
        <v>34</v>
      </c>
      <c r="C253" t="s">
        <v>35</v>
      </c>
      <c r="D253" s="6" t="s">
        <v>34</v>
      </c>
      <c r="E253" t="s">
        <v>849</v>
      </c>
      <c r="F253" t="s">
        <v>37</v>
      </c>
      <c r="G253" t="s">
        <v>38</v>
      </c>
      <c r="H253" t="s">
        <v>850</v>
      </c>
      <c r="I253" t="s">
        <v>40</v>
      </c>
      <c r="J253">
        <v>2</v>
      </c>
      <c r="K253" t="s">
        <v>41</v>
      </c>
      <c r="L253" t="s">
        <v>42</v>
      </c>
      <c r="M253" t="s">
        <v>43</v>
      </c>
      <c r="N253" s="7">
        <v>1</v>
      </c>
      <c r="O253" s="8">
        <v>45526.676006944443</v>
      </c>
      <c r="P253" s="9">
        <v>45528</v>
      </c>
      <c r="Q253" t="s">
        <v>44</v>
      </c>
      <c r="R253" t="s">
        <v>45</v>
      </c>
      <c r="S253" t="s">
        <v>46</v>
      </c>
      <c r="T253" t="s">
        <v>129</v>
      </c>
      <c r="U253" t="s">
        <v>851</v>
      </c>
      <c r="V253">
        <v>70450</v>
      </c>
      <c r="W253" t="s">
        <v>45</v>
      </c>
      <c r="X253" t="s">
        <v>636</v>
      </c>
      <c r="Y253" t="s">
        <v>50</v>
      </c>
      <c r="Z253" s="10">
        <f t="shared" si="22"/>
        <v>9</v>
      </c>
      <c r="AA253" s="11">
        <v>0</v>
      </c>
      <c r="AB253" s="11">
        <v>-2</v>
      </c>
      <c r="AC253" s="11">
        <v>0</v>
      </c>
      <c r="AD253" s="11">
        <v>0</v>
      </c>
      <c r="AE253" s="11">
        <v>0</v>
      </c>
      <c r="AF253" s="11">
        <f t="shared" si="17"/>
        <v>0.42</v>
      </c>
      <c r="AG253" s="11">
        <f t="shared" si="18"/>
        <v>7.42</v>
      </c>
      <c r="AH253" t="s">
        <v>51</v>
      </c>
    </row>
    <row r="254" spans="1:34" ht="15" customHeight="1" x14ac:dyDescent="0.25">
      <c r="A254">
        <v>7547676</v>
      </c>
      <c r="B254" t="s">
        <v>34</v>
      </c>
      <c r="C254" t="s">
        <v>35</v>
      </c>
      <c r="D254" s="6" t="s">
        <v>34</v>
      </c>
      <c r="E254" t="s">
        <v>852</v>
      </c>
      <c r="F254" t="s">
        <v>37</v>
      </c>
      <c r="G254" t="s">
        <v>38</v>
      </c>
      <c r="H254" t="s">
        <v>853</v>
      </c>
      <c r="I254" t="s">
        <v>40</v>
      </c>
      <c r="J254">
        <v>2</v>
      </c>
      <c r="K254" t="s">
        <v>41</v>
      </c>
      <c r="L254" t="s">
        <v>42</v>
      </c>
      <c r="M254" t="s">
        <v>43</v>
      </c>
      <c r="N254" s="7">
        <v>1</v>
      </c>
      <c r="O254" s="8">
        <v>45525.73296296296</v>
      </c>
      <c r="P254" s="9">
        <v>45528</v>
      </c>
      <c r="Q254" t="s">
        <v>44</v>
      </c>
      <c r="R254" t="s">
        <v>45</v>
      </c>
      <c r="S254" t="s">
        <v>46</v>
      </c>
      <c r="T254" t="s">
        <v>47</v>
      </c>
      <c r="U254" t="s">
        <v>854</v>
      </c>
      <c r="V254">
        <v>31350</v>
      </c>
      <c r="W254" t="s">
        <v>45</v>
      </c>
      <c r="X254" t="s">
        <v>89</v>
      </c>
      <c r="Y254" t="s">
        <v>50</v>
      </c>
      <c r="Z254" s="10">
        <f t="shared" si="22"/>
        <v>9</v>
      </c>
      <c r="AA254" s="11">
        <v>0</v>
      </c>
      <c r="AB254" s="11">
        <v>-2</v>
      </c>
      <c r="AC254" s="11">
        <v>0</v>
      </c>
      <c r="AD254" s="11">
        <v>0</v>
      </c>
      <c r="AE254" s="11">
        <v>0</v>
      </c>
      <c r="AF254" s="11">
        <f t="shared" si="17"/>
        <v>0.42</v>
      </c>
      <c r="AG254" s="11">
        <f t="shared" si="18"/>
        <v>7.42</v>
      </c>
      <c r="AH254" t="s">
        <v>51</v>
      </c>
    </row>
    <row r="255" spans="1:34" ht="15" customHeight="1" x14ac:dyDescent="0.25">
      <c r="A255">
        <v>7547676</v>
      </c>
      <c r="B255" t="s">
        <v>34</v>
      </c>
      <c r="C255" t="s">
        <v>35</v>
      </c>
      <c r="D255" s="6" t="s">
        <v>34</v>
      </c>
      <c r="E255" t="s">
        <v>855</v>
      </c>
      <c r="F255" t="s">
        <v>37</v>
      </c>
      <c r="G255" t="s">
        <v>38</v>
      </c>
      <c r="H255" t="s">
        <v>856</v>
      </c>
      <c r="I255" t="s">
        <v>40</v>
      </c>
      <c r="J255">
        <v>2</v>
      </c>
      <c r="K255" t="s">
        <v>41</v>
      </c>
      <c r="L255" t="s">
        <v>42</v>
      </c>
      <c r="M255" t="s">
        <v>43</v>
      </c>
      <c r="N255" s="7">
        <v>1</v>
      </c>
      <c r="O255" s="8">
        <v>45526.511550925927</v>
      </c>
      <c r="P255" s="9">
        <v>45528</v>
      </c>
      <c r="Q255" t="s">
        <v>44</v>
      </c>
      <c r="R255" t="s">
        <v>45</v>
      </c>
      <c r="S255" t="s">
        <v>46</v>
      </c>
      <c r="T255" t="s">
        <v>54</v>
      </c>
      <c r="U255" t="s">
        <v>857</v>
      </c>
      <c r="V255">
        <v>86400</v>
      </c>
      <c r="W255" t="s">
        <v>45</v>
      </c>
      <c r="X255" t="s">
        <v>245</v>
      </c>
      <c r="Y255" t="s">
        <v>50</v>
      </c>
      <c r="Z255" s="10">
        <f t="shared" si="22"/>
        <v>9</v>
      </c>
      <c r="AA255" s="11">
        <v>0</v>
      </c>
      <c r="AB255" s="11">
        <v>-2</v>
      </c>
      <c r="AC255" s="11">
        <v>0</v>
      </c>
      <c r="AD255" s="11">
        <v>0</v>
      </c>
      <c r="AE255" s="11">
        <v>0</v>
      </c>
      <c r="AF255" s="11">
        <f t="shared" si="17"/>
        <v>0.42</v>
      </c>
      <c r="AG255" s="11">
        <f t="shared" si="18"/>
        <v>7.42</v>
      </c>
      <c r="AH255" t="s">
        <v>51</v>
      </c>
    </row>
    <row r="256" spans="1:34" ht="15" customHeight="1" x14ac:dyDescent="0.25">
      <c r="A256">
        <v>7547676</v>
      </c>
      <c r="B256" t="s">
        <v>34</v>
      </c>
      <c r="C256" t="s">
        <v>35</v>
      </c>
      <c r="D256" s="6" t="s">
        <v>34</v>
      </c>
      <c r="E256" t="s">
        <v>858</v>
      </c>
      <c r="F256" t="s">
        <v>37</v>
      </c>
      <c r="G256" t="s">
        <v>38</v>
      </c>
      <c r="H256" t="s">
        <v>859</v>
      </c>
      <c r="I256" t="s">
        <v>40</v>
      </c>
      <c r="J256">
        <v>2</v>
      </c>
      <c r="K256" t="s">
        <v>41</v>
      </c>
      <c r="L256" t="s">
        <v>42</v>
      </c>
      <c r="M256" t="s">
        <v>43</v>
      </c>
      <c r="N256" s="7">
        <v>2</v>
      </c>
      <c r="O256" s="8">
        <v>45526.471909722219</v>
      </c>
      <c r="P256" s="9">
        <v>45528</v>
      </c>
      <c r="Q256" t="s">
        <v>44</v>
      </c>
      <c r="R256" t="s">
        <v>45</v>
      </c>
      <c r="S256" t="s">
        <v>46</v>
      </c>
      <c r="T256" t="s">
        <v>59</v>
      </c>
      <c r="U256" t="s">
        <v>860</v>
      </c>
      <c r="V256">
        <v>14000</v>
      </c>
      <c r="W256" t="s">
        <v>45</v>
      </c>
      <c r="X256" t="s">
        <v>374</v>
      </c>
      <c r="Y256" t="s">
        <v>50</v>
      </c>
      <c r="Z256" s="10">
        <f t="shared" si="22"/>
        <v>9.8000000000000007</v>
      </c>
      <c r="AA256" s="11">
        <v>0</v>
      </c>
      <c r="AB256" s="11">
        <v>-2</v>
      </c>
      <c r="AC256" s="11">
        <v>0</v>
      </c>
      <c r="AD256" s="11">
        <v>0</v>
      </c>
      <c r="AE256" s="11">
        <v>0</v>
      </c>
      <c r="AF256" s="11">
        <f t="shared" si="17"/>
        <v>0.46800000000000003</v>
      </c>
      <c r="AG256" s="11">
        <f t="shared" si="18"/>
        <v>8.2680000000000007</v>
      </c>
      <c r="AH256" t="s">
        <v>51</v>
      </c>
    </row>
    <row r="257" spans="1:34" ht="15" customHeight="1" x14ac:dyDescent="0.25">
      <c r="A257">
        <v>7547676</v>
      </c>
      <c r="B257" t="s">
        <v>34</v>
      </c>
      <c r="C257" t="s">
        <v>35</v>
      </c>
      <c r="D257" s="6" t="s">
        <v>34</v>
      </c>
      <c r="E257" t="s">
        <v>861</v>
      </c>
      <c r="F257" t="s">
        <v>37</v>
      </c>
      <c r="G257" t="s">
        <v>38</v>
      </c>
      <c r="H257" t="s">
        <v>862</v>
      </c>
      <c r="I257" t="s">
        <v>40</v>
      </c>
      <c r="J257">
        <v>2</v>
      </c>
      <c r="K257" t="s">
        <v>41</v>
      </c>
      <c r="L257" t="s">
        <v>42</v>
      </c>
      <c r="M257" t="s">
        <v>43</v>
      </c>
      <c r="N257" s="7">
        <v>1</v>
      </c>
      <c r="O257" s="8">
        <v>45526.62059027778</v>
      </c>
      <c r="P257" s="9">
        <v>45528</v>
      </c>
      <c r="Q257" t="s">
        <v>44</v>
      </c>
      <c r="R257" t="s">
        <v>45</v>
      </c>
      <c r="S257" t="s">
        <v>46</v>
      </c>
      <c r="T257" t="s">
        <v>47</v>
      </c>
      <c r="U257" t="s">
        <v>863</v>
      </c>
      <c r="V257">
        <v>31400</v>
      </c>
      <c r="W257" t="s">
        <v>45</v>
      </c>
      <c r="X257" t="s">
        <v>864</v>
      </c>
      <c r="Y257" t="s">
        <v>50</v>
      </c>
      <c r="Z257" s="10">
        <f t="shared" si="22"/>
        <v>9</v>
      </c>
      <c r="AA257" s="11">
        <v>0</v>
      </c>
      <c r="AB257" s="11">
        <v>-2</v>
      </c>
      <c r="AC257" s="11">
        <v>0</v>
      </c>
      <c r="AD257" s="11">
        <v>0</v>
      </c>
      <c r="AE257" s="11">
        <v>0</v>
      </c>
      <c r="AF257" s="11">
        <f t="shared" si="17"/>
        <v>0.42</v>
      </c>
      <c r="AG257" s="11">
        <f t="shared" si="18"/>
        <v>7.42</v>
      </c>
      <c r="AH257" t="s">
        <v>51</v>
      </c>
    </row>
    <row r="258" spans="1:34" ht="15" customHeight="1" x14ac:dyDescent="0.25">
      <c r="A258">
        <v>7547676</v>
      </c>
      <c r="B258" t="s">
        <v>34</v>
      </c>
      <c r="C258" t="s">
        <v>35</v>
      </c>
      <c r="D258" s="6" t="s">
        <v>34</v>
      </c>
      <c r="E258" t="s">
        <v>865</v>
      </c>
      <c r="F258" t="s">
        <v>37</v>
      </c>
      <c r="G258" t="s">
        <v>38</v>
      </c>
      <c r="H258" t="s">
        <v>866</v>
      </c>
      <c r="I258" t="s">
        <v>40</v>
      </c>
      <c r="J258">
        <v>2</v>
      </c>
      <c r="K258" t="s">
        <v>41</v>
      </c>
      <c r="L258" t="s">
        <v>42</v>
      </c>
      <c r="M258" t="s">
        <v>43</v>
      </c>
      <c r="N258" s="7">
        <v>1</v>
      </c>
      <c r="O258" s="8">
        <v>45526.684027777781</v>
      </c>
      <c r="P258" s="9">
        <v>45528</v>
      </c>
      <c r="Q258" t="s">
        <v>44</v>
      </c>
      <c r="R258" t="s">
        <v>45</v>
      </c>
      <c r="S258" t="s">
        <v>46</v>
      </c>
      <c r="T258" t="s">
        <v>107</v>
      </c>
      <c r="U258" t="s">
        <v>867</v>
      </c>
      <c r="V258">
        <v>8000</v>
      </c>
      <c r="W258" t="s">
        <v>45</v>
      </c>
      <c r="X258" t="s">
        <v>69</v>
      </c>
      <c r="Y258" t="s">
        <v>50</v>
      </c>
      <c r="Z258" s="10">
        <f t="shared" si="22"/>
        <v>9</v>
      </c>
      <c r="AA258" s="11">
        <v>0</v>
      </c>
      <c r="AB258" s="11">
        <v>-2</v>
      </c>
      <c r="AC258" s="11">
        <v>0</v>
      </c>
      <c r="AD258" s="11">
        <v>0</v>
      </c>
      <c r="AE258" s="11">
        <v>0</v>
      </c>
      <c r="AF258" s="11">
        <f t="shared" ref="AF258:AF321" si="23">(Z258+AB258+AC258+AE258)*6%</f>
        <v>0.42</v>
      </c>
      <c r="AG258" s="11">
        <f t="shared" ref="AG258:AG321" si="24">Z258+AB258+AC258+AE258+AF258</f>
        <v>7.42</v>
      </c>
      <c r="AH258" t="s">
        <v>51</v>
      </c>
    </row>
    <row r="259" spans="1:34" ht="15" customHeight="1" x14ac:dyDescent="0.25">
      <c r="A259">
        <v>7547676</v>
      </c>
      <c r="B259" t="s">
        <v>34</v>
      </c>
      <c r="C259" t="s">
        <v>35</v>
      </c>
      <c r="D259" s="6" t="s">
        <v>34</v>
      </c>
      <c r="E259" t="s">
        <v>868</v>
      </c>
      <c r="F259" t="s">
        <v>37</v>
      </c>
      <c r="G259" t="s">
        <v>38</v>
      </c>
      <c r="H259" t="s">
        <v>869</v>
      </c>
      <c r="I259" t="s">
        <v>40</v>
      </c>
      <c r="J259">
        <v>2</v>
      </c>
      <c r="K259" t="s">
        <v>41</v>
      </c>
      <c r="L259" t="s">
        <v>42</v>
      </c>
      <c r="M259" t="s">
        <v>43</v>
      </c>
      <c r="N259" s="7">
        <v>1</v>
      </c>
      <c r="O259" s="8">
        <v>45526.62059027778</v>
      </c>
      <c r="P259" s="9">
        <v>45528</v>
      </c>
      <c r="Q259" t="s">
        <v>44</v>
      </c>
      <c r="R259" t="s">
        <v>45</v>
      </c>
      <c r="S259" t="s">
        <v>46</v>
      </c>
      <c r="T259" t="s">
        <v>54</v>
      </c>
      <c r="U259" t="s">
        <v>870</v>
      </c>
      <c r="V259">
        <v>84600</v>
      </c>
      <c r="W259" t="s">
        <v>45</v>
      </c>
      <c r="X259" t="s">
        <v>724</v>
      </c>
      <c r="Y259" t="s">
        <v>50</v>
      </c>
      <c r="Z259" s="10">
        <f t="shared" si="22"/>
        <v>9</v>
      </c>
      <c r="AA259" s="11">
        <v>0</v>
      </c>
      <c r="AB259" s="11">
        <v>-2</v>
      </c>
      <c r="AC259" s="11">
        <v>0</v>
      </c>
      <c r="AD259" s="11">
        <v>0</v>
      </c>
      <c r="AE259" s="11">
        <v>0</v>
      </c>
      <c r="AF259" s="11">
        <f t="shared" si="23"/>
        <v>0.42</v>
      </c>
      <c r="AG259" s="11">
        <f t="shared" si="24"/>
        <v>7.42</v>
      </c>
      <c r="AH259" t="s">
        <v>51</v>
      </c>
    </row>
    <row r="260" spans="1:34" ht="15" customHeight="1" x14ac:dyDescent="0.25">
      <c r="A260">
        <v>7547676</v>
      </c>
      <c r="B260" t="s">
        <v>34</v>
      </c>
      <c r="C260" t="s">
        <v>35</v>
      </c>
      <c r="D260" s="6" t="s">
        <v>34</v>
      </c>
      <c r="E260" t="s">
        <v>871</v>
      </c>
      <c r="F260" t="s">
        <v>37</v>
      </c>
      <c r="G260" t="s">
        <v>38</v>
      </c>
      <c r="H260" t="s">
        <v>872</v>
      </c>
      <c r="I260" t="s">
        <v>40</v>
      </c>
      <c r="J260">
        <v>2</v>
      </c>
      <c r="K260" t="s">
        <v>41</v>
      </c>
      <c r="L260" t="s">
        <v>42</v>
      </c>
      <c r="M260" t="s">
        <v>43</v>
      </c>
      <c r="N260" s="7">
        <v>1</v>
      </c>
      <c r="O260" s="8">
        <v>45526.686377314814</v>
      </c>
      <c r="P260" s="9">
        <v>45528</v>
      </c>
      <c r="Q260" t="s">
        <v>44</v>
      </c>
      <c r="R260" t="s">
        <v>45</v>
      </c>
      <c r="S260" t="s">
        <v>46</v>
      </c>
      <c r="T260" t="s">
        <v>129</v>
      </c>
      <c r="U260" t="s">
        <v>873</v>
      </c>
      <c r="V260">
        <v>70300</v>
      </c>
      <c r="W260" t="s">
        <v>45</v>
      </c>
      <c r="X260" t="s">
        <v>131</v>
      </c>
      <c r="Y260" t="s">
        <v>50</v>
      </c>
      <c r="Z260" s="10">
        <f t="shared" si="22"/>
        <v>9</v>
      </c>
      <c r="AA260" s="11">
        <v>0</v>
      </c>
      <c r="AB260" s="11">
        <v>-2</v>
      </c>
      <c r="AC260" s="11">
        <v>0</v>
      </c>
      <c r="AD260" s="11">
        <v>0</v>
      </c>
      <c r="AE260" s="11">
        <v>0</v>
      </c>
      <c r="AF260" s="11">
        <f t="shared" si="23"/>
        <v>0.42</v>
      </c>
      <c r="AG260" s="11">
        <f t="shared" si="24"/>
        <v>7.42</v>
      </c>
      <c r="AH260" t="s">
        <v>51</v>
      </c>
    </row>
    <row r="261" spans="1:34" ht="15" customHeight="1" x14ac:dyDescent="0.25">
      <c r="A261">
        <v>7547676</v>
      </c>
      <c r="B261" t="s">
        <v>34</v>
      </c>
      <c r="C261" t="s">
        <v>35</v>
      </c>
      <c r="D261" s="6" t="s">
        <v>34</v>
      </c>
      <c r="E261" t="s">
        <v>874</v>
      </c>
      <c r="F261" t="s">
        <v>37</v>
      </c>
      <c r="G261" t="s">
        <v>38</v>
      </c>
      <c r="H261" t="s">
        <v>875</v>
      </c>
      <c r="I261" t="s">
        <v>40</v>
      </c>
      <c r="J261">
        <v>2</v>
      </c>
      <c r="K261" t="s">
        <v>41</v>
      </c>
      <c r="L261" t="s">
        <v>42</v>
      </c>
      <c r="M261" t="s">
        <v>43</v>
      </c>
      <c r="N261" s="7">
        <v>1</v>
      </c>
      <c r="O261" s="8">
        <v>45525.745104166665</v>
      </c>
      <c r="P261" s="9">
        <v>45528</v>
      </c>
      <c r="Q261" t="s">
        <v>44</v>
      </c>
      <c r="R261" t="s">
        <v>45</v>
      </c>
      <c r="S261" t="s">
        <v>46</v>
      </c>
      <c r="T261" t="s">
        <v>84</v>
      </c>
      <c r="U261" t="s">
        <v>876</v>
      </c>
      <c r="V261">
        <v>15000</v>
      </c>
      <c r="W261" t="s">
        <v>45</v>
      </c>
      <c r="X261" t="s">
        <v>74</v>
      </c>
      <c r="Y261" t="s">
        <v>50</v>
      </c>
      <c r="Z261" s="10">
        <f t="shared" si="22"/>
        <v>9</v>
      </c>
      <c r="AA261" s="11">
        <v>0</v>
      </c>
      <c r="AB261" s="11">
        <v>-2</v>
      </c>
      <c r="AC261" s="11">
        <v>0</v>
      </c>
      <c r="AD261" s="11">
        <v>0</v>
      </c>
      <c r="AE261" s="11">
        <v>0</v>
      </c>
      <c r="AF261" s="11">
        <f t="shared" si="23"/>
        <v>0.42</v>
      </c>
      <c r="AG261" s="11">
        <f t="shared" si="24"/>
        <v>7.42</v>
      </c>
      <c r="AH261" t="s">
        <v>51</v>
      </c>
    </row>
    <row r="262" spans="1:34" ht="15" customHeight="1" x14ac:dyDescent="0.25">
      <c r="A262">
        <v>7547676</v>
      </c>
      <c r="B262" t="s">
        <v>34</v>
      </c>
      <c r="C262" t="s">
        <v>35</v>
      </c>
      <c r="D262" s="6" t="s">
        <v>34</v>
      </c>
      <c r="E262" t="s">
        <v>877</v>
      </c>
      <c r="F262" t="s">
        <v>37</v>
      </c>
      <c r="G262" t="s">
        <v>38</v>
      </c>
      <c r="H262" t="s">
        <v>878</v>
      </c>
      <c r="I262" t="s">
        <v>40</v>
      </c>
      <c r="J262">
        <v>2</v>
      </c>
      <c r="K262" t="s">
        <v>41</v>
      </c>
      <c r="L262" t="s">
        <v>42</v>
      </c>
      <c r="M262" t="s">
        <v>43</v>
      </c>
      <c r="N262" s="7">
        <v>1</v>
      </c>
      <c r="O262" s="8">
        <v>45526.631701388891</v>
      </c>
      <c r="P262" s="9">
        <v>45528</v>
      </c>
      <c r="Q262" t="s">
        <v>44</v>
      </c>
      <c r="R262" t="s">
        <v>45</v>
      </c>
      <c r="S262" t="s">
        <v>46</v>
      </c>
      <c r="T262" t="s">
        <v>129</v>
      </c>
      <c r="U262" t="s">
        <v>879</v>
      </c>
      <c r="V262">
        <v>71500</v>
      </c>
      <c r="W262" t="s">
        <v>45</v>
      </c>
      <c r="X262" t="s">
        <v>278</v>
      </c>
      <c r="Y262" t="s">
        <v>50</v>
      </c>
      <c r="Z262" s="10">
        <f t="shared" si="22"/>
        <v>9</v>
      </c>
      <c r="AA262" s="11">
        <v>0</v>
      </c>
      <c r="AB262" s="11">
        <v>-2</v>
      </c>
      <c r="AC262" s="11">
        <v>0</v>
      </c>
      <c r="AD262" s="11">
        <v>0</v>
      </c>
      <c r="AE262" s="11">
        <v>0</v>
      </c>
      <c r="AF262" s="11">
        <f t="shared" si="23"/>
        <v>0.42</v>
      </c>
      <c r="AG262" s="11">
        <f t="shared" si="24"/>
        <v>7.42</v>
      </c>
      <c r="AH262" t="s">
        <v>51</v>
      </c>
    </row>
    <row r="263" spans="1:34" ht="15" customHeight="1" x14ac:dyDescent="0.25">
      <c r="A263">
        <v>7547676</v>
      </c>
      <c r="B263" t="s">
        <v>34</v>
      </c>
      <c r="C263" t="s">
        <v>35</v>
      </c>
      <c r="D263" s="6" t="s">
        <v>34</v>
      </c>
      <c r="E263" t="s">
        <v>880</v>
      </c>
      <c r="F263" t="s">
        <v>37</v>
      </c>
      <c r="G263" t="s">
        <v>38</v>
      </c>
      <c r="H263" t="s">
        <v>881</v>
      </c>
      <c r="I263" t="s">
        <v>40</v>
      </c>
      <c r="J263">
        <v>2</v>
      </c>
      <c r="K263" t="s">
        <v>41</v>
      </c>
      <c r="L263" t="s">
        <v>42</v>
      </c>
      <c r="M263" t="s">
        <v>43</v>
      </c>
      <c r="N263" s="7">
        <v>1</v>
      </c>
      <c r="O263" s="8">
        <v>45526.471909722219</v>
      </c>
      <c r="P263" s="9">
        <v>45528</v>
      </c>
      <c r="Q263" t="s">
        <v>44</v>
      </c>
      <c r="R263" t="s">
        <v>45</v>
      </c>
      <c r="S263" t="s">
        <v>46</v>
      </c>
      <c r="T263" t="s">
        <v>54</v>
      </c>
      <c r="U263" t="s">
        <v>882</v>
      </c>
      <c r="V263">
        <v>81000</v>
      </c>
      <c r="W263" t="s">
        <v>45</v>
      </c>
      <c r="X263" t="s">
        <v>883</v>
      </c>
      <c r="Y263" t="s">
        <v>50</v>
      </c>
      <c r="Z263" s="10">
        <f t="shared" si="22"/>
        <v>9</v>
      </c>
      <c r="AA263" s="11">
        <v>0</v>
      </c>
      <c r="AB263" s="11">
        <v>-2</v>
      </c>
      <c r="AC263" s="11">
        <v>0</v>
      </c>
      <c r="AD263" s="11">
        <v>0</v>
      </c>
      <c r="AE263" s="11">
        <v>0</v>
      </c>
      <c r="AF263" s="11">
        <f t="shared" si="23"/>
        <v>0.42</v>
      </c>
      <c r="AG263" s="11">
        <f t="shared" si="24"/>
        <v>7.42</v>
      </c>
      <c r="AH263" t="s">
        <v>51</v>
      </c>
    </row>
    <row r="264" spans="1:34" ht="15" customHeight="1" x14ac:dyDescent="0.25">
      <c r="A264">
        <v>7547676</v>
      </c>
      <c r="B264" t="s">
        <v>34</v>
      </c>
      <c r="C264" t="s">
        <v>35</v>
      </c>
      <c r="D264" s="6" t="s">
        <v>34</v>
      </c>
      <c r="E264" t="s">
        <v>884</v>
      </c>
      <c r="F264" t="s">
        <v>37</v>
      </c>
      <c r="G264" t="s">
        <v>38</v>
      </c>
      <c r="H264" t="s">
        <v>885</v>
      </c>
      <c r="I264" t="s">
        <v>40</v>
      </c>
      <c r="J264">
        <v>2</v>
      </c>
      <c r="K264" t="s">
        <v>41</v>
      </c>
      <c r="L264" t="s">
        <v>42</v>
      </c>
      <c r="M264" t="s">
        <v>43</v>
      </c>
      <c r="N264" s="7">
        <v>2</v>
      </c>
      <c r="O264" s="8">
        <v>45526.793414351851</v>
      </c>
      <c r="P264" s="9">
        <v>45528</v>
      </c>
      <c r="Q264" t="s">
        <v>386</v>
      </c>
      <c r="R264" t="s">
        <v>45</v>
      </c>
      <c r="S264" t="s">
        <v>46</v>
      </c>
      <c r="T264" t="s">
        <v>92</v>
      </c>
      <c r="U264" t="s">
        <v>886</v>
      </c>
      <c r="V264">
        <v>42500</v>
      </c>
      <c r="W264" t="s">
        <v>45</v>
      </c>
      <c r="X264" t="s">
        <v>887</v>
      </c>
      <c r="Y264" t="s">
        <v>50</v>
      </c>
      <c r="Z264" s="10">
        <f t="shared" si="22"/>
        <v>9.8000000000000007</v>
      </c>
      <c r="AA264" s="11">
        <v>0</v>
      </c>
      <c r="AB264" s="11">
        <v>-2</v>
      </c>
      <c r="AC264" s="11">
        <v>0</v>
      </c>
      <c r="AD264" s="11">
        <v>0</v>
      </c>
      <c r="AE264" s="11">
        <v>0</v>
      </c>
      <c r="AF264" s="11">
        <f t="shared" si="23"/>
        <v>0.46800000000000003</v>
      </c>
      <c r="AG264" s="11">
        <f t="shared" si="24"/>
        <v>8.2680000000000007</v>
      </c>
      <c r="AH264" t="s">
        <v>51</v>
      </c>
    </row>
    <row r="265" spans="1:34" ht="15" customHeight="1" x14ac:dyDescent="0.25">
      <c r="A265">
        <v>7547676</v>
      </c>
      <c r="B265" t="s">
        <v>34</v>
      </c>
      <c r="C265" t="s">
        <v>35</v>
      </c>
      <c r="D265" s="6" t="s">
        <v>34</v>
      </c>
      <c r="E265" t="s">
        <v>888</v>
      </c>
      <c r="F265" t="s">
        <v>37</v>
      </c>
      <c r="G265" t="s">
        <v>38</v>
      </c>
      <c r="H265" t="s">
        <v>889</v>
      </c>
      <c r="I265" t="s">
        <v>40</v>
      </c>
      <c r="J265">
        <v>2</v>
      </c>
      <c r="K265" t="s">
        <v>41</v>
      </c>
      <c r="L265" t="s">
        <v>42</v>
      </c>
      <c r="M265" t="s">
        <v>43</v>
      </c>
      <c r="N265" s="7">
        <v>1</v>
      </c>
      <c r="O265" s="8">
        <v>45525.745104166665</v>
      </c>
      <c r="P265" s="9">
        <v>45528</v>
      </c>
      <c r="Q265" t="s">
        <v>44</v>
      </c>
      <c r="R265" t="s">
        <v>45</v>
      </c>
      <c r="S265" t="s">
        <v>46</v>
      </c>
      <c r="T265" t="s">
        <v>54</v>
      </c>
      <c r="U265" t="s">
        <v>890</v>
      </c>
      <c r="V265">
        <v>84800</v>
      </c>
      <c r="W265" t="s">
        <v>45</v>
      </c>
      <c r="X265" t="s">
        <v>724</v>
      </c>
      <c r="Y265" t="s">
        <v>50</v>
      </c>
      <c r="Z265" s="10">
        <f t="shared" si="22"/>
        <v>9</v>
      </c>
      <c r="AA265" s="11">
        <v>0</v>
      </c>
      <c r="AB265" s="11">
        <v>-2</v>
      </c>
      <c r="AC265" s="11">
        <v>0</v>
      </c>
      <c r="AD265" s="11">
        <v>0</v>
      </c>
      <c r="AE265" s="11">
        <v>0</v>
      </c>
      <c r="AF265" s="11">
        <f t="shared" si="23"/>
        <v>0.42</v>
      </c>
      <c r="AG265" s="11">
        <f t="shared" si="24"/>
        <v>7.42</v>
      </c>
      <c r="AH265" t="s">
        <v>51</v>
      </c>
    </row>
    <row r="266" spans="1:34" ht="15" customHeight="1" x14ac:dyDescent="0.25">
      <c r="A266">
        <v>7547676</v>
      </c>
      <c r="B266" t="s">
        <v>34</v>
      </c>
      <c r="C266" t="s">
        <v>35</v>
      </c>
      <c r="D266" s="6" t="s">
        <v>34</v>
      </c>
      <c r="E266" t="s">
        <v>891</v>
      </c>
      <c r="F266" t="s">
        <v>37</v>
      </c>
      <c r="G266" t="s">
        <v>38</v>
      </c>
      <c r="H266" t="s">
        <v>892</v>
      </c>
      <c r="I266" t="s">
        <v>40</v>
      </c>
      <c r="J266">
        <v>2</v>
      </c>
      <c r="K266" t="s">
        <v>41</v>
      </c>
      <c r="L266" t="s">
        <v>42</v>
      </c>
      <c r="M266" t="s">
        <v>43</v>
      </c>
      <c r="N266" s="7">
        <v>1</v>
      </c>
      <c r="O266" s="8">
        <v>45525.745092592595</v>
      </c>
      <c r="P266" s="9">
        <v>45528</v>
      </c>
      <c r="Q266" t="s">
        <v>386</v>
      </c>
      <c r="R266" t="s">
        <v>45</v>
      </c>
      <c r="S266" t="s">
        <v>46</v>
      </c>
      <c r="T266" t="s">
        <v>92</v>
      </c>
      <c r="U266" t="s">
        <v>893</v>
      </c>
      <c r="V266">
        <v>43000</v>
      </c>
      <c r="W266" t="s">
        <v>45</v>
      </c>
      <c r="X266" t="s">
        <v>74</v>
      </c>
      <c r="Y266" t="s">
        <v>50</v>
      </c>
      <c r="Z266" s="10">
        <f t="shared" si="22"/>
        <v>9</v>
      </c>
      <c r="AA266" s="11">
        <v>0</v>
      </c>
      <c r="AB266" s="11">
        <v>-2</v>
      </c>
      <c r="AC266" s="11">
        <v>0</v>
      </c>
      <c r="AD266" s="11">
        <v>0</v>
      </c>
      <c r="AE266" s="11">
        <v>0</v>
      </c>
      <c r="AF266" s="11">
        <f t="shared" si="23"/>
        <v>0.42</v>
      </c>
      <c r="AG266" s="11">
        <f t="shared" si="24"/>
        <v>7.42</v>
      </c>
      <c r="AH266" t="s">
        <v>51</v>
      </c>
    </row>
    <row r="267" spans="1:34" ht="15" customHeight="1" x14ac:dyDescent="0.25">
      <c r="A267">
        <v>7547676</v>
      </c>
      <c r="B267" t="s">
        <v>34</v>
      </c>
      <c r="C267" t="s">
        <v>35</v>
      </c>
      <c r="D267" s="6" t="s">
        <v>34</v>
      </c>
      <c r="E267" t="s">
        <v>894</v>
      </c>
      <c r="F267" t="s">
        <v>37</v>
      </c>
      <c r="G267" t="s">
        <v>38</v>
      </c>
      <c r="H267" t="s">
        <v>895</v>
      </c>
      <c r="I267" t="s">
        <v>40</v>
      </c>
      <c r="J267">
        <v>2</v>
      </c>
      <c r="K267" t="s">
        <v>41</v>
      </c>
      <c r="L267" t="s">
        <v>42</v>
      </c>
      <c r="M267" t="s">
        <v>43</v>
      </c>
      <c r="N267" s="7">
        <v>1</v>
      </c>
      <c r="O267" s="8">
        <v>45526.62059027778</v>
      </c>
      <c r="P267" s="9">
        <v>45528</v>
      </c>
      <c r="Q267" t="s">
        <v>44</v>
      </c>
      <c r="R267" t="s">
        <v>45</v>
      </c>
      <c r="S267" t="s">
        <v>46</v>
      </c>
      <c r="T267" t="s">
        <v>54</v>
      </c>
      <c r="U267" t="s">
        <v>896</v>
      </c>
      <c r="V267">
        <v>81300</v>
      </c>
      <c r="W267" t="s">
        <v>45</v>
      </c>
      <c r="X267" t="s">
        <v>883</v>
      </c>
      <c r="Y267" t="s">
        <v>50</v>
      </c>
      <c r="Z267" s="10">
        <f t="shared" si="22"/>
        <v>9</v>
      </c>
      <c r="AA267" s="11">
        <v>0</v>
      </c>
      <c r="AB267" s="11">
        <v>-2</v>
      </c>
      <c r="AC267" s="11">
        <v>0</v>
      </c>
      <c r="AD267" s="11">
        <v>0</v>
      </c>
      <c r="AE267" s="11">
        <v>0</v>
      </c>
      <c r="AF267" s="11">
        <f t="shared" si="23"/>
        <v>0.42</v>
      </c>
      <c r="AG267" s="11">
        <f t="shared" si="24"/>
        <v>7.42</v>
      </c>
      <c r="AH267" t="s">
        <v>51</v>
      </c>
    </row>
    <row r="268" spans="1:34" ht="15" customHeight="1" x14ac:dyDescent="0.25">
      <c r="A268">
        <v>7547676</v>
      </c>
      <c r="B268" t="s">
        <v>34</v>
      </c>
      <c r="C268" t="s">
        <v>35</v>
      </c>
      <c r="D268" s="6" t="s">
        <v>34</v>
      </c>
      <c r="E268" t="s">
        <v>897</v>
      </c>
      <c r="F268" t="s">
        <v>37</v>
      </c>
      <c r="G268" t="s">
        <v>38</v>
      </c>
      <c r="H268" t="s">
        <v>898</v>
      </c>
      <c r="I268" t="s">
        <v>40</v>
      </c>
      <c r="J268">
        <v>2</v>
      </c>
      <c r="K268" t="s">
        <v>41</v>
      </c>
      <c r="L268" t="s">
        <v>42</v>
      </c>
      <c r="M268" t="s">
        <v>43</v>
      </c>
      <c r="N268" s="7">
        <v>1</v>
      </c>
      <c r="O268" s="8">
        <v>45525.735208333332</v>
      </c>
      <c r="P268" s="9">
        <v>45528</v>
      </c>
      <c r="Q268" t="s">
        <v>44</v>
      </c>
      <c r="R268" t="s">
        <v>45</v>
      </c>
      <c r="S268" t="s">
        <v>46</v>
      </c>
      <c r="T268" t="s">
        <v>107</v>
      </c>
      <c r="U268" t="s">
        <v>899</v>
      </c>
      <c r="V268">
        <v>9000</v>
      </c>
      <c r="W268" t="s">
        <v>45</v>
      </c>
      <c r="X268" t="s">
        <v>126</v>
      </c>
      <c r="Y268" t="s">
        <v>50</v>
      </c>
      <c r="Z268" s="10">
        <f t="shared" si="22"/>
        <v>9</v>
      </c>
      <c r="AA268" s="11">
        <v>0</v>
      </c>
      <c r="AB268" s="11">
        <v>-2</v>
      </c>
      <c r="AC268" s="11">
        <v>0</v>
      </c>
      <c r="AD268" s="11">
        <v>0</v>
      </c>
      <c r="AE268" s="11">
        <v>0</v>
      </c>
      <c r="AF268" s="11">
        <f t="shared" si="23"/>
        <v>0.42</v>
      </c>
      <c r="AG268" s="11">
        <f t="shared" si="24"/>
        <v>7.42</v>
      </c>
      <c r="AH268" t="s">
        <v>51</v>
      </c>
    </row>
    <row r="269" spans="1:34" ht="15" customHeight="1" x14ac:dyDescent="0.25">
      <c r="A269">
        <v>7547676</v>
      </c>
      <c r="B269" t="s">
        <v>34</v>
      </c>
      <c r="C269" t="s">
        <v>35</v>
      </c>
      <c r="D269" s="6" t="s">
        <v>34</v>
      </c>
      <c r="E269" t="s">
        <v>900</v>
      </c>
      <c r="F269" t="s">
        <v>37</v>
      </c>
      <c r="G269" t="s">
        <v>38</v>
      </c>
      <c r="H269" t="s">
        <v>901</v>
      </c>
      <c r="I269" t="s">
        <v>40</v>
      </c>
      <c r="J269">
        <v>2</v>
      </c>
      <c r="K269" t="s">
        <v>41</v>
      </c>
      <c r="L269" t="s">
        <v>42</v>
      </c>
      <c r="M269" t="s">
        <v>43</v>
      </c>
      <c r="N269" s="7">
        <v>1</v>
      </c>
      <c r="O269" s="8">
        <v>45525.729594907411</v>
      </c>
      <c r="P269" s="9">
        <v>45528</v>
      </c>
      <c r="Q269" t="s">
        <v>44</v>
      </c>
      <c r="R269" t="s">
        <v>45</v>
      </c>
      <c r="S269" t="s">
        <v>46</v>
      </c>
      <c r="T269" t="s">
        <v>92</v>
      </c>
      <c r="U269" t="s">
        <v>902</v>
      </c>
      <c r="V269">
        <v>53100</v>
      </c>
      <c r="W269" t="s">
        <v>45</v>
      </c>
      <c r="X269" t="s">
        <v>842</v>
      </c>
      <c r="Y269" t="s">
        <v>50</v>
      </c>
      <c r="Z269" s="10">
        <f t="shared" si="22"/>
        <v>9</v>
      </c>
      <c r="AA269" s="11">
        <v>0</v>
      </c>
      <c r="AB269" s="11">
        <v>-2</v>
      </c>
      <c r="AC269" s="11">
        <v>0</v>
      </c>
      <c r="AD269" s="11">
        <v>0</v>
      </c>
      <c r="AE269" s="11">
        <v>0</v>
      </c>
      <c r="AF269" s="11">
        <f t="shared" si="23"/>
        <v>0.42</v>
      </c>
      <c r="AG269" s="11">
        <f t="shared" si="24"/>
        <v>7.42</v>
      </c>
      <c r="AH269" t="s">
        <v>51</v>
      </c>
    </row>
    <row r="270" spans="1:34" ht="15" customHeight="1" x14ac:dyDescent="0.25">
      <c r="A270">
        <v>7547676</v>
      </c>
      <c r="B270" t="s">
        <v>34</v>
      </c>
      <c r="C270" t="s">
        <v>35</v>
      </c>
      <c r="D270" s="6" t="s">
        <v>34</v>
      </c>
      <c r="E270" t="s">
        <v>903</v>
      </c>
      <c r="F270" t="s">
        <v>37</v>
      </c>
      <c r="G270" t="s">
        <v>38</v>
      </c>
      <c r="H270" t="s">
        <v>904</v>
      </c>
      <c r="I270" t="s">
        <v>40</v>
      </c>
      <c r="J270">
        <v>2</v>
      </c>
      <c r="K270" t="s">
        <v>41</v>
      </c>
      <c r="L270" t="s">
        <v>42</v>
      </c>
      <c r="M270" t="s">
        <v>43</v>
      </c>
      <c r="N270" s="7">
        <v>1</v>
      </c>
      <c r="O270" s="8">
        <v>45525.717685185184</v>
      </c>
      <c r="P270" s="9">
        <v>45528</v>
      </c>
      <c r="Q270" t="s">
        <v>44</v>
      </c>
      <c r="R270" t="s">
        <v>45</v>
      </c>
      <c r="S270" t="s">
        <v>46</v>
      </c>
      <c r="T270" t="s">
        <v>129</v>
      </c>
      <c r="U270" t="s">
        <v>905</v>
      </c>
      <c r="V270">
        <v>71900</v>
      </c>
      <c r="W270" t="s">
        <v>45</v>
      </c>
      <c r="X270" t="s">
        <v>69</v>
      </c>
      <c r="Y270" t="s">
        <v>50</v>
      </c>
      <c r="Z270" s="10">
        <f t="shared" si="22"/>
        <v>9</v>
      </c>
      <c r="AA270" s="11">
        <v>0</v>
      </c>
      <c r="AB270" s="11">
        <v>-2</v>
      </c>
      <c r="AC270" s="11">
        <v>0</v>
      </c>
      <c r="AD270" s="11">
        <v>0</v>
      </c>
      <c r="AE270" s="11">
        <v>0</v>
      </c>
      <c r="AF270" s="11">
        <f t="shared" si="23"/>
        <v>0.42</v>
      </c>
      <c r="AG270" s="11">
        <f t="shared" si="24"/>
        <v>7.42</v>
      </c>
      <c r="AH270" t="s">
        <v>51</v>
      </c>
    </row>
    <row r="271" spans="1:34" ht="15" customHeight="1" x14ac:dyDescent="0.25">
      <c r="A271">
        <v>7547676</v>
      </c>
      <c r="B271" t="s">
        <v>34</v>
      </c>
      <c r="C271" t="s">
        <v>35</v>
      </c>
      <c r="D271" s="6" t="s">
        <v>34</v>
      </c>
      <c r="E271" t="s">
        <v>906</v>
      </c>
      <c r="F271" t="s">
        <v>37</v>
      </c>
      <c r="G271" t="s">
        <v>38</v>
      </c>
      <c r="H271" t="s">
        <v>907</v>
      </c>
      <c r="I271" t="s">
        <v>40</v>
      </c>
      <c r="J271">
        <v>2</v>
      </c>
      <c r="K271" t="s">
        <v>41</v>
      </c>
      <c r="L271" t="s">
        <v>42</v>
      </c>
      <c r="M271" t="s">
        <v>43</v>
      </c>
      <c r="N271" s="7">
        <v>1</v>
      </c>
      <c r="O271" s="8">
        <v>45526.680439814816</v>
      </c>
      <c r="P271" s="9">
        <v>45528</v>
      </c>
      <c r="Q271" t="s">
        <v>44</v>
      </c>
      <c r="R271" t="s">
        <v>45</v>
      </c>
      <c r="S271" t="s">
        <v>46</v>
      </c>
      <c r="T271" t="s">
        <v>107</v>
      </c>
      <c r="U271" t="s">
        <v>908</v>
      </c>
      <c r="V271">
        <v>6000</v>
      </c>
      <c r="W271" t="s">
        <v>45</v>
      </c>
      <c r="X271" t="s">
        <v>69</v>
      </c>
      <c r="Y271" t="s">
        <v>50</v>
      </c>
      <c r="Z271" s="10">
        <f t="shared" si="22"/>
        <v>9</v>
      </c>
      <c r="AA271" s="11">
        <v>0</v>
      </c>
      <c r="AB271" s="11">
        <v>-2</v>
      </c>
      <c r="AC271" s="11">
        <v>0</v>
      </c>
      <c r="AD271" s="11">
        <v>0</v>
      </c>
      <c r="AE271" s="11">
        <v>0</v>
      </c>
      <c r="AF271" s="11">
        <f t="shared" si="23"/>
        <v>0.42</v>
      </c>
      <c r="AG271" s="11">
        <f t="shared" si="24"/>
        <v>7.42</v>
      </c>
      <c r="AH271" t="s">
        <v>51</v>
      </c>
    </row>
    <row r="272" spans="1:34" ht="15" customHeight="1" x14ac:dyDescent="0.25">
      <c r="A272">
        <v>7547676</v>
      </c>
      <c r="B272" t="s">
        <v>34</v>
      </c>
      <c r="C272" t="s">
        <v>35</v>
      </c>
      <c r="D272" s="6" t="s">
        <v>34</v>
      </c>
      <c r="E272" t="s">
        <v>909</v>
      </c>
      <c r="F272" t="s">
        <v>37</v>
      </c>
      <c r="G272" t="s">
        <v>38</v>
      </c>
      <c r="H272" t="s">
        <v>910</v>
      </c>
      <c r="I272" t="s">
        <v>40</v>
      </c>
      <c r="J272">
        <v>2</v>
      </c>
      <c r="K272" t="s">
        <v>41</v>
      </c>
      <c r="L272" t="s">
        <v>42</v>
      </c>
      <c r="M272" t="s">
        <v>43</v>
      </c>
      <c r="N272" s="7">
        <v>1</v>
      </c>
      <c r="O272" s="8">
        <v>45526.787870370368</v>
      </c>
      <c r="P272" s="9">
        <v>45528</v>
      </c>
      <c r="Q272" t="s">
        <v>386</v>
      </c>
      <c r="R272" t="s">
        <v>45</v>
      </c>
      <c r="S272" t="s">
        <v>46</v>
      </c>
      <c r="T272" t="s">
        <v>129</v>
      </c>
      <c r="U272" t="s">
        <v>911</v>
      </c>
      <c r="V272">
        <v>71800</v>
      </c>
      <c r="W272" t="s">
        <v>45</v>
      </c>
      <c r="X272" t="s">
        <v>174</v>
      </c>
      <c r="Y272" t="s">
        <v>50</v>
      </c>
      <c r="Z272" s="10">
        <f t="shared" si="22"/>
        <v>9</v>
      </c>
      <c r="AA272" s="11">
        <v>0</v>
      </c>
      <c r="AB272" s="11">
        <v>-2</v>
      </c>
      <c r="AC272" s="11">
        <v>0</v>
      </c>
      <c r="AD272" s="11">
        <v>0</v>
      </c>
      <c r="AE272" s="11">
        <v>0</v>
      </c>
      <c r="AF272" s="11">
        <f t="shared" si="23"/>
        <v>0.42</v>
      </c>
      <c r="AG272" s="11">
        <f t="shared" si="24"/>
        <v>7.42</v>
      </c>
      <c r="AH272" t="s">
        <v>51</v>
      </c>
    </row>
    <row r="273" spans="1:34" ht="15" customHeight="1" x14ac:dyDescent="0.25">
      <c r="A273">
        <v>7547676</v>
      </c>
      <c r="B273" t="s">
        <v>34</v>
      </c>
      <c r="C273" t="s">
        <v>35</v>
      </c>
      <c r="D273" s="6" t="s">
        <v>34</v>
      </c>
      <c r="E273" t="s">
        <v>912</v>
      </c>
      <c r="F273" t="s">
        <v>37</v>
      </c>
      <c r="G273" t="s">
        <v>38</v>
      </c>
      <c r="H273" t="s">
        <v>913</v>
      </c>
      <c r="I273" t="s">
        <v>40</v>
      </c>
      <c r="J273">
        <v>2</v>
      </c>
      <c r="K273" t="s">
        <v>41</v>
      </c>
      <c r="L273" t="s">
        <v>42</v>
      </c>
      <c r="M273" t="s">
        <v>43</v>
      </c>
      <c r="N273" s="7">
        <v>1</v>
      </c>
      <c r="O273" s="8">
        <v>45525.800787037035</v>
      </c>
      <c r="P273" s="9">
        <v>45528</v>
      </c>
      <c r="Q273" t="s">
        <v>44</v>
      </c>
      <c r="R273" t="s">
        <v>45</v>
      </c>
      <c r="S273" t="s">
        <v>46</v>
      </c>
      <c r="T273" t="s">
        <v>54</v>
      </c>
      <c r="U273" t="s">
        <v>914</v>
      </c>
      <c r="V273">
        <v>81750</v>
      </c>
      <c r="W273" t="s">
        <v>45</v>
      </c>
      <c r="X273" t="s">
        <v>370</v>
      </c>
      <c r="Y273" t="s">
        <v>50</v>
      </c>
      <c r="Z273" s="10">
        <f t="shared" si="22"/>
        <v>9</v>
      </c>
      <c r="AA273" s="11">
        <v>0</v>
      </c>
      <c r="AB273" s="11">
        <v>-2</v>
      </c>
      <c r="AC273" s="11">
        <v>0</v>
      </c>
      <c r="AD273" s="11">
        <v>0</v>
      </c>
      <c r="AE273" s="11">
        <v>0</v>
      </c>
      <c r="AF273" s="11">
        <f t="shared" si="23"/>
        <v>0.42</v>
      </c>
      <c r="AG273" s="11">
        <f t="shared" si="24"/>
        <v>7.42</v>
      </c>
      <c r="AH273" t="s">
        <v>51</v>
      </c>
    </row>
    <row r="274" spans="1:34" ht="15" customHeight="1" x14ac:dyDescent="0.25">
      <c r="A274">
        <v>7547676</v>
      </c>
      <c r="B274" t="s">
        <v>34</v>
      </c>
      <c r="C274" t="s">
        <v>35</v>
      </c>
      <c r="D274" s="6" t="s">
        <v>34</v>
      </c>
      <c r="E274" t="s">
        <v>915</v>
      </c>
      <c r="F274" t="s">
        <v>37</v>
      </c>
      <c r="G274" t="s">
        <v>38</v>
      </c>
      <c r="H274" t="s">
        <v>916</v>
      </c>
      <c r="I274" t="s">
        <v>40</v>
      </c>
      <c r="J274">
        <v>2</v>
      </c>
      <c r="K274" t="s">
        <v>41</v>
      </c>
      <c r="L274" t="s">
        <v>42</v>
      </c>
      <c r="M274" t="s">
        <v>43</v>
      </c>
      <c r="N274" s="7">
        <v>1</v>
      </c>
      <c r="O274" s="8">
        <v>45526.473692129628</v>
      </c>
      <c r="P274" s="9">
        <v>45528</v>
      </c>
      <c r="Q274" t="s">
        <v>44</v>
      </c>
      <c r="R274" t="s">
        <v>45</v>
      </c>
      <c r="S274" t="s">
        <v>46</v>
      </c>
      <c r="T274" t="s">
        <v>72</v>
      </c>
      <c r="U274" t="s">
        <v>917</v>
      </c>
      <c r="V274">
        <v>24000</v>
      </c>
      <c r="W274" t="s">
        <v>45</v>
      </c>
      <c r="X274" t="s">
        <v>225</v>
      </c>
      <c r="Y274" t="s">
        <v>50</v>
      </c>
      <c r="Z274" s="10">
        <f t="shared" si="22"/>
        <v>9</v>
      </c>
      <c r="AA274" s="11">
        <v>0</v>
      </c>
      <c r="AB274" s="11">
        <v>-2</v>
      </c>
      <c r="AC274" s="11">
        <v>0</v>
      </c>
      <c r="AD274" s="11">
        <v>0</v>
      </c>
      <c r="AE274" s="11">
        <v>0</v>
      </c>
      <c r="AF274" s="11">
        <f t="shared" si="23"/>
        <v>0.42</v>
      </c>
      <c r="AG274" s="11">
        <f t="shared" si="24"/>
        <v>7.42</v>
      </c>
      <c r="AH274" t="s">
        <v>51</v>
      </c>
    </row>
    <row r="275" spans="1:34" ht="15" customHeight="1" x14ac:dyDescent="0.25">
      <c r="A275">
        <v>7547676</v>
      </c>
      <c r="B275" t="s">
        <v>34</v>
      </c>
      <c r="C275" t="s">
        <v>35</v>
      </c>
      <c r="D275" s="6" t="s">
        <v>34</v>
      </c>
      <c r="E275" t="s">
        <v>918</v>
      </c>
      <c r="F275" t="s">
        <v>37</v>
      </c>
      <c r="G275" t="s">
        <v>38</v>
      </c>
      <c r="H275" t="s">
        <v>919</v>
      </c>
      <c r="I275" t="s">
        <v>40</v>
      </c>
      <c r="J275">
        <v>2</v>
      </c>
      <c r="K275" t="s">
        <v>41</v>
      </c>
      <c r="L275" t="s">
        <v>42</v>
      </c>
      <c r="M275" t="s">
        <v>43</v>
      </c>
      <c r="N275" s="7">
        <v>1</v>
      </c>
      <c r="O275" s="8">
        <v>45526.780497685184</v>
      </c>
      <c r="P275" s="9">
        <v>45528</v>
      </c>
      <c r="Q275" t="s">
        <v>386</v>
      </c>
      <c r="R275" t="s">
        <v>45</v>
      </c>
      <c r="S275" t="s">
        <v>46</v>
      </c>
      <c r="T275" t="s">
        <v>146</v>
      </c>
      <c r="U275" t="s">
        <v>920</v>
      </c>
      <c r="V275">
        <v>54200</v>
      </c>
      <c r="W275" t="s">
        <v>45</v>
      </c>
      <c r="X275" t="s">
        <v>354</v>
      </c>
      <c r="Y275" t="s">
        <v>50</v>
      </c>
      <c r="Z275" s="10">
        <f t="shared" si="22"/>
        <v>9</v>
      </c>
      <c r="AA275" s="11">
        <v>0</v>
      </c>
      <c r="AB275" s="11">
        <v>-2</v>
      </c>
      <c r="AC275" s="11">
        <v>0</v>
      </c>
      <c r="AD275" s="11">
        <v>0</v>
      </c>
      <c r="AE275" s="11">
        <v>0</v>
      </c>
      <c r="AF275" s="11">
        <f t="shared" si="23"/>
        <v>0.42</v>
      </c>
      <c r="AG275" s="11">
        <f t="shared" si="24"/>
        <v>7.42</v>
      </c>
      <c r="AH275" t="s">
        <v>51</v>
      </c>
    </row>
    <row r="276" spans="1:34" ht="15" customHeight="1" x14ac:dyDescent="0.25">
      <c r="A276">
        <v>7547676</v>
      </c>
      <c r="B276" t="s">
        <v>34</v>
      </c>
      <c r="C276" t="s">
        <v>35</v>
      </c>
      <c r="D276" s="6" t="s">
        <v>34</v>
      </c>
      <c r="E276" t="s">
        <v>921</v>
      </c>
      <c r="F276" t="s">
        <v>37</v>
      </c>
      <c r="G276" t="s">
        <v>38</v>
      </c>
      <c r="H276" t="s">
        <v>922</v>
      </c>
      <c r="I276" t="s">
        <v>40</v>
      </c>
      <c r="J276">
        <v>2</v>
      </c>
      <c r="K276" t="s">
        <v>41</v>
      </c>
      <c r="L276" t="s">
        <v>42</v>
      </c>
      <c r="M276" t="s">
        <v>43</v>
      </c>
      <c r="N276" s="7">
        <v>1</v>
      </c>
      <c r="O276" s="8">
        <v>45526.780497685184</v>
      </c>
      <c r="P276" s="9">
        <v>45529</v>
      </c>
      <c r="Q276" t="s">
        <v>386</v>
      </c>
      <c r="R276" t="s">
        <v>45</v>
      </c>
      <c r="S276" t="s">
        <v>46</v>
      </c>
      <c r="T276" t="s">
        <v>47</v>
      </c>
      <c r="U276" t="s">
        <v>923</v>
      </c>
      <c r="V276">
        <v>32610</v>
      </c>
      <c r="W276" t="s">
        <v>45</v>
      </c>
      <c r="X276" t="s">
        <v>391</v>
      </c>
      <c r="Y276" t="s">
        <v>50</v>
      </c>
      <c r="Z276" s="10">
        <f t="shared" si="22"/>
        <v>9</v>
      </c>
      <c r="AA276" s="11">
        <v>0</v>
      </c>
      <c r="AB276" s="11">
        <v>-2</v>
      </c>
      <c r="AC276" s="11">
        <v>0</v>
      </c>
      <c r="AD276" s="11">
        <v>0</v>
      </c>
      <c r="AE276" s="11">
        <v>0</v>
      </c>
      <c r="AF276" s="11">
        <f t="shared" si="23"/>
        <v>0.42</v>
      </c>
      <c r="AG276" s="11">
        <f t="shared" si="24"/>
        <v>7.42</v>
      </c>
      <c r="AH276" t="s">
        <v>51</v>
      </c>
    </row>
    <row r="277" spans="1:34" ht="15" customHeight="1" x14ac:dyDescent="0.25">
      <c r="A277">
        <v>7547676</v>
      </c>
      <c r="B277" t="s">
        <v>34</v>
      </c>
      <c r="C277" t="s">
        <v>35</v>
      </c>
      <c r="D277" s="6" t="s">
        <v>34</v>
      </c>
      <c r="E277" t="s">
        <v>924</v>
      </c>
      <c r="F277" t="s">
        <v>37</v>
      </c>
      <c r="G277" t="s">
        <v>38</v>
      </c>
      <c r="H277" t="s">
        <v>398</v>
      </c>
      <c r="I277" t="s">
        <v>40</v>
      </c>
      <c r="J277">
        <v>2</v>
      </c>
      <c r="K277" t="s">
        <v>41</v>
      </c>
      <c r="L277" t="s">
        <v>42</v>
      </c>
      <c r="M277" t="s">
        <v>43</v>
      </c>
      <c r="N277" s="7">
        <v>14</v>
      </c>
      <c r="O277" s="8">
        <v>45528.724351851852</v>
      </c>
      <c r="P277" s="9">
        <v>45529</v>
      </c>
      <c r="Q277" t="s">
        <v>44</v>
      </c>
      <c r="R277" t="s">
        <v>45</v>
      </c>
      <c r="S277" t="s">
        <v>46</v>
      </c>
      <c r="T277" t="s">
        <v>223</v>
      </c>
      <c r="U277" t="s">
        <v>399</v>
      </c>
      <c r="V277">
        <v>26600</v>
      </c>
      <c r="W277" t="s">
        <v>45</v>
      </c>
      <c r="X277" t="s">
        <v>400</v>
      </c>
      <c r="Y277" t="s">
        <v>50</v>
      </c>
      <c r="Z277" s="10">
        <f t="shared" si="22"/>
        <v>19.399999999999999</v>
      </c>
      <c r="AA277" s="11">
        <v>0</v>
      </c>
      <c r="AB277" s="11">
        <v>-2</v>
      </c>
      <c r="AC277" s="11">
        <v>0</v>
      </c>
      <c r="AD277" s="11">
        <v>0</v>
      </c>
      <c r="AE277" s="11">
        <v>0</v>
      </c>
      <c r="AF277" s="11">
        <f t="shared" si="23"/>
        <v>1.0439999999999998</v>
      </c>
      <c r="AG277" s="11">
        <f t="shared" si="24"/>
        <v>18.443999999999999</v>
      </c>
      <c r="AH277" t="s">
        <v>51</v>
      </c>
    </row>
    <row r="278" spans="1:34" ht="15" customHeight="1" x14ac:dyDescent="0.25">
      <c r="A278">
        <v>7547676</v>
      </c>
      <c r="B278" t="s">
        <v>34</v>
      </c>
      <c r="C278" t="s">
        <v>35</v>
      </c>
      <c r="D278" s="6" t="s">
        <v>34</v>
      </c>
      <c r="E278" t="s">
        <v>925</v>
      </c>
      <c r="F278" t="s">
        <v>37</v>
      </c>
      <c r="G278" t="s">
        <v>38</v>
      </c>
      <c r="H278" t="s">
        <v>926</v>
      </c>
      <c r="I278" t="s">
        <v>40</v>
      </c>
      <c r="J278">
        <v>2</v>
      </c>
      <c r="K278" t="s">
        <v>41</v>
      </c>
      <c r="L278" t="s">
        <v>42</v>
      </c>
      <c r="M278" t="s">
        <v>43</v>
      </c>
      <c r="N278" s="7">
        <v>1</v>
      </c>
      <c r="O278" s="8">
        <v>45527.735682870371</v>
      </c>
      <c r="P278" s="9">
        <v>45529</v>
      </c>
      <c r="Q278" t="s">
        <v>44</v>
      </c>
      <c r="R278" t="s">
        <v>45</v>
      </c>
      <c r="S278" t="s">
        <v>46</v>
      </c>
      <c r="T278" t="s">
        <v>72</v>
      </c>
      <c r="U278" t="s">
        <v>927</v>
      </c>
      <c r="V278">
        <v>21300</v>
      </c>
      <c r="W278" t="s">
        <v>45</v>
      </c>
      <c r="X278" t="s">
        <v>139</v>
      </c>
      <c r="Y278" t="s">
        <v>50</v>
      </c>
      <c r="Z278" s="10">
        <f t="shared" si="22"/>
        <v>9</v>
      </c>
      <c r="AA278" s="11">
        <v>0</v>
      </c>
      <c r="AB278" s="11">
        <v>-2</v>
      </c>
      <c r="AC278" s="11">
        <v>0</v>
      </c>
      <c r="AD278" s="11">
        <v>0</v>
      </c>
      <c r="AE278" s="11">
        <v>0</v>
      </c>
      <c r="AF278" s="11">
        <f t="shared" si="23"/>
        <v>0.42</v>
      </c>
      <c r="AG278" s="11">
        <f t="shared" si="24"/>
        <v>7.42</v>
      </c>
      <c r="AH278" t="s">
        <v>51</v>
      </c>
    </row>
    <row r="279" spans="1:34" ht="15" customHeight="1" x14ac:dyDescent="0.25">
      <c r="A279">
        <v>7547676</v>
      </c>
      <c r="B279" t="s">
        <v>34</v>
      </c>
      <c r="C279" t="s">
        <v>35</v>
      </c>
      <c r="D279" s="6" t="s">
        <v>34</v>
      </c>
      <c r="E279" t="s">
        <v>928</v>
      </c>
      <c r="F279" t="s">
        <v>37</v>
      </c>
      <c r="G279" t="s">
        <v>38</v>
      </c>
      <c r="H279" t="s">
        <v>929</v>
      </c>
      <c r="I279" t="s">
        <v>40</v>
      </c>
      <c r="J279">
        <v>2</v>
      </c>
      <c r="K279" t="s">
        <v>41</v>
      </c>
      <c r="L279" t="s">
        <v>42</v>
      </c>
      <c r="M279" t="s">
        <v>43</v>
      </c>
      <c r="N279" s="7">
        <v>1</v>
      </c>
      <c r="O279" s="8">
        <v>45526.793414351851</v>
      </c>
      <c r="P279" s="9">
        <v>45529</v>
      </c>
      <c r="Q279" t="s">
        <v>386</v>
      </c>
      <c r="R279" t="s">
        <v>45</v>
      </c>
      <c r="S279" t="s">
        <v>46</v>
      </c>
      <c r="T279" t="s">
        <v>92</v>
      </c>
      <c r="U279" t="s">
        <v>930</v>
      </c>
      <c r="V279">
        <v>42200</v>
      </c>
      <c r="W279" t="s">
        <v>45</v>
      </c>
      <c r="X279" t="s">
        <v>69</v>
      </c>
      <c r="Y279" t="s">
        <v>50</v>
      </c>
      <c r="Z279" s="10">
        <f t="shared" si="22"/>
        <v>9</v>
      </c>
      <c r="AA279" s="11">
        <v>0</v>
      </c>
      <c r="AB279" s="11">
        <v>-2</v>
      </c>
      <c r="AC279" s="11">
        <v>0</v>
      </c>
      <c r="AD279" s="11">
        <v>0</v>
      </c>
      <c r="AE279" s="11">
        <v>0</v>
      </c>
      <c r="AF279" s="11">
        <f t="shared" si="23"/>
        <v>0.42</v>
      </c>
      <c r="AG279" s="11">
        <f t="shared" si="24"/>
        <v>7.42</v>
      </c>
      <c r="AH279" t="s">
        <v>51</v>
      </c>
    </row>
    <row r="280" spans="1:34" ht="15" customHeight="1" x14ac:dyDescent="0.25">
      <c r="A280">
        <v>7547676</v>
      </c>
      <c r="B280" t="s">
        <v>34</v>
      </c>
      <c r="C280" t="s">
        <v>35</v>
      </c>
      <c r="D280" s="6" t="s">
        <v>34</v>
      </c>
      <c r="E280" t="s">
        <v>931</v>
      </c>
      <c r="F280" t="s">
        <v>37</v>
      </c>
      <c r="G280" t="s">
        <v>38</v>
      </c>
      <c r="H280" t="s">
        <v>932</v>
      </c>
      <c r="I280" t="s">
        <v>40</v>
      </c>
      <c r="J280">
        <v>2</v>
      </c>
      <c r="K280" t="s">
        <v>41</v>
      </c>
      <c r="L280" t="s">
        <v>42</v>
      </c>
      <c r="M280" t="s">
        <v>43</v>
      </c>
      <c r="N280" s="7">
        <v>1</v>
      </c>
      <c r="O280" s="8">
        <v>45528.488703703704</v>
      </c>
      <c r="P280" s="9">
        <v>45529</v>
      </c>
      <c r="Q280" t="s">
        <v>44</v>
      </c>
      <c r="R280" t="s">
        <v>45</v>
      </c>
      <c r="S280" t="s">
        <v>46</v>
      </c>
      <c r="T280" t="s">
        <v>92</v>
      </c>
      <c r="U280" t="s">
        <v>933</v>
      </c>
      <c r="V280">
        <v>47650</v>
      </c>
      <c r="W280" t="s">
        <v>45</v>
      </c>
      <c r="X280" t="s">
        <v>446</v>
      </c>
      <c r="Y280" t="s">
        <v>50</v>
      </c>
      <c r="Z280" s="10">
        <f t="shared" si="22"/>
        <v>9</v>
      </c>
      <c r="AA280" s="11">
        <v>0</v>
      </c>
      <c r="AB280" s="11">
        <v>-2</v>
      </c>
      <c r="AC280" s="11">
        <v>0</v>
      </c>
      <c r="AD280" s="11">
        <v>0</v>
      </c>
      <c r="AE280" s="11">
        <v>0</v>
      </c>
      <c r="AF280" s="11">
        <f t="shared" si="23"/>
        <v>0.42</v>
      </c>
      <c r="AG280" s="11">
        <f t="shared" si="24"/>
        <v>7.42</v>
      </c>
      <c r="AH280" t="s">
        <v>51</v>
      </c>
    </row>
    <row r="281" spans="1:34" ht="15" customHeight="1" x14ac:dyDescent="0.25">
      <c r="A281">
        <v>7547676</v>
      </c>
      <c r="B281" t="s">
        <v>34</v>
      </c>
      <c r="C281" t="s">
        <v>35</v>
      </c>
      <c r="D281" s="6" t="s">
        <v>34</v>
      </c>
      <c r="E281" t="s">
        <v>934</v>
      </c>
      <c r="F281" t="s">
        <v>37</v>
      </c>
      <c r="G281" t="s">
        <v>38</v>
      </c>
      <c r="H281" t="s">
        <v>935</v>
      </c>
      <c r="I281" t="s">
        <v>40</v>
      </c>
      <c r="J281">
        <v>2</v>
      </c>
      <c r="K281" t="s">
        <v>41</v>
      </c>
      <c r="L281" t="s">
        <v>42</v>
      </c>
      <c r="M281" t="s">
        <v>43</v>
      </c>
      <c r="N281" s="7">
        <v>1</v>
      </c>
      <c r="O281" s="8">
        <v>45528.416608796295</v>
      </c>
      <c r="P281" s="9">
        <v>45529</v>
      </c>
      <c r="Q281" t="s">
        <v>44</v>
      </c>
      <c r="R281" t="s">
        <v>45</v>
      </c>
      <c r="S281" t="s">
        <v>46</v>
      </c>
      <c r="T281" t="s">
        <v>92</v>
      </c>
      <c r="U281" t="s">
        <v>936</v>
      </c>
      <c r="V281">
        <v>47100</v>
      </c>
      <c r="W281" t="s">
        <v>45</v>
      </c>
      <c r="X281" t="s">
        <v>296</v>
      </c>
      <c r="Y281" t="s">
        <v>50</v>
      </c>
      <c r="Z281" s="10">
        <f t="shared" si="22"/>
        <v>9</v>
      </c>
      <c r="AA281" s="11">
        <v>0</v>
      </c>
      <c r="AB281" s="11">
        <v>-2</v>
      </c>
      <c r="AC281" s="11">
        <v>0</v>
      </c>
      <c r="AD281" s="11">
        <v>0</v>
      </c>
      <c r="AE281" s="11">
        <v>0</v>
      </c>
      <c r="AF281" s="11">
        <f t="shared" si="23"/>
        <v>0.42</v>
      </c>
      <c r="AG281" s="11">
        <f t="shared" si="24"/>
        <v>7.42</v>
      </c>
      <c r="AH281" t="s">
        <v>51</v>
      </c>
    </row>
    <row r="282" spans="1:34" ht="15" customHeight="1" x14ac:dyDescent="0.25">
      <c r="A282">
        <v>7547676</v>
      </c>
      <c r="B282" t="s">
        <v>34</v>
      </c>
      <c r="C282" t="s">
        <v>35</v>
      </c>
      <c r="D282" s="6" t="s">
        <v>34</v>
      </c>
      <c r="E282" t="s">
        <v>937</v>
      </c>
      <c r="F282" t="s">
        <v>37</v>
      </c>
      <c r="G282" t="s">
        <v>38</v>
      </c>
      <c r="H282" t="s">
        <v>938</v>
      </c>
      <c r="I282" t="s">
        <v>40</v>
      </c>
      <c r="J282">
        <v>2</v>
      </c>
      <c r="K282" t="s">
        <v>41</v>
      </c>
      <c r="L282" t="s">
        <v>42</v>
      </c>
      <c r="M282" t="s">
        <v>43</v>
      </c>
      <c r="N282" s="7">
        <v>11</v>
      </c>
      <c r="O282" s="8">
        <v>45528.567395833335</v>
      </c>
      <c r="P282" s="9">
        <v>45529</v>
      </c>
      <c r="Q282" t="s">
        <v>44</v>
      </c>
      <c r="R282" t="s">
        <v>45</v>
      </c>
      <c r="S282" t="s">
        <v>46</v>
      </c>
      <c r="T282" t="s">
        <v>129</v>
      </c>
      <c r="U282" t="s">
        <v>939</v>
      </c>
      <c r="V282">
        <v>71700</v>
      </c>
      <c r="W282" t="s">
        <v>45</v>
      </c>
      <c r="X282" t="s">
        <v>174</v>
      </c>
      <c r="Y282" t="s">
        <v>50</v>
      </c>
      <c r="Z282" s="10">
        <f t="shared" si="22"/>
        <v>17</v>
      </c>
      <c r="AA282" s="11">
        <v>0</v>
      </c>
      <c r="AB282" s="11">
        <v>-2</v>
      </c>
      <c r="AC282" s="11">
        <v>0</v>
      </c>
      <c r="AD282" s="11">
        <v>0</v>
      </c>
      <c r="AE282" s="11">
        <v>0</v>
      </c>
      <c r="AF282" s="11">
        <f t="shared" si="23"/>
        <v>0.89999999999999991</v>
      </c>
      <c r="AG282" s="11">
        <f t="shared" si="24"/>
        <v>15.9</v>
      </c>
      <c r="AH282" t="s">
        <v>51</v>
      </c>
    </row>
    <row r="283" spans="1:34" ht="15" customHeight="1" x14ac:dyDescent="0.25">
      <c r="A283">
        <v>7547676</v>
      </c>
      <c r="B283" t="s">
        <v>34</v>
      </c>
      <c r="C283" t="s">
        <v>35</v>
      </c>
      <c r="D283" s="6" t="s">
        <v>34</v>
      </c>
      <c r="E283" t="s">
        <v>940</v>
      </c>
      <c r="F283" t="s">
        <v>37</v>
      </c>
      <c r="G283" t="s">
        <v>38</v>
      </c>
      <c r="H283" t="s">
        <v>938</v>
      </c>
      <c r="I283" t="s">
        <v>40</v>
      </c>
      <c r="J283">
        <v>2</v>
      </c>
      <c r="K283" t="s">
        <v>41</v>
      </c>
      <c r="L283" t="s">
        <v>42</v>
      </c>
      <c r="M283" t="s">
        <v>43</v>
      </c>
      <c r="N283" s="7">
        <v>11</v>
      </c>
      <c r="O283" s="8">
        <v>45528.567395833335</v>
      </c>
      <c r="P283" s="9">
        <v>45529</v>
      </c>
      <c r="Q283" t="s">
        <v>44</v>
      </c>
      <c r="R283" t="s">
        <v>45</v>
      </c>
      <c r="S283" t="s">
        <v>46</v>
      </c>
      <c r="T283" t="s">
        <v>129</v>
      </c>
      <c r="U283" t="s">
        <v>939</v>
      </c>
      <c r="V283">
        <v>71700</v>
      </c>
      <c r="W283" t="s">
        <v>45</v>
      </c>
      <c r="X283" t="s">
        <v>174</v>
      </c>
      <c r="Y283" t="s">
        <v>50</v>
      </c>
      <c r="Z283" s="10">
        <f t="shared" si="22"/>
        <v>17</v>
      </c>
      <c r="AA283" s="11">
        <v>0</v>
      </c>
      <c r="AB283" s="11">
        <v>-2</v>
      </c>
      <c r="AC283" s="11">
        <v>0</v>
      </c>
      <c r="AD283" s="11">
        <v>0</v>
      </c>
      <c r="AE283" s="11">
        <v>0</v>
      </c>
      <c r="AF283" s="11">
        <f t="shared" si="23"/>
        <v>0.89999999999999991</v>
      </c>
      <c r="AG283" s="11">
        <f t="shared" si="24"/>
        <v>15.9</v>
      </c>
      <c r="AH283" t="s">
        <v>51</v>
      </c>
    </row>
    <row r="284" spans="1:34" ht="15" customHeight="1" x14ac:dyDescent="0.25">
      <c r="A284">
        <v>7547676</v>
      </c>
      <c r="B284" t="s">
        <v>34</v>
      </c>
      <c r="C284" t="s">
        <v>35</v>
      </c>
      <c r="D284" s="6" t="s">
        <v>34</v>
      </c>
      <c r="E284" t="s">
        <v>941</v>
      </c>
      <c r="F284" t="s">
        <v>37</v>
      </c>
      <c r="G284" t="s">
        <v>38</v>
      </c>
      <c r="H284" t="s">
        <v>938</v>
      </c>
      <c r="I284" t="s">
        <v>40</v>
      </c>
      <c r="J284">
        <v>2</v>
      </c>
      <c r="K284" t="s">
        <v>41</v>
      </c>
      <c r="L284" t="s">
        <v>42</v>
      </c>
      <c r="M284" t="s">
        <v>43</v>
      </c>
      <c r="N284" s="7">
        <v>11</v>
      </c>
      <c r="O284" s="8">
        <v>45528.567395833335</v>
      </c>
      <c r="P284" s="9">
        <v>45529</v>
      </c>
      <c r="Q284" t="s">
        <v>44</v>
      </c>
      <c r="R284" t="s">
        <v>45</v>
      </c>
      <c r="S284" t="s">
        <v>46</v>
      </c>
      <c r="T284" t="s">
        <v>129</v>
      </c>
      <c r="U284" t="s">
        <v>939</v>
      </c>
      <c r="V284">
        <v>71700</v>
      </c>
      <c r="W284" t="s">
        <v>45</v>
      </c>
      <c r="X284" t="s">
        <v>174</v>
      </c>
      <c r="Y284" t="s">
        <v>50</v>
      </c>
      <c r="Z284" s="10">
        <f t="shared" si="22"/>
        <v>17</v>
      </c>
      <c r="AA284" s="11">
        <v>0</v>
      </c>
      <c r="AB284" s="11">
        <v>-2</v>
      </c>
      <c r="AC284" s="11">
        <v>0</v>
      </c>
      <c r="AD284" s="11">
        <v>0</v>
      </c>
      <c r="AE284" s="11">
        <v>0</v>
      </c>
      <c r="AF284" s="11">
        <f t="shared" si="23"/>
        <v>0.89999999999999991</v>
      </c>
      <c r="AG284" s="11">
        <f t="shared" si="24"/>
        <v>15.9</v>
      </c>
      <c r="AH284" t="s">
        <v>51</v>
      </c>
    </row>
    <row r="285" spans="1:34" ht="15" customHeight="1" x14ac:dyDescent="0.25">
      <c r="A285">
        <v>7547676</v>
      </c>
      <c r="B285" t="s">
        <v>34</v>
      </c>
      <c r="C285" t="s">
        <v>35</v>
      </c>
      <c r="D285" s="6" t="s">
        <v>34</v>
      </c>
      <c r="E285" t="s">
        <v>942</v>
      </c>
      <c r="F285" t="s">
        <v>37</v>
      </c>
      <c r="G285" t="s">
        <v>38</v>
      </c>
      <c r="H285" t="s">
        <v>938</v>
      </c>
      <c r="I285" t="s">
        <v>40</v>
      </c>
      <c r="J285">
        <v>2</v>
      </c>
      <c r="K285" t="s">
        <v>41</v>
      </c>
      <c r="L285" t="s">
        <v>42</v>
      </c>
      <c r="M285" t="s">
        <v>43</v>
      </c>
      <c r="N285" s="7">
        <v>11</v>
      </c>
      <c r="O285" s="8">
        <v>45528.567395833335</v>
      </c>
      <c r="P285" s="9">
        <v>45529</v>
      </c>
      <c r="Q285" t="s">
        <v>44</v>
      </c>
      <c r="R285" t="s">
        <v>45</v>
      </c>
      <c r="S285" t="s">
        <v>46</v>
      </c>
      <c r="T285" t="s">
        <v>129</v>
      </c>
      <c r="U285" t="s">
        <v>939</v>
      </c>
      <c r="V285">
        <v>71700</v>
      </c>
      <c r="W285" t="s">
        <v>45</v>
      </c>
      <c r="X285" t="s">
        <v>174</v>
      </c>
      <c r="Y285" t="s">
        <v>50</v>
      </c>
      <c r="Z285" s="10">
        <f t="shared" si="22"/>
        <v>17</v>
      </c>
      <c r="AA285" s="11">
        <v>0</v>
      </c>
      <c r="AB285" s="11">
        <v>-2</v>
      </c>
      <c r="AC285" s="11">
        <v>0</v>
      </c>
      <c r="AD285" s="11">
        <v>0</v>
      </c>
      <c r="AE285" s="11">
        <v>0</v>
      </c>
      <c r="AF285" s="11">
        <f t="shared" si="23"/>
        <v>0.89999999999999991</v>
      </c>
      <c r="AG285" s="11">
        <f t="shared" si="24"/>
        <v>15.9</v>
      </c>
      <c r="AH285" t="s">
        <v>51</v>
      </c>
    </row>
    <row r="286" spans="1:34" ht="15" customHeight="1" x14ac:dyDescent="0.25">
      <c r="A286">
        <v>7547676</v>
      </c>
      <c r="B286" t="s">
        <v>34</v>
      </c>
      <c r="C286" t="s">
        <v>35</v>
      </c>
      <c r="D286" s="6" t="s">
        <v>34</v>
      </c>
      <c r="E286" t="s">
        <v>943</v>
      </c>
      <c r="F286" t="s">
        <v>37</v>
      </c>
      <c r="G286" t="s">
        <v>38</v>
      </c>
      <c r="H286" t="s">
        <v>938</v>
      </c>
      <c r="I286" t="s">
        <v>40</v>
      </c>
      <c r="J286">
        <v>2</v>
      </c>
      <c r="K286" t="s">
        <v>41</v>
      </c>
      <c r="L286" t="s">
        <v>42</v>
      </c>
      <c r="M286" t="s">
        <v>43</v>
      </c>
      <c r="N286" s="7">
        <v>11</v>
      </c>
      <c r="O286" s="8">
        <v>45528.567395833335</v>
      </c>
      <c r="P286" s="9">
        <v>45529</v>
      </c>
      <c r="Q286" t="s">
        <v>44</v>
      </c>
      <c r="R286" t="s">
        <v>45</v>
      </c>
      <c r="S286" t="s">
        <v>46</v>
      </c>
      <c r="T286" t="s">
        <v>129</v>
      </c>
      <c r="U286" t="s">
        <v>939</v>
      </c>
      <c r="V286">
        <v>71700</v>
      </c>
      <c r="W286" t="s">
        <v>45</v>
      </c>
      <c r="X286" t="s">
        <v>174</v>
      </c>
      <c r="Y286" t="s">
        <v>50</v>
      </c>
      <c r="Z286" s="10">
        <f t="shared" si="22"/>
        <v>17</v>
      </c>
      <c r="AA286" s="11">
        <v>0</v>
      </c>
      <c r="AB286" s="11">
        <v>-2</v>
      </c>
      <c r="AC286" s="11">
        <v>0</v>
      </c>
      <c r="AD286" s="11">
        <v>0</v>
      </c>
      <c r="AE286" s="11">
        <v>0</v>
      </c>
      <c r="AF286" s="11">
        <f t="shared" si="23"/>
        <v>0.89999999999999991</v>
      </c>
      <c r="AG286" s="11">
        <f t="shared" si="24"/>
        <v>15.9</v>
      </c>
      <c r="AH286" t="s">
        <v>51</v>
      </c>
    </row>
    <row r="287" spans="1:34" ht="15" customHeight="1" x14ac:dyDescent="0.25">
      <c r="A287">
        <v>7547676</v>
      </c>
      <c r="B287" t="s">
        <v>34</v>
      </c>
      <c r="C287" t="s">
        <v>35</v>
      </c>
      <c r="D287" s="6" t="s">
        <v>34</v>
      </c>
      <c r="E287" t="s">
        <v>944</v>
      </c>
      <c r="F287" t="s">
        <v>37</v>
      </c>
      <c r="G287" t="s">
        <v>38</v>
      </c>
      <c r="H287" t="s">
        <v>945</v>
      </c>
      <c r="I287" t="s">
        <v>40</v>
      </c>
      <c r="J287">
        <v>2</v>
      </c>
      <c r="K287" t="s">
        <v>41</v>
      </c>
      <c r="L287" t="s">
        <v>42</v>
      </c>
      <c r="M287" t="s">
        <v>43</v>
      </c>
      <c r="N287" s="7">
        <v>1</v>
      </c>
      <c r="O287" s="8">
        <v>45525.745104166665</v>
      </c>
      <c r="P287" s="9">
        <v>45529</v>
      </c>
      <c r="Q287" t="s">
        <v>44</v>
      </c>
      <c r="R287" t="s">
        <v>45</v>
      </c>
      <c r="S287" t="s">
        <v>46</v>
      </c>
      <c r="T287" t="s">
        <v>151</v>
      </c>
      <c r="U287" t="s">
        <v>946</v>
      </c>
      <c r="V287">
        <v>77400</v>
      </c>
      <c r="W287" t="s">
        <v>45</v>
      </c>
      <c r="X287" t="s">
        <v>358</v>
      </c>
      <c r="Y287" t="s">
        <v>50</v>
      </c>
      <c r="Z287" s="10">
        <f t="shared" si="22"/>
        <v>9</v>
      </c>
      <c r="AA287" s="11">
        <v>0</v>
      </c>
      <c r="AB287" s="11">
        <v>-2</v>
      </c>
      <c r="AC287" s="11">
        <v>0</v>
      </c>
      <c r="AD287" s="11">
        <v>0</v>
      </c>
      <c r="AE287" s="11">
        <v>0</v>
      </c>
      <c r="AF287" s="11">
        <f t="shared" si="23"/>
        <v>0.42</v>
      </c>
      <c r="AG287" s="11">
        <f t="shared" si="24"/>
        <v>7.42</v>
      </c>
      <c r="AH287" t="s">
        <v>51</v>
      </c>
    </row>
    <row r="288" spans="1:34" ht="15" customHeight="1" x14ac:dyDescent="0.25">
      <c r="A288">
        <v>7547676</v>
      </c>
      <c r="B288" t="s">
        <v>34</v>
      </c>
      <c r="C288" t="s">
        <v>35</v>
      </c>
      <c r="D288" s="6" t="s">
        <v>34</v>
      </c>
      <c r="E288" t="s">
        <v>947</v>
      </c>
      <c r="F288" t="s">
        <v>37</v>
      </c>
      <c r="G288" t="s">
        <v>38</v>
      </c>
      <c r="H288" t="s">
        <v>948</v>
      </c>
      <c r="I288" t="s">
        <v>40</v>
      </c>
      <c r="J288">
        <v>2</v>
      </c>
      <c r="K288" t="s">
        <v>41</v>
      </c>
      <c r="L288" t="s">
        <v>42</v>
      </c>
      <c r="M288" t="s">
        <v>43</v>
      </c>
      <c r="N288" s="7">
        <v>1</v>
      </c>
      <c r="O288" s="8">
        <v>45526.687974537039</v>
      </c>
      <c r="P288" s="9">
        <v>45529</v>
      </c>
      <c r="Q288" t="s">
        <v>44</v>
      </c>
      <c r="R288" t="s">
        <v>45</v>
      </c>
      <c r="S288" t="s">
        <v>46</v>
      </c>
      <c r="T288" t="s">
        <v>151</v>
      </c>
      <c r="U288" t="s">
        <v>949</v>
      </c>
      <c r="V288">
        <v>75450</v>
      </c>
      <c r="W288" t="s">
        <v>45</v>
      </c>
      <c r="X288" t="s">
        <v>200</v>
      </c>
      <c r="Y288" t="s">
        <v>50</v>
      </c>
      <c r="Z288" s="10">
        <f t="shared" si="22"/>
        <v>9</v>
      </c>
      <c r="AA288" s="11">
        <v>0</v>
      </c>
      <c r="AB288" s="11">
        <v>-2</v>
      </c>
      <c r="AC288" s="11">
        <v>0</v>
      </c>
      <c r="AD288" s="11">
        <v>0</v>
      </c>
      <c r="AE288" s="11">
        <v>0</v>
      </c>
      <c r="AF288" s="11">
        <f t="shared" si="23"/>
        <v>0.42</v>
      </c>
      <c r="AG288" s="11">
        <f t="shared" si="24"/>
        <v>7.42</v>
      </c>
      <c r="AH288" t="s">
        <v>51</v>
      </c>
    </row>
    <row r="289" spans="1:34" ht="15" customHeight="1" x14ac:dyDescent="0.25">
      <c r="A289">
        <v>7547676</v>
      </c>
      <c r="B289" t="s">
        <v>34</v>
      </c>
      <c r="C289" t="s">
        <v>35</v>
      </c>
      <c r="D289" s="6" t="s">
        <v>34</v>
      </c>
      <c r="E289" t="s">
        <v>950</v>
      </c>
      <c r="F289" t="s">
        <v>37</v>
      </c>
      <c r="G289" t="s">
        <v>38</v>
      </c>
      <c r="H289" t="s">
        <v>951</v>
      </c>
      <c r="I289" t="s">
        <v>40</v>
      </c>
      <c r="J289">
        <v>2</v>
      </c>
      <c r="K289" t="s">
        <v>41</v>
      </c>
      <c r="L289" t="s">
        <v>42</v>
      </c>
      <c r="M289" t="s">
        <v>43</v>
      </c>
      <c r="N289" s="7">
        <v>1</v>
      </c>
      <c r="O289" s="8">
        <v>45528.410636574074</v>
      </c>
      <c r="P289" s="9">
        <v>45529</v>
      </c>
      <c r="Q289" t="s">
        <v>44</v>
      </c>
      <c r="R289" t="s">
        <v>45</v>
      </c>
      <c r="S289" t="s">
        <v>46</v>
      </c>
      <c r="T289" t="s">
        <v>72</v>
      </c>
      <c r="U289" t="s">
        <v>952</v>
      </c>
      <c r="V289">
        <v>21600</v>
      </c>
      <c r="W289" t="s">
        <v>45</v>
      </c>
      <c r="X289" t="s">
        <v>139</v>
      </c>
      <c r="Y289" t="s">
        <v>50</v>
      </c>
      <c r="Z289" s="10">
        <f t="shared" si="22"/>
        <v>9</v>
      </c>
      <c r="AA289" s="11">
        <v>0</v>
      </c>
      <c r="AB289" s="11">
        <v>-2</v>
      </c>
      <c r="AC289" s="11">
        <v>0</v>
      </c>
      <c r="AD289" s="11">
        <v>0</v>
      </c>
      <c r="AE289" s="11">
        <v>0</v>
      </c>
      <c r="AF289" s="11">
        <f t="shared" si="23"/>
        <v>0.42</v>
      </c>
      <c r="AG289" s="11">
        <f t="shared" si="24"/>
        <v>7.42</v>
      </c>
      <c r="AH289" t="s">
        <v>51</v>
      </c>
    </row>
    <row r="290" spans="1:34" ht="15" customHeight="1" x14ac:dyDescent="0.25">
      <c r="A290">
        <v>7547676</v>
      </c>
      <c r="B290" t="s">
        <v>34</v>
      </c>
      <c r="C290" t="s">
        <v>35</v>
      </c>
      <c r="D290" s="6" t="s">
        <v>34</v>
      </c>
      <c r="E290" t="s">
        <v>953</v>
      </c>
      <c r="F290" t="s">
        <v>37</v>
      </c>
      <c r="G290" t="s">
        <v>38</v>
      </c>
      <c r="H290" t="s">
        <v>954</v>
      </c>
      <c r="I290" t="s">
        <v>40</v>
      </c>
      <c r="J290">
        <v>2</v>
      </c>
      <c r="K290" t="s">
        <v>41</v>
      </c>
      <c r="L290" t="s">
        <v>42</v>
      </c>
      <c r="M290" t="s">
        <v>43</v>
      </c>
      <c r="N290" s="7">
        <v>1</v>
      </c>
      <c r="O290" s="8">
        <v>45528.57539351852</v>
      </c>
      <c r="P290" s="9">
        <v>45529</v>
      </c>
      <c r="Q290" t="s">
        <v>44</v>
      </c>
      <c r="R290" t="s">
        <v>45</v>
      </c>
      <c r="S290" t="s">
        <v>46</v>
      </c>
      <c r="T290" t="s">
        <v>151</v>
      </c>
      <c r="U290" t="s">
        <v>955</v>
      </c>
      <c r="V290">
        <v>75150</v>
      </c>
      <c r="W290" t="s">
        <v>45</v>
      </c>
      <c r="X290" t="s">
        <v>289</v>
      </c>
      <c r="Y290" t="s">
        <v>50</v>
      </c>
      <c r="Z290" s="10">
        <f t="shared" si="22"/>
        <v>9</v>
      </c>
      <c r="AA290" s="11">
        <v>0</v>
      </c>
      <c r="AB290" s="11">
        <v>-2</v>
      </c>
      <c r="AC290" s="11">
        <v>0</v>
      </c>
      <c r="AD290" s="11">
        <v>0</v>
      </c>
      <c r="AE290" s="11">
        <v>0</v>
      </c>
      <c r="AF290" s="11">
        <f t="shared" si="23"/>
        <v>0.42</v>
      </c>
      <c r="AG290" s="11">
        <f t="shared" si="24"/>
        <v>7.42</v>
      </c>
      <c r="AH290" t="s">
        <v>51</v>
      </c>
    </row>
    <row r="291" spans="1:34" ht="15" customHeight="1" x14ac:dyDescent="0.25">
      <c r="A291">
        <v>7547676</v>
      </c>
      <c r="B291" t="s">
        <v>34</v>
      </c>
      <c r="C291" t="s">
        <v>35</v>
      </c>
      <c r="D291" s="6" t="s">
        <v>34</v>
      </c>
      <c r="E291" t="s">
        <v>956</v>
      </c>
      <c r="F291" t="s">
        <v>37</v>
      </c>
      <c r="G291" t="s">
        <v>38</v>
      </c>
      <c r="H291" t="s">
        <v>957</v>
      </c>
      <c r="I291" t="s">
        <v>40</v>
      </c>
      <c r="J291">
        <v>2</v>
      </c>
      <c r="K291" t="s">
        <v>41</v>
      </c>
      <c r="L291" t="s">
        <v>42</v>
      </c>
      <c r="M291" t="s">
        <v>43</v>
      </c>
      <c r="N291" s="7">
        <v>1</v>
      </c>
      <c r="O291" s="8">
        <v>45529.749120370368</v>
      </c>
      <c r="P291" s="9">
        <v>45530</v>
      </c>
      <c r="Q291" t="s">
        <v>44</v>
      </c>
      <c r="R291" t="s">
        <v>45</v>
      </c>
      <c r="S291" t="s">
        <v>46</v>
      </c>
      <c r="T291" t="s">
        <v>72</v>
      </c>
      <c r="U291" t="s">
        <v>958</v>
      </c>
      <c r="V291">
        <v>21300</v>
      </c>
      <c r="W291" t="s">
        <v>45</v>
      </c>
      <c r="X291" t="s">
        <v>139</v>
      </c>
      <c r="Y291" t="s">
        <v>50</v>
      </c>
      <c r="Z291" s="10">
        <f>IF(N291&lt;=1,9,9+0.8*ROUNDUP(N291-1,0))</f>
        <v>9</v>
      </c>
      <c r="AA291" s="11">
        <v>0</v>
      </c>
      <c r="AB291" s="11">
        <v>-2</v>
      </c>
      <c r="AC291" s="11">
        <v>0</v>
      </c>
      <c r="AD291" s="11">
        <v>0</v>
      </c>
      <c r="AE291" s="11">
        <v>0</v>
      </c>
      <c r="AF291" s="11">
        <f t="shared" si="23"/>
        <v>0.42</v>
      </c>
      <c r="AG291" s="11">
        <f t="shared" si="24"/>
        <v>7.42</v>
      </c>
      <c r="AH291" t="s">
        <v>51</v>
      </c>
    </row>
    <row r="292" spans="1:34" ht="15" customHeight="1" x14ac:dyDescent="0.25">
      <c r="A292">
        <v>7547676</v>
      </c>
      <c r="B292" t="s">
        <v>34</v>
      </c>
      <c r="C292" t="s">
        <v>35</v>
      </c>
      <c r="D292" s="6" t="s">
        <v>34</v>
      </c>
      <c r="E292" t="s">
        <v>959</v>
      </c>
      <c r="F292" t="s">
        <v>37</v>
      </c>
      <c r="G292" t="s">
        <v>38</v>
      </c>
      <c r="H292" t="s">
        <v>960</v>
      </c>
      <c r="I292" t="s">
        <v>40</v>
      </c>
      <c r="J292">
        <v>2</v>
      </c>
      <c r="K292" t="s">
        <v>41</v>
      </c>
      <c r="L292" t="s">
        <v>42</v>
      </c>
      <c r="M292" t="s">
        <v>43</v>
      </c>
      <c r="N292" s="7">
        <v>1</v>
      </c>
      <c r="O292" s="8">
        <v>45526.596064814818</v>
      </c>
      <c r="P292" s="9">
        <v>45530</v>
      </c>
      <c r="Q292" t="s">
        <v>44</v>
      </c>
      <c r="R292" t="s">
        <v>45</v>
      </c>
      <c r="S292" t="s">
        <v>46</v>
      </c>
      <c r="T292" t="s">
        <v>116</v>
      </c>
      <c r="U292" t="s">
        <v>961</v>
      </c>
      <c r="V292">
        <v>89600</v>
      </c>
      <c r="W292" t="s">
        <v>118</v>
      </c>
      <c r="X292" t="s">
        <v>962</v>
      </c>
      <c r="Y292" t="s">
        <v>50</v>
      </c>
      <c r="Z292" s="12">
        <f>IF(N292&lt;=1,13,IF(N292&lt;=2,23,IF(N292&lt;=3,35,IF(N292&lt;=4,43,IF(N292&lt;=5,53,IF(N292&lt;=6,63,IF(N292&lt;=7,71,IF(N292&lt;=8,79,IF(N292&lt;=9,87,IF(N292&lt;=10,95,IF(N292&lt;=11,105,IF(N292&lt;=12,114,IF(N292&lt;=13,119,IF(N292&lt;=14,127,IF(N292&lt;=15,135,IF(N292&lt;=16,143,IF(N292&lt;=17,153,IF(N292&lt;=18,163,IF(N292&lt;=19,171,IF(N292&lt;=20,185,IF(N292&lt;=21,193,IF(N292&lt;=22,201,IF(N292&lt;=23,210,IF(N292&lt;=24,220,IF(N292&lt;=25,230,IF(N292&lt;=26,240,IF(N292&lt;=27,250,IF(N292&lt;=28,260,IF(N292&lt;=29,270,IF(N292&lt;=30,280,280+10*ROUNDUP(N292-30,0)))))))))))))))))))))))))))))))</f>
        <v>13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f t="shared" si="23"/>
        <v>0.78</v>
      </c>
      <c r="AG292" s="11">
        <f t="shared" si="24"/>
        <v>13.78</v>
      </c>
      <c r="AH292" t="s">
        <v>119</v>
      </c>
    </row>
    <row r="293" spans="1:34" ht="15" customHeight="1" x14ac:dyDescent="0.25">
      <c r="A293">
        <v>7547676</v>
      </c>
      <c r="B293" t="s">
        <v>34</v>
      </c>
      <c r="C293" t="s">
        <v>35</v>
      </c>
      <c r="D293" s="6" t="s">
        <v>34</v>
      </c>
      <c r="E293" t="s">
        <v>963</v>
      </c>
      <c r="F293" t="s">
        <v>37</v>
      </c>
      <c r="G293" t="s">
        <v>38</v>
      </c>
      <c r="H293" t="s">
        <v>964</v>
      </c>
      <c r="I293" t="s">
        <v>40</v>
      </c>
      <c r="J293">
        <v>2</v>
      </c>
      <c r="K293" t="s">
        <v>41</v>
      </c>
      <c r="L293" t="s">
        <v>42</v>
      </c>
      <c r="M293" t="s">
        <v>43</v>
      </c>
      <c r="N293" s="7">
        <v>3</v>
      </c>
      <c r="O293" s="8">
        <v>45527.767291666663</v>
      </c>
      <c r="P293" s="9">
        <v>45530</v>
      </c>
      <c r="Q293" t="s">
        <v>44</v>
      </c>
      <c r="R293" t="s">
        <v>45</v>
      </c>
      <c r="S293" t="s">
        <v>46</v>
      </c>
      <c r="T293" t="s">
        <v>54</v>
      </c>
      <c r="U293" t="s">
        <v>965</v>
      </c>
      <c r="V293">
        <v>81700</v>
      </c>
      <c r="W293" t="s">
        <v>45</v>
      </c>
      <c r="X293" t="s">
        <v>69</v>
      </c>
      <c r="Y293" t="s">
        <v>50</v>
      </c>
      <c r="Z293" s="10">
        <f t="shared" ref="Z293:Z341" si="25">IF(N293&lt;=1,9,9+0.8*ROUNDUP(N293-1,0))</f>
        <v>10.6</v>
      </c>
      <c r="AA293" s="11">
        <v>0</v>
      </c>
      <c r="AB293" s="11">
        <v>-2</v>
      </c>
      <c r="AC293" s="11">
        <v>0</v>
      </c>
      <c r="AD293" s="11">
        <v>0</v>
      </c>
      <c r="AE293" s="11">
        <v>0</v>
      </c>
      <c r="AF293" s="11">
        <f t="shared" si="23"/>
        <v>0.51600000000000001</v>
      </c>
      <c r="AG293" s="11">
        <f t="shared" si="24"/>
        <v>9.1159999999999997</v>
      </c>
      <c r="AH293" t="s">
        <v>51</v>
      </c>
    </row>
    <row r="294" spans="1:34" ht="15" customHeight="1" x14ac:dyDescent="0.25">
      <c r="A294">
        <v>7547676</v>
      </c>
      <c r="B294" t="s">
        <v>34</v>
      </c>
      <c r="C294" t="s">
        <v>35</v>
      </c>
      <c r="D294" s="6" t="s">
        <v>34</v>
      </c>
      <c r="E294" t="s">
        <v>966</v>
      </c>
      <c r="F294" t="s">
        <v>37</v>
      </c>
      <c r="G294" t="s">
        <v>38</v>
      </c>
      <c r="H294" t="s">
        <v>967</v>
      </c>
      <c r="I294" t="s">
        <v>40</v>
      </c>
      <c r="J294">
        <v>2</v>
      </c>
      <c r="K294" t="s">
        <v>41</v>
      </c>
      <c r="L294" t="s">
        <v>42</v>
      </c>
      <c r="M294" t="s">
        <v>43</v>
      </c>
      <c r="N294" s="7">
        <v>1</v>
      </c>
      <c r="O294" s="8">
        <v>45528.826168981483</v>
      </c>
      <c r="P294" s="9">
        <v>45530</v>
      </c>
      <c r="Q294" t="s">
        <v>44</v>
      </c>
      <c r="R294" t="s">
        <v>45</v>
      </c>
      <c r="S294" t="s">
        <v>46</v>
      </c>
      <c r="T294" t="s">
        <v>223</v>
      </c>
      <c r="U294" t="s">
        <v>968</v>
      </c>
      <c r="V294">
        <v>25150</v>
      </c>
      <c r="W294" t="s">
        <v>45</v>
      </c>
      <c r="X294" t="s">
        <v>225</v>
      </c>
      <c r="Y294" t="s">
        <v>50</v>
      </c>
      <c r="Z294" s="10">
        <f t="shared" si="25"/>
        <v>9</v>
      </c>
      <c r="AA294" s="11">
        <v>0</v>
      </c>
      <c r="AB294" s="11">
        <v>-2</v>
      </c>
      <c r="AC294" s="11">
        <v>0</v>
      </c>
      <c r="AD294" s="11">
        <v>0</v>
      </c>
      <c r="AE294" s="11">
        <v>0</v>
      </c>
      <c r="AF294" s="11">
        <f t="shared" si="23"/>
        <v>0.42</v>
      </c>
      <c r="AG294" s="11">
        <f t="shared" si="24"/>
        <v>7.42</v>
      </c>
      <c r="AH294" t="s">
        <v>51</v>
      </c>
    </row>
    <row r="295" spans="1:34" ht="15" customHeight="1" x14ac:dyDescent="0.25">
      <c r="A295">
        <v>7547676</v>
      </c>
      <c r="B295" t="s">
        <v>34</v>
      </c>
      <c r="C295" t="s">
        <v>35</v>
      </c>
      <c r="D295" s="6" t="s">
        <v>34</v>
      </c>
      <c r="E295" t="s">
        <v>969</v>
      </c>
      <c r="F295" t="s">
        <v>37</v>
      </c>
      <c r="G295" t="s">
        <v>38</v>
      </c>
      <c r="H295" t="s">
        <v>970</v>
      </c>
      <c r="I295" t="s">
        <v>40</v>
      </c>
      <c r="J295">
        <v>2</v>
      </c>
      <c r="K295" t="s">
        <v>41</v>
      </c>
      <c r="L295" t="s">
        <v>42</v>
      </c>
      <c r="M295" t="s">
        <v>43</v>
      </c>
      <c r="N295" s="7">
        <v>1</v>
      </c>
      <c r="O295" s="8">
        <v>45529.73951388889</v>
      </c>
      <c r="P295" s="9">
        <v>45530</v>
      </c>
      <c r="Q295" t="s">
        <v>44</v>
      </c>
      <c r="R295" t="s">
        <v>45</v>
      </c>
      <c r="S295" t="s">
        <v>46</v>
      </c>
      <c r="T295" t="s">
        <v>72</v>
      </c>
      <c r="U295" t="s">
        <v>971</v>
      </c>
      <c r="V295">
        <v>20050</v>
      </c>
      <c r="W295" t="s">
        <v>45</v>
      </c>
      <c r="X295" t="s">
        <v>139</v>
      </c>
      <c r="Y295" t="s">
        <v>50</v>
      </c>
      <c r="Z295" s="10">
        <f t="shared" si="25"/>
        <v>9</v>
      </c>
      <c r="AA295" s="11">
        <v>0</v>
      </c>
      <c r="AB295" s="11">
        <v>-2</v>
      </c>
      <c r="AC295" s="11">
        <v>0</v>
      </c>
      <c r="AD295" s="11">
        <v>0</v>
      </c>
      <c r="AE295" s="11">
        <v>0</v>
      </c>
      <c r="AF295" s="11">
        <f t="shared" si="23"/>
        <v>0.42</v>
      </c>
      <c r="AG295" s="11">
        <f t="shared" si="24"/>
        <v>7.42</v>
      </c>
      <c r="AH295" t="s">
        <v>51</v>
      </c>
    </row>
    <row r="296" spans="1:34" ht="15" customHeight="1" x14ac:dyDescent="0.25">
      <c r="A296">
        <v>7547676</v>
      </c>
      <c r="B296" t="s">
        <v>34</v>
      </c>
      <c r="C296" t="s">
        <v>35</v>
      </c>
      <c r="D296" s="6" t="s">
        <v>34</v>
      </c>
      <c r="E296" t="s">
        <v>972</v>
      </c>
      <c r="F296" t="s">
        <v>37</v>
      </c>
      <c r="G296" t="s">
        <v>38</v>
      </c>
      <c r="H296" t="s">
        <v>973</v>
      </c>
      <c r="I296" t="s">
        <v>40</v>
      </c>
      <c r="J296">
        <v>2</v>
      </c>
      <c r="K296" t="s">
        <v>41</v>
      </c>
      <c r="L296" t="s">
        <v>42</v>
      </c>
      <c r="M296" t="s">
        <v>43</v>
      </c>
      <c r="N296" s="7">
        <v>2</v>
      </c>
      <c r="O296" s="8">
        <v>45528.677037037036</v>
      </c>
      <c r="P296" s="9">
        <v>45530</v>
      </c>
      <c r="Q296" t="s">
        <v>44</v>
      </c>
      <c r="R296" t="s">
        <v>45</v>
      </c>
      <c r="S296" t="s">
        <v>46</v>
      </c>
      <c r="T296" t="s">
        <v>47</v>
      </c>
      <c r="U296" t="s">
        <v>974</v>
      </c>
      <c r="V296">
        <v>31450</v>
      </c>
      <c r="W296" t="s">
        <v>45</v>
      </c>
      <c r="X296" t="s">
        <v>89</v>
      </c>
      <c r="Y296" t="s">
        <v>50</v>
      </c>
      <c r="Z296" s="10">
        <f t="shared" si="25"/>
        <v>9.8000000000000007</v>
      </c>
      <c r="AA296" s="11">
        <v>0</v>
      </c>
      <c r="AB296" s="11">
        <v>-2</v>
      </c>
      <c r="AC296" s="11">
        <v>0</v>
      </c>
      <c r="AD296" s="11">
        <v>0</v>
      </c>
      <c r="AE296" s="11">
        <v>0</v>
      </c>
      <c r="AF296" s="11">
        <f t="shared" si="23"/>
        <v>0.46800000000000003</v>
      </c>
      <c r="AG296" s="11">
        <f t="shared" si="24"/>
        <v>8.2680000000000007</v>
      </c>
      <c r="AH296" t="s">
        <v>51</v>
      </c>
    </row>
    <row r="297" spans="1:34" ht="15" customHeight="1" x14ac:dyDescent="0.25">
      <c r="A297">
        <v>7547676</v>
      </c>
      <c r="B297" t="s">
        <v>34</v>
      </c>
      <c r="C297" t="s">
        <v>35</v>
      </c>
      <c r="D297" s="6" t="s">
        <v>34</v>
      </c>
      <c r="E297" t="s">
        <v>975</v>
      </c>
      <c r="F297" t="s">
        <v>37</v>
      </c>
      <c r="G297" t="s">
        <v>38</v>
      </c>
      <c r="H297" t="s">
        <v>976</v>
      </c>
      <c r="I297" t="s">
        <v>40</v>
      </c>
      <c r="J297">
        <v>2</v>
      </c>
      <c r="K297" t="s">
        <v>41</v>
      </c>
      <c r="L297" t="s">
        <v>42</v>
      </c>
      <c r="M297" t="s">
        <v>43</v>
      </c>
      <c r="N297" s="7">
        <v>1</v>
      </c>
      <c r="O297" s="8">
        <v>45529.73951388889</v>
      </c>
      <c r="P297" s="9">
        <v>45530</v>
      </c>
      <c r="Q297" t="s">
        <v>44</v>
      </c>
      <c r="R297" t="s">
        <v>45</v>
      </c>
      <c r="S297" t="s">
        <v>46</v>
      </c>
      <c r="T297" t="s">
        <v>92</v>
      </c>
      <c r="U297" t="s">
        <v>977</v>
      </c>
      <c r="V297">
        <v>42300</v>
      </c>
      <c r="W297" t="s">
        <v>45</v>
      </c>
      <c r="X297" t="s">
        <v>520</v>
      </c>
      <c r="Y297" t="s">
        <v>50</v>
      </c>
      <c r="Z297" s="10">
        <f t="shared" si="25"/>
        <v>9</v>
      </c>
      <c r="AA297" s="11">
        <v>0</v>
      </c>
      <c r="AB297" s="11">
        <v>-2</v>
      </c>
      <c r="AC297" s="11">
        <v>0</v>
      </c>
      <c r="AD297" s="11">
        <v>0</v>
      </c>
      <c r="AE297" s="11">
        <v>0</v>
      </c>
      <c r="AF297" s="11">
        <f t="shared" si="23"/>
        <v>0.42</v>
      </c>
      <c r="AG297" s="11">
        <f t="shared" si="24"/>
        <v>7.42</v>
      </c>
      <c r="AH297" t="s">
        <v>51</v>
      </c>
    </row>
    <row r="298" spans="1:34" ht="15" customHeight="1" x14ac:dyDescent="0.25">
      <c r="A298">
        <v>7547676</v>
      </c>
      <c r="B298" t="s">
        <v>34</v>
      </c>
      <c r="C298" t="s">
        <v>35</v>
      </c>
      <c r="D298" s="6" t="s">
        <v>34</v>
      </c>
      <c r="E298" t="s">
        <v>978</v>
      </c>
      <c r="F298" t="s">
        <v>37</v>
      </c>
      <c r="G298" t="s">
        <v>38</v>
      </c>
      <c r="H298" t="s">
        <v>979</v>
      </c>
      <c r="I298" t="s">
        <v>40</v>
      </c>
      <c r="J298">
        <v>2</v>
      </c>
      <c r="K298" t="s">
        <v>41</v>
      </c>
      <c r="L298" t="s">
        <v>42</v>
      </c>
      <c r="M298" t="s">
        <v>43</v>
      </c>
      <c r="N298" s="7">
        <v>1</v>
      </c>
      <c r="O298" s="8">
        <v>45529.445416666669</v>
      </c>
      <c r="P298" s="9">
        <v>45530</v>
      </c>
      <c r="Q298" t="s">
        <v>44</v>
      </c>
      <c r="R298" t="s">
        <v>45</v>
      </c>
      <c r="S298" t="s">
        <v>46</v>
      </c>
      <c r="T298" t="s">
        <v>92</v>
      </c>
      <c r="U298" t="s">
        <v>980</v>
      </c>
      <c r="V298">
        <v>47000</v>
      </c>
      <c r="W298" t="s">
        <v>45</v>
      </c>
      <c r="X298" t="s">
        <v>69</v>
      </c>
      <c r="Y298" t="s">
        <v>50</v>
      </c>
      <c r="Z298" s="10">
        <f t="shared" si="25"/>
        <v>9</v>
      </c>
      <c r="AA298" s="11">
        <v>0</v>
      </c>
      <c r="AB298" s="11">
        <v>-2</v>
      </c>
      <c r="AC298" s="11">
        <v>0</v>
      </c>
      <c r="AD298" s="11">
        <v>0</v>
      </c>
      <c r="AE298" s="11">
        <v>0</v>
      </c>
      <c r="AF298" s="11">
        <f t="shared" si="23"/>
        <v>0.42</v>
      </c>
      <c r="AG298" s="11">
        <f t="shared" si="24"/>
        <v>7.42</v>
      </c>
      <c r="AH298" t="s">
        <v>51</v>
      </c>
    </row>
    <row r="299" spans="1:34" ht="15" customHeight="1" x14ac:dyDescent="0.25">
      <c r="A299">
        <v>7547676</v>
      </c>
      <c r="B299" t="s">
        <v>34</v>
      </c>
      <c r="C299" t="s">
        <v>35</v>
      </c>
      <c r="D299" s="6" t="s">
        <v>34</v>
      </c>
      <c r="E299" t="s">
        <v>981</v>
      </c>
      <c r="F299" t="s">
        <v>37</v>
      </c>
      <c r="G299" t="s">
        <v>38</v>
      </c>
      <c r="H299" t="s">
        <v>982</v>
      </c>
      <c r="I299" t="s">
        <v>40</v>
      </c>
      <c r="J299">
        <v>2</v>
      </c>
      <c r="K299" t="s">
        <v>41</v>
      </c>
      <c r="L299" t="s">
        <v>42</v>
      </c>
      <c r="M299" t="s">
        <v>43</v>
      </c>
      <c r="N299" s="7">
        <v>1</v>
      </c>
      <c r="O299" s="8">
        <v>45528.410636574074</v>
      </c>
      <c r="P299" s="9">
        <v>45530</v>
      </c>
      <c r="Q299" t="s">
        <v>44</v>
      </c>
      <c r="R299" t="s">
        <v>45</v>
      </c>
      <c r="S299" t="s">
        <v>46</v>
      </c>
      <c r="T299" t="s">
        <v>47</v>
      </c>
      <c r="U299" t="s">
        <v>983</v>
      </c>
      <c r="V299">
        <v>31400</v>
      </c>
      <c r="W299" t="s">
        <v>45</v>
      </c>
      <c r="X299" t="s">
        <v>89</v>
      </c>
      <c r="Y299" t="s">
        <v>50</v>
      </c>
      <c r="Z299" s="10">
        <f t="shared" si="25"/>
        <v>9</v>
      </c>
      <c r="AA299" s="11">
        <v>0</v>
      </c>
      <c r="AB299" s="11">
        <v>-2</v>
      </c>
      <c r="AC299" s="11">
        <v>0</v>
      </c>
      <c r="AD299" s="11">
        <v>0</v>
      </c>
      <c r="AE299" s="11">
        <v>0</v>
      </c>
      <c r="AF299" s="11">
        <f t="shared" si="23"/>
        <v>0.42</v>
      </c>
      <c r="AG299" s="11">
        <f t="shared" si="24"/>
        <v>7.42</v>
      </c>
      <c r="AH299" t="s">
        <v>51</v>
      </c>
    </row>
    <row r="300" spans="1:34" ht="15" customHeight="1" x14ac:dyDescent="0.25">
      <c r="A300">
        <v>7547676</v>
      </c>
      <c r="B300" t="s">
        <v>34</v>
      </c>
      <c r="C300" t="s">
        <v>35</v>
      </c>
      <c r="D300" s="6" t="s">
        <v>34</v>
      </c>
      <c r="E300" t="s">
        <v>984</v>
      </c>
      <c r="F300" t="s">
        <v>37</v>
      </c>
      <c r="G300" t="s">
        <v>38</v>
      </c>
      <c r="H300" t="s">
        <v>985</v>
      </c>
      <c r="I300" t="s">
        <v>40</v>
      </c>
      <c r="J300">
        <v>2</v>
      </c>
      <c r="K300" t="s">
        <v>41</v>
      </c>
      <c r="L300" t="s">
        <v>42</v>
      </c>
      <c r="M300" t="s">
        <v>43</v>
      </c>
      <c r="N300" s="7">
        <v>1</v>
      </c>
      <c r="O300" s="8">
        <v>45528.416608796295</v>
      </c>
      <c r="P300" s="9">
        <v>45530</v>
      </c>
      <c r="Q300" t="s">
        <v>44</v>
      </c>
      <c r="R300" t="s">
        <v>45</v>
      </c>
      <c r="S300" t="s">
        <v>46</v>
      </c>
      <c r="T300" t="s">
        <v>47</v>
      </c>
      <c r="U300" t="s">
        <v>986</v>
      </c>
      <c r="V300">
        <v>31950</v>
      </c>
      <c r="W300" t="s">
        <v>45</v>
      </c>
      <c r="X300" t="s">
        <v>49</v>
      </c>
      <c r="Y300" t="s">
        <v>50</v>
      </c>
      <c r="Z300" s="10">
        <f t="shared" si="25"/>
        <v>9</v>
      </c>
      <c r="AA300" s="11">
        <v>0</v>
      </c>
      <c r="AB300" s="11">
        <v>-2</v>
      </c>
      <c r="AC300" s="11">
        <v>0</v>
      </c>
      <c r="AD300" s="11">
        <v>0</v>
      </c>
      <c r="AE300" s="11">
        <v>0</v>
      </c>
      <c r="AF300" s="11">
        <f t="shared" si="23"/>
        <v>0.42</v>
      </c>
      <c r="AG300" s="11">
        <f t="shared" si="24"/>
        <v>7.42</v>
      </c>
      <c r="AH300" t="s">
        <v>51</v>
      </c>
    </row>
    <row r="301" spans="1:34" ht="15" customHeight="1" x14ac:dyDescent="0.25">
      <c r="A301">
        <v>7547676</v>
      </c>
      <c r="B301" t="s">
        <v>34</v>
      </c>
      <c r="C301" t="s">
        <v>35</v>
      </c>
      <c r="D301" s="6" t="s">
        <v>34</v>
      </c>
      <c r="E301" t="s">
        <v>987</v>
      </c>
      <c r="F301" t="s">
        <v>37</v>
      </c>
      <c r="G301" t="s">
        <v>38</v>
      </c>
      <c r="H301" t="s">
        <v>988</v>
      </c>
      <c r="I301" t="s">
        <v>40</v>
      </c>
      <c r="J301">
        <v>2</v>
      </c>
      <c r="K301" t="s">
        <v>41</v>
      </c>
      <c r="L301" t="s">
        <v>42</v>
      </c>
      <c r="M301" t="s">
        <v>43</v>
      </c>
      <c r="N301" s="7">
        <v>1</v>
      </c>
      <c r="O301" s="8">
        <v>45528.413321759261</v>
      </c>
      <c r="P301" s="9">
        <v>45530</v>
      </c>
      <c r="Q301" t="s">
        <v>44</v>
      </c>
      <c r="R301" t="s">
        <v>45</v>
      </c>
      <c r="S301" t="s">
        <v>46</v>
      </c>
      <c r="T301" t="s">
        <v>54</v>
      </c>
      <c r="U301" t="s">
        <v>989</v>
      </c>
      <c r="V301">
        <v>81500</v>
      </c>
      <c r="W301" t="s">
        <v>45</v>
      </c>
      <c r="X301" t="s">
        <v>56</v>
      </c>
      <c r="Y301" t="s">
        <v>50</v>
      </c>
      <c r="Z301" s="10">
        <f t="shared" si="25"/>
        <v>9</v>
      </c>
      <c r="AA301" s="11">
        <v>0</v>
      </c>
      <c r="AB301" s="11">
        <v>-2</v>
      </c>
      <c r="AC301" s="11">
        <v>0</v>
      </c>
      <c r="AD301" s="11">
        <v>0</v>
      </c>
      <c r="AE301" s="11">
        <v>0</v>
      </c>
      <c r="AF301" s="11">
        <f t="shared" si="23"/>
        <v>0.42</v>
      </c>
      <c r="AG301" s="11">
        <f t="shared" si="24"/>
        <v>7.42</v>
      </c>
      <c r="AH301" t="s">
        <v>51</v>
      </c>
    </row>
    <row r="302" spans="1:34" ht="15" customHeight="1" x14ac:dyDescent="0.25">
      <c r="A302">
        <v>7547676</v>
      </c>
      <c r="B302" t="s">
        <v>34</v>
      </c>
      <c r="C302" t="s">
        <v>35</v>
      </c>
      <c r="D302" s="6" t="s">
        <v>34</v>
      </c>
      <c r="E302" t="s">
        <v>990</v>
      </c>
      <c r="F302" t="s">
        <v>37</v>
      </c>
      <c r="G302" t="s">
        <v>38</v>
      </c>
      <c r="H302" t="s">
        <v>991</v>
      </c>
      <c r="I302" t="s">
        <v>40</v>
      </c>
      <c r="J302">
        <v>2</v>
      </c>
      <c r="K302" t="s">
        <v>41</v>
      </c>
      <c r="L302" t="s">
        <v>42</v>
      </c>
      <c r="M302" t="s">
        <v>43</v>
      </c>
      <c r="N302" s="7">
        <v>1</v>
      </c>
      <c r="O302" s="8">
        <v>45528.677048611113</v>
      </c>
      <c r="P302" s="9">
        <v>45530</v>
      </c>
      <c r="Q302" t="s">
        <v>44</v>
      </c>
      <c r="R302" t="s">
        <v>45</v>
      </c>
      <c r="S302" t="s">
        <v>46</v>
      </c>
      <c r="T302" t="s">
        <v>92</v>
      </c>
      <c r="U302" t="s">
        <v>992</v>
      </c>
      <c r="V302">
        <v>47170</v>
      </c>
      <c r="W302" t="s">
        <v>45</v>
      </c>
      <c r="X302" t="s">
        <v>993</v>
      </c>
      <c r="Y302" t="s">
        <v>50</v>
      </c>
      <c r="Z302" s="10">
        <f t="shared" si="25"/>
        <v>9</v>
      </c>
      <c r="AA302" s="11">
        <v>0</v>
      </c>
      <c r="AB302" s="11">
        <v>-2</v>
      </c>
      <c r="AC302" s="11">
        <v>0</v>
      </c>
      <c r="AD302" s="11">
        <v>0</v>
      </c>
      <c r="AE302" s="11">
        <v>0</v>
      </c>
      <c r="AF302" s="11">
        <f t="shared" si="23"/>
        <v>0.42</v>
      </c>
      <c r="AG302" s="11">
        <f t="shared" si="24"/>
        <v>7.42</v>
      </c>
      <c r="AH302" t="s">
        <v>51</v>
      </c>
    </row>
    <row r="303" spans="1:34" ht="15" customHeight="1" x14ac:dyDescent="0.25">
      <c r="A303">
        <v>7547676</v>
      </c>
      <c r="B303" t="s">
        <v>34</v>
      </c>
      <c r="C303" t="s">
        <v>35</v>
      </c>
      <c r="D303" s="6" t="s">
        <v>34</v>
      </c>
      <c r="E303" t="s">
        <v>994</v>
      </c>
      <c r="F303" t="s">
        <v>37</v>
      </c>
      <c r="G303" t="s">
        <v>38</v>
      </c>
      <c r="H303" t="s">
        <v>995</v>
      </c>
      <c r="I303" t="s">
        <v>40</v>
      </c>
      <c r="J303">
        <v>2</v>
      </c>
      <c r="K303" t="s">
        <v>41</v>
      </c>
      <c r="L303" t="s">
        <v>42</v>
      </c>
      <c r="M303" t="s">
        <v>43</v>
      </c>
      <c r="N303" s="7">
        <v>5</v>
      </c>
      <c r="O303" s="8">
        <v>45529.423379629632</v>
      </c>
      <c r="P303" s="9">
        <v>45530</v>
      </c>
      <c r="Q303" t="s">
        <v>44</v>
      </c>
      <c r="R303" t="s">
        <v>45</v>
      </c>
      <c r="S303" t="s">
        <v>46</v>
      </c>
      <c r="T303" t="s">
        <v>146</v>
      </c>
      <c r="U303" t="s">
        <v>996</v>
      </c>
      <c r="V303">
        <v>56000</v>
      </c>
      <c r="W303" t="s">
        <v>45</v>
      </c>
      <c r="X303" t="s">
        <v>260</v>
      </c>
      <c r="Y303" t="s">
        <v>50</v>
      </c>
      <c r="Z303" s="10">
        <f t="shared" si="25"/>
        <v>12.2</v>
      </c>
      <c r="AA303" s="11">
        <v>0</v>
      </c>
      <c r="AB303" s="11">
        <v>-2</v>
      </c>
      <c r="AC303" s="11">
        <v>0</v>
      </c>
      <c r="AD303" s="11">
        <v>0</v>
      </c>
      <c r="AE303" s="11">
        <v>0</v>
      </c>
      <c r="AF303" s="11">
        <f t="shared" si="23"/>
        <v>0.61199999999999999</v>
      </c>
      <c r="AG303" s="11">
        <f t="shared" si="24"/>
        <v>10.811999999999999</v>
      </c>
      <c r="AH303" t="s">
        <v>51</v>
      </c>
    </row>
    <row r="304" spans="1:34" ht="15" customHeight="1" x14ac:dyDescent="0.25">
      <c r="A304">
        <v>7547676</v>
      </c>
      <c r="B304" t="s">
        <v>34</v>
      </c>
      <c r="C304" t="s">
        <v>35</v>
      </c>
      <c r="D304" s="6" t="s">
        <v>34</v>
      </c>
      <c r="E304" t="s">
        <v>997</v>
      </c>
      <c r="F304" t="s">
        <v>37</v>
      </c>
      <c r="G304" t="s">
        <v>38</v>
      </c>
      <c r="H304" t="s">
        <v>998</v>
      </c>
      <c r="I304" t="s">
        <v>40</v>
      </c>
      <c r="J304">
        <v>2</v>
      </c>
      <c r="K304" t="s">
        <v>41</v>
      </c>
      <c r="L304" t="s">
        <v>42</v>
      </c>
      <c r="M304" t="s">
        <v>43</v>
      </c>
      <c r="N304" s="7">
        <v>2</v>
      </c>
      <c r="O304" s="8">
        <v>45529.711412037039</v>
      </c>
      <c r="P304" s="9">
        <v>45530</v>
      </c>
      <c r="Q304" t="s">
        <v>44</v>
      </c>
      <c r="R304" t="s">
        <v>45</v>
      </c>
      <c r="S304" t="s">
        <v>46</v>
      </c>
      <c r="T304" t="s">
        <v>92</v>
      </c>
      <c r="U304" t="s">
        <v>999</v>
      </c>
      <c r="V304">
        <v>41200</v>
      </c>
      <c r="W304" t="s">
        <v>45</v>
      </c>
      <c r="X304" t="s">
        <v>69</v>
      </c>
      <c r="Y304" t="s">
        <v>50</v>
      </c>
      <c r="Z304" s="10">
        <f t="shared" si="25"/>
        <v>9.8000000000000007</v>
      </c>
      <c r="AA304" s="11">
        <v>0</v>
      </c>
      <c r="AB304" s="11">
        <v>-2</v>
      </c>
      <c r="AC304" s="11">
        <v>0</v>
      </c>
      <c r="AD304" s="11">
        <v>0</v>
      </c>
      <c r="AE304" s="11">
        <v>0</v>
      </c>
      <c r="AF304" s="11">
        <f t="shared" si="23"/>
        <v>0.46800000000000003</v>
      </c>
      <c r="AG304" s="11">
        <f t="shared" si="24"/>
        <v>8.2680000000000007</v>
      </c>
      <c r="AH304" t="s">
        <v>51</v>
      </c>
    </row>
    <row r="305" spans="1:34" ht="15" customHeight="1" x14ac:dyDescent="0.25">
      <c r="A305">
        <v>7547676</v>
      </c>
      <c r="B305" t="s">
        <v>34</v>
      </c>
      <c r="C305" t="s">
        <v>35</v>
      </c>
      <c r="D305" s="6" t="s">
        <v>34</v>
      </c>
      <c r="E305" t="s">
        <v>1000</v>
      </c>
      <c r="F305" t="s">
        <v>37</v>
      </c>
      <c r="G305" t="s">
        <v>38</v>
      </c>
      <c r="H305" t="s">
        <v>1001</v>
      </c>
      <c r="I305" t="s">
        <v>40</v>
      </c>
      <c r="J305">
        <v>2</v>
      </c>
      <c r="K305" t="s">
        <v>41</v>
      </c>
      <c r="L305" t="s">
        <v>42</v>
      </c>
      <c r="M305" t="s">
        <v>43</v>
      </c>
      <c r="N305" s="7">
        <v>1</v>
      </c>
      <c r="O305" s="8">
        <v>45525.745092592595</v>
      </c>
      <c r="P305" s="9">
        <v>45530</v>
      </c>
      <c r="Q305" t="s">
        <v>44</v>
      </c>
      <c r="R305" t="s">
        <v>45</v>
      </c>
      <c r="S305" t="s">
        <v>46</v>
      </c>
      <c r="T305" t="s">
        <v>54</v>
      </c>
      <c r="U305" t="s">
        <v>1002</v>
      </c>
      <c r="V305">
        <v>81100</v>
      </c>
      <c r="W305" t="s">
        <v>45</v>
      </c>
      <c r="X305" t="s">
        <v>370</v>
      </c>
      <c r="Y305" t="s">
        <v>50</v>
      </c>
      <c r="Z305" s="10">
        <f t="shared" si="25"/>
        <v>9</v>
      </c>
      <c r="AA305" s="11">
        <v>0</v>
      </c>
      <c r="AB305" s="11">
        <v>-2</v>
      </c>
      <c r="AC305" s="11">
        <v>0</v>
      </c>
      <c r="AD305" s="11">
        <v>0</v>
      </c>
      <c r="AE305" s="11">
        <v>0</v>
      </c>
      <c r="AF305" s="11">
        <f t="shared" si="23"/>
        <v>0.42</v>
      </c>
      <c r="AG305" s="11">
        <f t="shared" si="24"/>
        <v>7.42</v>
      </c>
      <c r="AH305" t="s">
        <v>51</v>
      </c>
    </row>
    <row r="306" spans="1:34" ht="15" customHeight="1" x14ac:dyDescent="0.25">
      <c r="A306">
        <v>7547676</v>
      </c>
      <c r="B306" t="s">
        <v>34</v>
      </c>
      <c r="C306" t="s">
        <v>35</v>
      </c>
      <c r="D306" s="6" t="s">
        <v>34</v>
      </c>
      <c r="E306" t="s">
        <v>1003</v>
      </c>
      <c r="F306" t="s">
        <v>37</v>
      </c>
      <c r="G306" t="s">
        <v>38</v>
      </c>
      <c r="H306" t="s">
        <v>425</v>
      </c>
      <c r="I306" t="s">
        <v>40</v>
      </c>
      <c r="J306">
        <v>2</v>
      </c>
      <c r="K306" t="s">
        <v>41</v>
      </c>
      <c r="L306" t="s">
        <v>42</v>
      </c>
      <c r="M306" t="s">
        <v>43</v>
      </c>
      <c r="N306" s="7">
        <v>5</v>
      </c>
      <c r="O306" s="8">
        <v>45528.467395833337</v>
      </c>
      <c r="P306" s="9">
        <v>45530</v>
      </c>
      <c r="Q306" t="s">
        <v>44</v>
      </c>
      <c r="R306" t="s">
        <v>45</v>
      </c>
      <c r="S306" t="s">
        <v>46</v>
      </c>
      <c r="T306" t="s">
        <v>223</v>
      </c>
      <c r="U306" t="s">
        <v>1004</v>
      </c>
      <c r="V306">
        <v>39100</v>
      </c>
      <c r="W306" t="s">
        <v>45</v>
      </c>
      <c r="X306" t="s">
        <v>427</v>
      </c>
      <c r="Y306" t="s">
        <v>50</v>
      </c>
      <c r="Z306" s="10">
        <f t="shared" si="25"/>
        <v>12.2</v>
      </c>
      <c r="AA306" s="11">
        <v>0</v>
      </c>
      <c r="AB306" s="11">
        <v>-2</v>
      </c>
      <c r="AC306" s="11">
        <v>0</v>
      </c>
      <c r="AD306" s="11">
        <v>0</v>
      </c>
      <c r="AE306" s="11">
        <v>0</v>
      </c>
      <c r="AF306" s="11">
        <f t="shared" si="23"/>
        <v>0.61199999999999999</v>
      </c>
      <c r="AG306" s="11">
        <f t="shared" si="24"/>
        <v>10.811999999999999</v>
      </c>
      <c r="AH306" t="s">
        <v>51</v>
      </c>
    </row>
    <row r="307" spans="1:34" ht="15" customHeight="1" x14ac:dyDescent="0.25">
      <c r="A307">
        <v>7547676</v>
      </c>
      <c r="B307" t="s">
        <v>34</v>
      </c>
      <c r="C307" t="s">
        <v>35</v>
      </c>
      <c r="D307" s="6" t="s">
        <v>34</v>
      </c>
      <c r="E307" t="s">
        <v>1005</v>
      </c>
      <c r="F307" t="s">
        <v>37</v>
      </c>
      <c r="G307" t="s">
        <v>38</v>
      </c>
      <c r="H307" t="s">
        <v>425</v>
      </c>
      <c r="I307" t="s">
        <v>40</v>
      </c>
      <c r="J307">
        <v>2</v>
      </c>
      <c r="K307" t="s">
        <v>41</v>
      </c>
      <c r="L307" t="s">
        <v>42</v>
      </c>
      <c r="M307" t="s">
        <v>43</v>
      </c>
      <c r="N307" s="7">
        <v>8</v>
      </c>
      <c r="O307" s="8">
        <v>45528.467395833337</v>
      </c>
      <c r="P307" s="9">
        <v>45530</v>
      </c>
      <c r="Q307" t="s">
        <v>44</v>
      </c>
      <c r="R307" t="s">
        <v>45</v>
      </c>
      <c r="S307" t="s">
        <v>46</v>
      </c>
      <c r="T307" t="s">
        <v>223</v>
      </c>
      <c r="U307" t="s">
        <v>1004</v>
      </c>
      <c r="V307">
        <v>39100</v>
      </c>
      <c r="W307" t="s">
        <v>45</v>
      </c>
      <c r="X307" t="s">
        <v>427</v>
      </c>
      <c r="Y307" t="s">
        <v>50</v>
      </c>
      <c r="Z307" s="10">
        <f t="shared" si="25"/>
        <v>14.600000000000001</v>
      </c>
      <c r="AA307" s="11">
        <v>0</v>
      </c>
      <c r="AB307" s="11">
        <v>-2</v>
      </c>
      <c r="AC307" s="11">
        <v>0</v>
      </c>
      <c r="AD307" s="11">
        <v>0</v>
      </c>
      <c r="AE307" s="11">
        <v>0</v>
      </c>
      <c r="AF307" s="11">
        <f t="shared" si="23"/>
        <v>0.75600000000000001</v>
      </c>
      <c r="AG307" s="11">
        <f t="shared" si="24"/>
        <v>13.356000000000002</v>
      </c>
      <c r="AH307" t="s">
        <v>51</v>
      </c>
    </row>
    <row r="308" spans="1:34" ht="15" customHeight="1" x14ac:dyDescent="0.25">
      <c r="A308">
        <v>7547676</v>
      </c>
      <c r="B308" t="s">
        <v>34</v>
      </c>
      <c r="C308" t="s">
        <v>35</v>
      </c>
      <c r="D308" s="6" t="s">
        <v>34</v>
      </c>
      <c r="E308" t="s">
        <v>1006</v>
      </c>
      <c r="F308" t="s">
        <v>37</v>
      </c>
      <c r="G308" t="s">
        <v>38</v>
      </c>
      <c r="H308" t="s">
        <v>663</v>
      </c>
      <c r="I308" t="s">
        <v>40</v>
      </c>
      <c r="J308">
        <v>2</v>
      </c>
      <c r="K308" t="s">
        <v>41</v>
      </c>
      <c r="L308" t="s">
        <v>42</v>
      </c>
      <c r="M308" t="s">
        <v>43</v>
      </c>
      <c r="N308" s="7">
        <v>1</v>
      </c>
      <c r="O308" s="8">
        <v>45529.641481481478</v>
      </c>
      <c r="P308" s="9">
        <v>45530</v>
      </c>
      <c r="Q308" t="s">
        <v>44</v>
      </c>
      <c r="R308" t="s">
        <v>45</v>
      </c>
      <c r="S308" t="s">
        <v>46</v>
      </c>
      <c r="T308" t="s">
        <v>146</v>
      </c>
      <c r="U308" t="s">
        <v>664</v>
      </c>
      <c r="V308">
        <v>46100</v>
      </c>
      <c r="W308" t="s">
        <v>45</v>
      </c>
      <c r="X308" t="s">
        <v>1007</v>
      </c>
      <c r="Y308" t="s">
        <v>50</v>
      </c>
      <c r="Z308" s="10">
        <f t="shared" si="25"/>
        <v>9</v>
      </c>
      <c r="AA308" s="11">
        <v>0</v>
      </c>
      <c r="AB308" s="11">
        <v>-2</v>
      </c>
      <c r="AC308" s="11">
        <v>0</v>
      </c>
      <c r="AD308" s="11">
        <v>0</v>
      </c>
      <c r="AE308" s="11">
        <v>0</v>
      </c>
      <c r="AF308" s="11">
        <f t="shared" si="23"/>
        <v>0.42</v>
      </c>
      <c r="AG308" s="11">
        <f t="shared" si="24"/>
        <v>7.42</v>
      </c>
      <c r="AH308" t="s">
        <v>51</v>
      </c>
    </row>
    <row r="309" spans="1:34" ht="15" customHeight="1" x14ac:dyDescent="0.25">
      <c r="A309">
        <v>7547676</v>
      </c>
      <c r="B309" t="s">
        <v>34</v>
      </c>
      <c r="C309" t="s">
        <v>35</v>
      </c>
      <c r="D309" s="6" t="s">
        <v>34</v>
      </c>
      <c r="E309" t="s">
        <v>1008</v>
      </c>
      <c r="F309" t="s">
        <v>37</v>
      </c>
      <c r="G309" t="s">
        <v>38</v>
      </c>
      <c r="H309" t="s">
        <v>1009</v>
      </c>
      <c r="I309" t="s">
        <v>40</v>
      </c>
      <c r="J309">
        <v>2</v>
      </c>
      <c r="K309" t="s">
        <v>41</v>
      </c>
      <c r="L309" t="s">
        <v>42</v>
      </c>
      <c r="M309" t="s">
        <v>43</v>
      </c>
      <c r="N309" s="7">
        <v>2</v>
      </c>
      <c r="O309" s="8">
        <v>45529.504131944443</v>
      </c>
      <c r="P309" s="9">
        <v>45530</v>
      </c>
      <c r="Q309" t="s">
        <v>44</v>
      </c>
      <c r="R309" t="s">
        <v>45</v>
      </c>
      <c r="S309" t="s">
        <v>46</v>
      </c>
      <c r="T309" t="s">
        <v>146</v>
      </c>
      <c r="U309" t="s">
        <v>1010</v>
      </c>
      <c r="V309">
        <v>55100</v>
      </c>
      <c r="W309" t="s">
        <v>45</v>
      </c>
      <c r="X309" t="s">
        <v>350</v>
      </c>
      <c r="Y309" t="s">
        <v>50</v>
      </c>
      <c r="Z309" s="10">
        <f t="shared" si="25"/>
        <v>9.8000000000000007</v>
      </c>
      <c r="AA309" s="11">
        <v>0</v>
      </c>
      <c r="AB309" s="11">
        <v>-2</v>
      </c>
      <c r="AC309" s="11">
        <v>0</v>
      </c>
      <c r="AD309" s="11">
        <v>0</v>
      </c>
      <c r="AE309" s="11">
        <v>0</v>
      </c>
      <c r="AF309" s="11">
        <f t="shared" si="23"/>
        <v>0.46800000000000003</v>
      </c>
      <c r="AG309" s="11">
        <f t="shared" si="24"/>
        <v>8.2680000000000007</v>
      </c>
      <c r="AH309" t="s">
        <v>51</v>
      </c>
    </row>
    <row r="310" spans="1:34" ht="15" customHeight="1" x14ac:dyDescent="0.25">
      <c r="A310">
        <v>7547676</v>
      </c>
      <c r="B310" t="s">
        <v>34</v>
      </c>
      <c r="C310" t="s">
        <v>35</v>
      </c>
      <c r="D310" s="6" t="s">
        <v>34</v>
      </c>
      <c r="E310" t="s">
        <v>1011</v>
      </c>
      <c r="F310" t="s">
        <v>37</v>
      </c>
      <c r="G310" t="s">
        <v>38</v>
      </c>
      <c r="H310" t="s">
        <v>1012</v>
      </c>
      <c r="I310" t="s">
        <v>40</v>
      </c>
      <c r="J310">
        <v>2</v>
      </c>
      <c r="K310" t="s">
        <v>41</v>
      </c>
      <c r="L310" t="s">
        <v>42</v>
      </c>
      <c r="M310" t="s">
        <v>43</v>
      </c>
      <c r="N310" s="7">
        <v>3</v>
      </c>
      <c r="O310" s="8">
        <v>45529.611863425926</v>
      </c>
      <c r="P310" s="9">
        <v>45530</v>
      </c>
      <c r="Q310" t="s">
        <v>44</v>
      </c>
      <c r="R310" t="s">
        <v>45</v>
      </c>
      <c r="S310" t="s">
        <v>46</v>
      </c>
      <c r="T310" t="s">
        <v>92</v>
      </c>
      <c r="U310" t="s">
        <v>816</v>
      </c>
      <c r="V310">
        <v>40000</v>
      </c>
      <c r="W310" t="s">
        <v>45</v>
      </c>
      <c r="X310" t="s">
        <v>478</v>
      </c>
      <c r="Y310" t="s">
        <v>50</v>
      </c>
      <c r="Z310" s="10">
        <f t="shared" si="25"/>
        <v>10.6</v>
      </c>
      <c r="AA310" s="11">
        <v>0</v>
      </c>
      <c r="AB310" s="11">
        <v>-2</v>
      </c>
      <c r="AC310" s="11">
        <v>0</v>
      </c>
      <c r="AD310" s="11">
        <v>0</v>
      </c>
      <c r="AE310" s="11">
        <v>0</v>
      </c>
      <c r="AF310" s="11">
        <f t="shared" si="23"/>
        <v>0.51600000000000001</v>
      </c>
      <c r="AG310" s="11">
        <f t="shared" si="24"/>
        <v>9.1159999999999997</v>
      </c>
      <c r="AH310" t="s">
        <v>51</v>
      </c>
    </row>
    <row r="311" spans="1:34" ht="15" customHeight="1" x14ac:dyDescent="0.25">
      <c r="A311">
        <v>7547676</v>
      </c>
      <c r="B311" t="s">
        <v>34</v>
      </c>
      <c r="C311" t="s">
        <v>35</v>
      </c>
      <c r="D311" s="6" t="s">
        <v>34</v>
      </c>
      <c r="E311" t="s">
        <v>1013</v>
      </c>
      <c r="F311" t="s">
        <v>37</v>
      </c>
      <c r="G311" t="s">
        <v>38</v>
      </c>
      <c r="H311" t="s">
        <v>1014</v>
      </c>
      <c r="I311" t="s">
        <v>40</v>
      </c>
      <c r="J311">
        <v>2</v>
      </c>
      <c r="K311" t="s">
        <v>41</v>
      </c>
      <c r="L311" t="s">
        <v>42</v>
      </c>
      <c r="M311" t="s">
        <v>43</v>
      </c>
      <c r="N311" s="7">
        <v>3</v>
      </c>
      <c r="O311" s="8">
        <v>45528.729837962965</v>
      </c>
      <c r="P311" s="9">
        <v>45530</v>
      </c>
      <c r="Q311" t="s">
        <v>44</v>
      </c>
      <c r="R311" t="s">
        <v>45</v>
      </c>
      <c r="S311" t="s">
        <v>46</v>
      </c>
      <c r="T311" t="s">
        <v>223</v>
      </c>
      <c r="U311" t="s">
        <v>1015</v>
      </c>
      <c r="V311">
        <v>25000</v>
      </c>
      <c r="W311" t="s">
        <v>45</v>
      </c>
      <c r="X311" t="s">
        <v>1016</v>
      </c>
      <c r="Y311" t="s">
        <v>50</v>
      </c>
      <c r="Z311" s="10">
        <f t="shared" si="25"/>
        <v>10.6</v>
      </c>
      <c r="AA311" s="11">
        <v>0</v>
      </c>
      <c r="AB311" s="11">
        <v>-2</v>
      </c>
      <c r="AC311" s="11">
        <v>0</v>
      </c>
      <c r="AD311" s="11">
        <v>4500</v>
      </c>
      <c r="AE311" s="11">
        <f>AD311*1.5%</f>
        <v>67.5</v>
      </c>
      <c r="AF311" s="11">
        <f t="shared" si="23"/>
        <v>4.5659999999999998</v>
      </c>
      <c r="AG311" s="11">
        <f t="shared" si="24"/>
        <v>80.665999999999997</v>
      </c>
      <c r="AH311" t="s">
        <v>51</v>
      </c>
    </row>
    <row r="312" spans="1:34" ht="15" customHeight="1" x14ac:dyDescent="0.25">
      <c r="A312">
        <v>7547676</v>
      </c>
      <c r="B312" t="s">
        <v>34</v>
      </c>
      <c r="C312" t="s">
        <v>35</v>
      </c>
      <c r="D312" s="6" t="s">
        <v>34</v>
      </c>
      <c r="E312" t="s">
        <v>1017</v>
      </c>
      <c r="F312" t="s">
        <v>37</v>
      </c>
      <c r="G312" t="s">
        <v>38</v>
      </c>
      <c r="H312" t="s">
        <v>1018</v>
      </c>
      <c r="I312" t="s">
        <v>40</v>
      </c>
      <c r="J312">
        <v>2</v>
      </c>
      <c r="K312" t="s">
        <v>41</v>
      </c>
      <c r="L312" t="s">
        <v>42</v>
      </c>
      <c r="M312" t="s">
        <v>43</v>
      </c>
      <c r="N312" s="7">
        <v>1</v>
      </c>
      <c r="O312" s="8">
        <v>45526.793414351851</v>
      </c>
      <c r="P312" s="9">
        <v>45530</v>
      </c>
      <c r="Q312" t="s">
        <v>386</v>
      </c>
      <c r="R312" t="s">
        <v>45</v>
      </c>
      <c r="S312" t="s">
        <v>46</v>
      </c>
      <c r="T312" t="s">
        <v>54</v>
      </c>
      <c r="U312" t="s">
        <v>1019</v>
      </c>
      <c r="V312">
        <v>81560</v>
      </c>
      <c r="W312" t="s">
        <v>45</v>
      </c>
      <c r="X312" t="s">
        <v>1020</v>
      </c>
      <c r="Y312" t="s">
        <v>50</v>
      </c>
      <c r="Z312" s="10">
        <f t="shared" si="25"/>
        <v>9</v>
      </c>
      <c r="AA312" s="11">
        <v>0</v>
      </c>
      <c r="AB312" s="11">
        <v>-2</v>
      </c>
      <c r="AC312" s="11">
        <v>0</v>
      </c>
      <c r="AD312" s="11">
        <v>0</v>
      </c>
      <c r="AE312" s="11">
        <v>0</v>
      </c>
      <c r="AF312" s="11">
        <f t="shared" si="23"/>
        <v>0.42</v>
      </c>
      <c r="AG312" s="11">
        <f t="shared" si="24"/>
        <v>7.42</v>
      </c>
      <c r="AH312" t="s">
        <v>51</v>
      </c>
    </row>
    <row r="313" spans="1:34" ht="15" customHeight="1" x14ac:dyDescent="0.25">
      <c r="A313">
        <v>7547676</v>
      </c>
      <c r="B313" t="s">
        <v>34</v>
      </c>
      <c r="C313" t="s">
        <v>35</v>
      </c>
      <c r="D313" s="6" t="s">
        <v>34</v>
      </c>
      <c r="E313" t="s">
        <v>1021</v>
      </c>
      <c r="F313" t="s">
        <v>37</v>
      </c>
      <c r="G313" t="s">
        <v>38</v>
      </c>
      <c r="H313" t="s">
        <v>1022</v>
      </c>
      <c r="I313" t="s">
        <v>40</v>
      </c>
      <c r="J313">
        <v>2</v>
      </c>
      <c r="K313" t="s">
        <v>41</v>
      </c>
      <c r="L313" t="s">
        <v>42</v>
      </c>
      <c r="M313" t="s">
        <v>43</v>
      </c>
      <c r="N313" s="7">
        <v>1</v>
      </c>
      <c r="O313" s="8">
        <v>45529.638506944444</v>
      </c>
      <c r="P313" s="9">
        <v>45530</v>
      </c>
      <c r="Q313" t="s">
        <v>44</v>
      </c>
      <c r="R313" t="s">
        <v>45</v>
      </c>
      <c r="S313" t="s">
        <v>46</v>
      </c>
      <c r="T313" t="s">
        <v>84</v>
      </c>
      <c r="U313" t="s">
        <v>1023</v>
      </c>
      <c r="V313">
        <v>17000</v>
      </c>
      <c r="W313" t="s">
        <v>45</v>
      </c>
      <c r="X313" t="s">
        <v>74</v>
      </c>
      <c r="Y313" t="s">
        <v>50</v>
      </c>
      <c r="Z313" s="10">
        <f t="shared" si="25"/>
        <v>9</v>
      </c>
      <c r="AA313" s="11">
        <v>0</v>
      </c>
      <c r="AB313" s="11">
        <v>-2</v>
      </c>
      <c r="AC313" s="11">
        <v>0</v>
      </c>
      <c r="AD313" s="11">
        <v>0</v>
      </c>
      <c r="AE313" s="11">
        <v>0</v>
      </c>
      <c r="AF313" s="11">
        <f t="shared" si="23"/>
        <v>0.42</v>
      </c>
      <c r="AG313" s="11">
        <f t="shared" si="24"/>
        <v>7.42</v>
      </c>
      <c r="AH313" t="s">
        <v>51</v>
      </c>
    </row>
    <row r="314" spans="1:34" ht="15" customHeight="1" x14ac:dyDescent="0.25">
      <c r="A314">
        <v>7547676</v>
      </c>
      <c r="B314" t="s">
        <v>34</v>
      </c>
      <c r="C314" t="s">
        <v>35</v>
      </c>
      <c r="D314" s="6" t="s">
        <v>34</v>
      </c>
      <c r="E314" t="s">
        <v>1024</v>
      </c>
      <c r="F314" t="s">
        <v>37</v>
      </c>
      <c r="G314" t="s">
        <v>38</v>
      </c>
      <c r="H314" t="s">
        <v>1025</v>
      </c>
      <c r="I314" t="s">
        <v>40</v>
      </c>
      <c r="J314">
        <v>2</v>
      </c>
      <c r="K314" t="s">
        <v>41</v>
      </c>
      <c r="L314" t="s">
        <v>42</v>
      </c>
      <c r="M314" t="s">
        <v>43</v>
      </c>
      <c r="N314" s="7">
        <v>1</v>
      </c>
      <c r="O314" s="8">
        <v>45527.753437500003</v>
      </c>
      <c r="P314" s="9">
        <v>45530</v>
      </c>
      <c r="Q314" t="s">
        <v>44</v>
      </c>
      <c r="R314" t="s">
        <v>45</v>
      </c>
      <c r="S314" t="s">
        <v>46</v>
      </c>
      <c r="T314" t="s">
        <v>92</v>
      </c>
      <c r="U314" t="s">
        <v>1026</v>
      </c>
      <c r="V314">
        <v>48000</v>
      </c>
      <c r="W314" t="s">
        <v>45</v>
      </c>
      <c r="X314" t="s">
        <v>170</v>
      </c>
      <c r="Y314" t="s">
        <v>50</v>
      </c>
      <c r="Z314" s="10">
        <f t="shared" si="25"/>
        <v>9</v>
      </c>
      <c r="AA314" s="11">
        <v>0</v>
      </c>
      <c r="AB314" s="11">
        <v>-2</v>
      </c>
      <c r="AC314" s="11">
        <v>0</v>
      </c>
      <c r="AD314" s="11">
        <v>0</v>
      </c>
      <c r="AE314" s="11">
        <v>0</v>
      </c>
      <c r="AF314" s="11">
        <f t="shared" si="23"/>
        <v>0.42</v>
      </c>
      <c r="AG314" s="11">
        <f t="shared" si="24"/>
        <v>7.42</v>
      </c>
      <c r="AH314" t="s">
        <v>51</v>
      </c>
    </row>
    <row r="315" spans="1:34" ht="15" customHeight="1" x14ac:dyDescent="0.25">
      <c r="A315">
        <v>7547676</v>
      </c>
      <c r="B315" t="s">
        <v>34</v>
      </c>
      <c r="C315" t="s">
        <v>35</v>
      </c>
      <c r="D315" s="6" t="s">
        <v>34</v>
      </c>
      <c r="E315" t="s">
        <v>1027</v>
      </c>
      <c r="F315" t="s">
        <v>37</v>
      </c>
      <c r="G315" t="s">
        <v>38</v>
      </c>
      <c r="H315" t="s">
        <v>1028</v>
      </c>
      <c r="I315" t="s">
        <v>40</v>
      </c>
      <c r="J315">
        <v>2</v>
      </c>
      <c r="K315" t="s">
        <v>41</v>
      </c>
      <c r="L315" t="s">
        <v>42</v>
      </c>
      <c r="M315" t="s">
        <v>43</v>
      </c>
      <c r="N315" s="7">
        <v>1</v>
      </c>
      <c r="O315" s="8">
        <v>45529.74491898148</v>
      </c>
      <c r="P315" s="9">
        <v>45530</v>
      </c>
      <c r="Q315" t="s">
        <v>44</v>
      </c>
      <c r="R315" t="s">
        <v>45</v>
      </c>
      <c r="S315" t="s">
        <v>46</v>
      </c>
      <c r="T315" t="s">
        <v>92</v>
      </c>
      <c r="U315" t="s">
        <v>1029</v>
      </c>
      <c r="V315">
        <v>40460</v>
      </c>
      <c r="W315" t="s">
        <v>45</v>
      </c>
      <c r="X315" t="s">
        <v>69</v>
      </c>
      <c r="Y315" t="s">
        <v>50</v>
      </c>
      <c r="Z315" s="10">
        <f t="shared" si="25"/>
        <v>9</v>
      </c>
      <c r="AA315" s="11">
        <v>0</v>
      </c>
      <c r="AB315" s="11">
        <v>-2</v>
      </c>
      <c r="AC315" s="11">
        <v>0</v>
      </c>
      <c r="AD315" s="11">
        <v>0</v>
      </c>
      <c r="AE315" s="11">
        <v>0</v>
      </c>
      <c r="AF315" s="11">
        <f t="shared" si="23"/>
        <v>0.42</v>
      </c>
      <c r="AG315" s="11">
        <f t="shared" si="24"/>
        <v>7.42</v>
      </c>
      <c r="AH315" t="s">
        <v>51</v>
      </c>
    </row>
    <row r="316" spans="1:34" ht="15" customHeight="1" x14ac:dyDescent="0.25">
      <c r="A316">
        <v>7547676</v>
      </c>
      <c r="B316" t="s">
        <v>34</v>
      </c>
      <c r="C316" t="s">
        <v>35</v>
      </c>
      <c r="D316" s="6" t="s">
        <v>34</v>
      </c>
      <c r="E316" t="s">
        <v>1030</v>
      </c>
      <c r="F316" t="s">
        <v>37</v>
      </c>
      <c r="G316" t="s">
        <v>38</v>
      </c>
      <c r="H316" t="s">
        <v>1031</v>
      </c>
      <c r="I316" t="s">
        <v>40</v>
      </c>
      <c r="J316">
        <v>2</v>
      </c>
      <c r="K316" t="s">
        <v>41</v>
      </c>
      <c r="L316" t="s">
        <v>42</v>
      </c>
      <c r="M316" t="s">
        <v>43</v>
      </c>
      <c r="N316" s="7">
        <v>1</v>
      </c>
      <c r="O316" s="8">
        <v>45529.666400462964</v>
      </c>
      <c r="P316" s="9">
        <v>45530</v>
      </c>
      <c r="Q316" t="s">
        <v>44</v>
      </c>
      <c r="R316" t="s">
        <v>45</v>
      </c>
      <c r="S316" t="s">
        <v>46</v>
      </c>
      <c r="T316" t="s">
        <v>223</v>
      </c>
      <c r="U316" t="s">
        <v>1032</v>
      </c>
      <c r="V316">
        <v>27600</v>
      </c>
      <c r="W316" t="s">
        <v>45</v>
      </c>
      <c r="X316" t="s">
        <v>225</v>
      </c>
      <c r="Y316" t="s">
        <v>50</v>
      </c>
      <c r="Z316" s="10">
        <f t="shared" si="25"/>
        <v>9</v>
      </c>
      <c r="AA316" s="11">
        <v>0</v>
      </c>
      <c r="AB316" s="11">
        <v>-2</v>
      </c>
      <c r="AC316" s="11">
        <v>0</v>
      </c>
      <c r="AD316" s="11">
        <v>0</v>
      </c>
      <c r="AE316" s="11">
        <v>0</v>
      </c>
      <c r="AF316" s="11">
        <f t="shared" si="23"/>
        <v>0.42</v>
      </c>
      <c r="AG316" s="11">
        <f t="shared" si="24"/>
        <v>7.42</v>
      </c>
      <c r="AH316" t="s">
        <v>51</v>
      </c>
    </row>
    <row r="317" spans="1:34" ht="15" customHeight="1" x14ac:dyDescent="0.25">
      <c r="A317">
        <v>7547676</v>
      </c>
      <c r="B317" t="s">
        <v>34</v>
      </c>
      <c r="C317" t="s">
        <v>35</v>
      </c>
      <c r="D317" s="6" t="s">
        <v>34</v>
      </c>
      <c r="E317" t="s">
        <v>1033</v>
      </c>
      <c r="F317" t="s">
        <v>37</v>
      </c>
      <c r="G317" t="s">
        <v>38</v>
      </c>
      <c r="H317" t="s">
        <v>1034</v>
      </c>
      <c r="I317" t="s">
        <v>40</v>
      </c>
      <c r="J317">
        <v>2</v>
      </c>
      <c r="K317" t="s">
        <v>41</v>
      </c>
      <c r="L317" t="s">
        <v>42</v>
      </c>
      <c r="M317" t="s">
        <v>43</v>
      </c>
      <c r="N317" s="7">
        <v>1</v>
      </c>
      <c r="O317" s="8">
        <v>45526.780497685184</v>
      </c>
      <c r="P317" s="9">
        <v>45530</v>
      </c>
      <c r="Q317" t="s">
        <v>386</v>
      </c>
      <c r="R317" t="s">
        <v>45</v>
      </c>
      <c r="S317" t="s">
        <v>46</v>
      </c>
      <c r="T317" t="s">
        <v>92</v>
      </c>
      <c r="U317" t="s">
        <v>1035</v>
      </c>
      <c r="V317">
        <v>68100</v>
      </c>
      <c r="W317" t="s">
        <v>45</v>
      </c>
      <c r="X317" t="s">
        <v>652</v>
      </c>
      <c r="Y317" t="s">
        <v>50</v>
      </c>
      <c r="Z317" s="10">
        <f t="shared" si="25"/>
        <v>9</v>
      </c>
      <c r="AA317" s="11">
        <v>0</v>
      </c>
      <c r="AB317" s="11">
        <v>-2</v>
      </c>
      <c r="AC317" s="11">
        <v>0</v>
      </c>
      <c r="AD317" s="11">
        <v>0</v>
      </c>
      <c r="AE317" s="11">
        <v>0</v>
      </c>
      <c r="AF317" s="11">
        <f t="shared" si="23"/>
        <v>0.42</v>
      </c>
      <c r="AG317" s="11">
        <f t="shared" si="24"/>
        <v>7.42</v>
      </c>
      <c r="AH317" t="s">
        <v>51</v>
      </c>
    </row>
    <row r="318" spans="1:34" ht="15" customHeight="1" x14ac:dyDescent="0.25">
      <c r="A318">
        <v>7547676</v>
      </c>
      <c r="B318" t="s">
        <v>34</v>
      </c>
      <c r="C318" t="s">
        <v>35</v>
      </c>
      <c r="D318" s="6" t="s">
        <v>34</v>
      </c>
      <c r="E318" t="s">
        <v>1036</v>
      </c>
      <c r="F318" t="s">
        <v>37</v>
      </c>
      <c r="G318" t="s">
        <v>38</v>
      </c>
      <c r="H318" t="s">
        <v>1037</v>
      </c>
      <c r="I318" t="s">
        <v>40</v>
      </c>
      <c r="J318">
        <v>2</v>
      </c>
      <c r="K318" t="s">
        <v>41</v>
      </c>
      <c r="L318" t="s">
        <v>42</v>
      </c>
      <c r="M318" t="s">
        <v>43</v>
      </c>
      <c r="N318" s="7">
        <v>1</v>
      </c>
      <c r="O318" s="8">
        <v>45526.754560185182</v>
      </c>
      <c r="P318" s="9">
        <v>45530</v>
      </c>
      <c r="Q318" t="s">
        <v>386</v>
      </c>
      <c r="R318" t="s">
        <v>45</v>
      </c>
      <c r="S318" t="s">
        <v>46</v>
      </c>
      <c r="T318" t="s">
        <v>92</v>
      </c>
      <c r="U318" t="s">
        <v>1038</v>
      </c>
      <c r="V318">
        <v>42500</v>
      </c>
      <c r="W318" t="s">
        <v>45</v>
      </c>
      <c r="X318" t="s">
        <v>887</v>
      </c>
      <c r="Y318" t="s">
        <v>50</v>
      </c>
      <c r="Z318" s="10">
        <f t="shared" si="25"/>
        <v>9</v>
      </c>
      <c r="AA318" s="11">
        <v>0</v>
      </c>
      <c r="AB318" s="11">
        <v>-2</v>
      </c>
      <c r="AC318" s="11">
        <v>0</v>
      </c>
      <c r="AD318" s="11">
        <v>0</v>
      </c>
      <c r="AE318" s="11">
        <v>0</v>
      </c>
      <c r="AF318" s="11">
        <f t="shared" si="23"/>
        <v>0.42</v>
      </c>
      <c r="AG318" s="11">
        <f t="shared" si="24"/>
        <v>7.42</v>
      </c>
      <c r="AH318" t="s">
        <v>51</v>
      </c>
    </row>
    <row r="319" spans="1:34" ht="15" customHeight="1" x14ac:dyDescent="0.25">
      <c r="A319">
        <v>7547676</v>
      </c>
      <c r="B319" t="s">
        <v>34</v>
      </c>
      <c r="C319" t="s">
        <v>35</v>
      </c>
      <c r="D319" s="6" t="s">
        <v>34</v>
      </c>
      <c r="E319" t="s">
        <v>1039</v>
      </c>
      <c r="F319" t="s">
        <v>37</v>
      </c>
      <c r="G319" t="s">
        <v>38</v>
      </c>
      <c r="H319" t="s">
        <v>1040</v>
      </c>
      <c r="I319" t="s">
        <v>40</v>
      </c>
      <c r="J319">
        <v>2</v>
      </c>
      <c r="K319" t="s">
        <v>41</v>
      </c>
      <c r="L319" t="s">
        <v>42</v>
      </c>
      <c r="M319" t="s">
        <v>43</v>
      </c>
      <c r="N319" s="7">
        <v>1</v>
      </c>
      <c r="O319" s="8">
        <v>45529.44253472222</v>
      </c>
      <c r="P319" s="9">
        <v>45530</v>
      </c>
      <c r="Q319" t="s">
        <v>44</v>
      </c>
      <c r="R319" t="s">
        <v>45</v>
      </c>
      <c r="S319" t="s">
        <v>46</v>
      </c>
      <c r="T319" t="s">
        <v>92</v>
      </c>
      <c r="U319" t="s">
        <v>1041</v>
      </c>
      <c r="V319">
        <v>68100</v>
      </c>
      <c r="W319" t="s">
        <v>45</v>
      </c>
      <c r="X319" t="s">
        <v>69</v>
      </c>
      <c r="Y319" t="s">
        <v>50</v>
      </c>
      <c r="Z319" s="10">
        <f t="shared" si="25"/>
        <v>9</v>
      </c>
      <c r="AA319" s="11">
        <v>0</v>
      </c>
      <c r="AB319" s="11">
        <v>-2</v>
      </c>
      <c r="AC319" s="11">
        <v>0</v>
      </c>
      <c r="AD319" s="11">
        <v>0</v>
      </c>
      <c r="AE319" s="11">
        <v>0</v>
      </c>
      <c r="AF319" s="11">
        <f t="shared" si="23"/>
        <v>0.42</v>
      </c>
      <c r="AG319" s="11">
        <f t="shared" si="24"/>
        <v>7.42</v>
      </c>
      <c r="AH319" t="s">
        <v>51</v>
      </c>
    </row>
    <row r="320" spans="1:34" ht="15" customHeight="1" x14ac:dyDescent="0.25">
      <c r="A320">
        <v>7547676</v>
      </c>
      <c r="B320" t="s">
        <v>34</v>
      </c>
      <c r="C320" t="s">
        <v>35</v>
      </c>
      <c r="D320" s="6" t="s">
        <v>34</v>
      </c>
      <c r="E320" t="s">
        <v>1042</v>
      </c>
      <c r="F320" t="s">
        <v>37</v>
      </c>
      <c r="G320" t="s">
        <v>38</v>
      </c>
      <c r="H320" t="s">
        <v>565</v>
      </c>
      <c r="I320" t="s">
        <v>40</v>
      </c>
      <c r="J320">
        <v>2</v>
      </c>
      <c r="K320" t="s">
        <v>41</v>
      </c>
      <c r="L320" t="s">
        <v>42</v>
      </c>
      <c r="M320" t="s">
        <v>43</v>
      </c>
      <c r="N320" s="7">
        <v>10</v>
      </c>
      <c r="O320" s="8">
        <v>45529.727650462963</v>
      </c>
      <c r="P320" s="9">
        <v>45530</v>
      </c>
      <c r="Q320" t="s">
        <v>44</v>
      </c>
      <c r="R320" t="s">
        <v>45</v>
      </c>
      <c r="S320" t="s">
        <v>46</v>
      </c>
      <c r="T320" t="s">
        <v>72</v>
      </c>
      <c r="U320" t="s">
        <v>566</v>
      </c>
      <c r="V320">
        <v>23100</v>
      </c>
      <c r="W320" t="s">
        <v>45</v>
      </c>
      <c r="X320" t="s">
        <v>567</v>
      </c>
      <c r="Y320" t="s">
        <v>50</v>
      </c>
      <c r="Z320" s="10">
        <f t="shared" si="25"/>
        <v>16.2</v>
      </c>
      <c r="AA320" s="11">
        <v>0</v>
      </c>
      <c r="AB320" s="11">
        <v>-2</v>
      </c>
      <c r="AC320" s="11">
        <v>0</v>
      </c>
      <c r="AD320" s="11">
        <v>0</v>
      </c>
      <c r="AE320" s="11">
        <v>0</v>
      </c>
      <c r="AF320" s="11">
        <f t="shared" si="23"/>
        <v>0.85199999999999998</v>
      </c>
      <c r="AG320" s="11">
        <f t="shared" si="24"/>
        <v>15.052</v>
      </c>
      <c r="AH320" t="s">
        <v>51</v>
      </c>
    </row>
    <row r="321" spans="1:34" ht="15" customHeight="1" x14ac:dyDescent="0.25">
      <c r="A321">
        <v>7547676</v>
      </c>
      <c r="B321" t="s">
        <v>34</v>
      </c>
      <c r="C321" t="s">
        <v>35</v>
      </c>
      <c r="D321" s="6" t="s">
        <v>34</v>
      </c>
      <c r="E321" t="s">
        <v>1043</v>
      </c>
      <c r="F321" t="s">
        <v>37</v>
      </c>
      <c r="G321" t="s">
        <v>38</v>
      </c>
      <c r="H321" t="s">
        <v>1044</v>
      </c>
      <c r="I321" t="s">
        <v>40</v>
      </c>
      <c r="J321">
        <v>2</v>
      </c>
      <c r="K321" t="s">
        <v>41</v>
      </c>
      <c r="L321" t="s">
        <v>42</v>
      </c>
      <c r="M321" t="s">
        <v>43</v>
      </c>
      <c r="N321" s="7">
        <v>1</v>
      </c>
      <c r="O321" s="8">
        <v>45529.84952546296</v>
      </c>
      <c r="P321" s="9">
        <v>45531</v>
      </c>
      <c r="Q321" t="s">
        <v>44</v>
      </c>
      <c r="R321" t="s">
        <v>45</v>
      </c>
      <c r="S321" t="s">
        <v>46</v>
      </c>
      <c r="T321" t="s">
        <v>223</v>
      </c>
      <c r="U321" t="s">
        <v>1045</v>
      </c>
      <c r="V321">
        <v>27200</v>
      </c>
      <c r="W321" t="s">
        <v>45</v>
      </c>
      <c r="X321" t="s">
        <v>225</v>
      </c>
      <c r="Y321" t="s">
        <v>50</v>
      </c>
      <c r="Z321" s="10">
        <f t="shared" si="25"/>
        <v>9</v>
      </c>
      <c r="AA321" s="11">
        <v>0</v>
      </c>
      <c r="AB321" s="11">
        <v>-2</v>
      </c>
      <c r="AC321" s="11">
        <v>0</v>
      </c>
      <c r="AD321" s="11">
        <v>0</v>
      </c>
      <c r="AE321" s="11">
        <v>0</v>
      </c>
      <c r="AF321" s="11">
        <f t="shared" si="23"/>
        <v>0.42</v>
      </c>
      <c r="AG321" s="11">
        <f t="shared" si="24"/>
        <v>7.42</v>
      </c>
      <c r="AH321" t="s">
        <v>51</v>
      </c>
    </row>
    <row r="322" spans="1:34" ht="15" customHeight="1" x14ac:dyDescent="0.25">
      <c r="A322">
        <v>7547676</v>
      </c>
      <c r="B322" t="s">
        <v>34</v>
      </c>
      <c r="C322" t="s">
        <v>35</v>
      </c>
      <c r="D322" s="6" t="s">
        <v>34</v>
      </c>
      <c r="E322" t="s">
        <v>1046</v>
      </c>
      <c r="F322" t="s">
        <v>37</v>
      </c>
      <c r="G322" t="s">
        <v>38</v>
      </c>
      <c r="H322" t="s">
        <v>1047</v>
      </c>
      <c r="I322" t="s">
        <v>40</v>
      </c>
      <c r="J322">
        <v>2</v>
      </c>
      <c r="K322" t="s">
        <v>41</v>
      </c>
      <c r="L322" t="s">
        <v>42</v>
      </c>
      <c r="M322" t="s">
        <v>43</v>
      </c>
      <c r="N322" s="7">
        <v>1</v>
      </c>
      <c r="O322" s="8">
        <v>45528.826168981483</v>
      </c>
      <c r="P322" s="9">
        <v>45531</v>
      </c>
      <c r="Q322" t="s">
        <v>44</v>
      </c>
      <c r="R322" t="s">
        <v>45</v>
      </c>
      <c r="S322" t="s">
        <v>46</v>
      </c>
      <c r="T322" t="s">
        <v>54</v>
      </c>
      <c r="U322" t="s">
        <v>1048</v>
      </c>
      <c r="V322">
        <v>81900</v>
      </c>
      <c r="W322" t="s">
        <v>45</v>
      </c>
      <c r="X322" t="s">
        <v>1049</v>
      </c>
      <c r="Y322" t="s">
        <v>50</v>
      </c>
      <c r="Z322" s="10">
        <f t="shared" si="25"/>
        <v>9</v>
      </c>
      <c r="AA322" s="11">
        <v>0</v>
      </c>
      <c r="AB322" s="11">
        <v>-2</v>
      </c>
      <c r="AC322" s="11">
        <v>0</v>
      </c>
      <c r="AD322" s="11">
        <v>0</v>
      </c>
      <c r="AE322" s="11">
        <v>0</v>
      </c>
      <c r="AF322" s="11">
        <f t="shared" ref="AF322:AF385" si="26">(Z322+AB322+AC322+AE322)*6%</f>
        <v>0.42</v>
      </c>
      <c r="AG322" s="11">
        <f t="shared" ref="AG322:AG385" si="27">Z322+AB322+AC322+AE322+AF322</f>
        <v>7.42</v>
      </c>
      <c r="AH322" t="s">
        <v>51</v>
      </c>
    </row>
    <row r="323" spans="1:34" ht="15" customHeight="1" x14ac:dyDescent="0.25">
      <c r="A323">
        <v>7547676</v>
      </c>
      <c r="B323" t="s">
        <v>34</v>
      </c>
      <c r="C323" t="s">
        <v>35</v>
      </c>
      <c r="D323" s="6" t="s">
        <v>34</v>
      </c>
      <c r="E323" t="s">
        <v>1050</v>
      </c>
      <c r="F323" t="s">
        <v>37</v>
      </c>
      <c r="G323" t="s">
        <v>38</v>
      </c>
      <c r="H323" t="s">
        <v>957</v>
      </c>
      <c r="I323" t="s">
        <v>40</v>
      </c>
      <c r="J323">
        <v>2</v>
      </c>
      <c r="K323" t="s">
        <v>41</v>
      </c>
      <c r="L323" t="s">
        <v>42</v>
      </c>
      <c r="M323" t="s">
        <v>43</v>
      </c>
      <c r="N323" s="7">
        <v>1</v>
      </c>
      <c r="O323" s="8">
        <v>45530.505613425928</v>
      </c>
      <c r="P323" s="9">
        <v>45531</v>
      </c>
      <c r="Q323" t="s">
        <v>44</v>
      </c>
      <c r="R323" t="s">
        <v>45</v>
      </c>
      <c r="S323" t="s">
        <v>46</v>
      </c>
      <c r="T323" t="s">
        <v>72</v>
      </c>
      <c r="U323" t="s">
        <v>1051</v>
      </c>
      <c r="V323">
        <v>21300</v>
      </c>
      <c r="W323" t="s">
        <v>45</v>
      </c>
      <c r="X323" t="s">
        <v>139</v>
      </c>
      <c r="Y323" t="s">
        <v>50</v>
      </c>
      <c r="Z323" s="10">
        <f t="shared" si="25"/>
        <v>9</v>
      </c>
      <c r="AA323" s="11">
        <v>0</v>
      </c>
      <c r="AB323" s="11">
        <v>-2</v>
      </c>
      <c r="AC323" s="11">
        <v>0</v>
      </c>
      <c r="AD323" s="11">
        <v>0</v>
      </c>
      <c r="AE323" s="11">
        <v>0</v>
      </c>
      <c r="AF323" s="11">
        <f t="shared" si="26"/>
        <v>0.42</v>
      </c>
      <c r="AG323" s="11">
        <f t="shared" si="27"/>
        <v>7.42</v>
      </c>
      <c r="AH323" t="s">
        <v>51</v>
      </c>
    </row>
    <row r="324" spans="1:34" ht="15" customHeight="1" x14ac:dyDescent="0.25">
      <c r="A324">
        <v>7547676</v>
      </c>
      <c r="B324" t="s">
        <v>34</v>
      </c>
      <c r="C324" t="s">
        <v>35</v>
      </c>
      <c r="D324" s="6" t="s">
        <v>34</v>
      </c>
      <c r="E324" t="s">
        <v>1052</v>
      </c>
      <c r="F324" t="s">
        <v>37</v>
      </c>
      <c r="G324" t="s">
        <v>38</v>
      </c>
      <c r="H324" t="s">
        <v>102</v>
      </c>
      <c r="I324" t="s">
        <v>40</v>
      </c>
      <c r="J324">
        <v>2</v>
      </c>
      <c r="K324" t="s">
        <v>41</v>
      </c>
      <c r="L324" t="s">
        <v>42</v>
      </c>
      <c r="M324" t="s">
        <v>43</v>
      </c>
      <c r="N324" s="7">
        <v>1</v>
      </c>
      <c r="O324" s="8">
        <v>45530.648333333331</v>
      </c>
      <c r="P324" s="9">
        <v>45531</v>
      </c>
      <c r="Q324" t="s">
        <v>44</v>
      </c>
      <c r="R324" t="s">
        <v>45</v>
      </c>
      <c r="S324" t="s">
        <v>46</v>
      </c>
      <c r="T324" t="s">
        <v>92</v>
      </c>
      <c r="U324" t="s">
        <v>103</v>
      </c>
      <c r="V324">
        <v>40000</v>
      </c>
      <c r="W324" t="s">
        <v>45</v>
      </c>
      <c r="X324" t="s">
        <v>104</v>
      </c>
      <c r="Y324" t="s">
        <v>50</v>
      </c>
      <c r="Z324" s="10">
        <f t="shared" si="25"/>
        <v>9</v>
      </c>
      <c r="AA324" s="11">
        <v>0</v>
      </c>
      <c r="AB324" s="11">
        <v>-2</v>
      </c>
      <c r="AC324" s="11">
        <v>0</v>
      </c>
      <c r="AD324" s="11">
        <v>0</v>
      </c>
      <c r="AE324" s="11">
        <v>0</v>
      </c>
      <c r="AF324" s="11">
        <f t="shared" si="26"/>
        <v>0.42</v>
      </c>
      <c r="AG324" s="11">
        <f t="shared" si="27"/>
        <v>7.42</v>
      </c>
      <c r="AH324" t="s">
        <v>51</v>
      </c>
    </row>
    <row r="325" spans="1:34" ht="15" customHeight="1" x14ac:dyDescent="0.25">
      <c r="A325">
        <v>7547676</v>
      </c>
      <c r="B325" t="s">
        <v>34</v>
      </c>
      <c r="C325" t="s">
        <v>35</v>
      </c>
      <c r="D325" s="6" t="s">
        <v>34</v>
      </c>
      <c r="E325" t="s">
        <v>1053</v>
      </c>
      <c r="F325" t="s">
        <v>37</v>
      </c>
      <c r="G325" t="s">
        <v>38</v>
      </c>
      <c r="H325" t="s">
        <v>1054</v>
      </c>
      <c r="I325" t="s">
        <v>40</v>
      </c>
      <c r="J325">
        <v>2</v>
      </c>
      <c r="K325" t="s">
        <v>41</v>
      </c>
      <c r="L325" t="s">
        <v>42</v>
      </c>
      <c r="M325" t="s">
        <v>43</v>
      </c>
      <c r="N325" s="7">
        <v>1</v>
      </c>
      <c r="O325" s="8">
        <v>45530.461018518516</v>
      </c>
      <c r="P325" s="9">
        <v>45531</v>
      </c>
      <c r="Q325" t="s">
        <v>44</v>
      </c>
      <c r="R325" t="s">
        <v>45</v>
      </c>
      <c r="S325" t="s">
        <v>46</v>
      </c>
      <c r="T325" t="s">
        <v>72</v>
      </c>
      <c r="U325" t="s">
        <v>1055</v>
      </c>
      <c r="V325">
        <v>22200</v>
      </c>
      <c r="W325" t="s">
        <v>45</v>
      </c>
      <c r="X325" t="s">
        <v>74</v>
      </c>
      <c r="Y325" t="s">
        <v>50</v>
      </c>
      <c r="Z325" s="10">
        <f t="shared" si="25"/>
        <v>9</v>
      </c>
      <c r="AA325" s="11">
        <v>0</v>
      </c>
      <c r="AB325" s="11">
        <v>-2</v>
      </c>
      <c r="AC325" s="11">
        <v>0</v>
      </c>
      <c r="AD325" s="11">
        <v>0</v>
      </c>
      <c r="AE325" s="11">
        <v>0</v>
      </c>
      <c r="AF325" s="11">
        <f t="shared" si="26"/>
        <v>0.42</v>
      </c>
      <c r="AG325" s="11">
        <f t="shared" si="27"/>
        <v>7.42</v>
      </c>
      <c r="AH325" t="s">
        <v>51</v>
      </c>
    </row>
    <row r="326" spans="1:34" ht="15" customHeight="1" x14ac:dyDescent="0.25">
      <c r="A326">
        <v>7547676</v>
      </c>
      <c r="B326" t="s">
        <v>34</v>
      </c>
      <c r="C326" t="s">
        <v>35</v>
      </c>
      <c r="D326" s="6" t="s">
        <v>34</v>
      </c>
      <c r="E326" t="s">
        <v>1056</v>
      </c>
      <c r="F326" t="s">
        <v>37</v>
      </c>
      <c r="G326" t="s">
        <v>38</v>
      </c>
      <c r="H326" t="s">
        <v>1057</v>
      </c>
      <c r="I326" t="s">
        <v>40</v>
      </c>
      <c r="J326">
        <v>2</v>
      </c>
      <c r="K326" t="s">
        <v>41</v>
      </c>
      <c r="L326" t="s">
        <v>42</v>
      </c>
      <c r="M326" t="s">
        <v>43</v>
      </c>
      <c r="N326" s="7">
        <v>1</v>
      </c>
      <c r="O326" s="8">
        <v>45530.505613425928</v>
      </c>
      <c r="P326" s="9">
        <v>45531</v>
      </c>
      <c r="Q326" t="s">
        <v>44</v>
      </c>
      <c r="R326" t="s">
        <v>45</v>
      </c>
      <c r="S326" t="s">
        <v>46</v>
      </c>
      <c r="T326" t="s">
        <v>84</v>
      </c>
      <c r="U326" t="s">
        <v>1058</v>
      </c>
      <c r="V326">
        <v>18000</v>
      </c>
      <c r="W326" t="s">
        <v>45</v>
      </c>
      <c r="X326" t="s">
        <v>74</v>
      </c>
      <c r="Y326" t="s">
        <v>50</v>
      </c>
      <c r="Z326" s="10">
        <f t="shared" si="25"/>
        <v>9</v>
      </c>
      <c r="AA326" s="11">
        <v>0</v>
      </c>
      <c r="AB326" s="11">
        <v>-2</v>
      </c>
      <c r="AC326" s="11">
        <v>0</v>
      </c>
      <c r="AD326" s="11">
        <v>0</v>
      </c>
      <c r="AE326" s="11">
        <v>0</v>
      </c>
      <c r="AF326" s="11">
        <f t="shared" si="26"/>
        <v>0.42</v>
      </c>
      <c r="AG326" s="11">
        <f t="shared" si="27"/>
        <v>7.42</v>
      </c>
      <c r="AH326" t="s">
        <v>51</v>
      </c>
    </row>
    <row r="327" spans="1:34" ht="15" customHeight="1" x14ac:dyDescent="0.25">
      <c r="A327">
        <v>7547676</v>
      </c>
      <c r="B327" t="s">
        <v>34</v>
      </c>
      <c r="C327" t="s">
        <v>35</v>
      </c>
      <c r="D327" s="6" t="s">
        <v>34</v>
      </c>
      <c r="E327" t="s">
        <v>1059</v>
      </c>
      <c r="F327" t="s">
        <v>37</v>
      </c>
      <c r="G327" t="s">
        <v>38</v>
      </c>
      <c r="H327" t="s">
        <v>1060</v>
      </c>
      <c r="I327" t="s">
        <v>40</v>
      </c>
      <c r="J327">
        <v>2</v>
      </c>
      <c r="K327" t="s">
        <v>41</v>
      </c>
      <c r="L327" t="s">
        <v>42</v>
      </c>
      <c r="M327" t="s">
        <v>43</v>
      </c>
      <c r="N327" s="7">
        <v>1</v>
      </c>
      <c r="O327" s="8">
        <v>45528.826168981483</v>
      </c>
      <c r="P327" s="9">
        <v>45531</v>
      </c>
      <c r="Q327" t="s">
        <v>44</v>
      </c>
      <c r="R327" t="s">
        <v>45</v>
      </c>
      <c r="S327" t="s">
        <v>46</v>
      </c>
      <c r="T327" t="s">
        <v>107</v>
      </c>
      <c r="U327" t="s">
        <v>1061</v>
      </c>
      <c r="V327">
        <v>9000</v>
      </c>
      <c r="W327" t="s">
        <v>45</v>
      </c>
      <c r="X327" t="s">
        <v>126</v>
      </c>
      <c r="Y327" t="s">
        <v>50</v>
      </c>
      <c r="Z327" s="10">
        <f t="shared" si="25"/>
        <v>9</v>
      </c>
      <c r="AA327" s="11">
        <v>0</v>
      </c>
      <c r="AB327" s="11">
        <v>-2</v>
      </c>
      <c r="AC327" s="11">
        <v>0</v>
      </c>
      <c r="AD327" s="11">
        <v>0</v>
      </c>
      <c r="AE327" s="11">
        <v>0</v>
      </c>
      <c r="AF327" s="11">
        <f t="shared" si="26"/>
        <v>0.42</v>
      </c>
      <c r="AG327" s="11">
        <f t="shared" si="27"/>
        <v>7.42</v>
      </c>
      <c r="AH327" t="s">
        <v>51</v>
      </c>
    </row>
    <row r="328" spans="1:34" ht="15" customHeight="1" x14ac:dyDescent="0.25">
      <c r="A328">
        <v>7547676</v>
      </c>
      <c r="B328" t="s">
        <v>34</v>
      </c>
      <c r="C328" t="s">
        <v>35</v>
      </c>
      <c r="D328" s="6" t="s">
        <v>34</v>
      </c>
      <c r="E328" t="s">
        <v>1062</v>
      </c>
      <c r="F328" t="s">
        <v>37</v>
      </c>
      <c r="G328" t="s">
        <v>38</v>
      </c>
      <c r="H328" t="s">
        <v>1063</v>
      </c>
      <c r="I328" t="s">
        <v>40</v>
      </c>
      <c r="J328">
        <v>2</v>
      </c>
      <c r="K328" t="s">
        <v>41</v>
      </c>
      <c r="L328" t="s">
        <v>42</v>
      </c>
      <c r="M328" t="s">
        <v>43</v>
      </c>
      <c r="N328" s="7">
        <v>1</v>
      </c>
      <c r="O328" s="8">
        <v>45529.689675925925</v>
      </c>
      <c r="P328" s="9">
        <v>45531</v>
      </c>
      <c r="Q328" t="s">
        <v>44</v>
      </c>
      <c r="R328" t="s">
        <v>45</v>
      </c>
      <c r="S328" t="s">
        <v>46</v>
      </c>
      <c r="T328" t="s">
        <v>59</v>
      </c>
      <c r="U328" t="s">
        <v>1064</v>
      </c>
      <c r="V328">
        <v>14400</v>
      </c>
      <c r="W328" t="s">
        <v>45</v>
      </c>
      <c r="X328" t="s">
        <v>374</v>
      </c>
      <c r="Y328" t="s">
        <v>50</v>
      </c>
      <c r="Z328" s="10">
        <f t="shared" si="25"/>
        <v>9</v>
      </c>
      <c r="AA328" s="11">
        <v>0</v>
      </c>
      <c r="AB328" s="11">
        <v>-2</v>
      </c>
      <c r="AC328" s="11">
        <v>0</v>
      </c>
      <c r="AD328" s="11">
        <v>0</v>
      </c>
      <c r="AE328" s="11">
        <v>0</v>
      </c>
      <c r="AF328" s="11">
        <f t="shared" si="26"/>
        <v>0.42</v>
      </c>
      <c r="AG328" s="11">
        <f t="shared" si="27"/>
        <v>7.42</v>
      </c>
      <c r="AH328" t="s">
        <v>51</v>
      </c>
    </row>
    <row r="329" spans="1:34" ht="15" customHeight="1" x14ac:dyDescent="0.25">
      <c r="A329">
        <v>7547676</v>
      </c>
      <c r="B329" t="s">
        <v>34</v>
      </c>
      <c r="C329" t="s">
        <v>35</v>
      </c>
      <c r="D329" s="6" t="s">
        <v>34</v>
      </c>
      <c r="E329" t="s">
        <v>1065</v>
      </c>
      <c r="F329" t="s">
        <v>37</v>
      </c>
      <c r="G329" t="s">
        <v>38</v>
      </c>
      <c r="H329" t="s">
        <v>1066</v>
      </c>
      <c r="I329" t="s">
        <v>40</v>
      </c>
      <c r="J329">
        <v>2</v>
      </c>
      <c r="K329" t="s">
        <v>41</v>
      </c>
      <c r="L329" t="s">
        <v>42</v>
      </c>
      <c r="M329" t="s">
        <v>43</v>
      </c>
      <c r="N329" s="7">
        <v>2</v>
      </c>
      <c r="O329" s="8">
        <v>45530.491365740738</v>
      </c>
      <c r="P329" s="9">
        <v>45531</v>
      </c>
      <c r="Q329" t="s">
        <v>44</v>
      </c>
      <c r="R329" t="s">
        <v>45</v>
      </c>
      <c r="S329" t="s">
        <v>46</v>
      </c>
      <c r="T329" t="s">
        <v>151</v>
      </c>
      <c r="U329" t="s">
        <v>1067</v>
      </c>
      <c r="V329">
        <v>75450</v>
      </c>
      <c r="W329" t="s">
        <v>45</v>
      </c>
      <c r="X329" t="s">
        <v>200</v>
      </c>
      <c r="Y329" t="s">
        <v>50</v>
      </c>
      <c r="Z329" s="10">
        <f t="shared" si="25"/>
        <v>9.8000000000000007</v>
      </c>
      <c r="AA329" s="11">
        <v>0</v>
      </c>
      <c r="AB329" s="11">
        <v>-2</v>
      </c>
      <c r="AC329" s="11">
        <v>0</v>
      </c>
      <c r="AD329" s="11">
        <v>0</v>
      </c>
      <c r="AE329" s="11">
        <v>0</v>
      </c>
      <c r="AF329" s="11">
        <f t="shared" si="26"/>
        <v>0.46800000000000003</v>
      </c>
      <c r="AG329" s="11">
        <f t="shared" si="27"/>
        <v>8.2680000000000007</v>
      </c>
      <c r="AH329" t="s">
        <v>51</v>
      </c>
    </row>
    <row r="330" spans="1:34" ht="15" customHeight="1" x14ac:dyDescent="0.25">
      <c r="A330">
        <v>7547676</v>
      </c>
      <c r="B330" t="s">
        <v>34</v>
      </c>
      <c r="C330" t="s">
        <v>35</v>
      </c>
      <c r="D330" s="6" t="s">
        <v>34</v>
      </c>
      <c r="E330" t="s">
        <v>1068</v>
      </c>
      <c r="F330" t="s">
        <v>37</v>
      </c>
      <c r="G330" t="s">
        <v>38</v>
      </c>
      <c r="H330" t="s">
        <v>1069</v>
      </c>
      <c r="I330" t="s">
        <v>40</v>
      </c>
      <c r="J330">
        <v>2</v>
      </c>
      <c r="K330" t="s">
        <v>41</v>
      </c>
      <c r="L330" t="s">
        <v>42</v>
      </c>
      <c r="M330" t="s">
        <v>43</v>
      </c>
      <c r="N330" s="7">
        <v>1</v>
      </c>
      <c r="O330" s="8">
        <v>45529.715983796297</v>
      </c>
      <c r="P330" s="9">
        <v>45531</v>
      </c>
      <c r="Q330" t="s">
        <v>44</v>
      </c>
      <c r="R330" t="s">
        <v>45</v>
      </c>
      <c r="S330" t="s">
        <v>46</v>
      </c>
      <c r="T330" t="s">
        <v>92</v>
      </c>
      <c r="U330" t="s">
        <v>1070</v>
      </c>
      <c r="V330">
        <v>41200</v>
      </c>
      <c r="W330" t="s">
        <v>45</v>
      </c>
      <c r="X330" t="s">
        <v>69</v>
      </c>
      <c r="Y330" t="s">
        <v>50</v>
      </c>
      <c r="Z330" s="10">
        <f t="shared" si="25"/>
        <v>9</v>
      </c>
      <c r="AA330" s="11">
        <v>0</v>
      </c>
      <c r="AB330" s="11">
        <v>-2</v>
      </c>
      <c r="AC330" s="11">
        <v>0</v>
      </c>
      <c r="AD330" s="11">
        <v>0</v>
      </c>
      <c r="AE330" s="11">
        <v>0</v>
      </c>
      <c r="AF330" s="11">
        <f t="shared" si="26"/>
        <v>0.42</v>
      </c>
      <c r="AG330" s="11">
        <f t="shared" si="27"/>
        <v>7.42</v>
      </c>
      <c r="AH330" t="s">
        <v>51</v>
      </c>
    </row>
    <row r="331" spans="1:34" ht="15" customHeight="1" x14ac:dyDescent="0.25">
      <c r="A331">
        <v>7547676</v>
      </c>
      <c r="B331" t="s">
        <v>34</v>
      </c>
      <c r="C331" t="s">
        <v>35</v>
      </c>
      <c r="D331" s="6" t="s">
        <v>34</v>
      </c>
      <c r="E331" t="s">
        <v>1071</v>
      </c>
      <c r="F331" t="s">
        <v>37</v>
      </c>
      <c r="G331" t="s">
        <v>38</v>
      </c>
      <c r="H331" t="s">
        <v>1072</v>
      </c>
      <c r="I331" t="s">
        <v>40</v>
      </c>
      <c r="J331">
        <v>2</v>
      </c>
      <c r="K331" t="s">
        <v>41</v>
      </c>
      <c r="L331" t="s">
        <v>42</v>
      </c>
      <c r="M331" t="s">
        <v>43</v>
      </c>
      <c r="N331" s="7">
        <v>1</v>
      </c>
      <c r="O331" s="8">
        <v>45529.732002314813</v>
      </c>
      <c r="P331" s="9">
        <v>45531</v>
      </c>
      <c r="Q331" t="s">
        <v>44</v>
      </c>
      <c r="R331" t="s">
        <v>45</v>
      </c>
      <c r="S331" t="s">
        <v>46</v>
      </c>
      <c r="T331" t="s">
        <v>59</v>
      </c>
      <c r="U331" t="s">
        <v>1073</v>
      </c>
      <c r="V331">
        <v>13050</v>
      </c>
      <c r="W331" t="s">
        <v>45</v>
      </c>
      <c r="X331" t="s">
        <v>61</v>
      </c>
      <c r="Y331" t="s">
        <v>50</v>
      </c>
      <c r="Z331" s="10">
        <f t="shared" si="25"/>
        <v>9</v>
      </c>
      <c r="AA331" s="11">
        <v>0</v>
      </c>
      <c r="AB331" s="11">
        <v>-2</v>
      </c>
      <c r="AC331" s="11">
        <v>0</v>
      </c>
      <c r="AD331" s="11">
        <v>0</v>
      </c>
      <c r="AE331" s="11">
        <v>0</v>
      </c>
      <c r="AF331" s="11">
        <f t="shared" si="26"/>
        <v>0.42</v>
      </c>
      <c r="AG331" s="11">
        <f t="shared" si="27"/>
        <v>7.42</v>
      </c>
      <c r="AH331" t="s">
        <v>51</v>
      </c>
    </row>
    <row r="332" spans="1:34" ht="15" customHeight="1" x14ac:dyDescent="0.25">
      <c r="A332">
        <v>7547676</v>
      </c>
      <c r="B332" t="s">
        <v>34</v>
      </c>
      <c r="C332" t="s">
        <v>35</v>
      </c>
      <c r="D332" s="6" t="s">
        <v>34</v>
      </c>
      <c r="E332" t="s">
        <v>1074</v>
      </c>
      <c r="F332" t="s">
        <v>37</v>
      </c>
      <c r="G332" t="s">
        <v>38</v>
      </c>
      <c r="H332" t="s">
        <v>1075</v>
      </c>
      <c r="I332" t="s">
        <v>40</v>
      </c>
      <c r="J332">
        <v>2</v>
      </c>
      <c r="K332" t="s">
        <v>41</v>
      </c>
      <c r="L332" t="s">
        <v>42</v>
      </c>
      <c r="M332" t="s">
        <v>43</v>
      </c>
      <c r="N332" s="7">
        <v>1</v>
      </c>
      <c r="O332" s="8">
        <v>45529.73951388889</v>
      </c>
      <c r="P332" s="9">
        <v>45531</v>
      </c>
      <c r="Q332" t="s">
        <v>44</v>
      </c>
      <c r="R332" t="s">
        <v>45</v>
      </c>
      <c r="S332" t="s">
        <v>46</v>
      </c>
      <c r="T332" t="s">
        <v>47</v>
      </c>
      <c r="U332" t="s">
        <v>1076</v>
      </c>
      <c r="V332">
        <v>31500</v>
      </c>
      <c r="W332" t="s">
        <v>45</v>
      </c>
      <c r="X332" t="s">
        <v>89</v>
      </c>
      <c r="Y332" t="s">
        <v>50</v>
      </c>
      <c r="Z332" s="10">
        <f t="shared" si="25"/>
        <v>9</v>
      </c>
      <c r="AA332" s="11">
        <v>0</v>
      </c>
      <c r="AB332" s="11">
        <v>-2</v>
      </c>
      <c r="AC332" s="11">
        <v>0</v>
      </c>
      <c r="AD332" s="11">
        <v>0</v>
      </c>
      <c r="AE332" s="11">
        <v>0</v>
      </c>
      <c r="AF332" s="11">
        <f t="shared" si="26"/>
        <v>0.42</v>
      </c>
      <c r="AG332" s="11">
        <f t="shared" si="27"/>
        <v>7.42</v>
      </c>
      <c r="AH332" t="s">
        <v>51</v>
      </c>
    </row>
    <row r="333" spans="1:34" ht="15" customHeight="1" x14ac:dyDescent="0.25">
      <c r="A333">
        <v>7547676</v>
      </c>
      <c r="B333" t="s">
        <v>34</v>
      </c>
      <c r="C333" t="s">
        <v>35</v>
      </c>
      <c r="D333" s="6" t="s">
        <v>34</v>
      </c>
      <c r="E333" t="s">
        <v>1077</v>
      </c>
      <c r="F333" t="s">
        <v>37</v>
      </c>
      <c r="G333" t="s">
        <v>38</v>
      </c>
      <c r="H333" t="s">
        <v>1078</v>
      </c>
      <c r="I333" t="s">
        <v>40</v>
      </c>
      <c r="J333">
        <v>2</v>
      </c>
      <c r="K333" t="s">
        <v>41</v>
      </c>
      <c r="L333" t="s">
        <v>42</v>
      </c>
      <c r="M333" t="s">
        <v>43</v>
      </c>
      <c r="N333" s="7">
        <v>1</v>
      </c>
      <c r="O333" s="8">
        <v>45529.708136574074</v>
      </c>
      <c r="P333" s="9">
        <v>45531</v>
      </c>
      <c r="Q333" t="s">
        <v>44</v>
      </c>
      <c r="R333" t="s">
        <v>45</v>
      </c>
      <c r="S333" t="s">
        <v>46</v>
      </c>
      <c r="T333" t="s">
        <v>92</v>
      </c>
      <c r="U333" t="s">
        <v>1079</v>
      </c>
      <c r="V333">
        <v>47620</v>
      </c>
      <c r="W333" t="s">
        <v>45</v>
      </c>
      <c r="X333" t="s">
        <v>69</v>
      </c>
      <c r="Y333" t="s">
        <v>50</v>
      </c>
      <c r="Z333" s="10">
        <f t="shared" si="25"/>
        <v>9</v>
      </c>
      <c r="AA333" s="11">
        <v>0</v>
      </c>
      <c r="AB333" s="11">
        <v>-2</v>
      </c>
      <c r="AC333" s="11">
        <v>0</v>
      </c>
      <c r="AD333" s="11">
        <v>0</v>
      </c>
      <c r="AE333" s="11">
        <v>0</v>
      </c>
      <c r="AF333" s="11">
        <f t="shared" si="26"/>
        <v>0.42</v>
      </c>
      <c r="AG333" s="11">
        <f t="shared" si="27"/>
        <v>7.42</v>
      </c>
      <c r="AH333" t="s">
        <v>51</v>
      </c>
    </row>
    <row r="334" spans="1:34" ht="15" customHeight="1" x14ac:dyDescent="0.25">
      <c r="A334">
        <v>7547676</v>
      </c>
      <c r="B334" t="s">
        <v>34</v>
      </c>
      <c r="C334" t="s">
        <v>35</v>
      </c>
      <c r="D334" s="6" t="s">
        <v>34</v>
      </c>
      <c r="E334" t="s">
        <v>1080</v>
      </c>
      <c r="F334" t="s">
        <v>37</v>
      </c>
      <c r="G334" t="s">
        <v>38</v>
      </c>
      <c r="H334" t="s">
        <v>1081</v>
      </c>
      <c r="I334" t="s">
        <v>40</v>
      </c>
      <c r="J334">
        <v>2</v>
      </c>
      <c r="K334" t="s">
        <v>41</v>
      </c>
      <c r="L334" t="s">
        <v>42</v>
      </c>
      <c r="M334" t="s">
        <v>43</v>
      </c>
      <c r="N334" s="7">
        <v>1</v>
      </c>
      <c r="O334" s="8">
        <v>45528.826168981483</v>
      </c>
      <c r="P334" s="9">
        <v>45531</v>
      </c>
      <c r="Q334" t="s">
        <v>44</v>
      </c>
      <c r="R334" t="s">
        <v>45</v>
      </c>
      <c r="S334" t="s">
        <v>46</v>
      </c>
      <c r="T334" t="s">
        <v>47</v>
      </c>
      <c r="U334" t="s">
        <v>1082</v>
      </c>
      <c r="V334">
        <v>31400</v>
      </c>
      <c r="W334" t="s">
        <v>45</v>
      </c>
      <c r="X334" t="s">
        <v>89</v>
      </c>
      <c r="Y334" t="s">
        <v>50</v>
      </c>
      <c r="Z334" s="10">
        <f t="shared" si="25"/>
        <v>9</v>
      </c>
      <c r="AA334" s="11">
        <v>0</v>
      </c>
      <c r="AB334" s="11">
        <v>-2</v>
      </c>
      <c r="AC334" s="11">
        <v>0</v>
      </c>
      <c r="AD334" s="11">
        <v>0</v>
      </c>
      <c r="AE334" s="11">
        <v>0</v>
      </c>
      <c r="AF334" s="11">
        <f t="shared" si="26"/>
        <v>0.42</v>
      </c>
      <c r="AG334" s="11">
        <f t="shared" si="27"/>
        <v>7.42</v>
      </c>
      <c r="AH334" t="s">
        <v>51</v>
      </c>
    </row>
    <row r="335" spans="1:34" ht="15" customHeight="1" x14ac:dyDescent="0.25">
      <c r="A335">
        <v>7547676</v>
      </c>
      <c r="B335" t="s">
        <v>34</v>
      </c>
      <c r="C335" t="s">
        <v>35</v>
      </c>
      <c r="D335" s="6" t="s">
        <v>34</v>
      </c>
      <c r="E335" t="s">
        <v>1083</v>
      </c>
      <c r="F335" t="s">
        <v>37</v>
      </c>
      <c r="G335" t="s">
        <v>38</v>
      </c>
      <c r="H335" t="s">
        <v>1084</v>
      </c>
      <c r="I335" t="s">
        <v>40</v>
      </c>
      <c r="J335">
        <v>2</v>
      </c>
      <c r="K335" t="s">
        <v>41</v>
      </c>
      <c r="L335" t="s">
        <v>42</v>
      </c>
      <c r="M335" t="s">
        <v>43</v>
      </c>
      <c r="N335" s="7">
        <v>1</v>
      </c>
      <c r="O335" s="8">
        <v>45530.634155092594</v>
      </c>
      <c r="P335" s="9">
        <v>45531</v>
      </c>
      <c r="Q335" t="s">
        <v>44</v>
      </c>
      <c r="R335" t="s">
        <v>45</v>
      </c>
      <c r="S335" t="s">
        <v>46</v>
      </c>
      <c r="T335" t="s">
        <v>223</v>
      </c>
      <c r="U335" t="s">
        <v>1085</v>
      </c>
      <c r="V335">
        <v>26060</v>
      </c>
      <c r="W335" t="s">
        <v>45</v>
      </c>
      <c r="X335" t="s">
        <v>225</v>
      </c>
      <c r="Y335" t="s">
        <v>50</v>
      </c>
      <c r="Z335" s="10">
        <f t="shared" si="25"/>
        <v>9</v>
      </c>
      <c r="AA335" s="11">
        <v>0</v>
      </c>
      <c r="AB335" s="11">
        <v>-2</v>
      </c>
      <c r="AC335" s="11">
        <v>0</v>
      </c>
      <c r="AD335" s="11">
        <v>0</v>
      </c>
      <c r="AE335" s="11">
        <v>0</v>
      </c>
      <c r="AF335" s="11">
        <f t="shared" si="26"/>
        <v>0.42</v>
      </c>
      <c r="AG335" s="11">
        <f t="shared" si="27"/>
        <v>7.42</v>
      </c>
      <c r="AH335" t="s">
        <v>51</v>
      </c>
    </row>
    <row r="336" spans="1:34" ht="15" customHeight="1" x14ac:dyDescent="0.25">
      <c r="A336">
        <v>7547676</v>
      </c>
      <c r="B336" t="s">
        <v>34</v>
      </c>
      <c r="C336" t="s">
        <v>35</v>
      </c>
      <c r="D336" s="6" t="s">
        <v>34</v>
      </c>
      <c r="E336" t="s">
        <v>1086</v>
      </c>
      <c r="F336" t="s">
        <v>37</v>
      </c>
      <c r="G336" t="s">
        <v>38</v>
      </c>
      <c r="H336" t="s">
        <v>1087</v>
      </c>
      <c r="I336" t="s">
        <v>40</v>
      </c>
      <c r="J336">
        <v>2</v>
      </c>
      <c r="K336" t="s">
        <v>41</v>
      </c>
      <c r="L336" t="s">
        <v>42</v>
      </c>
      <c r="M336" t="s">
        <v>43</v>
      </c>
      <c r="N336" s="7">
        <v>15</v>
      </c>
      <c r="O336" s="8">
        <v>45530.422893518517</v>
      </c>
      <c r="P336" s="9">
        <v>45531</v>
      </c>
      <c r="Q336" t="s">
        <v>44</v>
      </c>
      <c r="R336" t="s">
        <v>45</v>
      </c>
      <c r="S336" t="s">
        <v>46</v>
      </c>
      <c r="T336" t="s">
        <v>72</v>
      </c>
      <c r="U336" t="s">
        <v>1088</v>
      </c>
      <c r="V336">
        <v>21100</v>
      </c>
      <c r="W336" t="s">
        <v>45</v>
      </c>
      <c r="X336" t="s">
        <v>557</v>
      </c>
      <c r="Y336" t="s">
        <v>50</v>
      </c>
      <c r="Z336" s="10">
        <f t="shared" si="25"/>
        <v>20.200000000000003</v>
      </c>
      <c r="AA336" s="11">
        <v>0</v>
      </c>
      <c r="AB336" s="11">
        <v>-2</v>
      </c>
      <c r="AC336" s="11">
        <v>0</v>
      </c>
      <c r="AD336" s="11">
        <v>0</v>
      </c>
      <c r="AE336" s="11">
        <v>0</v>
      </c>
      <c r="AF336" s="11">
        <f t="shared" si="26"/>
        <v>1.0920000000000001</v>
      </c>
      <c r="AG336" s="11">
        <f t="shared" si="27"/>
        <v>19.292000000000002</v>
      </c>
      <c r="AH336" t="s">
        <v>51</v>
      </c>
    </row>
    <row r="337" spans="1:34" ht="15" customHeight="1" x14ac:dyDescent="0.25">
      <c r="A337">
        <v>7547676</v>
      </c>
      <c r="B337" t="s">
        <v>34</v>
      </c>
      <c r="C337" t="s">
        <v>35</v>
      </c>
      <c r="D337" s="6" t="s">
        <v>34</v>
      </c>
      <c r="E337" t="s">
        <v>1089</v>
      </c>
      <c r="F337" t="s">
        <v>37</v>
      </c>
      <c r="G337" t="s">
        <v>38</v>
      </c>
      <c r="H337" t="s">
        <v>1090</v>
      </c>
      <c r="I337" t="s">
        <v>40</v>
      </c>
      <c r="J337">
        <v>2</v>
      </c>
      <c r="K337" t="s">
        <v>41</v>
      </c>
      <c r="L337" t="s">
        <v>42</v>
      </c>
      <c r="M337" t="s">
        <v>43</v>
      </c>
      <c r="N337" s="7">
        <v>2</v>
      </c>
      <c r="O337" s="8">
        <v>45530.493935185186</v>
      </c>
      <c r="P337" s="9">
        <v>45531</v>
      </c>
      <c r="Q337" t="s">
        <v>44</v>
      </c>
      <c r="R337" t="s">
        <v>45</v>
      </c>
      <c r="S337" t="s">
        <v>46</v>
      </c>
      <c r="T337" t="s">
        <v>92</v>
      </c>
      <c r="U337" t="s">
        <v>1091</v>
      </c>
      <c r="V337">
        <v>68100</v>
      </c>
      <c r="W337" t="s">
        <v>45</v>
      </c>
      <c r="X337" t="s">
        <v>842</v>
      </c>
      <c r="Y337" t="s">
        <v>50</v>
      </c>
      <c r="Z337" s="10">
        <f t="shared" si="25"/>
        <v>9.8000000000000007</v>
      </c>
      <c r="AA337" s="11">
        <v>0</v>
      </c>
      <c r="AB337" s="11">
        <v>-2</v>
      </c>
      <c r="AC337" s="11">
        <v>0</v>
      </c>
      <c r="AD337" s="11">
        <v>0</v>
      </c>
      <c r="AE337" s="11">
        <v>0</v>
      </c>
      <c r="AF337" s="11">
        <f t="shared" si="26"/>
        <v>0.46800000000000003</v>
      </c>
      <c r="AG337" s="11">
        <f t="shared" si="27"/>
        <v>8.2680000000000007</v>
      </c>
      <c r="AH337" t="s">
        <v>51</v>
      </c>
    </row>
    <row r="338" spans="1:34" ht="15" customHeight="1" x14ac:dyDescent="0.25">
      <c r="A338">
        <v>7547676</v>
      </c>
      <c r="B338" t="s">
        <v>34</v>
      </c>
      <c r="C338" t="s">
        <v>35</v>
      </c>
      <c r="D338" s="6" t="s">
        <v>34</v>
      </c>
      <c r="E338" t="s">
        <v>1092</v>
      </c>
      <c r="F338" t="s">
        <v>37</v>
      </c>
      <c r="G338" t="s">
        <v>38</v>
      </c>
      <c r="H338" t="s">
        <v>1093</v>
      </c>
      <c r="I338" t="s">
        <v>40</v>
      </c>
      <c r="J338">
        <v>2</v>
      </c>
      <c r="K338" t="s">
        <v>41</v>
      </c>
      <c r="L338" t="s">
        <v>42</v>
      </c>
      <c r="M338" t="s">
        <v>43</v>
      </c>
      <c r="N338" s="7">
        <v>1</v>
      </c>
      <c r="O338" s="8">
        <v>45529.715983796297</v>
      </c>
      <c r="P338" s="9">
        <v>45531</v>
      </c>
      <c r="Q338" t="s">
        <v>44</v>
      </c>
      <c r="R338" t="s">
        <v>45</v>
      </c>
      <c r="S338" t="s">
        <v>46</v>
      </c>
      <c r="T338" t="s">
        <v>47</v>
      </c>
      <c r="U338" t="s">
        <v>1094</v>
      </c>
      <c r="V338">
        <v>34500</v>
      </c>
      <c r="W338" t="s">
        <v>45</v>
      </c>
      <c r="X338" t="s">
        <v>285</v>
      </c>
      <c r="Y338" t="s">
        <v>50</v>
      </c>
      <c r="Z338" s="10">
        <f t="shared" si="25"/>
        <v>9</v>
      </c>
      <c r="AA338" s="11">
        <v>0</v>
      </c>
      <c r="AB338" s="11">
        <v>-2</v>
      </c>
      <c r="AC338" s="11">
        <v>0</v>
      </c>
      <c r="AD338" s="11">
        <v>0</v>
      </c>
      <c r="AE338" s="11">
        <v>0</v>
      </c>
      <c r="AF338" s="11">
        <f t="shared" si="26"/>
        <v>0.42</v>
      </c>
      <c r="AG338" s="11">
        <f t="shared" si="27"/>
        <v>7.42</v>
      </c>
      <c r="AH338" t="s">
        <v>51</v>
      </c>
    </row>
    <row r="339" spans="1:34" ht="15" customHeight="1" x14ac:dyDescent="0.25">
      <c r="A339">
        <v>7547676</v>
      </c>
      <c r="B339" t="s">
        <v>34</v>
      </c>
      <c r="C339" t="s">
        <v>35</v>
      </c>
      <c r="D339" s="6" t="s">
        <v>34</v>
      </c>
      <c r="E339" t="s">
        <v>1095</v>
      </c>
      <c r="F339" t="s">
        <v>37</v>
      </c>
      <c r="G339" t="s">
        <v>38</v>
      </c>
      <c r="H339" t="s">
        <v>1096</v>
      </c>
      <c r="I339" t="s">
        <v>40</v>
      </c>
      <c r="J339">
        <v>2</v>
      </c>
      <c r="K339" t="s">
        <v>41</v>
      </c>
      <c r="L339" t="s">
        <v>42</v>
      </c>
      <c r="M339" t="s">
        <v>43</v>
      </c>
      <c r="N339" s="7">
        <v>1</v>
      </c>
      <c r="O339" s="8">
        <v>45529.749108796299</v>
      </c>
      <c r="P339" s="9">
        <v>45531</v>
      </c>
      <c r="Q339" t="s">
        <v>44</v>
      </c>
      <c r="R339" t="s">
        <v>45</v>
      </c>
      <c r="S339" t="s">
        <v>46</v>
      </c>
      <c r="T339" t="s">
        <v>54</v>
      </c>
      <c r="U339" t="s">
        <v>1097</v>
      </c>
      <c r="V339">
        <v>81900</v>
      </c>
      <c r="W339" t="s">
        <v>45</v>
      </c>
      <c r="X339" t="s">
        <v>1049</v>
      </c>
      <c r="Y339" t="s">
        <v>50</v>
      </c>
      <c r="Z339" s="10">
        <f t="shared" si="25"/>
        <v>9</v>
      </c>
      <c r="AA339" s="11">
        <v>0</v>
      </c>
      <c r="AB339" s="11">
        <v>-2</v>
      </c>
      <c r="AC339" s="11">
        <v>0</v>
      </c>
      <c r="AD339" s="11">
        <v>0</v>
      </c>
      <c r="AE339" s="11">
        <v>0</v>
      </c>
      <c r="AF339" s="11">
        <f t="shared" si="26"/>
        <v>0.42</v>
      </c>
      <c r="AG339" s="11">
        <f t="shared" si="27"/>
        <v>7.42</v>
      </c>
      <c r="AH339" t="s">
        <v>51</v>
      </c>
    </row>
    <row r="340" spans="1:34" ht="15" customHeight="1" x14ac:dyDescent="0.25">
      <c r="A340">
        <v>7547676</v>
      </c>
      <c r="B340" t="s">
        <v>34</v>
      </c>
      <c r="C340" t="s">
        <v>35</v>
      </c>
      <c r="D340" s="6" t="s">
        <v>34</v>
      </c>
      <c r="E340" t="s">
        <v>1098</v>
      </c>
      <c r="F340" t="s">
        <v>37</v>
      </c>
      <c r="G340" t="s">
        <v>38</v>
      </c>
      <c r="H340" t="s">
        <v>1099</v>
      </c>
      <c r="I340" t="s">
        <v>40</v>
      </c>
      <c r="J340">
        <v>2</v>
      </c>
      <c r="K340" t="s">
        <v>41</v>
      </c>
      <c r="L340" t="s">
        <v>42</v>
      </c>
      <c r="M340" t="s">
        <v>43</v>
      </c>
      <c r="N340" s="7">
        <v>1</v>
      </c>
      <c r="O340" s="8">
        <v>45528.826168981483</v>
      </c>
      <c r="P340" s="9">
        <v>45531</v>
      </c>
      <c r="Q340" t="s">
        <v>44</v>
      </c>
      <c r="R340" t="s">
        <v>45</v>
      </c>
      <c r="S340" t="s">
        <v>46</v>
      </c>
      <c r="T340" t="s">
        <v>59</v>
      </c>
      <c r="U340" t="s">
        <v>1100</v>
      </c>
      <c r="V340">
        <v>10150</v>
      </c>
      <c r="W340" t="s">
        <v>45</v>
      </c>
      <c r="X340" t="s">
        <v>609</v>
      </c>
      <c r="Y340" t="s">
        <v>50</v>
      </c>
      <c r="Z340" s="10">
        <f t="shared" si="25"/>
        <v>9</v>
      </c>
      <c r="AA340" s="11">
        <v>0</v>
      </c>
      <c r="AB340" s="11">
        <v>-2</v>
      </c>
      <c r="AC340" s="11">
        <v>0</v>
      </c>
      <c r="AD340" s="11">
        <v>0</v>
      </c>
      <c r="AE340" s="11">
        <v>0</v>
      </c>
      <c r="AF340" s="11">
        <f t="shared" si="26"/>
        <v>0.42</v>
      </c>
      <c r="AG340" s="11">
        <f t="shared" si="27"/>
        <v>7.42</v>
      </c>
      <c r="AH340" t="s">
        <v>51</v>
      </c>
    </row>
    <row r="341" spans="1:34" ht="15" customHeight="1" x14ac:dyDescent="0.25">
      <c r="A341">
        <v>7547676</v>
      </c>
      <c r="B341" t="s">
        <v>34</v>
      </c>
      <c r="C341" t="s">
        <v>35</v>
      </c>
      <c r="D341" s="6" t="s">
        <v>34</v>
      </c>
      <c r="E341" t="s">
        <v>1101</v>
      </c>
      <c r="F341" t="s">
        <v>37</v>
      </c>
      <c r="G341" t="s">
        <v>38</v>
      </c>
      <c r="H341" t="s">
        <v>454</v>
      </c>
      <c r="I341" t="s">
        <v>40</v>
      </c>
      <c r="J341">
        <v>2</v>
      </c>
      <c r="K341" t="s">
        <v>41</v>
      </c>
      <c r="L341" t="s">
        <v>42</v>
      </c>
      <c r="M341" t="s">
        <v>43</v>
      </c>
      <c r="N341" s="7">
        <v>6</v>
      </c>
      <c r="O341" s="8">
        <v>45528.818495370368</v>
      </c>
      <c r="P341" s="9">
        <v>45531</v>
      </c>
      <c r="Q341" t="s">
        <v>44</v>
      </c>
      <c r="R341" t="s">
        <v>45</v>
      </c>
      <c r="S341" t="s">
        <v>46</v>
      </c>
      <c r="T341" t="s">
        <v>54</v>
      </c>
      <c r="U341" t="s">
        <v>1102</v>
      </c>
      <c r="V341">
        <v>81750</v>
      </c>
      <c r="W341" t="s">
        <v>45</v>
      </c>
      <c r="X341" t="s">
        <v>65</v>
      </c>
      <c r="Y341" t="s">
        <v>50</v>
      </c>
      <c r="Z341" s="10">
        <f t="shared" si="25"/>
        <v>13</v>
      </c>
      <c r="AA341" s="11">
        <v>0</v>
      </c>
      <c r="AB341" s="11">
        <v>-2</v>
      </c>
      <c r="AC341" s="11">
        <v>0</v>
      </c>
      <c r="AD341" s="11">
        <v>0</v>
      </c>
      <c r="AE341" s="11">
        <v>0</v>
      </c>
      <c r="AF341" s="11">
        <f t="shared" si="26"/>
        <v>0.65999999999999992</v>
      </c>
      <c r="AG341" s="11">
        <f t="shared" si="27"/>
        <v>11.66</v>
      </c>
      <c r="AH341" t="s">
        <v>51</v>
      </c>
    </row>
    <row r="342" spans="1:34" ht="15" customHeight="1" x14ac:dyDescent="0.25">
      <c r="A342">
        <v>7547676</v>
      </c>
      <c r="B342" t="s">
        <v>34</v>
      </c>
      <c r="C342" t="s">
        <v>35</v>
      </c>
      <c r="D342" s="6" t="s">
        <v>34</v>
      </c>
      <c r="E342" t="s">
        <v>1103</v>
      </c>
      <c r="F342" t="s">
        <v>37</v>
      </c>
      <c r="G342" t="s">
        <v>38</v>
      </c>
      <c r="H342" t="s">
        <v>1104</v>
      </c>
      <c r="I342" t="s">
        <v>40</v>
      </c>
      <c r="J342">
        <v>2</v>
      </c>
      <c r="K342" t="s">
        <v>41</v>
      </c>
      <c r="L342" t="s">
        <v>42</v>
      </c>
      <c r="M342" t="s">
        <v>43</v>
      </c>
      <c r="N342" s="7">
        <v>1</v>
      </c>
      <c r="O342" s="8">
        <v>45526.780497685184</v>
      </c>
      <c r="P342" s="9">
        <v>45532</v>
      </c>
      <c r="Q342" t="s">
        <v>44</v>
      </c>
      <c r="R342" t="s">
        <v>45</v>
      </c>
      <c r="S342" t="s">
        <v>46</v>
      </c>
      <c r="T342" t="s">
        <v>312</v>
      </c>
      <c r="U342" t="s">
        <v>1105</v>
      </c>
      <c r="V342">
        <v>98000</v>
      </c>
      <c r="W342" t="s">
        <v>118</v>
      </c>
      <c r="X342" t="s">
        <v>69</v>
      </c>
      <c r="Y342" t="s">
        <v>50</v>
      </c>
      <c r="Z342" s="12">
        <f>IF(N342&lt;=1,13,IF(N342&lt;=2,23,IF(N342&lt;=3,35,IF(N342&lt;=4,43,IF(N342&lt;=5,53,IF(N342&lt;=6,63,IF(N342&lt;=7,71,IF(N342&lt;=8,79,IF(N342&lt;=9,87,IF(N342&lt;=10,95,IF(N342&lt;=11,105,IF(N342&lt;=12,114,IF(N342&lt;=13,119,IF(N342&lt;=14,127,IF(N342&lt;=15,135,IF(N342&lt;=16,143,IF(N342&lt;=17,153,IF(N342&lt;=18,163,IF(N342&lt;=19,171,IF(N342&lt;=20,185,IF(N342&lt;=21,193,IF(N342&lt;=22,201,IF(N342&lt;=23,210,IF(N342&lt;=24,220,IF(N342&lt;=25,230,IF(N342&lt;=26,240,IF(N342&lt;=27,250,IF(N342&lt;=28,260,IF(N342&lt;=29,270,IF(N342&lt;=30,280,280+10*ROUNDUP(N342-30,0)))))))))))))))))))))))))))))))</f>
        <v>13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f t="shared" si="26"/>
        <v>0.78</v>
      </c>
      <c r="AG342" s="11">
        <f t="shared" si="27"/>
        <v>13.78</v>
      </c>
      <c r="AH342" t="s">
        <v>119</v>
      </c>
    </row>
    <row r="343" spans="1:34" ht="15" customHeight="1" x14ac:dyDescent="0.25">
      <c r="A343">
        <v>7547676</v>
      </c>
      <c r="B343" t="s">
        <v>34</v>
      </c>
      <c r="C343" t="s">
        <v>35</v>
      </c>
      <c r="D343" s="6" t="s">
        <v>34</v>
      </c>
      <c r="E343" t="s">
        <v>1106</v>
      </c>
      <c r="F343" t="s">
        <v>37</v>
      </c>
      <c r="G343" t="s">
        <v>38</v>
      </c>
      <c r="H343" t="s">
        <v>1107</v>
      </c>
      <c r="I343" t="s">
        <v>40</v>
      </c>
      <c r="J343">
        <v>2</v>
      </c>
      <c r="K343" t="s">
        <v>41</v>
      </c>
      <c r="L343" t="s">
        <v>42</v>
      </c>
      <c r="M343" t="s">
        <v>43</v>
      </c>
      <c r="N343" s="7">
        <v>1</v>
      </c>
      <c r="O343" s="8">
        <v>45530.623414351852</v>
      </c>
      <c r="P343" s="9">
        <v>45532</v>
      </c>
      <c r="Q343" t="s">
        <v>44</v>
      </c>
      <c r="R343" t="s">
        <v>45</v>
      </c>
      <c r="S343" t="s">
        <v>46</v>
      </c>
      <c r="T343" t="s">
        <v>151</v>
      </c>
      <c r="U343" t="s">
        <v>1108</v>
      </c>
      <c r="V343">
        <v>77200</v>
      </c>
      <c r="W343" t="s">
        <v>45</v>
      </c>
      <c r="X343" t="s">
        <v>153</v>
      </c>
      <c r="Y343" t="s">
        <v>50</v>
      </c>
      <c r="Z343" s="10">
        <f t="shared" ref="Z343:Z373" si="28">IF(N343&lt;=1,9,9+0.8*ROUNDUP(N343-1,0))</f>
        <v>9</v>
      </c>
      <c r="AA343" s="11">
        <v>0</v>
      </c>
      <c r="AB343" s="11">
        <v>-2</v>
      </c>
      <c r="AC343" s="11">
        <v>0</v>
      </c>
      <c r="AD343" s="11">
        <v>0</v>
      </c>
      <c r="AE343" s="11">
        <v>0</v>
      </c>
      <c r="AF343" s="11">
        <f t="shared" si="26"/>
        <v>0.42</v>
      </c>
      <c r="AG343" s="11">
        <f t="shared" si="27"/>
        <v>7.42</v>
      </c>
      <c r="AH343" t="s">
        <v>51</v>
      </c>
    </row>
    <row r="344" spans="1:34" ht="15" customHeight="1" x14ac:dyDescent="0.25">
      <c r="A344">
        <v>7547676</v>
      </c>
      <c r="B344" t="s">
        <v>34</v>
      </c>
      <c r="C344" t="s">
        <v>35</v>
      </c>
      <c r="D344" s="6" t="s">
        <v>34</v>
      </c>
      <c r="E344" t="s">
        <v>1109</v>
      </c>
      <c r="F344" t="s">
        <v>37</v>
      </c>
      <c r="G344" t="s">
        <v>38</v>
      </c>
      <c r="H344" t="s">
        <v>1110</v>
      </c>
      <c r="I344" t="s">
        <v>40</v>
      </c>
      <c r="J344">
        <v>2</v>
      </c>
      <c r="K344" t="s">
        <v>41</v>
      </c>
      <c r="L344" t="s">
        <v>42</v>
      </c>
      <c r="M344" t="s">
        <v>43</v>
      </c>
      <c r="N344" s="7">
        <v>1</v>
      </c>
      <c r="O344" s="8">
        <v>45530.669918981483</v>
      </c>
      <c r="P344" s="9">
        <v>45532</v>
      </c>
      <c r="Q344" t="s">
        <v>44</v>
      </c>
      <c r="R344" t="s">
        <v>45</v>
      </c>
      <c r="S344" t="s">
        <v>46</v>
      </c>
      <c r="T344" t="s">
        <v>151</v>
      </c>
      <c r="U344" t="s">
        <v>1111</v>
      </c>
      <c r="V344">
        <v>75200</v>
      </c>
      <c r="W344" t="s">
        <v>45</v>
      </c>
      <c r="X344" t="s">
        <v>69</v>
      </c>
      <c r="Y344" t="s">
        <v>50</v>
      </c>
      <c r="Z344" s="10">
        <f t="shared" si="28"/>
        <v>9</v>
      </c>
      <c r="AA344" s="11">
        <v>0</v>
      </c>
      <c r="AB344" s="11">
        <v>-2</v>
      </c>
      <c r="AC344" s="11">
        <v>0</v>
      </c>
      <c r="AD344" s="11">
        <v>0</v>
      </c>
      <c r="AE344" s="11">
        <v>0</v>
      </c>
      <c r="AF344" s="11">
        <f t="shared" si="26"/>
        <v>0.42</v>
      </c>
      <c r="AG344" s="11">
        <f t="shared" si="27"/>
        <v>7.42</v>
      </c>
      <c r="AH344" t="s">
        <v>51</v>
      </c>
    </row>
    <row r="345" spans="1:34" ht="15" customHeight="1" x14ac:dyDescent="0.25">
      <c r="A345">
        <v>7547676</v>
      </c>
      <c r="B345" t="s">
        <v>34</v>
      </c>
      <c r="C345" t="s">
        <v>35</v>
      </c>
      <c r="D345" s="6" t="s">
        <v>34</v>
      </c>
      <c r="E345" t="s">
        <v>1112</v>
      </c>
      <c r="F345" t="s">
        <v>37</v>
      </c>
      <c r="G345" t="s">
        <v>38</v>
      </c>
      <c r="H345" t="s">
        <v>555</v>
      </c>
      <c r="I345" t="s">
        <v>40</v>
      </c>
      <c r="J345">
        <v>2</v>
      </c>
      <c r="K345" t="s">
        <v>41</v>
      </c>
      <c r="L345" t="s">
        <v>42</v>
      </c>
      <c r="M345" t="s">
        <v>43</v>
      </c>
      <c r="N345" s="7">
        <v>4</v>
      </c>
      <c r="O345" s="8">
        <v>45531.475034722222</v>
      </c>
      <c r="P345" s="9">
        <v>45532</v>
      </c>
      <c r="Q345" t="s">
        <v>44</v>
      </c>
      <c r="R345" t="s">
        <v>45</v>
      </c>
      <c r="S345" t="s">
        <v>46</v>
      </c>
      <c r="T345" t="s">
        <v>72</v>
      </c>
      <c r="U345" t="s">
        <v>556</v>
      </c>
      <c r="V345">
        <v>20050</v>
      </c>
      <c r="W345" t="s">
        <v>45</v>
      </c>
      <c r="X345" t="s">
        <v>557</v>
      </c>
      <c r="Y345" t="s">
        <v>50</v>
      </c>
      <c r="Z345" s="10">
        <f t="shared" si="28"/>
        <v>11.4</v>
      </c>
      <c r="AA345" s="11">
        <v>0</v>
      </c>
      <c r="AB345" s="11">
        <v>-2</v>
      </c>
      <c r="AC345" s="11">
        <v>0</v>
      </c>
      <c r="AD345" s="11">
        <v>0</v>
      </c>
      <c r="AE345" s="11">
        <v>0</v>
      </c>
      <c r="AF345" s="11">
        <f t="shared" si="26"/>
        <v>0.56399999999999995</v>
      </c>
      <c r="AG345" s="11">
        <f t="shared" si="27"/>
        <v>9.9640000000000004</v>
      </c>
      <c r="AH345" t="s">
        <v>51</v>
      </c>
    </row>
    <row r="346" spans="1:34" ht="15" customHeight="1" x14ac:dyDescent="0.25">
      <c r="A346">
        <v>7547676</v>
      </c>
      <c r="B346" t="s">
        <v>34</v>
      </c>
      <c r="C346" t="s">
        <v>35</v>
      </c>
      <c r="D346" s="6" t="s">
        <v>34</v>
      </c>
      <c r="E346" t="s">
        <v>1113</v>
      </c>
      <c r="F346" t="s">
        <v>37</v>
      </c>
      <c r="G346" t="s">
        <v>38</v>
      </c>
      <c r="H346" t="s">
        <v>1114</v>
      </c>
      <c r="I346" t="s">
        <v>40</v>
      </c>
      <c r="J346">
        <v>2</v>
      </c>
      <c r="K346" t="s">
        <v>41</v>
      </c>
      <c r="L346" t="s">
        <v>42</v>
      </c>
      <c r="M346" t="s">
        <v>43</v>
      </c>
      <c r="N346" s="7">
        <v>1</v>
      </c>
      <c r="O346" s="8">
        <v>45530.634155092594</v>
      </c>
      <c r="P346" s="9">
        <v>45532</v>
      </c>
      <c r="Q346" t="s">
        <v>44</v>
      </c>
      <c r="R346" t="s">
        <v>45</v>
      </c>
      <c r="S346" t="s">
        <v>46</v>
      </c>
      <c r="T346" t="s">
        <v>129</v>
      </c>
      <c r="U346" t="s">
        <v>1115</v>
      </c>
      <c r="V346">
        <v>71700</v>
      </c>
      <c r="W346" t="s">
        <v>45</v>
      </c>
      <c r="X346" t="s">
        <v>174</v>
      </c>
      <c r="Y346" t="s">
        <v>50</v>
      </c>
      <c r="Z346" s="10">
        <f t="shared" si="28"/>
        <v>9</v>
      </c>
      <c r="AA346" s="11">
        <v>0</v>
      </c>
      <c r="AB346" s="11">
        <v>-2</v>
      </c>
      <c r="AC346" s="11">
        <v>0</v>
      </c>
      <c r="AD346" s="11">
        <v>0</v>
      </c>
      <c r="AE346" s="11">
        <v>0</v>
      </c>
      <c r="AF346" s="11">
        <f t="shared" si="26"/>
        <v>0.42</v>
      </c>
      <c r="AG346" s="11">
        <f t="shared" si="27"/>
        <v>7.42</v>
      </c>
      <c r="AH346" t="s">
        <v>51</v>
      </c>
    </row>
    <row r="347" spans="1:34" ht="15" customHeight="1" x14ac:dyDescent="0.25">
      <c r="A347">
        <v>7547676</v>
      </c>
      <c r="B347" t="s">
        <v>34</v>
      </c>
      <c r="C347" t="s">
        <v>35</v>
      </c>
      <c r="D347" s="6" t="s">
        <v>34</v>
      </c>
      <c r="E347" t="s">
        <v>1116</v>
      </c>
      <c r="F347" t="s">
        <v>37</v>
      </c>
      <c r="G347" t="s">
        <v>38</v>
      </c>
      <c r="H347" t="s">
        <v>102</v>
      </c>
      <c r="I347" t="s">
        <v>40</v>
      </c>
      <c r="J347">
        <v>2</v>
      </c>
      <c r="K347" t="s">
        <v>41</v>
      </c>
      <c r="L347" t="s">
        <v>42</v>
      </c>
      <c r="M347" t="s">
        <v>43</v>
      </c>
      <c r="N347" s="7">
        <v>13</v>
      </c>
      <c r="O347" s="8">
        <v>45530.657881944448</v>
      </c>
      <c r="P347" s="9">
        <v>45532</v>
      </c>
      <c r="Q347" t="s">
        <v>44</v>
      </c>
      <c r="R347" t="s">
        <v>45</v>
      </c>
      <c r="S347" t="s">
        <v>46</v>
      </c>
      <c r="T347" t="s">
        <v>92</v>
      </c>
      <c r="U347" t="s">
        <v>103</v>
      </c>
      <c r="V347">
        <v>40000</v>
      </c>
      <c r="W347" t="s">
        <v>45</v>
      </c>
      <c r="X347" t="s">
        <v>104</v>
      </c>
      <c r="Y347" t="s">
        <v>50</v>
      </c>
      <c r="Z347" s="10">
        <f t="shared" si="28"/>
        <v>18.600000000000001</v>
      </c>
      <c r="AA347" s="11">
        <v>0</v>
      </c>
      <c r="AB347" s="11">
        <v>-2</v>
      </c>
      <c r="AC347" s="11">
        <v>0</v>
      </c>
      <c r="AD347" s="11">
        <v>0</v>
      </c>
      <c r="AE347" s="11">
        <v>0</v>
      </c>
      <c r="AF347" s="11">
        <f t="shared" si="26"/>
        <v>0.996</v>
      </c>
      <c r="AG347" s="11">
        <f t="shared" si="27"/>
        <v>17.596</v>
      </c>
      <c r="AH347" t="s">
        <v>51</v>
      </c>
    </row>
    <row r="348" spans="1:34" ht="15" customHeight="1" x14ac:dyDescent="0.25">
      <c r="A348">
        <v>7547676</v>
      </c>
      <c r="B348" t="s">
        <v>34</v>
      </c>
      <c r="C348" t="s">
        <v>35</v>
      </c>
      <c r="D348" s="6" t="s">
        <v>34</v>
      </c>
      <c r="E348" t="s">
        <v>1117</v>
      </c>
      <c r="F348" t="s">
        <v>37</v>
      </c>
      <c r="G348" t="s">
        <v>38</v>
      </c>
      <c r="H348" t="s">
        <v>1118</v>
      </c>
      <c r="I348" t="s">
        <v>40</v>
      </c>
      <c r="J348">
        <v>2</v>
      </c>
      <c r="K348" t="s">
        <v>41</v>
      </c>
      <c r="L348" t="s">
        <v>42</v>
      </c>
      <c r="M348" t="s">
        <v>43</v>
      </c>
      <c r="N348" s="7">
        <v>1</v>
      </c>
      <c r="O348" s="8">
        <v>45531.72215277778</v>
      </c>
      <c r="P348" s="9">
        <v>45532</v>
      </c>
      <c r="Q348" t="s">
        <v>44</v>
      </c>
      <c r="R348" t="s">
        <v>45</v>
      </c>
      <c r="S348" t="s">
        <v>46</v>
      </c>
      <c r="T348" t="s">
        <v>84</v>
      </c>
      <c r="U348" t="s">
        <v>1119</v>
      </c>
      <c r="V348">
        <v>17500</v>
      </c>
      <c r="W348" t="s">
        <v>45</v>
      </c>
      <c r="X348" t="s">
        <v>74</v>
      </c>
      <c r="Y348" t="s">
        <v>50</v>
      </c>
      <c r="Z348" s="10">
        <f t="shared" si="28"/>
        <v>9</v>
      </c>
      <c r="AA348" s="11">
        <v>0</v>
      </c>
      <c r="AB348" s="11">
        <v>-2</v>
      </c>
      <c r="AC348" s="11">
        <v>0</v>
      </c>
      <c r="AD348" s="11">
        <v>0</v>
      </c>
      <c r="AE348" s="11">
        <v>0</v>
      </c>
      <c r="AF348" s="11">
        <f t="shared" si="26"/>
        <v>0.42</v>
      </c>
      <c r="AG348" s="11">
        <f t="shared" si="27"/>
        <v>7.42</v>
      </c>
      <c r="AH348" t="s">
        <v>51</v>
      </c>
    </row>
    <row r="349" spans="1:34" ht="15" customHeight="1" x14ac:dyDescent="0.25">
      <c r="A349">
        <v>7547676</v>
      </c>
      <c r="B349" t="s">
        <v>34</v>
      </c>
      <c r="C349" t="s">
        <v>35</v>
      </c>
      <c r="D349" s="6" t="s">
        <v>34</v>
      </c>
      <c r="E349" t="s">
        <v>1120</v>
      </c>
      <c r="F349" t="s">
        <v>37</v>
      </c>
      <c r="G349" t="s">
        <v>38</v>
      </c>
      <c r="H349" t="s">
        <v>1121</v>
      </c>
      <c r="I349" t="s">
        <v>40</v>
      </c>
      <c r="J349">
        <v>2</v>
      </c>
      <c r="K349" t="s">
        <v>41</v>
      </c>
      <c r="L349" t="s">
        <v>42</v>
      </c>
      <c r="M349" t="s">
        <v>43</v>
      </c>
      <c r="N349" s="7">
        <v>1</v>
      </c>
      <c r="O349" s="8">
        <v>45530.803969907407</v>
      </c>
      <c r="P349" s="9">
        <v>45532</v>
      </c>
      <c r="Q349" t="s">
        <v>44</v>
      </c>
      <c r="R349" t="s">
        <v>45</v>
      </c>
      <c r="S349" t="s">
        <v>46</v>
      </c>
      <c r="T349" t="s">
        <v>223</v>
      </c>
      <c r="U349" t="s">
        <v>1122</v>
      </c>
      <c r="V349">
        <v>26100</v>
      </c>
      <c r="W349" t="s">
        <v>45</v>
      </c>
      <c r="X349" t="s">
        <v>225</v>
      </c>
      <c r="Y349" t="s">
        <v>50</v>
      </c>
      <c r="Z349" s="10">
        <f t="shared" si="28"/>
        <v>9</v>
      </c>
      <c r="AA349" s="11">
        <v>0</v>
      </c>
      <c r="AB349" s="11">
        <v>-2</v>
      </c>
      <c r="AC349" s="11">
        <v>0</v>
      </c>
      <c r="AD349" s="11">
        <v>0</v>
      </c>
      <c r="AE349" s="11">
        <v>0</v>
      </c>
      <c r="AF349" s="11">
        <f t="shared" si="26"/>
        <v>0.42</v>
      </c>
      <c r="AG349" s="11">
        <f t="shared" si="27"/>
        <v>7.42</v>
      </c>
      <c r="AH349" t="s">
        <v>51</v>
      </c>
    </row>
    <row r="350" spans="1:34" ht="15" customHeight="1" x14ac:dyDescent="0.25">
      <c r="A350">
        <v>7547676</v>
      </c>
      <c r="B350" t="s">
        <v>34</v>
      </c>
      <c r="C350" t="s">
        <v>35</v>
      </c>
      <c r="D350" s="6" t="s">
        <v>34</v>
      </c>
      <c r="E350" t="s">
        <v>1123</v>
      </c>
      <c r="F350" t="s">
        <v>37</v>
      </c>
      <c r="G350" t="s">
        <v>38</v>
      </c>
      <c r="H350" t="s">
        <v>1124</v>
      </c>
      <c r="I350" t="s">
        <v>40</v>
      </c>
      <c r="J350">
        <v>2</v>
      </c>
      <c r="K350" t="s">
        <v>41</v>
      </c>
      <c r="L350" t="s">
        <v>42</v>
      </c>
      <c r="M350" t="s">
        <v>43</v>
      </c>
      <c r="N350" s="7">
        <v>1</v>
      </c>
      <c r="O350" s="8">
        <v>45530.569155092591</v>
      </c>
      <c r="P350" s="9">
        <v>45532</v>
      </c>
      <c r="Q350" t="s">
        <v>44</v>
      </c>
      <c r="R350" t="s">
        <v>45</v>
      </c>
      <c r="S350" t="s">
        <v>46</v>
      </c>
      <c r="T350" t="s">
        <v>47</v>
      </c>
      <c r="U350" t="s">
        <v>1125</v>
      </c>
      <c r="V350">
        <v>31150</v>
      </c>
      <c r="W350" t="s">
        <v>45</v>
      </c>
      <c r="X350" t="s">
        <v>69</v>
      </c>
      <c r="Y350" t="s">
        <v>50</v>
      </c>
      <c r="Z350" s="10">
        <f t="shared" si="28"/>
        <v>9</v>
      </c>
      <c r="AA350" s="11">
        <v>0</v>
      </c>
      <c r="AB350" s="11">
        <v>-2</v>
      </c>
      <c r="AC350" s="11">
        <v>0</v>
      </c>
      <c r="AD350" s="11">
        <v>0</v>
      </c>
      <c r="AE350" s="11">
        <v>0</v>
      </c>
      <c r="AF350" s="11">
        <f t="shared" si="26"/>
        <v>0.42</v>
      </c>
      <c r="AG350" s="11">
        <f t="shared" si="27"/>
        <v>7.42</v>
      </c>
      <c r="AH350" t="s">
        <v>51</v>
      </c>
    </row>
    <row r="351" spans="1:34" ht="15" customHeight="1" x14ac:dyDescent="0.25">
      <c r="A351">
        <v>7547676</v>
      </c>
      <c r="B351" t="s">
        <v>34</v>
      </c>
      <c r="C351" t="s">
        <v>35</v>
      </c>
      <c r="D351" s="6" t="s">
        <v>34</v>
      </c>
      <c r="E351" t="s">
        <v>1126</v>
      </c>
      <c r="F351" t="s">
        <v>37</v>
      </c>
      <c r="G351" t="s">
        <v>38</v>
      </c>
      <c r="H351" t="s">
        <v>102</v>
      </c>
      <c r="I351" t="s">
        <v>40</v>
      </c>
      <c r="J351">
        <v>2</v>
      </c>
      <c r="K351" t="s">
        <v>41</v>
      </c>
      <c r="L351" t="s">
        <v>42</v>
      </c>
      <c r="M351" t="s">
        <v>43</v>
      </c>
      <c r="N351" s="7">
        <v>11</v>
      </c>
      <c r="O351" s="8">
        <v>45530.6643287037</v>
      </c>
      <c r="P351" s="9">
        <v>45532</v>
      </c>
      <c r="Q351" t="s">
        <v>44</v>
      </c>
      <c r="R351" t="s">
        <v>45</v>
      </c>
      <c r="S351" t="s">
        <v>46</v>
      </c>
      <c r="T351" t="s">
        <v>92</v>
      </c>
      <c r="U351" t="s">
        <v>103</v>
      </c>
      <c r="V351">
        <v>40000</v>
      </c>
      <c r="W351" t="s">
        <v>45</v>
      </c>
      <c r="X351" t="s">
        <v>104</v>
      </c>
      <c r="Y351" t="s">
        <v>50</v>
      </c>
      <c r="Z351" s="10">
        <f t="shared" si="28"/>
        <v>17</v>
      </c>
      <c r="AA351" s="11">
        <v>0</v>
      </c>
      <c r="AB351" s="11">
        <v>-2</v>
      </c>
      <c r="AC351" s="11">
        <v>0</v>
      </c>
      <c r="AD351" s="11">
        <v>0</v>
      </c>
      <c r="AE351" s="11">
        <v>0</v>
      </c>
      <c r="AF351" s="11">
        <f t="shared" si="26"/>
        <v>0.89999999999999991</v>
      </c>
      <c r="AG351" s="11">
        <f t="shared" si="27"/>
        <v>15.9</v>
      </c>
      <c r="AH351" t="s">
        <v>51</v>
      </c>
    </row>
    <row r="352" spans="1:34" ht="15" customHeight="1" x14ac:dyDescent="0.25">
      <c r="A352">
        <v>7547676</v>
      </c>
      <c r="B352" t="s">
        <v>34</v>
      </c>
      <c r="C352" t="s">
        <v>35</v>
      </c>
      <c r="D352" s="6" t="s">
        <v>34</v>
      </c>
      <c r="E352" t="s">
        <v>1127</v>
      </c>
      <c r="F352" t="s">
        <v>37</v>
      </c>
      <c r="G352" t="s">
        <v>38</v>
      </c>
      <c r="H352" t="s">
        <v>1128</v>
      </c>
      <c r="I352" t="s">
        <v>40</v>
      </c>
      <c r="J352">
        <v>2</v>
      </c>
      <c r="K352" t="s">
        <v>41</v>
      </c>
      <c r="L352" t="s">
        <v>42</v>
      </c>
      <c r="M352" t="s">
        <v>43</v>
      </c>
      <c r="N352" s="7">
        <v>1</v>
      </c>
      <c r="O352" s="8">
        <v>45531.711481481485</v>
      </c>
      <c r="P352" s="9">
        <v>45532</v>
      </c>
      <c r="Q352" t="s">
        <v>44</v>
      </c>
      <c r="R352" t="s">
        <v>45</v>
      </c>
      <c r="S352" t="s">
        <v>46</v>
      </c>
      <c r="T352" t="s">
        <v>223</v>
      </c>
      <c r="U352" t="s">
        <v>1129</v>
      </c>
      <c r="V352">
        <v>27650</v>
      </c>
      <c r="W352" t="s">
        <v>45</v>
      </c>
      <c r="X352" t="s">
        <v>225</v>
      </c>
      <c r="Y352" t="s">
        <v>50</v>
      </c>
      <c r="Z352" s="10">
        <f t="shared" si="28"/>
        <v>9</v>
      </c>
      <c r="AA352" s="11">
        <v>0</v>
      </c>
      <c r="AB352" s="11">
        <v>-2</v>
      </c>
      <c r="AC352" s="11">
        <v>0</v>
      </c>
      <c r="AD352" s="11">
        <v>0</v>
      </c>
      <c r="AE352" s="11">
        <v>0</v>
      </c>
      <c r="AF352" s="11">
        <f t="shared" si="26"/>
        <v>0.42</v>
      </c>
      <c r="AG352" s="11">
        <f t="shared" si="27"/>
        <v>7.42</v>
      </c>
      <c r="AH352" t="s">
        <v>51</v>
      </c>
    </row>
    <row r="353" spans="1:34" ht="15" customHeight="1" x14ac:dyDescent="0.25">
      <c r="A353">
        <v>7547676</v>
      </c>
      <c r="B353" t="s">
        <v>34</v>
      </c>
      <c r="C353" t="s">
        <v>35</v>
      </c>
      <c r="D353" s="6" t="s">
        <v>34</v>
      </c>
      <c r="E353" t="s">
        <v>1130</v>
      </c>
      <c r="F353" t="s">
        <v>37</v>
      </c>
      <c r="G353" t="s">
        <v>38</v>
      </c>
      <c r="H353" t="s">
        <v>1131</v>
      </c>
      <c r="I353" t="s">
        <v>40</v>
      </c>
      <c r="J353">
        <v>2</v>
      </c>
      <c r="K353" t="s">
        <v>41</v>
      </c>
      <c r="L353" t="s">
        <v>42</v>
      </c>
      <c r="M353" t="s">
        <v>43</v>
      </c>
      <c r="N353" s="7">
        <v>1</v>
      </c>
      <c r="O353" s="8">
        <v>45530.564062500001</v>
      </c>
      <c r="P353" s="9">
        <v>45532</v>
      </c>
      <c r="Q353" t="s">
        <v>44</v>
      </c>
      <c r="R353" t="s">
        <v>45</v>
      </c>
      <c r="S353" t="s">
        <v>46</v>
      </c>
      <c r="T353" t="s">
        <v>107</v>
      </c>
      <c r="U353" t="s">
        <v>1132</v>
      </c>
      <c r="V353">
        <v>8200</v>
      </c>
      <c r="W353" t="s">
        <v>45</v>
      </c>
      <c r="X353" t="s">
        <v>69</v>
      </c>
      <c r="Y353" t="s">
        <v>50</v>
      </c>
      <c r="Z353" s="10">
        <f t="shared" si="28"/>
        <v>9</v>
      </c>
      <c r="AA353" s="11">
        <v>0</v>
      </c>
      <c r="AB353" s="11">
        <v>-2</v>
      </c>
      <c r="AC353" s="11">
        <v>0</v>
      </c>
      <c r="AD353" s="11">
        <v>0</v>
      </c>
      <c r="AE353" s="11">
        <v>0</v>
      </c>
      <c r="AF353" s="11">
        <f t="shared" si="26"/>
        <v>0.42</v>
      </c>
      <c r="AG353" s="11">
        <f t="shared" si="27"/>
        <v>7.42</v>
      </c>
      <c r="AH353" t="s">
        <v>51</v>
      </c>
    </row>
    <row r="354" spans="1:34" ht="15" customHeight="1" x14ac:dyDescent="0.25">
      <c r="A354">
        <v>7547676</v>
      </c>
      <c r="B354" t="s">
        <v>34</v>
      </c>
      <c r="C354" t="s">
        <v>35</v>
      </c>
      <c r="D354" s="6" t="s">
        <v>34</v>
      </c>
      <c r="E354" t="s">
        <v>1133</v>
      </c>
      <c r="F354" t="s">
        <v>37</v>
      </c>
      <c r="G354" t="s">
        <v>38</v>
      </c>
      <c r="H354" t="s">
        <v>1134</v>
      </c>
      <c r="I354" t="s">
        <v>40</v>
      </c>
      <c r="J354">
        <v>2</v>
      </c>
      <c r="K354" t="s">
        <v>41</v>
      </c>
      <c r="L354" t="s">
        <v>42</v>
      </c>
      <c r="M354" t="s">
        <v>43</v>
      </c>
      <c r="N354" s="7">
        <v>1</v>
      </c>
      <c r="O354" s="8">
        <v>45530.793645833335</v>
      </c>
      <c r="P354" s="9">
        <v>45532</v>
      </c>
      <c r="Q354" t="s">
        <v>44</v>
      </c>
      <c r="R354" t="s">
        <v>45</v>
      </c>
      <c r="S354" t="s">
        <v>46</v>
      </c>
      <c r="T354" t="s">
        <v>92</v>
      </c>
      <c r="U354" t="s">
        <v>1135</v>
      </c>
      <c r="V354">
        <v>47301</v>
      </c>
      <c r="W354" t="s">
        <v>45</v>
      </c>
      <c r="X354" t="s">
        <v>524</v>
      </c>
      <c r="Y354" t="s">
        <v>50</v>
      </c>
      <c r="Z354" s="10">
        <f t="shared" si="28"/>
        <v>9</v>
      </c>
      <c r="AA354" s="11">
        <v>0</v>
      </c>
      <c r="AB354" s="11">
        <v>-2</v>
      </c>
      <c r="AC354" s="11">
        <v>0</v>
      </c>
      <c r="AD354" s="11">
        <v>0</v>
      </c>
      <c r="AE354" s="11">
        <v>0</v>
      </c>
      <c r="AF354" s="11">
        <f t="shared" si="26"/>
        <v>0.42</v>
      </c>
      <c r="AG354" s="11">
        <f t="shared" si="27"/>
        <v>7.42</v>
      </c>
      <c r="AH354" t="s">
        <v>51</v>
      </c>
    </row>
    <row r="355" spans="1:34" ht="15" customHeight="1" x14ac:dyDescent="0.25">
      <c r="A355">
        <v>7547676</v>
      </c>
      <c r="B355" t="s">
        <v>34</v>
      </c>
      <c r="C355" t="s">
        <v>35</v>
      </c>
      <c r="D355" s="6" t="s">
        <v>34</v>
      </c>
      <c r="E355" t="s">
        <v>1136</v>
      </c>
      <c r="F355" t="s">
        <v>37</v>
      </c>
      <c r="G355" t="s">
        <v>38</v>
      </c>
      <c r="H355" t="s">
        <v>1137</v>
      </c>
      <c r="I355" t="s">
        <v>40</v>
      </c>
      <c r="J355">
        <v>2</v>
      </c>
      <c r="K355" t="s">
        <v>41</v>
      </c>
      <c r="L355" t="s">
        <v>42</v>
      </c>
      <c r="M355" t="s">
        <v>43</v>
      </c>
      <c r="N355" s="7">
        <v>1</v>
      </c>
      <c r="O355" s="8">
        <v>45530.565833333334</v>
      </c>
      <c r="P355" s="9">
        <v>45532</v>
      </c>
      <c r="Q355" t="s">
        <v>44</v>
      </c>
      <c r="R355" t="s">
        <v>45</v>
      </c>
      <c r="S355" t="s">
        <v>46</v>
      </c>
      <c r="T355" t="s">
        <v>92</v>
      </c>
      <c r="U355" t="s">
        <v>1138</v>
      </c>
      <c r="V355">
        <v>40100</v>
      </c>
      <c r="W355" t="s">
        <v>45</v>
      </c>
      <c r="X355" t="s">
        <v>69</v>
      </c>
      <c r="Y355" t="s">
        <v>50</v>
      </c>
      <c r="Z355" s="10">
        <f t="shared" si="28"/>
        <v>9</v>
      </c>
      <c r="AA355" s="11">
        <v>0</v>
      </c>
      <c r="AB355" s="11">
        <v>-2</v>
      </c>
      <c r="AC355" s="11">
        <v>0</v>
      </c>
      <c r="AD355" s="11">
        <v>0</v>
      </c>
      <c r="AE355" s="11">
        <v>0</v>
      </c>
      <c r="AF355" s="11">
        <f t="shared" si="26"/>
        <v>0.42</v>
      </c>
      <c r="AG355" s="11">
        <f t="shared" si="27"/>
        <v>7.42</v>
      </c>
      <c r="AH355" t="s">
        <v>51</v>
      </c>
    </row>
    <row r="356" spans="1:34" ht="15" customHeight="1" x14ac:dyDescent="0.25">
      <c r="A356">
        <v>7547676</v>
      </c>
      <c r="B356" t="s">
        <v>34</v>
      </c>
      <c r="C356" t="s">
        <v>35</v>
      </c>
      <c r="D356" s="6" t="s">
        <v>34</v>
      </c>
      <c r="E356" t="s">
        <v>1139</v>
      </c>
      <c r="F356" t="s">
        <v>37</v>
      </c>
      <c r="G356" t="s">
        <v>38</v>
      </c>
      <c r="H356" t="s">
        <v>1140</v>
      </c>
      <c r="I356" t="s">
        <v>40</v>
      </c>
      <c r="J356">
        <v>2</v>
      </c>
      <c r="K356" t="s">
        <v>41</v>
      </c>
      <c r="L356" t="s">
        <v>42</v>
      </c>
      <c r="M356" t="s">
        <v>43</v>
      </c>
      <c r="N356" s="7">
        <v>1</v>
      </c>
      <c r="O356" s="8">
        <v>45530.505601851852</v>
      </c>
      <c r="P356" s="9">
        <v>45532</v>
      </c>
      <c r="Q356" t="s">
        <v>44</v>
      </c>
      <c r="R356" t="s">
        <v>45</v>
      </c>
      <c r="S356" t="s">
        <v>46</v>
      </c>
      <c r="T356" t="s">
        <v>59</v>
      </c>
      <c r="U356" t="s">
        <v>1141</v>
      </c>
      <c r="V356">
        <v>14000</v>
      </c>
      <c r="W356" t="s">
        <v>45</v>
      </c>
      <c r="X356" t="s">
        <v>374</v>
      </c>
      <c r="Y356" t="s">
        <v>50</v>
      </c>
      <c r="Z356" s="10">
        <f t="shared" si="28"/>
        <v>9</v>
      </c>
      <c r="AA356" s="11">
        <v>0</v>
      </c>
      <c r="AB356" s="11">
        <v>-2</v>
      </c>
      <c r="AC356" s="11">
        <v>0</v>
      </c>
      <c r="AD356" s="11">
        <v>0</v>
      </c>
      <c r="AE356" s="11">
        <v>0</v>
      </c>
      <c r="AF356" s="11">
        <f t="shared" si="26"/>
        <v>0.42</v>
      </c>
      <c r="AG356" s="11">
        <f t="shared" si="27"/>
        <v>7.42</v>
      </c>
      <c r="AH356" t="s">
        <v>51</v>
      </c>
    </row>
    <row r="357" spans="1:34" ht="15" customHeight="1" x14ac:dyDescent="0.25">
      <c r="A357">
        <v>7547676</v>
      </c>
      <c r="B357" t="s">
        <v>34</v>
      </c>
      <c r="C357" t="s">
        <v>35</v>
      </c>
      <c r="D357" s="6" t="s">
        <v>34</v>
      </c>
      <c r="E357" t="s">
        <v>1142</v>
      </c>
      <c r="F357" t="s">
        <v>37</v>
      </c>
      <c r="G357" t="s">
        <v>38</v>
      </c>
      <c r="H357" t="s">
        <v>1143</v>
      </c>
      <c r="I357" t="s">
        <v>40</v>
      </c>
      <c r="J357">
        <v>2</v>
      </c>
      <c r="K357" t="s">
        <v>41</v>
      </c>
      <c r="L357" t="s">
        <v>42</v>
      </c>
      <c r="M357" t="s">
        <v>43</v>
      </c>
      <c r="N357" s="7">
        <v>1</v>
      </c>
      <c r="O357" s="8">
        <v>45530.604953703703</v>
      </c>
      <c r="P357" s="9">
        <v>45532</v>
      </c>
      <c r="Q357" t="s">
        <v>44</v>
      </c>
      <c r="R357" t="s">
        <v>45</v>
      </c>
      <c r="S357" t="s">
        <v>46</v>
      </c>
      <c r="T357" t="s">
        <v>59</v>
      </c>
      <c r="U357" t="s">
        <v>1144</v>
      </c>
      <c r="V357">
        <v>11920</v>
      </c>
      <c r="W357" t="s">
        <v>45</v>
      </c>
      <c r="X357" t="s">
        <v>1145</v>
      </c>
      <c r="Y357" t="s">
        <v>50</v>
      </c>
      <c r="Z357" s="10">
        <f t="shared" si="28"/>
        <v>9</v>
      </c>
      <c r="AA357" s="11">
        <v>0</v>
      </c>
      <c r="AB357" s="11">
        <v>-2</v>
      </c>
      <c r="AC357" s="11">
        <v>0</v>
      </c>
      <c r="AD357" s="11">
        <v>0</v>
      </c>
      <c r="AE357" s="11">
        <v>0</v>
      </c>
      <c r="AF357" s="11">
        <f t="shared" si="26"/>
        <v>0.42</v>
      </c>
      <c r="AG357" s="11">
        <f t="shared" si="27"/>
        <v>7.42</v>
      </c>
      <c r="AH357" t="s">
        <v>51</v>
      </c>
    </row>
    <row r="358" spans="1:34" ht="15" customHeight="1" x14ac:dyDescent="0.25">
      <c r="A358">
        <v>7547676</v>
      </c>
      <c r="B358" t="s">
        <v>34</v>
      </c>
      <c r="C358" t="s">
        <v>35</v>
      </c>
      <c r="D358" s="6" t="s">
        <v>34</v>
      </c>
      <c r="E358" t="s">
        <v>1146</v>
      </c>
      <c r="F358" t="s">
        <v>37</v>
      </c>
      <c r="G358" t="s">
        <v>38</v>
      </c>
      <c r="H358" t="s">
        <v>1147</v>
      </c>
      <c r="I358" t="s">
        <v>40</v>
      </c>
      <c r="J358">
        <v>2</v>
      </c>
      <c r="K358" t="s">
        <v>41</v>
      </c>
      <c r="L358" t="s">
        <v>42</v>
      </c>
      <c r="M358" t="s">
        <v>43</v>
      </c>
      <c r="N358" s="7">
        <v>1</v>
      </c>
      <c r="O358" s="8">
        <v>45530.562754629631</v>
      </c>
      <c r="P358" s="9">
        <v>45532</v>
      </c>
      <c r="Q358" t="s">
        <v>44</v>
      </c>
      <c r="R358" t="s">
        <v>45</v>
      </c>
      <c r="S358" t="s">
        <v>46</v>
      </c>
      <c r="T358" t="s">
        <v>107</v>
      </c>
      <c r="U358" t="s">
        <v>1148</v>
      </c>
      <c r="V358">
        <v>9410</v>
      </c>
      <c r="W358" t="s">
        <v>45</v>
      </c>
      <c r="X358" t="s">
        <v>69</v>
      </c>
      <c r="Y358" t="s">
        <v>50</v>
      </c>
      <c r="Z358" s="10">
        <f t="shared" si="28"/>
        <v>9</v>
      </c>
      <c r="AA358" s="11">
        <v>0</v>
      </c>
      <c r="AB358" s="11">
        <v>-2</v>
      </c>
      <c r="AC358" s="11">
        <v>0</v>
      </c>
      <c r="AD358" s="11">
        <v>0</v>
      </c>
      <c r="AE358" s="11">
        <v>0</v>
      </c>
      <c r="AF358" s="11">
        <f t="shared" si="26"/>
        <v>0.42</v>
      </c>
      <c r="AG358" s="11">
        <f t="shared" si="27"/>
        <v>7.42</v>
      </c>
      <c r="AH358" t="s">
        <v>51</v>
      </c>
    </row>
    <row r="359" spans="1:34" ht="15" customHeight="1" x14ac:dyDescent="0.25">
      <c r="A359">
        <v>7547676</v>
      </c>
      <c r="B359" t="s">
        <v>34</v>
      </c>
      <c r="C359" t="s">
        <v>35</v>
      </c>
      <c r="D359" s="6" t="s">
        <v>34</v>
      </c>
      <c r="E359" t="s">
        <v>1149</v>
      </c>
      <c r="F359" t="s">
        <v>37</v>
      </c>
      <c r="G359" t="s">
        <v>38</v>
      </c>
      <c r="H359" t="s">
        <v>1150</v>
      </c>
      <c r="I359" t="s">
        <v>40</v>
      </c>
      <c r="J359">
        <v>2</v>
      </c>
      <c r="K359" t="s">
        <v>41</v>
      </c>
      <c r="L359" t="s">
        <v>42</v>
      </c>
      <c r="M359" t="s">
        <v>43</v>
      </c>
      <c r="N359" s="7">
        <v>1</v>
      </c>
      <c r="O359" s="8">
        <v>45531.579583333332</v>
      </c>
      <c r="P359" s="9">
        <v>45532</v>
      </c>
      <c r="Q359" t="s">
        <v>44</v>
      </c>
      <c r="R359" t="s">
        <v>45</v>
      </c>
      <c r="S359" t="s">
        <v>46</v>
      </c>
      <c r="T359" t="s">
        <v>92</v>
      </c>
      <c r="U359" t="s">
        <v>1151</v>
      </c>
      <c r="V359">
        <v>47000</v>
      </c>
      <c r="W359" t="s">
        <v>45</v>
      </c>
      <c r="X359" t="s">
        <v>495</v>
      </c>
      <c r="Y359" t="s">
        <v>50</v>
      </c>
      <c r="Z359" s="10">
        <f t="shared" si="28"/>
        <v>9</v>
      </c>
      <c r="AA359" s="11">
        <v>0</v>
      </c>
      <c r="AB359" s="11">
        <v>-2</v>
      </c>
      <c r="AC359" s="11">
        <v>0</v>
      </c>
      <c r="AD359" s="11">
        <v>0</v>
      </c>
      <c r="AE359" s="11">
        <v>0</v>
      </c>
      <c r="AF359" s="11">
        <f t="shared" si="26"/>
        <v>0.42</v>
      </c>
      <c r="AG359" s="11">
        <f t="shared" si="27"/>
        <v>7.42</v>
      </c>
      <c r="AH359" t="s">
        <v>51</v>
      </c>
    </row>
    <row r="360" spans="1:34" ht="15" customHeight="1" x14ac:dyDescent="0.25">
      <c r="A360">
        <v>7547676</v>
      </c>
      <c r="B360" t="s">
        <v>34</v>
      </c>
      <c r="C360" t="s">
        <v>35</v>
      </c>
      <c r="D360" s="6" t="s">
        <v>34</v>
      </c>
      <c r="E360" t="s">
        <v>1152</v>
      </c>
      <c r="F360" t="s">
        <v>37</v>
      </c>
      <c r="G360" t="s">
        <v>38</v>
      </c>
      <c r="H360" t="s">
        <v>1153</v>
      </c>
      <c r="I360" t="s">
        <v>40</v>
      </c>
      <c r="J360">
        <v>2</v>
      </c>
      <c r="K360" t="s">
        <v>41</v>
      </c>
      <c r="L360" t="s">
        <v>42</v>
      </c>
      <c r="M360" t="s">
        <v>43</v>
      </c>
      <c r="N360" s="7">
        <v>11</v>
      </c>
      <c r="O360" s="8">
        <v>45531.711481481485</v>
      </c>
      <c r="P360" s="9">
        <v>45532</v>
      </c>
      <c r="Q360" t="s">
        <v>44</v>
      </c>
      <c r="R360" t="s">
        <v>45</v>
      </c>
      <c r="S360" t="s">
        <v>46</v>
      </c>
      <c r="T360" t="s">
        <v>223</v>
      </c>
      <c r="U360" t="s">
        <v>1154</v>
      </c>
      <c r="V360">
        <v>28200</v>
      </c>
      <c r="W360" t="s">
        <v>45</v>
      </c>
      <c r="X360" t="s">
        <v>1155</v>
      </c>
      <c r="Y360" t="s">
        <v>50</v>
      </c>
      <c r="Z360" s="10">
        <f t="shared" si="28"/>
        <v>17</v>
      </c>
      <c r="AA360" s="11">
        <v>0</v>
      </c>
      <c r="AB360" s="11">
        <v>-2</v>
      </c>
      <c r="AC360" s="11">
        <v>0</v>
      </c>
      <c r="AD360" s="11">
        <v>0</v>
      </c>
      <c r="AE360" s="11">
        <v>0</v>
      </c>
      <c r="AF360" s="11">
        <f t="shared" si="26"/>
        <v>0.89999999999999991</v>
      </c>
      <c r="AG360" s="11">
        <f t="shared" si="27"/>
        <v>15.9</v>
      </c>
      <c r="AH360" t="s">
        <v>51</v>
      </c>
    </row>
    <row r="361" spans="1:34" ht="15" customHeight="1" x14ac:dyDescent="0.25">
      <c r="A361">
        <v>7547676</v>
      </c>
      <c r="B361" t="s">
        <v>34</v>
      </c>
      <c r="C361" t="s">
        <v>35</v>
      </c>
      <c r="D361" s="6" t="s">
        <v>34</v>
      </c>
      <c r="E361" t="s">
        <v>1156</v>
      </c>
      <c r="F361" t="s">
        <v>37</v>
      </c>
      <c r="G361" t="s">
        <v>38</v>
      </c>
      <c r="H361" t="s">
        <v>1157</v>
      </c>
      <c r="I361" t="s">
        <v>40</v>
      </c>
      <c r="J361">
        <v>2</v>
      </c>
      <c r="K361" t="s">
        <v>41</v>
      </c>
      <c r="L361" t="s">
        <v>42</v>
      </c>
      <c r="M361" t="s">
        <v>43</v>
      </c>
      <c r="N361" s="7">
        <v>1</v>
      </c>
      <c r="O361" s="8">
        <v>45530.634155092594</v>
      </c>
      <c r="P361" s="9">
        <v>45532</v>
      </c>
      <c r="Q361" t="s">
        <v>44</v>
      </c>
      <c r="R361" t="s">
        <v>45</v>
      </c>
      <c r="S361" t="s">
        <v>46</v>
      </c>
      <c r="T361" t="s">
        <v>54</v>
      </c>
      <c r="U361" t="s">
        <v>1158</v>
      </c>
      <c r="V361">
        <v>81700</v>
      </c>
      <c r="W361" t="s">
        <v>45</v>
      </c>
      <c r="X361" t="s">
        <v>1159</v>
      </c>
      <c r="Y361" t="s">
        <v>50</v>
      </c>
      <c r="Z361" s="10">
        <f t="shared" si="28"/>
        <v>9</v>
      </c>
      <c r="AA361" s="11">
        <v>0</v>
      </c>
      <c r="AB361" s="11">
        <v>-2</v>
      </c>
      <c r="AC361" s="11">
        <v>0</v>
      </c>
      <c r="AD361" s="11">
        <v>0</v>
      </c>
      <c r="AE361" s="11">
        <v>0</v>
      </c>
      <c r="AF361" s="11">
        <f t="shared" si="26"/>
        <v>0.42</v>
      </c>
      <c r="AG361" s="11">
        <f t="shared" si="27"/>
        <v>7.42</v>
      </c>
      <c r="AH361" t="s">
        <v>51</v>
      </c>
    </row>
    <row r="362" spans="1:34" ht="15" customHeight="1" x14ac:dyDescent="0.25">
      <c r="A362">
        <v>7547676</v>
      </c>
      <c r="B362" t="s">
        <v>34</v>
      </c>
      <c r="C362" t="s">
        <v>35</v>
      </c>
      <c r="D362" s="6" t="s">
        <v>34</v>
      </c>
      <c r="E362" t="s">
        <v>1160</v>
      </c>
      <c r="F362" t="s">
        <v>37</v>
      </c>
      <c r="G362" t="s">
        <v>38</v>
      </c>
      <c r="H362" t="s">
        <v>1153</v>
      </c>
      <c r="I362" t="s">
        <v>40</v>
      </c>
      <c r="J362">
        <v>2</v>
      </c>
      <c r="K362" t="s">
        <v>41</v>
      </c>
      <c r="L362" t="s">
        <v>42</v>
      </c>
      <c r="M362" t="s">
        <v>43</v>
      </c>
      <c r="N362" s="7">
        <v>17</v>
      </c>
      <c r="O362" s="8">
        <v>45531.711481481485</v>
      </c>
      <c r="P362" s="9">
        <v>45532</v>
      </c>
      <c r="Q362" t="s">
        <v>44</v>
      </c>
      <c r="R362" t="s">
        <v>45</v>
      </c>
      <c r="S362" t="s">
        <v>46</v>
      </c>
      <c r="T362" t="s">
        <v>223</v>
      </c>
      <c r="U362" t="s">
        <v>1154</v>
      </c>
      <c r="V362">
        <v>28200</v>
      </c>
      <c r="W362" t="s">
        <v>45</v>
      </c>
      <c r="X362" t="s">
        <v>1155</v>
      </c>
      <c r="Y362" t="s">
        <v>50</v>
      </c>
      <c r="Z362" s="10">
        <f t="shared" si="28"/>
        <v>21.8</v>
      </c>
      <c r="AA362" s="11">
        <v>0</v>
      </c>
      <c r="AB362" s="11">
        <v>-2</v>
      </c>
      <c r="AC362" s="11">
        <v>0</v>
      </c>
      <c r="AD362" s="11">
        <v>0</v>
      </c>
      <c r="AE362" s="11">
        <v>0</v>
      </c>
      <c r="AF362" s="11">
        <f t="shared" si="26"/>
        <v>1.1879999999999999</v>
      </c>
      <c r="AG362" s="11">
        <f t="shared" si="27"/>
        <v>20.988</v>
      </c>
      <c r="AH362" t="s">
        <v>51</v>
      </c>
    </row>
    <row r="363" spans="1:34" ht="15" customHeight="1" x14ac:dyDescent="0.25">
      <c r="A363">
        <v>7547676</v>
      </c>
      <c r="B363" t="s">
        <v>34</v>
      </c>
      <c r="C363" t="s">
        <v>35</v>
      </c>
      <c r="D363" s="6" t="s">
        <v>34</v>
      </c>
      <c r="E363" t="s">
        <v>1161</v>
      </c>
      <c r="F363" t="s">
        <v>37</v>
      </c>
      <c r="G363" t="s">
        <v>38</v>
      </c>
      <c r="H363" t="s">
        <v>1162</v>
      </c>
      <c r="I363" t="s">
        <v>40</v>
      </c>
      <c r="J363">
        <v>2</v>
      </c>
      <c r="K363" t="s">
        <v>41</v>
      </c>
      <c r="L363" t="s">
        <v>42</v>
      </c>
      <c r="M363" t="s">
        <v>43</v>
      </c>
      <c r="N363" s="7">
        <v>1</v>
      </c>
      <c r="O363" s="8">
        <v>45530.634155092594</v>
      </c>
      <c r="P363" s="9">
        <v>45532</v>
      </c>
      <c r="Q363" t="s">
        <v>44</v>
      </c>
      <c r="R363" t="s">
        <v>45</v>
      </c>
      <c r="S363" t="s">
        <v>46</v>
      </c>
      <c r="T363" t="s">
        <v>129</v>
      </c>
      <c r="U363" t="s">
        <v>1163</v>
      </c>
      <c r="V363">
        <v>70450</v>
      </c>
      <c r="W363" t="s">
        <v>45</v>
      </c>
      <c r="X363" t="s">
        <v>69</v>
      </c>
      <c r="Y363" t="s">
        <v>50</v>
      </c>
      <c r="Z363" s="10">
        <f t="shared" si="28"/>
        <v>9</v>
      </c>
      <c r="AA363" s="11">
        <v>0</v>
      </c>
      <c r="AB363" s="11">
        <v>-2</v>
      </c>
      <c r="AC363" s="11">
        <v>0</v>
      </c>
      <c r="AD363" s="11">
        <v>0</v>
      </c>
      <c r="AE363" s="11">
        <v>0</v>
      </c>
      <c r="AF363" s="11">
        <f t="shared" si="26"/>
        <v>0.42</v>
      </c>
      <c r="AG363" s="11">
        <f t="shared" si="27"/>
        <v>7.42</v>
      </c>
      <c r="AH363" t="s">
        <v>51</v>
      </c>
    </row>
    <row r="364" spans="1:34" ht="15" customHeight="1" x14ac:dyDescent="0.25">
      <c r="A364">
        <v>7547676</v>
      </c>
      <c r="B364" t="s">
        <v>34</v>
      </c>
      <c r="C364" t="s">
        <v>35</v>
      </c>
      <c r="D364" s="6" t="s">
        <v>34</v>
      </c>
      <c r="E364" t="s">
        <v>1164</v>
      </c>
      <c r="F364" t="s">
        <v>37</v>
      </c>
      <c r="G364" t="s">
        <v>38</v>
      </c>
      <c r="H364" t="s">
        <v>1165</v>
      </c>
      <c r="I364" t="s">
        <v>40</v>
      </c>
      <c r="J364">
        <v>2</v>
      </c>
      <c r="K364" t="s">
        <v>41</v>
      </c>
      <c r="L364" t="s">
        <v>42</v>
      </c>
      <c r="M364" t="s">
        <v>43</v>
      </c>
      <c r="N364" s="7">
        <v>1</v>
      </c>
      <c r="O364" s="8">
        <v>45531.54351851852</v>
      </c>
      <c r="P364" s="9">
        <v>45532</v>
      </c>
      <c r="Q364" t="s">
        <v>44</v>
      </c>
      <c r="R364" t="s">
        <v>45</v>
      </c>
      <c r="S364" t="s">
        <v>46</v>
      </c>
      <c r="T364" t="s">
        <v>146</v>
      </c>
      <c r="U364" t="s">
        <v>1166</v>
      </c>
      <c r="V364">
        <v>47400</v>
      </c>
      <c r="W364" t="s">
        <v>45</v>
      </c>
      <c r="X364" t="s">
        <v>524</v>
      </c>
      <c r="Y364" t="s">
        <v>50</v>
      </c>
      <c r="Z364" s="10">
        <f t="shared" si="28"/>
        <v>9</v>
      </c>
      <c r="AA364" s="11">
        <v>0</v>
      </c>
      <c r="AB364" s="11">
        <v>-2</v>
      </c>
      <c r="AC364" s="11">
        <v>0</v>
      </c>
      <c r="AD364" s="11">
        <v>0</v>
      </c>
      <c r="AE364" s="11">
        <v>0</v>
      </c>
      <c r="AF364" s="11">
        <f t="shared" si="26"/>
        <v>0.42</v>
      </c>
      <c r="AG364" s="11">
        <f t="shared" si="27"/>
        <v>7.42</v>
      </c>
      <c r="AH364" t="s">
        <v>51</v>
      </c>
    </row>
    <row r="365" spans="1:34" ht="15" customHeight="1" x14ac:dyDescent="0.25">
      <c r="A365">
        <v>7547676</v>
      </c>
      <c r="B365" t="s">
        <v>34</v>
      </c>
      <c r="C365" t="s">
        <v>35</v>
      </c>
      <c r="D365" s="6" t="s">
        <v>34</v>
      </c>
      <c r="E365" t="s">
        <v>1167</v>
      </c>
      <c r="F365" t="s">
        <v>37</v>
      </c>
      <c r="G365" t="s">
        <v>38</v>
      </c>
      <c r="H365" t="s">
        <v>1168</v>
      </c>
      <c r="I365" t="s">
        <v>40</v>
      </c>
      <c r="J365">
        <v>2</v>
      </c>
      <c r="K365" t="s">
        <v>41</v>
      </c>
      <c r="L365" t="s">
        <v>42</v>
      </c>
      <c r="M365" t="s">
        <v>43</v>
      </c>
      <c r="N365" s="7">
        <v>2</v>
      </c>
      <c r="O365" s="8">
        <v>45531.708148148151</v>
      </c>
      <c r="P365" s="9">
        <v>45532</v>
      </c>
      <c r="Q365" t="s">
        <v>44</v>
      </c>
      <c r="R365" t="s">
        <v>45</v>
      </c>
      <c r="S365" t="s">
        <v>46</v>
      </c>
      <c r="T365" t="s">
        <v>92</v>
      </c>
      <c r="U365" t="s">
        <v>1169</v>
      </c>
      <c r="V365">
        <v>43000</v>
      </c>
      <c r="W365" t="s">
        <v>45</v>
      </c>
      <c r="X365" t="s">
        <v>232</v>
      </c>
      <c r="Y365" t="s">
        <v>50</v>
      </c>
      <c r="Z365" s="10">
        <f t="shared" si="28"/>
        <v>9.8000000000000007</v>
      </c>
      <c r="AA365" s="11">
        <v>0</v>
      </c>
      <c r="AB365" s="11">
        <v>-2</v>
      </c>
      <c r="AC365" s="11">
        <v>0</v>
      </c>
      <c r="AD365" s="11">
        <v>0</v>
      </c>
      <c r="AE365" s="11">
        <v>0</v>
      </c>
      <c r="AF365" s="11">
        <f t="shared" si="26"/>
        <v>0.46800000000000003</v>
      </c>
      <c r="AG365" s="11">
        <f t="shared" si="27"/>
        <v>8.2680000000000007</v>
      </c>
      <c r="AH365" t="s">
        <v>51</v>
      </c>
    </row>
    <row r="366" spans="1:34" ht="15" customHeight="1" x14ac:dyDescent="0.25">
      <c r="A366">
        <v>7547676</v>
      </c>
      <c r="B366" t="s">
        <v>34</v>
      </c>
      <c r="C366" t="s">
        <v>35</v>
      </c>
      <c r="D366" s="6" t="s">
        <v>34</v>
      </c>
      <c r="E366" t="s">
        <v>1170</v>
      </c>
      <c r="F366" t="s">
        <v>37</v>
      </c>
      <c r="G366" t="s">
        <v>38</v>
      </c>
      <c r="H366" t="s">
        <v>1171</v>
      </c>
      <c r="I366" t="s">
        <v>40</v>
      </c>
      <c r="J366">
        <v>2</v>
      </c>
      <c r="K366" t="s">
        <v>41</v>
      </c>
      <c r="L366" t="s">
        <v>42</v>
      </c>
      <c r="M366" t="s">
        <v>43</v>
      </c>
      <c r="N366" s="7">
        <v>2</v>
      </c>
      <c r="O366" s="8">
        <v>45531.589768518519</v>
      </c>
      <c r="P366" s="9">
        <v>45532</v>
      </c>
      <c r="Q366" t="s">
        <v>44</v>
      </c>
      <c r="R366" t="s">
        <v>45</v>
      </c>
      <c r="S366" t="s">
        <v>46</v>
      </c>
      <c r="T366" t="s">
        <v>84</v>
      </c>
      <c r="U366" t="s">
        <v>1172</v>
      </c>
      <c r="V366">
        <v>16200</v>
      </c>
      <c r="W366" t="s">
        <v>45</v>
      </c>
      <c r="X366" t="s">
        <v>74</v>
      </c>
      <c r="Y366" t="s">
        <v>50</v>
      </c>
      <c r="Z366" s="10">
        <f t="shared" si="28"/>
        <v>9.8000000000000007</v>
      </c>
      <c r="AA366" s="11">
        <v>0</v>
      </c>
      <c r="AB366" s="11">
        <v>-2</v>
      </c>
      <c r="AC366" s="11">
        <v>0</v>
      </c>
      <c r="AD366" s="11">
        <v>0</v>
      </c>
      <c r="AE366" s="11">
        <v>0</v>
      </c>
      <c r="AF366" s="11">
        <f t="shared" si="26"/>
        <v>0.46800000000000003</v>
      </c>
      <c r="AG366" s="11">
        <f t="shared" si="27"/>
        <v>8.2680000000000007</v>
      </c>
      <c r="AH366" t="s">
        <v>51</v>
      </c>
    </row>
    <row r="367" spans="1:34" ht="15" customHeight="1" x14ac:dyDescent="0.25">
      <c r="A367">
        <v>7547676</v>
      </c>
      <c r="B367" t="s">
        <v>34</v>
      </c>
      <c r="C367" t="s">
        <v>35</v>
      </c>
      <c r="D367" s="6" t="s">
        <v>34</v>
      </c>
      <c r="E367" t="s">
        <v>1173</v>
      </c>
      <c r="F367" t="s">
        <v>37</v>
      </c>
      <c r="G367" t="s">
        <v>38</v>
      </c>
      <c r="H367" t="s">
        <v>1174</v>
      </c>
      <c r="I367" t="s">
        <v>40</v>
      </c>
      <c r="J367">
        <v>2</v>
      </c>
      <c r="K367" t="s">
        <v>41</v>
      </c>
      <c r="L367" t="s">
        <v>42</v>
      </c>
      <c r="M367" t="s">
        <v>43</v>
      </c>
      <c r="N367" s="7">
        <v>1</v>
      </c>
      <c r="O367" s="8">
        <v>45530.635763888888</v>
      </c>
      <c r="P367" s="9">
        <v>45532</v>
      </c>
      <c r="Q367" t="s">
        <v>44</v>
      </c>
      <c r="R367" t="s">
        <v>45</v>
      </c>
      <c r="S367" t="s">
        <v>46</v>
      </c>
      <c r="T367" t="s">
        <v>92</v>
      </c>
      <c r="U367" t="s">
        <v>1175</v>
      </c>
      <c r="V367">
        <v>43300</v>
      </c>
      <c r="W367" t="s">
        <v>45</v>
      </c>
      <c r="X367" t="s">
        <v>69</v>
      </c>
      <c r="Y367" t="s">
        <v>50</v>
      </c>
      <c r="Z367" s="10">
        <f t="shared" si="28"/>
        <v>9</v>
      </c>
      <c r="AA367" s="11">
        <v>0</v>
      </c>
      <c r="AB367" s="11">
        <v>-2</v>
      </c>
      <c r="AC367" s="11">
        <v>0</v>
      </c>
      <c r="AD367" s="11">
        <v>0</v>
      </c>
      <c r="AE367" s="11">
        <v>0</v>
      </c>
      <c r="AF367" s="11">
        <f t="shared" si="26"/>
        <v>0.42</v>
      </c>
      <c r="AG367" s="11">
        <f t="shared" si="27"/>
        <v>7.42</v>
      </c>
      <c r="AH367" t="s">
        <v>51</v>
      </c>
    </row>
    <row r="368" spans="1:34" ht="15" customHeight="1" x14ac:dyDescent="0.25">
      <c r="A368">
        <v>7547676</v>
      </c>
      <c r="B368" t="s">
        <v>34</v>
      </c>
      <c r="C368" t="s">
        <v>35</v>
      </c>
      <c r="D368" s="6" t="s">
        <v>34</v>
      </c>
      <c r="E368" t="s">
        <v>1176</v>
      </c>
      <c r="F368" t="s">
        <v>37</v>
      </c>
      <c r="G368" t="s">
        <v>38</v>
      </c>
      <c r="H368" t="s">
        <v>454</v>
      </c>
      <c r="I368" t="s">
        <v>40</v>
      </c>
      <c r="J368">
        <v>2</v>
      </c>
      <c r="K368" t="s">
        <v>41</v>
      </c>
      <c r="L368" t="s">
        <v>42</v>
      </c>
      <c r="M368" t="s">
        <v>43</v>
      </c>
      <c r="N368" s="7">
        <v>8</v>
      </c>
      <c r="O368" s="8">
        <v>45530.732442129629</v>
      </c>
      <c r="P368" s="9">
        <v>45532</v>
      </c>
      <c r="Q368" t="s">
        <v>44</v>
      </c>
      <c r="R368" t="s">
        <v>45</v>
      </c>
      <c r="S368" t="s">
        <v>46</v>
      </c>
      <c r="T368" t="s">
        <v>54</v>
      </c>
      <c r="U368" t="s">
        <v>547</v>
      </c>
      <c r="V368">
        <v>81750</v>
      </c>
      <c r="W368" t="s">
        <v>45</v>
      </c>
      <c r="X368" t="s">
        <v>65</v>
      </c>
      <c r="Y368" t="s">
        <v>50</v>
      </c>
      <c r="Z368" s="10">
        <f t="shared" si="28"/>
        <v>14.600000000000001</v>
      </c>
      <c r="AA368" s="11">
        <v>0</v>
      </c>
      <c r="AB368" s="11">
        <v>-2</v>
      </c>
      <c r="AC368" s="11">
        <v>0</v>
      </c>
      <c r="AD368" s="11">
        <v>0</v>
      </c>
      <c r="AE368" s="11">
        <v>0</v>
      </c>
      <c r="AF368" s="11">
        <f t="shared" si="26"/>
        <v>0.75600000000000001</v>
      </c>
      <c r="AG368" s="11">
        <f t="shared" si="27"/>
        <v>13.356000000000002</v>
      </c>
      <c r="AH368" t="s">
        <v>51</v>
      </c>
    </row>
    <row r="369" spans="1:34" ht="15" customHeight="1" x14ac:dyDescent="0.25">
      <c r="A369">
        <v>7547676</v>
      </c>
      <c r="B369" t="s">
        <v>34</v>
      </c>
      <c r="C369" t="s">
        <v>35</v>
      </c>
      <c r="D369" s="6" t="s">
        <v>34</v>
      </c>
      <c r="E369" t="s">
        <v>1177</v>
      </c>
      <c r="F369" t="s">
        <v>37</v>
      </c>
      <c r="G369" t="s">
        <v>38</v>
      </c>
      <c r="H369" t="s">
        <v>1178</v>
      </c>
      <c r="I369" t="s">
        <v>40</v>
      </c>
      <c r="J369">
        <v>2</v>
      </c>
      <c r="K369" t="s">
        <v>41</v>
      </c>
      <c r="L369" t="s">
        <v>42</v>
      </c>
      <c r="M369" t="s">
        <v>43</v>
      </c>
      <c r="N369" s="7">
        <v>1</v>
      </c>
      <c r="O369" s="8">
        <v>45530.567291666666</v>
      </c>
      <c r="P369" s="9">
        <v>45532</v>
      </c>
      <c r="Q369" t="s">
        <v>44</v>
      </c>
      <c r="R369" t="s">
        <v>45</v>
      </c>
      <c r="S369" t="s">
        <v>46</v>
      </c>
      <c r="T369" t="s">
        <v>146</v>
      </c>
      <c r="U369" t="s">
        <v>1179</v>
      </c>
      <c r="V369">
        <v>54200</v>
      </c>
      <c r="W369" t="s">
        <v>45</v>
      </c>
      <c r="X369" t="s">
        <v>69</v>
      </c>
      <c r="Y369" t="s">
        <v>50</v>
      </c>
      <c r="Z369" s="10">
        <f t="shared" si="28"/>
        <v>9</v>
      </c>
      <c r="AA369" s="11">
        <v>0</v>
      </c>
      <c r="AB369" s="11">
        <v>-2</v>
      </c>
      <c r="AC369" s="11">
        <v>0</v>
      </c>
      <c r="AD369" s="11">
        <v>0</v>
      </c>
      <c r="AE369" s="11">
        <v>0</v>
      </c>
      <c r="AF369" s="11">
        <f t="shared" si="26"/>
        <v>0.42</v>
      </c>
      <c r="AG369" s="11">
        <f t="shared" si="27"/>
        <v>7.42</v>
      </c>
      <c r="AH369" t="s">
        <v>51</v>
      </c>
    </row>
    <row r="370" spans="1:34" ht="15" customHeight="1" x14ac:dyDescent="0.25">
      <c r="A370">
        <v>7547676</v>
      </c>
      <c r="B370" t="s">
        <v>34</v>
      </c>
      <c r="C370" t="s">
        <v>35</v>
      </c>
      <c r="D370" s="6" t="s">
        <v>34</v>
      </c>
      <c r="E370" t="s">
        <v>1180</v>
      </c>
      <c r="F370" t="s">
        <v>37</v>
      </c>
      <c r="G370" t="s">
        <v>38</v>
      </c>
      <c r="H370" t="s">
        <v>102</v>
      </c>
      <c r="I370" t="s">
        <v>40</v>
      </c>
      <c r="J370">
        <v>2</v>
      </c>
      <c r="K370" t="s">
        <v>41</v>
      </c>
      <c r="L370" t="s">
        <v>42</v>
      </c>
      <c r="M370" t="s">
        <v>43</v>
      </c>
      <c r="N370" s="7">
        <v>1</v>
      </c>
      <c r="O370" s="8">
        <v>45504.537280092591</v>
      </c>
      <c r="P370" s="9">
        <v>45505</v>
      </c>
      <c r="Q370" t="s">
        <v>44</v>
      </c>
      <c r="R370" t="s">
        <v>45</v>
      </c>
      <c r="S370" t="s">
        <v>1181</v>
      </c>
      <c r="T370" t="s">
        <v>92</v>
      </c>
      <c r="U370" t="s">
        <v>103</v>
      </c>
      <c r="V370">
        <v>40000</v>
      </c>
      <c r="W370" t="s">
        <v>45</v>
      </c>
      <c r="X370" t="s">
        <v>104</v>
      </c>
      <c r="Y370" t="s">
        <v>50</v>
      </c>
      <c r="Z370" s="10">
        <f t="shared" si="28"/>
        <v>9</v>
      </c>
      <c r="AA370" s="11">
        <v>0</v>
      </c>
      <c r="AB370" s="11">
        <v>-2</v>
      </c>
      <c r="AC370" s="11">
        <v>0</v>
      </c>
      <c r="AD370" s="11">
        <v>0</v>
      </c>
      <c r="AE370" s="11">
        <v>0</v>
      </c>
      <c r="AF370" s="11">
        <f t="shared" si="26"/>
        <v>0.42</v>
      </c>
      <c r="AG370" s="11">
        <f t="shared" si="27"/>
        <v>7.42</v>
      </c>
      <c r="AH370" t="s">
        <v>51</v>
      </c>
    </row>
    <row r="371" spans="1:34" ht="15" customHeight="1" x14ac:dyDescent="0.25">
      <c r="A371">
        <v>7547676</v>
      </c>
      <c r="B371" t="s">
        <v>34</v>
      </c>
      <c r="C371" t="s">
        <v>35</v>
      </c>
      <c r="D371" s="6" t="s">
        <v>34</v>
      </c>
      <c r="E371" t="s">
        <v>1182</v>
      </c>
      <c r="F371" t="s">
        <v>37</v>
      </c>
      <c r="G371" t="s">
        <v>38</v>
      </c>
      <c r="H371" t="s">
        <v>1183</v>
      </c>
      <c r="I371" t="s">
        <v>40</v>
      </c>
      <c r="J371">
        <v>2</v>
      </c>
      <c r="K371" t="s">
        <v>41</v>
      </c>
      <c r="L371" t="s">
        <v>42</v>
      </c>
      <c r="M371" t="s">
        <v>43</v>
      </c>
      <c r="N371" s="7">
        <v>1</v>
      </c>
      <c r="O371" s="8">
        <v>45502.802314814813</v>
      </c>
      <c r="P371" s="9">
        <v>45505</v>
      </c>
      <c r="Q371" t="s">
        <v>44</v>
      </c>
      <c r="R371" t="s">
        <v>45</v>
      </c>
      <c r="S371" t="s">
        <v>1181</v>
      </c>
      <c r="T371" t="s">
        <v>129</v>
      </c>
      <c r="U371" t="s">
        <v>1184</v>
      </c>
      <c r="V371">
        <v>71450</v>
      </c>
      <c r="W371" t="s">
        <v>45</v>
      </c>
      <c r="X371" t="s">
        <v>69</v>
      </c>
      <c r="Y371" t="s">
        <v>50</v>
      </c>
      <c r="Z371" s="10">
        <f t="shared" si="28"/>
        <v>9</v>
      </c>
      <c r="AA371" s="11">
        <v>0</v>
      </c>
      <c r="AB371" s="11">
        <v>-2</v>
      </c>
      <c r="AC371" s="11">
        <v>0</v>
      </c>
      <c r="AD371" s="11">
        <v>0</v>
      </c>
      <c r="AE371" s="11">
        <v>0</v>
      </c>
      <c r="AF371" s="11">
        <f t="shared" si="26"/>
        <v>0.42</v>
      </c>
      <c r="AG371" s="11">
        <f t="shared" si="27"/>
        <v>7.42</v>
      </c>
      <c r="AH371" t="s">
        <v>51</v>
      </c>
    </row>
    <row r="372" spans="1:34" ht="15" customHeight="1" x14ac:dyDescent="0.25">
      <c r="A372">
        <v>7547676</v>
      </c>
      <c r="B372" t="s">
        <v>34</v>
      </c>
      <c r="C372" t="s">
        <v>35</v>
      </c>
      <c r="D372" s="6" t="s">
        <v>34</v>
      </c>
      <c r="E372" t="s">
        <v>1185</v>
      </c>
      <c r="F372" t="s">
        <v>37</v>
      </c>
      <c r="G372" t="s">
        <v>38</v>
      </c>
      <c r="H372" t="s">
        <v>480</v>
      </c>
      <c r="I372" t="s">
        <v>40</v>
      </c>
      <c r="J372">
        <v>2</v>
      </c>
      <c r="K372" t="s">
        <v>41</v>
      </c>
      <c r="L372" t="s">
        <v>42</v>
      </c>
      <c r="M372" t="s">
        <v>43</v>
      </c>
      <c r="N372" s="7">
        <v>1</v>
      </c>
      <c r="O372" s="8">
        <v>45503.66134259259</v>
      </c>
      <c r="P372" s="9">
        <v>45505</v>
      </c>
      <c r="Q372" t="s">
        <v>44</v>
      </c>
      <c r="R372" t="s">
        <v>45</v>
      </c>
      <c r="S372" t="s">
        <v>1181</v>
      </c>
      <c r="T372" t="s">
        <v>107</v>
      </c>
      <c r="U372" t="s">
        <v>481</v>
      </c>
      <c r="V372">
        <v>6660</v>
      </c>
      <c r="W372" t="s">
        <v>45</v>
      </c>
      <c r="X372" t="s">
        <v>482</v>
      </c>
      <c r="Y372" t="s">
        <v>50</v>
      </c>
      <c r="Z372" s="10">
        <f t="shared" si="28"/>
        <v>9</v>
      </c>
      <c r="AA372" s="11">
        <v>0</v>
      </c>
      <c r="AB372" s="11">
        <v>-2</v>
      </c>
      <c r="AC372" s="11">
        <v>0</v>
      </c>
      <c r="AD372" s="11">
        <v>0</v>
      </c>
      <c r="AE372" s="11">
        <v>0</v>
      </c>
      <c r="AF372" s="11">
        <f t="shared" si="26"/>
        <v>0.42</v>
      </c>
      <c r="AG372" s="11">
        <f t="shared" si="27"/>
        <v>7.42</v>
      </c>
      <c r="AH372" t="s">
        <v>51</v>
      </c>
    </row>
    <row r="373" spans="1:34" ht="15" customHeight="1" x14ac:dyDescent="0.25">
      <c r="A373">
        <v>7547676</v>
      </c>
      <c r="B373" t="s">
        <v>34</v>
      </c>
      <c r="C373" t="s">
        <v>35</v>
      </c>
      <c r="D373" s="6" t="s">
        <v>34</v>
      </c>
      <c r="E373" t="s">
        <v>1186</v>
      </c>
      <c r="F373" t="s">
        <v>37</v>
      </c>
      <c r="G373" t="s">
        <v>38</v>
      </c>
      <c r="H373" t="s">
        <v>1187</v>
      </c>
      <c r="I373" t="s">
        <v>40</v>
      </c>
      <c r="J373">
        <v>2</v>
      </c>
      <c r="K373" t="s">
        <v>41</v>
      </c>
      <c r="L373" t="s">
        <v>42</v>
      </c>
      <c r="M373" t="s">
        <v>43</v>
      </c>
      <c r="N373" s="7">
        <v>1</v>
      </c>
      <c r="O373" s="8">
        <v>45502.804930555554</v>
      </c>
      <c r="P373" s="9">
        <v>45505</v>
      </c>
      <c r="Q373" t="s">
        <v>44</v>
      </c>
      <c r="R373" t="s">
        <v>45</v>
      </c>
      <c r="S373" t="s">
        <v>1181</v>
      </c>
      <c r="T373" t="s">
        <v>107</v>
      </c>
      <c r="U373" t="s">
        <v>1188</v>
      </c>
      <c r="V373">
        <v>9000</v>
      </c>
      <c r="W373" t="s">
        <v>45</v>
      </c>
      <c r="X373" t="s">
        <v>69</v>
      </c>
      <c r="Y373" t="s">
        <v>50</v>
      </c>
      <c r="Z373" s="10">
        <f t="shared" si="28"/>
        <v>9</v>
      </c>
      <c r="AA373" s="11">
        <v>0</v>
      </c>
      <c r="AB373" s="11">
        <v>-2</v>
      </c>
      <c r="AC373" s="11">
        <v>0</v>
      </c>
      <c r="AD373" s="11">
        <v>0</v>
      </c>
      <c r="AE373" s="11">
        <v>0</v>
      </c>
      <c r="AF373" s="11">
        <f t="shared" si="26"/>
        <v>0.42</v>
      </c>
      <c r="AG373" s="11">
        <f t="shared" si="27"/>
        <v>7.42</v>
      </c>
      <c r="AH373" t="s">
        <v>51</v>
      </c>
    </row>
    <row r="374" spans="1:34" ht="15" customHeight="1" x14ac:dyDescent="0.25">
      <c r="A374">
        <v>7547676</v>
      </c>
      <c r="B374" t="s">
        <v>34</v>
      </c>
      <c r="C374" t="s">
        <v>35</v>
      </c>
      <c r="D374" s="6" t="s">
        <v>34</v>
      </c>
      <c r="E374" t="s">
        <v>1189</v>
      </c>
      <c r="F374" t="s">
        <v>37</v>
      </c>
      <c r="G374" t="s">
        <v>38</v>
      </c>
      <c r="H374" t="s">
        <v>1190</v>
      </c>
      <c r="I374" t="s">
        <v>40</v>
      </c>
      <c r="J374">
        <v>2</v>
      </c>
      <c r="K374" t="s">
        <v>41</v>
      </c>
      <c r="L374" t="s">
        <v>42</v>
      </c>
      <c r="M374" t="s">
        <v>43</v>
      </c>
      <c r="N374" s="7">
        <v>3</v>
      </c>
      <c r="O374" s="8">
        <v>45503.663611111115</v>
      </c>
      <c r="P374" s="9">
        <v>45505</v>
      </c>
      <c r="Q374" t="s">
        <v>44</v>
      </c>
      <c r="R374" t="s">
        <v>45</v>
      </c>
      <c r="S374" t="s">
        <v>1181</v>
      </c>
      <c r="T374" t="s">
        <v>1191</v>
      </c>
      <c r="U374" t="s">
        <v>1192</v>
      </c>
      <c r="V374">
        <v>43800</v>
      </c>
      <c r="W374" t="s">
        <v>45</v>
      </c>
      <c r="X374" t="s">
        <v>1193</v>
      </c>
      <c r="Y374" t="s">
        <v>50</v>
      </c>
      <c r="Z374" s="10">
        <f>IF(N374&lt;=1,9,9+0.8*ROUNDUP(N374-1,0))</f>
        <v>10.6</v>
      </c>
      <c r="AA374" s="11">
        <v>0</v>
      </c>
      <c r="AB374" s="11">
        <v>-2</v>
      </c>
      <c r="AC374" s="11">
        <v>0</v>
      </c>
      <c r="AD374" s="11">
        <v>0</v>
      </c>
      <c r="AE374" s="11">
        <v>0</v>
      </c>
      <c r="AF374" s="11">
        <f t="shared" si="26"/>
        <v>0.51600000000000001</v>
      </c>
      <c r="AG374" s="11">
        <f t="shared" si="27"/>
        <v>9.1159999999999997</v>
      </c>
      <c r="AH374" t="s">
        <v>51</v>
      </c>
    </row>
    <row r="375" spans="1:34" ht="15" customHeight="1" x14ac:dyDescent="0.25">
      <c r="A375">
        <v>7547676</v>
      </c>
      <c r="B375" t="s">
        <v>34</v>
      </c>
      <c r="C375" t="s">
        <v>35</v>
      </c>
      <c r="D375" s="6" t="s">
        <v>34</v>
      </c>
      <c r="E375" t="s">
        <v>1194</v>
      </c>
      <c r="F375" t="s">
        <v>37</v>
      </c>
      <c r="G375" t="s">
        <v>38</v>
      </c>
      <c r="H375" t="s">
        <v>1195</v>
      </c>
      <c r="I375" t="s">
        <v>40</v>
      </c>
      <c r="J375">
        <v>2</v>
      </c>
      <c r="K375" t="s">
        <v>41</v>
      </c>
      <c r="L375" t="s">
        <v>42</v>
      </c>
      <c r="M375" t="s">
        <v>43</v>
      </c>
      <c r="N375" s="7">
        <v>1</v>
      </c>
      <c r="O375" s="8">
        <v>45503.822939814818</v>
      </c>
      <c r="P375" s="9">
        <v>45505</v>
      </c>
      <c r="Q375" t="s">
        <v>44</v>
      </c>
      <c r="R375" t="s">
        <v>45</v>
      </c>
      <c r="S375" t="s">
        <v>1181</v>
      </c>
      <c r="T375" t="s">
        <v>129</v>
      </c>
      <c r="U375" t="s">
        <v>1196</v>
      </c>
      <c r="V375">
        <v>73200</v>
      </c>
      <c r="W375" t="s">
        <v>45</v>
      </c>
      <c r="X375" t="s">
        <v>1197</v>
      </c>
      <c r="Y375" t="s">
        <v>50</v>
      </c>
      <c r="Z375" s="10">
        <f t="shared" ref="Z375:Z380" si="29">IF(N375&lt;=1,9,9+0.8*ROUNDUP(N375-1,0))</f>
        <v>9</v>
      </c>
      <c r="AA375" s="11">
        <v>0</v>
      </c>
      <c r="AB375" s="11">
        <v>-2</v>
      </c>
      <c r="AC375" s="11">
        <v>0</v>
      </c>
      <c r="AD375" s="11">
        <v>0</v>
      </c>
      <c r="AE375" s="11">
        <v>0</v>
      </c>
      <c r="AF375" s="11">
        <f t="shared" si="26"/>
        <v>0.42</v>
      </c>
      <c r="AG375" s="11">
        <f t="shared" si="27"/>
        <v>7.42</v>
      </c>
      <c r="AH375" t="s">
        <v>51</v>
      </c>
    </row>
    <row r="376" spans="1:34" ht="15" customHeight="1" x14ac:dyDescent="0.25">
      <c r="A376">
        <v>7547676</v>
      </c>
      <c r="B376" t="s">
        <v>34</v>
      </c>
      <c r="C376" t="s">
        <v>35</v>
      </c>
      <c r="D376" s="6" t="s">
        <v>34</v>
      </c>
      <c r="E376" t="s">
        <v>1198</v>
      </c>
      <c r="F376" t="s">
        <v>37</v>
      </c>
      <c r="G376" t="s">
        <v>38</v>
      </c>
      <c r="H376" t="s">
        <v>1199</v>
      </c>
      <c r="I376" t="s">
        <v>40</v>
      </c>
      <c r="J376">
        <v>2</v>
      </c>
      <c r="K376" t="s">
        <v>41</v>
      </c>
      <c r="L376" t="s">
        <v>42</v>
      </c>
      <c r="M376" t="s">
        <v>43</v>
      </c>
      <c r="N376" s="7">
        <v>1</v>
      </c>
      <c r="O376" s="8">
        <v>45504.703379629631</v>
      </c>
      <c r="P376" s="9">
        <v>45505</v>
      </c>
      <c r="Q376" t="s">
        <v>44</v>
      </c>
      <c r="R376" t="s">
        <v>45</v>
      </c>
      <c r="S376" t="s">
        <v>1181</v>
      </c>
      <c r="T376" t="s">
        <v>92</v>
      </c>
      <c r="U376" t="s">
        <v>1200</v>
      </c>
      <c r="V376">
        <v>46100</v>
      </c>
      <c r="W376" t="s">
        <v>45</v>
      </c>
      <c r="X376" t="s">
        <v>69</v>
      </c>
      <c r="Y376" t="s">
        <v>50</v>
      </c>
      <c r="Z376" s="10">
        <f t="shared" si="29"/>
        <v>9</v>
      </c>
      <c r="AA376" s="11">
        <v>0</v>
      </c>
      <c r="AB376" s="11">
        <v>-2</v>
      </c>
      <c r="AC376" s="11">
        <v>0</v>
      </c>
      <c r="AD376" s="11">
        <v>0</v>
      </c>
      <c r="AE376" s="11">
        <v>0</v>
      </c>
      <c r="AF376" s="11">
        <f t="shared" si="26"/>
        <v>0.42</v>
      </c>
      <c r="AG376" s="11">
        <f t="shared" si="27"/>
        <v>7.42</v>
      </c>
      <c r="AH376" t="s">
        <v>51</v>
      </c>
    </row>
    <row r="377" spans="1:34" ht="15" customHeight="1" x14ac:dyDescent="0.25">
      <c r="A377">
        <v>7547676</v>
      </c>
      <c r="B377" t="s">
        <v>34</v>
      </c>
      <c r="C377" t="s">
        <v>35</v>
      </c>
      <c r="D377" s="6" t="s">
        <v>34</v>
      </c>
      <c r="E377" t="s">
        <v>1201</v>
      </c>
      <c r="F377" t="s">
        <v>37</v>
      </c>
      <c r="G377" t="s">
        <v>38</v>
      </c>
      <c r="H377" t="s">
        <v>1202</v>
      </c>
      <c r="I377" t="s">
        <v>40</v>
      </c>
      <c r="J377">
        <v>2</v>
      </c>
      <c r="K377" t="s">
        <v>41</v>
      </c>
      <c r="L377" t="s">
        <v>42</v>
      </c>
      <c r="M377" t="s">
        <v>43</v>
      </c>
      <c r="N377" s="7">
        <v>2</v>
      </c>
      <c r="O377" s="8">
        <v>45503.737002314818</v>
      </c>
      <c r="P377" s="9">
        <v>45505</v>
      </c>
      <c r="Q377" t="s">
        <v>44</v>
      </c>
      <c r="R377" t="s">
        <v>45</v>
      </c>
      <c r="S377" t="s">
        <v>1181</v>
      </c>
      <c r="T377" t="s">
        <v>92</v>
      </c>
      <c r="U377" t="s">
        <v>1203</v>
      </c>
      <c r="V377">
        <v>40000</v>
      </c>
      <c r="W377" t="s">
        <v>45</v>
      </c>
      <c r="X377" t="s">
        <v>478</v>
      </c>
      <c r="Y377" t="s">
        <v>50</v>
      </c>
      <c r="Z377" s="10">
        <f t="shared" si="29"/>
        <v>9.8000000000000007</v>
      </c>
      <c r="AA377" s="11">
        <v>0</v>
      </c>
      <c r="AB377" s="11">
        <v>-2</v>
      </c>
      <c r="AC377" s="11">
        <v>0</v>
      </c>
      <c r="AD377" s="11">
        <v>0</v>
      </c>
      <c r="AE377" s="11">
        <v>0</v>
      </c>
      <c r="AF377" s="11">
        <f t="shared" si="26"/>
        <v>0.46800000000000003</v>
      </c>
      <c r="AG377" s="11">
        <f t="shared" si="27"/>
        <v>8.2680000000000007</v>
      </c>
      <c r="AH377" t="s">
        <v>51</v>
      </c>
    </row>
    <row r="378" spans="1:34" ht="15" customHeight="1" x14ac:dyDescent="0.25">
      <c r="A378">
        <v>7547676</v>
      </c>
      <c r="B378" t="s">
        <v>34</v>
      </c>
      <c r="C378" t="s">
        <v>35</v>
      </c>
      <c r="D378" s="6" t="s">
        <v>34</v>
      </c>
      <c r="E378" t="s">
        <v>1204</v>
      </c>
      <c r="F378" t="s">
        <v>37</v>
      </c>
      <c r="G378" t="s">
        <v>38</v>
      </c>
      <c r="H378" t="s">
        <v>1205</v>
      </c>
      <c r="I378" t="s">
        <v>40</v>
      </c>
      <c r="J378">
        <v>2</v>
      </c>
      <c r="K378" t="s">
        <v>41</v>
      </c>
      <c r="L378" t="s">
        <v>42</v>
      </c>
      <c r="M378" t="s">
        <v>43</v>
      </c>
      <c r="N378" s="7">
        <v>1</v>
      </c>
      <c r="O378" s="8">
        <v>45503.822939814818</v>
      </c>
      <c r="P378" s="9">
        <v>45505</v>
      </c>
      <c r="Q378" t="s">
        <v>44</v>
      </c>
      <c r="R378" t="s">
        <v>45</v>
      </c>
      <c r="S378" t="s">
        <v>1181</v>
      </c>
      <c r="T378" t="s">
        <v>84</v>
      </c>
      <c r="U378" t="s">
        <v>1206</v>
      </c>
      <c r="V378">
        <v>16200</v>
      </c>
      <c r="W378" t="s">
        <v>45</v>
      </c>
      <c r="X378" t="s">
        <v>74</v>
      </c>
      <c r="Y378" t="s">
        <v>50</v>
      </c>
      <c r="Z378" s="10">
        <f t="shared" si="29"/>
        <v>9</v>
      </c>
      <c r="AA378" s="11">
        <v>0</v>
      </c>
      <c r="AB378" s="11">
        <v>-2</v>
      </c>
      <c r="AC378" s="11">
        <v>0</v>
      </c>
      <c r="AD378" s="11">
        <v>0</v>
      </c>
      <c r="AE378" s="11">
        <v>0</v>
      </c>
      <c r="AF378" s="11">
        <f t="shared" si="26"/>
        <v>0.42</v>
      </c>
      <c r="AG378" s="11">
        <f t="shared" si="27"/>
        <v>7.42</v>
      </c>
      <c r="AH378" t="s">
        <v>51</v>
      </c>
    </row>
    <row r="379" spans="1:34" ht="15" customHeight="1" x14ac:dyDescent="0.25">
      <c r="A379">
        <v>7547676</v>
      </c>
      <c r="B379" t="s">
        <v>34</v>
      </c>
      <c r="C379" t="s">
        <v>35</v>
      </c>
      <c r="D379" s="6" t="s">
        <v>34</v>
      </c>
      <c r="E379" t="s">
        <v>1207</v>
      </c>
      <c r="F379" t="s">
        <v>37</v>
      </c>
      <c r="G379" t="s">
        <v>38</v>
      </c>
      <c r="H379" t="s">
        <v>1208</v>
      </c>
      <c r="I379" t="s">
        <v>40</v>
      </c>
      <c r="J379">
        <v>2</v>
      </c>
      <c r="K379" t="s">
        <v>41</v>
      </c>
      <c r="L379" t="s">
        <v>42</v>
      </c>
      <c r="M379" t="s">
        <v>43</v>
      </c>
      <c r="N379" s="7">
        <v>1</v>
      </c>
      <c r="O379" s="8">
        <v>45503.618946759256</v>
      </c>
      <c r="P379" s="9">
        <v>45505</v>
      </c>
      <c r="Q379" t="s">
        <v>44</v>
      </c>
      <c r="R379" t="s">
        <v>45</v>
      </c>
      <c r="S379" t="s">
        <v>1181</v>
      </c>
      <c r="T379" t="s">
        <v>223</v>
      </c>
      <c r="U379" t="s">
        <v>1209</v>
      </c>
      <c r="V379">
        <v>25150</v>
      </c>
      <c r="W379" t="s">
        <v>45</v>
      </c>
      <c r="X379" t="s">
        <v>225</v>
      </c>
      <c r="Y379" t="s">
        <v>50</v>
      </c>
      <c r="Z379" s="10">
        <f t="shared" si="29"/>
        <v>9</v>
      </c>
      <c r="AA379" s="11">
        <v>0</v>
      </c>
      <c r="AB379" s="11">
        <v>-2</v>
      </c>
      <c r="AC379" s="11">
        <v>0</v>
      </c>
      <c r="AD379" s="11">
        <v>0</v>
      </c>
      <c r="AE379" s="11">
        <v>0</v>
      </c>
      <c r="AF379" s="11">
        <f t="shared" si="26"/>
        <v>0.42</v>
      </c>
      <c r="AG379" s="11">
        <f t="shared" si="27"/>
        <v>7.42</v>
      </c>
      <c r="AH379" t="s">
        <v>51</v>
      </c>
    </row>
    <row r="380" spans="1:34" ht="15" customHeight="1" x14ac:dyDescent="0.25">
      <c r="A380">
        <v>7547676</v>
      </c>
      <c r="B380" t="s">
        <v>34</v>
      </c>
      <c r="C380" t="s">
        <v>35</v>
      </c>
      <c r="D380" s="6" t="s">
        <v>34</v>
      </c>
      <c r="E380" t="s">
        <v>1210</v>
      </c>
      <c r="F380" t="s">
        <v>37</v>
      </c>
      <c r="G380" t="s">
        <v>38</v>
      </c>
      <c r="H380" t="s">
        <v>1211</v>
      </c>
      <c r="I380" t="s">
        <v>40</v>
      </c>
      <c r="J380">
        <v>2</v>
      </c>
      <c r="K380" t="s">
        <v>41</v>
      </c>
      <c r="L380" t="s">
        <v>42</v>
      </c>
      <c r="M380" t="s">
        <v>43</v>
      </c>
      <c r="N380" s="7">
        <v>1</v>
      </c>
      <c r="O380" s="8">
        <v>45498.608622685184</v>
      </c>
      <c r="P380" s="9">
        <v>45505</v>
      </c>
      <c r="Q380" t="s">
        <v>44</v>
      </c>
      <c r="R380" t="s">
        <v>45</v>
      </c>
      <c r="S380" t="s">
        <v>1181</v>
      </c>
      <c r="T380" t="s">
        <v>92</v>
      </c>
      <c r="U380" t="s">
        <v>1212</v>
      </c>
      <c r="V380">
        <v>43700</v>
      </c>
      <c r="W380" t="s">
        <v>45</v>
      </c>
      <c r="X380" t="s">
        <v>157</v>
      </c>
      <c r="Y380" t="s">
        <v>50</v>
      </c>
      <c r="Z380" s="10">
        <f t="shared" si="29"/>
        <v>9</v>
      </c>
      <c r="AA380" s="11">
        <v>0</v>
      </c>
      <c r="AB380" s="11">
        <v>-2</v>
      </c>
      <c r="AC380" s="11">
        <v>0</v>
      </c>
      <c r="AD380" s="11">
        <v>0</v>
      </c>
      <c r="AE380" s="11">
        <v>0</v>
      </c>
      <c r="AF380" s="11">
        <f t="shared" si="26"/>
        <v>0.42</v>
      </c>
      <c r="AG380" s="11">
        <f t="shared" si="27"/>
        <v>7.42</v>
      </c>
      <c r="AH380" t="s">
        <v>51</v>
      </c>
    </row>
    <row r="381" spans="1:34" ht="15" customHeight="1" x14ac:dyDescent="0.25">
      <c r="A381">
        <v>7547676</v>
      </c>
      <c r="B381" t="s">
        <v>34</v>
      </c>
      <c r="C381" t="s">
        <v>35</v>
      </c>
      <c r="D381" s="6" t="s">
        <v>34</v>
      </c>
      <c r="E381" t="s">
        <v>1213</v>
      </c>
      <c r="F381" t="s">
        <v>37</v>
      </c>
      <c r="G381" t="s">
        <v>38</v>
      </c>
      <c r="H381" t="s">
        <v>1214</v>
      </c>
      <c r="I381" t="s">
        <v>40</v>
      </c>
      <c r="J381">
        <v>2</v>
      </c>
      <c r="K381" t="s">
        <v>41</v>
      </c>
      <c r="L381" t="s">
        <v>42</v>
      </c>
      <c r="M381" t="s">
        <v>43</v>
      </c>
      <c r="N381" s="7">
        <v>9</v>
      </c>
      <c r="O381" s="8">
        <v>45504.715069444443</v>
      </c>
      <c r="P381" s="9">
        <v>45505</v>
      </c>
      <c r="Q381" t="s">
        <v>44</v>
      </c>
      <c r="R381" t="s">
        <v>45</v>
      </c>
      <c r="S381" t="s">
        <v>1181</v>
      </c>
      <c r="T381" t="s">
        <v>223</v>
      </c>
      <c r="U381" t="s">
        <v>1215</v>
      </c>
      <c r="V381">
        <v>26060</v>
      </c>
      <c r="W381" t="s">
        <v>45</v>
      </c>
      <c r="X381" t="s">
        <v>1016</v>
      </c>
      <c r="Y381" t="s">
        <v>50</v>
      </c>
      <c r="Z381" s="10">
        <f>IF(N381&lt;=1,9,9+0.8*ROUNDUP(N381-1,0))</f>
        <v>15.4</v>
      </c>
      <c r="AA381" s="11">
        <v>0</v>
      </c>
      <c r="AB381" s="11">
        <v>-2</v>
      </c>
      <c r="AC381" s="11">
        <v>0</v>
      </c>
      <c r="AD381" s="11">
        <v>0</v>
      </c>
      <c r="AE381" s="11">
        <v>0</v>
      </c>
      <c r="AF381" s="11">
        <f t="shared" si="26"/>
        <v>0.80399999999999994</v>
      </c>
      <c r="AG381" s="11">
        <f t="shared" si="27"/>
        <v>14.204000000000001</v>
      </c>
      <c r="AH381" t="s">
        <v>51</v>
      </c>
    </row>
    <row r="382" spans="1:34" ht="15" customHeight="1" x14ac:dyDescent="0.25">
      <c r="A382">
        <v>7547676</v>
      </c>
      <c r="B382" t="s">
        <v>34</v>
      </c>
      <c r="C382" t="s">
        <v>35</v>
      </c>
      <c r="D382" s="6" t="s">
        <v>34</v>
      </c>
      <c r="E382" t="s">
        <v>1216</v>
      </c>
      <c r="F382" t="s">
        <v>37</v>
      </c>
      <c r="G382" t="s">
        <v>38</v>
      </c>
      <c r="H382" t="s">
        <v>1217</v>
      </c>
      <c r="I382" t="s">
        <v>40</v>
      </c>
      <c r="J382">
        <v>2</v>
      </c>
      <c r="K382" t="s">
        <v>41</v>
      </c>
      <c r="L382" t="s">
        <v>42</v>
      </c>
      <c r="M382" t="s">
        <v>43</v>
      </c>
      <c r="N382" s="7">
        <v>1</v>
      </c>
      <c r="O382" s="8">
        <v>45503.65079861111</v>
      </c>
      <c r="P382" s="9">
        <v>45505</v>
      </c>
      <c r="Q382" t="s">
        <v>44</v>
      </c>
      <c r="R382" t="s">
        <v>45</v>
      </c>
      <c r="S382" t="s">
        <v>1181</v>
      </c>
      <c r="T382" t="s">
        <v>59</v>
      </c>
      <c r="U382" t="s">
        <v>1218</v>
      </c>
      <c r="V382">
        <v>11920</v>
      </c>
      <c r="W382" t="s">
        <v>45</v>
      </c>
      <c r="X382" t="s">
        <v>1145</v>
      </c>
      <c r="Y382" t="s">
        <v>50</v>
      </c>
      <c r="Z382" s="10">
        <f t="shared" ref="Z382:Z397" si="30">IF(N382&lt;=1,9,9+0.8*ROUNDUP(N382-1,0))</f>
        <v>9</v>
      </c>
      <c r="AA382" s="11">
        <v>0</v>
      </c>
      <c r="AB382" s="11">
        <v>-2</v>
      </c>
      <c r="AC382" s="11">
        <v>0</v>
      </c>
      <c r="AD382" s="11">
        <v>0</v>
      </c>
      <c r="AE382" s="11">
        <v>0</v>
      </c>
      <c r="AF382" s="11">
        <f t="shared" si="26"/>
        <v>0.42</v>
      </c>
      <c r="AG382" s="11">
        <f t="shared" si="27"/>
        <v>7.42</v>
      </c>
      <c r="AH382" t="s">
        <v>51</v>
      </c>
    </row>
    <row r="383" spans="1:34" ht="15" customHeight="1" x14ac:dyDescent="0.25">
      <c r="A383">
        <v>7547676</v>
      </c>
      <c r="B383" t="s">
        <v>34</v>
      </c>
      <c r="C383" t="s">
        <v>35</v>
      </c>
      <c r="D383" s="6" t="s">
        <v>34</v>
      </c>
      <c r="E383" t="s">
        <v>1219</v>
      </c>
      <c r="F383" t="s">
        <v>37</v>
      </c>
      <c r="G383" t="s">
        <v>38</v>
      </c>
      <c r="H383" t="s">
        <v>1220</v>
      </c>
      <c r="I383" t="s">
        <v>40</v>
      </c>
      <c r="J383">
        <v>2</v>
      </c>
      <c r="K383" t="s">
        <v>41</v>
      </c>
      <c r="L383" t="s">
        <v>42</v>
      </c>
      <c r="M383" t="s">
        <v>43</v>
      </c>
      <c r="N383" s="7">
        <v>1</v>
      </c>
      <c r="O383" s="8">
        <v>45504.733240740738</v>
      </c>
      <c r="P383" s="9">
        <v>45505</v>
      </c>
      <c r="Q383" t="s">
        <v>44</v>
      </c>
      <c r="R383" t="s">
        <v>45</v>
      </c>
      <c r="S383" t="s">
        <v>1181</v>
      </c>
      <c r="T383" t="s">
        <v>92</v>
      </c>
      <c r="U383" t="s">
        <v>1221</v>
      </c>
      <c r="V383">
        <v>43000</v>
      </c>
      <c r="W383" t="s">
        <v>45</v>
      </c>
      <c r="X383" t="s">
        <v>69</v>
      </c>
      <c r="Y383" t="s">
        <v>50</v>
      </c>
      <c r="Z383" s="10">
        <f t="shared" si="30"/>
        <v>9</v>
      </c>
      <c r="AA383" s="11">
        <v>0</v>
      </c>
      <c r="AB383" s="11">
        <v>-2</v>
      </c>
      <c r="AC383" s="11">
        <v>0</v>
      </c>
      <c r="AD383" s="11">
        <v>0</v>
      </c>
      <c r="AE383" s="11">
        <v>0</v>
      </c>
      <c r="AF383" s="11">
        <f t="shared" si="26"/>
        <v>0.42</v>
      </c>
      <c r="AG383" s="11">
        <f t="shared" si="27"/>
        <v>7.42</v>
      </c>
      <c r="AH383" t="s">
        <v>51</v>
      </c>
    </row>
    <row r="384" spans="1:34" ht="15" customHeight="1" x14ac:dyDescent="0.25">
      <c r="A384">
        <v>7547676</v>
      </c>
      <c r="B384" t="s">
        <v>34</v>
      </c>
      <c r="C384" t="s">
        <v>35</v>
      </c>
      <c r="D384" s="6" t="s">
        <v>34</v>
      </c>
      <c r="E384" t="s">
        <v>1222</v>
      </c>
      <c r="F384" t="s">
        <v>37</v>
      </c>
      <c r="G384" t="s">
        <v>38</v>
      </c>
      <c r="H384" t="s">
        <v>1223</v>
      </c>
      <c r="I384" t="s">
        <v>40</v>
      </c>
      <c r="J384">
        <v>2</v>
      </c>
      <c r="K384" t="s">
        <v>41</v>
      </c>
      <c r="L384" t="s">
        <v>42</v>
      </c>
      <c r="M384" t="s">
        <v>43</v>
      </c>
      <c r="N384" s="7">
        <v>1</v>
      </c>
      <c r="O384" s="8">
        <v>45505.654131944444</v>
      </c>
      <c r="P384" s="9">
        <v>45506</v>
      </c>
      <c r="Q384" t="s">
        <v>44</v>
      </c>
      <c r="R384" t="s">
        <v>45</v>
      </c>
      <c r="S384" t="s">
        <v>1181</v>
      </c>
      <c r="T384" t="s">
        <v>92</v>
      </c>
      <c r="U384" t="s">
        <v>1224</v>
      </c>
      <c r="V384">
        <v>40300</v>
      </c>
      <c r="W384" t="s">
        <v>45</v>
      </c>
      <c r="X384" t="s">
        <v>69</v>
      </c>
      <c r="Y384" t="s">
        <v>50</v>
      </c>
      <c r="Z384" s="10">
        <f t="shared" si="30"/>
        <v>9</v>
      </c>
      <c r="AA384" s="11">
        <v>0</v>
      </c>
      <c r="AB384" s="11">
        <v>-2</v>
      </c>
      <c r="AC384" s="11">
        <v>0</v>
      </c>
      <c r="AD384" s="11">
        <v>0</v>
      </c>
      <c r="AE384" s="11">
        <v>0</v>
      </c>
      <c r="AF384" s="11">
        <f t="shared" si="26"/>
        <v>0.42</v>
      </c>
      <c r="AG384" s="11">
        <f t="shared" si="27"/>
        <v>7.42</v>
      </c>
      <c r="AH384" t="s">
        <v>51</v>
      </c>
    </row>
    <row r="385" spans="1:34" ht="15" customHeight="1" x14ac:dyDescent="0.25">
      <c r="A385">
        <v>7547676</v>
      </c>
      <c r="B385" t="s">
        <v>34</v>
      </c>
      <c r="C385" t="s">
        <v>35</v>
      </c>
      <c r="D385" s="6" t="s">
        <v>34</v>
      </c>
      <c r="E385" t="s">
        <v>1225</v>
      </c>
      <c r="F385" t="s">
        <v>37</v>
      </c>
      <c r="G385" t="s">
        <v>38</v>
      </c>
      <c r="H385" t="s">
        <v>102</v>
      </c>
      <c r="I385" t="s">
        <v>40</v>
      </c>
      <c r="J385">
        <v>2</v>
      </c>
      <c r="K385" t="s">
        <v>41</v>
      </c>
      <c r="L385" t="s">
        <v>42</v>
      </c>
      <c r="M385" t="s">
        <v>43</v>
      </c>
      <c r="N385" s="7">
        <v>8</v>
      </c>
      <c r="O385" s="8">
        <v>45505.623645833337</v>
      </c>
      <c r="P385" s="9">
        <v>45506</v>
      </c>
      <c r="Q385" t="s">
        <v>44</v>
      </c>
      <c r="R385" t="s">
        <v>45</v>
      </c>
      <c r="S385" t="s">
        <v>1181</v>
      </c>
      <c r="T385" t="s">
        <v>92</v>
      </c>
      <c r="U385" t="s">
        <v>103</v>
      </c>
      <c r="V385">
        <v>40000</v>
      </c>
      <c r="W385" t="s">
        <v>45</v>
      </c>
      <c r="X385" t="s">
        <v>104</v>
      </c>
      <c r="Y385" t="s">
        <v>50</v>
      </c>
      <c r="Z385" s="10">
        <f t="shared" si="30"/>
        <v>14.600000000000001</v>
      </c>
      <c r="AA385" s="11">
        <v>0</v>
      </c>
      <c r="AB385" s="11">
        <v>-2</v>
      </c>
      <c r="AC385" s="11">
        <v>0</v>
      </c>
      <c r="AD385" s="11">
        <v>0</v>
      </c>
      <c r="AE385" s="11">
        <v>0</v>
      </c>
      <c r="AF385" s="11">
        <f t="shared" si="26"/>
        <v>0.75600000000000001</v>
      </c>
      <c r="AG385" s="11">
        <f t="shared" si="27"/>
        <v>13.356000000000002</v>
      </c>
      <c r="AH385" t="s">
        <v>51</v>
      </c>
    </row>
    <row r="386" spans="1:34" ht="15" customHeight="1" x14ac:dyDescent="0.25">
      <c r="A386">
        <v>7547676</v>
      </c>
      <c r="B386" t="s">
        <v>34</v>
      </c>
      <c r="C386" t="s">
        <v>35</v>
      </c>
      <c r="D386" s="6" t="s">
        <v>34</v>
      </c>
      <c r="E386" t="s">
        <v>1226</v>
      </c>
      <c r="F386" t="s">
        <v>37</v>
      </c>
      <c r="G386" t="s">
        <v>38</v>
      </c>
      <c r="H386" t="s">
        <v>1227</v>
      </c>
      <c r="I386" t="s">
        <v>40</v>
      </c>
      <c r="J386">
        <v>2</v>
      </c>
      <c r="K386" t="s">
        <v>41</v>
      </c>
      <c r="L386" t="s">
        <v>42</v>
      </c>
      <c r="M386" t="s">
        <v>43</v>
      </c>
      <c r="N386" s="7">
        <v>1</v>
      </c>
      <c r="O386" s="8">
        <v>45504.7187037037</v>
      </c>
      <c r="P386" s="9">
        <v>45505</v>
      </c>
      <c r="Q386" t="s">
        <v>44</v>
      </c>
      <c r="R386" t="s">
        <v>45</v>
      </c>
      <c r="S386" t="s">
        <v>1181</v>
      </c>
      <c r="T386" t="s">
        <v>223</v>
      </c>
      <c r="U386" t="s">
        <v>1228</v>
      </c>
      <c r="V386">
        <v>26060</v>
      </c>
      <c r="W386" t="s">
        <v>45</v>
      </c>
      <c r="X386" t="s">
        <v>225</v>
      </c>
      <c r="Y386" t="s">
        <v>50</v>
      </c>
      <c r="Z386" s="10">
        <f t="shared" si="30"/>
        <v>9</v>
      </c>
      <c r="AA386" s="11">
        <v>0</v>
      </c>
      <c r="AB386" s="11">
        <v>-2</v>
      </c>
      <c r="AC386" s="11">
        <v>0</v>
      </c>
      <c r="AD386" s="11">
        <v>0</v>
      </c>
      <c r="AE386" s="11">
        <v>0</v>
      </c>
      <c r="AF386" s="11">
        <f t="shared" ref="AF386:AF449" si="31">(Z386+AB386+AC386+AE386)*6%</f>
        <v>0.42</v>
      </c>
      <c r="AG386" s="11">
        <f t="shared" ref="AG386:AG449" si="32">Z386+AB386+AC386+AE386+AF386</f>
        <v>7.42</v>
      </c>
      <c r="AH386" t="s">
        <v>51</v>
      </c>
    </row>
    <row r="387" spans="1:34" ht="15" customHeight="1" x14ac:dyDescent="0.25">
      <c r="A387">
        <v>7547676</v>
      </c>
      <c r="B387" t="s">
        <v>34</v>
      </c>
      <c r="C387" t="s">
        <v>35</v>
      </c>
      <c r="D387" s="6" t="s">
        <v>34</v>
      </c>
      <c r="E387" t="s">
        <v>1229</v>
      </c>
      <c r="F387" t="s">
        <v>37</v>
      </c>
      <c r="G387" t="s">
        <v>38</v>
      </c>
      <c r="H387" t="s">
        <v>1230</v>
      </c>
      <c r="I387" t="s">
        <v>40</v>
      </c>
      <c r="J387">
        <v>2</v>
      </c>
      <c r="K387" t="s">
        <v>41</v>
      </c>
      <c r="L387" t="s">
        <v>42</v>
      </c>
      <c r="M387" t="s">
        <v>43</v>
      </c>
      <c r="N387" s="7">
        <v>1</v>
      </c>
      <c r="O387" s="8">
        <v>45504.721736111111</v>
      </c>
      <c r="P387" s="9">
        <v>45505</v>
      </c>
      <c r="Q387" t="s">
        <v>44</v>
      </c>
      <c r="R387" t="s">
        <v>45</v>
      </c>
      <c r="S387" t="s">
        <v>1181</v>
      </c>
      <c r="T387" t="s">
        <v>92</v>
      </c>
      <c r="U387" t="s">
        <v>1231</v>
      </c>
      <c r="V387">
        <v>68000</v>
      </c>
      <c r="W387" t="s">
        <v>45</v>
      </c>
      <c r="X387" t="s">
        <v>354</v>
      </c>
      <c r="Y387" t="s">
        <v>50</v>
      </c>
      <c r="Z387" s="10">
        <f t="shared" si="30"/>
        <v>9</v>
      </c>
      <c r="AA387" s="11">
        <v>0</v>
      </c>
      <c r="AB387" s="11">
        <v>-2</v>
      </c>
      <c r="AC387" s="11">
        <v>0</v>
      </c>
      <c r="AD387" s="11">
        <v>0</v>
      </c>
      <c r="AE387" s="11">
        <v>0</v>
      </c>
      <c r="AF387" s="11">
        <f t="shared" si="31"/>
        <v>0.42</v>
      </c>
      <c r="AG387" s="11">
        <f t="shared" si="32"/>
        <v>7.42</v>
      </c>
      <c r="AH387" t="s">
        <v>51</v>
      </c>
    </row>
    <row r="388" spans="1:34" ht="15" customHeight="1" x14ac:dyDescent="0.25">
      <c r="A388">
        <v>7547676</v>
      </c>
      <c r="B388" t="s">
        <v>34</v>
      </c>
      <c r="C388" t="s">
        <v>35</v>
      </c>
      <c r="D388" s="6" t="s">
        <v>34</v>
      </c>
      <c r="E388" t="s">
        <v>1232</v>
      </c>
      <c r="F388" t="s">
        <v>37</v>
      </c>
      <c r="G388" t="s">
        <v>38</v>
      </c>
      <c r="H388" t="s">
        <v>1233</v>
      </c>
      <c r="I388" t="s">
        <v>40</v>
      </c>
      <c r="J388">
        <v>2</v>
      </c>
      <c r="K388" t="s">
        <v>41</v>
      </c>
      <c r="L388" t="s">
        <v>42</v>
      </c>
      <c r="M388" t="s">
        <v>43</v>
      </c>
      <c r="N388" s="7">
        <v>1</v>
      </c>
      <c r="O388" s="8">
        <v>45504.796875</v>
      </c>
      <c r="P388" s="9">
        <v>45506</v>
      </c>
      <c r="Q388" t="s">
        <v>44</v>
      </c>
      <c r="R388" t="s">
        <v>45</v>
      </c>
      <c r="S388" t="s">
        <v>1181</v>
      </c>
      <c r="T388" t="s">
        <v>92</v>
      </c>
      <c r="U388" t="s">
        <v>1234</v>
      </c>
      <c r="V388">
        <v>40200</v>
      </c>
      <c r="W388" t="s">
        <v>45</v>
      </c>
      <c r="X388" t="s">
        <v>478</v>
      </c>
      <c r="Y388" t="s">
        <v>50</v>
      </c>
      <c r="Z388" s="10">
        <f t="shared" si="30"/>
        <v>9</v>
      </c>
      <c r="AA388" s="11">
        <v>0</v>
      </c>
      <c r="AB388" s="11">
        <v>-2</v>
      </c>
      <c r="AC388" s="11">
        <v>0</v>
      </c>
      <c r="AD388" s="11">
        <v>0</v>
      </c>
      <c r="AE388" s="11">
        <v>0</v>
      </c>
      <c r="AF388" s="11">
        <f t="shared" si="31"/>
        <v>0.42</v>
      </c>
      <c r="AG388" s="11">
        <f t="shared" si="32"/>
        <v>7.42</v>
      </c>
      <c r="AH388" t="s">
        <v>51</v>
      </c>
    </row>
    <row r="389" spans="1:34" ht="15" customHeight="1" x14ac:dyDescent="0.25">
      <c r="A389">
        <v>7547676</v>
      </c>
      <c r="B389" t="s">
        <v>34</v>
      </c>
      <c r="C389" t="s">
        <v>35</v>
      </c>
      <c r="D389" s="6" t="s">
        <v>34</v>
      </c>
      <c r="E389" t="s">
        <v>1235</v>
      </c>
      <c r="F389" t="s">
        <v>37</v>
      </c>
      <c r="G389" t="s">
        <v>38</v>
      </c>
      <c r="H389" t="s">
        <v>1236</v>
      </c>
      <c r="I389" t="s">
        <v>40</v>
      </c>
      <c r="J389">
        <v>2</v>
      </c>
      <c r="K389" t="s">
        <v>41</v>
      </c>
      <c r="L389" t="s">
        <v>42</v>
      </c>
      <c r="M389" t="s">
        <v>43</v>
      </c>
      <c r="N389" s="7">
        <v>1</v>
      </c>
      <c r="O389" s="8">
        <v>45505.63040509259</v>
      </c>
      <c r="P389" s="9">
        <v>45506</v>
      </c>
      <c r="Q389" t="s">
        <v>44</v>
      </c>
      <c r="R389" t="s">
        <v>45</v>
      </c>
      <c r="S389" t="s">
        <v>1181</v>
      </c>
      <c r="T389" t="s">
        <v>84</v>
      </c>
      <c r="U389" t="s">
        <v>1237</v>
      </c>
      <c r="V389">
        <v>17500</v>
      </c>
      <c r="W389" t="s">
        <v>45</v>
      </c>
      <c r="X389" t="s">
        <v>74</v>
      </c>
      <c r="Y389" t="s">
        <v>50</v>
      </c>
      <c r="Z389" s="10">
        <f t="shared" si="30"/>
        <v>9</v>
      </c>
      <c r="AA389" s="11">
        <v>0</v>
      </c>
      <c r="AB389" s="11">
        <v>-2</v>
      </c>
      <c r="AC389" s="11">
        <v>0</v>
      </c>
      <c r="AD389" s="11">
        <v>0</v>
      </c>
      <c r="AE389" s="11">
        <v>0</v>
      </c>
      <c r="AF389" s="11">
        <f t="shared" si="31"/>
        <v>0.42</v>
      </c>
      <c r="AG389" s="11">
        <f t="shared" si="32"/>
        <v>7.42</v>
      </c>
      <c r="AH389" t="s">
        <v>51</v>
      </c>
    </row>
    <row r="390" spans="1:34" ht="15" customHeight="1" x14ac:dyDescent="0.25">
      <c r="A390">
        <v>7547676</v>
      </c>
      <c r="B390" t="s">
        <v>34</v>
      </c>
      <c r="C390" t="s">
        <v>35</v>
      </c>
      <c r="D390" s="6" t="s">
        <v>34</v>
      </c>
      <c r="E390" t="s">
        <v>1238</v>
      </c>
      <c r="F390" t="s">
        <v>37</v>
      </c>
      <c r="G390" t="s">
        <v>38</v>
      </c>
      <c r="H390" t="s">
        <v>1239</v>
      </c>
      <c r="I390" t="s">
        <v>40</v>
      </c>
      <c r="J390">
        <v>2</v>
      </c>
      <c r="K390" t="s">
        <v>41</v>
      </c>
      <c r="L390" t="s">
        <v>42</v>
      </c>
      <c r="M390" t="s">
        <v>43</v>
      </c>
      <c r="N390" s="7">
        <v>3</v>
      </c>
      <c r="O390" s="8">
        <v>45504.818541666667</v>
      </c>
      <c r="P390" s="9">
        <v>45506</v>
      </c>
      <c r="Q390" t="s">
        <v>44</v>
      </c>
      <c r="R390" t="s">
        <v>45</v>
      </c>
      <c r="S390" t="s">
        <v>1181</v>
      </c>
      <c r="T390" t="s">
        <v>151</v>
      </c>
      <c r="U390" t="s">
        <v>1240</v>
      </c>
      <c r="V390">
        <v>75450</v>
      </c>
      <c r="W390" t="s">
        <v>45</v>
      </c>
      <c r="X390" t="s">
        <v>200</v>
      </c>
      <c r="Y390" t="s">
        <v>50</v>
      </c>
      <c r="Z390" s="10">
        <f t="shared" si="30"/>
        <v>10.6</v>
      </c>
      <c r="AA390" s="11">
        <v>0</v>
      </c>
      <c r="AB390" s="11">
        <v>-2</v>
      </c>
      <c r="AC390" s="11">
        <v>0</v>
      </c>
      <c r="AD390" s="11">
        <v>0</v>
      </c>
      <c r="AE390" s="11">
        <v>0</v>
      </c>
      <c r="AF390" s="11">
        <f t="shared" si="31"/>
        <v>0.51600000000000001</v>
      </c>
      <c r="AG390" s="11">
        <f t="shared" si="32"/>
        <v>9.1159999999999997</v>
      </c>
      <c r="AH390" t="s">
        <v>51</v>
      </c>
    </row>
    <row r="391" spans="1:34" ht="15" customHeight="1" x14ac:dyDescent="0.25">
      <c r="A391">
        <v>7547676</v>
      </c>
      <c r="B391" t="s">
        <v>34</v>
      </c>
      <c r="C391" t="s">
        <v>35</v>
      </c>
      <c r="D391" s="6" t="s">
        <v>34</v>
      </c>
      <c r="E391" t="s">
        <v>1241</v>
      </c>
      <c r="F391" t="s">
        <v>37</v>
      </c>
      <c r="G391" t="s">
        <v>38</v>
      </c>
      <c r="H391" t="s">
        <v>1242</v>
      </c>
      <c r="I391" t="s">
        <v>40</v>
      </c>
      <c r="J391">
        <v>2</v>
      </c>
      <c r="K391" t="s">
        <v>41</v>
      </c>
      <c r="L391" t="s">
        <v>42</v>
      </c>
      <c r="M391" t="s">
        <v>43</v>
      </c>
      <c r="N391" s="7">
        <v>6</v>
      </c>
      <c r="O391" s="8">
        <v>45504.818541666667</v>
      </c>
      <c r="P391" s="9">
        <v>45506</v>
      </c>
      <c r="Q391" t="s">
        <v>44</v>
      </c>
      <c r="R391" t="s">
        <v>45</v>
      </c>
      <c r="S391" t="s">
        <v>1181</v>
      </c>
      <c r="T391" t="s">
        <v>92</v>
      </c>
      <c r="U391" t="s">
        <v>1243</v>
      </c>
      <c r="V391">
        <v>42500</v>
      </c>
      <c r="W391" t="s">
        <v>45</v>
      </c>
      <c r="X391" t="s">
        <v>887</v>
      </c>
      <c r="Y391" t="s">
        <v>50</v>
      </c>
      <c r="Z391" s="10">
        <f t="shared" si="30"/>
        <v>13</v>
      </c>
      <c r="AA391" s="11">
        <v>0</v>
      </c>
      <c r="AB391" s="11">
        <v>-2</v>
      </c>
      <c r="AC391" s="11">
        <v>0</v>
      </c>
      <c r="AD391" s="11">
        <v>0</v>
      </c>
      <c r="AE391" s="11">
        <v>0</v>
      </c>
      <c r="AF391" s="11">
        <f t="shared" si="31"/>
        <v>0.65999999999999992</v>
      </c>
      <c r="AG391" s="11">
        <f t="shared" si="32"/>
        <v>11.66</v>
      </c>
      <c r="AH391" t="s">
        <v>51</v>
      </c>
    </row>
    <row r="392" spans="1:34" ht="15" customHeight="1" x14ac:dyDescent="0.25">
      <c r="A392">
        <v>7547676</v>
      </c>
      <c r="B392" t="s">
        <v>34</v>
      </c>
      <c r="C392" t="s">
        <v>35</v>
      </c>
      <c r="D392" s="6" t="s">
        <v>34</v>
      </c>
      <c r="E392" t="s">
        <v>1244</v>
      </c>
      <c r="F392" t="s">
        <v>37</v>
      </c>
      <c r="G392" t="s">
        <v>38</v>
      </c>
      <c r="H392" t="s">
        <v>1245</v>
      </c>
      <c r="I392" t="s">
        <v>40</v>
      </c>
      <c r="J392">
        <v>2</v>
      </c>
      <c r="K392" t="s">
        <v>41</v>
      </c>
      <c r="L392" t="s">
        <v>42</v>
      </c>
      <c r="M392" t="s">
        <v>43</v>
      </c>
      <c r="N392" s="7">
        <v>1</v>
      </c>
      <c r="O392" s="8">
        <v>45505.619432870371</v>
      </c>
      <c r="P392" s="9">
        <v>45506</v>
      </c>
      <c r="Q392" t="s">
        <v>44</v>
      </c>
      <c r="R392" t="s">
        <v>45</v>
      </c>
      <c r="S392" t="s">
        <v>1181</v>
      </c>
      <c r="T392" t="s">
        <v>146</v>
      </c>
      <c r="U392" t="s">
        <v>1246</v>
      </c>
      <c r="V392">
        <v>60000</v>
      </c>
      <c r="W392" t="s">
        <v>45</v>
      </c>
      <c r="X392" t="s">
        <v>1247</v>
      </c>
      <c r="Y392" t="s">
        <v>50</v>
      </c>
      <c r="Z392" s="10">
        <f t="shared" si="30"/>
        <v>9</v>
      </c>
      <c r="AA392" s="11">
        <v>0</v>
      </c>
      <c r="AB392" s="11">
        <v>-2</v>
      </c>
      <c r="AC392" s="11">
        <v>0</v>
      </c>
      <c r="AD392" s="11">
        <v>0</v>
      </c>
      <c r="AE392" s="11">
        <v>0</v>
      </c>
      <c r="AF392" s="11">
        <f t="shared" si="31"/>
        <v>0.42</v>
      </c>
      <c r="AG392" s="11">
        <f t="shared" si="32"/>
        <v>7.42</v>
      </c>
      <c r="AH392" t="s">
        <v>51</v>
      </c>
    </row>
    <row r="393" spans="1:34" ht="15" customHeight="1" x14ac:dyDescent="0.25">
      <c r="A393">
        <v>7547676</v>
      </c>
      <c r="B393" t="s">
        <v>34</v>
      </c>
      <c r="C393" t="s">
        <v>35</v>
      </c>
      <c r="D393" s="6" t="s">
        <v>34</v>
      </c>
      <c r="E393" t="s">
        <v>1248</v>
      </c>
      <c r="F393" t="s">
        <v>37</v>
      </c>
      <c r="G393" t="s">
        <v>38</v>
      </c>
      <c r="H393" t="s">
        <v>1249</v>
      </c>
      <c r="I393" t="s">
        <v>40</v>
      </c>
      <c r="J393">
        <v>2</v>
      </c>
      <c r="K393" t="s">
        <v>41</v>
      </c>
      <c r="L393" t="s">
        <v>42</v>
      </c>
      <c r="M393" t="s">
        <v>43</v>
      </c>
      <c r="N393" s="7">
        <v>1</v>
      </c>
      <c r="O393" s="8">
        <v>45504.818541666667</v>
      </c>
      <c r="P393" s="9">
        <v>45506</v>
      </c>
      <c r="Q393" t="s">
        <v>44</v>
      </c>
      <c r="R393" t="s">
        <v>45</v>
      </c>
      <c r="S393" t="s">
        <v>1181</v>
      </c>
      <c r="T393" t="s">
        <v>223</v>
      </c>
      <c r="U393" t="s">
        <v>1250</v>
      </c>
      <c r="V393">
        <v>25200</v>
      </c>
      <c r="W393" t="s">
        <v>45</v>
      </c>
      <c r="X393" t="s">
        <v>225</v>
      </c>
      <c r="Y393" t="s">
        <v>50</v>
      </c>
      <c r="Z393" s="10">
        <f t="shared" si="30"/>
        <v>9</v>
      </c>
      <c r="AA393" s="11">
        <v>0</v>
      </c>
      <c r="AB393" s="11">
        <v>-2</v>
      </c>
      <c r="AC393" s="11">
        <v>0</v>
      </c>
      <c r="AD393" s="11">
        <v>0</v>
      </c>
      <c r="AE393" s="11">
        <v>0</v>
      </c>
      <c r="AF393" s="11">
        <f t="shared" si="31"/>
        <v>0.42</v>
      </c>
      <c r="AG393" s="11">
        <f t="shared" si="32"/>
        <v>7.42</v>
      </c>
      <c r="AH393" t="s">
        <v>51</v>
      </c>
    </row>
    <row r="394" spans="1:34" ht="15" customHeight="1" x14ac:dyDescent="0.25">
      <c r="A394">
        <v>7547676</v>
      </c>
      <c r="B394" t="s">
        <v>34</v>
      </c>
      <c r="C394" t="s">
        <v>35</v>
      </c>
      <c r="D394" s="6" t="s">
        <v>34</v>
      </c>
      <c r="E394" t="s">
        <v>1251</v>
      </c>
      <c r="F394" t="s">
        <v>37</v>
      </c>
      <c r="G394" t="s">
        <v>38</v>
      </c>
      <c r="H394" t="s">
        <v>1252</v>
      </c>
      <c r="I394" t="s">
        <v>40</v>
      </c>
      <c r="J394">
        <v>2</v>
      </c>
      <c r="K394" t="s">
        <v>41</v>
      </c>
      <c r="L394" t="s">
        <v>42</v>
      </c>
      <c r="M394" t="s">
        <v>43</v>
      </c>
      <c r="N394" s="7">
        <v>1</v>
      </c>
      <c r="O394" s="8">
        <v>45503.819884259261</v>
      </c>
      <c r="P394" s="9">
        <v>45506</v>
      </c>
      <c r="Q394" t="s">
        <v>44</v>
      </c>
      <c r="R394" t="s">
        <v>45</v>
      </c>
      <c r="S394" t="s">
        <v>1181</v>
      </c>
      <c r="T394" t="s">
        <v>54</v>
      </c>
      <c r="U394" t="s">
        <v>1253</v>
      </c>
      <c r="V394">
        <v>83000</v>
      </c>
      <c r="W394" t="s">
        <v>45</v>
      </c>
      <c r="X394" t="s">
        <v>1254</v>
      </c>
      <c r="Y394" t="s">
        <v>50</v>
      </c>
      <c r="Z394" s="10">
        <f t="shared" si="30"/>
        <v>9</v>
      </c>
      <c r="AA394" s="11">
        <v>0</v>
      </c>
      <c r="AB394" s="11">
        <v>-2</v>
      </c>
      <c r="AC394" s="11">
        <v>0</v>
      </c>
      <c r="AD394" s="11">
        <v>0</v>
      </c>
      <c r="AE394" s="11">
        <v>0</v>
      </c>
      <c r="AF394" s="11">
        <f t="shared" si="31"/>
        <v>0.42</v>
      </c>
      <c r="AG394" s="11">
        <f t="shared" si="32"/>
        <v>7.42</v>
      </c>
      <c r="AH394" t="s">
        <v>51</v>
      </c>
    </row>
    <row r="395" spans="1:34" ht="15" customHeight="1" x14ac:dyDescent="0.25">
      <c r="A395">
        <v>7547676</v>
      </c>
      <c r="B395" t="s">
        <v>34</v>
      </c>
      <c r="C395" t="s">
        <v>35</v>
      </c>
      <c r="D395" s="6" t="s">
        <v>34</v>
      </c>
      <c r="E395" t="s">
        <v>1255</v>
      </c>
      <c r="F395" t="s">
        <v>37</v>
      </c>
      <c r="G395" t="s">
        <v>38</v>
      </c>
      <c r="H395" t="s">
        <v>1256</v>
      </c>
      <c r="I395" t="s">
        <v>40</v>
      </c>
      <c r="J395">
        <v>2</v>
      </c>
      <c r="K395" t="s">
        <v>41</v>
      </c>
      <c r="L395" t="s">
        <v>42</v>
      </c>
      <c r="M395" t="s">
        <v>43</v>
      </c>
      <c r="N395" s="7">
        <v>3</v>
      </c>
      <c r="O395" s="8">
        <v>45505.561643518522</v>
      </c>
      <c r="P395" s="9">
        <v>45506</v>
      </c>
      <c r="Q395" t="s">
        <v>44</v>
      </c>
      <c r="R395" t="s">
        <v>45</v>
      </c>
      <c r="S395" t="s">
        <v>1181</v>
      </c>
      <c r="T395" t="s">
        <v>92</v>
      </c>
      <c r="U395" t="s">
        <v>1257</v>
      </c>
      <c r="V395">
        <v>43900</v>
      </c>
      <c r="W395" t="s">
        <v>45</v>
      </c>
      <c r="X395" t="s">
        <v>1193</v>
      </c>
      <c r="Y395" t="s">
        <v>50</v>
      </c>
      <c r="Z395" s="10">
        <f t="shared" si="30"/>
        <v>10.6</v>
      </c>
      <c r="AA395" s="11">
        <v>0</v>
      </c>
      <c r="AB395" s="11">
        <v>-2</v>
      </c>
      <c r="AC395" s="11">
        <v>0</v>
      </c>
      <c r="AD395" s="11">
        <v>0</v>
      </c>
      <c r="AE395" s="11">
        <v>0</v>
      </c>
      <c r="AF395" s="11">
        <f t="shared" si="31"/>
        <v>0.51600000000000001</v>
      </c>
      <c r="AG395" s="11">
        <f t="shared" si="32"/>
        <v>9.1159999999999997</v>
      </c>
      <c r="AH395" t="s">
        <v>51</v>
      </c>
    </row>
    <row r="396" spans="1:34" ht="15" customHeight="1" x14ac:dyDescent="0.25">
      <c r="A396">
        <v>7547676</v>
      </c>
      <c r="B396" t="s">
        <v>34</v>
      </c>
      <c r="C396" t="s">
        <v>35</v>
      </c>
      <c r="D396" s="6" t="s">
        <v>34</v>
      </c>
      <c r="E396" t="s">
        <v>1258</v>
      </c>
      <c r="F396" t="s">
        <v>37</v>
      </c>
      <c r="G396" t="s">
        <v>38</v>
      </c>
      <c r="H396" t="s">
        <v>1259</v>
      </c>
      <c r="I396" t="s">
        <v>40</v>
      </c>
      <c r="J396">
        <v>2</v>
      </c>
      <c r="K396" t="s">
        <v>41</v>
      </c>
      <c r="L396" t="s">
        <v>42</v>
      </c>
      <c r="M396" t="s">
        <v>43</v>
      </c>
      <c r="N396" s="7">
        <v>1</v>
      </c>
      <c r="O396" s="8">
        <v>45503.819652777776</v>
      </c>
      <c r="P396" s="9">
        <v>45506</v>
      </c>
      <c r="Q396" t="s">
        <v>44</v>
      </c>
      <c r="R396" t="s">
        <v>45</v>
      </c>
      <c r="S396" t="s">
        <v>1181</v>
      </c>
      <c r="T396" t="s">
        <v>107</v>
      </c>
      <c r="U396" t="s">
        <v>1260</v>
      </c>
      <c r="V396">
        <v>5400</v>
      </c>
      <c r="W396" t="s">
        <v>45</v>
      </c>
      <c r="X396" t="s">
        <v>459</v>
      </c>
      <c r="Y396" t="s">
        <v>50</v>
      </c>
      <c r="Z396" s="10">
        <f t="shared" si="30"/>
        <v>9</v>
      </c>
      <c r="AA396" s="11">
        <v>0</v>
      </c>
      <c r="AB396" s="11">
        <v>-2</v>
      </c>
      <c r="AC396" s="11">
        <v>0</v>
      </c>
      <c r="AD396" s="11">
        <v>0</v>
      </c>
      <c r="AE396" s="11">
        <v>0</v>
      </c>
      <c r="AF396" s="11">
        <f t="shared" si="31"/>
        <v>0.42</v>
      </c>
      <c r="AG396" s="11">
        <f t="shared" si="32"/>
        <v>7.42</v>
      </c>
      <c r="AH396" t="s">
        <v>51</v>
      </c>
    </row>
    <row r="397" spans="1:34" ht="15" customHeight="1" x14ac:dyDescent="0.25">
      <c r="A397">
        <v>7547676</v>
      </c>
      <c r="B397" t="s">
        <v>34</v>
      </c>
      <c r="C397" t="s">
        <v>35</v>
      </c>
      <c r="D397" s="6" t="s">
        <v>34</v>
      </c>
      <c r="E397" t="s">
        <v>1261</v>
      </c>
      <c r="F397" t="s">
        <v>37</v>
      </c>
      <c r="G397" t="s">
        <v>38</v>
      </c>
      <c r="H397" t="s">
        <v>1262</v>
      </c>
      <c r="I397" t="s">
        <v>40</v>
      </c>
      <c r="J397">
        <v>2</v>
      </c>
      <c r="K397" t="s">
        <v>41</v>
      </c>
      <c r="L397" t="s">
        <v>42</v>
      </c>
      <c r="M397" t="s">
        <v>43</v>
      </c>
      <c r="N397" s="7">
        <v>1</v>
      </c>
      <c r="O397" s="8">
        <v>45505.64130787037</v>
      </c>
      <c r="P397" s="9">
        <v>45506</v>
      </c>
      <c r="Q397" t="s">
        <v>44</v>
      </c>
      <c r="R397" t="s">
        <v>45</v>
      </c>
      <c r="S397" t="s">
        <v>1181</v>
      </c>
      <c r="T397" t="s">
        <v>92</v>
      </c>
      <c r="U397" t="s">
        <v>1263</v>
      </c>
      <c r="V397">
        <v>46000</v>
      </c>
      <c r="W397" t="s">
        <v>45</v>
      </c>
      <c r="X397" t="s">
        <v>320</v>
      </c>
      <c r="Y397" t="s">
        <v>50</v>
      </c>
      <c r="Z397" s="10">
        <f t="shared" si="30"/>
        <v>9</v>
      </c>
      <c r="AA397" s="11">
        <v>0</v>
      </c>
      <c r="AB397" s="11">
        <v>-2</v>
      </c>
      <c r="AC397" s="11">
        <v>0</v>
      </c>
      <c r="AD397" s="11">
        <v>0</v>
      </c>
      <c r="AE397" s="11">
        <v>0</v>
      </c>
      <c r="AF397" s="11">
        <f t="shared" si="31"/>
        <v>0.42</v>
      </c>
      <c r="AG397" s="11">
        <f t="shared" si="32"/>
        <v>7.42</v>
      </c>
      <c r="AH397" t="s">
        <v>51</v>
      </c>
    </row>
    <row r="398" spans="1:34" ht="15" customHeight="1" x14ac:dyDescent="0.25">
      <c r="A398">
        <v>7547676</v>
      </c>
      <c r="B398" t="s">
        <v>34</v>
      </c>
      <c r="C398" t="s">
        <v>35</v>
      </c>
      <c r="D398" s="6" t="s">
        <v>34</v>
      </c>
      <c r="E398" t="s">
        <v>1264</v>
      </c>
      <c r="F398" t="s">
        <v>37</v>
      </c>
      <c r="G398" t="s">
        <v>38</v>
      </c>
      <c r="H398" t="s">
        <v>1265</v>
      </c>
      <c r="I398" t="s">
        <v>40</v>
      </c>
      <c r="J398">
        <v>2</v>
      </c>
      <c r="K398" t="s">
        <v>41</v>
      </c>
      <c r="L398" t="s">
        <v>42</v>
      </c>
      <c r="M398" t="s">
        <v>43</v>
      </c>
      <c r="N398" s="7">
        <v>3</v>
      </c>
      <c r="O398" s="8">
        <v>45502.802314814813</v>
      </c>
      <c r="P398" s="9">
        <v>45506</v>
      </c>
      <c r="Q398" t="s">
        <v>44</v>
      </c>
      <c r="R398" t="s">
        <v>45</v>
      </c>
      <c r="S398" t="s">
        <v>1181</v>
      </c>
      <c r="T398" t="s">
        <v>312</v>
      </c>
      <c r="U398" t="s">
        <v>1266</v>
      </c>
      <c r="V398">
        <v>94650</v>
      </c>
      <c r="W398" t="s">
        <v>118</v>
      </c>
      <c r="X398" t="s">
        <v>1267</v>
      </c>
      <c r="Y398" t="s">
        <v>50</v>
      </c>
      <c r="Z398" s="12">
        <f>IF(N398&lt;=1,13,IF(N398&lt;=2,23,IF(N398&lt;=3,35,IF(N398&lt;=4,43,IF(N398&lt;=5,53,IF(N398&lt;=6,63,IF(N398&lt;=7,71,IF(N398&lt;=8,79,IF(N398&lt;=9,87,IF(N398&lt;=10,95,IF(N398&lt;=11,105,IF(N398&lt;=12,114,IF(N398&lt;=13,119,IF(N398&lt;=14,127,IF(N398&lt;=15,135,IF(N398&lt;=16,143,IF(N398&lt;=17,153,IF(N398&lt;=18,163,IF(N398&lt;=19,171,IF(N398&lt;=20,185,IF(N398&lt;=21,193,IF(N398&lt;=22,201,IF(N398&lt;=23,210,IF(N398&lt;=24,220,IF(N398&lt;=25,230,IF(N398&lt;=26,240,IF(N398&lt;=27,250,IF(N398&lt;=28,260,IF(N398&lt;=29,270,IF(N398&lt;=30,280,280+10*ROUNDUP(N398-30,0)))))))))))))))))))))))))))))))</f>
        <v>35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f t="shared" si="31"/>
        <v>2.1</v>
      </c>
      <c r="AG398" s="11">
        <f t="shared" si="32"/>
        <v>37.1</v>
      </c>
      <c r="AH398" t="s">
        <v>119</v>
      </c>
    </row>
    <row r="399" spans="1:34" ht="15" customHeight="1" x14ac:dyDescent="0.25">
      <c r="A399">
        <v>7547676</v>
      </c>
      <c r="B399" t="s">
        <v>34</v>
      </c>
      <c r="C399" t="s">
        <v>35</v>
      </c>
      <c r="D399" s="6" t="s">
        <v>34</v>
      </c>
      <c r="E399" t="s">
        <v>1268</v>
      </c>
      <c r="F399" t="s">
        <v>37</v>
      </c>
      <c r="G399" t="s">
        <v>38</v>
      </c>
      <c r="H399" t="s">
        <v>1269</v>
      </c>
      <c r="I399" t="s">
        <v>40</v>
      </c>
      <c r="J399">
        <v>2</v>
      </c>
      <c r="K399" t="s">
        <v>41</v>
      </c>
      <c r="L399" t="s">
        <v>42</v>
      </c>
      <c r="M399" t="s">
        <v>43</v>
      </c>
      <c r="N399" s="7">
        <v>6</v>
      </c>
      <c r="O399" s="8">
        <v>45505.43309027778</v>
      </c>
      <c r="P399" s="9">
        <v>45506</v>
      </c>
      <c r="Q399" t="s">
        <v>44</v>
      </c>
      <c r="R399" t="s">
        <v>45</v>
      </c>
      <c r="S399" t="s">
        <v>1181</v>
      </c>
      <c r="T399" t="s">
        <v>84</v>
      </c>
      <c r="U399" t="s">
        <v>1270</v>
      </c>
      <c r="V399">
        <v>18300</v>
      </c>
      <c r="W399" t="s">
        <v>45</v>
      </c>
      <c r="X399" t="s">
        <v>616</v>
      </c>
      <c r="Y399" t="s">
        <v>50</v>
      </c>
      <c r="Z399" s="10">
        <f t="shared" ref="Z399:Z400" si="33">IF(N399&lt;=1,9,9+0.8*ROUNDUP(N399-1,0))</f>
        <v>13</v>
      </c>
      <c r="AA399" s="11">
        <v>0</v>
      </c>
      <c r="AB399" s="11">
        <v>-2</v>
      </c>
      <c r="AC399" s="11">
        <v>0</v>
      </c>
      <c r="AD399" s="11">
        <v>0</v>
      </c>
      <c r="AE399" s="11">
        <v>0</v>
      </c>
      <c r="AF399" s="11">
        <f t="shared" si="31"/>
        <v>0.65999999999999992</v>
      </c>
      <c r="AG399" s="11">
        <f t="shared" si="32"/>
        <v>11.66</v>
      </c>
      <c r="AH399" t="s">
        <v>51</v>
      </c>
    </row>
    <row r="400" spans="1:34" ht="15" customHeight="1" x14ac:dyDescent="0.25">
      <c r="A400">
        <v>7547676</v>
      </c>
      <c r="B400" t="s">
        <v>34</v>
      </c>
      <c r="C400" t="s">
        <v>35</v>
      </c>
      <c r="D400" s="6" t="s">
        <v>34</v>
      </c>
      <c r="E400" t="s">
        <v>1271</v>
      </c>
      <c r="F400" t="s">
        <v>37</v>
      </c>
      <c r="G400" t="s">
        <v>38</v>
      </c>
      <c r="H400" t="s">
        <v>1272</v>
      </c>
      <c r="I400" t="s">
        <v>40</v>
      </c>
      <c r="J400">
        <v>2</v>
      </c>
      <c r="K400" t="s">
        <v>41</v>
      </c>
      <c r="L400" t="s">
        <v>42</v>
      </c>
      <c r="M400" t="s">
        <v>43</v>
      </c>
      <c r="N400" s="7">
        <v>1</v>
      </c>
      <c r="O400" s="8">
        <v>45505.465960648151</v>
      </c>
      <c r="P400" s="9">
        <v>45506</v>
      </c>
      <c r="Q400" t="s">
        <v>44</v>
      </c>
      <c r="R400" t="s">
        <v>45</v>
      </c>
      <c r="S400" t="s">
        <v>1181</v>
      </c>
      <c r="T400" t="s">
        <v>223</v>
      </c>
      <c r="U400" t="s">
        <v>1273</v>
      </c>
      <c r="V400">
        <v>26400</v>
      </c>
      <c r="W400" t="s">
        <v>45</v>
      </c>
      <c r="X400" t="s">
        <v>225</v>
      </c>
      <c r="Y400" t="s">
        <v>50</v>
      </c>
      <c r="Z400" s="10">
        <f t="shared" si="33"/>
        <v>9</v>
      </c>
      <c r="AA400" s="11">
        <v>0</v>
      </c>
      <c r="AB400" s="11">
        <v>-2</v>
      </c>
      <c r="AC400" s="11">
        <v>0</v>
      </c>
      <c r="AD400" s="11">
        <v>0</v>
      </c>
      <c r="AE400" s="11">
        <v>0</v>
      </c>
      <c r="AF400" s="11">
        <f t="shared" si="31"/>
        <v>0.42</v>
      </c>
      <c r="AG400" s="11">
        <f t="shared" si="32"/>
        <v>7.42</v>
      </c>
      <c r="AH400" t="s">
        <v>51</v>
      </c>
    </row>
    <row r="401" spans="1:34" ht="15" customHeight="1" x14ac:dyDescent="0.25">
      <c r="A401">
        <v>7547676</v>
      </c>
      <c r="B401" t="s">
        <v>34</v>
      </c>
      <c r="C401" t="s">
        <v>35</v>
      </c>
      <c r="D401" s="6" t="s">
        <v>34</v>
      </c>
      <c r="E401" t="s">
        <v>1274</v>
      </c>
      <c r="F401" t="s">
        <v>37</v>
      </c>
      <c r="G401" t="s">
        <v>38</v>
      </c>
      <c r="H401" t="s">
        <v>1275</v>
      </c>
      <c r="I401" t="s">
        <v>40</v>
      </c>
      <c r="J401">
        <v>2</v>
      </c>
      <c r="K401" t="s">
        <v>41</v>
      </c>
      <c r="L401" t="s">
        <v>42</v>
      </c>
      <c r="M401" t="s">
        <v>43</v>
      </c>
      <c r="N401" s="7">
        <v>1</v>
      </c>
      <c r="O401" s="8">
        <v>45500.45412037037</v>
      </c>
      <c r="P401" s="9">
        <v>45506</v>
      </c>
      <c r="Q401" t="s">
        <v>44</v>
      </c>
      <c r="R401" t="s">
        <v>45</v>
      </c>
      <c r="S401" t="s">
        <v>1181</v>
      </c>
      <c r="T401" t="s">
        <v>116</v>
      </c>
      <c r="U401" t="s">
        <v>1276</v>
      </c>
      <c r="V401">
        <v>90000</v>
      </c>
      <c r="W401" t="s">
        <v>118</v>
      </c>
      <c r="X401" t="s">
        <v>69</v>
      </c>
      <c r="Y401" t="s">
        <v>50</v>
      </c>
      <c r="Z401" s="12">
        <f>IF(N401&lt;=1,13,IF(N401&lt;=2,23,IF(N401&lt;=3,35,IF(N401&lt;=4,43,IF(N401&lt;=5,53,IF(N401&lt;=6,63,IF(N401&lt;=7,71,IF(N401&lt;=8,79,IF(N401&lt;=9,87,IF(N401&lt;=10,95,IF(N401&lt;=11,105,IF(N401&lt;=12,114,IF(N401&lt;=13,119,IF(N401&lt;=14,127,IF(N401&lt;=15,135,IF(N401&lt;=16,143,IF(N401&lt;=17,153,IF(N401&lt;=18,163,IF(N401&lt;=19,171,IF(N401&lt;=20,185,IF(N401&lt;=21,193,IF(N401&lt;=22,201,IF(N401&lt;=23,210,IF(N401&lt;=24,220,IF(N401&lt;=25,230,IF(N401&lt;=26,240,IF(N401&lt;=27,250,IF(N401&lt;=28,260,IF(N401&lt;=29,270,IF(N401&lt;=30,280,280+10*ROUNDUP(N401-30,0)))))))))))))))))))))))))))))))</f>
        <v>13</v>
      </c>
      <c r="AA401" s="11">
        <v>0</v>
      </c>
      <c r="AB401" s="11">
        <v>0</v>
      </c>
      <c r="AC401" s="11">
        <v>0</v>
      </c>
      <c r="AD401" s="11">
        <v>0</v>
      </c>
      <c r="AE401" s="11">
        <v>0</v>
      </c>
      <c r="AF401" s="11">
        <f t="shared" si="31"/>
        <v>0.78</v>
      </c>
      <c r="AG401" s="11">
        <f t="shared" si="32"/>
        <v>13.78</v>
      </c>
      <c r="AH401" t="s">
        <v>119</v>
      </c>
    </row>
    <row r="402" spans="1:34" ht="15" customHeight="1" x14ac:dyDescent="0.25">
      <c r="A402">
        <v>7547676</v>
      </c>
      <c r="B402" t="s">
        <v>34</v>
      </c>
      <c r="C402" t="s">
        <v>35</v>
      </c>
      <c r="D402" s="6" t="s">
        <v>34</v>
      </c>
      <c r="E402" t="s">
        <v>1277</v>
      </c>
      <c r="F402" t="s">
        <v>37</v>
      </c>
      <c r="G402" t="s">
        <v>38</v>
      </c>
      <c r="H402" t="s">
        <v>1278</v>
      </c>
      <c r="I402" t="s">
        <v>40</v>
      </c>
      <c r="J402">
        <v>2</v>
      </c>
      <c r="K402" t="s">
        <v>41</v>
      </c>
      <c r="L402" t="s">
        <v>42</v>
      </c>
      <c r="M402" t="s">
        <v>43</v>
      </c>
      <c r="N402" s="7">
        <v>1</v>
      </c>
      <c r="O402" s="8">
        <v>45504.744016203702</v>
      </c>
      <c r="P402" s="9">
        <v>45507</v>
      </c>
      <c r="Q402" t="s">
        <v>44</v>
      </c>
      <c r="R402" t="s">
        <v>45</v>
      </c>
      <c r="S402" t="s">
        <v>1181</v>
      </c>
      <c r="T402" t="s">
        <v>1279</v>
      </c>
      <c r="U402" t="s">
        <v>1280</v>
      </c>
      <c r="V402">
        <v>87000</v>
      </c>
      <c r="W402" t="s">
        <v>118</v>
      </c>
      <c r="X402" t="s">
        <v>69</v>
      </c>
      <c r="Y402" t="s">
        <v>50</v>
      </c>
      <c r="Z402" s="12">
        <f>IF(N402&lt;=1,13,IF(N402&lt;=2,23,IF(N402&lt;=3,35,IF(N402&lt;=4,43,IF(N402&lt;=5,53,IF(N402&lt;=6,63,IF(N402&lt;=7,71,IF(N402&lt;=8,79,IF(N402&lt;=9,87,IF(N402&lt;=10,95,IF(N402&lt;=11,105,IF(N402&lt;=12,114,IF(N402&lt;=13,119,IF(N402&lt;=14,127,IF(N402&lt;=15,135,IF(N402&lt;=16,143,IF(N402&lt;=17,153,IF(N402&lt;=18,163,IF(N402&lt;=19,171,IF(N402&lt;=20,185,IF(N402&lt;=21,193,IF(N402&lt;=22,201,IF(N402&lt;=23,210,IF(N402&lt;=24,220,IF(N402&lt;=25,230,IF(N402&lt;=26,240,IF(N402&lt;=27,250,IF(N402&lt;=28,260,IF(N402&lt;=29,270,IF(N402&lt;=30,280,280+10*ROUNDUP(N402-30,0)))))))))))))))))))))))))))))))</f>
        <v>13</v>
      </c>
      <c r="AA402" s="11">
        <v>0</v>
      </c>
      <c r="AB402" s="11">
        <v>0</v>
      </c>
      <c r="AC402" s="11">
        <v>0</v>
      </c>
      <c r="AD402" s="11">
        <v>0</v>
      </c>
      <c r="AE402" s="11">
        <v>0</v>
      </c>
      <c r="AF402" s="11">
        <f t="shared" si="31"/>
        <v>0.78</v>
      </c>
      <c r="AG402" s="11">
        <f t="shared" si="32"/>
        <v>13.78</v>
      </c>
      <c r="AH402" t="s">
        <v>119</v>
      </c>
    </row>
    <row r="403" spans="1:34" ht="15" customHeight="1" x14ac:dyDescent="0.25">
      <c r="A403">
        <v>7547676</v>
      </c>
      <c r="B403" t="s">
        <v>34</v>
      </c>
      <c r="C403" t="s">
        <v>35</v>
      </c>
      <c r="D403" s="6" t="s">
        <v>34</v>
      </c>
      <c r="E403" t="s">
        <v>1281</v>
      </c>
      <c r="F403" t="s">
        <v>37</v>
      </c>
      <c r="G403" t="s">
        <v>38</v>
      </c>
      <c r="H403" t="s">
        <v>1282</v>
      </c>
      <c r="I403" t="s">
        <v>40</v>
      </c>
      <c r="J403">
        <v>2</v>
      </c>
      <c r="K403" t="s">
        <v>41</v>
      </c>
      <c r="L403" t="s">
        <v>42</v>
      </c>
      <c r="M403" t="s">
        <v>43</v>
      </c>
      <c r="N403" s="7">
        <v>1</v>
      </c>
      <c r="O403" s="8">
        <v>45505.584872685184</v>
      </c>
      <c r="P403" s="9">
        <v>45507</v>
      </c>
      <c r="Q403" t="s">
        <v>44</v>
      </c>
      <c r="R403" t="s">
        <v>45</v>
      </c>
      <c r="S403" t="s">
        <v>1181</v>
      </c>
      <c r="T403" t="s">
        <v>129</v>
      </c>
      <c r="U403" t="s">
        <v>1283</v>
      </c>
      <c r="V403">
        <v>70450</v>
      </c>
      <c r="W403" t="s">
        <v>45</v>
      </c>
      <c r="X403" t="s">
        <v>69</v>
      </c>
      <c r="Y403" t="s">
        <v>50</v>
      </c>
      <c r="Z403" s="10">
        <f t="shared" ref="Z403:Z411" si="34">IF(N403&lt;=1,9,9+0.8*ROUNDUP(N403-1,0))</f>
        <v>9</v>
      </c>
      <c r="AA403" s="11">
        <v>0</v>
      </c>
      <c r="AB403" s="11">
        <v>-2</v>
      </c>
      <c r="AC403" s="11">
        <v>0</v>
      </c>
      <c r="AD403" s="11">
        <v>0</v>
      </c>
      <c r="AE403" s="11">
        <v>0</v>
      </c>
      <c r="AF403" s="11">
        <f t="shared" si="31"/>
        <v>0.42</v>
      </c>
      <c r="AG403" s="11">
        <f t="shared" si="32"/>
        <v>7.42</v>
      </c>
      <c r="AH403" t="s">
        <v>51</v>
      </c>
    </row>
    <row r="404" spans="1:34" ht="15" customHeight="1" x14ac:dyDescent="0.25">
      <c r="A404">
        <v>7547676</v>
      </c>
      <c r="B404" t="s">
        <v>34</v>
      </c>
      <c r="C404" t="s">
        <v>35</v>
      </c>
      <c r="D404" s="6" t="s">
        <v>34</v>
      </c>
      <c r="E404" t="s">
        <v>1284</v>
      </c>
      <c r="F404" t="s">
        <v>37</v>
      </c>
      <c r="G404" t="s">
        <v>38</v>
      </c>
      <c r="H404" t="s">
        <v>1285</v>
      </c>
      <c r="I404" t="s">
        <v>40</v>
      </c>
      <c r="J404">
        <v>2</v>
      </c>
      <c r="K404" t="s">
        <v>41</v>
      </c>
      <c r="L404" t="s">
        <v>42</v>
      </c>
      <c r="M404" t="s">
        <v>43</v>
      </c>
      <c r="N404" s="7">
        <v>1</v>
      </c>
      <c r="O404" s="8">
        <v>45504.810150462959</v>
      </c>
      <c r="P404" s="9">
        <v>45507</v>
      </c>
      <c r="Q404" t="s">
        <v>44</v>
      </c>
      <c r="R404" t="s">
        <v>45</v>
      </c>
      <c r="S404" t="s">
        <v>1181</v>
      </c>
      <c r="T404" t="s">
        <v>333</v>
      </c>
      <c r="U404" t="s">
        <v>1286</v>
      </c>
      <c r="V404">
        <v>2700</v>
      </c>
      <c r="W404" t="s">
        <v>45</v>
      </c>
      <c r="X404" t="s">
        <v>1287</v>
      </c>
      <c r="Y404" t="s">
        <v>50</v>
      </c>
      <c r="Z404" s="10">
        <f t="shared" si="34"/>
        <v>9</v>
      </c>
      <c r="AA404" s="11">
        <v>0</v>
      </c>
      <c r="AB404" s="11">
        <v>-2</v>
      </c>
      <c r="AC404" s="11">
        <v>0</v>
      </c>
      <c r="AD404" s="11">
        <v>0</v>
      </c>
      <c r="AE404" s="11">
        <v>0</v>
      </c>
      <c r="AF404" s="11">
        <f t="shared" si="31"/>
        <v>0.42</v>
      </c>
      <c r="AG404" s="11">
        <f t="shared" si="32"/>
        <v>7.42</v>
      </c>
      <c r="AH404" t="s">
        <v>51</v>
      </c>
    </row>
    <row r="405" spans="1:34" ht="15" customHeight="1" x14ac:dyDescent="0.25">
      <c r="A405">
        <v>7547676</v>
      </c>
      <c r="B405" t="s">
        <v>34</v>
      </c>
      <c r="C405" t="s">
        <v>35</v>
      </c>
      <c r="D405" s="6" t="s">
        <v>34</v>
      </c>
      <c r="E405" t="s">
        <v>1288</v>
      </c>
      <c r="F405" t="s">
        <v>37</v>
      </c>
      <c r="G405" t="s">
        <v>38</v>
      </c>
      <c r="H405" t="s">
        <v>1289</v>
      </c>
      <c r="I405" t="s">
        <v>40</v>
      </c>
      <c r="J405">
        <v>2</v>
      </c>
      <c r="K405" t="s">
        <v>41</v>
      </c>
      <c r="L405" t="s">
        <v>42</v>
      </c>
      <c r="M405" t="s">
        <v>43</v>
      </c>
      <c r="N405" s="7">
        <v>1</v>
      </c>
      <c r="O405" s="8">
        <v>45504.810150462959</v>
      </c>
      <c r="P405" s="9">
        <v>45507</v>
      </c>
      <c r="Q405" t="s">
        <v>44</v>
      </c>
      <c r="R405" t="s">
        <v>45</v>
      </c>
      <c r="S405" t="s">
        <v>1181</v>
      </c>
      <c r="T405" t="s">
        <v>54</v>
      </c>
      <c r="U405" t="s">
        <v>1290</v>
      </c>
      <c r="V405">
        <v>81800</v>
      </c>
      <c r="W405" t="s">
        <v>45</v>
      </c>
      <c r="X405" t="s">
        <v>309</v>
      </c>
      <c r="Y405" t="s">
        <v>50</v>
      </c>
      <c r="Z405" s="10">
        <f t="shared" si="34"/>
        <v>9</v>
      </c>
      <c r="AA405" s="11">
        <v>0</v>
      </c>
      <c r="AB405" s="11">
        <v>-2</v>
      </c>
      <c r="AC405" s="11">
        <v>0</v>
      </c>
      <c r="AD405" s="11">
        <v>0</v>
      </c>
      <c r="AE405" s="11">
        <v>0</v>
      </c>
      <c r="AF405" s="11">
        <f t="shared" si="31"/>
        <v>0.42</v>
      </c>
      <c r="AG405" s="11">
        <f t="shared" si="32"/>
        <v>7.42</v>
      </c>
      <c r="AH405" t="s">
        <v>51</v>
      </c>
    </row>
    <row r="406" spans="1:34" ht="15" customHeight="1" x14ac:dyDescent="0.25">
      <c r="A406">
        <v>7547676</v>
      </c>
      <c r="B406" t="s">
        <v>34</v>
      </c>
      <c r="C406" t="s">
        <v>35</v>
      </c>
      <c r="D406" s="6" t="s">
        <v>34</v>
      </c>
      <c r="E406" t="s">
        <v>1291</v>
      </c>
      <c r="F406" t="s">
        <v>37</v>
      </c>
      <c r="G406" t="s">
        <v>38</v>
      </c>
      <c r="H406" t="s">
        <v>1292</v>
      </c>
      <c r="I406" t="s">
        <v>40</v>
      </c>
      <c r="J406">
        <v>2</v>
      </c>
      <c r="K406" t="s">
        <v>41</v>
      </c>
      <c r="L406" t="s">
        <v>42</v>
      </c>
      <c r="M406" t="s">
        <v>43</v>
      </c>
      <c r="N406" s="7">
        <v>1</v>
      </c>
      <c r="O406" s="8">
        <v>45505.617511574077</v>
      </c>
      <c r="P406" s="9">
        <v>45507</v>
      </c>
      <c r="Q406" t="s">
        <v>44</v>
      </c>
      <c r="R406" t="s">
        <v>45</v>
      </c>
      <c r="S406" t="s">
        <v>1181</v>
      </c>
      <c r="T406" t="s">
        <v>107</v>
      </c>
      <c r="U406" t="s">
        <v>1293</v>
      </c>
      <c r="V406">
        <v>6010</v>
      </c>
      <c r="W406" t="s">
        <v>45</v>
      </c>
      <c r="X406" t="s">
        <v>463</v>
      </c>
      <c r="Y406" t="s">
        <v>50</v>
      </c>
      <c r="Z406" s="10">
        <f t="shared" si="34"/>
        <v>9</v>
      </c>
      <c r="AA406" s="11">
        <v>0</v>
      </c>
      <c r="AB406" s="11">
        <v>-2</v>
      </c>
      <c r="AC406" s="11">
        <v>0</v>
      </c>
      <c r="AD406" s="11">
        <v>0</v>
      </c>
      <c r="AE406" s="11">
        <v>0</v>
      </c>
      <c r="AF406" s="11">
        <f t="shared" si="31"/>
        <v>0.42</v>
      </c>
      <c r="AG406" s="11">
        <f t="shared" si="32"/>
        <v>7.42</v>
      </c>
      <c r="AH406" t="s">
        <v>51</v>
      </c>
    </row>
    <row r="407" spans="1:34" ht="15" customHeight="1" x14ac:dyDescent="0.25">
      <c r="A407">
        <v>7547676</v>
      </c>
      <c r="B407" t="s">
        <v>34</v>
      </c>
      <c r="C407" t="s">
        <v>35</v>
      </c>
      <c r="D407" s="6" t="s">
        <v>34</v>
      </c>
      <c r="E407" t="s">
        <v>1294</v>
      </c>
      <c r="F407" t="s">
        <v>37</v>
      </c>
      <c r="G407" t="s">
        <v>38</v>
      </c>
      <c r="H407" t="s">
        <v>1295</v>
      </c>
      <c r="I407" t="s">
        <v>40</v>
      </c>
      <c r="J407">
        <v>2</v>
      </c>
      <c r="K407" t="s">
        <v>41</v>
      </c>
      <c r="L407" t="s">
        <v>42</v>
      </c>
      <c r="M407" t="s">
        <v>43</v>
      </c>
      <c r="N407" s="7">
        <v>1</v>
      </c>
      <c r="O407" s="8">
        <v>45505.814409722225</v>
      </c>
      <c r="P407" s="9">
        <v>45507</v>
      </c>
      <c r="Q407" t="s">
        <v>386</v>
      </c>
      <c r="R407" t="s">
        <v>45</v>
      </c>
      <c r="S407" t="s">
        <v>1181</v>
      </c>
      <c r="T407" t="s">
        <v>146</v>
      </c>
      <c r="U407" t="s">
        <v>1296</v>
      </c>
      <c r="V407">
        <v>53300</v>
      </c>
      <c r="W407" t="s">
        <v>45</v>
      </c>
      <c r="X407" t="s">
        <v>1297</v>
      </c>
      <c r="Y407" t="s">
        <v>50</v>
      </c>
      <c r="Z407" s="10">
        <f t="shared" si="34"/>
        <v>9</v>
      </c>
      <c r="AA407" s="11">
        <v>0</v>
      </c>
      <c r="AB407" s="11">
        <v>-2</v>
      </c>
      <c r="AC407" s="11">
        <v>0</v>
      </c>
      <c r="AD407" s="11">
        <v>0</v>
      </c>
      <c r="AE407" s="11">
        <v>0</v>
      </c>
      <c r="AF407" s="11">
        <f t="shared" si="31"/>
        <v>0.42</v>
      </c>
      <c r="AG407" s="11">
        <f t="shared" si="32"/>
        <v>7.42</v>
      </c>
      <c r="AH407" t="s">
        <v>51</v>
      </c>
    </row>
    <row r="408" spans="1:34" ht="15" customHeight="1" x14ac:dyDescent="0.25">
      <c r="A408">
        <v>7547676</v>
      </c>
      <c r="B408" t="s">
        <v>34</v>
      </c>
      <c r="C408" t="s">
        <v>35</v>
      </c>
      <c r="D408" s="6" t="s">
        <v>34</v>
      </c>
      <c r="E408" t="s">
        <v>1298</v>
      </c>
      <c r="F408" t="s">
        <v>37</v>
      </c>
      <c r="G408" t="s">
        <v>38</v>
      </c>
      <c r="H408" t="s">
        <v>1299</v>
      </c>
      <c r="I408" t="s">
        <v>40</v>
      </c>
      <c r="J408">
        <v>2</v>
      </c>
      <c r="K408" t="s">
        <v>41</v>
      </c>
      <c r="L408" t="s">
        <v>42</v>
      </c>
      <c r="M408" t="s">
        <v>43</v>
      </c>
      <c r="N408" s="7">
        <v>2</v>
      </c>
      <c r="O408" s="8">
        <v>45505.688356481478</v>
      </c>
      <c r="P408" s="9">
        <v>45507</v>
      </c>
      <c r="Q408" t="s">
        <v>44</v>
      </c>
      <c r="R408" t="s">
        <v>45</v>
      </c>
      <c r="S408" t="s">
        <v>1181</v>
      </c>
      <c r="T408" t="s">
        <v>59</v>
      </c>
      <c r="U408" t="s">
        <v>1300</v>
      </c>
      <c r="V408">
        <v>14000</v>
      </c>
      <c r="W408" t="s">
        <v>45</v>
      </c>
      <c r="X408" t="s">
        <v>1301</v>
      </c>
      <c r="Y408" t="s">
        <v>50</v>
      </c>
      <c r="Z408" s="10">
        <f t="shared" si="34"/>
        <v>9.8000000000000007</v>
      </c>
      <c r="AA408" s="11">
        <v>0</v>
      </c>
      <c r="AB408" s="11">
        <v>-2</v>
      </c>
      <c r="AC408" s="11">
        <v>0</v>
      </c>
      <c r="AD408" s="11">
        <v>0</v>
      </c>
      <c r="AE408" s="11">
        <v>0</v>
      </c>
      <c r="AF408" s="11">
        <f t="shared" si="31"/>
        <v>0.46800000000000003</v>
      </c>
      <c r="AG408" s="11">
        <f t="shared" si="32"/>
        <v>8.2680000000000007</v>
      </c>
      <c r="AH408" t="s">
        <v>51</v>
      </c>
    </row>
    <row r="409" spans="1:34" ht="15" customHeight="1" x14ac:dyDescent="0.25">
      <c r="A409">
        <v>7547676</v>
      </c>
      <c r="B409" t="s">
        <v>34</v>
      </c>
      <c r="C409" t="s">
        <v>35</v>
      </c>
      <c r="D409" s="6" t="s">
        <v>34</v>
      </c>
      <c r="E409" t="s">
        <v>1302</v>
      </c>
      <c r="F409" t="s">
        <v>37</v>
      </c>
      <c r="G409" t="s">
        <v>38</v>
      </c>
      <c r="H409" t="s">
        <v>1303</v>
      </c>
      <c r="I409" t="s">
        <v>40</v>
      </c>
      <c r="J409">
        <v>2</v>
      </c>
      <c r="K409" t="s">
        <v>41</v>
      </c>
      <c r="L409" t="s">
        <v>42</v>
      </c>
      <c r="M409" t="s">
        <v>43</v>
      </c>
      <c r="N409" s="7">
        <v>1</v>
      </c>
      <c r="O409" s="8">
        <v>45504.7187037037</v>
      </c>
      <c r="P409" s="9">
        <v>45507</v>
      </c>
      <c r="Q409" t="s">
        <v>44</v>
      </c>
      <c r="R409" t="s">
        <v>45</v>
      </c>
      <c r="S409" t="s">
        <v>1181</v>
      </c>
      <c r="T409" t="s">
        <v>54</v>
      </c>
      <c r="U409" t="s">
        <v>1304</v>
      </c>
      <c r="V409">
        <v>81110</v>
      </c>
      <c r="W409" t="s">
        <v>45</v>
      </c>
      <c r="X409" t="s">
        <v>135</v>
      </c>
      <c r="Y409" t="s">
        <v>50</v>
      </c>
      <c r="Z409" s="10">
        <f t="shared" si="34"/>
        <v>9</v>
      </c>
      <c r="AA409" s="11">
        <v>0</v>
      </c>
      <c r="AB409" s="11">
        <v>-2</v>
      </c>
      <c r="AC409" s="11">
        <v>0</v>
      </c>
      <c r="AD409" s="11">
        <v>0</v>
      </c>
      <c r="AE409" s="11">
        <v>0</v>
      </c>
      <c r="AF409" s="11">
        <f t="shared" si="31"/>
        <v>0.42</v>
      </c>
      <c r="AG409" s="11">
        <f t="shared" si="32"/>
        <v>7.42</v>
      </c>
      <c r="AH409" t="s">
        <v>51</v>
      </c>
    </row>
    <row r="410" spans="1:34" ht="15" customHeight="1" x14ac:dyDescent="0.25">
      <c r="A410">
        <v>7547676</v>
      </c>
      <c r="B410" t="s">
        <v>34</v>
      </c>
      <c r="C410" t="s">
        <v>35</v>
      </c>
      <c r="D410" s="6" t="s">
        <v>34</v>
      </c>
      <c r="E410" t="s">
        <v>1305</v>
      </c>
      <c r="F410" t="s">
        <v>37</v>
      </c>
      <c r="G410" t="s">
        <v>38</v>
      </c>
      <c r="H410" t="s">
        <v>1306</v>
      </c>
      <c r="I410" t="s">
        <v>40</v>
      </c>
      <c r="J410">
        <v>2</v>
      </c>
      <c r="K410" t="s">
        <v>41</v>
      </c>
      <c r="L410" t="s">
        <v>42</v>
      </c>
      <c r="M410" t="s">
        <v>43</v>
      </c>
      <c r="N410" s="7">
        <v>1</v>
      </c>
      <c r="O410" s="8">
        <v>45506.4684375</v>
      </c>
      <c r="P410" s="9">
        <v>45507</v>
      </c>
      <c r="Q410" t="s">
        <v>386</v>
      </c>
      <c r="R410" t="s">
        <v>45</v>
      </c>
      <c r="S410" t="s">
        <v>1181</v>
      </c>
      <c r="T410" t="s">
        <v>129</v>
      </c>
      <c r="U410" t="s">
        <v>1307</v>
      </c>
      <c r="V410">
        <v>70450</v>
      </c>
      <c r="W410" t="s">
        <v>45</v>
      </c>
      <c r="X410" t="s">
        <v>636</v>
      </c>
      <c r="Y410" t="s">
        <v>50</v>
      </c>
      <c r="Z410" s="10">
        <f t="shared" si="34"/>
        <v>9</v>
      </c>
      <c r="AA410" s="11">
        <v>0</v>
      </c>
      <c r="AB410" s="11">
        <v>-2</v>
      </c>
      <c r="AC410" s="11">
        <v>0</v>
      </c>
      <c r="AD410" s="11">
        <v>0</v>
      </c>
      <c r="AE410" s="11">
        <v>0</v>
      </c>
      <c r="AF410" s="11">
        <f t="shared" si="31"/>
        <v>0.42</v>
      </c>
      <c r="AG410" s="11">
        <f t="shared" si="32"/>
        <v>7.42</v>
      </c>
      <c r="AH410" t="s">
        <v>51</v>
      </c>
    </row>
    <row r="411" spans="1:34" ht="15" customHeight="1" x14ac:dyDescent="0.25">
      <c r="A411">
        <v>7547676</v>
      </c>
      <c r="B411" t="s">
        <v>34</v>
      </c>
      <c r="C411" t="s">
        <v>35</v>
      </c>
      <c r="D411" s="6" t="s">
        <v>34</v>
      </c>
      <c r="E411" t="s">
        <v>1308</v>
      </c>
      <c r="F411" t="s">
        <v>37</v>
      </c>
      <c r="G411" t="s">
        <v>38</v>
      </c>
      <c r="H411" t="s">
        <v>1309</v>
      </c>
      <c r="I411" t="s">
        <v>40</v>
      </c>
      <c r="J411">
        <v>2</v>
      </c>
      <c r="K411" t="s">
        <v>41</v>
      </c>
      <c r="L411" t="s">
        <v>42</v>
      </c>
      <c r="M411" t="s">
        <v>43</v>
      </c>
      <c r="N411" s="7">
        <v>1</v>
      </c>
      <c r="O411" s="8">
        <v>45505.81627314815</v>
      </c>
      <c r="P411" s="9">
        <v>45507</v>
      </c>
      <c r="Q411" t="s">
        <v>386</v>
      </c>
      <c r="R411" t="s">
        <v>45</v>
      </c>
      <c r="S411" t="s">
        <v>1181</v>
      </c>
      <c r="T411" t="s">
        <v>92</v>
      </c>
      <c r="U411" t="s">
        <v>1310</v>
      </c>
      <c r="V411">
        <v>68000</v>
      </c>
      <c r="W411" t="s">
        <v>45</v>
      </c>
      <c r="X411" t="s">
        <v>1311</v>
      </c>
      <c r="Y411" t="s">
        <v>50</v>
      </c>
      <c r="Z411" s="10">
        <f t="shared" si="34"/>
        <v>9</v>
      </c>
      <c r="AA411" s="11">
        <v>0</v>
      </c>
      <c r="AB411" s="11">
        <v>-2</v>
      </c>
      <c r="AC411" s="11">
        <v>0</v>
      </c>
      <c r="AD411" s="11">
        <v>0</v>
      </c>
      <c r="AE411" s="11">
        <v>0</v>
      </c>
      <c r="AF411" s="11">
        <f t="shared" si="31"/>
        <v>0.42</v>
      </c>
      <c r="AG411" s="11">
        <f t="shared" si="32"/>
        <v>7.42</v>
      </c>
      <c r="AH411" t="s">
        <v>51</v>
      </c>
    </row>
    <row r="412" spans="1:34" ht="15" customHeight="1" x14ac:dyDescent="0.25">
      <c r="A412">
        <v>7547676</v>
      </c>
      <c r="B412" t="s">
        <v>34</v>
      </c>
      <c r="C412" t="s">
        <v>35</v>
      </c>
      <c r="D412" s="6" t="s">
        <v>34</v>
      </c>
      <c r="E412" t="s">
        <v>1312</v>
      </c>
      <c r="F412" t="s">
        <v>37</v>
      </c>
      <c r="G412" t="s">
        <v>38</v>
      </c>
      <c r="H412" t="s">
        <v>1313</v>
      </c>
      <c r="I412" t="s">
        <v>40</v>
      </c>
      <c r="J412">
        <v>2</v>
      </c>
      <c r="K412" t="s">
        <v>41</v>
      </c>
      <c r="L412" t="s">
        <v>42</v>
      </c>
      <c r="M412" t="s">
        <v>43</v>
      </c>
      <c r="N412" s="7">
        <v>1</v>
      </c>
      <c r="O412" s="8">
        <v>45505.750300925924</v>
      </c>
      <c r="P412" s="9">
        <v>45507</v>
      </c>
      <c r="Q412" t="s">
        <v>386</v>
      </c>
      <c r="R412" t="s">
        <v>45</v>
      </c>
      <c r="S412" t="s">
        <v>1181</v>
      </c>
      <c r="T412" t="s">
        <v>92</v>
      </c>
      <c r="U412" t="s">
        <v>1314</v>
      </c>
      <c r="V412">
        <v>43000</v>
      </c>
      <c r="W412" t="s">
        <v>45</v>
      </c>
      <c r="X412" t="s">
        <v>232</v>
      </c>
      <c r="Y412" t="s">
        <v>50</v>
      </c>
      <c r="Z412" s="10">
        <f>IF(N412&lt;=1,9,9+0.8*ROUNDUP(N412-1,0))</f>
        <v>9</v>
      </c>
      <c r="AA412" s="11">
        <v>0</v>
      </c>
      <c r="AB412" s="11">
        <v>-2</v>
      </c>
      <c r="AC412" s="11">
        <v>0</v>
      </c>
      <c r="AD412" s="11">
        <v>0</v>
      </c>
      <c r="AE412" s="11">
        <v>0</v>
      </c>
      <c r="AF412" s="11">
        <f t="shared" si="31"/>
        <v>0.42</v>
      </c>
      <c r="AG412" s="11">
        <f t="shared" si="32"/>
        <v>7.42</v>
      </c>
      <c r="AH412" t="s">
        <v>51</v>
      </c>
    </row>
    <row r="413" spans="1:34" ht="15" customHeight="1" x14ac:dyDescent="0.25">
      <c r="A413">
        <v>7547676</v>
      </c>
      <c r="B413" t="s">
        <v>34</v>
      </c>
      <c r="C413" t="s">
        <v>35</v>
      </c>
      <c r="D413" s="6" t="s">
        <v>34</v>
      </c>
      <c r="E413" t="s">
        <v>1315</v>
      </c>
      <c r="F413" t="s">
        <v>37</v>
      </c>
      <c r="G413" t="s">
        <v>38</v>
      </c>
      <c r="H413" t="s">
        <v>1316</v>
      </c>
      <c r="I413" t="s">
        <v>40</v>
      </c>
      <c r="J413">
        <v>2</v>
      </c>
      <c r="K413" t="s">
        <v>41</v>
      </c>
      <c r="L413" t="s">
        <v>42</v>
      </c>
      <c r="M413" t="s">
        <v>43</v>
      </c>
      <c r="N413" s="7">
        <v>1</v>
      </c>
      <c r="O413" s="8">
        <v>45505.722997685189</v>
      </c>
      <c r="P413" s="9">
        <v>45507</v>
      </c>
      <c r="Q413" t="s">
        <v>44</v>
      </c>
      <c r="R413" t="s">
        <v>45</v>
      </c>
      <c r="S413" t="s">
        <v>1181</v>
      </c>
      <c r="T413" t="s">
        <v>92</v>
      </c>
      <c r="U413" t="s">
        <v>1317</v>
      </c>
      <c r="V413">
        <v>41200</v>
      </c>
      <c r="W413" t="s">
        <v>45</v>
      </c>
      <c r="X413" t="s">
        <v>69</v>
      </c>
      <c r="Y413" t="s">
        <v>50</v>
      </c>
      <c r="Z413" s="10">
        <f t="shared" ref="Z413" si="35">IF(N413&lt;=1,9,9+0.8*ROUNDUP(N413-1,0))</f>
        <v>9</v>
      </c>
      <c r="AA413" s="11">
        <v>0</v>
      </c>
      <c r="AB413" s="11">
        <v>-2</v>
      </c>
      <c r="AC413" s="11">
        <v>0</v>
      </c>
      <c r="AD413" s="11">
        <v>0</v>
      </c>
      <c r="AE413" s="11">
        <v>0</v>
      </c>
      <c r="AF413" s="11">
        <f t="shared" si="31"/>
        <v>0.42</v>
      </c>
      <c r="AG413" s="11">
        <f t="shared" si="32"/>
        <v>7.42</v>
      </c>
      <c r="AH413" t="s">
        <v>51</v>
      </c>
    </row>
    <row r="414" spans="1:34" ht="15" customHeight="1" x14ac:dyDescent="0.25">
      <c r="A414">
        <v>7547676</v>
      </c>
      <c r="B414" t="s">
        <v>34</v>
      </c>
      <c r="C414" t="s">
        <v>35</v>
      </c>
      <c r="D414" s="6" t="s">
        <v>34</v>
      </c>
      <c r="E414" t="s">
        <v>1318</v>
      </c>
      <c r="F414" t="s">
        <v>37</v>
      </c>
      <c r="G414" t="s">
        <v>38</v>
      </c>
      <c r="H414" t="s">
        <v>1319</v>
      </c>
      <c r="I414" t="s">
        <v>40</v>
      </c>
      <c r="J414">
        <v>2</v>
      </c>
      <c r="K414" t="s">
        <v>41</v>
      </c>
      <c r="L414" t="s">
        <v>42</v>
      </c>
      <c r="M414" t="s">
        <v>43</v>
      </c>
      <c r="N414" s="7">
        <v>1</v>
      </c>
      <c r="O414" s="8">
        <v>45505.814409722225</v>
      </c>
      <c r="P414" s="9">
        <v>45507</v>
      </c>
      <c r="Q414" t="s">
        <v>386</v>
      </c>
      <c r="R414" t="s">
        <v>45</v>
      </c>
      <c r="S414" t="s">
        <v>1181</v>
      </c>
      <c r="T414" t="s">
        <v>129</v>
      </c>
      <c r="U414" t="s">
        <v>1320</v>
      </c>
      <c r="V414">
        <v>73400</v>
      </c>
      <c r="W414" t="s">
        <v>45</v>
      </c>
      <c r="X414" t="s">
        <v>69</v>
      </c>
      <c r="Y414" t="s">
        <v>50</v>
      </c>
      <c r="Z414" s="10">
        <f>IF(N414&lt;=1,9,9+0.8*ROUNDUP(N414-1,0))</f>
        <v>9</v>
      </c>
      <c r="AA414" s="11">
        <v>0</v>
      </c>
      <c r="AB414" s="11">
        <v>-2</v>
      </c>
      <c r="AC414" s="11">
        <v>0</v>
      </c>
      <c r="AD414" s="11">
        <v>0</v>
      </c>
      <c r="AE414" s="11">
        <v>0</v>
      </c>
      <c r="AF414" s="11">
        <f t="shared" si="31"/>
        <v>0.42</v>
      </c>
      <c r="AG414" s="11">
        <f t="shared" si="32"/>
        <v>7.42</v>
      </c>
      <c r="AH414" t="s">
        <v>51</v>
      </c>
    </row>
    <row r="415" spans="1:34" ht="15" customHeight="1" x14ac:dyDescent="0.25">
      <c r="A415">
        <v>7547676</v>
      </c>
      <c r="B415" t="s">
        <v>34</v>
      </c>
      <c r="C415" t="s">
        <v>35</v>
      </c>
      <c r="D415" s="6" t="s">
        <v>34</v>
      </c>
      <c r="E415" t="s">
        <v>1321</v>
      </c>
      <c r="F415" t="s">
        <v>37</v>
      </c>
      <c r="G415" t="s">
        <v>38</v>
      </c>
      <c r="H415" t="s">
        <v>1322</v>
      </c>
      <c r="I415" t="s">
        <v>40</v>
      </c>
      <c r="J415">
        <v>2</v>
      </c>
      <c r="K415" t="s">
        <v>41</v>
      </c>
      <c r="L415" t="s">
        <v>42</v>
      </c>
      <c r="M415" t="s">
        <v>43</v>
      </c>
      <c r="N415" s="7">
        <v>13</v>
      </c>
      <c r="O415" s="8">
        <v>45505.832152777781</v>
      </c>
      <c r="P415" s="9">
        <v>45507</v>
      </c>
      <c r="Q415" t="s">
        <v>386</v>
      </c>
      <c r="R415" t="s">
        <v>45</v>
      </c>
      <c r="S415" t="s">
        <v>1181</v>
      </c>
      <c r="T415" t="s">
        <v>146</v>
      </c>
      <c r="U415" t="s">
        <v>1323</v>
      </c>
      <c r="V415">
        <v>50400</v>
      </c>
      <c r="W415" t="s">
        <v>45</v>
      </c>
      <c r="X415" t="s">
        <v>505</v>
      </c>
      <c r="Y415" t="s">
        <v>50</v>
      </c>
      <c r="Z415" s="10">
        <f t="shared" ref="Z415:Z451" si="36">IF(N415&lt;=1,9,9+0.8*ROUNDUP(N415-1,0))</f>
        <v>18.600000000000001</v>
      </c>
      <c r="AA415" s="11">
        <v>0</v>
      </c>
      <c r="AB415" s="11">
        <v>-2</v>
      </c>
      <c r="AC415" s="11">
        <v>0</v>
      </c>
      <c r="AD415" s="11">
        <v>0</v>
      </c>
      <c r="AE415" s="11">
        <v>0</v>
      </c>
      <c r="AF415" s="11">
        <f t="shared" si="31"/>
        <v>0.996</v>
      </c>
      <c r="AG415" s="11">
        <f t="shared" si="32"/>
        <v>17.596</v>
      </c>
      <c r="AH415" t="s">
        <v>51</v>
      </c>
    </row>
    <row r="416" spans="1:34" ht="15" customHeight="1" x14ac:dyDescent="0.25">
      <c r="A416">
        <v>7547676</v>
      </c>
      <c r="B416" t="s">
        <v>34</v>
      </c>
      <c r="C416" t="s">
        <v>35</v>
      </c>
      <c r="D416" s="6" t="s">
        <v>34</v>
      </c>
      <c r="E416" t="s">
        <v>1324</v>
      </c>
      <c r="F416" t="s">
        <v>37</v>
      </c>
      <c r="G416" t="s">
        <v>38</v>
      </c>
      <c r="H416" t="s">
        <v>1325</v>
      </c>
      <c r="I416" t="s">
        <v>40</v>
      </c>
      <c r="J416">
        <v>2</v>
      </c>
      <c r="K416" t="s">
        <v>41</v>
      </c>
      <c r="L416" t="s">
        <v>42</v>
      </c>
      <c r="M416" t="s">
        <v>43</v>
      </c>
      <c r="N416" s="7">
        <v>2</v>
      </c>
      <c r="O416" s="8">
        <v>45506.478414351855</v>
      </c>
      <c r="P416" s="9">
        <v>45507</v>
      </c>
      <c r="Q416" t="s">
        <v>386</v>
      </c>
      <c r="R416" t="s">
        <v>45</v>
      </c>
      <c r="S416" t="s">
        <v>1181</v>
      </c>
      <c r="T416" t="s">
        <v>92</v>
      </c>
      <c r="U416" t="s">
        <v>1326</v>
      </c>
      <c r="V416">
        <v>42700</v>
      </c>
      <c r="W416" t="s">
        <v>45</v>
      </c>
      <c r="X416" t="s">
        <v>178</v>
      </c>
      <c r="Y416" t="s">
        <v>50</v>
      </c>
      <c r="Z416" s="10">
        <f t="shared" si="36"/>
        <v>9.8000000000000007</v>
      </c>
      <c r="AA416" s="11">
        <v>0</v>
      </c>
      <c r="AB416" s="11">
        <v>-2</v>
      </c>
      <c r="AC416" s="11">
        <v>0</v>
      </c>
      <c r="AD416" s="11">
        <v>0</v>
      </c>
      <c r="AE416" s="11">
        <v>0</v>
      </c>
      <c r="AF416" s="11">
        <f t="shared" si="31"/>
        <v>0.46800000000000003</v>
      </c>
      <c r="AG416" s="11">
        <f t="shared" si="32"/>
        <v>8.2680000000000007</v>
      </c>
      <c r="AH416" t="s">
        <v>51</v>
      </c>
    </row>
    <row r="417" spans="1:34" ht="15" customHeight="1" x14ac:dyDescent="0.25">
      <c r="A417">
        <v>7547676</v>
      </c>
      <c r="B417" t="s">
        <v>34</v>
      </c>
      <c r="C417" t="s">
        <v>35</v>
      </c>
      <c r="D417" s="6" t="s">
        <v>34</v>
      </c>
      <c r="E417" t="s">
        <v>1327</v>
      </c>
      <c r="F417" t="s">
        <v>37</v>
      </c>
      <c r="G417" t="s">
        <v>38</v>
      </c>
      <c r="H417" t="s">
        <v>1322</v>
      </c>
      <c r="I417" t="s">
        <v>40</v>
      </c>
      <c r="J417">
        <v>2</v>
      </c>
      <c r="K417" t="s">
        <v>41</v>
      </c>
      <c r="L417" t="s">
        <v>42</v>
      </c>
      <c r="M417" t="s">
        <v>43</v>
      </c>
      <c r="N417" s="7">
        <v>3</v>
      </c>
      <c r="O417" s="8">
        <v>45505.832152777781</v>
      </c>
      <c r="P417" s="9">
        <v>45507</v>
      </c>
      <c r="Q417" t="s">
        <v>386</v>
      </c>
      <c r="R417" t="s">
        <v>45</v>
      </c>
      <c r="S417" t="s">
        <v>1181</v>
      </c>
      <c r="T417" t="s">
        <v>146</v>
      </c>
      <c r="U417" t="s">
        <v>1323</v>
      </c>
      <c r="V417">
        <v>50400</v>
      </c>
      <c r="W417" t="s">
        <v>45</v>
      </c>
      <c r="X417" t="s">
        <v>505</v>
      </c>
      <c r="Y417" t="s">
        <v>50</v>
      </c>
      <c r="Z417" s="10">
        <f t="shared" si="36"/>
        <v>10.6</v>
      </c>
      <c r="AA417" s="11">
        <v>0</v>
      </c>
      <c r="AB417" s="11">
        <v>-2</v>
      </c>
      <c r="AC417" s="11">
        <v>0</v>
      </c>
      <c r="AD417" s="11">
        <v>0</v>
      </c>
      <c r="AE417" s="11">
        <v>0</v>
      </c>
      <c r="AF417" s="11">
        <f t="shared" si="31"/>
        <v>0.51600000000000001</v>
      </c>
      <c r="AG417" s="11">
        <f t="shared" si="32"/>
        <v>9.1159999999999997</v>
      </c>
      <c r="AH417" t="s">
        <v>51</v>
      </c>
    </row>
    <row r="418" spans="1:34" ht="15" customHeight="1" x14ac:dyDescent="0.25">
      <c r="A418">
        <v>7547676</v>
      </c>
      <c r="B418" t="s">
        <v>34</v>
      </c>
      <c r="C418" t="s">
        <v>35</v>
      </c>
      <c r="D418" s="6" t="s">
        <v>34</v>
      </c>
      <c r="E418" t="s">
        <v>1328</v>
      </c>
      <c r="F418" t="s">
        <v>37</v>
      </c>
      <c r="G418" t="s">
        <v>38</v>
      </c>
      <c r="H418" t="s">
        <v>1329</v>
      </c>
      <c r="I418" t="s">
        <v>40</v>
      </c>
      <c r="J418">
        <v>2</v>
      </c>
      <c r="K418" t="s">
        <v>41</v>
      </c>
      <c r="L418" t="s">
        <v>42</v>
      </c>
      <c r="M418" t="s">
        <v>43</v>
      </c>
      <c r="N418" s="7">
        <v>9</v>
      </c>
      <c r="O418" s="8">
        <v>45507.741990740738</v>
      </c>
      <c r="P418" s="9">
        <v>45508</v>
      </c>
      <c r="Q418" t="s">
        <v>44</v>
      </c>
      <c r="R418" t="s">
        <v>45</v>
      </c>
      <c r="S418" t="s">
        <v>1181</v>
      </c>
      <c r="T418" t="s">
        <v>72</v>
      </c>
      <c r="U418" t="s">
        <v>1330</v>
      </c>
      <c r="V418">
        <v>21020</v>
      </c>
      <c r="W418" t="s">
        <v>45</v>
      </c>
      <c r="X418" t="s">
        <v>139</v>
      </c>
      <c r="Y418" t="s">
        <v>50</v>
      </c>
      <c r="Z418" s="10">
        <f t="shared" si="36"/>
        <v>15.4</v>
      </c>
      <c r="AA418" s="11">
        <v>0</v>
      </c>
      <c r="AB418" s="11">
        <v>-2</v>
      </c>
      <c r="AC418" s="11">
        <v>0</v>
      </c>
      <c r="AD418" s="11">
        <v>0</v>
      </c>
      <c r="AE418" s="11">
        <v>0</v>
      </c>
      <c r="AF418" s="11">
        <f t="shared" si="31"/>
        <v>0.80399999999999994</v>
      </c>
      <c r="AG418" s="11">
        <f t="shared" si="32"/>
        <v>14.204000000000001</v>
      </c>
      <c r="AH418" t="s">
        <v>51</v>
      </c>
    </row>
    <row r="419" spans="1:34" ht="15" customHeight="1" x14ac:dyDescent="0.25">
      <c r="A419">
        <v>7547676</v>
      </c>
      <c r="B419" t="s">
        <v>34</v>
      </c>
      <c r="C419" t="s">
        <v>35</v>
      </c>
      <c r="D419" s="6" t="s">
        <v>34</v>
      </c>
      <c r="E419" t="s">
        <v>1331</v>
      </c>
      <c r="F419" t="s">
        <v>37</v>
      </c>
      <c r="G419" t="s">
        <v>38</v>
      </c>
      <c r="H419" t="s">
        <v>1332</v>
      </c>
      <c r="I419" t="s">
        <v>40</v>
      </c>
      <c r="J419">
        <v>2</v>
      </c>
      <c r="K419" t="s">
        <v>41</v>
      </c>
      <c r="L419" t="s">
        <v>42</v>
      </c>
      <c r="M419" t="s">
        <v>43</v>
      </c>
      <c r="N419" s="7">
        <v>1</v>
      </c>
      <c r="O419" s="8">
        <v>45504.810150462959</v>
      </c>
      <c r="P419" s="9">
        <v>45508</v>
      </c>
      <c r="Q419" t="s">
        <v>44</v>
      </c>
      <c r="R419" t="s">
        <v>45</v>
      </c>
      <c r="S419" t="s">
        <v>1181</v>
      </c>
      <c r="T419" t="s">
        <v>54</v>
      </c>
      <c r="U419" t="s">
        <v>1333</v>
      </c>
      <c r="V419">
        <v>84200</v>
      </c>
      <c r="W419" t="s">
        <v>45</v>
      </c>
      <c r="X419" t="s">
        <v>81</v>
      </c>
      <c r="Y419" t="s">
        <v>50</v>
      </c>
      <c r="Z419" s="10">
        <f t="shared" si="36"/>
        <v>9</v>
      </c>
      <c r="AA419" s="11">
        <v>0</v>
      </c>
      <c r="AB419" s="11">
        <v>-2</v>
      </c>
      <c r="AC419" s="11">
        <v>0</v>
      </c>
      <c r="AD419" s="11">
        <v>0</v>
      </c>
      <c r="AE419" s="11">
        <v>0</v>
      </c>
      <c r="AF419" s="11">
        <f t="shared" si="31"/>
        <v>0.42</v>
      </c>
      <c r="AG419" s="11">
        <f t="shared" si="32"/>
        <v>7.42</v>
      </c>
      <c r="AH419" t="s">
        <v>51</v>
      </c>
    </row>
    <row r="420" spans="1:34" ht="15" customHeight="1" x14ac:dyDescent="0.25">
      <c r="A420">
        <v>7547676</v>
      </c>
      <c r="B420" t="s">
        <v>34</v>
      </c>
      <c r="C420" t="s">
        <v>35</v>
      </c>
      <c r="D420" s="6" t="s">
        <v>34</v>
      </c>
      <c r="E420" t="s">
        <v>1334</v>
      </c>
      <c r="F420" t="s">
        <v>37</v>
      </c>
      <c r="G420" t="s">
        <v>38</v>
      </c>
      <c r="H420" t="s">
        <v>1335</v>
      </c>
      <c r="I420" t="s">
        <v>40</v>
      </c>
      <c r="J420">
        <v>2</v>
      </c>
      <c r="K420" t="s">
        <v>41</v>
      </c>
      <c r="L420" t="s">
        <v>42</v>
      </c>
      <c r="M420" t="s">
        <v>43</v>
      </c>
      <c r="N420" s="7">
        <v>5</v>
      </c>
      <c r="O420" s="8">
        <v>45507.497037037036</v>
      </c>
      <c r="P420" s="9">
        <v>45508</v>
      </c>
      <c r="Q420" t="s">
        <v>44</v>
      </c>
      <c r="R420" t="s">
        <v>45</v>
      </c>
      <c r="S420" t="s">
        <v>1181</v>
      </c>
      <c r="T420" t="s">
        <v>223</v>
      </c>
      <c r="U420" t="s">
        <v>1336</v>
      </c>
      <c r="V420">
        <v>28000</v>
      </c>
      <c r="W420" t="s">
        <v>45</v>
      </c>
      <c r="X420" t="s">
        <v>1337</v>
      </c>
      <c r="Y420" t="s">
        <v>50</v>
      </c>
      <c r="Z420" s="10">
        <f t="shared" si="36"/>
        <v>12.2</v>
      </c>
      <c r="AA420" s="11">
        <v>0</v>
      </c>
      <c r="AB420" s="11">
        <v>-2</v>
      </c>
      <c r="AC420" s="11">
        <v>0</v>
      </c>
      <c r="AD420" s="11">
        <v>0</v>
      </c>
      <c r="AE420" s="11">
        <v>0</v>
      </c>
      <c r="AF420" s="11">
        <f t="shared" si="31"/>
        <v>0.61199999999999999</v>
      </c>
      <c r="AG420" s="11">
        <f t="shared" si="32"/>
        <v>10.811999999999999</v>
      </c>
      <c r="AH420" t="s">
        <v>51</v>
      </c>
    </row>
    <row r="421" spans="1:34" ht="15" customHeight="1" x14ac:dyDescent="0.25">
      <c r="A421">
        <v>7547676</v>
      </c>
      <c r="B421" t="s">
        <v>34</v>
      </c>
      <c r="C421" t="s">
        <v>35</v>
      </c>
      <c r="D421" s="6" t="s">
        <v>34</v>
      </c>
      <c r="E421" t="s">
        <v>1338</v>
      </c>
      <c r="F421" t="s">
        <v>37</v>
      </c>
      <c r="G421" t="s">
        <v>38</v>
      </c>
      <c r="H421" t="s">
        <v>1339</v>
      </c>
      <c r="I421" t="s">
        <v>40</v>
      </c>
      <c r="J421">
        <v>2</v>
      </c>
      <c r="K421" t="s">
        <v>41</v>
      </c>
      <c r="L421" t="s">
        <v>42</v>
      </c>
      <c r="M421" t="s">
        <v>43</v>
      </c>
      <c r="N421" s="7">
        <v>1</v>
      </c>
      <c r="O421" s="8">
        <v>45507.686493055553</v>
      </c>
      <c r="P421" s="9">
        <v>45508</v>
      </c>
      <c r="Q421" t="s">
        <v>44</v>
      </c>
      <c r="R421" t="s">
        <v>45</v>
      </c>
      <c r="S421" t="s">
        <v>1181</v>
      </c>
      <c r="T421" t="s">
        <v>92</v>
      </c>
      <c r="U421" t="s">
        <v>1340</v>
      </c>
      <c r="V421">
        <v>42100</v>
      </c>
      <c r="W421" t="s">
        <v>45</v>
      </c>
      <c r="X421" t="s">
        <v>213</v>
      </c>
      <c r="Y421" t="s">
        <v>50</v>
      </c>
      <c r="Z421" s="10">
        <f t="shared" si="36"/>
        <v>9</v>
      </c>
      <c r="AA421" s="11">
        <v>0</v>
      </c>
      <c r="AB421" s="11">
        <v>-2</v>
      </c>
      <c r="AC421" s="11">
        <v>0</v>
      </c>
      <c r="AD421" s="11">
        <v>0</v>
      </c>
      <c r="AE421" s="11">
        <v>0</v>
      </c>
      <c r="AF421" s="11">
        <f t="shared" si="31"/>
        <v>0.42</v>
      </c>
      <c r="AG421" s="11">
        <f t="shared" si="32"/>
        <v>7.42</v>
      </c>
      <c r="AH421" t="s">
        <v>51</v>
      </c>
    </row>
    <row r="422" spans="1:34" ht="15" customHeight="1" x14ac:dyDescent="0.25">
      <c r="A422">
        <v>7547676</v>
      </c>
      <c r="B422" t="s">
        <v>34</v>
      </c>
      <c r="C422" t="s">
        <v>35</v>
      </c>
      <c r="D422" s="6" t="s">
        <v>34</v>
      </c>
      <c r="E422" t="s">
        <v>1341</v>
      </c>
      <c r="F422" t="s">
        <v>37</v>
      </c>
      <c r="G422" t="s">
        <v>38</v>
      </c>
      <c r="H422" t="s">
        <v>1342</v>
      </c>
      <c r="I422" t="s">
        <v>40</v>
      </c>
      <c r="J422">
        <v>2</v>
      </c>
      <c r="K422" t="s">
        <v>41</v>
      </c>
      <c r="L422" t="s">
        <v>42</v>
      </c>
      <c r="M422" t="s">
        <v>43</v>
      </c>
      <c r="N422" s="7">
        <v>1</v>
      </c>
      <c r="O422" s="8">
        <v>45507.745138888888</v>
      </c>
      <c r="P422" s="9">
        <v>45508</v>
      </c>
      <c r="Q422" t="s">
        <v>44</v>
      </c>
      <c r="R422" t="s">
        <v>45</v>
      </c>
      <c r="S422" t="s">
        <v>1181</v>
      </c>
      <c r="T422" t="s">
        <v>72</v>
      </c>
      <c r="U422" t="s">
        <v>1343</v>
      </c>
      <c r="V422">
        <v>21600</v>
      </c>
      <c r="W422" t="s">
        <v>45</v>
      </c>
      <c r="X422" t="s">
        <v>139</v>
      </c>
      <c r="Y422" t="s">
        <v>50</v>
      </c>
      <c r="Z422" s="10">
        <f t="shared" si="36"/>
        <v>9</v>
      </c>
      <c r="AA422" s="11">
        <v>0</v>
      </c>
      <c r="AB422" s="11">
        <v>-2</v>
      </c>
      <c r="AC422" s="11">
        <v>0</v>
      </c>
      <c r="AD422" s="11">
        <v>0</v>
      </c>
      <c r="AE422" s="11">
        <v>0</v>
      </c>
      <c r="AF422" s="11">
        <f t="shared" si="31"/>
        <v>0.42</v>
      </c>
      <c r="AG422" s="11">
        <f t="shared" si="32"/>
        <v>7.42</v>
      </c>
      <c r="AH422" t="s">
        <v>51</v>
      </c>
    </row>
    <row r="423" spans="1:34" ht="15" customHeight="1" x14ac:dyDescent="0.25">
      <c r="A423">
        <v>7547676</v>
      </c>
      <c r="B423" t="s">
        <v>34</v>
      </c>
      <c r="C423" t="s">
        <v>35</v>
      </c>
      <c r="D423" s="6" t="s">
        <v>34</v>
      </c>
      <c r="E423" t="s">
        <v>1344</v>
      </c>
      <c r="F423" t="s">
        <v>37</v>
      </c>
      <c r="G423" t="s">
        <v>38</v>
      </c>
      <c r="H423" t="s">
        <v>1345</v>
      </c>
      <c r="I423" t="s">
        <v>40</v>
      </c>
      <c r="J423">
        <v>2</v>
      </c>
      <c r="K423" t="s">
        <v>41</v>
      </c>
      <c r="L423" t="s">
        <v>42</v>
      </c>
      <c r="M423" t="s">
        <v>43</v>
      </c>
      <c r="N423" s="7">
        <v>1</v>
      </c>
      <c r="O423" s="8">
        <v>45507.574930555558</v>
      </c>
      <c r="P423" s="9">
        <v>45508</v>
      </c>
      <c r="Q423" t="s">
        <v>44</v>
      </c>
      <c r="R423" t="s">
        <v>45</v>
      </c>
      <c r="S423" t="s">
        <v>1181</v>
      </c>
      <c r="T423" t="s">
        <v>223</v>
      </c>
      <c r="U423" t="s">
        <v>1346</v>
      </c>
      <c r="V423">
        <v>26820</v>
      </c>
      <c r="W423" t="s">
        <v>45</v>
      </c>
      <c r="X423" t="s">
        <v>225</v>
      </c>
      <c r="Y423" t="s">
        <v>50</v>
      </c>
      <c r="Z423" s="10">
        <f t="shared" si="36"/>
        <v>9</v>
      </c>
      <c r="AA423" s="11">
        <v>0</v>
      </c>
      <c r="AB423" s="11">
        <v>-2</v>
      </c>
      <c r="AC423" s="11">
        <v>0</v>
      </c>
      <c r="AD423" s="11">
        <v>0</v>
      </c>
      <c r="AE423" s="11">
        <v>0</v>
      </c>
      <c r="AF423" s="11">
        <f t="shared" si="31"/>
        <v>0.42</v>
      </c>
      <c r="AG423" s="11">
        <f t="shared" si="32"/>
        <v>7.42</v>
      </c>
      <c r="AH423" t="s">
        <v>51</v>
      </c>
    </row>
    <row r="424" spans="1:34" ht="15" customHeight="1" x14ac:dyDescent="0.25">
      <c r="A424">
        <v>7547676</v>
      </c>
      <c r="B424" t="s">
        <v>34</v>
      </c>
      <c r="C424" t="s">
        <v>35</v>
      </c>
      <c r="D424" s="6" t="s">
        <v>34</v>
      </c>
      <c r="E424" t="s">
        <v>1347</v>
      </c>
      <c r="F424" t="s">
        <v>37</v>
      </c>
      <c r="G424" t="s">
        <v>38</v>
      </c>
      <c r="H424" t="s">
        <v>1348</v>
      </c>
      <c r="I424" t="s">
        <v>40</v>
      </c>
      <c r="J424">
        <v>2</v>
      </c>
      <c r="K424" t="s">
        <v>41</v>
      </c>
      <c r="L424" t="s">
        <v>42</v>
      </c>
      <c r="M424" t="s">
        <v>43</v>
      </c>
      <c r="N424" s="7">
        <v>1</v>
      </c>
      <c r="O424" s="8">
        <v>45507.574930555558</v>
      </c>
      <c r="P424" s="9">
        <v>45508</v>
      </c>
      <c r="Q424" t="s">
        <v>44</v>
      </c>
      <c r="R424" t="s">
        <v>45</v>
      </c>
      <c r="S424" t="s">
        <v>1181</v>
      </c>
      <c r="T424" t="s">
        <v>151</v>
      </c>
      <c r="U424" t="s">
        <v>1349</v>
      </c>
      <c r="V424">
        <v>75200</v>
      </c>
      <c r="W424" t="s">
        <v>45</v>
      </c>
      <c r="X424" t="s">
        <v>289</v>
      </c>
      <c r="Y424" t="s">
        <v>50</v>
      </c>
      <c r="Z424" s="10">
        <f t="shared" si="36"/>
        <v>9</v>
      </c>
      <c r="AA424" s="11">
        <v>0</v>
      </c>
      <c r="AB424" s="11">
        <v>-2</v>
      </c>
      <c r="AC424" s="11">
        <v>0</v>
      </c>
      <c r="AD424" s="11">
        <v>0</v>
      </c>
      <c r="AE424" s="11">
        <v>0</v>
      </c>
      <c r="AF424" s="11">
        <f t="shared" si="31"/>
        <v>0.42</v>
      </c>
      <c r="AG424" s="11">
        <f t="shared" si="32"/>
        <v>7.42</v>
      </c>
      <c r="AH424" t="s">
        <v>51</v>
      </c>
    </row>
    <row r="425" spans="1:34" ht="15" customHeight="1" x14ac:dyDescent="0.25">
      <c r="A425">
        <v>7547676</v>
      </c>
      <c r="B425" t="s">
        <v>34</v>
      </c>
      <c r="C425" t="s">
        <v>35</v>
      </c>
      <c r="D425" s="6" t="s">
        <v>34</v>
      </c>
      <c r="E425" t="s">
        <v>1350</v>
      </c>
      <c r="F425" t="s">
        <v>37</v>
      </c>
      <c r="G425" t="s">
        <v>38</v>
      </c>
      <c r="H425" t="s">
        <v>425</v>
      </c>
      <c r="I425" t="s">
        <v>40</v>
      </c>
      <c r="J425">
        <v>2</v>
      </c>
      <c r="K425" t="s">
        <v>41</v>
      </c>
      <c r="L425" t="s">
        <v>42</v>
      </c>
      <c r="M425" t="s">
        <v>43</v>
      </c>
      <c r="N425" s="7">
        <v>1</v>
      </c>
      <c r="O425" s="8">
        <v>45507.722719907404</v>
      </c>
      <c r="P425" s="9">
        <v>45508</v>
      </c>
      <c r="Q425" t="s">
        <v>44</v>
      </c>
      <c r="R425" t="s">
        <v>45</v>
      </c>
      <c r="S425" t="s">
        <v>1181</v>
      </c>
      <c r="T425" t="s">
        <v>223</v>
      </c>
      <c r="U425" t="s">
        <v>426</v>
      </c>
      <c r="V425">
        <v>39100</v>
      </c>
      <c r="W425" t="s">
        <v>45</v>
      </c>
      <c r="X425" t="s">
        <v>225</v>
      </c>
      <c r="Y425" t="s">
        <v>50</v>
      </c>
      <c r="Z425" s="10">
        <f t="shared" si="36"/>
        <v>9</v>
      </c>
      <c r="AA425" s="11">
        <v>0</v>
      </c>
      <c r="AB425" s="11">
        <v>-2</v>
      </c>
      <c r="AC425" s="11">
        <v>0</v>
      </c>
      <c r="AD425" s="11">
        <v>0</v>
      </c>
      <c r="AE425" s="11">
        <v>0</v>
      </c>
      <c r="AF425" s="11">
        <f t="shared" si="31"/>
        <v>0.42</v>
      </c>
      <c r="AG425" s="11">
        <f t="shared" si="32"/>
        <v>7.42</v>
      </c>
      <c r="AH425" t="s">
        <v>51</v>
      </c>
    </row>
    <row r="426" spans="1:34" ht="15" customHeight="1" x14ac:dyDescent="0.25">
      <c r="A426">
        <v>7547676</v>
      </c>
      <c r="B426" t="s">
        <v>34</v>
      </c>
      <c r="C426" t="s">
        <v>35</v>
      </c>
      <c r="D426" s="6" t="s">
        <v>34</v>
      </c>
      <c r="E426" t="s">
        <v>1351</v>
      </c>
      <c r="F426" t="s">
        <v>37</v>
      </c>
      <c r="G426" t="s">
        <v>38</v>
      </c>
      <c r="H426" t="s">
        <v>1352</v>
      </c>
      <c r="I426" t="s">
        <v>40</v>
      </c>
      <c r="J426">
        <v>2</v>
      </c>
      <c r="K426" t="s">
        <v>41</v>
      </c>
      <c r="L426" t="s">
        <v>42</v>
      </c>
      <c r="M426" t="s">
        <v>43</v>
      </c>
      <c r="N426" s="7">
        <v>1</v>
      </c>
      <c r="O426" s="8">
        <v>45507.568136574075</v>
      </c>
      <c r="P426" s="9">
        <v>45508</v>
      </c>
      <c r="Q426" t="s">
        <v>44</v>
      </c>
      <c r="R426" t="s">
        <v>45</v>
      </c>
      <c r="S426" t="s">
        <v>1181</v>
      </c>
      <c r="T426" t="s">
        <v>84</v>
      </c>
      <c r="U426" t="s">
        <v>1353</v>
      </c>
      <c r="V426">
        <v>16250</v>
      </c>
      <c r="W426" t="s">
        <v>45</v>
      </c>
      <c r="X426" t="s">
        <v>74</v>
      </c>
      <c r="Y426" t="s">
        <v>50</v>
      </c>
      <c r="Z426" s="10">
        <f t="shared" si="36"/>
        <v>9</v>
      </c>
      <c r="AA426" s="11">
        <v>0</v>
      </c>
      <c r="AB426" s="11">
        <v>-2</v>
      </c>
      <c r="AC426" s="11">
        <v>0</v>
      </c>
      <c r="AD426" s="11">
        <v>0</v>
      </c>
      <c r="AE426" s="11">
        <v>0</v>
      </c>
      <c r="AF426" s="11">
        <f t="shared" si="31"/>
        <v>0.42</v>
      </c>
      <c r="AG426" s="11">
        <f t="shared" si="32"/>
        <v>7.42</v>
      </c>
      <c r="AH426" t="s">
        <v>51</v>
      </c>
    </row>
    <row r="427" spans="1:34" ht="15" customHeight="1" x14ac:dyDescent="0.25">
      <c r="A427">
        <v>7547676</v>
      </c>
      <c r="B427" t="s">
        <v>34</v>
      </c>
      <c r="C427" t="s">
        <v>35</v>
      </c>
      <c r="D427" s="6" t="s">
        <v>34</v>
      </c>
      <c r="E427" t="s">
        <v>1354</v>
      </c>
      <c r="F427" t="s">
        <v>37</v>
      </c>
      <c r="G427" t="s">
        <v>38</v>
      </c>
      <c r="H427" t="s">
        <v>1355</v>
      </c>
      <c r="I427" t="s">
        <v>40</v>
      </c>
      <c r="J427">
        <v>2</v>
      </c>
      <c r="K427" t="s">
        <v>41</v>
      </c>
      <c r="L427" t="s">
        <v>42</v>
      </c>
      <c r="M427" t="s">
        <v>43</v>
      </c>
      <c r="N427" s="7">
        <v>1</v>
      </c>
      <c r="O427" s="8">
        <v>45506.4684375</v>
      </c>
      <c r="P427" s="9">
        <v>45508</v>
      </c>
      <c r="Q427" t="s">
        <v>386</v>
      </c>
      <c r="R427" t="s">
        <v>45</v>
      </c>
      <c r="S427" t="s">
        <v>1181</v>
      </c>
      <c r="T427" t="s">
        <v>107</v>
      </c>
      <c r="U427" t="s">
        <v>1356</v>
      </c>
      <c r="V427">
        <v>8700</v>
      </c>
      <c r="W427" t="s">
        <v>45</v>
      </c>
      <c r="X427" t="s">
        <v>182</v>
      </c>
      <c r="Y427" t="s">
        <v>50</v>
      </c>
      <c r="Z427" s="10">
        <f t="shared" si="36"/>
        <v>9</v>
      </c>
      <c r="AA427" s="11">
        <v>0</v>
      </c>
      <c r="AB427" s="11">
        <v>-2</v>
      </c>
      <c r="AC427" s="11">
        <v>0</v>
      </c>
      <c r="AD427" s="11">
        <v>0</v>
      </c>
      <c r="AE427" s="11">
        <v>0</v>
      </c>
      <c r="AF427" s="11">
        <f t="shared" si="31"/>
        <v>0.42</v>
      </c>
      <c r="AG427" s="11">
        <f t="shared" si="32"/>
        <v>7.42</v>
      </c>
      <c r="AH427" t="s">
        <v>51</v>
      </c>
    </row>
    <row r="428" spans="1:34" ht="15" customHeight="1" x14ac:dyDescent="0.25">
      <c r="A428">
        <v>7547676</v>
      </c>
      <c r="B428" t="s">
        <v>34</v>
      </c>
      <c r="C428" t="s">
        <v>35</v>
      </c>
      <c r="D428" s="6" t="s">
        <v>34</v>
      </c>
      <c r="E428" t="s">
        <v>1357</v>
      </c>
      <c r="F428" t="s">
        <v>37</v>
      </c>
      <c r="G428" t="s">
        <v>38</v>
      </c>
      <c r="H428" t="s">
        <v>1358</v>
      </c>
      <c r="I428" t="s">
        <v>40</v>
      </c>
      <c r="J428">
        <v>2</v>
      </c>
      <c r="K428" t="s">
        <v>41</v>
      </c>
      <c r="L428" t="s">
        <v>42</v>
      </c>
      <c r="M428" t="s">
        <v>43</v>
      </c>
      <c r="N428" s="7">
        <v>1</v>
      </c>
      <c r="O428" s="8">
        <v>45506.751817129632</v>
      </c>
      <c r="P428" s="9">
        <v>45508</v>
      </c>
      <c r="Q428" t="s">
        <v>44</v>
      </c>
      <c r="R428" t="s">
        <v>45</v>
      </c>
      <c r="S428" t="s">
        <v>1181</v>
      </c>
      <c r="T428" t="s">
        <v>151</v>
      </c>
      <c r="U428" t="s">
        <v>1359</v>
      </c>
      <c r="V428">
        <v>77200</v>
      </c>
      <c r="W428" t="s">
        <v>45</v>
      </c>
      <c r="X428" t="s">
        <v>153</v>
      </c>
      <c r="Y428" t="s">
        <v>50</v>
      </c>
      <c r="Z428" s="10">
        <f t="shared" si="36"/>
        <v>9</v>
      </c>
      <c r="AA428" s="11">
        <v>0</v>
      </c>
      <c r="AB428" s="11">
        <v>-2</v>
      </c>
      <c r="AC428" s="11">
        <v>0</v>
      </c>
      <c r="AD428" s="11">
        <v>0</v>
      </c>
      <c r="AE428" s="11">
        <v>0</v>
      </c>
      <c r="AF428" s="11">
        <f t="shared" si="31"/>
        <v>0.42</v>
      </c>
      <c r="AG428" s="11">
        <f t="shared" si="32"/>
        <v>7.42</v>
      </c>
      <c r="AH428" t="s">
        <v>51</v>
      </c>
    </row>
    <row r="429" spans="1:34" ht="15" customHeight="1" x14ac:dyDescent="0.25">
      <c r="A429">
        <v>7547676</v>
      </c>
      <c r="B429" t="s">
        <v>34</v>
      </c>
      <c r="C429" t="s">
        <v>35</v>
      </c>
      <c r="D429" s="6" t="s">
        <v>34</v>
      </c>
      <c r="E429" t="s">
        <v>1360</v>
      </c>
      <c r="F429" t="s">
        <v>37</v>
      </c>
      <c r="G429" t="s">
        <v>38</v>
      </c>
      <c r="H429" t="s">
        <v>1361</v>
      </c>
      <c r="I429" t="s">
        <v>40</v>
      </c>
      <c r="J429">
        <v>2</v>
      </c>
      <c r="K429" t="s">
        <v>41</v>
      </c>
      <c r="L429" t="s">
        <v>42</v>
      </c>
      <c r="M429" t="s">
        <v>43</v>
      </c>
      <c r="N429" s="7">
        <v>1</v>
      </c>
      <c r="O429" s="8">
        <v>45507.586793981478</v>
      </c>
      <c r="P429" s="9">
        <v>45509</v>
      </c>
      <c r="Q429" t="s">
        <v>44</v>
      </c>
      <c r="R429" t="s">
        <v>45</v>
      </c>
      <c r="S429" t="s">
        <v>1181</v>
      </c>
      <c r="T429" t="s">
        <v>223</v>
      </c>
      <c r="U429" t="s">
        <v>1362</v>
      </c>
      <c r="V429">
        <v>25150</v>
      </c>
      <c r="W429" t="s">
        <v>45</v>
      </c>
      <c r="X429" t="s">
        <v>225</v>
      </c>
      <c r="Y429" t="s">
        <v>50</v>
      </c>
      <c r="Z429" s="10">
        <f t="shared" si="36"/>
        <v>9</v>
      </c>
      <c r="AA429" s="11">
        <v>0</v>
      </c>
      <c r="AB429" s="11">
        <v>-2</v>
      </c>
      <c r="AC429" s="11">
        <v>0</v>
      </c>
      <c r="AD429" s="11">
        <v>0</v>
      </c>
      <c r="AE429" s="11">
        <v>0</v>
      </c>
      <c r="AF429" s="11">
        <f t="shared" si="31"/>
        <v>0.42</v>
      </c>
      <c r="AG429" s="11">
        <f t="shared" si="32"/>
        <v>7.42</v>
      </c>
      <c r="AH429" t="s">
        <v>51</v>
      </c>
    </row>
    <row r="430" spans="1:34" ht="15" customHeight="1" x14ac:dyDescent="0.25">
      <c r="A430">
        <v>7547676</v>
      </c>
      <c r="B430" t="s">
        <v>34</v>
      </c>
      <c r="C430" t="s">
        <v>35</v>
      </c>
      <c r="D430" s="6" t="s">
        <v>34</v>
      </c>
      <c r="E430" t="s">
        <v>1363</v>
      </c>
      <c r="F430" t="s">
        <v>37</v>
      </c>
      <c r="G430" t="s">
        <v>38</v>
      </c>
      <c r="H430" t="s">
        <v>1364</v>
      </c>
      <c r="I430" t="s">
        <v>40</v>
      </c>
      <c r="J430">
        <v>2</v>
      </c>
      <c r="K430" t="s">
        <v>41</v>
      </c>
      <c r="L430" t="s">
        <v>42</v>
      </c>
      <c r="M430" t="s">
        <v>43</v>
      </c>
      <c r="N430" s="7">
        <v>1</v>
      </c>
      <c r="O430" s="8">
        <v>45507.637696759259</v>
      </c>
      <c r="P430" s="9">
        <v>45509</v>
      </c>
      <c r="Q430" t="s">
        <v>44</v>
      </c>
      <c r="R430" t="s">
        <v>45</v>
      </c>
      <c r="S430" t="s">
        <v>1181</v>
      </c>
      <c r="T430" t="s">
        <v>54</v>
      </c>
      <c r="U430" t="s">
        <v>1365</v>
      </c>
      <c r="V430">
        <v>83700</v>
      </c>
      <c r="W430" t="s">
        <v>45</v>
      </c>
      <c r="X430" t="s">
        <v>69</v>
      </c>
      <c r="Y430" t="s">
        <v>50</v>
      </c>
      <c r="Z430" s="10">
        <f t="shared" si="36"/>
        <v>9</v>
      </c>
      <c r="AA430" s="11">
        <v>0</v>
      </c>
      <c r="AB430" s="11">
        <v>-2</v>
      </c>
      <c r="AC430" s="11">
        <v>0</v>
      </c>
      <c r="AD430" s="11">
        <v>0</v>
      </c>
      <c r="AE430" s="11">
        <v>0</v>
      </c>
      <c r="AF430" s="11">
        <f t="shared" si="31"/>
        <v>0.42</v>
      </c>
      <c r="AG430" s="11">
        <f t="shared" si="32"/>
        <v>7.42</v>
      </c>
      <c r="AH430" t="s">
        <v>51</v>
      </c>
    </row>
    <row r="431" spans="1:34" ht="15" customHeight="1" x14ac:dyDescent="0.25">
      <c r="A431">
        <v>7547676</v>
      </c>
      <c r="B431" t="s">
        <v>34</v>
      </c>
      <c r="C431" t="s">
        <v>35</v>
      </c>
      <c r="D431" s="6" t="s">
        <v>34</v>
      </c>
      <c r="E431" t="s">
        <v>1366</v>
      </c>
      <c r="F431" t="s">
        <v>37</v>
      </c>
      <c r="G431" t="s">
        <v>38</v>
      </c>
      <c r="H431" t="s">
        <v>454</v>
      </c>
      <c r="I431" t="s">
        <v>40</v>
      </c>
      <c r="J431">
        <v>2</v>
      </c>
      <c r="K431" t="s">
        <v>41</v>
      </c>
      <c r="L431" t="s">
        <v>42</v>
      </c>
      <c r="M431" t="s">
        <v>43</v>
      </c>
      <c r="N431" s="7">
        <v>6</v>
      </c>
      <c r="O431" s="8">
        <v>45503.721226851849</v>
      </c>
      <c r="P431" s="9">
        <v>45506</v>
      </c>
      <c r="Q431" t="s">
        <v>44</v>
      </c>
      <c r="R431" t="s">
        <v>45</v>
      </c>
      <c r="S431" t="s">
        <v>1181</v>
      </c>
      <c r="T431" t="s">
        <v>54</v>
      </c>
      <c r="U431" t="s">
        <v>1367</v>
      </c>
      <c r="V431">
        <v>81750</v>
      </c>
      <c r="W431" t="s">
        <v>45</v>
      </c>
      <c r="X431" t="s">
        <v>65</v>
      </c>
      <c r="Y431" t="s">
        <v>50</v>
      </c>
      <c r="Z431" s="10">
        <f t="shared" si="36"/>
        <v>13</v>
      </c>
      <c r="AA431" s="11">
        <v>0</v>
      </c>
      <c r="AB431" s="11">
        <v>-2</v>
      </c>
      <c r="AC431" s="11">
        <v>0</v>
      </c>
      <c r="AD431" s="11">
        <v>0</v>
      </c>
      <c r="AE431" s="11">
        <v>0</v>
      </c>
      <c r="AF431" s="11">
        <f t="shared" si="31"/>
        <v>0.65999999999999992</v>
      </c>
      <c r="AG431" s="11">
        <f t="shared" si="32"/>
        <v>11.66</v>
      </c>
      <c r="AH431" t="s">
        <v>51</v>
      </c>
    </row>
    <row r="432" spans="1:34" ht="15" customHeight="1" x14ac:dyDescent="0.25">
      <c r="A432">
        <v>7547676</v>
      </c>
      <c r="B432" t="s">
        <v>34</v>
      </c>
      <c r="C432" t="s">
        <v>35</v>
      </c>
      <c r="D432" s="6" t="s">
        <v>34</v>
      </c>
      <c r="E432" t="s">
        <v>1368</v>
      </c>
      <c r="F432" t="s">
        <v>37</v>
      </c>
      <c r="G432" t="s">
        <v>38</v>
      </c>
      <c r="H432" t="s">
        <v>1369</v>
      </c>
      <c r="I432" t="s">
        <v>40</v>
      </c>
      <c r="J432">
        <v>2</v>
      </c>
      <c r="K432" t="s">
        <v>41</v>
      </c>
      <c r="L432" t="s">
        <v>42</v>
      </c>
      <c r="M432" t="s">
        <v>43</v>
      </c>
      <c r="N432" s="7">
        <v>5</v>
      </c>
      <c r="O432" s="8">
        <v>45504.689363425925</v>
      </c>
      <c r="P432" s="9">
        <v>45506</v>
      </c>
      <c r="Q432" t="s">
        <v>44</v>
      </c>
      <c r="R432" t="s">
        <v>45</v>
      </c>
      <c r="S432" t="s">
        <v>1181</v>
      </c>
      <c r="T432" t="s">
        <v>47</v>
      </c>
      <c r="U432" t="s">
        <v>1370</v>
      </c>
      <c r="V432">
        <v>30450</v>
      </c>
      <c r="W432" t="s">
        <v>45</v>
      </c>
      <c r="X432" t="s">
        <v>89</v>
      </c>
      <c r="Y432" t="s">
        <v>50</v>
      </c>
      <c r="Z432" s="10">
        <f t="shared" si="36"/>
        <v>12.2</v>
      </c>
      <c r="AA432" s="11">
        <v>0</v>
      </c>
      <c r="AB432" s="11">
        <v>-2</v>
      </c>
      <c r="AC432" s="11">
        <v>0</v>
      </c>
      <c r="AD432" s="11">
        <v>0</v>
      </c>
      <c r="AE432" s="11">
        <v>0</v>
      </c>
      <c r="AF432" s="11">
        <f t="shared" si="31"/>
        <v>0.61199999999999999</v>
      </c>
      <c r="AG432" s="11">
        <f t="shared" si="32"/>
        <v>10.811999999999999</v>
      </c>
      <c r="AH432" t="s">
        <v>51</v>
      </c>
    </row>
    <row r="433" spans="1:34" ht="15" customHeight="1" x14ac:dyDescent="0.25">
      <c r="A433">
        <v>7547676</v>
      </c>
      <c r="B433" t="s">
        <v>34</v>
      </c>
      <c r="C433" t="s">
        <v>35</v>
      </c>
      <c r="D433" s="6" t="s">
        <v>34</v>
      </c>
      <c r="E433" t="s">
        <v>1371</v>
      </c>
      <c r="F433" t="s">
        <v>37</v>
      </c>
      <c r="G433" t="s">
        <v>38</v>
      </c>
      <c r="H433" t="s">
        <v>1372</v>
      </c>
      <c r="I433" t="s">
        <v>40</v>
      </c>
      <c r="J433">
        <v>2</v>
      </c>
      <c r="K433" t="s">
        <v>41</v>
      </c>
      <c r="L433" t="s">
        <v>42</v>
      </c>
      <c r="M433" t="s">
        <v>43</v>
      </c>
      <c r="N433" s="7">
        <v>7</v>
      </c>
      <c r="O433" s="8">
        <v>45504.814016203702</v>
      </c>
      <c r="P433" s="9">
        <v>45506</v>
      </c>
      <c r="Q433" t="s">
        <v>44</v>
      </c>
      <c r="R433" t="s">
        <v>45</v>
      </c>
      <c r="S433" t="s">
        <v>1181</v>
      </c>
      <c r="T433" t="s">
        <v>92</v>
      </c>
      <c r="U433" t="s">
        <v>1373</v>
      </c>
      <c r="V433">
        <v>62050</v>
      </c>
      <c r="W433" t="s">
        <v>45</v>
      </c>
      <c r="X433" t="s">
        <v>232</v>
      </c>
      <c r="Y433" t="s">
        <v>50</v>
      </c>
      <c r="Z433" s="10">
        <f t="shared" si="36"/>
        <v>13.8</v>
      </c>
      <c r="AA433" s="11">
        <v>0</v>
      </c>
      <c r="AB433" s="11">
        <v>-2</v>
      </c>
      <c r="AC433" s="11">
        <v>0</v>
      </c>
      <c r="AD433" s="11">
        <v>0</v>
      </c>
      <c r="AE433" s="11">
        <v>0</v>
      </c>
      <c r="AF433" s="11">
        <f t="shared" si="31"/>
        <v>0.70799999999999996</v>
      </c>
      <c r="AG433" s="11">
        <f t="shared" si="32"/>
        <v>12.508000000000001</v>
      </c>
      <c r="AH433" t="s">
        <v>51</v>
      </c>
    </row>
    <row r="434" spans="1:34" ht="15" customHeight="1" x14ac:dyDescent="0.25">
      <c r="A434">
        <v>7547676</v>
      </c>
      <c r="B434" t="s">
        <v>34</v>
      </c>
      <c r="C434" t="s">
        <v>35</v>
      </c>
      <c r="D434" s="6" t="s">
        <v>34</v>
      </c>
      <c r="E434" t="s">
        <v>1374</v>
      </c>
      <c r="F434" t="s">
        <v>37</v>
      </c>
      <c r="G434" t="s">
        <v>38</v>
      </c>
      <c r="H434" t="s">
        <v>1375</v>
      </c>
      <c r="I434" t="s">
        <v>40</v>
      </c>
      <c r="J434">
        <v>2</v>
      </c>
      <c r="K434" t="s">
        <v>41</v>
      </c>
      <c r="L434" t="s">
        <v>42</v>
      </c>
      <c r="M434" t="s">
        <v>43</v>
      </c>
      <c r="N434" s="7">
        <v>4</v>
      </c>
      <c r="O434" s="8">
        <v>45508.577199074076</v>
      </c>
      <c r="P434" s="9">
        <v>45509</v>
      </c>
      <c r="Q434" t="s">
        <v>44</v>
      </c>
      <c r="R434" t="s">
        <v>45</v>
      </c>
      <c r="S434" t="s">
        <v>1181</v>
      </c>
      <c r="T434" t="s">
        <v>223</v>
      </c>
      <c r="U434" t="s">
        <v>1376</v>
      </c>
      <c r="V434">
        <v>26300</v>
      </c>
      <c r="W434" t="s">
        <v>45</v>
      </c>
      <c r="X434" t="s">
        <v>1377</v>
      </c>
      <c r="Y434" t="s">
        <v>50</v>
      </c>
      <c r="Z434" s="10">
        <f t="shared" si="36"/>
        <v>11.4</v>
      </c>
      <c r="AA434" s="11">
        <v>0</v>
      </c>
      <c r="AB434" s="11">
        <v>-2</v>
      </c>
      <c r="AC434" s="11">
        <v>0</v>
      </c>
      <c r="AD434" s="11">
        <v>0</v>
      </c>
      <c r="AE434" s="11">
        <v>0</v>
      </c>
      <c r="AF434" s="11">
        <f t="shared" si="31"/>
        <v>0.56399999999999995</v>
      </c>
      <c r="AG434" s="11">
        <f t="shared" si="32"/>
        <v>9.9640000000000004</v>
      </c>
      <c r="AH434" t="s">
        <v>51</v>
      </c>
    </row>
    <row r="435" spans="1:34" ht="15" customHeight="1" x14ac:dyDescent="0.25">
      <c r="A435">
        <v>7547676</v>
      </c>
      <c r="B435" t="s">
        <v>34</v>
      </c>
      <c r="C435" t="s">
        <v>35</v>
      </c>
      <c r="D435" s="6" t="s">
        <v>34</v>
      </c>
      <c r="E435" t="s">
        <v>1378</v>
      </c>
      <c r="F435" t="s">
        <v>37</v>
      </c>
      <c r="G435" t="s">
        <v>38</v>
      </c>
      <c r="H435" t="s">
        <v>1379</v>
      </c>
      <c r="I435" t="s">
        <v>40</v>
      </c>
      <c r="J435">
        <v>2</v>
      </c>
      <c r="K435" t="s">
        <v>41</v>
      </c>
      <c r="L435" t="s">
        <v>42</v>
      </c>
      <c r="M435" t="s">
        <v>43</v>
      </c>
      <c r="N435" s="7">
        <v>1</v>
      </c>
      <c r="O435" s="8">
        <v>45508.697997685187</v>
      </c>
      <c r="P435" s="9">
        <v>45509</v>
      </c>
      <c r="Q435" t="s">
        <v>44</v>
      </c>
      <c r="R435" t="s">
        <v>45</v>
      </c>
      <c r="S435" t="s">
        <v>1181</v>
      </c>
      <c r="T435" t="s">
        <v>223</v>
      </c>
      <c r="U435" t="s">
        <v>1380</v>
      </c>
      <c r="V435">
        <v>26100</v>
      </c>
      <c r="W435" t="s">
        <v>45</v>
      </c>
      <c r="X435" t="s">
        <v>225</v>
      </c>
      <c r="Y435" t="s">
        <v>50</v>
      </c>
      <c r="Z435" s="10">
        <f t="shared" si="36"/>
        <v>9</v>
      </c>
      <c r="AA435" s="11">
        <v>0</v>
      </c>
      <c r="AB435" s="11">
        <v>-2</v>
      </c>
      <c r="AC435" s="11">
        <v>0</v>
      </c>
      <c r="AD435" s="11">
        <v>0</v>
      </c>
      <c r="AE435" s="11">
        <v>0</v>
      </c>
      <c r="AF435" s="11">
        <f t="shared" si="31"/>
        <v>0.42</v>
      </c>
      <c r="AG435" s="11">
        <f t="shared" si="32"/>
        <v>7.42</v>
      </c>
      <c r="AH435" t="s">
        <v>51</v>
      </c>
    </row>
    <row r="436" spans="1:34" ht="15" customHeight="1" x14ac:dyDescent="0.25">
      <c r="A436">
        <v>7547676</v>
      </c>
      <c r="B436" t="s">
        <v>34</v>
      </c>
      <c r="C436" t="s">
        <v>35</v>
      </c>
      <c r="D436" s="6" t="s">
        <v>34</v>
      </c>
      <c r="E436" t="s">
        <v>1381</v>
      </c>
      <c r="F436" t="s">
        <v>37</v>
      </c>
      <c r="G436" t="s">
        <v>38</v>
      </c>
      <c r="H436" t="s">
        <v>1382</v>
      </c>
      <c r="I436" t="s">
        <v>40</v>
      </c>
      <c r="J436">
        <v>2</v>
      </c>
      <c r="K436" t="s">
        <v>41</v>
      </c>
      <c r="L436" t="s">
        <v>42</v>
      </c>
      <c r="M436" t="s">
        <v>43</v>
      </c>
      <c r="N436" s="7">
        <v>1</v>
      </c>
      <c r="O436" s="8">
        <v>45507.549884259257</v>
      </c>
      <c r="P436" s="9">
        <v>45509</v>
      </c>
      <c r="Q436" t="s">
        <v>44</v>
      </c>
      <c r="R436" t="s">
        <v>45</v>
      </c>
      <c r="S436" t="s">
        <v>1181</v>
      </c>
      <c r="T436" t="s">
        <v>92</v>
      </c>
      <c r="U436" t="s">
        <v>1383</v>
      </c>
      <c r="V436">
        <v>41200</v>
      </c>
      <c r="W436" t="s">
        <v>45</v>
      </c>
      <c r="X436" t="s">
        <v>113</v>
      </c>
      <c r="Y436" t="s">
        <v>50</v>
      </c>
      <c r="Z436" s="10">
        <f t="shared" si="36"/>
        <v>9</v>
      </c>
      <c r="AA436" s="11">
        <v>0</v>
      </c>
      <c r="AB436" s="11">
        <v>-2</v>
      </c>
      <c r="AC436" s="11">
        <v>0</v>
      </c>
      <c r="AD436" s="11">
        <v>0</v>
      </c>
      <c r="AE436" s="11">
        <v>0</v>
      </c>
      <c r="AF436" s="11">
        <f t="shared" si="31"/>
        <v>0.42</v>
      </c>
      <c r="AG436" s="11">
        <f t="shared" si="32"/>
        <v>7.42</v>
      </c>
      <c r="AH436" t="s">
        <v>51</v>
      </c>
    </row>
    <row r="437" spans="1:34" ht="15" customHeight="1" x14ac:dyDescent="0.25">
      <c r="A437">
        <v>7547676</v>
      </c>
      <c r="B437" t="s">
        <v>34</v>
      </c>
      <c r="C437" t="s">
        <v>35</v>
      </c>
      <c r="D437" s="6" t="s">
        <v>34</v>
      </c>
      <c r="E437" t="s">
        <v>1384</v>
      </c>
      <c r="F437" t="s">
        <v>37</v>
      </c>
      <c r="G437" t="s">
        <v>38</v>
      </c>
      <c r="H437" t="s">
        <v>1385</v>
      </c>
      <c r="I437" t="s">
        <v>40</v>
      </c>
      <c r="J437">
        <v>2</v>
      </c>
      <c r="K437" t="s">
        <v>41</v>
      </c>
      <c r="L437" t="s">
        <v>42</v>
      </c>
      <c r="M437" t="s">
        <v>43</v>
      </c>
      <c r="N437" s="7">
        <v>1</v>
      </c>
      <c r="O437" s="8">
        <v>45507.495127314818</v>
      </c>
      <c r="P437" s="9">
        <v>45509</v>
      </c>
      <c r="Q437" t="s">
        <v>44</v>
      </c>
      <c r="R437" t="s">
        <v>45</v>
      </c>
      <c r="S437" t="s">
        <v>1181</v>
      </c>
      <c r="T437" t="s">
        <v>54</v>
      </c>
      <c r="U437" t="s">
        <v>1386</v>
      </c>
      <c r="V437">
        <v>86400</v>
      </c>
      <c r="W437" t="s">
        <v>45</v>
      </c>
      <c r="X437" t="s">
        <v>245</v>
      </c>
      <c r="Y437" t="s">
        <v>50</v>
      </c>
      <c r="Z437" s="10">
        <f t="shared" si="36"/>
        <v>9</v>
      </c>
      <c r="AA437" s="11">
        <v>0</v>
      </c>
      <c r="AB437" s="11">
        <v>-2</v>
      </c>
      <c r="AC437" s="11">
        <v>0</v>
      </c>
      <c r="AD437" s="11">
        <v>0</v>
      </c>
      <c r="AE437" s="11">
        <v>0</v>
      </c>
      <c r="AF437" s="11">
        <f t="shared" si="31"/>
        <v>0.42</v>
      </c>
      <c r="AG437" s="11">
        <f t="shared" si="32"/>
        <v>7.42</v>
      </c>
      <c r="AH437" t="s">
        <v>51</v>
      </c>
    </row>
    <row r="438" spans="1:34" ht="15" customHeight="1" x14ac:dyDescent="0.25">
      <c r="A438">
        <v>7547676</v>
      </c>
      <c r="B438" t="s">
        <v>34</v>
      </c>
      <c r="C438" t="s">
        <v>35</v>
      </c>
      <c r="D438" s="6" t="s">
        <v>34</v>
      </c>
      <c r="E438" t="s">
        <v>1387</v>
      </c>
      <c r="F438" t="s">
        <v>37</v>
      </c>
      <c r="G438" t="s">
        <v>38</v>
      </c>
      <c r="H438" t="s">
        <v>1388</v>
      </c>
      <c r="I438" t="s">
        <v>40</v>
      </c>
      <c r="J438">
        <v>2</v>
      </c>
      <c r="K438" t="s">
        <v>41</v>
      </c>
      <c r="L438" t="s">
        <v>42</v>
      </c>
      <c r="M438" t="s">
        <v>43</v>
      </c>
      <c r="N438" s="7">
        <v>1</v>
      </c>
      <c r="O438" s="8">
        <v>45508.585798611108</v>
      </c>
      <c r="P438" s="9">
        <v>45509</v>
      </c>
      <c r="Q438" t="s">
        <v>44</v>
      </c>
      <c r="R438" t="s">
        <v>45</v>
      </c>
      <c r="S438" t="s">
        <v>1181</v>
      </c>
      <c r="T438" t="s">
        <v>72</v>
      </c>
      <c r="U438" t="s">
        <v>1389</v>
      </c>
      <c r="V438">
        <v>24000</v>
      </c>
      <c r="W438" t="s">
        <v>45</v>
      </c>
      <c r="X438" t="s">
        <v>225</v>
      </c>
      <c r="Y438" t="s">
        <v>50</v>
      </c>
      <c r="Z438" s="10">
        <f t="shared" si="36"/>
        <v>9</v>
      </c>
      <c r="AA438" s="11">
        <v>0</v>
      </c>
      <c r="AB438" s="11">
        <v>-2</v>
      </c>
      <c r="AC438" s="11">
        <v>0</v>
      </c>
      <c r="AD438" s="11">
        <v>0</v>
      </c>
      <c r="AE438" s="11">
        <v>0</v>
      </c>
      <c r="AF438" s="11">
        <f t="shared" si="31"/>
        <v>0.42</v>
      </c>
      <c r="AG438" s="11">
        <f t="shared" si="32"/>
        <v>7.42</v>
      </c>
      <c r="AH438" t="s">
        <v>51</v>
      </c>
    </row>
    <row r="439" spans="1:34" ht="15" customHeight="1" x14ac:dyDescent="0.25">
      <c r="A439">
        <v>7547676</v>
      </c>
      <c r="B439" t="s">
        <v>34</v>
      </c>
      <c r="C439" t="s">
        <v>35</v>
      </c>
      <c r="D439" s="6" t="s">
        <v>34</v>
      </c>
      <c r="E439" t="s">
        <v>1390</v>
      </c>
      <c r="F439" t="s">
        <v>37</v>
      </c>
      <c r="G439" t="s">
        <v>38</v>
      </c>
      <c r="H439" t="s">
        <v>1391</v>
      </c>
      <c r="I439" t="s">
        <v>40</v>
      </c>
      <c r="J439">
        <v>2</v>
      </c>
      <c r="K439" t="s">
        <v>41</v>
      </c>
      <c r="L439" t="s">
        <v>42</v>
      </c>
      <c r="M439" t="s">
        <v>43</v>
      </c>
      <c r="N439" s="7">
        <v>1</v>
      </c>
      <c r="O439" s="8">
        <v>45505.584872685184</v>
      </c>
      <c r="P439" s="9">
        <v>45509</v>
      </c>
      <c r="Q439" t="s">
        <v>44</v>
      </c>
      <c r="R439" t="s">
        <v>45</v>
      </c>
      <c r="S439" t="s">
        <v>1181</v>
      </c>
      <c r="T439" t="s">
        <v>129</v>
      </c>
      <c r="U439" t="s">
        <v>1392</v>
      </c>
      <c r="V439">
        <v>72120</v>
      </c>
      <c r="W439" t="s">
        <v>45</v>
      </c>
      <c r="X439" t="s">
        <v>69</v>
      </c>
      <c r="Y439" t="s">
        <v>50</v>
      </c>
      <c r="Z439" s="10">
        <f t="shared" si="36"/>
        <v>9</v>
      </c>
      <c r="AA439" s="11">
        <v>0</v>
      </c>
      <c r="AB439" s="11">
        <v>-2</v>
      </c>
      <c r="AC439" s="11">
        <v>0</v>
      </c>
      <c r="AD439" s="11">
        <v>0</v>
      </c>
      <c r="AE439" s="11">
        <v>0</v>
      </c>
      <c r="AF439" s="11">
        <f t="shared" si="31"/>
        <v>0.42</v>
      </c>
      <c r="AG439" s="11">
        <f t="shared" si="32"/>
        <v>7.42</v>
      </c>
      <c r="AH439" t="s">
        <v>51</v>
      </c>
    </row>
    <row r="440" spans="1:34" ht="15" customHeight="1" x14ac:dyDescent="0.25">
      <c r="A440">
        <v>7547676</v>
      </c>
      <c r="B440" t="s">
        <v>34</v>
      </c>
      <c r="C440" t="s">
        <v>35</v>
      </c>
      <c r="D440" s="6" t="s">
        <v>34</v>
      </c>
      <c r="E440" t="s">
        <v>1393</v>
      </c>
      <c r="F440" t="s">
        <v>37</v>
      </c>
      <c r="G440" t="s">
        <v>38</v>
      </c>
      <c r="H440" t="s">
        <v>1394</v>
      </c>
      <c r="I440" t="s">
        <v>40</v>
      </c>
      <c r="J440">
        <v>2</v>
      </c>
      <c r="K440" t="s">
        <v>41</v>
      </c>
      <c r="L440" t="s">
        <v>42</v>
      </c>
      <c r="M440" t="s">
        <v>43</v>
      </c>
      <c r="N440" s="7">
        <v>1</v>
      </c>
      <c r="O440" s="8">
        <v>45508.494814814818</v>
      </c>
      <c r="P440" s="9">
        <v>45509</v>
      </c>
      <c r="Q440" t="s">
        <v>44</v>
      </c>
      <c r="R440" t="s">
        <v>45</v>
      </c>
      <c r="S440" t="s">
        <v>1181</v>
      </c>
      <c r="T440" t="s">
        <v>129</v>
      </c>
      <c r="U440" t="s">
        <v>1395</v>
      </c>
      <c r="V440">
        <v>72000</v>
      </c>
      <c r="W440" t="s">
        <v>45</v>
      </c>
      <c r="X440" t="s">
        <v>278</v>
      </c>
      <c r="Y440" t="s">
        <v>50</v>
      </c>
      <c r="Z440" s="10">
        <f t="shared" si="36"/>
        <v>9</v>
      </c>
      <c r="AA440" s="11">
        <v>0</v>
      </c>
      <c r="AB440" s="11">
        <v>-2</v>
      </c>
      <c r="AC440" s="11">
        <v>0</v>
      </c>
      <c r="AD440" s="11">
        <v>0</v>
      </c>
      <c r="AE440" s="11">
        <v>0</v>
      </c>
      <c r="AF440" s="11">
        <f t="shared" si="31"/>
        <v>0.42</v>
      </c>
      <c r="AG440" s="11">
        <f t="shared" si="32"/>
        <v>7.42</v>
      </c>
      <c r="AH440" t="s">
        <v>51</v>
      </c>
    </row>
    <row r="441" spans="1:34" ht="15" customHeight="1" x14ac:dyDescent="0.25">
      <c r="A441">
        <v>7547676</v>
      </c>
      <c r="B441" t="s">
        <v>34</v>
      </c>
      <c r="C441" t="s">
        <v>35</v>
      </c>
      <c r="D441" s="6" t="s">
        <v>34</v>
      </c>
      <c r="E441" t="s">
        <v>1396</v>
      </c>
      <c r="F441" t="s">
        <v>37</v>
      </c>
      <c r="G441" t="s">
        <v>38</v>
      </c>
      <c r="H441" t="s">
        <v>102</v>
      </c>
      <c r="I441" t="s">
        <v>40</v>
      </c>
      <c r="J441">
        <v>2</v>
      </c>
      <c r="K441" t="s">
        <v>41</v>
      </c>
      <c r="L441" t="s">
        <v>42</v>
      </c>
      <c r="M441" t="s">
        <v>43</v>
      </c>
      <c r="N441" s="7">
        <v>1</v>
      </c>
      <c r="O441" s="8">
        <v>45508.661469907405</v>
      </c>
      <c r="P441" s="9">
        <v>45509</v>
      </c>
      <c r="Q441" t="s">
        <v>44</v>
      </c>
      <c r="R441" t="s">
        <v>45</v>
      </c>
      <c r="S441" t="s">
        <v>1181</v>
      </c>
      <c r="T441" t="s">
        <v>92</v>
      </c>
      <c r="U441" t="s">
        <v>103</v>
      </c>
      <c r="V441">
        <v>40000</v>
      </c>
      <c r="W441" t="s">
        <v>45</v>
      </c>
      <c r="X441" t="s">
        <v>69</v>
      </c>
      <c r="Y441" t="s">
        <v>50</v>
      </c>
      <c r="Z441" s="10">
        <f t="shared" si="36"/>
        <v>9</v>
      </c>
      <c r="AA441" s="11">
        <v>0</v>
      </c>
      <c r="AB441" s="11">
        <v>-2</v>
      </c>
      <c r="AC441" s="11">
        <v>0</v>
      </c>
      <c r="AD441" s="11">
        <v>0</v>
      </c>
      <c r="AE441" s="11">
        <v>0</v>
      </c>
      <c r="AF441" s="11">
        <f t="shared" si="31"/>
        <v>0.42</v>
      </c>
      <c r="AG441" s="11">
        <f t="shared" si="32"/>
        <v>7.42</v>
      </c>
      <c r="AH441" t="s">
        <v>51</v>
      </c>
    </row>
    <row r="442" spans="1:34" ht="15" customHeight="1" x14ac:dyDescent="0.25">
      <c r="A442">
        <v>7547676</v>
      </c>
      <c r="B442" t="s">
        <v>34</v>
      </c>
      <c r="C442" t="s">
        <v>35</v>
      </c>
      <c r="D442" s="6" t="s">
        <v>34</v>
      </c>
      <c r="E442" t="s">
        <v>1397</v>
      </c>
      <c r="F442" t="s">
        <v>37</v>
      </c>
      <c r="G442" t="s">
        <v>38</v>
      </c>
      <c r="H442" t="s">
        <v>1398</v>
      </c>
      <c r="I442" t="s">
        <v>40</v>
      </c>
      <c r="J442">
        <v>2</v>
      </c>
      <c r="K442" t="s">
        <v>41</v>
      </c>
      <c r="L442" t="s">
        <v>42</v>
      </c>
      <c r="M442" t="s">
        <v>43</v>
      </c>
      <c r="N442" s="7">
        <v>2</v>
      </c>
      <c r="O442" s="8">
        <v>45507.568136574075</v>
      </c>
      <c r="P442" s="9">
        <v>45509</v>
      </c>
      <c r="Q442" t="s">
        <v>44</v>
      </c>
      <c r="R442" t="s">
        <v>45</v>
      </c>
      <c r="S442" t="s">
        <v>1181</v>
      </c>
      <c r="T442" t="s">
        <v>54</v>
      </c>
      <c r="U442" t="s">
        <v>1399</v>
      </c>
      <c r="V442">
        <v>81750</v>
      </c>
      <c r="W442" t="s">
        <v>45</v>
      </c>
      <c r="X442" t="s">
        <v>65</v>
      </c>
      <c r="Y442" t="s">
        <v>50</v>
      </c>
      <c r="Z442" s="10">
        <f t="shared" si="36"/>
        <v>9.8000000000000007</v>
      </c>
      <c r="AA442" s="11">
        <v>0</v>
      </c>
      <c r="AB442" s="11">
        <v>-2</v>
      </c>
      <c r="AC442" s="11">
        <v>0</v>
      </c>
      <c r="AD442" s="11">
        <v>0</v>
      </c>
      <c r="AE442" s="11">
        <v>0</v>
      </c>
      <c r="AF442" s="11">
        <f t="shared" si="31"/>
        <v>0.46800000000000003</v>
      </c>
      <c r="AG442" s="11">
        <f t="shared" si="32"/>
        <v>8.2680000000000007</v>
      </c>
      <c r="AH442" t="s">
        <v>51</v>
      </c>
    </row>
    <row r="443" spans="1:34" ht="15" customHeight="1" x14ac:dyDescent="0.25">
      <c r="A443">
        <v>7547676</v>
      </c>
      <c r="B443" t="s">
        <v>34</v>
      </c>
      <c r="C443" t="s">
        <v>35</v>
      </c>
      <c r="D443" s="6" t="s">
        <v>34</v>
      </c>
      <c r="E443" t="s">
        <v>1400</v>
      </c>
      <c r="F443" t="s">
        <v>37</v>
      </c>
      <c r="G443" t="s">
        <v>38</v>
      </c>
      <c r="H443" t="s">
        <v>1401</v>
      </c>
      <c r="I443" t="s">
        <v>40</v>
      </c>
      <c r="J443">
        <v>2</v>
      </c>
      <c r="K443" t="s">
        <v>41</v>
      </c>
      <c r="L443" t="s">
        <v>42</v>
      </c>
      <c r="M443" t="s">
        <v>43</v>
      </c>
      <c r="N443" s="7">
        <v>1</v>
      </c>
      <c r="O443" s="8">
        <v>45507.836747685185</v>
      </c>
      <c r="P443" s="9">
        <v>45509</v>
      </c>
      <c r="Q443" t="s">
        <v>44</v>
      </c>
      <c r="R443" t="s">
        <v>45</v>
      </c>
      <c r="S443" t="s">
        <v>1181</v>
      </c>
      <c r="T443" t="s">
        <v>92</v>
      </c>
      <c r="U443" t="s">
        <v>1402</v>
      </c>
      <c r="V443">
        <v>43000</v>
      </c>
      <c r="W443" t="s">
        <v>45</v>
      </c>
      <c r="X443" t="s">
        <v>1403</v>
      </c>
      <c r="Y443" t="s">
        <v>50</v>
      </c>
      <c r="Z443" s="10">
        <f t="shared" si="36"/>
        <v>9</v>
      </c>
      <c r="AA443" s="11">
        <v>0</v>
      </c>
      <c r="AB443" s="11">
        <v>-2</v>
      </c>
      <c r="AC443" s="11">
        <v>0</v>
      </c>
      <c r="AD443" s="11">
        <v>0</v>
      </c>
      <c r="AE443" s="11">
        <v>0</v>
      </c>
      <c r="AF443" s="11">
        <f t="shared" si="31"/>
        <v>0.42</v>
      </c>
      <c r="AG443" s="11">
        <f t="shared" si="32"/>
        <v>7.42</v>
      </c>
      <c r="AH443" t="s">
        <v>51</v>
      </c>
    </row>
    <row r="444" spans="1:34" ht="15" customHeight="1" x14ac:dyDescent="0.25">
      <c r="A444">
        <v>7547676</v>
      </c>
      <c r="B444" t="s">
        <v>34</v>
      </c>
      <c r="C444" t="s">
        <v>35</v>
      </c>
      <c r="D444" s="6" t="s">
        <v>34</v>
      </c>
      <c r="E444" t="s">
        <v>1404</v>
      </c>
      <c r="F444" t="s">
        <v>37</v>
      </c>
      <c r="G444" t="s">
        <v>38</v>
      </c>
      <c r="H444" t="s">
        <v>425</v>
      </c>
      <c r="I444" t="s">
        <v>40</v>
      </c>
      <c r="J444">
        <v>2</v>
      </c>
      <c r="K444" t="s">
        <v>41</v>
      </c>
      <c r="L444" t="s">
        <v>42</v>
      </c>
      <c r="M444" t="s">
        <v>43</v>
      </c>
      <c r="N444" s="7">
        <v>11</v>
      </c>
      <c r="O444" s="8">
        <v>45507.521157407406</v>
      </c>
      <c r="P444" s="9">
        <v>45509</v>
      </c>
      <c r="Q444" t="s">
        <v>44</v>
      </c>
      <c r="R444" t="s">
        <v>45</v>
      </c>
      <c r="S444" t="s">
        <v>1181</v>
      </c>
      <c r="T444" t="s">
        <v>223</v>
      </c>
      <c r="U444" t="s">
        <v>426</v>
      </c>
      <c r="V444">
        <v>39100</v>
      </c>
      <c r="W444" t="s">
        <v>45</v>
      </c>
      <c r="X444" t="s">
        <v>427</v>
      </c>
      <c r="Y444" t="s">
        <v>50</v>
      </c>
      <c r="Z444" s="10">
        <f t="shared" si="36"/>
        <v>17</v>
      </c>
      <c r="AA444" s="11">
        <v>0</v>
      </c>
      <c r="AB444" s="11">
        <v>-2</v>
      </c>
      <c r="AC444" s="11">
        <v>0</v>
      </c>
      <c r="AD444" s="11">
        <v>0</v>
      </c>
      <c r="AE444" s="11">
        <v>0</v>
      </c>
      <c r="AF444" s="11">
        <f t="shared" si="31"/>
        <v>0.89999999999999991</v>
      </c>
      <c r="AG444" s="11">
        <f t="shared" si="32"/>
        <v>15.9</v>
      </c>
      <c r="AH444" t="s">
        <v>51</v>
      </c>
    </row>
    <row r="445" spans="1:34" ht="15" customHeight="1" x14ac:dyDescent="0.25">
      <c r="A445">
        <v>7547676</v>
      </c>
      <c r="B445" t="s">
        <v>34</v>
      </c>
      <c r="C445" t="s">
        <v>35</v>
      </c>
      <c r="D445" s="6" t="s">
        <v>34</v>
      </c>
      <c r="E445" t="s">
        <v>1405</v>
      </c>
      <c r="F445" t="s">
        <v>37</v>
      </c>
      <c r="G445" t="s">
        <v>38</v>
      </c>
      <c r="H445" t="s">
        <v>1406</v>
      </c>
      <c r="I445" t="s">
        <v>40</v>
      </c>
      <c r="J445">
        <v>2</v>
      </c>
      <c r="K445" t="s">
        <v>41</v>
      </c>
      <c r="L445" t="s">
        <v>42</v>
      </c>
      <c r="M445" t="s">
        <v>43</v>
      </c>
      <c r="N445" s="7">
        <v>1</v>
      </c>
      <c r="O445" s="8">
        <v>45507.825960648152</v>
      </c>
      <c r="P445" s="9">
        <v>45509</v>
      </c>
      <c r="Q445" t="s">
        <v>44</v>
      </c>
      <c r="R445" t="s">
        <v>45</v>
      </c>
      <c r="S445" t="s">
        <v>1181</v>
      </c>
      <c r="T445" t="s">
        <v>72</v>
      </c>
      <c r="U445" t="s">
        <v>1407</v>
      </c>
      <c r="V445">
        <v>23000</v>
      </c>
      <c r="W445" t="s">
        <v>45</v>
      </c>
      <c r="X445" t="s">
        <v>139</v>
      </c>
      <c r="Y445" t="s">
        <v>50</v>
      </c>
      <c r="Z445" s="10">
        <f t="shared" si="36"/>
        <v>9</v>
      </c>
      <c r="AA445" s="11">
        <v>0</v>
      </c>
      <c r="AB445" s="11">
        <v>-2</v>
      </c>
      <c r="AC445" s="11">
        <v>0</v>
      </c>
      <c r="AD445" s="11">
        <v>0</v>
      </c>
      <c r="AE445" s="11">
        <v>0</v>
      </c>
      <c r="AF445" s="11">
        <f t="shared" si="31"/>
        <v>0.42</v>
      </c>
      <c r="AG445" s="11">
        <f t="shared" si="32"/>
        <v>7.42</v>
      </c>
      <c r="AH445" t="s">
        <v>51</v>
      </c>
    </row>
    <row r="446" spans="1:34" ht="15" customHeight="1" x14ac:dyDescent="0.25">
      <c r="A446">
        <v>7547676</v>
      </c>
      <c r="B446" t="s">
        <v>34</v>
      </c>
      <c r="C446" t="s">
        <v>35</v>
      </c>
      <c r="D446" s="6" t="s">
        <v>34</v>
      </c>
      <c r="E446" t="s">
        <v>1408</v>
      </c>
      <c r="F446" t="s">
        <v>37</v>
      </c>
      <c r="G446" t="s">
        <v>38</v>
      </c>
      <c r="H446" t="s">
        <v>1409</v>
      </c>
      <c r="I446" t="s">
        <v>40</v>
      </c>
      <c r="J446">
        <v>2</v>
      </c>
      <c r="K446" t="s">
        <v>41</v>
      </c>
      <c r="L446" t="s">
        <v>42</v>
      </c>
      <c r="M446" t="s">
        <v>43</v>
      </c>
      <c r="N446" s="7">
        <v>1</v>
      </c>
      <c r="O446" s="8">
        <v>45508.468310185184</v>
      </c>
      <c r="P446" s="9">
        <v>45509</v>
      </c>
      <c r="Q446" t="s">
        <v>44</v>
      </c>
      <c r="R446" t="s">
        <v>45</v>
      </c>
      <c r="S446" t="s">
        <v>1181</v>
      </c>
      <c r="T446" t="s">
        <v>92</v>
      </c>
      <c r="U446" t="s">
        <v>1410</v>
      </c>
      <c r="V446">
        <v>40460</v>
      </c>
      <c r="W446" t="s">
        <v>45</v>
      </c>
      <c r="X446" t="s">
        <v>264</v>
      </c>
      <c r="Y446" t="s">
        <v>50</v>
      </c>
      <c r="Z446" s="10">
        <f t="shared" si="36"/>
        <v>9</v>
      </c>
      <c r="AA446" s="11">
        <v>0</v>
      </c>
      <c r="AB446" s="11">
        <v>-2</v>
      </c>
      <c r="AC446" s="11">
        <v>0</v>
      </c>
      <c r="AD446" s="11">
        <v>0</v>
      </c>
      <c r="AE446" s="11">
        <v>0</v>
      </c>
      <c r="AF446" s="11">
        <f t="shared" si="31"/>
        <v>0.42</v>
      </c>
      <c r="AG446" s="11">
        <f t="shared" si="32"/>
        <v>7.42</v>
      </c>
      <c r="AH446" t="s">
        <v>51</v>
      </c>
    </row>
    <row r="447" spans="1:34" ht="15" customHeight="1" x14ac:dyDescent="0.25">
      <c r="A447">
        <v>7547676</v>
      </c>
      <c r="B447" t="s">
        <v>34</v>
      </c>
      <c r="C447" t="s">
        <v>35</v>
      </c>
      <c r="D447" s="6" t="s">
        <v>34</v>
      </c>
      <c r="E447" t="s">
        <v>1411</v>
      </c>
      <c r="F447" t="s">
        <v>37</v>
      </c>
      <c r="G447" t="s">
        <v>38</v>
      </c>
      <c r="H447" t="s">
        <v>1412</v>
      </c>
      <c r="I447" t="s">
        <v>40</v>
      </c>
      <c r="J447">
        <v>2</v>
      </c>
      <c r="K447" t="s">
        <v>41</v>
      </c>
      <c r="L447" t="s">
        <v>42</v>
      </c>
      <c r="M447" t="s">
        <v>43</v>
      </c>
      <c r="N447" s="7">
        <v>1</v>
      </c>
      <c r="O447" s="8">
        <v>45507.666909722226</v>
      </c>
      <c r="P447" s="9">
        <v>45509</v>
      </c>
      <c r="Q447" t="s">
        <v>44</v>
      </c>
      <c r="R447" t="s">
        <v>45</v>
      </c>
      <c r="S447" t="s">
        <v>1181</v>
      </c>
      <c r="T447" t="s">
        <v>54</v>
      </c>
      <c r="U447" t="s">
        <v>1413</v>
      </c>
      <c r="V447">
        <v>81100</v>
      </c>
      <c r="W447" t="s">
        <v>45</v>
      </c>
      <c r="X447" t="s">
        <v>370</v>
      </c>
      <c r="Y447" t="s">
        <v>50</v>
      </c>
      <c r="Z447" s="10">
        <f t="shared" si="36"/>
        <v>9</v>
      </c>
      <c r="AA447" s="11">
        <v>0</v>
      </c>
      <c r="AB447" s="11">
        <v>-2</v>
      </c>
      <c r="AC447" s="11">
        <v>0</v>
      </c>
      <c r="AD447" s="11">
        <v>0</v>
      </c>
      <c r="AE447" s="11">
        <v>0</v>
      </c>
      <c r="AF447" s="11">
        <f t="shared" si="31"/>
        <v>0.42</v>
      </c>
      <c r="AG447" s="11">
        <f t="shared" si="32"/>
        <v>7.42</v>
      </c>
      <c r="AH447" t="s">
        <v>51</v>
      </c>
    </row>
    <row r="448" spans="1:34" ht="15" customHeight="1" x14ac:dyDescent="0.25">
      <c r="A448">
        <v>7547676</v>
      </c>
      <c r="B448" t="s">
        <v>34</v>
      </c>
      <c r="C448" t="s">
        <v>35</v>
      </c>
      <c r="D448" s="6" t="s">
        <v>34</v>
      </c>
      <c r="E448" t="s">
        <v>1414</v>
      </c>
      <c r="F448" t="s">
        <v>37</v>
      </c>
      <c r="G448" t="s">
        <v>38</v>
      </c>
      <c r="H448" t="s">
        <v>1415</v>
      </c>
      <c r="I448" t="s">
        <v>40</v>
      </c>
      <c r="J448">
        <v>2</v>
      </c>
      <c r="K448" t="s">
        <v>41</v>
      </c>
      <c r="L448" t="s">
        <v>42</v>
      </c>
      <c r="M448" t="s">
        <v>43</v>
      </c>
      <c r="N448" s="7">
        <v>3</v>
      </c>
      <c r="O448" s="8">
        <v>45508.577199074076</v>
      </c>
      <c r="P448" s="9">
        <v>45509</v>
      </c>
      <c r="Q448" t="s">
        <v>44</v>
      </c>
      <c r="R448" t="s">
        <v>45</v>
      </c>
      <c r="S448" t="s">
        <v>1181</v>
      </c>
      <c r="T448" t="s">
        <v>223</v>
      </c>
      <c r="U448" t="s">
        <v>1416</v>
      </c>
      <c r="V448">
        <v>25200</v>
      </c>
      <c r="W448" t="s">
        <v>45</v>
      </c>
      <c r="X448" t="s">
        <v>1016</v>
      </c>
      <c r="Y448" t="s">
        <v>50</v>
      </c>
      <c r="Z448" s="10">
        <f t="shared" si="36"/>
        <v>10.6</v>
      </c>
      <c r="AA448" s="11">
        <v>0</v>
      </c>
      <c r="AB448" s="11">
        <v>-2</v>
      </c>
      <c r="AC448" s="11">
        <v>0</v>
      </c>
      <c r="AD448" s="11">
        <v>0</v>
      </c>
      <c r="AE448" s="11">
        <v>0</v>
      </c>
      <c r="AF448" s="11">
        <f t="shared" si="31"/>
        <v>0.51600000000000001</v>
      </c>
      <c r="AG448" s="11">
        <f t="shared" si="32"/>
        <v>9.1159999999999997</v>
      </c>
      <c r="AH448" t="s">
        <v>51</v>
      </c>
    </row>
    <row r="449" spans="1:34" ht="15" customHeight="1" x14ac:dyDescent="0.25">
      <c r="A449">
        <v>7547676</v>
      </c>
      <c r="B449" t="s">
        <v>34</v>
      </c>
      <c r="C449" t="s">
        <v>35</v>
      </c>
      <c r="D449" s="6" t="s">
        <v>34</v>
      </c>
      <c r="E449" t="s">
        <v>1417</v>
      </c>
      <c r="F449" t="s">
        <v>37</v>
      </c>
      <c r="G449" t="s">
        <v>38</v>
      </c>
      <c r="H449" t="s">
        <v>1418</v>
      </c>
      <c r="I449" t="s">
        <v>40</v>
      </c>
      <c r="J449">
        <v>2</v>
      </c>
      <c r="K449" t="s">
        <v>41</v>
      </c>
      <c r="L449" t="s">
        <v>42</v>
      </c>
      <c r="M449" t="s">
        <v>43</v>
      </c>
      <c r="N449" s="7">
        <v>1</v>
      </c>
      <c r="O449" s="8">
        <v>45508.641701388886</v>
      </c>
      <c r="P449" s="9">
        <v>45509</v>
      </c>
      <c r="Q449" t="s">
        <v>44</v>
      </c>
      <c r="R449" t="s">
        <v>45</v>
      </c>
      <c r="S449" t="s">
        <v>1181</v>
      </c>
      <c r="T449" t="s">
        <v>92</v>
      </c>
      <c r="U449" t="s">
        <v>1419</v>
      </c>
      <c r="V449">
        <v>43000</v>
      </c>
      <c r="W449" t="s">
        <v>45</v>
      </c>
      <c r="X449" t="s">
        <v>232</v>
      </c>
      <c r="Y449" t="s">
        <v>50</v>
      </c>
      <c r="Z449" s="10">
        <f t="shared" si="36"/>
        <v>9</v>
      </c>
      <c r="AA449" s="11">
        <v>0</v>
      </c>
      <c r="AB449" s="11">
        <v>-2</v>
      </c>
      <c r="AC449" s="11">
        <v>0</v>
      </c>
      <c r="AD449" s="11">
        <v>0</v>
      </c>
      <c r="AE449" s="11">
        <v>0</v>
      </c>
      <c r="AF449" s="11">
        <f t="shared" si="31"/>
        <v>0.42</v>
      </c>
      <c r="AG449" s="11">
        <f t="shared" si="32"/>
        <v>7.42</v>
      </c>
      <c r="AH449" t="s">
        <v>51</v>
      </c>
    </row>
    <row r="450" spans="1:34" ht="15" customHeight="1" x14ac:dyDescent="0.25">
      <c r="A450">
        <v>7547676</v>
      </c>
      <c r="B450" t="s">
        <v>34</v>
      </c>
      <c r="C450" t="s">
        <v>35</v>
      </c>
      <c r="D450" s="6" t="s">
        <v>34</v>
      </c>
      <c r="E450" t="s">
        <v>1420</v>
      </c>
      <c r="F450" t="s">
        <v>37</v>
      </c>
      <c r="G450" t="s">
        <v>38</v>
      </c>
      <c r="H450" t="s">
        <v>1421</v>
      </c>
      <c r="I450" t="s">
        <v>40</v>
      </c>
      <c r="J450">
        <v>2</v>
      </c>
      <c r="K450" t="s">
        <v>41</v>
      </c>
      <c r="L450" t="s">
        <v>42</v>
      </c>
      <c r="M450" t="s">
        <v>43</v>
      </c>
      <c r="N450" s="7">
        <v>2</v>
      </c>
      <c r="O450" s="8">
        <v>45508.650717592594</v>
      </c>
      <c r="P450" s="9">
        <v>45509</v>
      </c>
      <c r="Q450" t="s">
        <v>44</v>
      </c>
      <c r="R450" t="s">
        <v>45</v>
      </c>
      <c r="S450" t="s">
        <v>1181</v>
      </c>
      <c r="T450" t="s">
        <v>146</v>
      </c>
      <c r="U450" t="s">
        <v>1422</v>
      </c>
      <c r="V450">
        <v>50450</v>
      </c>
      <c r="W450" t="s">
        <v>45</v>
      </c>
      <c r="X450" t="s">
        <v>505</v>
      </c>
      <c r="Y450" t="s">
        <v>50</v>
      </c>
      <c r="Z450" s="10">
        <f t="shared" si="36"/>
        <v>9.8000000000000007</v>
      </c>
      <c r="AA450" s="11">
        <v>0</v>
      </c>
      <c r="AB450" s="11">
        <v>-2</v>
      </c>
      <c r="AC450" s="11">
        <v>0</v>
      </c>
      <c r="AD450" s="11">
        <v>0</v>
      </c>
      <c r="AE450" s="11">
        <v>0</v>
      </c>
      <c r="AF450" s="11">
        <f t="shared" ref="AF450:AF513" si="37">(Z450+AB450+AC450+AE450)*6%</f>
        <v>0.46800000000000003</v>
      </c>
      <c r="AG450" s="11">
        <f t="shared" ref="AG450:AG513" si="38">Z450+AB450+AC450+AE450+AF450</f>
        <v>8.2680000000000007</v>
      </c>
      <c r="AH450" t="s">
        <v>51</v>
      </c>
    </row>
    <row r="451" spans="1:34" ht="15" customHeight="1" x14ac:dyDescent="0.25">
      <c r="A451">
        <v>7547676</v>
      </c>
      <c r="B451" t="s">
        <v>34</v>
      </c>
      <c r="C451" t="s">
        <v>35</v>
      </c>
      <c r="D451" s="6" t="s">
        <v>34</v>
      </c>
      <c r="E451" t="s">
        <v>1423</v>
      </c>
      <c r="F451" t="s">
        <v>37</v>
      </c>
      <c r="G451" t="s">
        <v>38</v>
      </c>
      <c r="H451" t="s">
        <v>1424</v>
      </c>
      <c r="I451" t="s">
        <v>40</v>
      </c>
      <c r="J451">
        <v>2</v>
      </c>
      <c r="K451" t="s">
        <v>41</v>
      </c>
      <c r="L451" t="s">
        <v>42</v>
      </c>
      <c r="M451" t="s">
        <v>43</v>
      </c>
      <c r="N451" s="7">
        <v>1</v>
      </c>
      <c r="O451" s="8">
        <v>45508.628564814811</v>
      </c>
      <c r="P451" s="9">
        <v>45509</v>
      </c>
      <c r="Q451" t="s">
        <v>44</v>
      </c>
      <c r="R451" t="s">
        <v>45</v>
      </c>
      <c r="S451" t="s">
        <v>1181</v>
      </c>
      <c r="T451" t="s">
        <v>92</v>
      </c>
      <c r="U451" t="s">
        <v>1425</v>
      </c>
      <c r="V451">
        <v>43500</v>
      </c>
      <c r="W451" t="s">
        <v>45</v>
      </c>
      <c r="X451" t="s">
        <v>157</v>
      </c>
      <c r="Y451" t="s">
        <v>50</v>
      </c>
      <c r="Z451" s="10">
        <f t="shared" si="36"/>
        <v>9</v>
      </c>
      <c r="AA451" s="11">
        <v>0</v>
      </c>
      <c r="AB451" s="11">
        <v>-2</v>
      </c>
      <c r="AC451" s="11">
        <v>0</v>
      </c>
      <c r="AD451" s="11">
        <v>0</v>
      </c>
      <c r="AE451" s="11">
        <v>0</v>
      </c>
      <c r="AF451" s="11">
        <f t="shared" si="37"/>
        <v>0.42</v>
      </c>
      <c r="AG451" s="11">
        <f t="shared" si="38"/>
        <v>7.42</v>
      </c>
      <c r="AH451" t="s">
        <v>51</v>
      </c>
    </row>
    <row r="452" spans="1:34" ht="15" customHeight="1" x14ac:dyDescent="0.25">
      <c r="A452">
        <v>7547676</v>
      </c>
      <c r="B452" t="s">
        <v>34</v>
      </c>
      <c r="C452" t="s">
        <v>35</v>
      </c>
      <c r="D452" s="6" t="s">
        <v>34</v>
      </c>
      <c r="E452" t="s">
        <v>1426</v>
      </c>
      <c r="F452" t="s">
        <v>37</v>
      </c>
      <c r="G452" t="s">
        <v>38</v>
      </c>
      <c r="H452" t="s">
        <v>1427</v>
      </c>
      <c r="I452" t="s">
        <v>40</v>
      </c>
      <c r="J452">
        <v>2</v>
      </c>
      <c r="K452" t="s">
        <v>41</v>
      </c>
      <c r="L452" t="s">
        <v>42</v>
      </c>
      <c r="M452" t="s">
        <v>43</v>
      </c>
      <c r="N452" s="7">
        <v>1</v>
      </c>
      <c r="O452" s="8">
        <v>45504.418946759259</v>
      </c>
      <c r="P452" s="9">
        <v>45509</v>
      </c>
      <c r="Q452" t="s">
        <v>44</v>
      </c>
      <c r="R452" t="s">
        <v>45</v>
      </c>
      <c r="S452" t="s">
        <v>1181</v>
      </c>
      <c r="T452" t="s">
        <v>116</v>
      </c>
      <c r="U452" t="s">
        <v>1428</v>
      </c>
      <c r="V452">
        <v>88300</v>
      </c>
      <c r="W452" t="s">
        <v>118</v>
      </c>
      <c r="X452" t="s">
        <v>69</v>
      </c>
      <c r="Y452" t="s">
        <v>50</v>
      </c>
      <c r="Z452" s="12">
        <f>IF(N452&lt;=1,13,IF(N452&lt;=2,23,IF(N452&lt;=3,35,IF(N452&lt;=4,43,IF(N452&lt;=5,53,IF(N452&lt;=6,63,IF(N452&lt;=7,71,IF(N452&lt;=8,79,IF(N452&lt;=9,87,IF(N452&lt;=10,95,IF(N452&lt;=11,105,IF(N452&lt;=12,114,IF(N452&lt;=13,119,IF(N452&lt;=14,127,IF(N452&lt;=15,135,IF(N452&lt;=16,143,IF(N452&lt;=17,153,IF(N452&lt;=18,163,IF(N452&lt;=19,171,IF(N452&lt;=20,185,IF(N452&lt;=21,193,IF(N452&lt;=22,201,IF(N452&lt;=23,210,IF(N452&lt;=24,220,IF(N452&lt;=25,230,IF(N452&lt;=26,240,IF(N452&lt;=27,250,IF(N452&lt;=28,260,IF(N452&lt;=29,270,IF(N452&lt;=30,280,280+10*ROUNDUP(N452-30,0)))))))))))))))))))))))))))))))</f>
        <v>13</v>
      </c>
      <c r="AA452" s="11">
        <v>0</v>
      </c>
      <c r="AB452" s="11">
        <v>0</v>
      </c>
      <c r="AC452" s="11">
        <v>0</v>
      </c>
      <c r="AD452" s="11">
        <v>0</v>
      </c>
      <c r="AE452" s="11">
        <v>0</v>
      </c>
      <c r="AF452" s="11">
        <f t="shared" si="37"/>
        <v>0.78</v>
      </c>
      <c r="AG452" s="11">
        <f t="shared" si="38"/>
        <v>13.78</v>
      </c>
      <c r="AH452" t="s">
        <v>119</v>
      </c>
    </row>
    <row r="453" spans="1:34" ht="15" customHeight="1" x14ac:dyDescent="0.25">
      <c r="A453">
        <v>7547676</v>
      </c>
      <c r="B453" t="s">
        <v>34</v>
      </c>
      <c r="C453" t="s">
        <v>35</v>
      </c>
      <c r="D453" s="6" t="s">
        <v>34</v>
      </c>
      <c r="E453" t="s">
        <v>1429</v>
      </c>
      <c r="F453" t="s">
        <v>37</v>
      </c>
      <c r="G453" t="s">
        <v>38</v>
      </c>
      <c r="H453" t="s">
        <v>1430</v>
      </c>
      <c r="I453" t="s">
        <v>40</v>
      </c>
      <c r="J453">
        <v>2</v>
      </c>
      <c r="K453" t="s">
        <v>41</v>
      </c>
      <c r="L453" t="s">
        <v>42</v>
      </c>
      <c r="M453" t="s">
        <v>43</v>
      </c>
      <c r="N453" s="7">
        <v>1</v>
      </c>
      <c r="O453" s="8">
        <v>45508.628564814811</v>
      </c>
      <c r="P453" s="9">
        <v>45509</v>
      </c>
      <c r="Q453" t="s">
        <v>44</v>
      </c>
      <c r="R453" t="s">
        <v>45</v>
      </c>
      <c r="S453" t="s">
        <v>1181</v>
      </c>
      <c r="T453" t="s">
        <v>92</v>
      </c>
      <c r="U453" t="s">
        <v>1431</v>
      </c>
      <c r="V453">
        <v>43300</v>
      </c>
      <c r="W453" t="s">
        <v>45</v>
      </c>
      <c r="X453" t="s">
        <v>652</v>
      </c>
      <c r="Y453" t="s">
        <v>50</v>
      </c>
      <c r="Z453" s="10">
        <f t="shared" ref="Z453:Z457" si="39">IF(N453&lt;=1,9,9+0.8*ROUNDUP(N453-1,0))</f>
        <v>9</v>
      </c>
      <c r="AA453" s="11">
        <v>0</v>
      </c>
      <c r="AB453" s="11">
        <v>-2</v>
      </c>
      <c r="AC453" s="11">
        <v>0</v>
      </c>
      <c r="AD453" s="11">
        <v>0</v>
      </c>
      <c r="AE453" s="11">
        <v>0</v>
      </c>
      <c r="AF453" s="11">
        <f t="shared" si="37"/>
        <v>0.42</v>
      </c>
      <c r="AG453" s="11">
        <f t="shared" si="38"/>
        <v>7.42</v>
      </c>
      <c r="AH453" t="s">
        <v>51</v>
      </c>
    </row>
    <row r="454" spans="1:34" ht="15" customHeight="1" x14ac:dyDescent="0.25">
      <c r="A454">
        <v>7547676</v>
      </c>
      <c r="B454" t="s">
        <v>34</v>
      </c>
      <c r="C454" t="s">
        <v>35</v>
      </c>
      <c r="D454" s="6" t="s">
        <v>34</v>
      </c>
      <c r="E454" t="s">
        <v>1432</v>
      </c>
      <c r="F454" t="s">
        <v>37</v>
      </c>
      <c r="G454" t="s">
        <v>38</v>
      </c>
      <c r="H454" t="s">
        <v>1433</v>
      </c>
      <c r="I454" t="s">
        <v>40</v>
      </c>
      <c r="J454">
        <v>2</v>
      </c>
      <c r="K454" t="s">
        <v>41</v>
      </c>
      <c r="L454" t="s">
        <v>42</v>
      </c>
      <c r="M454" t="s">
        <v>43</v>
      </c>
      <c r="N454" s="7">
        <v>1</v>
      </c>
      <c r="O454" s="8">
        <v>45508.703981481478</v>
      </c>
      <c r="P454" s="9">
        <v>45509</v>
      </c>
      <c r="Q454" t="s">
        <v>44</v>
      </c>
      <c r="R454" t="s">
        <v>45</v>
      </c>
      <c r="S454" t="s">
        <v>1181</v>
      </c>
      <c r="T454" t="s">
        <v>92</v>
      </c>
      <c r="U454" t="s">
        <v>1434</v>
      </c>
      <c r="V454">
        <v>48050</v>
      </c>
      <c r="W454" t="s">
        <v>45</v>
      </c>
      <c r="X454" t="s">
        <v>495</v>
      </c>
      <c r="Y454" t="s">
        <v>50</v>
      </c>
      <c r="Z454" s="10">
        <f t="shared" si="39"/>
        <v>9</v>
      </c>
      <c r="AA454" s="11">
        <v>0</v>
      </c>
      <c r="AB454" s="11">
        <v>-2</v>
      </c>
      <c r="AC454" s="11">
        <v>0</v>
      </c>
      <c r="AD454" s="11">
        <v>0</v>
      </c>
      <c r="AE454" s="11">
        <v>0</v>
      </c>
      <c r="AF454" s="11">
        <f t="shared" si="37"/>
        <v>0.42</v>
      </c>
      <c r="AG454" s="11">
        <f t="shared" si="38"/>
        <v>7.42</v>
      </c>
      <c r="AH454" t="s">
        <v>51</v>
      </c>
    </row>
    <row r="455" spans="1:34" ht="15" customHeight="1" x14ac:dyDescent="0.25">
      <c r="A455">
        <v>7547676</v>
      </c>
      <c r="B455" t="s">
        <v>34</v>
      </c>
      <c r="C455" t="s">
        <v>35</v>
      </c>
      <c r="D455" s="6" t="s">
        <v>34</v>
      </c>
      <c r="E455" t="s">
        <v>1435</v>
      </c>
      <c r="F455" t="s">
        <v>37</v>
      </c>
      <c r="G455" t="s">
        <v>38</v>
      </c>
      <c r="H455" t="s">
        <v>1436</v>
      </c>
      <c r="I455" t="s">
        <v>40</v>
      </c>
      <c r="J455">
        <v>2</v>
      </c>
      <c r="K455" t="s">
        <v>41</v>
      </c>
      <c r="L455" t="s">
        <v>42</v>
      </c>
      <c r="M455" t="s">
        <v>43</v>
      </c>
      <c r="N455" s="7">
        <v>1</v>
      </c>
      <c r="O455" s="8">
        <v>45507.836747685185</v>
      </c>
      <c r="P455" s="9">
        <v>45509</v>
      </c>
      <c r="Q455" t="s">
        <v>44</v>
      </c>
      <c r="R455" t="s">
        <v>45</v>
      </c>
      <c r="S455" t="s">
        <v>1181</v>
      </c>
      <c r="T455" t="s">
        <v>223</v>
      </c>
      <c r="U455" t="s">
        <v>1437</v>
      </c>
      <c r="V455">
        <v>28000</v>
      </c>
      <c r="W455" t="s">
        <v>45</v>
      </c>
      <c r="X455" t="s">
        <v>225</v>
      </c>
      <c r="Y455" t="s">
        <v>50</v>
      </c>
      <c r="Z455" s="10">
        <f t="shared" si="39"/>
        <v>9</v>
      </c>
      <c r="AA455" s="11">
        <v>0</v>
      </c>
      <c r="AB455" s="11">
        <v>-2</v>
      </c>
      <c r="AC455" s="11">
        <v>0</v>
      </c>
      <c r="AD455" s="11">
        <v>0</v>
      </c>
      <c r="AE455" s="11">
        <v>0</v>
      </c>
      <c r="AF455" s="11">
        <f t="shared" si="37"/>
        <v>0.42</v>
      </c>
      <c r="AG455" s="11">
        <f t="shared" si="38"/>
        <v>7.42</v>
      </c>
      <c r="AH455" t="s">
        <v>51</v>
      </c>
    </row>
    <row r="456" spans="1:34" ht="15" customHeight="1" x14ac:dyDescent="0.25">
      <c r="A456">
        <v>7547676</v>
      </c>
      <c r="B456" t="s">
        <v>34</v>
      </c>
      <c r="C456" t="s">
        <v>35</v>
      </c>
      <c r="D456" s="6" t="s">
        <v>34</v>
      </c>
      <c r="E456" t="s">
        <v>1438</v>
      </c>
      <c r="F456" t="s">
        <v>37</v>
      </c>
      <c r="G456" t="s">
        <v>38</v>
      </c>
      <c r="H456" t="s">
        <v>1439</v>
      </c>
      <c r="I456" t="s">
        <v>40</v>
      </c>
      <c r="J456">
        <v>2</v>
      </c>
      <c r="K456" t="s">
        <v>41</v>
      </c>
      <c r="L456" t="s">
        <v>42</v>
      </c>
      <c r="M456" t="s">
        <v>43</v>
      </c>
      <c r="N456" s="7">
        <v>1</v>
      </c>
      <c r="O456" s="8">
        <v>45508.628564814811</v>
      </c>
      <c r="P456" s="9">
        <v>45509</v>
      </c>
      <c r="Q456" t="s">
        <v>44</v>
      </c>
      <c r="R456" t="s">
        <v>45</v>
      </c>
      <c r="S456" t="s">
        <v>1181</v>
      </c>
      <c r="T456" t="s">
        <v>92</v>
      </c>
      <c r="U456" t="s">
        <v>1440</v>
      </c>
      <c r="V456">
        <v>40300</v>
      </c>
      <c r="W456" t="s">
        <v>45</v>
      </c>
      <c r="X456" t="s">
        <v>94</v>
      </c>
      <c r="Y456" t="s">
        <v>50</v>
      </c>
      <c r="Z456" s="10">
        <f t="shared" si="39"/>
        <v>9</v>
      </c>
      <c r="AA456" s="11">
        <v>0</v>
      </c>
      <c r="AB456" s="11">
        <v>-2</v>
      </c>
      <c r="AC456" s="11">
        <v>0</v>
      </c>
      <c r="AD456" s="11">
        <v>0</v>
      </c>
      <c r="AE456" s="11">
        <v>0</v>
      </c>
      <c r="AF456" s="11">
        <f t="shared" si="37"/>
        <v>0.42</v>
      </c>
      <c r="AG456" s="11">
        <f t="shared" si="38"/>
        <v>7.42</v>
      </c>
      <c r="AH456" t="s">
        <v>51</v>
      </c>
    </row>
    <row r="457" spans="1:34" ht="15" customHeight="1" x14ac:dyDescent="0.25">
      <c r="A457">
        <v>7547676</v>
      </c>
      <c r="B457" t="s">
        <v>34</v>
      </c>
      <c r="C457" t="s">
        <v>35</v>
      </c>
      <c r="D457" s="6" t="s">
        <v>34</v>
      </c>
      <c r="E457" t="s">
        <v>1441</v>
      </c>
      <c r="F457" t="s">
        <v>37</v>
      </c>
      <c r="G457" t="s">
        <v>38</v>
      </c>
      <c r="H457" t="s">
        <v>1442</v>
      </c>
      <c r="I457" t="s">
        <v>40</v>
      </c>
      <c r="J457">
        <v>2</v>
      </c>
      <c r="K457" t="s">
        <v>41</v>
      </c>
      <c r="L457" t="s">
        <v>42</v>
      </c>
      <c r="M457" t="s">
        <v>43</v>
      </c>
      <c r="N457" s="7">
        <v>1</v>
      </c>
      <c r="O457" s="8">
        <v>45507.626979166664</v>
      </c>
      <c r="P457" s="9">
        <v>45509</v>
      </c>
      <c r="Q457" t="s">
        <v>44</v>
      </c>
      <c r="R457" t="s">
        <v>45</v>
      </c>
      <c r="S457" t="s">
        <v>1181</v>
      </c>
      <c r="T457" t="s">
        <v>59</v>
      </c>
      <c r="U457" t="s">
        <v>1443</v>
      </c>
      <c r="V457">
        <v>13400</v>
      </c>
      <c r="W457" t="s">
        <v>45</v>
      </c>
      <c r="X457" t="s">
        <v>1301</v>
      </c>
      <c r="Y457" t="s">
        <v>50</v>
      </c>
      <c r="Z457" s="10">
        <f t="shared" si="39"/>
        <v>9</v>
      </c>
      <c r="AA457" s="11">
        <v>0</v>
      </c>
      <c r="AB457" s="11">
        <v>-2</v>
      </c>
      <c r="AC457" s="11">
        <v>0</v>
      </c>
      <c r="AD457" s="11">
        <v>0</v>
      </c>
      <c r="AE457" s="11">
        <v>0</v>
      </c>
      <c r="AF457" s="11">
        <f t="shared" si="37"/>
        <v>0.42</v>
      </c>
      <c r="AG457" s="11">
        <f t="shared" si="38"/>
        <v>7.42</v>
      </c>
      <c r="AH457" t="s">
        <v>51</v>
      </c>
    </row>
    <row r="458" spans="1:34" ht="15" customHeight="1" x14ac:dyDescent="0.25">
      <c r="A458">
        <v>7547676</v>
      </c>
      <c r="B458" t="s">
        <v>34</v>
      </c>
      <c r="C458" t="s">
        <v>35</v>
      </c>
      <c r="D458" s="6" t="s">
        <v>34</v>
      </c>
      <c r="E458" t="s">
        <v>1444</v>
      </c>
      <c r="F458" t="s">
        <v>37</v>
      </c>
      <c r="G458" t="s">
        <v>38</v>
      </c>
      <c r="H458" t="s">
        <v>1445</v>
      </c>
      <c r="I458" t="s">
        <v>40</v>
      </c>
      <c r="J458">
        <v>2</v>
      </c>
      <c r="K458" t="s">
        <v>41</v>
      </c>
      <c r="L458" t="s">
        <v>42</v>
      </c>
      <c r="M458" t="s">
        <v>43</v>
      </c>
      <c r="N458" s="7">
        <v>2</v>
      </c>
      <c r="O458" s="8">
        <v>45505.705682870372</v>
      </c>
      <c r="P458" s="9">
        <v>45509</v>
      </c>
      <c r="Q458" t="s">
        <v>44</v>
      </c>
      <c r="R458" t="s">
        <v>45</v>
      </c>
      <c r="S458" t="s">
        <v>1181</v>
      </c>
      <c r="T458" t="s">
        <v>116</v>
      </c>
      <c r="U458" t="s">
        <v>1446</v>
      </c>
      <c r="V458">
        <v>89008</v>
      </c>
      <c r="W458" t="s">
        <v>118</v>
      </c>
      <c r="X458" t="s">
        <v>69</v>
      </c>
      <c r="Y458" t="s">
        <v>50</v>
      </c>
      <c r="Z458" s="12">
        <f>IF(N458&lt;=1,13,IF(N458&lt;=2,23,IF(N458&lt;=3,35,IF(N458&lt;=4,43,IF(N458&lt;=5,53,IF(N458&lt;=6,63,IF(N458&lt;=7,71,IF(N458&lt;=8,79,IF(N458&lt;=9,87,IF(N458&lt;=10,95,IF(N458&lt;=11,105,IF(N458&lt;=12,114,IF(N458&lt;=13,119,IF(N458&lt;=14,127,IF(N458&lt;=15,135,IF(N458&lt;=16,143,IF(N458&lt;=17,153,IF(N458&lt;=18,163,IF(N458&lt;=19,171,IF(N458&lt;=20,185,IF(N458&lt;=21,193,IF(N458&lt;=22,201,IF(N458&lt;=23,210,IF(N458&lt;=24,220,IF(N458&lt;=25,230,IF(N458&lt;=26,240,IF(N458&lt;=27,250,IF(N458&lt;=28,260,IF(N458&lt;=29,270,IF(N458&lt;=30,280,280+10*ROUNDUP(N458-30,0)))))))))))))))))))))))))))))))</f>
        <v>23</v>
      </c>
      <c r="AA458" s="11">
        <v>0</v>
      </c>
      <c r="AB458" s="11">
        <v>0</v>
      </c>
      <c r="AC458" s="11">
        <v>0</v>
      </c>
      <c r="AD458" s="11">
        <v>0</v>
      </c>
      <c r="AE458" s="11">
        <v>0</v>
      </c>
      <c r="AF458" s="11">
        <f t="shared" si="37"/>
        <v>1.38</v>
      </c>
      <c r="AG458" s="11">
        <f t="shared" si="38"/>
        <v>24.38</v>
      </c>
      <c r="AH458" t="s">
        <v>119</v>
      </c>
    </row>
    <row r="459" spans="1:34" ht="15" customHeight="1" x14ac:dyDescent="0.25">
      <c r="A459">
        <v>7547676</v>
      </c>
      <c r="B459" t="s">
        <v>34</v>
      </c>
      <c r="C459" t="s">
        <v>35</v>
      </c>
      <c r="D459" s="6" t="s">
        <v>34</v>
      </c>
      <c r="E459" t="s">
        <v>1447</v>
      </c>
      <c r="F459" t="s">
        <v>37</v>
      </c>
      <c r="G459" t="s">
        <v>38</v>
      </c>
      <c r="H459" t="s">
        <v>1448</v>
      </c>
      <c r="I459" t="s">
        <v>40</v>
      </c>
      <c r="J459">
        <v>2</v>
      </c>
      <c r="K459" t="s">
        <v>41</v>
      </c>
      <c r="L459" t="s">
        <v>42</v>
      </c>
      <c r="M459" t="s">
        <v>43</v>
      </c>
      <c r="N459" s="7">
        <v>1</v>
      </c>
      <c r="O459" s="8">
        <v>45508.595879629633</v>
      </c>
      <c r="P459" s="9">
        <v>45509</v>
      </c>
      <c r="Q459" t="s">
        <v>44</v>
      </c>
      <c r="R459" t="s">
        <v>45</v>
      </c>
      <c r="S459" t="s">
        <v>1181</v>
      </c>
      <c r="T459" t="s">
        <v>129</v>
      </c>
      <c r="U459" t="s">
        <v>1449</v>
      </c>
      <c r="V459">
        <v>71200</v>
      </c>
      <c r="W459" t="s">
        <v>45</v>
      </c>
      <c r="X459" t="s">
        <v>69</v>
      </c>
      <c r="Y459" t="s">
        <v>50</v>
      </c>
      <c r="Z459" s="10">
        <f t="shared" ref="Z459:Z460" si="40">IF(N459&lt;=1,9,9+0.8*ROUNDUP(N459-1,0))</f>
        <v>9</v>
      </c>
      <c r="AA459" s="11">
        <v>0</v>
      </c>
      <c r="AB459" s="11">
        <v>-2</v>
      </c>
      <c r="AC459" s="11">
        <v>0</v>
      </c>
      <c r="AD459" s="11">
        <v>0</v>
      </c>
      <c r="AE459" s="11">
        <v>0</v>
      </c>
      <c r="AF459" s="11">
        <f t="shared" si="37"/>
        <v>0.42</v>
      </c>
      <c r="AG459" s="11">
        <f t="shared" si="38"/>
        <v>7.42</v>
      </c>
      <c r="AH459" t="s">
        <v>51</v>
      </c>
    </row>
    <row r="460" spans="1:34" ht="15" customHeight="1" x14ac:dyDescent="0.25">
      <c r="A460">
        <v>7547676</v>
      </c>
      <c r="B460" t="s">
        <v>34</v>
      </c>
      <c r="C460" t="s">
        <v>35</v>
      </c>
      <c r="D460" s="6" t="s">
        <v>34</v>
      </c>
      <c r="E460" t="s">
        <v>1450</v>
      </c>
      <c r="F460" t="s">
        <v>37</v>
      </c>
      <c r="G460" t="s">
        <v>38</v>
      </c>
      <c r="H460" t="s">
        <v>1451</v>
      </c>
      <c r="I460" t="s">
        <v>40</v>
      </c>
      <c r="J460">
        <v>2</v>
      </c>
      <c r="K460" t="s">
        <v>41</v>
      </c>
      <c r="L460" t="s">
        <v>42</v>
      </c>
      <c r="M460" t="s">
        <v>43</v>
      </c>
      <c r="N460" s="7">
        <v>1</v>
      </c>
      <c r="O460" s="8">
        <v>45508.628564814811</v>
      </c>
      <c r="P460" s="9">
        <v>45510</v>
      </c>
      <c r="Q460" t="s">
        <v>44</v>
      </c>
      <c r="R460" t="s">
        <v>45</v>
      </c>
      <c r="S460" t="s">
        <v>1181</v>
      </c>
      <c r="T460" t="s">
        <v>223</v>
      </c>
      <c r="U460" t="s">
        <v>1452</v>
      </c>
      <c r="V460">
        <v>27600</v>
      </c>
      <c r="W460" t="s">
        <v>45</v>
      </c>
      <c r="X460" t="s">
        <v>69</v>
      </c>
      <c r="Y460" t="s">
        <v>50</v>
      </c>
      <c r="Z460" s="10">
        <f t="shared" si="40"/>
        <v>9</v>
      </c>
      <c r="AA460" s="11">
        <v>0</v>
      </c>
      <c r="AB460" s="11">
        <v>-2</v>
      </c>
      <c r="AC460" s="11">
        <v>0</v>
      </c>
      <c r="AD460" s="11">
        <v>0</v>
      </c>
      <c r="AE460" s="11">
        <v>0</v>
      </c>
      <c r="AF460" s="11">
        <f t="shared" si="37"/>
        <v>0.42</v>
      </c>
      <c r="AG460" s="11">
        <f t="shared" si="38"/>
        <v>7.42</v>
      </c>
      <c r="AH460" t="s">
        <v>51</v>
      </c>
    </row>
    <row r="461" spans="1:34" ht="15" customHeight="1" x14ac:dyDescent="0.25">
      <c r="A461">
        <v>7547676</v>
      </c>
      <c r="B461" t="s">
        <v>34</v>
      </c>
      <c r="C461" t="s">
        <v>35</v>
      </c>
      <c r="D461" s="6" t="s">
        <v>34</v>
      </c>
      <c r="E461" t="s">
        <v>1453</v>
      </c>
      <c r="F461" t="s">
        <v>37</v>
      </c>
      <c r="G461" t="s">
        <v>38</v>
      </c>
      <c r="H461" t="s">
        <v>1454</v>
      </c>
      <c r="I461" t="s">
        <v>40</v>
      </c>
      <c r="J461">
        <v>2</v>
      </c>
      <c r="K461" t="s">
        <v>41</v>
      </c>
      <c r="L461" t="s">
        <v>42</v>
      </c>
      <c r="M461" t="s">
        <v>43</v>
      </c>
      <c r="N461" s="7">
        <v>1</v>
      </c>
      <c r="O461" s="8">
        <v>45509.541064814817</v>
      </c>
      <c r="P461" s="9">
        <v>45510</v>
      </c>
      <c r="Q461" t="s">
        <v>44</v>
      </c>
      <c r="R461" t="s">
        <v>45</v>
      </c>
      <c r="S461" t="s">
        <v>1181</v>
      </c>
      <c r="T461" t="s">
        <v>72</v>
      </c>
      <c r="U461" t="s">
        <v>1455</v>
      </c>
      <c r="V461">
        <v>21060</v>
      </c>
      <c r="W461" t="s">
        <v>45</v>
      </c>
      <c r="X461" t="s">
        <v>139</v>
      </c>
      <c r="Y461" t="s">
        <v>50</v>
      </c>
      <c r="Z461" s="10">
        <f>IF(N461&lt;=1,9,9+0.8*ROUNDUP(N461-1,0))</f>
        <v>9</v>
      </c>
      <c r="AA461" s="11">
        <v>0</v>
      </c>
      <c r="AB461" s="11">
        <v>-2</v>
      </c>
      <c r="AC461" s="11">
        <v>0</v>
      </c>
      <c r="AD461" s="11">
        <v>0</v>
      </c>
      <c r="AE461" s="11">
        <v>0</v>
      </c>
      <c r="AF461" s="11">
        <f t="shared" si="37"/>
        <v>0.42</v>
      </c>
      <c r="AG461" s="11">
        <f t="shared" si="38"/>
        <v>7.42</v>
      </c>
      <c r="AH461" t="s">
        <v>51</v>
      </c>
    </row>
    <row r="462" spans="1:34" ht="15" customHeight="1" x14ac:dyDescent="0.25">
      <c r="A462">
        <v>7547676</v>
      </c>
      <c r="B462" t="s">
        <v>34</v>
      </c>
      <c r="C462" t="s">
        <v>35</v>
      </c>
      <c r="D462" s="6" t="s">
        <v>34</v>
      </c>
      <c r="E462" t="s">
        <v>1456</v>
      </c>
      <c r="F462" t="s">
        <v>37</v>
      </c>
      <c r="G462" t="s">
        <v>38</v>
      </c>
      <c r="H462" t="s">
        <v>102</v>
      </c>
      <c r="I462" t="s">
        <v>40</v>
      </c>
      <c r="J462">
        <v>2</v>
      </c>
      <c r="K462" t="s">
        <v>41</v>
      </c>
      <c r="L462" t="s">
        <v>42</v>
      </c>
      <c r="M462" t="s">
        <v>43</v>
      </c>
      <c r="N462" s="7">
        <v>3</v>
      </c>
      <c r="O462" s="8">
        <v>45509.637743055559</v>
      </c>
      <c r="P462" s="9">
        <v>45510</v>
      </c>
      <c r="Q462" t="s">
        <v>44</v>
      </c>
      <c r="R462" t="s">
        <v>45</v>
      </c>
      <c r="S462" t="s">
        <v>1181</v>
      </c>
      <c r="T462" t="s">
        <v>92</v>
      </c>
      <c r="U462" t="s">
        <v>103</v>
      </c>
      <c r="V462">
        <v>40000</v>
      </c>
      <c r="W462" t="s">
        <v>45</v>
      </c>
      <c r="X462" t="s">
        <v>104</v>
      </c>
      <c r="Y462" t="s">
        <v>50</v>
      </c>
      <c r="Z462" s="10">
        <f>IF(N462&lt;=1,9,9+0.8*ROUNDUP(N462-1,0))</f>
        <v>10.6</v>
      </c>
      <c r="AA462" s="11">
        <v>0</v>
      </c>
      <c r="AB462" s="11">
        <v>-2</v>
      </c>
      <c r="AC462" s="11">
        <v>0</v>
      </c>
      <c r="AD462" s="11">
        <v>0</v>
      </c>
      <c r="AE462" s="11">
        <v>0</v>
      </c>
      <c r="AF462" s="11">
        <f t="shared" si="37"/>
        <v>0.51600000000000001</v>
      </c>
      <c r="AG462" s="11">
        <f t="shared" si="38"/>
        <v>9.1159999999999997</v>
      </c>
      <c r="AH462" t="s">
        <v>51</v>
      </c>
    </row>
    <row r="463" spans="1:34" ht="15" customHeight="1" x14ac:dyDescent="0.25">
      <c r="A463">
        <v>7547676</v>
      </c>
      <c r="B463" t="s">
        <v>34</v>
      </c>
      <c r="C463" t="s">
        <v>35</v>
      </c>
      <c r="D463" s="6" t="s">
        <v>34</v>
      </c>
      <c r="E463" t="s">
        <v>1457</v>
      </c>
      <c r="F463" t="s">
        <v>37</v>
      </c>
      <c r="G463" t="s">
        <v>38</v>
      </c>
      <c r="H463" t="s">
        <v>102</v>
      </c>
      <c r="I463" t="s">
        <v>40</v>
      </c>
      <c r="J463">
        <v>2</v>
      </c>
      <c r="K463" t="s">
        <v>41</v>
      </c>
      <c r="L463" t="s">
        <v>42</v>
      </c>
      <c r="M463" t="s">
        <v>43</v>
      </c>
      <c r="N463" s="7">
        <v>9</v>
      </c>
      <c r="O463" s="8">
        <v>45509.607569444444</v>
      </c>
      <c r="P463" s="9">
        <v>45510</v>
      </c>
      <c r="Q463" t="s">
        <v>44</v>
      </c>
      <c r="R463" t="s">
        <v>45</v>
      </c>
      <c r="S463" t="s">
        <v>1181</v>
      </c>
      <c r="T463" t="s">
        <v>92</v>
      </c>
      <c r="U463" t="s">
        <v>103</v>
      </c>
      <c r="V463">
        <v>40000</v>
      </c>
      <c r="W463" t="s">
        <v>45</v>
      </c>
      <c r="X463" t="s">
        <v>104</v>
      </c>
      <c r="Y463" t="s">
        <v>50</v>
      </c>
      <c r="Z463" s="10">
        <f t="shared" ref="Z463:Z480" si="41">IF(N463&lt;=1,9,9+0.8*ROUNDUP(N463-1,0))</f>
        <v>15.4</v>
      </c>
      <c r="AA463" s="11">
        <v>0</v>
      </c>
      <c r="AB463" s="11">
        <v>-2</v>
      </c>
      <c r="AC463" s="11">
        <v>0</v>
      </c>
      <c r="AD463" s="11">
        <v>0</v>
      </c>
      <c r="AE463" s="11">
        <v>0</v>
      </c>
      <c r="AF463" s="11">
        <f t="shared" si="37"/>
        <v>0.80399999999999994</v>
      </c>
      <c r="AG463" s="11">
        <f t="shared" si="38"/>
        <v>14.204000000000001</v>
      </c>
      <c r="AH463" t="s">
        <v>51</v>
      </c>
    </row>
    <row r="464" spans="1:34" ht="15" customHeight="1" x14ac:dyDescent="0.25">
      <c r="A464">
        <v>7547676</v>
      </c>
      <c r="B464" t="s">
        <v>34</v>
      </c>
      <c r="C464" t="s">
        <v>35</v>
      </c>
      <c r="D464" s="6" t="s">
        <v>34</v>
      </c>
      <c r="E464" t="s">
        <v>1458</v>
      </c>
      <c r="F464" t="s">
        <v>37</v>
      </c>
      <c r="G464" t="s">
        <v>38</v>
      </c>
      <c r="H464" t="s">
        <v>1459</v>
      </c>
      <c r="I464" t="s">
        <v>40</v>
      </c>
      <c r="J464">
        <v>2</v>
      </c>
      <c r="K464" t="s">
        <v>41</v>
      </c>
      <c r="L464" t="s">
        <v>42</v>
      </c>
      <c r="M464" t="s">
        <v>43</v>
      </c>
      <c r="N464" s="7">
        <v>5</v>
      </c>
      <c r="O464" s="8">
        <v>45508.677314814813</v>
      </c>
      <c r="P464" s="9">
        <v>45510</v>
      </c>
      <c r="Q464" t="s">
        <v>44</v>
      </c>
      <c r="R464" t="s">
        <v>45</v>
      </c>
      <c r="S464" t="s">
        <v>1181</v>
      </c>
      <c r="T464" t="s">
        <v>47</v>
      </c>
      <c r="U464" t="s">
        <v>1460</v>
      </c>
      <c r="V464">
        <v>32040</v>
      </c>
      <c r="W464" t="s">
        <v>45</v>
      </c>
      <c r="X464" t="s">
        <v>1461</v>
      </c>
      <c r="Y464" t="s">
        <v>50</v>
      </c>
      <c r="Z464" s="10">
        <f t="shared" si="41"/>
        <v>12.2</v>
      </c>
      <c r="AA464" s="11">
        <v>0</v>
      </c>
      <c r="AB464" s="11">
        <v>-2</v>
      </c>
      <c r="AC464" s="11">
        <v>0</v>
      </c>
      <c r="AD464" s="11">
        <v>0</v>
      </c>
      <c r="AE464" s="11">
        <v>0</v>
      </c>
      <c r="AF464" s="11">
        <f t="shared" si="37"/>
        <v>0.61199999999999999</v>
      </c>
      <c r="AG464" s="11">
        <f t="shared" si="38"/>
        <v>10.811999999999999</v>
      </c>
      <c r="AH464" t="s">
        <v>51</v>
      </c>
    </row>
    <row r="465" spans="1:34" ht="15" customHeight="1" x14ac:dyDescent="0.25">
      <c r="A465">
        <v>7547676</v>
      </c>
      <c r="B465" t="s">
        <v>34</v>
      </c>
      <c r="C465" t="s">
        <v>35</v>
      </c>
      <c r="D465" s="6" t="s">
        <v>34</v>
      </c>
      <c r="E465" t="s">
        <v>1462</v>
      </c>
      <c r="F465" t="s">
        <v>37</v>
      </c>
      <c r="G465" t="s">
        <v>38</v>
      </c>
      <c r="H465" t="s">
        <v>1463</v>
      </c>
      <c r="I465" t="s">
        <v>40</v>
      </c>
      <c r="J465">
        <v>2</v>
      </c>
      <c r="K465" t="s">
        <v>41</v>
      </c>
      <c r="L465" t="s">
        <v>42</v>
      </c>
      <c r="M465" t="s">
        <v>43</v>
      </c>
      <c r="N465" s="7">
        <v>1</v>
      </c>
      <c r="O465" s="8">
        <v>45508.836851851855</v>
      </c>
      <c r="P465" s="9">
        <v>45510</v>
      </c>
      <c r="Q465" t="s">
        <v>44</v>
      </c>
      <c r="R465" t="s">
        <v>45</v>
      </c>
      <c r="S465" t="s">
        <v>1181</v>
      </c>
      <c r="T465" t="s">
        <v>92</v>
      </c>
      <c r="U465" t="s">
        <v>1464</v>
      </c>
      <c r="V465">
        <v>47650</v>
      </c>
      <c r="W465" t="s">
        <v>45</v>
      </c>
      <c r="X465" t="s">
        <v>69</v>
      </c>
      <c r="Y465" t="s">
        <v>50</v>
      </c>
      <c r="Z465" s="10">
        <f t="shared" si="41"/>
        <v>9</v>
      </c>
      <c r="AA465" s="11">
        <v>0</v>
      </c>
      <c r="AB465" s="11">
        <v>-2</v>
      </c>
      <c r="AC465" s="11">
        <v>0</v>
      </c>
      <c r="AD465" s="11">
        <v>0</v>
      </c>
      <c r="AE465" s="11">
        <v>0</v>
      </c>
      <c r="AF465" s="11">
        <f t="shared" si="37"/>
        <v>0.42</v>
      </c>
      <c r="AG465" s="11">
        <f t="shared" si="38"/>
        <v>7.42</v>
      </c>
      <c r="AH465" t="s">
        <v>51</v>
      </c>
    </row>
    <row r="466" spans="1:34" ht="15" customHeight="1" x14ac:dyDescent="0.25">
      <c r="A466">
        <v>7547676</v>
      </c>
      <c r="B466" t="s">
        <v>34</v>
      </c>
      <c r="C466" t="s">
        <v>35</v>
      </c>
      <c r="D466" s="6" t="s">
        <v>34</v>
      </c>
      <c r="E466" t="s">
        <v>1465</v>
      </c>
      <c r="F466" t="s">
        <v>37</v>
      </c>
      <c r="G466" t="s">
        <v>38</v>
      </c>
      <c r="H466" t="s">
        <v>1466</v>
      </c>
      <c r="I466" t="s">
        <v>40</v>
      </c>
      <c r="J466">
        <v>2</v>
      </c>
      <c r="K466" t="s">
        <v>41</v>
      </c>
      <c r="L466" t="s">
        <v>42</v>
      </c>
      <c r="M466" t="s">
        <v>43</v>
      </c>
      <c r="N466" s="7">
        <v>1</v>
      </c>
      <c r="O466" s="8">
        <v>45508.595879629633</v>
      </c>
      <c r="P466" s="9">
        <v>45510</v>
      </c>
      <c r="Q466" t="s">
        <v>44</v>
      </c>
      <c r="R466" t="s">
        <v>45</v>
      </c>
      <c r="S466" t="s">
        <v>1181</v>
      </c>
      <c r="T466" t="s">
        <v>151</v>
      </c>
      <c r="U466" t="s">
        <v>1467</v>
      </c>
      <c r="V466">
        <v>78000</v>
      </c>
      <c r="W466" t="s">
        <v>45</v>
      </c>
      <c r="X466" t="s">
        <v>69</v>
      </c>
      <c r="Y466" t="s">
        <v>50</v>
      </c>
      <c r="Z466" s="10">
        <f t="shared" si="41"/>
        <v>9</v>
      </c>
      <c r="AA466" s="11">
        <v>0</v>
      </c>
      <c r="AB466" s="11">
        <v>-2</v>
      </c>
      <c r="AC466" s="11">
        <v>0</v>
      </c>
      <c r="AD466" s="11">
        <v>0</v>
      </c>
      <c r="AE466" s="11">
        <v>0</v>
      </c>
      <c r="AF466" s="11">
        <f t="shared" si="37"/>
        <v>0.42</v>
      </c>
      <c r="AG466" s="11">
        <f t="shared" si="38"/>
        <v>7.42</v>
      </c>
      <c r="AH466" t="s">
        <v>51</v>
      </c>
    </row>
    <row r="467" spans="1:34" ht="15" customHeight="1" x14ac:dyDescent="0.25">
      <c r="A467">
        <v>7547676</v>
      </c>
      <c r="B467" t="s">
        <v>34</v>
      </c>
      <c r="C467" t="s">
        <v>35</v>
      </c>
      <c r="D467" s="6" t="s">
        <v>34</v>
      </c>
      <c r="E467" t="s">
        <v>1468</v>
      </c>
      <c r="F467" t="s">
        <v>37</v>
      </c>
      <c r="G467" t="s">
        <v>38</v>
      </c>
      <c r="H467" t="s">
        <v>1469</v>
      </c>
      <c r="I467" t="s">
        <v>40</v>
      </c>
      <c r="J467">
        <v>2</v>
      </c>
      <c r="K467" t="s">
        <v>41</v>
      </c>
      <c r="L467" t="s">
        <v>42</v>
      </c>
      <c r="M467" t="s">
        <v>43</v>
      </c>
      <c r="N467" s="7">
        <v>4</v>
      </c>
      <c r="O467" s="8">
        <v>45509.68172453704</v>
      </c>
      <c r="P467" s="9">
        <v>45510</v>
      </c>
      <c r="Q467" t="s">
        <v>44</v>
      </c>
      <c r="R467" t="s">
        <v>45</v>
      </c>
      <c r="S467" t="s">
        <v>1181</v>
      </c>
      <c r="T467" t="s">
        <v>72</v>
      </c>
      <c r="U467" t="s">
        <v>1470</v>
      </c>
      <c r="V467">
        <v>21080</v>
      </c>
      <c r="W467" t="s">
        <v>45</v>
      </c>
      <c r="X467" t="s">
        <v>1471</v>
      </c>
      <c r="Y467" t="s">
        <v>50</v>
      </c>
      <c r="Z467" s="10">
        <f t="shared" si="41"/>
        <v>11.4</v>
      </c>
      <c r="AA467" s="11">
        <v>0</v>
      </c>
      <c r="AB467" s="11">
        <v>-2</v>
      </c>
      <c r="AC467" s="11">
        <v>0</v>
      </c>
      <c r="AD467" s="11">
        <v>0</v>
      </c>
      <c r="AE467" s="11">
        <v>0</v>
      </c>
      <c r="AF467" s="11">
        <f t="shared" si="37"/>
        <v>0.56399999999999995</v>
      </c>
      <c r="AG467" s="11">
        <f t="shared" si="38"/>
        <v>9.9640000000000004</v>
      </c>
      <c r="AH467" t="s">
        <v>51</v>
      </c>
    </row>
    <row r="468" spans="1:34" ht="15" customHeight="1" x14ac:dyDescent="0.25">
      <c r="A468">
        <v>7547676</v>
      </c>
      <c r="B468" t="s">
        <v>34</v>
      </c>
      <c r="C468" t="s">
        <v>35</v>
      </c>
      <c r="D468" s="6" t="s">
        <v>34</v>
      </c>
      <c r="E468" t="s">
        <v>1472</v>
      </c>
      <c r="F468" t="s">
        <v>37</v>
      </c>
      <c r="G468" t="s">
        <v>38</v>
      </c>
      <c r="H468" t="s">
        <v>1473</v>
      </c>
      <c r="I468" t="s">
        <v>40</v>
      </c>
      <c r="J468">
        <v>2</v>
      </c>
      <c r="K468" t="s">
        <v>41</v>
      </c>
      <c r="L468" t="s">
        <v>42</v>
      </c>
      <c r="M468" t="s">
        <v>43</v>
      </c>
      <c r="N468" s="7">
        <v>1</v>
      </c>
      <c r="O468" s="8">
        <v>45508.836851851855</v>
      </c>
      <c r="P468" s="9">
        <v>45510</v>
      </c>
      <c r="Q468" t="s">
        <v>44</v>
      </c>
      <c r="R468" t="s">
        <v>45</v>
      </c>
      <c r="S468" t="s">
        <v>1181</v>
      </c>
      <c r="T468" t="s">
        <v>84</v>
      </c>
      <c r="U468" t="s">
        <v>1474</v>
      </c>
      <c r="V468">
        <v>16150</v>
      </c>
      <c r="W468" t="s">
        <v>45</v>
      </c>
      <c r="X468" t="s">
        <v>74</v>
      </c>
      <c r="Y468" t="s">
        <v>50</v>
      </c>
      <c r="Z468" s="10">
        <f t="shared" si="41"/>
        <v>9</v>
      </c>
      <c r="AA468" s="11">
        <v>0</v>
      </c>
      <c r="AB468" s="11">
        <v>-2</v>
      </c>
      <c r="AC468" s="11">
        <v>0</v>
      </c>
      <c r="AD468" s="11">
        <v>0</v>
      </c>
      <c r="AE468" s="11">
        <v>0</v>
      </c>
      <c r="AF468" s="11">
        <f t="shared" si="37"/>
        <v>0.42</v>
      </c>
      <c r="AG468" s="11">
        <f t="shared" si="38"/>
        <v>7.42</v>
      </c>
      <c r="AH468" t="s">
        <v>51</v>
      </c>
    </row>
    <row r="469" spans="1:34" ht="15" customHeight="1" x14ac:dyDescent="0.25">
      <c r="A469">
        <v>7547676</v>
      </c>
      <c r="B469" t="s">
        <v>34</v>
      </c>
      <c r="C469" t="s">
        <v>35</v>
      </c>
      <c r="D469" s="6" t="s">
        <v>34</v>
      </c>
      <c r="E469" t="s">
        <v>1475</v>
      </c>
      <c r="F469" t="s">
        <v>37</v>
      </c>
      <c r="G469" t="s">
        <v>38</v>
      </c>
      <c r="H469" t="s">
        <v>1476</v>
      </c>
      <c r="I469" t="s">
        <v>40</v>
      </c>
      <c r="J469">
        <v>2</v>
      </c>
      <c r="K469" t="s">
        <v>41</v>
      </c>
      <c r="L469" t="s">
        <v>42</v>
      </c>
      <c r="M469" t="s">
        <v>43</v>
      </c>
      <c r="N469" s="7">
        <v>1</v>
      </c>
      <c r="O469" s="8">
        <v>45507.838379629633</v>
      </c>
      <c r="P469" s="9">
        <v>45510</v>
      </c>
      <c r="Q469" t="s">
        <v>44</v>
      </c>
      <c r="R469" t="s">
        <v>45</v>
      </c>
      <c r="S469" t="s">
        <v>1181</v>
      </c>
      <c r="T469" t="s">
        <v>107</v>
      </c>
      <c r="U469" t="s">
        <v>1477</v>
      </c>
      <c r="V469">
        <v>8330</v>
      </c>
      <c r="W469" t="s">
        <v>45</v>
      </c>
      <c r="X469" t="s">
        <v>1478</v>
      </c>
      <c r="Y469" t="s">
        <v>50</v>
      </c>
      <c r="Z469" s="10">
        <f t="shared" si="41"/>
        <v>9</v>
      </c>
      <c r="AA469" s="11">
        <v>0</v>
      </c>
      <c r="AB469" s="11">
        <v>-2</v>
      </c>
      <c r="AC469" s="11">
        <v>0</v>
      </c>
      <c r="AD469" s="11">
        <v>0</v>
      </c>
      <c r="AE469" s="11">
        <v>0</v>
      </c>
      <c r="AF469" s="11">
        <f t="shared" si="37"/>
        <v>0.42</v>
      </c>
      <c r="AG469" s="11">
        <f t="shared" si="38"/>
        <v>7.42</v>
      </c>
      <c r="AH469" t="s">
        <v>51</v>
      </c>
    </row>
    <row r="470" spans="1:34" ht="15" customHeight="1" x14ac:dyDescent="0.25">
      <c r="A470">
        <v>7547676</v>
      </c>
      <c r="B470" t="s">
        <v>34</v>
      </c>
      <c r="C470" t="s">
        <v>35</v>
      </c>
      <c r="D470" s="6" t="s">
        <v>34</v>
      </c>
      <c r="E470" t="s">
        <v>1479</v>
      </c>
      <c r="F470" t="s">
        <v>37</v>
      </c>
      <c r="G470" t="s">
        <v>38</v>
      </c>
      <c r="H470" t="s">
        <v>1480</v>
      </c>
      <c r="I470" t="s">
        <v>40</v>
      </c>
      <c r="J470">
        <v>2</v>
      </c>
      <c r="K470" t="s">
        <v>41</v>
      </c>
      <c r="L470" t="s">
        <v>42</v>
      </c>
      <c r="M470" t="s">
        <v>43</v>
      </c>
      <c r="N470" s="7">
        <v>1</v>
      </c>
      <c r="O470" s="8">
        <v>45507.836747685185</v>
      </c>
      <c r="P470" s="9">
        <v>45510</v>
      </c>
      <c r="Q470" t="s">
        <v>44</v>
      </c>
      <c r="R470" t="s">
        <v>45</v>
      </c>
      <c r="S470" t="s">
        <v>1181</v>
      </c>
      <c r="T470" t="s">
        <v>107</v>
      </c>
      <c r="U470" t="s">
        <v>1481</v>
      </c>
      <c r="V470">
        <v>5400</v>
      </c>
      <c r="W470" t="s">
        <v>45</v>
      </c>
      <c r="X470" t="s">
        <v>459</v>
      </c>
      <c r="Y470" t="s">
        <v>50</v>
      </c>
      <c r="Z470" s="10">
        <f t="shared" si="41"/>
        <v>9</v>
      </c>
      <c r="AA470" s="11">
        <v>0</v>
      </c>
      <c r="AB470" s="11">
        <v>-2</v>
      </c>
      <c r="AC470" s="11">
        <v>0</v>
      </c>
      <c r="AD470" s="11">
        <v>0</v>
      </c>
      <c r="AE470" s="11">
        <v>0</v>
      </c>
      <c r="AF470" s="11">
        <f t="shared" si="37"/>
        <v>0.42</v>
      </c>
      <c r="AG470" s="11">
        <f t="shared" si="38"/>
        <v>7.42</v>
      </c>
      <c r="AH470" t="s">
        <v>51</v>
      </c>
    </row>
    <row r="471" spans="1:34" ht="15" customHeight="1" x14ac:dyDescent="0.25">
      <c r="A471">
        <v>7547676</v>
      </c>
      <c r="B471" t="s">
        <v>34</v>
      </c>
      <c r="C471" t="s">
        <v>35</v>
      </c>
      <c r="D471" s="6" t="s">
        <v>34</v>
      </c>
      <c r="E471" t="s">
        <v>1482</v>
      </c>
      <c r="F471" t="s">
        <v>37</v>
      </c>
      <c r="G471" t="s">
        <v>38</v>
      </c>
      <c r="H471" t="s">
        <v>1483</v>
      </c>
      <c r="I471" t="s">
        <v>40</v>
      </c>
      <c r="J471">
        <v>2</v>
      </c>
      <c r="K471" t="s">
        <v>41</v>
      </c>
      <c r="L471" t="s">
        <v>42</v>
      </c>
      <c r="M471" t="s">
        <v>43</v>
      </c>
      <c r="N471" s="7">
        <v>1</v>
      </c>
      <c r="O471" s="8">
        <v>45508.628564814811</v>
      </c>
      <c r="P471" s="9">
        <v>45510</v>
      </c>
      <c r="Q471" t="s">
        <v>44</v>
      </c>
      <c r="R471" t="s">
        <v>45</v>
      </c>
      <c r="S471" t="s">
        <v>1181</v>
      </c>
      <c r="T471" t="s">
        <v>59</v>
      </c>
      <c r="U471" t="s">
        <v>1484</v>
      </c>
      <c r="V471">
        <v>13400</v>
      </c>
      <c r="W471" t="s">
        <v>45</v>
      </c>
      <c r="X471" t="s">
        <v>1301</v>
      </c>
      <c r="Y471" t="s">
        <v>50</v>
      </c>
      <c r="Z471" s="10">
        <f t="shared" si="41"/>
        <v>9</v>
      </c>
      <c r="AA471" s="11">
        <v>0</v>
      </c>
      <c r="AB471" s="11">
        <v>-2</v>
      </c>
      <c r="AC471" s="11">
        <v>0</v>
      </c>
      <c r="AD471" s="11">
        <v>0</v>
      </c>
      <c r="AE471" s="11">
        <v>0</v>
      </c>
      <c r="AF471" s="11">
        <f t="shared" si="37"/>
        <v>0.42</v>
      </c>
      <c r="AG471" s="11">
        <f t="shared" si="38"/>
        <v>7.42</v>
      </c>
      <c r="AH471" t="s">
        <v>51</v>
      </c>
    </row>
    <row r="472" spans="1:34" ht="15" customHeight="1" x14ac:dyDescent="0.25">
      <c r="A472">
        <v>7547676</v>
      </c>
      <c r="B472" t="s">
        <v>34</v>
      </c>
      <c r="C472" t="s">
        <v>35</v>
      </c>
      <c r="D472" s="6" t="s">
        <v>34</v>
      </c>
      <c r="E472" t="s">
        <v>1485</v>
      </c>
      <c r="F472" t="s">
        <v>37</v>
      </c>
      <c r="G472" t="s">
        <v>38</v>
      </c>
      <c r="H472" t="s">
        <v>1486</v>
      </c>
      <c r="I472" t="s">
        <v>40</v>
      </c>
      <c r="J472">
        <v>2</v>
      </c>
      <c r="K472" t="s">
        <v>41</v>
      </c>
      <c r="L472" t="s">
        <v>42</v>
      </c>
      <c r="M472" t="s">
        <v>43</v>
      </c>
      <c r="N472" s="7">
        <v>2</v>
      </c>
      <c r="O472" s="8">
        <v>45509.620682870373</v>
      </c>
      <c r="P472" s="9">
        <v>45510</v>
      </c>
      <c r="Q472" t="s">
        <v>44</v>
      </c>
      <c r="R472" t="s">
        <v>45</v>
      </c>
      <c r="S472" t="s">
        <v>1181</v>
      </c>
      <c r="T472" t="s">
        <v>92</v>
      </c>
      <c r="U472" t="s">
        <v>1487</v>
      </c>
      <c r="V472">
        <v>47120</v>
      </c>
      <c r="W472" t="s">
        <v>45</v>
      </c>
      <c r="X472" t="s">
        <v>296</v>
      </c>
      <c r="Y472" t="s">
        <v>50</v>
      </c>
      <c r="Z472" s="10">
        <f t="shared" si="41"/>
        <v>9.8000000000000007</v>
      </c>
      <c r="AA472" s="11">
        <v>0</v>
      </c>
      <c r="AB472" s="11">
        <v>-2</v>
      </c>
      <c r="AC472" s="11">
        <v>0</v>
      </c>
      <c r="AD472" s="11">
        <v>0</v>
      </c>
      <c r="AE472" s="11">
        <v>0</v>
      </c>
      <c r="AF472" s="11">
        <f t="shared" si="37"/>
        <v>0.46800000000000003</v>
      </c>
      <c r="AG472" s="11">
        <f t="shared" si="38"/>
        <v>8.2680000000000007</v>
      </c>
      <c r="AH472" t="s">
        <v>51</v>
      </c>
    </row>
    <row r="473" spans="1:34" ht="15" customHeight="1" x14ac:dyDescent="0.25">
      <c r="A473">
        <v>7547676</v>
      </c>
      <c r="B473" t="s">
        <v>34</v>
      </c>
      <c r="C473" t="s">
        <v>35</v>
      </c>
      <c r="D473" s="6" t="s">
        <v>34</v>
      </c>
      <c r="E473" t="s">
        <v>1488</v>
      </c>
      <c r="F473" t="s">
        <v>37</v>
      </c>
      <c r="G473" t="s">
        <v>38</v>
      </c>
      <c r="H473" t="s">
        <v>1489</v>
      </c>
      <c r="I473" t="s">
        <v>40</v>
      </c>
      <c r="J473">
        <v>2</v>
      </c>
      <c r="K473" t="s">
        <v>41</v>
      </c>
      <c r="L473" t="s">
        <v>42</v>
      </c>
      <c r="M473" t="s">
        <v>43</v>
      </c>
      <c r="N473" s="7">
        <v>1</v>
      </c>
      <c r="O473" s="8">
        <v>45509.567824074074</v>
      </c>
      <c r="P473" s="9">
        <v>45510</v>
      </c>
      <c r="Q473" t="s">
        <v>44</v>
      </c>
      <c r="R473" t="s">
        <v>45</v>
      </c>
      <c r="S473" t="s">
        <v>1181</v>
      </c>
      <c r="T473" t="s">
        <v>92</v>
      </c>
      <c r="U473" t="s">
        <v>1490</v>
      </c>
      <c r="V473">
        <v>40150</v>
      </c>
      <c r="W473" t="s">
        <v>45</v>
      </c>
      <c r="X473" t="s">
        <v>143</v>
      </c>
      <c r="Y473" t="s">
        <v>50</v>
      </c>
      <c r="Z473" s="10">
        <f t="shared" si="41"/>
        <v>9</v>
      </c>
      <c r="AA473" s="11">
        <v>0</v>
      </c>
      <c r="AB473" s="11">
        <v>-2</v>
      </c>
      <c r="AC473" s="11">
        <v>0</v>
      </c>
      <c r="AD473" s="11">
        <v>0</v>
      </c>
      <c r="AE473" s="11">
        <v>0</v>
      </c>
      <c r="AF473" s="11">
        <f t="shared" si="37"/>
        <v>0.42</v>
      </c>
      <c r="AG473" s="11">
        <f t="shared" si="38"/>
        <v>7.42</v>
      </c>
      <c r="AH473" t="s">
        <v>51</v>
      </c>
    </row>
    <row r="474" spans="1:34" ht="15" customHeight="1" x14ac:dyDescent="0.25">
      <c r="A474">
        <v>7547676</v>
      </c>
      <c r="B474" t="s">
        <v>34</v>
      </c>
      <c r="C474" t="s">
        <v>35</v>
      </c>
      <c r="D474" s="6" t="s">
        <v>34</v>
      </c>
      <c r="E474" t="s">
        <v>1491</v>
      </c>
      <c r="F474" t="s">
        <v>37</v>
      </c>
      <c r="G474" t="s">
        <v>38</v>
      </c>
      <c r="H474" t="s">
        <v>1492</v>
      </c>
      <c r="I474" t="s">
        <v>40</v>
      </c>
      <c r="J474">
        <v>2</v>
      </c>
      <c r="K474" t="s">
        <v>41</v>
      </c>
      <c r="L474" t="s">
        <v>42</v>
      </c>
      <c r="M474" t="s">
        <v>43</v>
      </c>
      <c r="N474" s="7">
        <v>1</v>
      </c>
      <c r="O474" s="8">
        <v>45508.836851851855</v>
      </c>
      <c r="P474" s="9">
        <v>45510</v>
      </c>
      <c r="Q474" t="s">
        <v>44</v>
      </c>
      <c r="R474" t="s">
        <v>45</v>
      </c>
      <c r="S474" t="s">
        <v>1181</v>
      </c>
      <c r="T474" t="s">
        <v>92</v>
      </c>
      <c r="U474" t="s">
        <v>1493</v>
      </c>
      <c r="V474">
        <v>44300</v>
      </c>
      <c r="W474" t="s">
        <v>45</v>
      </c>
      <c r="X474" t="s">
        <v>1494</v>
      </c>
      <c r="Y474" t="s">
        <v>50</v>
      </c>
      <c r="Z474" s="10">
        <f t="shared" si="41"/>
        <v>9</v>
      </c>
      <c r="AA474" s="11">
        <v>0</v>
      </c>
      <c r="AB474" s="11">
        <v>-2</v>
      </c>
      <c r="AC474" s="11">
        <v>0</v>
      </c>
      <c r="AD474" s="11">
        <v>0</v>
      </c>
      <c r="AE474" s="11">
        <v>0</v>
      </c>
      <c r="AF474" s="11">
        <f t="shared" si="37"/>
        <v>0.42</v>
      </c>
      <c r="AG474" s="11">
        <f t="shared" si="38"/>
        <v>7.42</v>
      </c>
      <c r="AH474" t="s">
        <v>51</v>
      </c>
    </row>
    <row r="475" spans="1:34" ht="15" customHeight="1" x14ac:dyDescent="0.25">
      <c r="A475">
        <v>7547676</v>
      </c>
      <c r="B475" t="s">
        <v>34</v>
      </c>
      <c r="C475" t="s">
        <v>35</v>
      </c>
      <c r="D475" s="6" t="s">
        <v>34</v>
      </c>
      <c r="E475" t="s">
        <v>1495</v>
      </c>
      <c r="F475" t="s">
        <v>37</v>
      </c>
      <c r="G475" t="s">
        <v>38</v>
      </c>
      <c r="H475" t="s">
        <v>1496</v>
      </c>
      <c r="I475" t="s">
        <v>40</v>
      </c>
      <c r="J475">
        <v>2</v>
      </c>
      <c r="K475" t="s">
        <v>41</v>
      </c>
      <c r="L475" t="s">
        <v>42</v>
      </c>
      <c r="M475" t="s">
        <v>43</v>
      </c>
      <c r="N475" s="7">
        <v>1</v>
      </c>
      <c r="O475" s="8">
        <v>45509.567824074074</v>
      </c>
      <c r="P475" s="9">
        <v>45510</v>
      </c>
      <c r="Q475" t="s">
        <v>44</v>
      </c>
      <c r="R475" t="s">
        <v>45</v>
      </c>
      <c r="S475" t="s">
        <v>1181</v>
      </c>
      <c r="T475" t="s">
        <v>146</v>
      </c>
      <c r="U475" t="s">
        <v>1497</v>
      </c>
      <c r="V475">
        <v>59100</v>
      </c>
      <c r="W475" t="s">
        <v>45</v>
      </c>
      <c r="X475" t="s">
        <v>798</v>
      </c>
      <c r="Y475" t="s">
        <v>50</v>
      </c>
      <c r="Z475" s="10">
        <f t="shared" si="41"/>
        <v>9</v>
      </c>
      <c r="AA475" s="11">
        <v>0</v>
      </c>
      <c r="AB475" s="11">
        <v>-2</v>
      </c>
      <c r="AC475" s="11">
        <v>0</v>
      </c>
      <c r="AD475" s="11">
        <v>0</v>
      </c>
      <c r="AE475" s="11">
        <v>0</v>
      </c>
      <c r="AF475" s="11">
        <f t="shared" si="37"/>
        <v>0.42</v>
      </c>
      <c r="AG475" s="11">
        <f t="shared" si="38"/>
        <v>7.42</v>
      </c>
      <c r="AH475" t="s">
        <v>51</v>
      </c>
    </row>
    <row r="476" spans="1:34" ht="15" customHeight="1" x14ac:dyDescent="0.25">
      <c r="A476">
        <v>7547676</v>
      </c>
      <c r="B476" t="s">
        <v>34</v>
      </c>
      <c r="C476" t="s">
        <v>35</v>
      </c>
      <c r="D476" s="6" t="s">
        <v>34</v>
      </c>
      <c r="E476" t="s">
        <v>1498</v>
      </c>
      <c r="F476" t="s">
        <v>37</v>
      </c>
      <c r="G476" t="s">
        <v>38</v>
      </c>
      <c r="H476" t="s">
        <v>1499</v>
      </c>
      <c r="I476" t="s">
        <v>40</v>
      </c>
      <c r="J476">
        <v>2</v>
      </c>
      <c r="K476" t="s">
        <v>41</v>
      </c>
      <c r="L476" t="s">
        <v>42</v>
      </c>
      <c r="M476" t="s">
        <v>43</v>
      </c>
      <c r="N476" s="7">
        <v>8</v>
      </c>
      <c r="O476" s="8">
        <v>45508.577199074076</v>
      </c>
      <c r="P476" s="9">
        <v>45510</v>
      </c>
      <c r="Q476" t="s">
        <v>44</v>
      </c>
      <c r="R476" t="s">
        <v>45</v>
      </c>
      <c r="S476" t="s">
        <v>1181</v>
      </c>
      <c r="T476" t="s">
        <v>47</v>
      </c>
      <c r="U476" t="s">
        <v>1500</v>
      </c>
      <c r="V476">
        <v>34500</v>
      </c>
      <c r="W476" t="s">
        <v>45</v>
      </c>
      <c r="X476" t="s">
        <v>285</v>
      </c>
      <c r="Y476" t="s">
        <v>50</v>
      </c>
      <c r="Z476" s="10">
        <f t="shared" si="41"/>
        <v>14.600000000000001</v>
      </c>
      <c r="AA476" s="11">
        <v>0</v>
      </c>
      <c r="AB476" s="11">
        <v>-2</v>
      </c>
      <c r="AC476" s="11">
        <v>0</v>
      </c>
      <c r="AD476" s="11">
        <v>0</v>
      </c>
      <c r="AE476" s="11">
        <v>0</v>
      </c>
      <c r="AF476" s="11">
        <f t="shared" si="37"/>
        <v>0.75600000000000001</v>
      </c>
      <c r="AG476" s="11">
        <f t="shared" si="38"/>
        <v>13.356000000000002</v>
      </c>
      <c r="AH476" t="s">
        <v>51</v>
      </c>
    </row>
    <row r="477" spans="1:34" ht="15" customHeight="1" x14ac:dyDescent="0.25">
      <c r="A477">
        <v>7547676</v>
      </c>
      <c r="B477" t="s">
        <v>34</v>
      </c>
      <c r="C477" t="s">
        <v>35</v>
      </c>
      <c r="D477" s="6" t="s">
        <v>34</v>
      </c>
      <c r="E477" t="s">
        <v>1501</v>
      </c>
      <c r="F477" t="s">
        <v>37</v>
      </c>
      <c r="G477" t="s">
        <v>38</v>
      </c>
      <c r="H477" t="s">
        <v>1502</v>
      </c>
      <c r="I477" t="s">
        <v>40</v>
      </c>
      <c r="J477">
        <v>2</v>
      </c>
      <c r="K477" t="s">
        <v>41</v>
      </c>
      <c r="L477" t="s">
        <v>42</v>
      </c>
      <c r="M477" t="s">
        <v>43</v>
      </c>
      <c r="N477" s="7">
        <v>1</v>
      </c>
      <c r="O477" s="8">
        <v>45509.65115740741</v>
      </c>
      <c r="P477" s="9">
        <v>45510</v>
      </c>
      <c r="Q477" t="s">
        <v>44</v>
      </c>
      <c r="R477" t="s">
        <v>45</v>
      </c>
      <c r="S477" t="s">
        <v>1181</v>
      </c>
      <c r="T477" t="s">
        <v>84</v>
      </c>
      <c r="U477" t="s">
        <v>1503</v>
      </c>
      <c r="V477">
        <v>16600</v>
      </c>
      <c r="W477" t="s">
        <v>45</v>
      </c>
      <c r="X477" t="s">
        <v>74</v>
      </c>
      <c r="Y477" t="s">
        <v>50</v>
      </c>
      <c r="Z477" s="10">
        <f t="shared" si="41"/>
        <v>9</v>
      </c>
      <c r="AA477" s="11">
        <v>0</v>
      </c>
      <c r="AB477" s="11">
        <v>-2</v>
      </c>
      <c r="AC477" s="11">
        <v>0</v>
      </c>
      <c r="AD477" s="11">
        <v>0</v>
      </c>
      <c r="AE477" s="11">
        <v>0</v>
      </c>
      <c r="AF477" s="11">
        <f t="shared" si="37"/>
        <v>0.42</v>
      </c>
      <c r="AG477" s="11">
        <f t="shared" si="38"/>
        <v>7.42</v>
      </c>
      <c r="AH477" t="s">
        <v>51</v>
      </c>
    </row>
    <row r="478" spans="1:34" ht="15" customHeight="1" x14ac:dyDescent="0.25">
      <c r="A478">
        <v>7547676</v>
      </c>
      <c r="B478" t="s">
        <v>34</v>
      </c>
      <c r="C478" t="s">
        <v>35</v>
      </c>
      <c r="D478" s="6" t="s">
        <v>34</v>
      </c>
      <c r="E478" t="s">
        <v>1504</v>
      </c>
      <c r="F478" t="s">
        <v>37</v>
      </c>
      <c r="G478" t="s">
        <v>38</v>
      </c>
      <c r="H478" t="s">
        <v>1505</v>
      </c>
      <c r="I478" t="s">
        <v>40</v>
      </c>
      <c r="J478">
        <v>2</v>
      </c>
      <c r="K478" t="s">
        <v>41</v>
      </c>
      <c r="L478" t="s">
        <v>42</v>
      </c>
      <c r="M478" t="s">
        <v>43</v>
      </c>
      <c r="N478" s="7">
        <v>1</v>
      </c>
      <c r="O478" s="8">
        <v>45509.584594907406</v>
      </c>
      <c r="P478" s="9">
        <v>45510</v>
      </c>
      <c r="Q478" t="s">
        <v>44</v>
      </c>
      <c r="R478" t="s">
        <v>45</v>
      </c>
      <c r="S478" t="s">
        <v>1181</v>
      </c>
      <c r="T478" t="s">
        <v>223</v>
      </c>
      <c r="U478" t="s">
        <v>1506</v>
      </c>
      <c r="V478">
        <v>25150</v>
      </c>
      <c r="W478" t="s">
        <v>45</v>
      </c>
      <c r="X478" t="s">
        <v>225</v>
      </c>
      <c r="Y478" t="s">
        <v>50</v>
      </c>
      <c r="Z478" s="10">
        <f t="shared" si="41"/>
        <v>9</v>
      </c>
      <c r="AA478" s="11">
        <v>0</v>
      </c>
      <c r="AB478" s="11">
        <v>-2</v>
      </c>
      <c r="AC478" s="11">
        <v>0</v>
      </c>
      <c r="AD478" s="11">
        <v>0</v>
      </c>
      <c r="AE478" s="11">
        <v>0</v>
      </c>
      <c r="AF478" s="11">
        <f t="shared" si="37"/>
        <v>0.42</v>
      </c>
      <c r="AG478" s="11">
        <f t="shared" si="38"/>
        <v>7.42</v>
      </c>
      <c r="AH478" t="s">
        <v>51</v>
      </c>
    </row>
    <row r="479" spans="1:34" ht="15" customHeight="1" x14ac:dyDescent="0.25">
      <c r="A479">
        <v>7547676</v>
      </c>
      <c r="B479" t="s">
        <v>34</v>
      </c>
      <c r="C479" t="s">
        <v>35</v>
      </c>
      <c r="D479" s="6" t="s">
        <v>34</v>
      </c>
      <c r="E479" t="s">
        <v>1507</v>
      </c>
      <c r="F479" t="s">
        <v>37</v>
      </c>
      <c r="G479" t="s">
        <v>38</v>
      </c>
      <c r="H479" t="s">
        <v>1508</v>
      </c>
      <c r="I479" t="s">
        <v>40</v>
      </c>
      <c r="J479">
        <v>2</v>
      </c>
      <c r="K479" t="s">
        <v>41</v>
      </c>
      <c r="L479" t="s">
        <v>42</v>
      </c>
      <c r="M479" t="s">
        <v>43</v>
      </c>
      <c r="N479" s="7">
        <v>1</v>
      </c>
      <c r="O479" s="8">
        <v>45509.593356481484</v>
      </c>
      <c r="P479" s="9">
        <v>45510</v>
      </c>
      <c r="Q479" t="s">
        <v>44</v>
      </c>
      <c r="R479" t="s">
        <v>45</v>
      </c>
      <c r="S479" t="s">
        <v>1181</v>
      </c>
      <c r="T479" t="s">
        <v>72</v>
      </c>
      <c r="U479" t="s">
        <v>1509</v>
      </c>
      <c r="V479">
        <v>21300</v>
      </c>
      <c r="W479" t="s">
        <v>45</v>
      </c>
      <c r="X479" t="s">
        <v>139</v>
      </c>
      <c r="Y479" t="s">
        <v>50</v>
      </c>
      <c r="Z479" s="10">
        <f t="shared" si="41"/>
        <v>9</v>
      </c>
      <c r="AA479" s="11">
        <v>0</v>
      </c>
      <c r="AB479" s="11">
        <v>-2</v>
      </c>
      <c r="AC479" s="11">
        <v>0</v>
      </c>
      <c r="AD479" s="11">
        <v>0</v>
      </c>
      <c r="AE479" s="11">
        <v>0</v>
      </c>
      <c r="AF479" s="11">
        <f t="shared" si="37"/>
        <v>0.42</v>
      </c>
      <c r="AG479" s="11">
        <f t="shared" si="38"/>
        <v>7.42</v>
      </c>
      <c r="AH479" t="s">
        <v>51</v>
      </c>
    </row>
    <row r="480" spans="1:34" ht="15" customHeight="1" x14ac:dyDescent="0.25">
      <c r="A480">
        <v>7547676</v>
      </c>
      <c r="B480" t="s">
        <v>34</v>
      </c>
      <c r="C480" t="s">
        <v>35</v>
      </c>
      <c r="D480" s="6" t="s">
        <v>34</v>
      </c>
      <c r="E480" t="s">
        <v>1510</v>
      </c>
      <c r="F480" t="s">
        <v>37</v>
      </c>
      <c r="G480" t="s">
        <v>38</v>
      </c>
      <c r="H480" t="s">
        <v>1511</v>
      </c>
      <c r="I480" t="s">
        <v>40</v>
      </c>
      <c r="J480">
        <v>2</v>
      </c>
      <c r="K480" t="s">
        <v>41</v>
      </c>
      <c r="L480" t="s">
        <v>42</v>
      </c>
      <c r="M480" t="s">
        <v>43</v>
      </c>
      <c r="N480" s="7">
        <v>1</v>
      </c>
      <c r="O480" s="8">
        <v>45508.448310185187</v>
      </c>
      <c r="P480" s="9">
        <v>45510</v>
      </c>
      <c r="Q480" t="s">
        <v>44</v>
      </c>
      <c r="R480" t="s">
        <v>45</v>
      </c>
      <c r="S480" t="s">
        <v>1181</v>
      </c>
      <c r="T480" t="s">
        <v>54</v>
      </c>
      <c r="U480" t="s">
        <v>1512</v>
      </c>
      <c r="V480">
        <v>81200</v>
      </c>
      <c r="W480" t="s">
        <v>45</v>
      </c>
      <c r="X480" t="s">
        <v>69</v>
      </c>
      <c r="Y480" t="s">
        <v>50</v>
      </c>
      <c r="Z480" s="10">
        <f t="shared" si="41"/>
        <v>9</v>
      </c>
      <c r="AA480" s="11">
        <v>0</v>
      </c>
      <c r="AB480" s="11">
        <v>-2</v>
      </c>
      <c r="AC480" s="11">
        <v>0</v>
      </c>
      <c r="AD480" s="11">
        <v>0</v>
      </c>
      <c r="AE480" s="11">
        <v>0</v>
      </c>
      <c r="AF480" s="11">
        <f t="shared" si="37"/>
        <v>0.42</v>
      </c>
      <c r="AG480" s="11">
        <f t="shared" si="38"/>
        <v>7.42</v>
      </c>
      <c r="AH480" t="s">
        <v>51</v>
      </c>
    </row>
    <row r="481" spans="1:34" ht="15" customHeight="1" x14ac:dyDescent="0.25">
      <c r="A481">
        <v>7547676</v>
      </c>
      <c r="B481" t="s">
        <v>34</v>
      </c>
      <c r="C481" t="s">
        <v>35</v>
      </c>
      <c r="D481" s="6" t="s">
        <v>34</v>
      </c>
      <c r="E481" t="s">
        <v>1513</v>
      </c>
      <c r="F481" t="s">
        <v>37</v>
      </c>
      <c r="G481" t="s">
        <v>38</v>
      </c>
      <c r="H481" t="s">
        <v>1514</v>
      </c>
      <c r="I481" t="s">
        <v>40</v>
      </c>
      <c r="J481">
        <v>2</v>
      </c>
      <c r="K481" t="s">
        <v>41</v>
      </c>
      <c r="L481" t="s">
        <v>42</v>
      </c>
      <c r="M481" t="s">
        <v>43</v>
      </c>
      <c r="N481" s="7">
        <v>8</v>
      </c>
      <c r="O481" s="8">
        <v>45507.491840277777</v>
      </c>
      <c r="P481" s="9">
        <v>45510</v>
      </c>
      <c r="Q481" t="s">
        <v>44</v>
      </c>
      <c r="R481" t="s">
        <v>45</v>
      </c>
      <c r="S481" t="s">
        <v>1181</v>
      </c>
      <c r="T481" t="s">
        <v>312</v>
      </c>
      <c r="U481" t="s">
        <v>1515</v>
      </c>
      <c r="V481">
        <v>96000</v>
      </c>
      <c r="W481" t="s">
        <v>118</v>
      </c>
      <c r="X481" t="s">
        <v>1516</v>
      </c>
      <c r="Y481" t="s">
        <v>50</v>
      </c>
      <c r="Z481" s="12">
        <f>IF(N481&lt;=1,13,IF(N481&lt;=2,23,IF(N481&lt;=3,35,IF(N481&lt;=4,43,IF(N481&lt;=5,53,IF(N481&lt;=6,63,IF(N481&lt;=7,71,IF(N481&lt;=8,79,IF(N481&lt;=9,87,IF(N481&lt;=10,95,IF(N481&lt;=11,105,IF(N481&lt;=12,114,IF(N481&lt;=13,119,IF(N481&lt;=14,127,IF(N481&lt;=15,135,IF(N481&lt;=16,143,IF(N481&lt;=17,153,IF(N481&lt;=18,163,IF(N481&lt;=19,171,IF(N481&lt;=20,185,IF(N481&lt;=21,193,IF(N481&lt;=22,201,IF(N481&lt;=23,210,IF(N481&lt;=24,220,IF(N481&lt;=25,230,IF(N481&lt;=26,240,IF(N481&lt;=27,250,IF(N481&lt;=28,260,IF(N481&lt;=29,270,IF(N481&lt;=30,280,280+10*ROUNDUP(N481-30,0)))))))))))))))))))))))))))))))</f>
        <v>79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f t="shared" si="37"/>
        <v>4.74</v>
      </c>
      <c r="AG481" s="11">
        <f t="shared" si="38"/>
        <v>83.74</v>
      </c>
      <c r="AH481" t="s">
        <v>119</v>
      </c>
    </row>
    <row r="482" spans="1:34" ht="15" customHeight="1" x14ac:dyDescent="0.25">
      <c r="A482">
        <v>7547676</v>
      </c>
      <c r="B482" t="s">
        <v>34</v>
      </c>
      <c r="C482" t="s">
        <v>35</v>
      </c>
      <c r="D482" s="6" t="s">
        <v>34</v>
      </c>
      <c r="E482" t="s">
        <v>1517</v>
      </c>
      <c r="F482" t="s">
        <v>37</v>
      </c>
      <c r="G482" t="s">
        <v>38</v>
      </c>
      <c r="H482" t="s">
        <v>1518</v>
      </c>
      <c r="I482" t="s">
        <v>40</v>
      </c>
      <c r="J482">
        <v>2</v>
      </c>
      <c r="K482" t="s">
        <v>41</v>
      </c>
      <c r="L482" t="s">
        <v>42</v>
      </c>
      <c r="M482" t="s">
        <v>43</v>
      </c>
      <c r="N482" s="7">
        <v>1</v>
      </c>
      <c r="O482" s="8">
        <v>45508.434236111112</v>
      </c>
      <c r="P482" s="9">
        <v>45510</v>
      </c>
      <c r="Q482" t="s">
        <v>44</v>
      </c>
      <c r="R482" t="s">
        <v>45</v>
      </c>
      <c r="S482" t="s">
        <v>1181</v>
      </c>
      <c r="T482" t="s">
        <v>54</v>
      </c>
      <c r="U482" t="s">
        <v>1519</v>
      </c>
      <c r="V482">
        <v>80350</v>
      </c>
      <c r="W482" t="s">
        <v>45</v>
      </c>
      <c r="X482" t="s">
        <v>69</v>
      </c>
      <c r="Y482" t="s">
        <v>50</v>
      </c>
      <c r="Z482" s="10">
        <f t="shared" ref="Z482:Z485" si="42">IF(N482&lt;=1,9,9+0.8*ROUNDUP(N482-1,0))</f>
        <v>9</v>
      </c>
      <c r="AA482" s="11">
        <v>0</v>
      </c>
      <c r="AB482" s="11">
        <v>-2</v>
      </c>
      <c r="AC482" s="11">
        <v>0</v>
      </c>
      <c r="AD482" s="11">
        <v>0</v>
      </c>
      <c r="AE482" s="11">
        <v>0</v>
      </c>
      <c r="AF482" s="11">
        <f t="shared" si="37"/>
        <v>0.42</v>
      </c>
      <c r="AG482" s="11">
        <f t="shared" si="38"/>
        <v>7.42</v>
      </c>
      <c r="AH482" t="s">
        <v>51</v>
      </c>
    </row>
    <row r="483" spans="1:34" ht="15" customHeight="1" x14ac:dyDescent="0.25">
      <c r="A483">
        <v>7547676</v>
      </c>
      <c r="B483" t="s">
        <v>34</v>
      </c>
      <c r="C483" t="s">
        <v>35</v>
      </c>
      <c r="D483" s="6" t="s">
        <v>34</v>
      </c>
      <c r="E483" t="s">
        <v>1520</v>
      </c>
      <c r="F483" t="s">
        <v>37</v>
      </c>
      <c r="G483" t="s">
        <v>38</v>
      </c>
      <c r="H483" t="s">
        <v>1521</v>
      </c>
      <c r="I483" t="s">
        <v>40</v>
      </c>
      <c r="J483">
        <v>2</v>
      </c>
      <c r="K483" t="s">
        <v>41</v>
      </c>
      <c r="L483" t="s">
        <v>42</v>
      </c>
      <c r="M483" t="s">
        <v>43</v>
      </c>
      <c r="N483" s="7">
        <v>2</v>
      </c>
      <c r="O483" s="8">
        <v>45509.589907407404</v>
      </c>
      <c r="P483" s="9">
        <v>45510</v>
      </c>
      <c r="Q483" t="s">
        <v>44</v>
      </c>
      <c r="R483" t="s">
        <v>45</v>
      </c>
      <c r="S483" t="s">
        <v>1181</v>
      </c>
      <c r="T483" t="s">
        <v>146</v>
      </c>
      <c r="U483" t="s">
        <v>1522</v>
      </c>
      <c r="V483">
        <v>59200</v>
      </c>
      <c r="W483" t="s">
        <v>45</v>
      </c>
      <c r="X483" t="s">
        <v>362</v>
      </c>
      <c r="Y483" t="s">
        <v>50</v>
      </c>
      <c r="Z483" s="10">
        <f t="shared" si="42"/>
        <v>9.8000000000000007</v>
      </c>
      <c r="AA483" s="11">
        <v>0</v>
      </c>
      <c r="AB483" s="11">
        <v>-2</v>
      </c>
      <c r="AC483" s="11">
        <v>0</v>
      </c>
      <c r="AD483" s="11">
        <v>0</v>
      </c>
      <c r="AE483" s="11">
        <v>0</v>
      </c>
      <c r="AF483" s="11">
        <f t="shared" si="37"/>
        <v>0.46800000000000003</v>
      </c>
      <c r="AG483" s="11">
        <f t="shared" si="38"/>
        <v>8.2680000000000007</v>
      </c>
      <c r="AH483" t="s">
        <v>51</v>
      </c>
    </row>
    <row r="484" spans="1:34" ht="15" customHeight="1" x14ac:dyDescent="0.25">
      <c r="A484">
        <v>7547676</v>
      </c>
      <c r="B484" t="s">
        <v>34</v>
      </c>
      <c r="C484" t="s">
        <v>35</v>
      </c>
      <c r="D484" s="6" t="s">
        <v>34</v>
      </c>
      <c r="E484" t="s">
        <v>1523</v>
      </c>
      <c r="F484" t="s">
        <v>37</v>
      </c>
      <c r="G484" t="s">
        <v>38</v>
      </c>
      <c r="H484" t="s">
        <v>1524</v>
      </c>
      <c r="I484" t="s">
        <v>40</v>
      </c>
      <c r="J484">
        <v>2</v>
      </c>
      <c r="K484" t="s">
        <v>41</v>
      </c>
      <c r="L484" t="s">
        <v>42</v>
      </c>
      <c r="M484" t="s">
        <v>43</v>
      </c>
      <c r="N484" s="7">
        <v>1</v>
      </c>
      <c r="O484" s="8">
        <v>45507.727152777778</v>
      </c>
      <c r="P484" s="9">
        <v>45510</v>
      </c>
      <c r="Q484" t="s">
        <v>44</v>
      </c>
      <c r="R484" t="s">
        <v>45</v>
      </c>
      <c r="S484" t="s">
        <v>1181</v>
      </c>
      <c r="T484" t="s">
        <v>146</v>
      </c>
      <c r="U484" t="s">
        <v>1525</v>
      </c>
      <c r="V484">
        <v>54200</v>
      </c>
      <c r="W484" t="s">
        <v>45</v>
      </c>
      <c r="X484" t="s">
        <v>354</v>
      </c>
      <c r="Y484" t="s">
        <v>50</v>
      </c>
      <c r="Z484" s="10">
        <f t="shared" si="42"/>
        <v>9</v>
      </c>
      <c r="AA484" s="11">
        <v>0</v>
      </c>
      <c r="AB484" s="11">
        <v>-2</v>
      </c>
      <c r="AC484" s="11">
        <v>0</v>
      </c>
      <c r="AD484" s="11">
        <v>0</v>
      </c>
      <c r="AE484" s="11">
        <v>0</v>
      </c>
      <c r="AF484" s="11">
        <f t="shared" si="37"/>
        <v>0.42</v>
      </c>
      <c r="AG484" s="11">
        <f t="shared" si="38"/>
        <v>7.42</v>
      </c>
      <c r="AH484" t="s">
        <v>51</v>
      </c>
    </row>
    <row r="485" spans="1:34" ht="15" customHeight="1" x14ac:dyDescent="0.25">
      <c r="A485">
        <v>7547676</v>
      </c>
      <c r="B485" t="s">
        <v>34</v>
      </c>
      <c r="C485" t="s">
        <v>35</v>
      </c>
      <c r="D485" s="6" t="s">
        <v>34</v>
      </c>
      <c r="E485" t="s">
        <v>1526</v>
      </c>
      <c r="F485" t="s">
        <v>37</v>
      </c>
      <c r="G485" t="s">
        <v>38</v>
      </c>
      <c r="H485" t="s">
        <v>1527</v>
      </c>
      <c r="I485" t="s">
        <v>40</v>
      </c>
      <c r="J485">
        <v>2</v>
      </c>
      <c r="K485" t="s">
        <v>41</v>
      </c>
      <c r="L485" t="s">
        <v>42</v>
      </c>
      <c r="M485" t="s">
        <v>43</v>
      </c>
      <c r="N485" s="7">
        <v>1</v>
      </c>
      <c r="O485" s="8">
        <v>45510.702418981484</v>
      </c>
      <c r="P485" s="9">
        <v>45511</v>
      </c>
      <c r="Q485" t="s">
        <v>44</v>
      </c>
      <c r="R485" t="s">
        <v>45</v>
      </c>
      <c r="S485" t="s">
        <v>46</v>
      </c>
      <c r="T485" t="s">
        <v>92</v>
      </c>
      <c r="U485" t="s">
        <v>1528</v>
      </c>
      <c r="V485">
        <v>40300</v>
      </c>
      <c r="W485" t="s">
        <v>45</v>
      </c>
      <c r="X485" t="s">
        <v>94</v>
      </c>
      <c r="Y485" t="s">
        <v>50</v>
      </c>
      <c r="Z485" s="10">
        <f t="shared" si="42"/>
        <v>9</v>
      </c>
      <c r="AA485" s="11">
        <v>0</v>
      </c>
      <c r="AB485" s="11">
        <v>-2</v>
      </c>
      <c r="AC485" s="11">
        <v>0</v>
      </c>
      <c r="AD485" s="11">
        <v>0</v>
      </c>
      <c r="AE485" s="11">
        <v>0</v>
      </c>
      <c r="AF485" s="11">
        <f t="shared" si="37"/>
        <v>0.42</v>
      </c>
      <c r="AG485" s="11">
        <f t="shared" si="38"/>
        <v>7.42</v>
      </c>
      <c r="AH485" t="s">
        <v>51</v>
      </c>
    </row>
    <row r="486" spans="1:34" ht="15" customHeight="1" x14ac:dyDescent="0.25">
      <c r="A486">
        <v>7547676</v>
      </c>
      <c r="B486" t="s">
        <v>34</v>
      </c>
      <c r="C486" t="s">
        <v>35</v>
      </c>
      <c r="D486" s="6" t="s">
        <v>34</v>
      </c>
      <c r="E486" t="s">
        <v>1529</v>
      </c>
      <c r="F486" t="s">
        <v>37</v>
      </c>
      <c r="G486" t="s">
        <v>38</v>
      </c>
      <c r="H486" t="s">
        <v>1530</v>
      </c>
      <c r="I486" t="s">
        <v>40</v>
      </c>
      <c r="J486">
        <v>2</v>
      </c>
      <c r="K486" t="s">
        <v>41</v>
      </c>
      <c r="L486" t="s">
        <v>42</v>
      </c>
      <c r="M486" t="s">
        <v>43</v>
      </c>
      <c r="N486" s="7">
        <v>1</v>
      </c>
      <c r="O486" s="8">
        <v>45504.707569444443</v>
      </c>
      <c r="P486" s="9">
        <v>45511</v>
      </c>
      <c r="Q486" t="s">
        <v>44</v>
      </c>
      <c r="R486" t="s">
        <v>45</v>
      </c>
      <c r="S486" t="s">
        <v>1181</v>
      </c>
      <c r="T486" t="s">
        <v>1279</v>
      </c>
      <c r="U486" t="s">
        <v>1531</v>
      </c>
      <c r="V486">
        <v>87000</v>
      </c>
      <c r="W486" t="s">
        <v>118</v>
      </c>
      <c r="X486" t="s">
        <v>1532</v>
      </c>
      <c r="Y486" t="s">
        <v>50</v>
      </c>
      <c r="Z486" s="12">
        <f>IF(N486&lt;=1,13,IF(N486&lt;=2,23,IF(N486&lt;=3,35,IF(N486&lt;=4,43,IF(N486&lt;=5,53,IF(N486&lt;=6,63,IF(N486&lt;=7,71,IF(N486&lt;=8,79,IF(N486&lt;=9,87,IF(N486&lt;=10,95,IF(N486&lt;=11,105,IF(N486&lt;=12,114,IF(N486&lt;=13,119,IF(N486&lt;=14,127,IF(N486&lt;=15,135,IF(N486&lt;=16,143,IF(N486&lt;=17,153,IF(N486&lt;=18,163,IF(N486&lt;=19,171,IF(N486&lt;=20,185,IF(N486&lt;=21,193,IF(N486&lt;=22,201,IF(N486&lt;=23,210,IF(N486&lt;=24,220,IF(N486&lt;=25,230,IF(N486&lt;=26,240,IF(N486&lt;=27,250,IF(N486&lt;=28,260,IF(N486&lt;=29,270,IF(N486&lt;=30,280,280+10*ROUNDUP(N486-30,0)))))))))))))))))))))))))))))))</f>
        <v>13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1">
        <f t="shared" si="37"/>
        <v>0.78</v>
      </c>
      <c r="AG486" s="11">
        <f t="shared" si="38"/>
        <v>13.78</v>
      </c>
      <c r="AH486" t="s">
        <v>119</v>
      </c>
    </row>
    <row r="487" spans="1:34" ht="15" customHeight="1" x14ac:dyDescent="0.25">
      <c r="A487">
        <v>7547676</v>
      </c>
      <c r="B487" t="s">
        <v>34</v>
      </c>
      <c r="C487" t="s">
        <v>35</v>
      </c>
      <c r="D487" s="6" t="s">
        <v>34</v>
      </c>
      <c r="E487" t="s">
        <v>1533</v>
      </c>
      <c r="F487" t="s">
        <v>37</v>
      </c>
      <c r="G487" t="s">
        <v>38</v>
      </c>
      <c r="H487" t="s">
        <v>1534</v>
      </c>
      <c r="I487" t="s">
        <v>40</v>
      </c>
      <c r="J487">
        <v>2</v>
      </c>
      <c r="K487" t="s">
        <v>41</v>
      </c>
      <c r="L487" t="s">
        <v>42</v>
      </c>
      <c r="M487" t="s">
        <v>43</v>
      </c>
      <c r="N487" s="7">
        <v>1</v>
      </c>
      <c r="O487" s="8">
        <v>45510.515856481485</v>
      </c>
      <c r="P487" s="9">
        <v>45511</v>
      </c>
      <c r="Q487" t="s">
        <v>44</v>
      </c>
      <c r="R487" t="s">
        <v>45</v>
      </c>
      <c r="S487" t="s">
        <v>46</v>
      </c>
      <c r="T487" t="s">
        <v>84</v>
      </c>
      <c r="U487" t="s">
        <v>1535</v>
      </c>
      <c r="V487">
        <v>18300</v>
      </c>
      <c r="W487" t="s">
        <v>45</v>
      </c>
      <c r="X487" t="s">
        <v>74</v>
      </c>
      <c r="Y487" t="s">
        <v>50</v>
      </c>
      <c r="Z487" s="10">
        <f t="shared" ref="Z487" si="43">IF(N487&lt;=1,9,9+0.8*ROUNDUP(N487-1,0))</f>
        <v>9</v>
      </c>
      <c r="AA487" s="11">
        <v>0</v>
      </c>
      <c r="AB487" s="11">
        <v>-2</v>
      </c>
      <c r="AC487" s="11">
        <v>0</v>
      </c>
      <c r="AD487" s="11">
        <v>0</v>
      </c>
      <c r="AE487" s="11">
        <v>0</v>
      </c>
      <c r="AF487" s="11">
        <f t="shared" si="37"/>
        <v>0.42</v>
      </c>
      <c r="AG487" s="11">
        <f t="shared" si="38"/>
        <v>7.42</v>
      </c>
      <c r="AH487" t="s">
        <v>51</v>
      </c>
    </row>
    <row r="488" spans="1:34" ht="15" customHeight="1" x14ac:dyDescent="0.25">
      <c r="A488">
        <v>7547676</v>
      </c>
      <c r="B488" t="s">
        <v>34</v>
      </c>
      <c r="C488" t="s">
        <v>35</v>
      </c>
      <c r="D488" s="6" t="s">
        <v>34</v>
      </c>
      <c r="E488" t="s">
        <v>1536</v>
      </c>
      <c r="F488" t="s">
        <v>37</v>
      </c>
      <c r="G488" t="s">
        <v>38</v>
      </c>
      <c r="H488" t="s">
        <v>1537</v>
      </c>
      <c r="I488" t="s">
        <v>40</v>
      </c>
      <c r="J488">
        <v>2</v>
      </c>
      <c r="K488" t="s">
        <v>41</v>
      </c>
      <c r="L488" t="s">
        <v>42</v>
      </c>
      <c r="M488" t="s">
        <v>43</v>
      </c>
      <c r="N488" s="7">
        <v>1</v>
      </c>
      <c r="O488" s="8">
        <v>45508.595879629633</v>
      </c>
      <c r="P488" s="9">
        <v>45510</v>
      </c>
      <c r="Q488" t="s">
        <v>44</v>
      </c>
      <c r="R488" t="s">
        <v>45</v>
      </c>
      <c r="S488" t="s">
        <v>1181</v>
      </c>
      <c r="T488" t="s">
        <v>1191</v>
      </c>
      <c r="U488" t="s">
        <v>1538</v>
      </c>
      <c r="V488">
        <v>62150</v>
      </c>
      <c r="W488" t="s">
        <v>45</v>
      </c>
      <c r="X488" t="s">
        <v>69</v>
      </c>
      <c r="Y488" t="s">
        <v>50</v>
      </c>
      <c r="Z488" s="10">
        <f>IF(N488&lt;=1,9,9+0.8*ROUNDUP(N488-1,0))</f>
        <v>9</v>
      </c>
      <c r="AA488" s="11">
        <v>0</v>
      </c>
      <c r="AB488" s="11">
        <v>-2</v>
      </c>
      <c r="AC488" s="11">
        <v>0</v>
      </c>
      <c r="AD488" s="11">
        <v>0</v>
      </c>
      <c r="AE488" s="11">
        <v>0</v>
      </c>
      <c r="AF488" s="11">
        <f t="shared" si="37"/>
        <v>0.42</v>
      </c>
      <c r="AG488" s="11">
        <f t="shared" si="38"/>
        <v>7.42</v>
      </c>
      <c r="AH488" t="s">
        <v>51</v>
      </c>
    </row>
    <row r="489" spans="1:34" ht="15" customHeight="1" x14ac:dyDescent="0.25">
      <c r="A489">
        <v>7547676</v>
      </c>
      <c r="B489" t="s">
        <v>34</v>
      </c>
      <c r="C489" t="s">
        <v>35</v>
      </c>
      <c r="D489" s="6" t="s">
        <v>34</v>
      </c>
      <c r="E489" t="s">
        <v>1539</v>
      </c>
      <c r="F489" t="s">
        <v>37</v>
      </c>
      <c r="G489" t="s">
        <v>38</v>
      </c>
      <c r="H489" t="s">
        <v>960</v>
      </c>
      <c r="I489" t="s">
        <v>40</v>
      </c>
      <c r="J489">
        <v>2</v>
      </c>
      <c r="K489" t="s">
        <v>41</v>
      </c>
      <c r="L489" t="s">
        <v>42</v>
      </c>
      <c r="M489" t="s">
        <v>43</v>
      </c>
      <c r="N489" s="7">
        <v>1</v>
      </c>
      <c r="O489" s="8">
        <v>45509.499814814815</v>
      </c>
      <c r="P489" s="9">
        <v>45511</v>
      </c>
      <c r="Q489" t="s">
        <v>44</v>
      </c>
      <c r="R489" t="s">
        <v>45</v>
      </c>
      <c r="S489" t="s">
        <v>1181</v>
      </c>
      <c r="T489" t="s">
        <v>116</v>
      </c>
      <c r="U489" t="s">
        <v>1540</v>
      </c>
      <c r="V489">
        <v>89600</v>
      </c>
      <c r="W489" t="s">
        <v>118</v>
      </c>
      <c r="X489" t="s">
        <v>69</v>
      </c>
      <c r="Y489" t="s">
        <v>50</v>
      </c>
      <c r="Z489" s="12">
        <f>IF(N489&lt;=1,13,IF(N489&lt;=2,23,IF(N489&lt;=3,35,IF(N489&lt;=4,43,IF(N489&lt;=5,53,IF(N489&lt;=6,63,IF(N489&lt;=7,71,IF(N489&lt;=8,79,IF(N489&lt;=9,87,IF(N489&lt;=10,95,IF(N489&lt;=11,105,IF(N489&lt;=12,114,IF(N489&lt;=13,119,IF(N489&lt;=14,127,IF(N489&lt;=15,135,IF(N489&lt;=16,143,IF(N489&lt;=17,153,IF(N489&lt;=18,163,IF(N489&lt;=19,171,IF(N489&lt;=20,185,IF(N489&lt;=21,193,IF(N489&lt;=22,201,IF(N489&lt;=23,210,IF(N489&lt;=24,220,IF(N489&lt;=25,230,IF(N489&lt;=26,240,IF(N489&lt;=27,250,IF(N489&lt;=28,260,IF(N489&lt;=29,270,IF(N489&lt;=30,280,280+10*ROUNDUP(N489-30,0)))))))))))))))))))))))))))))))</f>
        <v>13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f t="shared" si="37"/>
        <v>0.78</v>
      </c>
      <c r="AG489" s="11">
        <f t="shared" si="38"/>
        <v>13.78</v>
      </c>
      <c r="AH489" t="s">
        <v>119</v>
      </c>
    </row>
    <row r="490" spans="1:34" ht="15" customHeight="1" x14ac:dyDescent="0.25">
      <c r="A490">
        <v>7547676</v>
      </c>
      <c r="B490" t="s">
        <v>34</v>
      </c>
      <c r="C490" t="s">
        <v>35</v>
      </c>
      <c r="D490" s="6" t="s">
        <v>34</v>
      </c>
      <c r="E490" t="s">
        <v>1541</v>
      </c>
      <c r="F490" t="s">
        <v>37</v>
      </c>
      <c r="G490" t="s">
        <v>38</v>
      </c>
      <c r="H490" t="s">
        <v>1542</v>
      </c>
      <c r="I490" t="s">
        <v>40</v>
      </c>
      <c r="J490">
        <v>2</v>
      </c>
      <c r="K490" t="s">
        <v>41</v>
      </c>
      <c r="L490" t="s">
        <v>42</v>
      </c>
      <c r="M490" t="s">
        <v>43</v>
      </c>
      <c r="N490" s="7">
        <v>1</v>
      </c>
      <c r="O490" s="8">
        <v>45509.49627314815</v>
      </c>
      <c r="P490" s="9">
        <v>45511</v>
      </c>
      <c r="Q490" t="s">
        <v>44</v>
      </c>
      <c r="R490" t="s">
        <v>45</v>
      </c>
      <c r="S490" t="s">
        <v>1181</v>
      </c>
      <c r="T490" t="s">
        <v>107</v>
      </c>
      <c r="U490" t="s">
        <v>1543</v>
      </c>
      <c r="V490">
        <v>8000</v>
      </c>
      <c r="W490" t="s">
        <v>45</v>
      </c>
      <c r="X490" t="s">
        <v>109</v>
      </c>
      <c r="Y490" t="s">
        <v>50</v>
      </c>
      <c r="Z490" s="10">
        <f t="shared" ref="Z490:Z498" si="44">IF(N490&lt;=1,9,9+0.8*ROUNDUP(N490-1,0))</f>
        <v>9</v>
      </c>
      <c r="AA490" s="11">
        <v>0</v>
      </c>
      <c r="AB490" s="11">
        <v>-2</v>
      </c>
      <c r="AC490" s="11">
        <v>0</v>
      </c>
      <c r="AD490" s="11">
        <v>0</v>
      </c>
      <c r="AE490" s="11">
        <v>0</v>
      </c>
      <c r="AF490" s="11">
        <f t="shared" si="37"/>
        <v>0.42</v>
      </c>
      <c r="AG490" s="11">
        <f t="shared" si="38"/>
        <v>7.42</v>
      </c>
      <c r="AH490" t="s">
        <v>51</v>
      </c>
    </row>
    <row r="491" spans="1:34" ht="15" customHeight="1" x14ac:dyDescent="0.25">
      <c r="A491">
        <v>7547676</v>
      </c>
      <c r="B491" t="s">
        <v>34</v>
      </c>
      <c r="C491" t="s">
        <v>35</v>
      </c>
      <c r="D491" s="6" t="s">
        <v>34</v>
      </c>
      <c r="E491" t="s">
        <v>1544</v>
      </c>
      <c r="F491" t="s">
        <v>37</v>
      </c>
      <c r="G491" t="s">
        <v>38</v>
      </c>
      <c r="H491" t="s">
        <v>1545</v>
      </c>
      <c r="I491" t="s">
        <v>40</v>
      </c>
      <c r="J491">
        <v>2</v>
      </c>
      <c r="K491" t="s">
        <v>41</v>
      </c>
      <c r="L491" t="s">
        <v>42</v>
      </c>
      <c r="M491" t="s">
        <v>43</v>
      </c>
      <c r="N491" s="7">
        <v>1</v>
      </c>
      <c r="O491" s="8">
        <v>45509.734780092593</v>
      </c>
      <c r="P491" s="9">
        <v>45511</v>
      </c>
      <c r="Q491" t="s">
        <v>44</v>
      </c>
      <c r="R491" t="s">
        <v>45</v>
      </c>
      <c r="S491" t="s">
        <v>1181</v>
      </c>
      <c r="T491" t="s">
        <v>72</v>
      </c>
      <c r="U491" t="s">
        <v>1546</v>
      </c>
      <c r="V491">
        <v>24000</v>
      </c>
      <c r="W491" t="s">
        <v>45</v>
      </c>
      <c r="X491" t="s">
        <v>225</v>
      </c>
      <c r="Y491" t="s">
        <v>50</v>
      </c>
      <c r="Z491" s="10">
        <f t="shared" si="44"/>
        <v>9</v>
      </c>
      <c r="AA491" s="11">
        <v>0</v>
      </c>
      <c r="AB491" s="11">
        <v>-2</v>
      </c>
      <c r="AC491" s="11">
        <v>0</v>
      </c>
      <c r="AD491" s="11">
        <v>0</v>
      </c>
      <c r="AE491" s="11">
        <v>0</v>
      </c>
      <c r="AF491" s="11">
        <f t="shared" si="37"/>
        <v>0.42</v>
      </c>
      <c r="AG491" s="11">
        <f t="shared" si="38"/>
        <v>7.42</v>
      </c>
      <c r="AH491" t="s">
        <v>51</v>
      </c>
    </row>
    <row r="492" spans="1:34" ht="15" customHeight="1" x14ac:dyDescent="0.25">
      <c r="A492">
        <v>7547676</v>
      </c>
      <c r="B492" t="s">
        <v>34</v>
      </c>
      <c r="C492" t="s">
        <v>35</v>
      </c>
      <c r="D492" s="6" t="s">
        <v>34</v>
      </c>
      <c r="E492" t="s">
        <v>1547</v>
      </c>
      <c r="F492" t="s">
        <v>37</v>
      </c>
      <c r="G492" t="s">
        <v>38</v>
      </c>
      <c r="H492" t="s">
        <v>1548</v>
      </c>
      <c r="I492" t="s">
        <v>40</v>
      </c>
      <c r="J492">
        <v>2</v>
      </c>
      <c r="K492" t="s">
        <v>41</v>
      </c>
      <c r="L492" t="s">
        <v>42</v>
      </c>
      <c r="M492" t="s">
        <v>43</v>
      </c>
      <c r="N492" s="7">
        <v>4</v>
      </c>
      <c r="O492" s="8">
        <v>45509.626898148148</v>
      </c>
      <c r="P492" s="9">
        <v>45511</v>
      </c>
      <c r="Q492" t="s">
        <v>44</v>
      </c>
      <c r="R492" t="s">
        <v>45</v>
      </c>
      <c r="S492" t="s">
        <v>1181</v>
      </c>
      <c r="T492" t="s">
        <v>54</v>
      </c>
      <c r="U492" t="s">
        <v>1549</v>
      </c>
      <c r="V492">
        <v>83000</v>
      </c>
      <c r="W492" t="s">
        <v>45</v>
      </c>
      <c r="X492" t="s">
        <v>1550</v>
      </c>
      <c r="Y492" t="s">
        <v>50</v>
      </c>
      <c r="Z492" s="10">
        <f t="shared" si="44"/>
        <v>11.4</v>
      </c>
      <c r="AA492" s="11">
        <v>0</v>
      </c>
      <c r="AB492" s="11">
        <v>-2</v>
      </c>
      <c r="AC492" s="11">
        <v>0</v>
      </c>
      <c r="AD492" s="11">
        <v>0</v>
      </c>
      <c r="AE492" s="11">
        <v>0</v>
      </c>
      <c r="AF492" s="11">
        <f t="shared" si="37"/>
        <v>0.56399999999999995</v>
      </c>
      <c r="AG492" s="11">
        <f t="shared" si="38"/>
        <v>9.9640000000000004</v>
      </c>
      <c r="AH492" t="s">
        <v>51</v>
      </c>
    </row>
    <row r="493" spans="1:34" ht="15" customHeight="1" x14ac:dyDescent="0.25">
      <c r="A493">
        <v>7547676</v>
      </c>
      <c r="B493" t="s">
        <v>34</v>
      </c>
      <c r="C493" t="s">
        <v>35</v>
      </c>
      <c r="D493" s="6" t="s">
        <v>34</v>
      </c>
      <c r="E493" t="s">
        <v>1551</v>
      </c>
      <c r="F493" t="s">
        <v>37</v>
      </c>
      <c r="G493" t="s">
        <v>38</v>
      </c>
      <c r="H493" t="s">
        <v>1552</v>
      </c>
      <c r="I493" t="s">
        <v>40</v>
      </c>
      <c r="J493">
        <v>2</v>
      </c>
      <c r="K493" t="s">
        <v>41</v>
      </c>
      <c r="L493" t="s">
        <v>42</v>
      </c>
      <c r="M493" t="s">
        <v>43</v>
      </c>
      <c r="N493" s="7">
        <v>3</v>
      </c>
      <c r="O493" s="8">
        <v>45510.614687499998</v>
      </c>
      <c r="P493" s="9">
        <v>45511</v>
      </c>
      <c r="Q493" t="s">
        <v>44</v>
      </c>
      <c r="R493" t="s">
        <v>45</v>
      </c>
      <c r="S493" t="s">
        <v>46</v>
      </c>
      <c r="T493" t="s">
        <v>223</v>
      </c>
      <c r="U493" t="s">
        <v>1553</v>
      </c>
      <c r="V493">
        <v>28000</v>
      </c>
      <c r="W493" t="s">
        <v>45</v>
      </c>
      <c r="X493" t="s">
        <v>225</v>
      </c>
      <c r="Y493" t="s">
        <v>50</v>
      </c>
      <c r="Z493" s="10">
        <f t="shared" si="44"/>
        <v>10.6</v>
      </c>
      <c r="AA493" s="11">
        <v>0</v>
      </c>
      <c r="AB493" s="11">
        <v>-2</v>
      </c>
      <c r="AC493" s="11">
        <v>0</v>
      </c>
      <c r="AD493" s="11">
        <v>0</v>
      </c>
      <c r="AE493" s="11">
        <v>0</v>
      </c>
      <c r="AF493" s="11">
        <f t="shared" si="37"/>
        <v>0.51600000000000001</v>
      </c>
      <c r="AG493" s="11">
        <f t="shared" si="38"/>
        <v>9.1159999999999997</v>
      </c>
      <c r="AH493" t="s">
        <v>51</v>
      </c>
    </row>
    <row r="494" spans="1:34" ht="15" customHeight="1" x14ac:dyDescent="0.25">
      <c r="A494">
        <v>7547676</v>
      </c>
      <c r="B494" t="s">
        <v>34</v>
      </c>
      <c r="C494" t="s">
        <v>35</v>
      </c>
      <c r="D494" s="6" t="s">
        <v>34</v>
      </c>
      <c r="E494" t="s">
        <v>1554</v>
      </c>
      <c r="F494" t="s">
        <v>37</v>
      </c>
      <c r="G494" t="s">
        <v>38</v>
      </c>
      <c r="H494" t="s">
        <v>1555</v>
      </c>
      <c r="I494" t="s">
        <v>40</v>
      </c>
      <c r="J494">
        <v>2</v>
      </c>
      <c r="K494" t="s">
        <v>41</v>
      </c>
      <c r="L494" t="s">
        <v>42</v>
      </c>
      <c r="M494" t="s">
        <v>43</v>
      </c>
      <c r="N494" s="7">
        <v>1</v>
      </c>
      <c r="O494" s="8">
        <v>45509.816562499997</v>
      </c>
      <c r="P494" s="9">
        <v>45511</v>
      </c>
      <c r="Q494" t="s">
        <v>44</v>
      </c>
      <c r="R494" t="s">
        <v>45</v>
      </c>
      <c r="S494" t="s">
        <v>46</v>
      </c>
      <c r="T494" t="s">
        <v>92</v>
      </c>
      <c r="U494" t="s">
        <v>1556</v>
      </c>
      <c r="V494">
        <v>43300</v>
      </c>
      <c r="W494" t="s">
        <v>45</v>
      </c>
      <c r="X494" t="s">
        <v>652</v>
      </c>
      <c r="Y494" t="s">
        <v>50</v>
      </c>
      <c r="Z494" s="10">
        <f t="shared" si="44"/>
        <v>9</v>
      </c>
      <c r="AA494" s="11">
        <v>0</v>
      </c>
      <c r="AB494" s="11">
        <v>-2</v>
      </c>
      <c r="AC494" s="11">
        <v>0</v>
      </c>
      <c r="AD494" s="11">
        <v>0</v>
      </c>
      <c r="AE494" s="11">
        <v>0</v>
      </c>
      <c r="AF494" s="11">
        <f t="shared" si="37"/>
        <v>0.42</v>
      </c>
      <c r="AG494" s="11">
        <f t="shared" si="38"/>
        <v>7.42</v>
      </c>
      <c r="AH494" t="s">
        <v>51</v>
      </c>
    </row>
    <row r="495" spans="1:34" ht="15" customHeight="1" x14ac:dyDescent="0.25">
      <c r="A495">
        <v>7547676</v>
      </c>
      <c r="B495" t="s">
        <v>34</v>
      </c>
      <c r="C495" t="s">
        <v>35</v>
      </c>
      <c r="D495" s="6" t="s">
        <v>34</v>
      </c>
      <c r="E495" t="s">
        <v>1557</v>
      </c>
      <c r="F495" t="s">
        <v>37</v>
      </c>
      <c r="G495" t="s">
        <v>38</v>
      </c>
      <c r="H495" t="s">
        <v>1558</v>
      </c>
      <c r="I495" t="s">
        <v>40</v>
      </c>
      <c r="J495">
        <v>2</v>
      </c>
      <c r="K495" t="s">
        <v>41</v>
      </c>
      <c r="L495" t="s">
        <v>42</v>
      </c>
      <c r="M495" t="s">
        <v>43</v>
      </c>
      <c r="N495" s="7">
        <v>1</v>
      </c>
      <c r="O495" s="8">
        <v>45509.741770833331</v>
      </c>
      <c r="P495" s="9">
        <v>45511</v>
      </c>
      <c r="Q495" t="s">
        <v>44</v>
      </c>
      <c r="R495" t="s">
        <v>45</v>
      </c>
      <c r="S495" t="s">
        <v>1181</v>
      </c>
      <c r="T495" t="s">
        <v>72</v>
      </c>
      <c r="U495" t="s">
        <v>1559</v>
      </c>
      <c r="V495">
        <v>24000</v>
      </c>
      <c r="W495" t="s">
        <v>45</v>
      </c>
      <c r="X495" t="s">
        <v>225</v>
      </c>
      <c r="Y495" t="s">
        <v>50</v>
      </c>
      <c r="Z495" s="10">
        <f t="shared" si="44"/>
        <v>9</v>
      </c>
      <c r="AA495" s="11">
        <v>0</v>
      </c>
      <c r="AB495" s="11">
        <v>-2</v>
      </c>
      <c r="AC495" s="11">
        <v>0</v>
      </c>
      <c r="AD495" s="11">
        <v>0</v>
      </c>
      <c r="AE495" s="11">
        <v>0</v>
      </c>
      <c r="AF495" s="11">
        <f t="shared" si="37"/>
        <v>0.42</v>
      </c>
      <c r="AG495" s="11">
        <f t="shared" si="38"/>
        <v>7.42</v>
      </c>
      <c r="AH495" t="s">
        <v>51</v>
      </c>
    </row>
    <row r="496" spans="1:34" ht="15" customHeight="1" x14ac:dyDescent="0.25">
      <c r="A496">
        <v>7547676</v>
      </c>
      <c r="B496" t="s">
        <v>34</v>
      </c>
      <c r="C496" t="s">
        <v>35</v>
      </c>
      <c r="D496" s="6" t="s">
        <v>34</v>
      </c>
      <c r="E496" t="s">
        <v>1560</v>
      </c>
      <c r="F496" t="s">
        <v>37</v>
      </c>
      <c r="G496" t="s">
        <v>38</v>
      </c>
      <c r="H496" t="s">
        <v>1561</v>
      </c>
      <c r="I496" t="s">
        <v>40</v>
      </c>
      <c r="J496">
        <v>2</v>
      </c>
      <c r="K496" t="s">
        <v>41</v>
      </c>
      <c r="L496" t="s">
        <v>42</v>
      </c>
      <c r="M496" t="s">
        <v>43</v>
      </c>
      <c r="N496" s="7">
        <v>1</v>
      </c>
      <c r="O496" s="8">
        <v>45509.620682870373</v>
      </c>
      <c r="P496" s="9">
        <v>45511</v>
      </c>
      <c r="Q496" t="s">
        <v>44</v>
      </c>
      <c r="R496" t="s">
        <v>45</v>
      </c>
      <c r="S496" t="s">
        <v>1181</v>
      </c>
      <c r="T496" t="s">
        <v>92</v>
      </c>
      <c r="U496" t="s">
        <v>1562</v>
      </c>
      <c r="V496">
        <v>47190</v>
      </c>
      <c r="W496" t="s">
        <v>45</v>
      </c>
      <c r="X496" t="s">
        <v>69</v>
      </c>
      <c r="Y496" t="s">
        <v>50</v>
      </c>
      <c r="Z496" s="10">
        <f t="shared" si="44"/>
        <v>9</v>
      </c>
      <c r="AA496" s="11">
        <v>0</v>
      </c>
      <c r="AB496" s="11">
        <v>-2</v>
      </c>
      <c r="AC496" s="11">
        <v>0</v>
      </c>
      <c r="AD496" s="11">
        <v>0</v>
      </c>
      <c r="AE496" s="11">
        <v>0</v>
      </c>
      <c r="AF496" s="11">
        <f t="shared" si="37"/>
        <v>0.42</v>
      </c>
      <c r="AG496" s="11">
        <f t="shared" si="38"/>
        <v>7.42</v>
      </c>
      <c r="AH496" t="s">
        <v>51</v>
      </c>
    </row>
    <row r="497" spans="1:34" ht="15" customHeight="1" x14ac:dyDescent="0.25">
      <c r="A497">
        <v>7547676</v>
      </c>
      <c r="B497" t="s">
        <v>34</v>
      </c>
      <c r="C497" t="s">
        <v>35</v>
      </c>
      <c r="D497" s="6" t="s">
        <v>34</v>
      </c>
      <c r="E497" t="s">
        <v>1563</v>
      </c>
      <c r="F497" t="s">
        <v>37</v>
      </c>
      <c r="G497" t="s">
        <v>38</v>
      </c>
      <c r="H497" t="s">
        <v>1564</v>
      </c>
      <c r="I497" t="s">
        <v>40</v>
      </c>
      <c r="J497">
        <v>2</v>
      </c>
      <c r="K497" t="s">
        <v>41</v>
      </c>
      <c r="L497" t="s">
        <v>42</v>
      </c>
      <c r="M497" t="s">
        <v>43</v>
      </c>
      <c r="N497" s="7">
        <v>4</v>
      </c>
      <c r="O497" s="8">
        <v>45509.433553240742</v>
      </c>
      <c r="P497" s="9">
        <v>45511</v>
      </c>
      <c r="Q497" t="s">
        <v>44</v>
      </c>
      <c r="R497" t="s">
        <v>45</v>
      </c>
      <c r="S497" t="s">
        <v>1181</v>
      </c>
      <c r="T497" t="s">
        <v>54</v>
      </c>
      <c r="U497" t="s">
        <v>1565</v>
      </c>
      <c r="V497">
        <v>81700</v>
      </c>
      <c r="W497" t="s">
        <v>45</v>
      </c>
      <c r="X497" t="s">
        <v>65</v>
      </c>
      <c r="Y497" t="s">
        <v>50</v>
      </c>
      <c r="Z497" s="10">
        <f t="shared" si="44"/>
        <v>11.4</v>
      </c>
      <c r="AA497" s="11">
        <v>0</v>
      </c>
      <c r="AB497" s="11">
        <v>-2</v>
      </c>
      <c r="AC497" s="11">
        <v>0</v>
      </c>
      <c r="AD497" s="11">
        <v>0</v>
      </c>
      <c r="AE497" s="11">
        <v>0</v>
      </c>
      <c r="AF497" s="11">
        <f t="shared" si="37"/>
        <v>0.56399999999999995</v>
      </c>
      <c r="AG497" s="11">
        <f t="shared" si="38"/>
        <v>9.9640000000000004</v>
      </c>
      <c r="AH497" t="s">
        <v>51</v>
      </c>
    </row>
    <row r="498" spans="1:34" ht="15" customHeight="1" x14ac:dyDescent="0.25">
      <c r="A498">
        <v>7547676</v>
      </c>
      <c r="B498" t="s">
        <v>34</v>
      </c>
      <c r="C498" t="s">
        <v>35</v>
      </c>
      <c r="D498" s="6" t="s">
        <v>34</v>
      </c>
      <c r="E498" t="s">
        <v>1566</v>
      </c>
      <c r="F498" t="s">
        <v>37</v>
      </c>
      <c r="G498" t="s">
        <v>38</v>
      </c>
      <c r="H498" t="s">
        <v>1567</v>
      </c>
      <c r="I498" t="s">
        <v>40</v>
      </c>
      <c r="J498">
        <v>2</v>
      </c>
      <c r="K498" t="s">
        <v>41</v>
      </c>
      <c r="L498" t="s">
        <v>42</v>
      </c>
      <c r="M498" t="s">
        <v>43</v>
      </c>
      <c r="N498" s="7">
        <v>1</v>
      </c>
      <c r="O498" s="8">
        <v>45510.515856481485</v>
      </c>
      <c r="P498" s="9">
        <v>45511</v>
      </c>
      <c r="Q498" t="s">
        <v>44</v>
      </c>
      <c r="R498" t="s">
        <v>45</v>
      </c>
      <c r="S498" t="s">
        <v>46</v>
      </c>
      <c r="T498" t="s">
        <v>84</v>
      </c>
      <c r="U498" t="s">
        <v>1568</v>
      </c>
      <c r="V498">
        <v>18000</v>
      </c>
      <c r="W498" t="s">
        <v>45</v>
      </c>
      <c r="X498" t="s">
        <v>1569</v>
      </c>
      <c r="Y498" t="s">
        <v>50</v>
      </c>
      <c r="Z498" s="10">
        <f t="shared" si="44"/>
        <v>9</v>
      </c>
      <c r="AA498" s="11">
        <v>0</v>
      </c>
      <c r="AB498" s="11">
        <v>-2</v>
      </c>
      <c r="AC498" s="11">
        <v>0</v>
      </c>
      <c r="AD498" s="11">
        <v>0</v>
      </c>
      <c r="AE498" s="11">
        <v>0</v>
      </c>
      <c r="AF498" s="11">
        <f t="shared" si="37"/>
        <v>0.42</v>
      </c>
      <c r="AG498" s="11">
        <f t="shared" si="38"/>
        <v>7.42</v>
      </c>
      <c r="AH498" t="s">
        <v>51</v>
      </c>
    </row>
    <row r="499" spans="1:34" ht="15" customHeight="1" x14ac:dyDescent="0.25">
      <c r="A499">
        <v>7547676</v>
      </c>
      <c r="B499" t="s">
        <v>34</v>
      </c>
      <c r="C499" t="s">
        <v>35</v>
      </c>
      <c r="D499" s="6" t="s">
        <v>34</v>
      </c>
      <c r="E499" t="s">
        <v>1570</v>
      </c>
      <c r="F499" t="s">
        <v>37</v>
      </c>
      <c r="G499" t="s">
        <v>38</v>
      </c>
      <c r="H499" t="s">
        <v>1571</v>
      </c>
      <c r="I499" t="s">
        <v>40</v>
      </c>
      <c r="J499">
        <v>2</v>
      </c>
      <c r="K499" t="s">
        <v>41</v>
      </c>
      <c r="L499" t="s">
        <v>42</v>
      </c>
      <c r="M499" t="s">
        <v>43</v>
      </c>
      <c r="N499" s="7">
        <v>1</v>
      </c>
      <c r="O499" s="8">
        <v>45509.705312500002</v>
      </c>
      <c r="P499" s="9">
        <v>45511</v>
      </c>
      <c r="Q499" t="s">
        <v>44</v>
      </c>
      <c r="R499" t="s">
        <v>45</v>
      </c>
      <c r="S499" t="s">
        <v>1181</v>
      </c>
      <c r="T499" t="s">
        <v>146</v>
      </c>
      <c r="U499" t="s">
        <v>1572</v>
      </c>
      <c r="V499">
        <v>58200</v>
      </c>
      <c r="W499" t="s">
        <v>45</v>
      </c>
      <c r="X499" t="s">
        <v>274</v>
      </c>
      <c r="Y499" t="s">
        <v>50</v>
      </c>
      <c r="Z499" s="10">
        <f>IF(N499&lt;=1,9,9+0.8*ROUNDUP(N499-1,0))</f>
        <v>9</v>
      </c>
      <c r="AA499" s="11">
        <v>0</v>
      </c>
      <c r="AB499" s="11">
        <v>-2</v>
      </c>
      <c r="AC499" s="11">
        <v>0</v>
      </c>
      <c r="AD499" s="11">
        <v>0</v>
      </c>
      <c r="AE499" s="11">
        <v>0</v>
      </c>
      <c r="AF499" s="11">
        <f t="shared" si="37"/>
        <v>0.42</v>
      </c>
      <c r="AG499" s="11">
        <f t="shared" si="38"/>
        <v>7.42</v>
      </c>
      <c r="AH499" t="s">
        <v>51</v>
      </c>
    </row>
    <row r="500" spans="1:34" ht="15" customHeight="1" x14ac:dyDescent="0.25">
      <c r="A500">
        <v>7547676</v>
      </c>
      <c r="B500" t="s">
        <v>34</v>
      </c>
      <c r="C500" t="s">
        <v>35</v>
      </c>
      <c r="D500" s="6" t="s">
        <v>34</v>
      </c>
      <c r="E500" t="s">
        <v>1573</v>
      </c>
      <c r="F500" t="s">
        <v>37</v>
      </c>
      <c r="G500" t="s">
        <v>38</v>
      </c>
      <c r="H500" t="s">
        <v>1574</v>
      </c>
      <c r="I500" t="s">
        <v>40</v>
      </c>
      <c r="J500">
        <v>2</v>
      </c>
      <c r="K500" t="s">
        <v>41</v>
      </c>
      <c r="L500" t="s">
        <v>42</v>
      </c>
      <c r="M500" t="s">
        <v>43</v>
      </c>
      <c r="N500" s="7">
        <v>1</v>
      </c>
      <c r="O500" s="8">
        <v>45509.719293981485</v>
      </c>
      <c r="P500" s="9">
        <v>45511</v>
      </c>
      <c r="Q500" t="s">
        <v>44</v>
      </c>
      <c r="R500" t="s">
        <v>45</v>
      </c>
      <c r="S500" t="s">
        <v>1181</v>
      </c>
      <c r="T500" t="s">
        <v>92</v>
      </c>
      <c r="U500" t="s">
        <v>1575</v>
      </c>
      <c r="V500">
        <v>47650</v>
      </c>
      <c r="W500" t="s">
        <v>45</v>
      </c>
      <c r="X500" t="s">
        <v>446</v>
      </c>
      <c r="Y500" t="s">
        <v>50</v>
      </c>
      <c r="Z500" s="10">
        <f t="shared" ref="Z500:Z503" si="45">IF(N500&lt;=1,9,9+0.8*ROUNDUP(N500-1,0))</f>
        <v>9</v>
      </c>
      <c r="AA500" s="11">
        <v>0</v>
      </c>
      <c r="AB500" s="11">
        <v>-2</v>
      </c>
      <c r="AC500" s="11">
        <v>0</v>
      </c>
      <c r="AD500" s="11">
        <v>0</v>
      </c>
      <c r="AE500" s="11">
        <v>0</v>
      </c>
      <c r="AF500" s="11">
        <f t="shared" si="37"/>
        <v>0.42</v>
      </c>
      <c r="AG500" s="11">
        <f t="shared" si="38"/>
        <v>7.42</v>
      </c>
      <c r="AH500" t="s">
        <v>51</v>
      </c>
    </row>
    <row r="501" spans="1:34" ht="15" customHeight="1" x14ac:dyDescent="0.25">
      <c r="A501">
        <v>7547676</v>
      </c>
      <c r="B501" t="s">
        <v>34</v>
      </c>
      <c r="C501" t="s">
        <v>35</v>
      </c>
      <c r="D501" s="6" t="s">
        <v>34</v>
      </c>
      <c r="E501" t="s">
        <v>1576</v>
      </c>
      <c r="F501" t="s">
        <v>37</v>
      </c>
      <c r="G501" t="s">
        <v>38</v>
      </c>
      <c r="H501" t="s">
        <v>1577</v>
      </c>
      <c r="I501" t="s">
        <v>40</v>
      </c>
      <c r="J501">
        <v>2</v>
      </c>
      <c r="K501" t="s">
        <v>41</v>
      </c>
      <c r="L501" t="s">
        <v>42</v>
      </c>
      <c r="M501" t="s">
        <v>43</v>
      </c>
      <c r="N501" s="7">
        <v>1</v>
      </c>
      <c r="O501" s="8">
        <v>45508.836851851855</v>
      </c>
      <c r="P501" s="9">
        <v>45511</v>
      </c>
      <c r="Q501" t="s">
        <v>44</v>
      </c>
      <c r="R501" t="s">
        <v>45</v>
      </c>
      <c r="S501" t="s">
        <v>1181</v>
      </c>
      <c r="T501" t="s">
        <v>47</v>
      </c>
      <c r="U501" t="s">
        <v>1578</v>
      </c>
      <c r="V501">
        <v>33010</v>
      </c>
      <c r="W501" t="s">
        <v>45</v>
      </c>
      <c r="X501" t="s">
        <v>191</v>
      </c>
      <c r="Y501" t="s">
        <v>50</v>
      </c>
      <c r="Z501" s="10">
        <f t="shared" si="45"/>
        <v>9</v>
      </c>
      <c r="AA501" s="11">
        <v>0</v>
      </c>
      <c r="AB501" s="11">
        <v>-2</v>
      </c>
      <c r="AC501" s="11">
        <v>0</v>
      </c>
      <c r="AD501" s="11">
        <v>0</v>
      </c>
      <c r="AE501" s="11">
        <v>0</v>
      </c>
      <c r="AF501" s="11">
        <f t="shared" si="37"/>
        <v>0.42</v>
      </c>
      <c r="AG501" s="11">
        <f t="shared" si="38"/>
        <v>7.42</v>
      </c>
      <c r="AH501" t="s">
        <v>51</v>
      </c>
    </row>
    <row r="502" spans="1:34" ht="15" customHeight="1" x14ac:dyDescent="0.25">
      <c r="A502">
        <v>7547676</v>
      </c>
      <c r="B502" t="s">
        <v>34</v>
      </c>
      <c r="C502" t="s">
        <v>35</v>
      </c>
      <c r="D502" s="6" t="s">
        <v>34</v>
      </c>
      <c r="E502" t="s">
        <v>1579</v>
      </c>
      <c r="F502" t="s">
        <v>37</v>
      </c>
      <c r="G502" t="s">
        <v>38</v>
      </c>
      <c r="H502" t="s">
        <v>1580</v>
      </c>
      <c r="I502" t="s">
        <v>40</v>
      </c>
      <c r="J502">
        <v>2</v>
      </c>
      <c r="K502" t="s">
        <v>41</v>
      </c>
      <c r="L502" t="s">
        <v>42</v>
      </c>
      <c r="M502" t="s">
        <v>43</v>
      </c>
      <c r="N502" s="7">
        <v>1</v>
      </c>
      <c r="O502" s="8">
        <v>45508.745995370373</v>
      </c>
      <c r="P502" s="9">
        <v>45511</v>
      </c>
      <c r="Q502" t="s">
        <v>44</v>
      </c>
      <c r="R502" t="s">
        <v>45</v>
      </c>
      <c r="S502" t="s">
        <v>1181</v>
      </c>
      <c r="T502" t="s">
        <v>146</v>
      </c>
      <c r="U502" t="s">
        <v>1581</v>
      </c>
      <c r="V502">
        <v>50300</v>
      </c>
      <c r="W502" t="s">
        <v>45</v>
      </c>
      <c r="X502" t="s">
        <v>69</v>
      </c>
      <c r="Y502" t="s">
        <v>50</v>
      </c>
      <c r="Z502" s="10">
        <f t="shared" si="45"/>
        <v>9</v>
      </c>
      <c r="AA502" s="11">
        <v>0</v>
      </c>
      <c r="AB502" s="11">
        <v>-2</v>
      </c>
      <c r="AC502" s="11">
        <v>0</v>
      </c>
      <c r="AD502" s="11">
        <v>0</v>
      </c>
      <c r="AE502" s="11">
        <v>0</v>
      </c>
      <c r="AF502" s="11">
        <f t="shared" si="37"/>
        <v>0.42</v>
      </c>
      <c r="AG502" s="11">
        <f t="shared" si="38"/>
        <v>7.42</v>
      </c>
      <c r="AH502" t="s">
        <v>51</v>
      </c>
    </row>
    <row r="503" spans="1:34" ht="15" customHeight="1" x14ac:dyDescent="0.25">
      <c r="A503">
        <v>7547676</v>
      </c>
      <c r="B503" t="s">
        <v>34</v>
      </c>
      <c r="C503" t="s">
        <v>35</v>
      </c>
      <c r="D503" s="6" t="s">
        <v>34</v>
      </c>
      <c r="E503" t="s">
        <v>1582</v>
      </c>
      <c r="F503" t="s">
        <v>37</v>
      </c>
      <c r="G503" t="s">
        <v>38</v>
      </c>
      <c r="H503" t="s">
        <v>1583</v>
      </c>
      <c r="I503" t="s">
        <v>40</v>
      </c>
      <c r="J503">
        <v>2</v>
      </c>
      <c r="K503" t="s">
        <v>41</v>
      </c>
      <c r="L503" t="s">
        <v>42</v>
      </c>
      <c r="M503" t="s">
        <v>43</v>
      </c>
      <c r="N503" s="7">
        <v>6</v>
      </c>
      <c r="O503" s="8">
        <v>45510.569837962961</v>
      </c>
      <c r="P503" s="9">
        <v>45511</v>
      </c>
      <c r="Q503" t="s">
        <v>44</v>
      </c>
      <c r="R503" t="s">
        <v>45</v>
      </c>
      <c r="S503" t="s">
        <v>46</v>
      </c>
      <c r="T503" t="s">
        <v>1191</v>
      </c>
      <c r="U503" t="s">
        <v>1584</v>
      </c>
      <c r="V503">
        <v>43650</v>
      </c>
      <c r="W503" t="s">
        <v>45</v>
      </c>
      <c r="X503" t="s">
        <v>135</v>
      </c>
      <c r="Y503" t="s">
        <v>50</v>
      </c>
      <c r="Z503" s="10">
        <f t="shared" si="45"/>
        <v>13</v>
      </c>
      <c r="AA503" s="11">
        <v>0</v>
      </c>
      <c r="AB503" s="11">
        <v>-2</v>
      </c>
      <c r="AC503" s="11">
        <v>0</v>
      </c>
      <c r="AD503" s="11">
        <v>0</v>
      </c>
      <c r="AE503" s="11">
        <v>0</v>
      </c>
      <c r="AF503" s="11">
        <f t="shared" si="37"/>
        <v>0.65999999999999992</v>
      </c>
      <c r="AG503" s="11">
        <f t="shared" si="38"/>
        <v>11.66</v>
      </c>
      <c r="AH503" t="s">
        <v>51</v>
      </c>
    </row>
    <row r="504" spans="1:34" ht="15" customHeight="1" x14ac:dyDescent="0.25">
      <c r="A504">
        <v>7547676</v>
      </c>
      <c r="B504" t="s">
        <v>34</v>
      </c>
      <c r="C504" t="s">
        <v>35</v>
      </c>
      <c r="D504" s="6" t="s">
        <v>34</v>
      </c>
      <c r="E504" t="s">
        <v>1585</v>
      </c>
      <c r="F504" t="s">
        <v>37</v>
      </c>
      <c r="G504" t="s">
        <v>38</v>
      </c>
      <c r="H504" t="s">
        <v>1586</v>
      </c>
      <c r="I504" t="s">
        <v>40</v>
      </c>
      <c r="J504">
        <v>2</v>
      </c>
      <c r="K504" t="s">
        <v>41</v>
      </c>
      <c r="L504" t="s">
        <v>42</v>
      </c>
      <c r="M504" t="s">
        <v>43</v>
      </c>
      <c r="N504" s="7">
        <v>8</v>
      </c>
      <c r="O504" s="8">
        <v>45509.691805555558</v>
      </c>
      <c r="P504" s="9">
        <v>45511</v>
      </c>
      <c r="Q504" t="s">
        <v>44</v>
      </c>
      <c r="R504" t="s">
        <v>45</v>
      </c>
      <c r="S504" t="s">
        <v>1181</v>
      </c>
      <c r="T504" t="s">
        <v>146</v>
      </c>
      <c r="U504" t="s">
        <v>1587</v>
      </c>
      <c r="V504">
        <v>54200</v>
      </c>
      <c r="W504" t="s">
        <v>45</v>
      </c>
      <c r="X504" t="s">
        <v>354</v>
      </c>
      <c r="Y504" t="s">
        <v>50</v>
      </c>
      <c r="Z504" s="10">
        <f>IF(N504&lt;=1,9,9+0.8*ROUNDUP(N504-1,0))</f>
        <v>14.600000000000001</v>
      </c>
      <c r="AA504" s="11">
        <v>0</v>
      </c>
      <c r="AB504" s="11">
        <v>-2</v>
      </c>
      <c r="AC504" s="11">
        <v>0</v>
      </c>
      <c r="AD504" s="11">
        <v>0</v>
      </c>
      <c r="AE504" s="11">
        <v>0</v>
      </c>
      <c r="AF504" s="11">
        <f t="shared" si="37"/>
        <v>0.75600000000000001</v>
      </c>
      <c r="AG504" s="11">
        <f t="shared" si="38"/>
        <v>13.356000000000002</v>
      </c>
      <c r="AH504" t="s">
        <v>51</v>
      </c>
    </row>
    <row r="505" spans="1:34" ht="15" customHeight="1" x14ac:dyDescent="0.25">
      <c r="A505">
        <v>7547676</v>
      </c>
      <c r="B505" t="s">
        <v>34</v>
      </c>
      <c r="C505" t="s">
        <v>35</v>
      </c>
      <c r="D505" s="6" t="s">
        <v>34</v>
      </c>
      <c r="E505" t="s">
        <v>1588</v>
      </c>
      <c r="F505" t="s">
        <v>37</v>
      </c>
      <c r="G505" t="s">
        <v>38</v>
      </c>
      <c r="H505" t="s">
        <v>1589</v>
      </c>
      <c r="I505" t="s">
        <v>40</v>
      </c>
      <c r="J505">
        <v>2</v>
      </c>
      <c r="K505" t="s">
        <v>41</v>
      </c>
      <c r="L505" t="s">
        <v>42</v>
      </c>
      <c r="M505" t="s">
        <v>43</v>
      </c>
      <c r="N505" s="7">
        <v>1</v>
      </c>
      <c r="O505" s="8">
        <v>45510.511666666665</v>
      </c>
      <c r="P505" s="9">
        <v>45511</v>
      </c>
      <c r="Q505" t="s">
        <v>44</v>
      </c>
      <c r="R505" t="s">
        <v>45</v>
      </c>
      <c r="S505" t="s">
        <v>46</v>
      </c>
      <c r="T505" t="s">
        <v>92</v>
      </c>
      <c r="U505" t="s">
        <v>1590</v>
      </c>
      <c r="V505">
        <v>43900</v>
      </c>
      <c r="W505" t="s">
        <v>45</v>
      </c>
      <c r="X505" t="s">
        <v>1193</v>
      </c>
      <c r="Y505" t="s">
        <v>50</v>
      </c>
      <c r="Z505" s="10">
        <f t="shared" ref="Z505:Z512" si="46">IF(N505&lt;=1,9,9+0.8*ROUNDUP(N505-1,0))</f>
        <v>9</v>
      </c>
      <c r="AA505" s="11">
        <v>0</v>
      </c>
      <c r="AB505" s="11">
        <v>-2</v>
      </c>
      <c r="AC505" s="11">
        <v>0</v>
      </c>
      <c r="AD505" s="11">
        <v>0</v>
      </c>
      <c r="AE505" s="11">
        <v>0</v>
      </c>
      <c r="AF505" s="11">
        <f t="shared" si="37"/>
        <v>0.42</v>
      </c>
      <c r="AG505" s="11">
        <f t="shared" si="38"/>
        <v>7.42</v>
      </c>
      <c r="AH505" t="s">
        <v>51</v>
      </c>
    </row>
    <row r="506" spans="1:34" ht="15" customHeight="1" x14ac:dyDescent="0.25">
      <c r="A506">
        <v>7547676</v>
      </c>
      <c r="B506" t="s">
        <v>34</v>
      </c>
      <c r="C506" t="s">
        <v>35</v>
      </c>
      <c r="D506" s="6" t="s">
        <v>34</v>
      </c>
      <c r="E506" t="s">
        <v>1591</v>
      </c>
      <c r="F506" t="s">
        <v>37</v>
      </c>
      <c r="G506" t="s">
        <v>38</v>
      </c>
      <c r="H506" t="s">
        <v>1592</v>
      </c>
      <c r="I506" t="s">
        <v>40</v>
      </c>
      <c r="J506">
        <v>2</v>
      </c>
      <c r="K506" t="s">
        <v>41</v>
      </c>
      <c r="L506" t="s">
        <v>42</v>
      </c>
      <c r="M506" t="s">
        <v>43</v>
      </c>
      <c r="N506" s="7">
        <v>1</v>
      </c>
      <c r="O506" s="8">
        <v>45510.710995370369</v>
      </c>
      <c r="P506" s="9">
        <v>45511</v>
      </c>
      <c r="Q506" t="s">
        <v>44</v>
      </c>
      <c r="R506" t="s">
        <v>45</v>
      </c>
      <c r="S506" t="s">
        <v>46</v>
      </c>
      <c r="T506" t="s">
        <v>72</v>
      </c>
      <c r="U506" t="s">
        <v>1593</v>
      </c>
      <c r="V506">
        <v>23100</v>
      </c>
      <c r="W506" t="s">
        <v>45</v>
      </c>
      <c r="X506" t="s">
        <v>69</v>
      </c>
      <c r="Y506" t="s">
        <v>50</v>
      </c>
      <c r="Z506" s="10">
        <f t="shared" si="46"/>
        <v>9</v>
      </c>
      <c r="AA506" s="11">
        <v>0</v>
      </c>
      <c r="AB506" s="11">
        <v>-2</v>
      </c>
      <c r="AC506" s="11">
        <v>0</v>
      </c>
      <c r="AD506" s="11">
        <v>0</v>
      </c>
      <c r="AE506" s="11">
        <v>0</v>
      </c>
      <c r="AF506" s="11">
        <f t="shared" si="37"/>
        <v>0.42</v>
      </c>
      <c r="AG506" s="11">
        <f t="shared" si="38"/>
        <v>7.42</v>
      </c>
      <c r="AH506" t="s">
        <v>51</v>
      </c>
    </row>
    <row r="507" spans="1:34" ht="15" customHeight="1" x14ac:dyDescent="0.25">
      <c r="A507">
        <v>7547676</v>
      </c>
      <c r="B507" t="s">
        <v>34</v>
      </c>
      <c r="C507" t="s">
        <v>35</v>
      </c>
      <c r="D507" s="6" t="s">
        <v>34</v>
      </c>
      <c r="E507" t="s">
        <v>1594</v>
      </c>
      <c r="F507" t="s">
        <v>37</v>
      </c>
      <c r="G507" t="s">
        <v>38</v>
      </c>
      <c r="H507" t="s">
        <v>1595</v>
      </c>
      <c r="I507" t="s">
        <v>40</v>
      </c>
      <c r="J507">
        <v>2</v>
      </c>
      <c r="K507" t="s">
        <v>41</v>
      </c>
      <c r="L507" t="s">
        <v>42</v>
      </c>
      <c r="M507" t="s">
        <v>43</v>
      </c>
      <c r="N507" s="7">
        <v>1</v>
      </c>
      <c r="O507" s="8">
        <v>45509.496064814812</v>
      </c>
      <c r="P507" s="9">
        <v>45511</v>
      </c>
      <c r="Q507" t="s">
        <v>44</v>
      </c>
      <c r="R507" t="s">
        <v>45</v>
      </c>
      <c r="S507" t="s">
        <v>1181</v>
      </c>
      <c r="T507" t="s">
        <v>107</v>
      </c>
      <c r="U507" t="s">
        <v>1596</v>
      </c>
      <c r="V507">
        <v>8200</v>
      </c>
      <c r="W507" t="s">
        <v>45</v>
      </c>
      <c r="X507" t="s">
        <v>182</v>
      </c>
      <c r="Y507" t="s">
        <v>50</v>
      </c>
      <c r="Z507" s="10">
        <f t="shared" si="46"/>
        <v>9</v>
      </c>
      <c r="AA507" s="11">
        <v>0</v>
      </c>
      <c r="AB507" s="11">
        <v>-2</v>
      </c>
      <c r="AC507" s="11">
        <v>0</v>
      </c>
      <c r="AD507" s="11">
        <v>0</v>
      </c>
      <c r="AE507" s="11">
        <v>0</v>
      </c>
      <c r="AF507" s="11">
        <f t="shared" si="37"/>
        <v>0.42</v>
      </c>
      <c r="AG507" s="11">
        <f t="shared" si="38"/>
        <v>7.42</v>
      </c>
      <c r="AH507" t="s">
        <v>51</v>
      </c>
    </row>
    <row r="508" spans="1:34" ht="15" customHeight="1" x14ac:dyDescent="0.25">
      <c r="A508">
        <v>7547676</v>
      </c>
      <c r="B508" t="s">
        <v>34</v>
      </c>
      <c r="C508" t="s">
        <v>35</v>
      </c>
      <c r="D508" s="6" t="s">
        <v>34</v>
      </c>
      <c r="E508" t="s">
        <v>1597</v>
      </c>
      <c r="F508" t="s">
        <v>37</v>
      </c>
      <c r="G508" t="s">
        <v>38</v>
      </c>
      <c r="H508" t="s">
        <v>1598</v>
      </c>
      <c r="I508" t="s">
        <v>40</v>
      </c>
      <c r="J508">
        <v>2</v>
      </c>
      <c r="K508" t="s">
        <v>41</v>
      </c>
      <c r="L508" t="s">
        <v>42</v>
      </c>
      <c r="M508" t="s">
        <v>43</v>
      </c>
      <c r="N508" s="7">
        <v>3</v>
      </c>
      <c r="O508" s="8">
        <v>45510.572708333333</v>
      </c>
      <c r="P508" s="9">
        <v>45511</v>
      </c>
      <c r="Q508" t="s">
        <v>44</v>
      </c>
      <c r="R508" t="s">
        <v>45</v>
      </c>
      <c r="S508" t="s">
        <v>46</v>
      </c>
      <c r="T508" t="s">
        <v>92</v>
      </c>
      <c r="U508" t="s">
        <v>1599</v>
      </c>
      <c r="V508">
        <v>47100</v>
      </c>
      <c r="W508" t="s">
        <v>45</v>
      </c>
      <c r="X508" t="s">
        <v>993</v>
      </c>
      <c r="Y508" t="s">
        <v>50</v>
      </c>
      <c r="Z508" s="10">
        <f t="shared" si="46"/>
        <v>10.6</v>
      </c>
      <c r="AA508" s="11">
        <v>0</v>
      </c>
      <c r="AB508" s="11">
        <v>-2</v>
      </c>
      <c r="AC508" s="11">
        <v>0</v>
      </c>
      <c r="AD508" s="11">
        <v>0</v>
      </c>
      <c r="AE508" s="11">
        <v>0</v>
      </c>
      <c r="AF508" s="11">
        <f t="shared" si="37"/>
        <v>0.51600000000000001</v>
      </c>
      <c r="AG508" s="11">
        <f t="shared" si="38"/>
        <v>9.1159999999999997</v>
      </c>
      <c r="AH508" t="s">
        <v>51</v>
      </c>
    </row>
    <row r="509" spans="1:34" ht="15" customHeight="1" x14ac:dyDescent="0.25">
      <c r="A509">
        <v>7547676</v>
      </c>
      <c r="B509" t="s">
        <v>34</v>
      </c>
      <c r="C509" t="s">
        <v>35</v>
      </c>
      <c r="D509" s="6" t="s">
        <v>34</v>
      </c>
      <c r="E509" t="s">
        <v>1600</v>
      </c>
      <c r="F509" t="s">
        <v>37</v>
      </c>
      <c r="G509" t="s">
        <v>38</v>
      </c>
      <c r="H509" t="s">
        <v>1601</v>
      </c>
      <c r="I509" t="s">
        <v>40</v>
      </c>
      <c r="J509">
        <v>2</v>
      </c>
      <c r="K509" t="s">
        <v>41</v>
      </c>
      <c r="L509" t="s">
        <v>42</v>
      </c>
      <c r="M509" t="s">
        <v>43</v>
      </c>
      <c r="N509" s="7">
        <v>4</v>
      </c>
      <c r="O509" s="8">
        <v>45508.805798611109</v>
      </c>
      <c r="P509" s="9">
        <v>45511</v>
      </c>
      <c r="Q509" t="s">
        <v>44</v>
      </c>
      <c r="R509" t="s">
        <v>45</v>
      </c>
      <c r="S509" t="s">
        <v>1181</v>
      </c>
      <c r="T509" t="s">
        <v>146</v>
      </c>
      <c r="U509" t="s">
        <v>1602</v>
      </c>
      <c r="V509">
        <v>59200</v>
      </c>
      <c r="W509" t="s">
        <v>45</v>
      </c>
      <c r="X509" t="s">
        <v>362</v>
      </c>
      <c r="Y509" t="s">
        <v>50</v>
      </c>
      <c r="Z509" s="10">
        <f t="shared" si="46"/>
        <v>11.4</v>
      </c>
      <c r="AA509" s="11">
        <v>0</v>
      </c>
      <c r="AB509" s="11">
        <v>-2</v>
      </c>
      <c r="AC509" s="11">
        <v>0</v>
      </c>
      <c r="AD509" s="11">
        <v>0</v>
      </c>
      <c r="AE509" s="11">
        <v>0</v>
      </c>
      <c r="AF509" s="11">
        <f t="shared" si="37"/>
        <v>0.56399999999999995</v>
      </c>
      <c r="AG509" s="11">
        <f t="shared" si="38"/>
        <v>9.9640000000000004</v>
      </c>
      <c r="AH509" t="s">
        <v>51</v>
      </c>
    </row>
    <row r="510" spans="1:34" ht="15" customHeight="1" x14ac:dyDescent="0.25">
      <c r="A510">
        <v>7547676</v>
      </c>
      <c r="B510" t="s">
        <v>34</v>
      </c>
      <c r="C510" t="s">
        <v>35</v>
      </c>
      <c r="D510" s="6" t="s">
        <v>34</v>
      </c>
      <c r="E510" t="s">
        <v>1603</v>
      </c>
      <c r="F510" t="s">
        <v>37</v>
      </c>
      <c r="G510" t="s">
        <v>38</v>
      </c>
      <c r="H510" t="s">
        <v>1604</v>
      </c>
      <c r="I510" t="s">
        <v>40</v>
      </c>
      <c r="J510">
        <v>2</v>
      </c>
      <c r="K510" t="s">
        <v>41</v>
      </c>
      <c r="L510" t="s">
        <v>42</v>
      </c>
      <c r="M510" t="s">
        <v>43</v>
      </c>
      <c r="N510" s="7">
        <v>1</v>
      </c>
      <c r="O510" s="8">
        <v>45509.816562499997</v>
      </c>
      <c r="P510" s="9">
        <v>45511</v>
      </c>
      <c r="Q510" t="s">
        <v>44</v>
      </c>
      <c r="R510" t="s">
        <v>45</v>
      </c>
      <c r="S510" t="s">
        <v>46</v>
      </c>
      <c r="T510" t="s">
        <v>223</v>
      </c>
      <c r="U510" t="s">
        <v>1605</v>
      </c>
      <c r="V510">
        <v>28730</v>
      </c>
      <c r="W510" t="s">
        <v>45</v>
      </c>
      <c r="X510" t="s">
        <v>225</v>
      </c>
      <c r="Y510" t="s">
        <v>50</v>
      </c>
      <c r="Z510" s="10">
        <f t="shared" si="46"/>
        <v>9</v>
      </c>
      <c r="AA510" s="11">
        <v>0</v>
      </c>
      <c r="AB510" s="11">
        <v>-2</v>
      </c>
      <c r="AC510" s="11">
        <v>0</v>
      </c>
      <c r="AD510" s="11">
        <v>0</v>
      </c>
      <c r="AE510" s="11">
        <v>0</v>
      </c>
      <c r="AF510" s="11">
        <f t="shared" si="37"/>
        <v>0.42</v>
      </c>
      <c r="AG510" s="11">
        <f t="shared" si="38"/>
        <v>7.42</v>
      </c>
      <c r="AH510" t="s">
        <v>51</v>
      </c>
    </row>
    <row r="511" spans="1:34" ht="15" customHeight="1" x14ac:dyDescent="0.25">
      <c r="A511">
        <v>7547676</v>
      </c>
      <c r="B511" t="s">
        <v>34</v>
      </c>
      <c r="C511" t="s">
        <v>35</v>
      </c>
      <c r="D511" s="6" t="s">
        <v>34</v>
      </c>
      <c r="E511" t="s">
        <v>1606</v>
      </c>
      <c r="F511" t="s">
        <v>37</v>
      </c>
      <c r="G511" t="s">
        <v>38</v>
      </c>
      <c r="H511" t="s">
        <v>1607</v>
      </c>
      <c r="I511" t="s">
        <v>40</v>
      </c>
      <c r="J511">
        <v>2</v>
      </c>
      <c r="K511" t="s">
        <v>41</v>
      </c>
      <c r="L511" t="s">
        <v>42</v>
      </c>
      <c r="M511" t="s">
        <v>43</v>
      </c>
      <c r="N511" s="7">
        <v>1</v>
      </c>
      <c r="O511" s="8">
        <v>45510.637812499997</v>
      </c>
      <c r="P511" s="9">
        <v>45511</v>
      </c>
      <c r="Q511" t="s">
        <v>44</v>
      </c>
      <c r="R511" t="s">
        <v>45</v>
      </c>
      <c r="S511" t="s">
        <v>46</v>
      </c>
      <c r="T511" t="s">
        <v>84</v>
      </c>
      <c r="U511" t="s">
        <v>1608</v>
      </c>
      <c r="V511">
        <v>18500</v>
      </c>
      <c r="W511" t="s">
        <v>45</v>
      </c>
      <c r="X511" t="s">
        <v>74</v>
      </c>
      <c r="Y511" t="s">
        <v>50</v>
      </c>
      <c r="Z511" s="10">
        <f t="shared" si="46"/>
        <v>9</v>
      </c>
      <c r="AA511" s="11">
        <v>0</v>
      </c>
      <c r="AB511" s="11">
        <v>-2</v>
      </c>
      <c r="AC511" s="11">
        <v>0</v>
      </c>
      <c r="AD511" s="11">
        <v>0</v>
      </c>
      <c r="AE511" s="11">
        <v>0</v>
      </c>
      <c r="AF511" s="11">
        <f t="shared" si="37"/>
        <v>0.42</v>
      </c>
      <c r="AG511" s="11">
        <f t="shared" si="38"/>
        <v>7.42</v>
      </c>
      <c r="AH511" t="s">
        <v>51</v>
      </c>
    </row>
    <row r="512" spans="1:34" ht="15" customHeight="1" x14ac:dyDescent="0.25">
      <c r="A512">
        <v>7547676</v>
      </c>
      <c r="B512" t="s">
        <v>34</v>
      </c>
      <c r="C512" t="s">
        <v>35</v>
      </c>
      <c r="D512" s="6" t="s">
        <v>34</v>
      </c>
      <c r="E512" t="s">
        <v>1609</v>
      </c>
      <c r="F512" t="s">
        <v>37</v>
      </c>
      <c r="G512" t="s">
        <v>38</v>
      </c>
      <c r="H512" t="s">
        <v>837</v>
      </c>
      <c r="I512" t="s">
        <v>40</v>
      </c>
      <c r="J512">
        <v>2</v>
      </c>
      <c r="K512" t="s">
        <v>41</v>
      </c>
      <c r="L512" t="s">
        <v>42</v>
      </c>
      <c r="M512" t="s">
        <v>43</v>
      </c>
      <c r="N512" s="7">
        <v>3</v>
      </c>
      <c r="O512" s="8">
        <v>45509.705312500002</v>
      </c>
      <c r="P512" s="9">
        <v>45511</v>
      </c>
      <c r="Q512" t="s">
        <v>44</v>
      </c>
      <c r="R512" t="s">
        <v>45</v>
      </c>
      <c r="S512" t="s">
        <v>1181</v>
      </c>
      <c r="T512" t="s">
        <v>54</v>
      </c>
      <c r="U512" t="s">
        <v>1610</v>
      </c>
      <c r="V512">
        <v>83010</v>
      </c>
      <c r="W512" t="s">
        <v>45</v>
      </c>
      <c r="X512" t="s">
        <v>1550</v>
      </c>
      <c r="Y512" t="s">
        <v>50</v>
      </c>
      <c r="Z512" s="10">
        <f t="shared" si="46"/>
        <v>10.6</v>
      </c>
      <c r="AA512" s="11">
        <v>0</v>
      </c>
      <c r="AB512" s="11">
        <v>-2</v>
      </c>
      <c r="AC512" s="11">
        <v>0</v>
      </c>
      <c r="AD512" s="11">
        <v>0</v>
      </c>
      <c r="AE512" s="11">
        <v>0</v>
      </c>
      <c r="AF512" s="11">
        <f t="shared" si="37"/>
        <v>0.51600000000000001</v>
      </c>
      <c r="AG512" s="11">
        <f t="shared" si="38"/>
        <v>9.1159999999999997</v>
      </c>
      <c r="AH512" t="s">
        <v>51</v>
      </c>
    </row>
    <row r="513" spans="1:34" ht="15" customHeight="1" x14ac:dyDescent="0.25">
      <c r="A513">
        <v>7547676</v>
      </c>
      <c r="B513" t="s">
        <v>34</v>
      </c>
      <c r="C513" t="s">
        <v>35</v>
      </c>
      <c r="D513" s="6" t="s">
        <v>34</v>
      </c>
      <c r="E513" t="s">
        <v>1611</v>
      </c>
      <c r="F513" t="s">
        <v>37</v>
      </c>
      <c r="G513" t="s">
        <v>38</v>
      </c>
      <c r="H513" t="s">
        <v>1612</v>
      </c>
      <c r="I513" t="s">
        <v>40</v>
      </c>
      <c r="J513">
        <v>2</v>
      </c>
      <c r="K513" t="s">
        <v>41</v>
      </c>
      <c r="L513" t="s">
        <v>42</v>
      </c>
      <c r="M513" t="s">
        <v>43</v>
      </c>
      <c r="N513" s="7">
        <v>1</v>
      </c>
      <c r="O513" s="8">
        <v>45509.583402777775</v>
      </c>
      <c r="P513" s="9">
        <v>45511</v>
      </c>
      <c r="Q513" t="s">
        <v>44</v>
      </c>
      <c r="R513" t="s">
        <v>45</v>
      </c>
      <c r="S513" t="s">
        <v>1181</v>
      </c>
      <c r="T513" t="s">
        <v>92</v>
      </c>
      <c r="U513" t="s">
        <v>1613</v>
      </c>
      <c r="V513">
        <v>40150</v>
      </c>
      <c r="W513" t="s">
        <v>45</v>
      </c>
      <c r="X513" t="s">
        <v>69</v>
      </c>
      <c r="Y513" t="s">
        <v>50</v>
      </c>
      <c r="Z513" s="10">
        <f>IF(N513&lt;=1,9,9+0.8*ROUNDUP(N513-1,0))</f>
        <v>9</v>
      </c>
      <c r="AA513" s="11">
        <v>0</v>
      </c>
      <c r="AB513" s="11">
        <v>-2</v>
      </c>
      <c r="AC513" s="11">
        <v>0</v>
      </c>
      <c r="AD513" s="11">
        <v>0</v>
      </c>
      <c r="AE513" s="11">
        <v>0</v>
      </c>
      <c r="AF513" s="11">
        <f t="shared" si="37"/>
        <v>0.42</v>
      </c>
      <c r="AG513" s="11">
        <f t="shared" si="38"/>
        <v>7.42</v>
      </c>
      <c r="AH513" t="s">
        <v>51</v>
      </c>
    </row>
    <row r="514" spans="1:34" ht="15" customHeight="1" x14ac:dyDescent="0.25">
      <c r="A514">
        <v>7547676</v>
      </c>
      <c r="B514" t="s">
        <v>34</v>
      </c>
      <c r="C514" t="s">
        <v>35</v>
      </c>
      <c r="D514" s="6" t="s">
        <v>34</v>
      </c>
      <c r="E514" t="s">
        <v>1614</v>
      </c>
      <c r="F514" t="s">
        <v>37</v>
      </c>
      <c r="G514" t="s">
        <v>38</v>
      </c>
      <c r="H514" t="s">
        <v>1615</v>
      </c>
      <c r="I514" t="s">
        <v>40</v>
      </c>
      <c r="J514">
        <v>2</v>
      </c>
      <c r="K514" t="s">
        <v>41</v>
      </c>
      <c r="L514" t="s">
        <v>42</v>
      </c>
      <c r="M514" t="s">
        <v>43</v>
      </c>
      <c r="N514" s="7">
        <v>1</v>
      </c>
      <c r="O514" s="8">
        <v>45509.705312500002</v>
      </c>
      <c r="P514" s="9">
        <v>45511</v>
      </c>
      <c r="Q514" t="s">
        <v>44</v>
      </c>
      <c r="R514" t="s">
        <v>45</v>
      </c>
      <c r="S514" t="s">
        <v>1181</v>
      </c>
      <c r="T514" t="s">
        <v>54</v>
      </c>
      <c r="U514" t="s">
        <v>1616</v>
      </c>
      <c r="V514">
        <v>81700</v>
      </c>
      <c r="W514" t="s">
        <v>45</v>
      </c>
      <c r="X514" t="s">
        <v>1159</v>
      </c>
      <c r="Y514" t="s">
        <v>50</v>
      </c>
      <c r="Z514" s="10">
        <f t="shared" ref="Z514:Z516" si="47">IF(N514&lt;=1,9,9+0.8*ROUNDUP(N514-1,0))</f>
        <v>9</v>
      </c>
      <c r="AA514" s="11">
        <v>0</v>
      </c>
      <c r="AB514" s="11">
        <v>-2</v>
      </c>
      <c r="AC514" s="11">
        <v>0</v>
      </c>
      <c r="AD514" s="11">
        <v>0</v>
      </c>
      <c r="AE514" s="11">
        <v>0</v>
      </c>
      <c r="AF514" s="11">
        <f t="shared" ref="AF514:AF577" si="48">(Z514+AB514+AC514+AE514)*6%</f>
        <v>0.42</v>
      </c>
      <c r="AG514" s="11">
        <f t="shared" ref="AG514:AG577" si="49">Z514+AB514+AC514+AE514+AF514</f>
        <v>7.42</v>
      </c>
      <c r="AH514" t="s">
        <v>51</v>
      </c>
    </row>
    <row r="515" spans="1:34" ht="15" customHeight="1" x14ac:dyDescent="0.25">
      <c r="A515">
        <v>7547676</v>
      </c>
      <c r="B515" t="s">
        <v>34</v>
      </c>
      <c r="C515" t="s">
        <v>35</v>
      </c>
      <c r="D515" s="6" t="s">
        <v>34</v>
      </c>
      <c r="E515" t="s">
        <v>1617</v>
      </c>
      <c r="F515" t="s">
        <v>37</v>
      </c>
      <c r="G515" t="s">
        <v>38</v>
      </c>
      <c r="H515" t="s">
        <v>811</v>
      </c>
      <c r="I515" t="s">
        <v>40</v>
      </c>
      <c r="J515">
        <v>2</v>
      </c>
      <c r="K515" t="s">
        <v>41</v>
      </c>
      <c r="L515" t="s">
        <v>42</v>
      </c>
      <c r="M515" t="s">
        <v>43</v>
      </c>
      <c r="N515" s="7">
        <v>6</v>
      </c>
      <c r="O515" s="8">
        <v>45509.73605324074</v>
      </c>
      <c r="P515" s="9">
        <v>45511</v>
      </c>
      <c r="Q515" t="s">
        <v>44</v>
      </c>
      <c r="R515" t="s">
        <v>45</v>
      </c>
      <c r="S515" t="s">
        <v>1181</v>
      </c>
      <c r="T515" t="s">
        <v>72</v>
      </c>
      <c r="U515" t="s">
        <v>812</v>
      </c>
      <c r="V515">
        <v>24000</v>
      </c>
      <c r="W515" t="s">
        <v>45</v>
      </c>
      <c r="X515" t="s">
        <v>813</v>
      </c>
      <c r="Y515" t="s">
        <v>50</v>
      </c>
      <c r="Z515" s="10">
        <f t="shared" si="47"/>
        <v>13</v>
      </c>
      <c r="AA515" s="11">
        <v>0</v>
      </c>
      <c r="AB515" s="11">
        <v>-2</v>
      </c>
      <c r="AC515" s="11">
        <v>0</v>
      </c>
      <c r="AD515" s="11">
        <v>0</v>
      </c>
      <c r="AE515" s="11">
        <v>0</v>
      </c>
      <c r="AF515" s="11">
        <f t="shared" si="48"/>
        <v>0.65999999999999992</v>
      </c>
      <c r="AG515" s="11">
        <f t="shared" si="49"/>
        <v>11.66</v>
      </c>
      <c r="AH515" t="s">
        <v>51</v>
      </c>
    </row>
    <row r="516" spans="1:34" ht="15" customHeight="1" x14ac:dyDescent="0.25">
      <c r="A516">
        <v>7547676</v>
      </c>
      <c r="B516" t="s">
        <v>34</v>
      </c>
      <c r="C516" t="s">
        <v>35</v>
      </c>
      <c r="D516" s="6" t="s">
        <v>34</v>
      </c>
      <c r="E516" t="s">
        <v>1618</v>
      </c>
      <c r="F516" t="s">
        <v>37</v>
      </c>
      <c r="G516" t="s">
        <v>38</v>
      </c>
      <c r="H516" t="s">
        <v>1619</v>
      </c>
      <c r="I516" t="s">
        <v>40</v>
      </c>
      <c r="J516">
        <v>2</v>
      </c>
      <c r="K516" t="s">
        <v>41</v>
      </c>
      <c r="L516" t="s">
        <v>42</v>
      </c>
      <c r="M516" t="s">
        <v>43</v>
      </c>
      <c r="N516" s="7">
        <v>1</v>
      </c>
      <c r="O516" s="8">
        <v>45509.705312500002</v>
      </c>
      <c r="P516" s="9">
        <v>45511</v>
      </c>
      <c r="Q516" t="s">
        <v>44</v>
      </c>
      <c r="R516" t="s">
        <v>45</v>
      </c>
      <c r="S516" t="s">
        <v>1181</v>
      </c>
      <c r="T516" t="s">
        <v>54</v>
      </c>
      <c r="U516" t="s">
        <v>1620</v>
      </c>
      <c r="V516">
        <v>81110</v>
      </c>
      <c r="W516" t="s">
        <v>45</v>
      </c>
      <c r="X516" t="s">
        <v>1020</v>
      </c>
      <c r="Y516" t="s">
        <v>50</v>
      </c>
      <c r="Z516" s="10">
        <f t="shared" si="47"/>
        <v>9</v>
      </c>
      <c r="AA516" s="11">
        <v>0</v>
      </c>
      <c r="AB516" s="11">
        <v>-2</v>
      </c>
      <c r="AC516" s="11">
        <v>0</v>
      </c>
      <c r="AD516" s="11">
        <v>0</v>
      </c>
      <c r="AE516" s="11">
        <v>0</v>
      </c>
      <c r="AF516" s="11">
        <f t="shared" si="48"/>
        <v>0.42</v>
      </c>
      <c r="AG516" s="11">
        <f t="shared" si="49"/>
        <v>7.42</v>
      </c>
      <c r="AH516" t="s">
        <v>51</v>
      </c>
    </row>
    <row r="517" spans="1:34" ht="15" customHeight="1" x14ac:dyDescent="0.25">
      <c r="A517">
        <v>7547676</v>
      </c>
      <c r="B517" t="s">
        <v>34</v>
      </c>
      <c r="C517" t="s">
        <v>35</v>
      </c>
      <c r="D517" s="6" t="s">
        <v>34</v>
      </c>
      <c r="E517" t="s">
        <v>1621</v>
      </c>
      <c r="F517" t="s">
        <v>37</v>
      </c>
      <c r="G517" t="s">
        <v>38</v>
      </c>
      <c r="H517" t="s">
        <v>1622</v>
      </c>
      <c r="I517" t="s">
        <v>40</v>
      </c>
      <c r="J517">
        <v>2</v>
      </c>
      <c r="K517" t="s">
        <v>41</v>
      </c>
      <c r="L517" t="s">
        <v>42</v>
      </c>
      <c r="M517" t="s">
        <v>43</v>
      </c>
      <c r="N517" s="7">
        <v>5</v>
      </c>
      <c r="O517" s="8">
        <v>45511.595775462964</v>
      </c>
      <c r="P517" s="9">
        <v>45512</v>
      </c>
      <c r="Q517" t="s">
        <v>44</v>
      </c>
      <c r="R517" t="s">
        <v>45</v>
      </c>
      <c r="S517" t="s">
        <v>46</v>
      </c>
      <c r="T517" t="s">
        <v>146</v>
      </c>
      <c r="U517" t="s">
        <v>1623</v>
      </c>
      <c r="V517">
        <v>51100</v>
      </c>
      <c r="W517" t="s">
        <v>45</v>
      </c>
      <c r="X517" t="s">
        <v>148</v>
      </c>
      <c r="Y517" t="s">
        <v>50</v>
      </c>
      <c r="Z517" s="10">
        <f>IF(N517&lt;=1,9,9+0.8*ROUNDUP(N517-1,0))</f>
        <v>12.2</v>
      </c>
      <c r="AA517" s="11">
        <v>0</v>
      </c>
      <c r="AB517" s="11">
        <v>-2</v>
      </c>
      <c r="AC517" s="11">
        <v>0</v>
      </c>
      <c r="AD517" s="11">
        <v>0</v>
      </c>
      <c r="AE517" s="11">
        <v>0</v>
      </c>
      <c r="AF517" s="11">
        <f t="shared" si="48"/>
        <v>0.61199999999999999</v>
      </c>
      <c r="AG517" s="11">
        <f t="shared" si="49"/>
        <v>10.811999999999999</v>
      </c>
      <c r="AH517" t="s">
        <v>51</v>
      </c>
    </row>
    <row r="518" spans="1:34" ht="15" customHeight="1" x14ac:dyDescent="0.25">
      <c r="A518">
        <v>7547676</v>
      </c>
      <c r="B518" t="s">
        <v>34</v>
      </c>
      <c r="C518" t="s">
        <v>35</v>
      </c>
      <c r="D518" s="6" t="s">
        <v>34</v>
      </c>
      <c r="E518" t="s">
        <v>1624</v>
      </c>
      <c r="F518" t="s">
        <v>37</v>
      </c>
      <c r="G518" t="s">
        <v>38</v>
      </c>
      <c r="H518" t="s">
        <v>1625</v>
      </c>
      <c r="I518" t="s">
        <v>40</v>
      </c>
      <c r="J518">
        <v>2</v>
      </c>
      <c r="K518" t="s">
        <v>41</v>
      </c>
      <c r="L518" t="s">
        <v>42</v>
      </c>
      <c r="M518" t="s">
        <v>43</v>
      </c>
      <c r="N518" s="7">
        <v>1</v>
      </c>
      <c r="O518" s="8">
        <v>45510.722395833334</v>
      </c>
      <c r="P518" s="9">
        <v>45512</v>
      </c>
      <c r="Q518" t="s">
        <v>44</v>
      </c>
      <c r="R518" t="s">
        <v>45</v>
      </c>
      <c r="S518" t="s">
        <v>46</v>
      </c>
      <c r="T518" t="s">
        <v>72</v>
      </c>
      <c r="U518" t="s">
        <v>1626</v>
      </c>
      <c r="V518">
        <v>20100</v>
      </c>
      <c r="W518" t="s">
        <v>45</v>
      </c>
      <c r="X518" t="s">
        <v>139</v>
      </c>
      <c r="Y518" t="s">
        <v>50</v>
      </c>
      <c r="Z518" s="10">
        <f t="shared" ref="Z518:Z556" si="50">IF(N518&lt;=1,9,9+0.8*ROUNDUP(N518-1,0))</f>
        <v>9</v>
      </c>
      <c r="AA518" s="11">
        <v>0</v>
      </c>
      <c r="AB518" s="11">
        <v>-2</v>
      </c>
      <c r="AC518" s="11">
        <v>0</v>
      </c>
      <c r="AD518" s="11">
        <v>0</v>
      </c>
      <c r="AE518" s="11">
        <v>0</v>
      </c>
      <c r="AF518" s="11">
        <f t="shared" si="48"/>
        <v>0.42</v>
      </c>
      <c r="AG518" s="11">
        <f t="shared" si="49"/>
        <v>7.42</v>
      </c>
      <c r="AH518" t="s">
        <v>51</v>
      </c>
    </row>
    <row r="519" spans="1:34" ht="15" customHeight="1" x14ac:dyDescent="0.25">
      <c r="A519">
        <v>7547676</v>
      </c>
      <c r="B519" t="s">
        <v>34</v>
      </c>
      <c r="C519" t="s">
        <v>35</v>
      </c>
      <c r="D519" s="6" t="s">
        <v>34</v>
      </c>
      <c r="E519" t="s">
        <v>1627</v>
      </c>
      <c r="F519" t="s">
        <v>37</v>
      </c>
      <c r="G519" t="s">
        <v>38</v>
      </c>
      <c r="H519" t="s">
        <v>1628</v>
      </c>
      <c r="I519" t="s">
        <v>40</v>
      </c>
      <c r="J519">
        <v>2</v>
      </c>
      <c r="K519" t="s">
        <v>41</v>
      </c>
      <c r="L519" t="s">
        <v>42</v>
      </c>
      <c r="M519" t="s">
        <v>43</v>
      </c>
      <c r="N519" s="7">
        <v>1</v>
      </c>
      <c r="O519" s="8">
        <v>45510.822905092595</v>
      </c>
      <c r="P519" s="9">
        <v>45512</v>
      </c>
      <c r="Q519" t="s">
        <v>44</v>
      </c>
      <c r="R519" t="s">
        <v>45</v>
      </c>
      <c r="S519" t="s">
        <v>46</v>
      </c>
      <c r="T519" t="s">
        <v>223</v>
      </c>
      <c r="U519" t="s">
        <v>1629</v>
      </c>
      <c r="V519">
        <v>26600</v>
      </c>
      <c r="W519" t="s">
        <v>45</v>
      </c>
      <c r="X519" t="s">
        <v>225</v>
      </c>
      <c r="Y519" t="s">
        <v>50</v>
      </c>
      <c r="Z519" s="10">
        <f t="shared" si="50"/>
        <v>9</v>
      </c>
      <c r="AA519" s="11">
        <v>0</v>
      </c>
      <c r="AB519" s="11">
        <v>-2</v>
      </c>
      <c r="AC519" s="11">
        <v>0</v>
      </c>
      <c r="AD519" s="11">
        <v>0</v>
      </c>
      <c r="AE519" s="11">
        <v>0</v>
      </c>
      <c r="AF519" s="11">
        <f t="shared" si="48"/>
        <v>0.42</v>
      </c>
      <c r="AG519" s="11">
        <f t="shared" si="49"/>
        <v>7.42</v>
      </c>
      <c r="AH519" t="s">
        <v>51</v>
      </c>
    </row>
    <row r="520" spans="1:34" ht="15" customHeight="1" x14ac:dyDescent="0.25">
      <c r="A520">
        <v>7547676</v>
      </c>
      <c r="B520" t="s">
        <v>34</v>
      </c>
      <c r="C520" t="s">
        <v>35</v>
      </c>
      <c r="D520" s="6" t="s">
        <v>34</v>
      </c>
      <c r="E520" t="s">
        <v>1630</v>
      </c>
      <c r="F520" t="s">
        <v>37</v>
      </c>
      <c r="G520" t="s">
        <v>38</v>
      </c>
      <c r="H520" t="s">
        <v>1631</v>
      </c>
      <c r="I520" t="s">
        <v>40</v>
      </c>
      <c r="J520">
        <v>2</v>
      </c>
      <c r="K520" t="s">
        <v>41</v>
      </c>
      <c r="L520" t="s">
        <v>42</v>
      </c>
      <c r="M520" t="s">
        <v>43</v>
      </c>
      <c r="N520" s="7">
        <v>1</v>
      </c>
      <c r="O520" s="8">
        <v>45511.513055555559</v>
      </c>
      <c r="P520" s="9">
        <v>45512</v>
      </c>
      <c r="Q520" t="s">
        <v>44</v>
      </c>
      <c r="R520" t="s">
        <v>45</v>
      </c>
      <c r="S520" t="s">
        <v>46</v>
      </c>
      <c r="T520" t="s">
        <v>223</v>
      </c>
      <c r="U520" t="s">
        <v>1632</v>
      </c>
      <c r="V520">
        <v>26100</v>
      </c>
      <c r="W520" t="s">
        <v>45</v>
      </c>
      <c r="X520" t="s">
        <v>225</v>
      </c>
      <c r="Y520" t="s">
        <v>50</v>
      </c>
      <c r="Z520" s="10">
        <f t="shared" si="50"/>
        <v>9</v>
      </c>
      <c r="AA520" s="11">
        <v>0</v>
      </c>
      <c r="AB520" s="11">
        <v>-2</v>
      </c>
      <c r="AC520" s="11">
        <v>0</v>
      </c>
      <c r="AD520" s="11">
        <v>0</v>
      </c>
      <c r="AE520" s="11">
        <v>0</v>
      </c>
      <c r="AF520" s="11">
        <f t="shared" si="48"/>
        <v>0.42</v>
      </c>
      <c r="AG520" s="11">
        <f t="shared" si="49"/>
        <v>7.42</v>
      </c>
      <c r="AH520" t="s">
        <v>51</v>
      </c>
    </row>
    <row r="521" spans="1:34" ht="15" customHeight="1" x14ac:dyDescent="0.25">
      <c r="A521">
        <v>7547676</v>
      </c>
      <c r="B521" t="s">
        <v>34</v>
      </c>
      <c r="C521" t="s">
        <v>35</v>
      </c>
      <c r="D521" s="6" t="s">
        <v>34</v>
      </c>
      <c r="E521" t="s">
        <v>1633</v>
      </c>
      <c r="F521" t="s">
        <v>37</v>
      </c>
      <c r="G521" t="s">
        <v>38</v>
      </c>
      <c r="H521" t="s">
        <v>1634</v>
      </c>
      <c r="I521" t="s">
        <v>40</v>
      </c>
      <c r="J521">
        <v>2</v>
      </c>
      <c r="K521" t="s">
        <v>41</v>
      </c>
      <c r="L521" t="s">
        <v>42</v>
      </c>
      <c r="M521" t="s">
        <v>43</v>
      </c>
      <c r="N521" s="7">
        <v>1</v>
      </c>
      <c r="O521" s="8">
        <v>45509.816562499997</v>
      </c>
      <c r="P521" s="9">
        <v>45512</v>
      </c>
      <c r="Q521" t="s">
        <v>44</v>
      </c>
      <c r="R521" t="s">
        <v>45</v>
      </c>
      <c r="S521" t="s">
        <v>46</v>
      </c>
      <c r="T521" t="s">
        <v>54</v>
      </c>
      <c r="U521" t="s">
        <v>1635</v>
      </c>
      <c r="V521">
        <v>86000</v>
      </c>
      <c r="W521" t="s">
        <v>45</v>
      </c>
      <c r="X521" t="s">
        <v>1636</v>
      </c>
      <c r="Y521" t="s">
        <v>50</v>
      </c>
      <c r="Z521" s="10">
        <f t="shared" si="50"/>
        <v>9</v>
      </c>
      <c r="AA521" s="11">
        <v>0</v>
      </c>
      <c r="AB521" s="11">
        <v>-2</v>
      </c>
      <c r="AC521" s="11">
        <v>0</v>
      </c>
      <c r="AD521" s="11">
        <v>0</v>
      </c>
      <c r="AE521" s="11">
        <v>0</v>
      </c>
      <c r="AF521" s="11">
        <f t="shared" si="48"/>
        <v>0.42</v>
      </c>
      <c r="AG521" s="11">
        <f t="shared" si="49"/>
        <v>7.42</v>
      </c>
      <c r="AH521" t="s">
        <v>51</v>
      </c>
    </row>
    <row r="522" spans="1:34" ht="15" customHeight="1" x14ac:dyDescent="0.25">
      <c r="A522">
        <v>7547676</v>
      </c>
      <c r="B522" t="s">
        <v>34</v>
      </c>
      <c r="C522" t="s">
        <v>35</v>
      </c>
      <c r="D522" s="6" t="s">
        <v>34</v>
      </c>
      <c r="E522" t="s">
        <v>1637</v>
      </c>
      <c r="F522" t="s">
        <v>37</v>
      </c>
      <c r="G522" t="s">
        <v>38</v>
      </c>
      <c r="H522" t="s">
        <v>1638</v>
      </c>
      <c r="I522" t="s">
        <v>40</v>
      </c>
      <c r="J522">
        <v>2</v>
      </c>
      <c r="K522" t="s">
        <v>41</v>
      </c>
      <c r="L522" t="s">
        <v>42</v>
      </c>
      <c r="M522" t="s">
        <v>43</v>
      </c>
      <c r="N522" s="7">
        <v>1</v>
      </c>
      <c r="O522" s="8">
        <v>45498.608622685184</v>
      </c>
      <c r="P522" s="9">
        <v>45512</v>
      </c>
      <c r="Q522" t="s">
        <v>44</v>
      </c>
      <c r="R522" t="s">
        <v>45</v>
      </c>
      <c r="S522" t="s">
        <v>1181</v>
      </c>
      <c r="T522" t="s">
        <v>47</v>
      </c>
      <c r="U522" t="s">
        <v>1639</v>
      </c>
      <c r="V522">
        <v>31250</v>
      </c>
      <c r="W522" t="s">
        <v>45</v>
      </c>
      <c r="X522" t="s">
        <v>157</v>
      </c>
      <c r="Y522" t="s">
        <v>50</v>
      </c>
      <c r="Z522" s="10">
        <f t="shared" si="50"/>
        <v>9</v>
      </c>
      <c r="AA522" s="11">
        <v>0</v>
      </c>
      <c r="AB522" s="11">
        <v>-2</v>
      </c>
      <c r="AC522" s="11">
        <v>0</v>
      </c>
      <c r="AD522" s="11">
        <v>0</v>
      </c>
      <c r="AE522" s="11">
        <v>0</v>
      </c>
      <c r="AF522" s="11">
        <f t="shared" si="48"/>
        <v>0.42</v>
      </c>
      <c r="AG522" s="11">
        <f t="shared" si="49"/>
        <v>7.42</v>
      </c>
      <c r="AH522" t="s">
        <v>51</v>
      </c>
    </row>
    <row r="523" spans="1:34" ht="15" customHeight="1" x14ac:dyDescent="0.25">
      <c r="A523">
        <v>7547676</v>
      </c>
      <c r="B523" t="s">
        <v>34</v>
      </c>
      <c r="C523" t="s">
        <v>35</v>
      </c>
      <c r="D523" s="6" t="s">
        <v>34</v>
      </c>
      <c r="E523" t="s">
        <v>1640</v>
      </c>
      <c r="F523" t="s">
        <v>37</v>
      </c>
      <c r="G523" t="s">
        <v>38</v>
      </c>
      <c r="H523" t="s">
        <v>1641</v>
      </c>
      <c r="I523" t="s">
        <v>40</v>
      </c>
      <c r="J523">
        <v>2</v>
      </c>
      <c r="K523" t="s">
        <v>41</v>
      </c>
      <c r="L523" t="s">
        <v>42</v>
      </c>
      <c r="M523" t="s">
        <v>43</v>
      </c>
      <c r="N523" s="7">
        <v>1</v>
      </c>
      <c r="O523" s="8">
        <v>45511.458344907405</v>
      </c>
      <c r="P523" s="9">
        <v>45512</v>
      </c>
      <c r="Q523" t="s">
        <v>44</v>
      </c>
      <c r="R523" t="s">
        <v>45</v>
      </c>
      <c r="S523" t="s">
        <v>46</v>
      </c>
      <c r="T523" t="s">
        <v>129</v>
      </c>
      <c r="U523" t="s">
        <v>1642</v>
      </c>
      <c r="V523">
        <v>73200</v>
      </c>
      <c r="W523" t="s">
        <v>45</v>
      </c>
      <c r="X523" t="s">
        <v>1197</v>
      </c>
      <c r="Y523" t="s">
        <v>50</v>
      </c>
      <c r="Z523" s="10">
        <f t="shared" si="50"/>
        <v>9</v>
      </c>
      <c r="AA523" s="11">
        <v>0</v>
      </c>
      <c r="AB523" s="11">
        <v>-2</v>
      </c>
      <c r="AC523" s="11">
        <v>0</v>
      </c>
      <c r="AD523" s="11">
        <v>0</v>
      </c>
      <c r="AE523" s="11">
        <v>0</v>
      </c>
      <c r="AF523" s="11">
        <f t="shared" si="48"/>
        <v>0.42</v>
      </c>
      <c r="AG523" s="11">
        <f t="shared" si="49"/>
        <v>7.42</v>
      </c>
      <c r="AH523" t="s">
        <v>51</v>
      </c>
    </row>
    <row r="524" spans="1:34" ht="15" customHeight="1" x14ac:dyDescent="0.25">
      <c r="A524">
        <v>7547676</v>
      </c>
      <c r="B524" t="s">
        <v>34</v>
      </c>
      <c r="C524" t="s">
        <v>35</v>
      </c>
      <c r="D524" s="6" t="s">
        <v>34</v>
      </c>
      <c r="E524" t="s">
        <v>1643</v>
      </c>
      <c r="F524" t="s">
        <v>37</v>
      </c>
      <c r="G524" t="s">
        <v>38</v>
      </c>
      <c r="H524" t="s">
        <v>1644</v>
      </c>
      <c r="I524" t="s">
        <v>40</v>
      </c>
      <c r="J524">
        <v>2</v>
      </c>
      <c r="K524" t="s">
        <v>41</v>
      </c>
      <c r="L524" t="s">
        <v>42</v>
      </c>
      <c r="M524" t="s">
        <v>43</v>
      </c>
      <c r="N524" s="7">
        <v>1</v>
      </c>
      <c r="O524" s="8">
        <v>45511.616099537037</v>
      </c>
      <c r="P524" s="9">
        <v>45512</v>
      </c>
      <c r="Q524" t="s">
        <v>44</v>
      </c>
      <c r="R524" t="s">
        <v>45</v>
      </c>
      <c r="S524" t="s">
        <v>46</v>
      </c>
      <c r="T524" t="s">
        <v>92</v>
      </c>
      <c r="U524" t="s">
        <v>1645</v>
      </c>
      <c r="V524">
        <v>43200</v>
      </c>
      <c r="W524" t="s">
        <v>45</v>
      </c>
      <c r="X524" t="s">
        <v>256</v>
      </c>
      <c r="Y524" t="s">
        <v>50</v>
      </c>
      <c r="Z524" s="10">
        <f t="shared" si="50"/>
        <v>9</v>
      </c>
      <c r="AA524" s="11">
        <v>0</v>
      </c>
      <c r="AB524" s="11">
        <v>-2</v>
      </c>
      <c r="AC524" s="11">
        <v>0</v>
      </c>
      <c r="AD524" s="11">
        <v>0</v>
      </c>
      <c r="AE524" s="11">
        <v>0</v>
      </c>
      <c r="AF524" s="11">
        <f t="shared" si="48"/>
        <v>0.42</v>
      </c>
      <c r="AG524" s="11">
        <f t="shared" si="49"/>
        <v>7.42</v>
      </c>
      <c r="AH524" t="s">
        <v>51</v>
      </c>
    </row>
    <row r="525" spans="1:34" ht="15" customHeight="1" x14ac:dyDescent="0.25">
      <c r="A525">
        <v>7547676</v>
      </c>
      <c r="B525" t="s">
        <v>34</v>
      </c>
      <c r="C525" t="s">
        <v>35</v>
      </c>
      <c r="D525" s="6" t="s">
        <v>34</v>
      </c>
      <c r="E525" t="s">
        <v>1646</v>
      </c>
      <c r="F525" t="s">
        <v>37</v>
      </c>
      <c r="G525" t="s">
        <v>38</v>
      </c>
      <c r="H525" t="s">
        <v>1647</v>
      </c>
      <c r="I525" t="s">
        <v>40</v>
      </c>
      <c r="J525">
        <v>2</v>
      </c>
      <c r="K525" t="s">
        <v>41</v>
      </c>
      <c r="L525" t="s">
        <v>42</v>
      </c>
      <c r="M525" t="s">
        <v>43</v>
      </c>
      <c r="N525" s="7">
        <v>1</v>
      </c>
      <c r="O525" s="8">
        <v>45511.561562499999</v>
      </c>
      <c r="P525" s="9">
        <v>45512</v>
      </c>
      <c r="Q525" t="s">
        <v>44</v>
      </c>
      <c r="R525" t="s">
        <v>45</v>
      </c>
      <c r="S525" t="s">
        <v>46</v>
      </c>
      <c r="T525" t="s">
        <v>92</v>
      </c>
      <c r="U525" t="s">
        <v>1648</v>
      </c>
      <c r="V525">
        <v>41050</v>
      </c>
      <c r="W525" t="s">
        <v>45</v>
      </c>
      <c r="X525" t="s">
        <v>596</v>
      </c>
      <c r="Y525" t="s">
        <v>50</v>
      </c>
      <c r="Z525" s="10">
        <f t="shared" si="50"/>
        <v>9</v>
      </c>
      <c r="AA525" s="11">
        <v>0</v>
      </c>
      <c r="AB525" s="11">
        <v>-2</v>
      </c>
      <c r="AC525" s="11">
        <v>0</v>
      </c>
      <c r="AD525" s="11">
        <v>0</v>
      </c>
      <c r="AE525" s="11">
        <v>0</v>
      </c>
      <c r="AF525" s="11">
        <f t="shared" si="48"/>
        <v>0.42</v>
      </c>
      <c r="AG525" s="11">
        <f t="shared" si="49"/>
        <v>7.42</v>
      </c>
      <c r="AH525" t="s">
        <v>51</v>
      </c>
    </row>
    <row r="526" spans="1:34" ht="15" customHeight="1" x14ac:dyDescent="0.25">
      <c r="A526">
        <v>7547676</v>
      </c>
      <c r="B526" t="s">
        <v>34</v>
      </c>
      <c r="C526" t="s">
        <v>35</v>
      </c>
      <c r="D526" s="6" t="s">
        <v>34</v>
      </c>
      <c r="E526" t="s">
        <v>1649</v>
      </c>
      <c r="F526" t="s">
        <v>37</v>
      </c>
      <c r="G526" t="s">
        <v>38</v>
      </c>
      <c r="H526" t="s">
        <v>1650</v>
      </c>
      <c r="I526" t="s">
        <v>40</v>
      </c>
      <c r="J526">
        <v>2</v>
      </c>
      <c r="K526" t="s">
        <v>41</v>
      </c>
      <c r="L526" t="s">
        <v>42</v>
      </c>
      <c r="M526" t="s">
        <v>43</v>
      </c>
      <c r="N526" s="7">
        <v>1</v>
      </c>
      <c r="O526" s="8">
        <v>45509.725104166668</v>
      </c>
      <c r="P526" s="9">
        <v>45512</v>
      </c>
      <c r="Q526" t="s">
        <v>44</v>
      </c>
      <c r="R526" t="s">
        <v>45</v>
      </c>
      <c r="S526" t="s">
        <v>1181</v>
      </c>
      <c r="T526" t="s">
        <v>59</v>
      </c>
      <c r="U526" t="s">
        <v>1651</v>
      </c>
      <c r="V526">
        <v>13600</v>
      </c>
      <c r="W526" t="s">
        <v>45</v>
      </c>
      <c r="X526" t="s">
        <v>374</v>
      </c>
      <c r="Y526" t="s">
        <v>50</v>
      </c>
      <c r="Z526" s="10">
        <f t="shared" si="50"/>
        <v>9</v>
      </c>
      <c r="AA526" s="11">
        <v>0</v>
      </c>
      <c r="AB526" s="11">
        <v>-2</v>
      </c>
      <c r="AC526" s="11">
        <v>0</v>
      </c>
      <c r="AD526" s="11">
        <v>0</v>
      </c>
      <c r="AE526" s="11">
        <v>0</v>
      </c>
      <c r="AF526" s="11">
        <f t="shared" si="48"/>
        <v>0.42</v>
      </c>
      <c r="AG526" s="11">
        <f t="shared" si="49"/>
        <v>7.42</v>
      </c>
      <c r="AH526" t="s">
        <v>51</v>
      </c>
    </row>
    <row r="527" spans="1:34" ht="15" customHeight="1" x14ac:dyDescent="0.25">
      <c r="A527">
        <v>7547676</v>
      </c>
      <c r="B527" t="s">
        <v>34</v>
      </c>
      <c r="C527" t="s">
        <v>35</v>
      </c>
      <c r="D527" s="6" t="s">
        <v>34</v>
      </c>
      <c r="E527" t="s">
        <v>1652</v>
      </c>
      <c r="F527" t="s">
        <v>37</v>
      </c>
      <c r="G527" t="s">
        <v>38</v>
      </c>
      <c r="H527" t="s">
        <v>1653</v>
      </c>
      <c r="I527" t="s">
        <v>40</v>
      </c>
      <c r="J527">
        <v>2</v>
      </c>
      <c r="K527" t="s">
        <v>41</v>
      </c>
      <c r="L527" t="s">
        <v>42</v>
      </c>
      <c r="M527" t="s">
        <v>43</v>
      </c>
      <c r="N527" s="7">
        <v>5</v>
      </c>
      <c r="O527" s="8">
        <v>45509.730636574073</v>
      </c>
      <c r="P527" s="9">
        <v>45512</v>
      </c>
      <c r="Q527" t="s">
        <v>44</v>
      </c>
      <c r="R527" t="s">
        <v>45</v>
      </c>
      <c r="S527" t="s">
        <v>1181</v>
      </c>
      <c r="T527" t="s">
        <v>47</v>
      </c>
      <c r="U527" t="s">
        <v>1654</v>
      </c>
      <c r="V527">
        <v>33000</v>
      </c>
      <c r="W527" t="s">
        <v>45</v>
      </c>
      <c r="X527" t="s">
        <v>191</v>
      </c>
      <c r="Y527" t="s">
        <v>50</v>
      </c>
      <c r="Z527" s="10">
        <f t="shared" si="50"/>
        <v>12.2</v>
      </c>
      <c r="AA527" s="11">
        <v>0</v>
      </c>
      <c r="AB527" s="11">
        <v>-2</v>
      </c>
      <c r="AC527" s="11">
        <v>0</v>
      </c>
      <c r="AD527" s="11">
        <v>0</v>
      </c>
      <c r="AE527" s="11">
        <v>0</v>
      </c>
      <c r="AF527" s="11">
        <f t="shared" si="48"/>
        <v>0.61199999999999999</v>
      </c>
      <c r="AG527" s="11">
        <f t="shared" si="49"/>
        <v>10.811999999999999</v>
      </c>
      <c r="AH527" t="s">
        <v>51</v>
      </c>
    </row>
    <row r="528" spans="1:34" ht="15" customHeight="1" x14ac:dyDescent="0.25">
      <c r="A528">
        <v>7547676</v>
      </c>
      <c r="B528" t="s">
        <v>34</v>
      </c>
      <c r="C528" t="s">
        <v>35</v>
      </c>
      <c r="D528" s="6" t="s">
        <v>34</v>
      </c>
      <c r="E528" t="s">
        <v>1655</v>
      </c>
      <c r="F528" t="s">
        <v>37</v>
      </c>
      <c r="G528" t="s">
        <v>38</v>
      </c>
      <c r="H528" t="s">
        <v>1656</v>
      </c>
      <c r="I528" t="s">
        <v>40</v>
      </c>
      <c r="J528">
        <v>2</v>
      </c>
      <c r="K528" t="s">
        <v>41</v>
      </c>
      <c r="L528" t="s">
        <v>42</v>
      </c>
      <c r="M528" t="s">
        <v>43</v>
      </c>
      <c r="N528" s="7">
        <v>1</v>
      </c>
      <c r="O528" s="8">
        <v>45510.724189814813</v>
      </c>
      <c r="P528" s="9">
        <v>45512</v>
      </c>
      <c r="Q528" t="s">
        <v>44</v>
      </c>
      <c r="R528" t="s">
        <v>45</v>
      </c>
      <c r="S528" t="s">
        <v>46</v>
      </c>
      <c r="T528" t="s">
        <v>223</v>
      </c>
      <c r="U528" t="s">
        <v>1657</v>
      </c>
      <c r="V528">
        <v>25150</v>
      </c>
      <c r="W528" t="s">
        <v>45</v>
      </c>
      <c r="X528" t="s">
        <v>225</v>
      </c>
      <c r="Y528" t="s">
        <v>50</v>
      </c>
      <c r="Z528" s="10">
        <f t="shared" si="50"/>
        <v>9</v>
      </c>
      <c r="AA528" s="11">
        <v>0</v>
      </c>
      <c r="AB528" s="11">
        <v>-2</v>
      </c>
      <c r="AC528" s="11">
        <v>0</v>
      </c>
      <c r="AD528" s="11">
        <v>0</v>
      </c>
      <c r="AE528" s="11">
        <v>0</v>
      </c>
      <c r="AF528" s="11">
        <f t="shared" si="48"/>
        <v>0.42</v>
      </c>
      <c r="AG528" s="11">
        <f t="shared" si="49"/>
        <v>7.42</v>
      </c>
      <c r="AH528" t="s">
        <v>51</v>
      </c>
    </row>
    <row r="529" spans="1:34" ht="15" customHeight="1" x14ac:dyDescent="0.25">
      <c r="A529">
        <v>7547676</v>
      </c>
      <c r="B529" t="s">
        <v>34</v>
      </c>
      <c r="C529" t="s">
        <v>35</v>
      </c>
      <c r="D529" s="6" t="s">
        <v>34</v>
      </c>
      <c r="E529" t="s">
        <v>1658</v>
      </c>
      <c r="F529" t="s">
        <v>37</v>
      </c>
      <c r="G529" t="s">
        <v>38</v>
      </c>
      <c r="H529" t="s">
        <v>1659</v>
      </c>
      <c r="I529" t="s">
        <v>40</v>
      </c>
      <c r="J529">
        <v>2</v>
      </c>
      <c r="K529" t="s">
        <v>41</v>
      </c>
      <c r="L529" t="s">
        <v>42</v>
      </c>
      <c r="M529" t="s">
        <v>43</v>
      </c>
      <c r="N529" s="7">
        <v>1</v>
      </c>
      <c r="O529" s="8">
        <v>45510.832326388889</v>
      </c>
      <c r="P529" s="9">
        <v>45512</v>
      </c>
      <c r="Q529" t="s">
        <v>44</v>
      </c>
      <c r="R529" t="s">
        <v>45</v>
      </c>
      <c r="S529" t="s">
        <v>46</v>
      </c>
      <c r="T529" t="s">
        <v>72</v>
      </c>
      <c r="U529" t="s">
        <v>1660</v>
      </c>
      <c r="V529">
        <v>22010</v>
      </c>
      <c r="W529" t="s">
        <v>45</v>
      </c>
      <c r="X529" t="s">
        <v>74</v>
      </c>
      <c r="Y529" t="s">
        <v>50</v>
      </c>
      <c r="Z529" s="10">
        <f t="shared" si="50"/>
        <v>9</v>
      </c>
      <c r="AA529" s="11">
        <v>0</v>
      </c>
      <c r="AB529" s="11">
        <v>-2</v>
      </c>
      <c r="AC529" s="11">
        <v>0</v>
      </c>
      <c r="AD529" s="11">
        <v>0</v>
      </c>
      <c r="AE529" s="11">
        <v>0</v>
      </c>
      <c r="AF529" s="11">
        <f t="shared" si="48"/>
        <v>0.42</v>
      </c>
      <c r="AG529" s="11">
        <f t="shared" si="49"/>
        <v>7.42</v>
      </c>
      <c r="AH529" t="s">
        <v>51</v>
      </c>
    </row>
    <row r="530" spans="1:34" ht="15" customHeight="1" x14ac:dyDescent="0.25">
      <c r="A530">
        <v>7547676</v>
      </c>
      <c r="B530" t="s">
        <v>34</v>
      </c>
      <c r="C530" t="s">
        <v>35</v>
      </c>
      <c r="D530" s="6" t="s">
        <v>34</v>
      </c>
      <c r="E530" t="s">
        <v>1661</v>
      </c>
      <c r="F530" t="s">
        <v>37</v>
      </c>
      <c r="G530" t="s">
        <v>38</v>
      </c>
      <c r="H530" t="s">
        <v>102</v>
      </c>
      <c r="I530" t="s">
        <v>40</v>
      </c>
      <c r="J530">
        <v>2</v>
      </c>
      <c r="K530" t="s">
        <v>41</v>
      </c>
      <c r="L530" t="s">
        <v>42</v>
      </c>
      <c r="M530" t="s">
        <v>43</v>
      </c>
      <c r="N530" s="7">
        <v>1</v>
      </c>
      <c r="O530" s="8">
        <v>45511.524525462963</v>
      </c>
      <c r="P530" s="9">
        <v>45512</v>
      </c>
      <c r="Q530" t="s">
        <v>44</v>
      </c>
      <c r="R530" t="s">
        <v>45</v>
      </c>
      <c r="S530" t="s">
        <v>46</v>
      </c>
      <c r="T530" t="s">
        <v>92</v>
      </c>
      <c r="U530" t="s">
        <v>1662</v>
      </c>
      <c r="V530">
        <v>40000</v>
      </c>
      <c r="W530" t="s">
        <v>45</v>
      </c>
      <c r="X530" t="s">
        <v>104</v>
      </c>
      <c r="Y530" t="s">
        <v>50</v>
      </c>
      <c r="Z530" s="10">
        <f t="shared" si="50"/>
        <v>9</v>
      </c>
      <c r="AA530" s="11">
        <v>0</v>
      </c>
      <c r="AB530" s="11">
        <v>-2</v>
      </c>
      <c r="AC530" s="11">
        <v>0</v>
      </c>
      <c r="AD530" s="11">
        <v>0</v>
      </c>
      <c r="AE530" s="11">
        <v>0</v>
      </c>
      <c r="AF530" s="11">
        <f t="shared" si="48"/>
        <v>0.42</v>
      </c>
      <c r="AG530" s="11">
        <f t="shared" si="49"/>
        <v>7.42</v>
      </c>
      <c r="AH530" t="s">
        <v>51</v>
      </c>
    </row>
    <row r="531" spans="1:34" ht="15" customHeight="1" x14ac:dyDescent="0.25">
      <c r="A531">
        <v>7547676</v>
      </c>
      <c r="B531" t="s">
        <v>34</v>
      </c>
      <c r="C531" t="s">
        <v>35</v>
      </c>
      <c r="D531" s="6" t="s">
        <v>34</v>
      </c>
      <c r="E531" t="s">
        <v>1663</v>
      </c>
      <c r="F531" t="s">
        <v>37</v>
      </c>
      <c r="G531" t="s">
        <v>38</v>
      </c>
      <c r="H531" t="s">
        <v>1664</v>
      </c>
      <c r="I531" t="s">
        <v>40</v>
      </c>
      <c r="J531">
        <v>2</v>
      </c>
      <c r="K531" t="s">
        <v>41</v>
      </c>
      <c r="L531" t="s">
        <v>42</v>
      </c>
      <c r="M531" t="s">
        <v>43</v>
      </c>
      <c r="N531" s="7">
        <v>1</v>
      </c>
      <c r="O531" s="8">
        <v>45510.808865740742</v>
      </c>
      <c r="P531" s="9">
        <v>45512</v>
      </c>
      <c r="Q531" t="s">
        <v>44</v>
      </c>
      <c r="R531" t="s">
        <v>45</v>
      </c>
      <c r="S531" t="s">
        <v>46</v>
      </c>
      <c r="T531" t="s">
        <v>223</v>
      </c>
      <c r="U531" t="s">
        <v>1665</v>
      </c>
      <c r="V531">
        <v>26400</v>
      </c>
      <c r="W531" t="s">
        <v>45</v>
      </c>
      <c r="X531" t="s">
        <v>225</v>
      </c>
      <c r="Y531" t="s">
        <v>50</v>
      </c>
      <c r="Z531" s="10">
        <f t="shared" si="50"/>
        <v>9</v>
      </c>
      <c r="AA531" s="11">
        <v>0</v>
      </c>
      <c r="AB531" s="11">
        <v>-2</v>
      </c>
      <c r="AC531" s="11">
        <v>0</v>
      </c>
      <c r="AD531" s="11">
        <v>0</v>
      </c>
      <c r="AE531" s="11">
        <v>0</v>
      </c>
      <c r="AF531" s="11">
        <f t="shared" si="48"/>
        <v>0.42</v>
      </c>
      <c r="AG531" s="11">
        <f t="shared" si="49"/>
        <v>7.42</v>
      </c>
      <c r="AH531" t="s">
        <v>51</v>
      </c>
    </row>
    <row r="532" spans="1:34" ht="15" customHeight="1" x14ac:dyDescent="0.25">
      <c r="A532">
        <v>7547676</v>
      </c>
      <c r="B532" t="s">
        <v>34</v>
      </c>
      <c r="C532" t="s">
        <v>35</v>
      </c>
      <c r="D532" s="6" t="s">
        <v>34</v>
      </c>
      <c r="E532" t="s">
        <v>1666</v>
      </c>
      <c r="F532" t="s">
        <v>37</v>
      </c>
      <c r="G532" t="s">
        <v>38</v>
      </c>
      <c r="H532" t="s">
        <v>1667</v>
      </c>
      <c r="I532" t="s">
        <v>40</v>
      </c>
      <c r="J532">
        <v>2</v>
      </c>
      <c r="K532" t="s">
        <v>41</v>
      </c>
      <c r="L532" t="s">
        <v>42</v>
      </c>
      <c r="M532" t="s">
        <v>43</v>
      </c>
      <c r="N532" s="7">
        <v>11</v>
      </c>
      <c r="O532" s="8">
        <v>45511.442673611113</v>
      </c>
      <c r="P532" s="9">
        <v>45512</v>
      </c>
      <c r="Q532" t="s">
        <v>44</v>
      </c>
      <c r="R532" t="s">
        <v>45</v>
      </c>
      <c r="S532" t="s">
        <v>46</v>
      </c>
      <c r="T532" t="s">
        <v>92</v>
      </c>
      <c r="U532" t="s">
        <v>1668</v>
      </c>
      <c r="V532">
        <v>47170</v>
      </c>
      <c r="W532" t="s">
        <v>45</v>
      </c>
      <c r="X532" t="s">
        <v>993</v>
      </c>
      <c r="Y532" t="s">
        <v>50</v>
      </c>
      <c r="Z532" s="10">
        <f t="shared" si="50"/>
        <v>17</v>
      </c>
      <c r="AA532" s="11">
        <v>0</v>
      </c>
      <c r="AB532" s="11">
        <v>-2</v>
      </c>
      <c r="AC532" s="11">
        <v>0</v>
      </c>
      <c r="AD532" s="11">
        <v>0</v>
      </c>
      <c r="AE532" s="11">
        <v>0</v>
      </c>
      <c r="AF532" s="11">
        <f t="shared" si="48"/>
        <v>0.89999999999999991</v>
      </c>
      <c r="AG532" s="11">
        <f t="shared" si="49"/>
        <v>15.9</v>
      </c>
      <c r="AH532" t="s">
        <v>51</v>
      </c>
    </row>
    <row r="533" spans="1:34" ht="15" customHeight="1" x14ac:dyDescent="0.25">
      <c r="A533">
        <v>7547676</v>
      </c>
      <c r="B533" t="s">
        <v>34</v>
      </c>
      <c r="C533" t="s">
        <v>35</v>
      </c>
      <c r="D533" s="6" t="s">
        <v>34</v>
      </c>
      <c r="E533" t="s">
        <v>1669</v>
      </c>
      <c r="F533" t="s">
        <v>37</v>
      </c>
      <c r="G533" t="s">
        <v>38</v>
      </c>
      <c r="H533" t="s">
        <v>1670</v>
      </c>
      <c r="I533" t="s">
        <v>40</v>
      </c>
      <c r="J533">
        <v>2</v>
      </c>
      <c r="K533" t="s">
        <v>41</v>
      </c>
      <c r="L533" t="s">
        <v>42</v>
      </c>
      <c r="M533" t="s">
        <v>43</v>
      </c>
      <c r="N533" s="7">
        <v>1</v>
      </c>
      <c r="O533" s="8">
        <v>45511.487893518519</v>
      </c>
      <c r="P533" s="9">
        <v>45512</v>
      </c>
      <c r="Q533" t="s">
        <v>44</v>
      </c>
      <c r="R533" t="s">
        <v>45</v>
      </c>
      <c r="S533" t="s">
        <v>46</v>
      </c>
      <c r="T533" t="s">
        <v>92</v>
      </c>
      <c r="U533" t="s">
        <v>1671</v>
      </c>
      <c r="V533">
        <v>43300</v>
      </c>
      <c r="W533" t="s">
        <v>45</v>
      </c>
      <c r="X533" t="s">
        <v>652</v>
      </c>
      <c r="Y533" t="s">
        <v>50</v>
      </c>
      <c r="Z533" s="10">
        <f t="shared" si="50"/>
        <v>9</v>
      </c>
      <c r="AA533" s="11">
        <v>0</v>
      </c>
      <c r="AB533" s="11">
        <v>-2</v>
      </c>
      <c r="AC533" s="11">
        <v>0</v>
      </c>
      <c r="AD533" s="11">
        <v>0</v>
      </c>
      <c r="AE533" s="11">
        <v>0</v>
      </c>
      <c r="AF533" s="11">
        <f t="shared" si="48"/>
        <v>0.42</v>
      </c>
      <c r="AG533" s="11">
        <f t="shared" si="49"/>
        <v>7.42</v>
      </c>
      <c r="AH533" t="s">
        <v>51</v>
      </c>
    </row>
    <row r="534" spans="1:34" ht="15" customHeight="1" x14ac:dyDescent="0.25">
      <c r="A534">
        <v>7547676</v>
      </c>
      <c r="B534" t="s">
        <v>34</v>
      </c>
      <c r="C534" t="s">
        <v>35</v>
      </c>
      <c r="D534" s="6" t="s">
        <v>34</v>
      </c>
      <c r="E534" t="s">
        <v>1672</v>
      </c>
      <c r="F534" t="s">
        <v>37</v>
      </c>
      <c r="G534" t="s">
        <v>38</v>
      </c>
      <c r="H534" t="s">
        <v>1673</v>
      </c>
      <c r="I534" t="s">
        <v>40</v>
      </c>
      <c r="J534">
        <v>2</v>
      </c>
      <c r="K534" t="s">
        <v>41</v>
      </c>
      <c r="L534" t="s">
        <v>42</v>
      </c>
      <c r="M534" t="s">
        <v>43</v>
      </c>
      <c r="N534" s="7">
        <v>1</v>
      </c>
      <c r="O534" s="8">
        <v>45510.817939814813</v>
      </c>
      <c r="P534" s="9">
        <v>45512</v>
      </c>
      <c r="Q534" t="s">
        <v>44</v>
      </c>
      <c r="R534" t="s">
        <v>45</v>
      </c>
      <c r="S534" t="s">
        <v>46</v>
      </c>
      <c r="T534" t="s">
        <v>151</v>
      </c>
      <c r="U534" t="s">
        <v>1674</v>
      </c>
      <c r="V534">
        <v>75450</v>
      </c>
      <c r="W534" t="s">
        <v>45</v>
      </c>
      <c r="X534" t="s">
        <v>200</v>
      </c>
      <c r="Y534" t="s">
        <v>50</v>
      </c>
      <c r="Z534" s="10">
        <f t="shared" si="50"/>
        <v>9</v>
      </c>
      <c r="AA534" s="11">
        <v>0</v>
      </c>
      <c r="AB534" s="11">
        <v>-2</v>
      </c>
      <c r="AC534" s="11">
        <v>0</v>
      </c>
      <c r="AD534" s="11">
        <v>0</v>
      </c>
      <c r="AE534" s="11">
        <v>0</v>
      </c>
      <c r="AF534" s="11">
        <f t="shared" si="48"/>
        <v>0.42</v>
      </c>
      <c r="AG534" s="11">
        <f t="shared" si="49"/>
        <v>7.42</v>
      </c>
      <c r="AH534" t="s">
        <v>51</v>
      </c>
    </row>
    <row r="535" spans="1:34" ht="15" customHeight="1" x14ac:dyDescent="0.25">
      <c r="A535">
        <v>7547676</v>
      </c>
      <c r="B535" t="s">
        <v>34</v>
      </c>
      <c r="C535" t="s">
        <v>35</v>
      </c>
      <c r="D535" s="6" t="s">
        <v>34</v>
      </c>
      <c r="E535" t="s">
        <v>1675</v>
      </c>
      <c r="F535" t="s">
        <v>37</v>
      </c>
      <c r="G535" t="s">
        <v>38</v>
      </c>
      <c r="H535" t="s">
        <v>1676</v>
      </c>
      <c r="I535" t="s">
        <v>40</v>
      </c>
      <c r="J535">
        <v>2</v>
      </c>
      <c r="K535" t="s">
        <v>41</v>
      </c>
      <c r="L535" t="s">
        <v>42</v>
      </c>
      <c r="M535" t="s">
        <v>43</v>
      </c>
      <c r="N535" s="7">
        <v>1</v>
      </c>
      <c r="O535" s="8">
        <v>45510.832314814812</v>
      </c>
      <c r="P535" s="9">
        <v>45512</v>
      </c>
      <c r="Q535" t="s">
        <v>44</v>
      </c>
      <c r="R535" t="s">
        <v>45</v>
      </c>
      <c r="S535" t="s">
        <v>46</v>
      </c>
      <c r="T535" t="s">
        <v>72</v>
      </c>
      <c r="U535" t="s">
        <v>1677</v>
      </c>
      <c r="V535">
        <v>22200</v>
      </c>
      <c r="W535" t="s">
        <v>45</v>
      </c>
      <c r="X535" t="s">
        <v>74</v>
      </c>
      <c r="Y535" t="s">
        <v>50</v>
      </c>
      <c r="Z535" s="10">
        <f t="shared" si="50"/>
        <v>9</v>
      </c>
      <c r="AA535" s="11">
        <v>0</v>
      </c>
      <c r="AB535" s="11">
        <v>-2</v>
      </c>
      <c r="AC535" s="11">
        <v>0</v>
      </c>
      <c r="AD535" s="11">
        <v>0</v>
      </c>
      <c r="AE535" s="11">
        <v>0</v>
      </c>
      <c r="AF535" s="11">
        <f t="shared" si="48"/>
        <v>0.42</v>
      </c>
      <c r="AG535" s="11">
        <f t="shared" si="49"/>
        <v>7.42</v>
      </c>
      <c r="AH535" t="s">
        <v>51</v>
      </c>
    </row>
    <row r="536" spans="1:34" ht="15" customHeight="1" x14ac:dyDescent="0.25">
      <c r="A536">
        <v>7547676</v>
      </c>
      <c r="B536" t="s">
        <v>34</v>
      </c>
      <c r="C536" t="s">
        <v>35</v>
      </c>
      <c r="D536" s="6" t="s">
        <v>34</v>
      </c>
      <c r="E536" t="s">
        <v>1678</v>
      </c>
      <c r="F536" t="s">
        <v>37</v>
      </c>
      <c r="G536" t="s">
        <v>38</v>
      </c>
      <c r="H536" t="s">
        <v>1679</v>
      </c>
      <c r="I536" t="s">
        <v>40</v>
      </c>
      <c r="J536">
        <v>2</v>
      </c>
      <c r="K536" t="s">
        <v>41</v>
      </c>
      <c r="L536" t="s">
        <v>42</v>
      </c>
      <c r="M536" t="s">
        <v>43</v>
      </c>
      <c r="N536" s="7">
        <v>2</v>
      </c>
      <c r="O536" s="8">
        <v>45511.652407407404</v>
      </c>
      <c r="P536" s="9">
        <v>45512</v>
      </c>
      <c r="Q536" t="s">
        <v>44</v>
      </c>
      <c r="R536" t="s">
        <v>45</v>
      </c>
      <c r="S536" t="s">
        <v>46</v>
      </c>
      <c r="T536" t="s">
        <v>92</v>
      </c>
      <c r="U536" t="s">
        <v>1680</v>
      </c>
      <c r="V536">
        <v>43900</v>
      </c>
      <c r="W536" t="s">
        <v>45</v>
      </c>
      <c r="X536" t="s">
        <v>1193</v>
      </c>
      <c r="Y536" t="s">
        <v>50</v>
      </c>
      <c r="Z536" s="10">
        <f t="shared" si="50"/>
        <v>9.8000000000000007</v>
      </c>
      <c r="AA536" s="11">
        <v>0</v>
      </c>
      <c r="AB536" s="11">
        <v>-2</v>
      </c>
      <c r="AC536" s="11">
        <v>0</v>
      </c>
      <c r="AD536" s="11">
        <v>0</v>
      </c>
      <c r="AE536" s="11">
        <v>0</v>
      </c>
      <c r="AF536" s="11">
        <f t="shared" si="48"/>
        <v>0.46800000000000003</v>
      </c>
      <c r="AG536" s="11">
        <f t="shared" si="49"/>
        <v>8.2680000000000007</v>
      </c>
      <c r="AH536" t="s">
        <v>51</v>
      </c>
    </row>
    <row r="537" spans="1:34" ht="15" customHeight="1" x14ac:dyDescent="0.25">
      <c r="A537">
        <v>7547676</v>
      </c>
      <c r="B537" t="s">
        <v>34</v>
      </c>
      <c r="C537" t="s">
        <v>35</v>
      </c>
      <c r="D537" s="6" t="s">
        <v>34</v>
      </c>
      <c r="E537" t="s">
        <v>1681</v>
      </c>
      <c r="F537" t="s">
        <v>37</v>
      </c>
      <c r="G537" t="s">
        <v>38</v>
      </c>
      <c r="H537" t="s">
        <v>454</v>
      </c>
      <c r="I537" t="s">
        <v>40</v>
      </c>
      <c r="J537">
        <v>2</v>
      </c>
      <c r="K537" t="s">
        <v>41</v>
      </c>
      <c r="L537" t="s">
        <v>42</v>
      </c>
      <c r="M537" t="s">
        <v>43</v>
      </c>
      <c r="N537" s="7">
        <v>4</v>
      </c>
      <c r="O537" s="8">
        <v>45509.743263888886</v>
      </c>
      <c r="P537" s="9">
        <v>45512</v>
      </c>
      <c r="Q537" t="s">
        <v>44</v>
      </c>
      <c r="R537" t="s">
        <v>45</v>
      </c>
      <c r="S537" t="s">
        <v>1181</v>
      </c>
      <c r="T537" t="s">
        <v>54</v>
      </c>
      <c r="U537" t="s">
        <v>1682</v>
      </c>
      <c r="V537">
        <v>81750</v>
      </c>
      <c r="W537" t="s">
        <v>45</v>
      </c>
      <c r="X537" t="s">
        <v>1683</v>
      </c>
      <c r="Y537" t="s">
        <v>50</v>
      </c>
      <c r="Z537" s="10">
        <f t="shared" si="50"/>
        <v>11.4</v>
      </c>
      <c r="AA537" s="11">
        <v>0</v>
      </c>
      <c r="AB537" s="11">
        <v>-2</v>
      </c>
      <c r="AC537" s="11">
        <v>0</v>
      </c>
      <c r="AD537" s="11">
        <v>0</v>
      </c>
      <c r="AE537" s="11">
        <v>0</v>
      </c>
      <c r="AF537" s="11">
        <f t="shared" si="48"/>
        <v>0.56399999999999995</v>
      </c>
      <c r="AG537" s="11">
        <f t="shared" si="49"/>
        <v>9.9640000000000004</v>
      </c>
      <c r="AH537" t="s">
        <v>51</v>
      </c>
    </row>
    <row r="538" spans="1:34" ht="15" customHeight="1" x14ac:dyDescent="0.25">
      <c r="A538">
        <v>7547676</v>
      </c>
      <c r="B538" t="s">
        <v>34</v>
      </c>
      <c r="C538" t="s">
        <v>35</v>
      </c>
      <c r="D538" s="6" t="s">
        <v>34</v>
      </c>
      <c r="E538" t="s">
        <v>1684</v>
      </c>
      <c r="F538" t="s">
        <v>37</v>
      </c>
      <c r="G538" t="s">
        <v>38</v>
      </c>
      <c r="H538" t="s">
        <v>1685</v>
      </c>
      <c r="I538" t="s">
        <v>40</v>
      </c>
      <c r="J538">
        <v>2</v>
      </c>
      <c r="K538" t="s">
        <v>41</v>
      </c>
      <c r="L538" t="s">
        <v>42</v>
      </c>
      <c r="M538" t="s">
        <v>43</v>
      </c>
      <c r="N538" s="7">
        <v>1</v>
      </c>
      <c r="O538" s="8">
        <v>45509.733310185184</v>
      </c>
      <c r="P538" s="9">
        <v>45512</v>
      </c>
      <c r="Q538" t="s">
        <v>44</v>
      </c>
      <c r="R538" t="s">
        <v>45</v>
      </c>
      <c r="S538" t="s">
        <v>1181</v>
      </c>
      <c r="T538" t="s">
        <v>107</v>
      </c>
      <c r="U538" t="s">
        <v>1686</v>
      </c>
      <c r="V538">
        <v>8000</v>
      </c>
      <c r="W538" t="s">
        <v>45</v>
      </c>
      <c r="X538" t="s">
        <v>109</v>
      </c>
      <c r="Y538" t="s">
        <v>50</v>
      </c>
      <c r="Z538" s="10">
        <f t="shared" si="50"/>
        <v>9</v>
      </c>
      <c r="AA538" s="11">
        <v>0</v>
      </c>
      <c r="AB538" s="11">
        <v>-2</v>
      </c>
      <c r="AC538" s="11">
        <v>0</v>
      </c>
      <c r="AD538" s="11">
        <v>0</v>
      </c>
      <c r="AE538" s="11">
        <v>0</v>
      </c>
      <c r="AF538" s="11">
        <f t="shared" si="48"/>
        <v>0.42</v>
      </c>
      <c r="AG538" s="11">
        <f t="shared" si="49"/>
        <v>7.42</v>
      </c>
      <c r="AH538" t="s">
        <v>51</v>
      </c>
    </row>
    <row r="539" spans="1:34" ht="15" customHeight="1" x14ac:dyDescent="0.25">
      <c r="A539">
        <v>7547676</v>
      </c>
      <c r="B539" t="s">
        <v>34</v>
      </c>
      <c r="C539" t="s">
        <v>35</v>
      </c>
      <c r="D539" s="6" t="s">
        <v>34</v>
      </c>
      <c r="E539" t="s">
        <v>1687</v>
      </c>
      <c r="F539" t="s">
        <v>37</v>
      </c>
      <c r="G539" t="s">
        <v>38</v>
      </c>
      <c r="H539" t="s">
        <v>1688</v>
      </c>
      <c r="I539" t="s">
        <v>40</v>
      </c>
      <c r="J539">
        <v>2</v>
      </c>
      <c r="K539" t="s">
        <v>41</v>
      </c>
      <c r="L539" t="s">
        <v>42</v>
      </c>
      <c r="M539" t="s">
        <v>43</v>
      </c>
      <c r="N539" s="7">
        <v>1</v>
      </c>
      <c r="O539" s="8">
        <v>45510.822905092595</v>
      </c>
      <c r="P539" s="9">
        <v>45512</v>
      </c>
      <c r="Q539" t="s">
        <v>44</v>
      </c>
      <c r="R539" t="s">
        <v>45</v>
      </c>
      <c r="S539" t="s">
        <v>46</v>
      </c>
      <c r="T539" t="s">
        <v>92</v>
      </c>
      <c r="U539" t="s">
        <v>1689</v>
      </c>
      <c r="V539">
        <v>54200</v>
      </c>
      <c r="W539" t="s">
        <v>45</v>
      </c>
      <c r="X539" t="s">
        <v>354</v>
      </c>
      <c r="Y539" t="s">
        <v>50</v>
      </c>
      <c r="Z539" s="10">
        <f t="shared" si="50"/>
        <v>9</v>
      </c>
      <c r="AA539" s="11">
        <v>0</v>
      </c>
      <c r="AB539" s="11">
        <v>-2</v>
      </c>
      <c r="AC539" s="11">
        <v>0</v>
      </c>
      <c r="AD539" s="11">
        <v>0</v>
      </c>
      <c r="AE539" s="11">
        <v>0</v>
      </c>
      <c r="AF539" s="11">
        <f t="shared" si="48"/>
        <v>0.42</v>
      </c>
      <c r="AG539" s="11">
        <f t="shared" si="49"/>
        <v>7.42</v>
      </c>
      <c r="AH539" t="s">
        <v>51</v>
      </c>
    </row>
    <row r="540" spans="1:34" ht="15" customHeight="1" x14ac:dyDescent="0.25">
      <c r="A540">
        <v>7547676</v>
      </c>
      <c r="B540" t="s">
        <v>34</v>
      </c>
      <c r="C540" t="s">
        <v>35</v>
      </c>
      <c r="D540" s="6" t="s">
        <v>34</v>
      </c>
      <c r="E540" t="s">
        <v>1690</v>
      </c>
      <c r="F540" t="s">
        <v>37</v>
      </c>
      <c r="G540" t="s">
        <v>38</v>
      </c>
      <c r="H540" t="s">
        <v>1691</v>
      </c>
      <c r="I540" t="s">
        <v>40</v>
      </c>
      <c r="J540">
        <v>2</v>
      </c>
      <c r="K540" t="s">
        <v>41</v>
      </c>
      <c r="L540" t="s">
        <v>42</v>
      </c>
      <c r="M540" t="s">
        <v>43</v>
      </c>
      <c r="N540" s="7">
        <v>1</v>
      </c>
      <c r="O540" s="8">
        <v>45510.811863425923</v>
      </c>
      <c r="P540" s="9">
        <v>45512</v>
      </c>
      <c r="Q540" t="s">
        <v>44</v>
      </c>
      <c r="R540" t="s">
        <v>45</v>
      </c>
      <c r="S540" t="s">
        <v>46</v>
      </c>
      <c r="T540" t="s">
        <v>92</v>
      </c>
      <c r="U540" t="s">
        <v>1692</v>
      </c>
      <c r="V540">
        <v>53100</v>
      </c>
      <c r="W540" t="s">
        <v>45</v>
      </c>
      <c r="X540" t="s">
        <v>842</v>
      </c>
      <c r="Y540" t="s">
        <v>50</v>
      </c>
      <c r="Z540" s="10">
        <f t="shared" si="50"/>
        <v>9</v>
      </c>
      <c r="AA540" s="11">
        <v>0</v>
      </c>
      <c r="AB540" s="11">
        <v>-2</v>
      </c>
      <c r="AC540" s="11">
        <v>0</v>
      </c>
      <c r="AD540" s="11">
        <v>0</v>
      </c>
      <c r="AE540" s="11">
        <v>0</v>
      </c>
      <c r="AF540" s="11">
        <f t="shared" si="48"/>
        <v>0.42</v>
      </c>
      <c r="AG540" s="11">
        <f t="shared" si="49"/>
        <v>7.42</v>
      </c>
      <c r="AH540" t="s">
        <v>51</v>
      </c>
    </row>
    <row r="541" spans="1:34" ht="15" customHeight="1" x14ac:dyDescent="0.25">
      <c r="A541">
        <v>7547676</v>
      </c>
      <c r="B541" t="s">
        <v>34</v>
      </c>
      <c r="C541" t="s">
        <v>35</v>
      </c>
      <c r="D541" s="6" t="s">
        <v>34</v>
      </c>
      <c r="E541" t="s">
        <v>1693</v>
      </c>
      <c r="F541" t="s">
        <v>37</v>
      </c>
      <c r="G541" t="s">
        <v>38</v>
      </c>
      <c r="H541" t="s">
        <v>1694</v>
      </c>
      <c r="I541" t="s">
        <v>40</v>
      </c>
      <c r="J541">
        <v>2</v>
      </c>
      <c r="K541" t="s">
        <v>41</v>
      </c>
      <c r="L541" t="s">
        <v>42</v>
      </c>
      <c r="M541" t="s">
        <v>43</v>
      </c>
      <c r="N541" s="7">
        <v>1</v>
      </c>
      <c r="O541" s="8">
        <v>45510.832314814812</v>
      </c>
      <c r="P541" s="9">
        <v>45512</v>
      </c>
      <c r="Q541" t="s">
        <v>44</v>
      </c>
      <c r="R541" t="s">
        <v>45</v>
      </c>
      <c r="S541" t="s">
        <v>46</v>
      </c>
      <c r="T541" t="s">
        <v>223</v>
      </c>
      <c r="U541" t="s">
        <v>1695</v>
      </c>
      <c r="V541">
        <v>25200</v>
      </c>
      <c r="W541" t="s">
        <v>45</v>
      </c>
      <c r="X541" t="s">
        <v>225</v>
      </c>
      <c r="Y541" t="s">
        <v>50</v>
      </c>
      <c r="Z541" s="10">
        <f t="shared" si="50"/>
        <v>9</v>
      </c>
      <c r="AA541" s="11">
        <v>0</v>
      </c>
      <c r="AB541" s="11">
        <v>-2</v>
      </c>
      <c r="AC541" s="11">
        <v>0</v>
      </c>
      <c r="AD541" s="11">
        <v>0</v>
      </c>
      <c r="AE541" s="11">
        <v>0</v>
      </c>
      <c r="AF541" s="11">
        <f t="shared" si="48"/>
        <v>0.42</v>
      </c>
      <c r="AG541" s="11">
        <f t="shared" si="49"/>
        <v>7.42</v>
      </c>
      <c r="AH541" t="s">
        <v>51</v>
      </c>
    </row>
    <row r="542" spans="1:34" ht="15" customHeight="1" x14ac:dyDescent="0.25">
      <c r="A542">
        <v>7547676</v>
      </c>
      <c r="B542" t="s">
        <v>34</v>
      </c>
      <c r="C542" t="s">
        <v>35</v>
      </c>
      <c r="D542" s="6" t="s">
        <v>34</v>
      </c>
      <c r="E542" t="s">
        <v>1696</v>
      </c>
      <c r="F542" t="s">
        <v>37</v>
      </c>
      <c r="G542" t="s">
        <v>38</v>
      </c>
      <c r="H542" t="s">
        <v>1697</v>
      </c>
      <c r="I542" t="s">
        <v>40</v>
      </c>
      <c r="J542">
        <v>2</v>
      </c>
      <c r="K542" t="s">
        <v>41</v>
      </c>
      <c r="L542" t="s">
        <v>42</v>
      </c>
      <c r="M542" t="s">
        <v>43</v>
      </c>
      <c r="N542" s="7">
        <v>1</v>
      </c>
      <c r="O542" s="8">
        <v>45511.592199074075</v>
      </c>
      <c r="P542" s="9">
        <v>45512</v>
      </c>
      <c r="Q542" t="s">
        <v>44</v>
      </c>
      <c r="R542" t="s">
        <v>45</v>
      </c>
      <c r="S542" t="s">
        <v>46</v>
      </c>
      <c r="T542" t="s">
        <v>223</v>
      </c>
      <c r="U542" t="s">
        <v>1698</v>
      </c>
      <c r="V542">
        <v>26600</v>
      </c>
      <c r="W542" t="s">
        <v>45</v>
      </c>
      <c r="X542" t="s">
        <v>225</v>
      </c>
      <c r="Y542" t="s">
        <v>50</v>
      </c>
      <c r="Z542" s="10">
        <f t="shared" si="50"/>
        <v>9</v>
      </c>
      <c r="AA542" s="11">
        <v>0</v>
      </c>
      <c r="AB542" s="11">
        <v>-2</v>
      </c>
      <c r="AC542" s="11">
        <v>0</v>
      </c>
      <c r="AD542" s="11">
        <v>0</v>
      </c>
      <c r="AE542" s="11">
        <v>0</v>
      </c>
      <c r="AF542" s="11">
        <f t="shared" si="48"/>
        <v>0.42</v>
      </c>
      <c r="AG542" s="11">
        <f t="shared" si="49"/>
        <v>7.42</v>
      </c>
      <c r="AH542" t="s">
        <v>51</v>
      </c>
    </row>
    <row r="543" spans="1:34" ht="15" customHeight="1" x14ac:dyDescent="0.25">
      <c r="A543">
        <v>7547676</v>
      </c>
      <c r="B543" t="s">
        <v>34</v>
      </c>
      <c r="C543" t="s">
        <v>35</v>
      </c>
      <c r="D543" s="6" t="s">
        <v>34</v>
      </c>
      <c r="E543" t="s">
        <v>1699</v>
      </c>
      <c r="F543" t="s">
        <v>37</v>
      </c>
      <c r="G543" t="s">
        <v>38</v>
      </c>
      <c r="H543" t="s">
        <v>1700</v>
      </c>
      <c r="I543" t="s">
        <v>40</v>
      </c>
      <c r="J543">
        <v>2</v>
      </c>
      <c r="K543" t="s">
        <v>41</v>
      </c>
      <c r="L543" t="s">
        <v>42</v>
      </c>
      <c r="M543" t="s">
        <v>43</v>
      </c>
      <c r="N543" s="7">
        <v>2</v>
      </c>
      <c r="O543" s="8">
        <v>45510.715243055558</v>
      </c>
      <c r="P543" s="9">
        <v>45512</v>
      </c>
      <c r="Q543" t="s">
        <v>44</v>
      </c>
      <c r="R543" t="s">
        <v>45</v>
      </c>
      <c r="S543" t="s">
        <v>46</v>
      </c>
      <c r="T543" t="s">
        <v>92</v>
      </c>
      <c r="U543" t="s">
        <v>1701</v>
      </c>
      <c r="V543">
        <v>53100</v>
      </c>
      <c r="W543" t="s">
        <v>45</v>
      </c>
      <c r="X543" t="s">
        <v>842</v>
      </c>
      <c r="Y543" t="s">
        <v>50</v>
      </c>
      <c r="Z543" s="10">
        <f t="shared" si="50"/>
        <v>9.8000000000000007</v>
      </c>
      <c r="AA543" s="11">
        <v>0</v>
      </c>
      <c r="AB543" s="11">
        <v>-2</v>
      </c>
      <c r="AC543" s="11">
        <v>0</v>
      </c>
      <c r="AD543" s="11">
        <v>0</v>
      </c>
      <c r="AE543" s="11">
        <v>0</v>
      </c>
      <c r="AF543" s="11">
        <f t="shared" si="48"/>
        <v>0.46800000000000003</v>
      </c>
      <c r="AG543" s="11">
        <f t="shared" si="49"/>
        <v>8.2680000000000007</v>
      </c>
      <c r="AH543" t="s">
        <v>51</v>
      </c>
    </row>
    <row r="544" spans="1:34" ht="15" customHeight="1" x14ac:dyDescent="0.25">
      <c r="A544">
        <v>7547676</v>
      </c>
      <c r="B544" t="s">
        <v>34</v>
      </c>
      <c r="C544" t="s">
        <v>35</v>
      </c>
      <c r="D544" s="6" t="s">
        <v>34</v>
      </c>
      <c r="E544" t="s">
        <v>1702</v>
      </c>
      <c r="F544" t="s">
        <v>37</v>
      </c>
      <c r="G544" t="s">
        <v>38</v>
      </c>
      <c r="H544" t="s">
        <v>1703</v>
      </c>
      <c r="I544" t="s">
        <v>40</v>
      </c>
      <c r="J544">
        <v>2</v>
      </c>
      <c r="K544" t="s">
        <v>41</v>
      </c>
      <c r="L544" t="s">
        <v>42</v>
      </c>
      <c r="M544" t="s">
        <v>43</v>
      </c>
      <c r="N544" s="7">
        <v>1</v>
      </c>
      <c r="O544" s="8">
        <v>45512.551944444444</v>
      </c>
      <c r="P544" s="9">
        <v>45513</v>
      </c>
      <c r="Q544" t="s">
        <v>44</v>
      </c>
      <c r="R544" t="s">
        <v>45</v>
      </c>
      <c r="S544" t="s">
        <v>46</v>
      </c>
      <c r="T544" t="s">
        <v>72</v>
      </c>
      <c r="U544" t="s">
        <v>1704</v>
      </c>
      <c r="V544">
        <v>21300</v>
      </c>
      <c r="W544" t="s">
        <v>45</v>
      </c>
      <c r="X544" t="s">
        <v>139</v>
      </c>
      <c r="Y544" t="s">
        <v>50</v>
      </c>
      <c r="Z544" s="10">
        <f t="shared" si="50"/>
        <v>9</v>
      </c>
      <c r="AA544" s="11">
        <v>0</v>
      </c>
      <c r="AB544" s="11">
        <v>-2</v>
      </c>
      <c r="AC544" s="11">
        <v>0</v>
      </c>
      <c r="AD544" s="11">
        <v>0</v>
      </c>
      <c r="AE544" s="11">
        <v>0</v>
      </c>
      <c r="AF544" s="11">
        <f t="shared" si="48"/>
        <v>0.42</v>
      </c>
      <c r="AG544" s="11">
        <f t="shared" si="49"/>
        <v>7.42</v>
      </c>
      <c r="AH544" t="s">
        <v>51</v>
      </c>
    </row>
    <row r="545" spans="1:34" ht="15" customHeight="1" x14ac:dyDescent="0.25">
      <c r="A545">
        <v>7547676</v>
      </c>
      <c r="B545" t="s">
        <v>34</v>
      </c>
      <c r="C545" t="s">
        <v>35</v>
      </c>
      <c r="D545" s="6" t="s">
        <v>34</v>
      </c>
      <c r="E545" t="s">
        <v>1705</v>
      </c>
      <c r="F545" t="s">
        <v>37</v>
      </c>
      <c r="G545" t="s">
        <v>38</v>
      </c>
      <c r="H545" t="s">
        <v>1706</v>
      </c>
      <c r="I545" t="s">
        <v>40</v>
      </c>
      <c r="J545">
        <v>2</v>
      </c>
      <c r="K545" t="s">
        <v>41</v>
      </c>
      <c r="L545" t="s">
        <v>42</v>
      </c>
      <c r="M545" t="s">
        <v>43</v>
      </c>
      <c r="N545" s="7">
        <v>1</v>
      </c>
      <c r="O545" s="8">
        <v>45510.722395833334</v>
      </c>
      <c r="P545" s="9">
        <v>45513</v>
      </c>
      <c r="Q545" t="s">
        <v>44</v>
      </c>
      <c r="R545" t="s">
        <v>45</v>
      </c>
      <c r="S545" t="s">
        <v>46</v>
      </c>
      <c r="T545" t="s">
        <v>146</v>
      </c>
      <c r="U545" t="s">
        <v>1707</v>
      </c>
      <c r="V545">
        <v>46200</v>
      </c>
      <c r="W545" t="s">
        <v>45</v>
      </c>
      <c r="X545" t="s">
        <v>69</v>
      </c>
      <c r="Y545" t="s">
        <v>50</v>
      </c>
      <c r="Z545" s="10">
        <f t="shared" si="50"/>
        <v>9</v>
      </c>
      <c r="AA545" s="11">
        <v>0</v>
      </c>
      <c r="AB545" s="11">
        <v>-2</v>
      </c>
      <c r="AC545" s="11">
        <v>0</v>
      </c>
      <c r="AD545" s="11">
        <v>0</v>
      </c>
      <c r="AE545" s="11">
        <v>0</v>
      </c>
      <c r="AF545" s="11">
        <f t="shared" si="48"/>
        <v>0.42</v>
      </c>
      <c r="AG545" s="11">
        <f t="shared" si="49"/>
        <v>7.42</v>
      </c>
      <c r="AH545" t="s">
        <v>51</v>
      </c>
    </row>
    <row r="546" spans="1:34" ht="15" customHeight="1" x14ac:dyDescent="0.25">
      <c r="A546">
        <v>7547676</v>
      </c>
      <c r="B546" t="s">
        <v>34</v>
      </c>
      <c r="C546" t="s">
        <v>35</v>
      </c>
      <c r="D546" s="6" t="s">
        <v>34</v>
      </c>
      <c r="E546" t="s">
        <v>1708</v>
      </c>
      <c r="F546" t="s">
        <v>37</v>
      </c>
      <c r="G546" t="s">
        <v>38</v>
      </c>
      <c r="H546" t="s">
        <v>1709</v>
      </c>
      <c r="I546" t="s">
        <v>40</v>
      </c>
      <c r="J546">
        <v>2</v>
      </c>
      <c r="K546" t="s">
        <v>41</v>
      </c>
      <c r="L546" t="s">
        <v>42</v>
      </c>
      <c r="M546" t="s">
        <v>43</v>
      </c>
      <c r="N546" s="7">
        <v>1</v>
      </c>
      <c r="O546" s="8">
        <v>45512.453217592592</v>
      </c>
      <c r="P546" s="9">
        <v>45513</v>
      </c>
      <c r="Q546" t="s">
        <v>44</v>
      </c>
      <c r="R546" t="s">
        <v>45</v>
      </c>
      <c r="S546" t="s">
        <v>46</v>
      </c>
      <c r="T546" t="s">
        <v>151</v>
      </c>
      <c r="U546" t="s">
        <v>1710</v>
      </c>
      <c r="V546">
        <v>75450</v>
      </c>
      <c r="W546" t="s">
        <v>45</v>
      </c>
      <c r="X546" t="s">
        <v>200</v>
      </c>
      <c r="Y546" t="s">
        <v>50</v>
      </c>
      <c r="Z546" s="10">
        <f t="shared" si="50"/>
        <v>9</v>
      </c>
      <c r="AA546" s="11">
        <v>0</v>
      </c>
      <c r="AB546" s="11">
        <v>-2</v>
      </c>
      <c r="AC546" s="11">
        <v>0</v>
      </c>
      <c r="AD546" s="11">
        <v>0</v>
      </c>
      <c r="AE546" s="11">
        <v>0</v>
      </c>
      <c r="AF546" s="11">
        <f t="shared" si="48"/>
        <v>0.42</v>
      </c>
      <c r="AG546" s="11">
        <f t="shared" si="49"/>
        <v>7.42</v>
      </c>
      <c r="AH546" t="s">
        <v>51</v>
      </c>
    </row>
    <row r="547" spans="1:34" ht="15" customHeight="1" x14ac:dyDescent="0.25">
      <c r="A547">
        <v>7547676</v>
      </c>
      <c r="B547" t="s">
        <v>34</v>
      </c>
      <c r="C547" t="s">
        <v>35</v>
      </c>
      <c r="D547" s="6" t="s">
        <v>34</v>
      </c>
      <c r="E547" t="s">
        <v>1711</v>
      </c>
      <c r="F547" t="s">
        <v>37</v>
      </c>
      <c r="G547" t="s">
        <v>38</v>
      </c>
      <c r="H547" t="s">
        <v>1712</v>
      </c>
      <c r="I547" t="s">
        <v>40</v>
      </c>
      <c r="J547">
        <v>2</v>
      </c>
      <c r="K547" t="s">
        <v>41</v>
      </c>
      <c r="L547" t="s">
        <v>42</v>
      </c>
      <c r="M547" t="s">
        <v>43</v>
      </c>
      <c r="N547" s="7">
        <v>1</v>
      </c>
      <c r="O547" s="8">
        <v>45512.521354166667</v>
      </c>
      <c r="P547" s="9">
        <v>45513</v>
      </c>
      <c r="Q547" t="s">
        <v>44</v>
      </c>
      <c r="R547" t="s">
        <v>45</v>
      </c>
      <c r="S547" t="s">
        <v>46</v>
      </c>
      <c r="T547" t="s">
        <v>223</v>
      </c>
      <c r="U547" t="s">
        <v>1713</v>
      </c>
      <c r="V547">
        <v>26080</v>
      </c>
      <c r="W547" t="s">
        <v>45</v>
      </c>
      <c r="X547" t="s">
        <v>225</v>
      </c>
      <c r="Y547" t="s">
        <v>50</v>
      </c>
      <c r="Z547" s="10">
        <f t="shared" si="50"/>
        <v>9</v>
      </c>
      <c r="AA547" s="11">
        <v>0</v>
      </c>
      <c r="AB547" s="11">
        <v>-2</v>
      </c>
      <c r="AC547" s="11">
        <v>0</v>
      </c>
      <c r="AD547" s="11">
        <v>0</v>
      </c>
      <c r="AE547" s="11">
        <v>0</v>
      </c>
      <c r="AF547" s="11">
        <f t="shared" si="48"/>
        <v>0.42</v>
      </c>
      <c r="AG547" s="11">
        <f t="shared" si="49"/>
        <v>7.42</v>
      </c>
      <c r="AH547" t="s">
        <v>51</v>
      </c>
    </row>
    <row r="548" spans="1:34" ht="15" customHeight="1" x14ac:dyDescent="0.25">
      <c r="A548">
        <v>7547676</v>
      </c>
      <c r="B548" t="s">
        <v>34</v>
      </c>
      <c r="C548" t="s">
        <v>35</v>
      </c>
      <c r="D548" s="6" t="s">
        <v>34</v>
      </c>
      <c r="E548" t="s">
        <v>1714</v>
      </c>
      <c r="F548" t="s">
        <v>37</v>
      </c>
      <c r="G548" t="s">
        <v>38</v>
      </c>
      <c r="H548" t="s">
        <v>1715</v>
      </c>
      <c r="I548" t="s">
        <v>40</v>
      </c>
      <c r="J548">
        <v>2</v>
      </c>
      <c r="K548" t="s">
        <v>41</v>
      </c>
      <c r="L548" t="s">
        <v>42</v>
      </c>
      <c r="M548" t="s">
        <v>43</v>
      </c>
      <c r="N548" s="7">
        <v>2</v>
      </c>
      <c r="O548" s="8">
        <v>45512.518425925926</v>
      </c>
      <c r="P548" s="9">
        <v>45513</v>
      </c>
      <c r="Q548" t="s">
        <v>44</v>
      </c>
      <c r="R548" t="s">
        <v>45</v>
      </c>
      <c r="S548" t="s">
        <v>46</v>
      </c>
      <c r="T548" t="s">
        <v>92</v>
      </c>
      <c r="U548" t="s">
        <v>1716</v>
      </c>
      <c r="V548">
        <v>40170</v>
      </c>
      <c r="W548" t="s">
        <v>45</v>
      </c>
      <c r="X548" t="s">
        <v>596</v>
      </c>
      <c r="Y548" t="s">
        <v>50</v>
      </c>
      <c r="Z548" s="10">
        <f t="shared" si="50"/>
        <v>9.8000000000000007</v>
      </c>
      <c r="AA548" s="11">
        <v>0</v>
      </c>
      <c r="AB548" s="11">
        <v>-2</v>
      </c>
      <c r="AC548" s="11">
        <v>0</v>
      </c>
      <c r="AD548" s="11">
        <v>0</v>
      </c>
      <c r="AE548" s="11">
        <v>0</v>
      </c>
      <c r="AF548" s="11">
        <f t="shared" si="48"/>
        <v>0.46800000000000003</v>
      </c>
      <c r="AG548" s="11">
        <f t="shared" si="49"/>
        <v>8.2680000000000007</v>
      </c>
      <c r="AH548" t="s">
        <v>51</v>
      </c>
    </row>
    <row r="549" spans="1:34" ht="15" customHeight="1" x14ac:dyDescent="0.25">
      <c r="A549">
        <v>7547676</v>
      </c>
      <c r="B549" t="s">
        <v>34</v>
      </c>
      <c r="C549" t="s">
        <v>35</v>
      </c>
      <c r="D549" s="6" t="s">
        <v>34</v>
      </c>
      <c r="E549" t="s">
        <v>1717</v>
      </c>
      <c r="F549" t="s">
        <v>37</v>
      </c>
      <c r="G549" t="s">
        <v>38</v>
      </c>
      <c r="H549" t="s">
        <v>1718</v>
      </c>
      <c r="I549" t="s">
        <v>40</v>
      </c>
      <c r="J549">
        <v>2</v>
      </c>
      <c r="K549" t="s">
        <v>41</v>
      </c>
      <c r="L549" t="s">
        <v>42</v>
      </c>
      <c r="M549" t="s">
        <v>43</v>
      </c>
      <c r="N549" s="7">
        <v>1</v>
      </c>
      <c r="O549" s="8">
        <v>45510.832326388889</v>
      </c>
      <c r="P549" s="9">
        <v>45513</v>
      </c>
      <c r="Q549" t="s">
        <v>44</v>
      </c>
      <c r="R549" t="s">
        <v>45</v>
      </c>
      <c r="S549" t="s">
        <v>46</v>
      </c>
      <c r="T549" t="s">
        <v>129</v>
      </c>
      <c r="U549" t="s">
        <v>1719</v>
      </c>
      <c r="V549">
        <v>42200</v>
      </c>
      <c r="W549" t="s">
        <v>45</v>
      </c>
      <c r="X549" t="s">
        <v>278</v>
      </c>
      <c r="Y549" t="s">
        <v>50</v>
      </c>
      <c r="Z549" s="10">
        <f t="shared" si="50"/>
        <v>9</v>
      </c>
      <c r="AA549" s="11">
        <v>0</v>
      </c>
      <c r="AB549" s="11">
        <v>-2</v>
      </c>
      <c r="AC549" s="11">
        <v>0</v>
      </c>
      <c r="AD549" s="11">
        <v>0</v>
      </c>
      <c r="AE549" s="11">
        <v>0</v>
      </c>
      <c r="AF549" s="11">
        <f t="shared" si="48"/>
        <v>0.42</v>
      </c>
      <c r="AG549" s="11">
        <f t="shared" si="49"/>
        <v>7.42</v>
      </c>
      <c r="AH549" t="s">
        <v>51</v>
      </c>
    </row>
    <row r="550" spans="1:34" ht="15" customHeight="1" x14ac:dyDescent="0.25">
      <c r="A550">
        <v>7547676</v>
      </c>
      <c r="B550" t="s">
        <v>34</v>
      </c>
      <c r="C550" t="s">
        <v>35</v>
      </c>
      <c r="D550" s="6" t="s">
        <v>34</v>
      </c>
      <c r="E550" t="s">
        <v>1720</v>
      </c>
      <c r="F550" t="s">
        <v>37</v>
      </c>
      <c r="G550" t="s">
        <v>38</v>
      </c>
      <c r="H550" t="s">
        <v>102</v>
      </c>
      <c r="I550" t="s">
        <v>40</v>
      </c>
      <c r="J550">
        <v>2</v>
      </c>
      <c r="K550" t="s">
        <v>41</v>
      </c>
      <c r="L550" t="s">
        <v>42</v>
      </c>
      <c r="M550" t="s">
        <v>43</v>
      </c>
      <c r="N550" s="7">
        <v>4</v>
      </c>
      <c r="O550" s="8">
        <v>45512.608668981484</v>
      </c>
      <c r="P550" s="9">
        <v>45513</v>
      </c>
      <c r="Q550" t="s">
        <v>44</v>
      </c>
      <c r="R550" t="s">
        <v>45</v>
      </c>
      <c r="S550" t="s">
        <v>46</v>
      </c>
      <c r="T550" t="s">
        <v>92</v>
      </c>
      <c r="U550" t="s">
        <v>103</v>
      </c>
      <c r="V550">
        <v>40000</v>
      </c>
      <c r="W550" t="s">
        <v>45</v>
      </c>
      <c r="X550" t="s">
        <v>104</v>
      </c>
      <c r="Y550" t="s">
        <v>50</v>
      </c>
      <c r="Z550" s="10">
        <f t="shared" si="50"/>
        <v>11.4</v>
      </c>
      <c r="AA550" s="11">
        <v>0</v>
      </c>
      <c r="AB550" s="11">
        <v>-2</v>
      </c>
      <c r="AC550" s="11">
        <v>0</v>
      </c>
      <c r="AD550" s="11">
        <v>0</v>
      </c>
      <c r="AE550" s="11">
        <v>0</v>
      </c>
      <c r="AF550" s="11">
        <f t="shared" si="48"/>
        <v>0.56399999999999995</v>
      </c>
      <c r="AG550" s="11">
        <f t="shared" si="49"/>
        <v>9.9640000000000004</v>
      </c>
      <c r="AH550" t="s">
        <v>51</v>
      </c>
    </row>
    <row r="551" spans="1:34" ht="15" customHeight="1" x14ac:dyDescent="0.25">
      <c r="A551">
        <v>7547676</v>
      </c>
      <c r="B551" t="s">
        <v>34</v>
      </c>
      <c r="C551" t="s">
        <v>35</v>
      </c>
      <c r="D551" s="6" t="s">
        <v>34</v>
      </c>
      <c r="E551" t="s">
        <v>1721</v>
      </c>
      <c r="F551" t="s">
        <v>37</v>
      </c>
      <c r="G551" t="s">
        <v>38</v>
      </c>
      <c r="H551" t="s">
        <v>1722</v>
      </c>
      <c r="I551" t="s">
        <v>40</v>
      </c>
      <c r="J551">
        <v>2</v>
      </c>
      <c r="K551" t="s">
        <v>41</v>
      </c>
      <c r="L551" t="s">
        <v>42</v>
      </c>
      <c r="M551" t="s">
        <v>43</v>
      </c>
      <c r="N551" s="7">
        <v>1</v>
      </c>
      <c r="O551" s="8">
        <v>45510.839259259257</v>
      </c>
      <c r="P551" s="9">
        <v>45513</v>
      </c>
      <c r="Q551" t="s">
        <v>44</v>
      </c>
      <c r="R551" t="s">
        <v>45</v>
      </c>
      <c r="S551" t="s">
        <v>46</v>
      </c>
      <c r="T551" t="s">
        <v>107</v>
      </c>
      <c r="U551" t="s">
        <v>1723</v>
      </c>
      <c r="V551">
        <v>8000</v>
      </c>
      <c r="W551" t="s">
        <v>45</v>
      </c>
      <c r="X551" t="s">
        <v>109</v>
      </c>
      <c r="Y551" t="s">
        <v>50</v>
      </c>
      <c r="Z551" s="10">
        <f t="shared" si="50"/>
        <v>9</v>
      </c>
      <c r="AA551" s="11">
        <v>0</v>
      </c>
      <c r="AB551" s="11">
        <v>-2</v>
      </c>
      <c r="AC551" s="11">
        <v>0</v>
      </c>
      <c r="AD551" s="11">
        <v>0</v>
      </c>
      <c r="AE551" s="11">
        <v>0</v>
      </c>
      <c r="AF551" s="11">
        <f t="shared" si="48"/>
        <v>0.42</v>
      </c>
      <c r="AG551" s="11">
        <f t="shared" si="49"/>
        <v>7.42</v>
      </c>
      <c r="AH551" t="s">
        <v>51</v>
      </c>
    </row>
    <row r="552" spans="1:34" ht="15" customHeight="1" x14ac:dyDescent="0.25">
      <c r="A552">
        <v>7547676</v>
      </c>
      <c r="B552" t="s">
        <v>34</v>
      </c>
      <c r="C552" t="s">
        <v>35</v>
      </c>
      <c r="D552" s="6" t="s">
        <v>34</v>
      </c>
      <c r="E552" t="s">
        <v>1724</v>
      </c>
      <c r="F552" t="s">
        <v>37</v>
      </c>
      <c r="G552" t="s">
        <v>38</v>
      </c>
      <c r="H552" t="s">
        <v>1725</v>
      </c>
      <c r="I552" t="s">
        <v>40</v>
      </c>
      <c r="J552">
        <v>2</v>
      </c>
      <c r="K552" t="s">
        <v>41</v>
      </c>
      <c r="L552" t="s">
        <v>42</v>
      </c>
      <c r="M552" t="s">
        <v>43</v>
      </c>
      <c r="N552" s="7">
        <v>1</v>
      </c>
      <c r="O552" s="8">
        <v>45512.497442129628</v>
      </c>
      <c r="P552" s="9">
        <v>45513</v>
      </c>
      <c r="Q552" t="s">
        <v>44</v>
      </c>
      <c r="R552" t="s">
        <v>45</v>
      </c>
      <c r="S552" t="s">
        <v>46</v>
      </c>
      <c r="T552" t="s">
        <v>92</v>
      </c>
      <c r="U552" t="s">
        <v>1726</v>
      </c>
      <c r="V552">
        <v>47830</v>
      </c>
      <c r="W552" t="s">
        <v>45</v>
      </c>
      <c r="X552" t="s">
        <v>1727</v>
      </c>
      <c r="Y552" t="s">
        <v>50</v>
      </c>
      <c r="Z552" s="10">
        <f t="shared" si="50"/>
        <v>9</v>
      </c>
      <c r="AA552" s="11">
        <v>0</v>
      </c>
      <c r="AB552" s="11">
        <v>-2</v>
      </c>
      <c r="AC552" s="11">
        <v>0</v>
      </c>
      <c r="AD552" s="11">
        <v>0</v>
      </c>
      <c r="AE552" s="11">
        <v>0</v>
      </c>
      <c r="AF552" s="11">
        <f t="shared" si="48"/>
        <v>0.42</v>
      </c>
      <c r="AG552" s="11">
        <f t="shared" si="49"/>
        <v>7.42</v>
      </c>
      <c r="AH552" t="s">
        <v>51</v>
      </c>
    </row>
    <row r="553" spans="1:34" ht="15" customHeight="1" x14ac:dyDescent="0.25">
      <c r="A553">
        <v>7547676</v>
      </c>
      <c r="B553" t="s">
        <v>34</v>
      </c>
      <c r="C553" t="s">
        <v>35</v>
      </c>
      <c r="D553" s="6" t="s">
        <v>34</v>
      </c>
      <c r="E553" t="s">
        <v>1728</v>
      </c>
      <c r="F553" t="s">
        <v>37</v>
      </c>
      <c r="G553" t="s">
        <v>38</v>
      </c>
      <c r="H553" t="s">
        <v>1322</v>
      </c>
      <c r="I553" t="s">
        <v>40</v>
      </c>
      <c r="J553">
        <v>2</v>
      </c>
      <c r="K553" t="s">
        <v>41</v>
      </c>
      <c r="L553" t="s">
        <v>42</v>
      </c>
      <c r="M553" t="s">
        <v>43</v>
      </c>
      <c r="N553" s="7">
        <v>6</v>
      </c>
      <c r="O553" s="8">
        <v>45512.497430555559</v>
      </c>
      <c r="P553" s="9">
        <v>45513</v>
      </c>
      <c r="Q553" t="s">
        <v>44</v>
      </c>
      <c r="R553" t="s">
        <v>45</v>
      </c>
      <c r="S553" t="s">
        <v>46</v>
      </c>
      <c r="T553" t="s">
        <v>146</v>
      </c>
      <c r="U553" t="s">
        <v>1729</v>
      </c>
      <c r="V553">
        <v>50400</v>
      </c>
      <c r="W553" t="s">
        <v>45</v>
      </c>
      <c r="X553" t="s">
        <v>505</v>
      </c>
      <c r="Y553" t="s">
        <v>50</v>
      </c>
      <c r="Z553" s="10">
        <f t="shared" si="50"/>
        <v>13</v>
      </c>
      <c r="AA553" s="11">
        <v>0</v>
      </c>
      <c r="AB553" s="11">
        <v>-2</v>
      </c>
      <c r="AC553" s="11">
        <v>0</v>
      </c>
      <c r="AD553" s="11">
        <v>0</v>
      </c>
      <c r="AE553" s="11">
        <v>0</v>
      </c>
      <c r="AF553" s="11">
        <f t="shared" si="48"/>
        <v>0.65999999999999992</v>
      </c>
      <c r="AG553" s="11">
        <f t="shared" si="49"/>
        <v>11.66</v>
      </c>
      <c r="AH553" t="s">
        <v>51</v>
      </c>
    </row>
    <row r="554" spans="1:34" ht="15" customHeight="1" x14ac:dyDescent="0.25">
      <c r="A554">
        <v>7547676</v>
      </c>
      <c r="B554" t="s">
        <v>34</v>
      </c>
      <c r="C554" t="s">
        <v>35</v>
      </c>
      <c r="D554" s="6" t="s">
        <v>34</v>
      </c>
      <c r="E554" t="s">
        <v>1730</v>
      </c>
      <c r="F554" t="s">
        <v>37</v>
      </c>
      <c r="G554" t="s">
        <v>38</v>
      </c>
      <c r="H554" t="s">
        <v>1731</v>
      </c>
      <c r="I554" t="s">
        <v>40</v>
      </c>
      <c r="J554">
        <v>2</v>
      </c>
      <c r="K554" t="s">
        <v>41</v>
      </c>
      <c r="L554" t="s">
        <v>42</v>
      </c>
      <c r="M554" t="s">
        <v>43</v>
      </c>
      <c r="N554" s="7">
        <v>1</v>
      </c>
      <c r="O554" s="8">
        <v>45512.713506944441</v>
      </c>
      <c r="P554" s="9">
        <v>45513</v>
      </c>
      <c r="Q554" t="s">
        <v>44</v>
      </c>
      <c r="R554" t="s">
        <v>45</v>
      </c>
      <c r="S554" t="s">
        <v>46</v>
      </c>
      <c r="T554" t="s">
        <v>92</v>
      </c>
      <c r="U554" t="s">
        <v>1732</v>
      </c>
      <c r="V554">
        <v>40150</v>
      </c>
      <c r="W554" t="s">
        <v>45</v>
      </c>
      <c r="X554" t="s">
        <v>143</v>
      </c>
      <c r="Y554" t="s">
        <v>50</v>
      </c>
      <c r="Z554" s="10">
        <f t="shared" si="50"/>
        <v>9</v>
      </c>
      <c r="AA554" s="11">
        <v>0</v>
      </c>
      <c r="AB554" s="11">
        <v>-2</v>
      </c>
      <c r="AC554" s="11">
        <v>0</v>
      </c>
      <c r="AD554" s="11">
        <v>0</v>
      </c>
      <c r="AE554" s="11">
        <v>0</v>
      </c>
      <c r="AF554" s="11">
        <f t="shared" si="48"/>
        <v>0.42</v>
      </c>
      <c r="AG554" s="11">
        <f t="shared" si="49"/>
        <v>7.42</v>
      </c>
      <c r="AH554" t="s">
        <v>51</v>
      </c>
    </row>
    <row r="555" spans="1:34" ht="15" customHeight="1" x14ac:dyDescent="0.25">
      <c r="A555">
        <v>7547676</v>
      </c>
      <c r="B555" t="s">
        <v>34</v>
      </c>
      <c r="C555" t="s">
        <v>35</v>
      </c>
      <c r="D555" s="6" t="s">
        <v>34</v>
      </c>
      <c r="E555" t="s">
        <v>1733</v>
      </c>
      <c r="F555" t="s">
        <v>37</v>
      </c>
      <c r="G555" t="s">
        <v>38</v>
      </c>
      <c r="H555" t="s">
        <v>1364</v>
      </c>
      <c r="I555" t="s">
        <v>40</v>
      </c>
      <c r="J555">
        <v>2</v>
      </c>
      <c r="K555" t="s">
        <v>41</v>
      </c>
      <c r="L555" t="s">
        <v>42</v>
      </c>
      <c r="M555" t="s">
        <v>43</v>
      </c>
      <c r="N555" s="7">
        <v>1</v>
      </c>
      <c r="O555" s="8">
        <v>45511.694791666669</v>
      </c>
      <c r="P555" s="9">
        <v>45513</v>
      </c>
      <c r="Q555" t="s">
        <v>44</v>
      </c>
      <c r="R555" t="s">
        <v>45</v>
      </c>
      <c r="S555" t="s">
        <v>46</v>
      </c>
      <c r="T555" t="s">
        <v>54</v>
      </c>
      <c r="U555" t="s">
        <v>1365</v>
      </c>
      <c r="V555">
        <v>83700</v>
      </c>
      <c r="W555" t="s">
        <v>45</v>
      </c>
      <c r="X555" t="s">
        <v>245</v>
      </c>
      <c r="Y555" t="s">
        <v>50</v>
      </c>
      <c r="Z555" s="10">
        <f t="shared" si="50"/>
        <v>9</v>
      </c>
      <c r="AA555" s="11">
        <v>0</v>
      </c>
      <c r="AB555" s="11">
        <v>-2</v>
      </c>
      <c r="AC555" s="11">
        <v>0</v>
      </c>
      <c r="AD555" s="11">
        <v>0</v>
      </c>
      <c r="AE555" s="11">
        <v>0</v>
      </c>
      <c r="AF555" s="11">
        <f t="shared" si="48"/>
        <v>0.42</v>
      </c>
      <c r="AG555" s="11">
        <f t="shared" si="49"/>
        <v>7.42</v>
      </c>
      <c r="AH555" t="s">
        <v>51</v>
      </c>
    </row>
    <row r="556" spans="1:34" ht="15" customHeight="1" x14ac:dyDescent="0.25">
      <c r="A556">
        <v>7547676</v>
      </c>
      <c r="B556" t="s">
        <v>34</v>
      </c>
      <c r="C556" t="s">
        <v>35</v>
      </c>
      <c r="D556" s="6" t="s">
        <v>34</v>
      </c>
      <c r="E556" t="s">
        <v>1734</v>
      </c>
      <c r="F556" t="s">
        <v>37</v>
      </c>
      <c r="G556" t="s">
        <v>38</v>
      </c>
      <c r="H556" t="s">
        <v>1735</v>
      </c>
      <c r="I556" t="s">
        <v>40</v>
      </c>
      <c r="J556">
        <v>2</v>
      </c>
      <c r="K556" t="s">
        <v>41</v>
      </c>
      <c r="L556" t="s">
        <v>42</v>
      </c>
      <c r="M556" t="s">
        <v>43</v>
      </c>
      <c r="N556" s="7">
        <v>1</v>
      </c>
      <c r="O556" s="8">
        <v>45511.589097222219</v>
      </c>
      <c r="P556" s="9">
        <v>45513</v>
      </c>
      <c r="Q556" t="s">
        <v>44</v>
      </c>
      <c r="R556" t="s">
        <v>45</v>
      </c>
      <c r="S556" t="s">
        <v>46</v>
      </c>
      <c r="T556" t="s">
        <v>47</v>
      </c>
      <c r="U556" t="s">
        <v>1736</v>
      </c>
      <c r="V556">
        <v>34200</v>
      </c>
      <c r="W556" t="s">
        <v>45</v>
      </c>
      <c r="X556" t="s">
        <v>69</v>
      </c>
      <c r="Y556" t="s">
        <v>50</v>
      </c>
      <c r="Z556" s="10">
        <f t="shared" si="50"/>
        <v>9</v>
      </c>
      <c r="AA556" s="11">
        <v>0</v>
      </c>
      <c r="AB556" s="11">
        <v>-2</v>
      </c>
      <c r="AC556" s="11">
        <v>0</v>
      </c>
      <c r="AD556" s="11">
        <v>0</v>
      </c>
      <c r="AE556" s="11">
        <v>0</v>
      </c>
      <c r="AF556" s="11">
        <f t="shared" si="48"/>
        <v>0.42</v>
      </c>
      <c r="AG556" s="11">
        <f t="shared" si="49"/>
        <v>7.42</v>
      </c>
      <c r="AH556" t="s">
        <v>51</v>
      </c>
    </row>
    <row r="557" spans="1:34" ht="15" customHeight="1" x14ac:dyDescent="0.25">
      <c r="A557">
        <v>7547676</v>
      </c>
      <c r="B557" t="s">
        <v>34</v>
      </c>
      <c r="C557" t="s">
        <v>35</v>
      </c>
      <c r="D557" s="6" t="s">
        <v>34</v>
      </c>
      <c r="E557" t="s">
        <v>1737</v>
      </c>
      <c r="F557" t="s">
        <v>37</v>
      </c>
      <c r="G557" t="s">
        <v>38</v>
      </c>
      <c r="H557" t="s">
        <v>1738</v>
      </c>
      <c r="I557" t="s">
        <v>40</v>
      </c>
      <c r="J557">
        <v>2</v>
      </c>
      <c r="K557" t="s">
        <v>41</v>
      </c>
      <c r="L557" t="s">
        <v>42</v>
      </c>
      <c r="M557" t="s">
        <v>43</v>
      </c>
      <c r="N557" s="7">
        <v>2</v>
      </c>
      <c r="O557" s="8">
        <v>45509.428784722222</v>
      </c>
      <c r="P557" s="9">
        <v>45513</v>
      </c>
      <c r="Q557" t="s">
        <v>44</v>
      </c>
      <c r="R557" t="s">
        <v>45</v>
      </c>
      <c r="S557" t="s">
        <v>1181</v>
      </c>
      <c r="T557" t="s">
        <v>312</v>
      </c>
      <c r="U557" t="s">
        <v>1739</v>
      </c>
      <c r="V557">
        <v>98000</v>
      </c>
      <c r="W557" t="s">
        <v>118</v>
      </c>
      <c r="X557" t="s">
        <v>1740</v>
      </c>
      <c r="Y557" t="s">
        <v>50</v>
      </c>
      <c r="Z557" s="12">
        <f>IF(N557&lt;=1,13,IF(N557&lt;=2,23,IF(N557&lt;=3,35,IF(N557&lt;=4,43,IF(N557&lt;=5,53,IF(N557&lt;=6,63,IF(N557&lt;=7,71,IF(N557&lt;=8,79,IF(N557&lt;=9,87,IF(N557&lt;=10,95,IF(N557&lt;=11,105,IF(N557&lt;=12,114,IF(N557&lt;=13,119,IF(N557&lt;=14,127,IF(N557&lt;=15,135,IF(N557&lt;=16,143,IF(N557&lt;=17,153,IF(N557&lt;=18,163,IF(N557&lt;=19,171,IF(N557&lt;=20,185,IF(N557&lt;=21,193,IF(N557&lt;=22,201,IF(N557&lt;=23,210,IF(N557&lt;=24,220,IF(N557&lt;=25,230,IF(N557&lt;=26,240,IF(N557&lt;=27,250,IF(N557&lt;=28,260,IF(N557&lt;=29,270,IF(N557&lt;=30,280,280+10*ROUNDUP(N557-30,0)))))))))))))))))))))))))))))))</f>
        <v>23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f t="shared" si="48"/>
        <v>1.38</v>
      </c>
      <c r="AG557" s="11">
        <f t="shared" si="49"/>
        <v>24.38</v>
      </c>
      <c r="AH557" t="s">
        <v>119</v>
      </c>
    </row>
    <row r="558" spans="1:34" ht="15" customHeight="1" x14ac:dyDescent="0.25">
      <c r="A558">
        <v>7547676</v>
      </c>
      <c r="B558" t="s">
        <v>34</v>
      </c>
      <c r="C558" t="s">
        <v>35</v>
      </c>
      <c r="D558" s="6" t="s">
        <v>34</v>
      </c>
      <c r="E558" t="s">
        <v>1741</v>
      </c>
      <c r="F558" t="s">
        <v>37</v>
      </c>
      <c r="G558" t="s">
        <v>38</v>
      </c>
      <c r="H558" t="s">
        <v>1742</v>
      </c>
      <c r="I558" t="s">
        <v>40</v>
      </c>
      <c r="J558">
        <v>2</v>
      </c>
      <c r="K558" t="s">
        <v>41</v>
      </c>
      <c r="L558" t="s">
        <v>42</v>
      </c>
      <c r="M558" t="s">
        <v>43</v>
      </c>
      <c r="N558" s="7">
        <v>1</v>
      </c>
      <c r="O558" s="8">
        <v>45512.497442129628</v>
      </c>
      <c r="P558" s="9">
        <v>45513</v>
      </c>
      <c r="Q558" t="s">
        <v>44</v>
      </c>
      <c r="R558" t="s">
        <v>45</v>
      </c>
      <c r="S558" t="s">
        <v>46</v>
      </c>
      <c r="T558" t="s">
        <v>92</v>
      </c>
      <c r="U558" t="s">
        <v>1743</v>
      </c>
      <c r="V558">
        <v>48000</v>
      </c>
      <c r="W558" t="s">
        <v>45</v>
      </c>
      <c r="X558" t="s">
        <v>170</v>
      </c>
      <c r="Y558" t="s">
        <v>50</v>
      </c>
      <c r="Z558" s="10">
        <f t="shared" ref="Z558:Z591" si="51">IF(N558&lt;=1,9,9+0.8*ROUNDUP(N558-1,0))</f>
        <v>9</v>
      </c>
      <c r="AA558" s="11">
        <v>0</v>
      </c>
      <c r="AB558" s="11">
        <v>-2</v>
      </c>
      <c r="AC558" s="11">
        <v>0</v>
      </c>
      <c r="AD558" s="11">
        <v>0</v>
      </c>
      <c r="AE558" s="11">
        <v>0</v>
      </c>
      <c r="AF558" s="11">
        <f t="shared" si="48"/>
        <v>0.42</v>
      </c>
      <c r="AG558" s="11">
        <f t="shared" si="49"/>
        <v>7.42</v>
      </c>
      <c r="AH558" t="s">
        <v>51</v>
      </c>
    </row>
    <row r="559" spans="1:34" ht="15" customHeight="1" x14ac:dyDescent="0.25">
      <c r="A559">
        <v>7547676</v>
      </c>
      <c r="B559" t="s">
        <v>34</v>
      </c>
      <c r="C559" t="s">
        <v>35</v>
      </c>
      <c r="D559" s="6" t="s">
        <v>34</v>
      </c>
      <c r="E559" t="s">
        <v>1744</v>
      </c>
      <c r="F559" t="s">
        <v>37</v>
      </c>
      <c r="G559" t="s">
        <v>38</v>
      </c>
      <c r="H559" t="s">
        <v>1745</v>
      </c>
      <c r="I559" t="s">
        <v>40</v>
      </c>
      <c r="J559">
        <v>2</v>
      </c>
      <c r="K559" t="s">
        <v>41</v>
      </c>
      <c r="L559" t="s">
        <v>42</v>
      </c>
      <c r="M559" t="s">
        <v>43</v>
      </c>
      <c r="N559" s="7">
        <v>1</v>
      </c>
      <c r="O559" s="8">
        <v>45510.822905092595</v>
      </c>
      <c r="P559" s="9">
        <v>45513</v>
      </c>
      <c r="Q559" t="s">
        <v>44</v>
      </c>
      <c r="R559" t="s">
        <v>45</v>
      </c>
      <c r="S559" t="s">
        <v>46</v>
      </c>
      <c r="T559" t="s">
        <v>107</v>
      </c>
      <c r="U559" t="s">
        <v>1746</v>
      </c>
      <c r="V559">
        <v>6150</v>
      </c>
      <c r="W559" t="s">
        <v>45</v>
      </c>
      <c r="X559" t="s">
        <v>69</v>
      </c>
      <c r="Y559" t="s">
        <v>50</v>
      </c>
      <c r="Z559" s="10">
        <f t="shared" si="51"/>
        <v>9</v>
      </c>
      <c r="AA559" s="11">
        <v>0</v>
      </c>
      <c r="AB559" s="11">
        <v>-2</v>
      </c>
      <c r="AC559" s="11">
        <v>0</v>
      </c>
      <c r="AD559" s="11">
        <v>0</v>
      </c>
      <c r="AE559" s="11">
        <v>0</v>
      </c>
      <c r="AF559" s="11">
        <f t="shared" si="48"/>
        <v>0.42</v>
      </c>
      <c r="AG559" s="11">
        <f t="shared" si="49"/>
        <v>7.42</v>
      </c>
      <c r="AH559" t="s">
        <v>51</v>
      </c>
    </row>
    <row r="560" spans="1:34" ht="15" customHeight="1" x14ac:dyDescent="0.25">
      <c r="A560">
        <v>7547676</v>
      </c>
      <c r="B560" t="s">
        <v>34</v>
      </c>
      <c r="C560" t="s">
        <v>35</v>
      </c>
      <c r="D560" s="6" t="s">
        <v>34</v>
      </c>
      <c r="E560" t="s">
        <v>1747</v>
      </c>
      <c r="F560" t="s">
        <v>37</v>
      </c>
      <c r="G560" t="s">
        <v>38</v>
      </c>
      <c r="H560" t="s">
        <v>1748</v>
      </c>
      <c r="I560" t="s">
        <v>40</v>
      </c>
      <c r="J560">
        <v>2</v>
      </c>
      <c r="K560" t="s">
        <v>41</v>
      </c>
      <c r="L560" t="s">
        <v>42</v>
      </c>
      <c r="M560" t="s">
        <v>43</v>
      </c>
      <c r="N560" s="7">
        <v>2</v>
      </c>
      <c r="O560" s="8">
        <v>45511.809756944444</v>
      </c>
      <c r="P560" s="9">
        <v>45513</v>
      </c>
      <c r="Q560" t="s">
        <v>44</v>
      </c>
      <c r="R560" t="s">
        <v>45</v>
      </c>
      <c r="S560" t="s">
        <v>46</v>
      </c>
      <c r="T560" t="s">
        <v>92</v>
      </c>
      <c r="U560" t="s">
        <v>1749</v>
      </c>
      <c r="V560">
        <v>68100</v>
      </c>
      <c r="W560" t="s">
        <v>45</v>
      </c>
      <c r="X560" t="s">
        <v>842</v>
      </c>
      <c r="Y560" t="s">
        <v>50</v>
      </c>
      <c r="Z560" s="10">
        <f t="shared" si="51"/>
        <v>9.8000000000000007</v>
      </c>
      <c r="AA560" s="11">
        <v>0</v>
      </c>
      <c r="AB560" s="11">
        <v>-2</v>
      </c>
      <c r="AC560" s="11">
        <v>0</v>
      </c>
      <c r="AD560" s="11">
        <v>0</v>
      </c>
      <c r="AE560" s="11">
        <v>0</v>
      </c>
      <c r="AF560" s="11">
        <f t="shared" si="48"/>
        <v>0.46800000000000003</v>
      </c>
      <c r="AG560" s="11">
        <f t="shared" si="49"/>
        <v>8.2680000000000007</v>
      </c>
      <c r="AH560" t="s">
        <v>51</v>
      </c>
    </row>
    <row r="561" spans="1:34" ht="15" customHeight="1" x14ac:dyDescent="0.25">
      <c r="A561">
        <v>7547676</v>
      </c>
      <c r="B561" t="s">
        <v>34</v>
      </c>
      <c r="C561" t="s">
        <v>35</v>
      </c>
      <c r="D561" s="6" t="s">
        <v>34</v>
      </c>
      <c r="E561" t="s">
        <v>1750</v>
      </c>
      <c r="F561" t="s">
        <v>37</v>
      </c>
      <c r="G561" t="s">
        <v>38</v>
      </c>
      <c r="H561" t="s">
        <v>1751</v>
      </c>
      <c r="I561" t="s">
        <v>40</v>
      </c>
      <c r="J561">
        <v>2</v>
      </c>
      <c r="K561" t="s">
        <v>41</v>
      </c>
      <c r="L561" t="s">
        <v>42</v>
      </c>
      <c r="M561" t="s">
        <v>43</v>
      </c>
      <c r="N561" s="7">
        <v>1</v>
      </c>
      <c r="O561" s="8">
        <v>45512.610671296294</v>
      </c>
      <c r="P561" s="9">
        <v>45513</v>
      </c>
      <c r="Q561" t="s">
        <v>44</v>
      </c>
      <c r="R561" t="s">
        <v>45</v>
      </c>
      <c r="S561" t="s">
        <v>46</v>
      </c>
      <c r="T561" t="s">
        <v>92</v>
      </c>
      <c r="U561" t="s">
        <v>1752</v>
      </c>
      <c r="V561">
        <v>40000</v>
      </c>
      <c r="W561" t="s">
        <v>45</v>
      </c>
      <c r="X561" t="s">
        <v>478</v>
      </c>
      <c r="Y561" t="s">
        <v>50</v>
      </c>
      <c r="Z561" s="10">
        <f t="shared" si="51"/>
        <v>9</v>
      </c>
      <c r="AA561" s="11">
        <v>0</v>
      </c>
      <c r="AB561" s="11">
        <v>-2</v>
      </c>
      <c r="AC561" s="11">
        <v>0</v>
      </c>
      <c r="AD561" s="11">
        <v>0</v>
      </c>
      <c r="AE561" s="11">
        <v>0</v>
      </c>
      <c r="AF561" s="11">
        <f t="shared" si="48"/>
        <v>0.42</v>
      </c>
      <c r="AG561" s="11">
        <f t="shared" si="49"/>
        <v>7.42</v>
      </c>
      <c r="AH561" t="s">
        <v>51</v>
      </c>
    </row>
    <row r="562" spans="1:34" ht="15" customHeight="1" x14ac:dyDescent="0.25">
      <c r="A562">
        <v>7547676</v>
      </c>
      <c r="B562" t="s">
        <v>34</v>
      </c>
      <c r="C562" t="s">
        <v>35</v>
      </c>
      <c r="D562" s="6" t="s">
        <v>34</v>
      </c>
      <c r="E562" t="s">
        <v>1753</v>
      </c>
      <c r="F562" t="s">
        <v>37</v>
      </c>
      <c r="G562" t="s">
        <v>38</v>
      </c>
      <c r="H562" t="s">
        <v>1754</v>
      </c>
      <c r="I562" t="s">
        <v>40</v>
      </c>
      <c r="J562">
        <v>2</v>
      </c>
      <c r="K562" t="s">
        <v>41</v>
      </c>
      <c r="L562" t="s">
        <v>42</v>
      </c>
      <c r="M562" t="s">
        <v>43</v>
      </c>
      <c r="N562" s="7">
        <v>1</v>
      </c>
      <c r="O562" s="8">
        <v>45511.501030092593</v>
      </c>
      <c r="P562" s="9">
        <v>45513</v>
      </c>
      <c r="Q562" t="s">
        <v>44</v>
      </c>
      <c r="R562" t="s">
        <v>45</v>
      </c>
      <c r="S562" t="s">
        <v>46</v>
      </c>
      <c r="T562" t="s">
        <v>47</v>
      </c>
      <c r="U562" t="s">
        <v>1755</v>
      </c>
      <c r="V562">
        <v>32100</v>
      </c>
      <c r="W562" t="s">
        <v>45</v>
      </c>
      <c r="X562" t="s">
        <v>1461</v>
      </c>
      <c r="Y562" t="s">
        <v>50</v>
      </c>
      <c r="Z562" s="10">
        <f t="shared" si="51"/>
        <v>9</v>
      </c>
      <c r="AA562" s="11">
        <v>0</v>
      </c>
      <c r="AB562" s="11">
        <v>-2</v>
      </c>
      <c r="AC562" s="11">
        <v>0</v>
      </c>
      <c r="AD562" s="11">
        <v>0</v>
      </c>
      <c r="AE562" s="11">
        <v>0</v>
      </c>
      <c r="AF562" s="11">
        <f t="shared" si="48"/>
        <v>0.42</v>
      </c>
      <c r="AG562" s="11">
        <f t="shared" si="49"/>
        <v>7.42</v>
      </c>
      <c r="AH562" t="s">
        <v>51</v>
      </c>
    </row>
    <row r="563" spans="1:34" ht="15" customHeight="1" x14ac:dyDescent="0.25">
      <c r="A563">
        <v>7547676</v>
      </c>
      <c r="B563" t="s">
        <v>34</v>
      </c>
      <c r="C563" t="s">
        <v>35</v>
      </c>
      <c r="D563" s="6" t="s">
        <v>34</v>
      </c>
      <c r="E563" t="s">
        <v>1756</v>
      </c>
      <c r="F563" t="s">
        <v>37</v>
      </c>
      <c r="G563" t="s">
        <v>38</v>
      </c>
      <c r="H563" t="s">
        <v>1757</v>
      </c>
      <c r="I563" t="s">
        <v>40</v>
      </c>
      <c r="J563">
        <v>2</v>
      </c>
      <c r="K563" t="s">
        <v>41</v>
      </c>
      <c r="L563" t="s">
        <v>42</v>
      </c>
      <c r="M563" t="s">
        <v>43</v>
      </c>
      <c r="N563" s="7">
        <v>1</v>
      </c>
      <c r="O563" s="8">
        <v>45510.822893518518</v>
      </c>
      <c r="P563" s="9">
        <v>45513</v>
      </c>
      <c r="Q563" t="s">
        <v>44</v>
      </c>
      <c r="R563" t="s">
        <v>45</v>
      </c>
      <c r="S563" t="s">
        <v>46</v>
      </c>
      <c r="T563" t="s">
        <v>54</v>
      </c>
      <c r="U563" t="s">
        <v>1758</v>
      </c>
      <c r="V563">
        <v>81200</v>
      </c>
      <c r="W563" t="s">
        <v>45</v>
      </c>
      <c r="X563" t="s">
        <v>330</v>
      </c>
      <c r="Y563" t="s">
        <v>50</v>
      </c>
      <c r="Z563" s="10">
        <f t="shared" si="51"/>
        <v>9</v>
      </c>
      <c r="AA563" s="11">
        <v>0</v>
      </c>
      <c r="AB563" s="11">
        <v>-2</v>
      </c>
      <c r="AC563" s="11">
        <v>0</v>
      </c>
      <c r="AD563" s="11">
        <v>0</v>
      </c>
      <c r="AE563" s="11">
        <v>0</v>
      </c>
      <c r="AF563" s="11">
        <f t="shared" si="48"/>
        <v>0.42</v>
      </c>
      <c r="AG563" s="11">
        <f t="shared" si="49"/>
        <v>7.42</v>
      </c>
      <c r="AH563" t="s">
        <v>51</v>
      </c>
    </row>
    <row r="564" spans="1:34" ht="15" customHeight="1" x14ac:dyDescent="0.25">
      <c r="A564">
        <v>7547676</v>
      </c>
      <c r="B564" t="s">
        <v>34</v>
      </c>
      <c r="C564" t="s">
        <v>35</v>
      </c>
      <c r="D564" s="6" t="s">
        <v>34</v>
      </c>
      <c r="E564" t="s">
        <v>1759</v>
      </c>
      <c r="F564" t="s">
        <v>37</v>
      </c>
      <c r="G564" t="s">
        <v>38</v>
      </c>
      <c r="H564" t="s">
        <v>1760</v>
      </c>
      <c r="I564" t="s">
        <v>40</v>
      </c>
      <c r="J564">
        <v>2</v>
      </c>
      <c r="K564" t="s">
        <v>41</v>
      </c>
      <c r="L564" t="s">
        <v>42</v>
      </c>
      <c r="M564" t="s">
        <v>43</v>
      </c>
      <c r="N564" s="7">
        <v>2</v>
      </c>
      <c r="O564" s="8">
        <v>45509.433553240742</v>
      </c>
      <c r="P564" s="9">
        <v>45513</v>
      </c>
      <c r="Q564" t="s">
        <v>44</v>
      </c>
      <c r="R564" t="s">
        <v>45</v>
      </c>
      <c r="S564" t="s">
        <v>1181</v>
      </c>
      <c r="T564" t="s">
        <v>59</v>
      </c>
      <c r="U564" t="s">
        <v>1761</v>
      </c>
      <c r="V564">
        <v>11060</v>
      </c>
      <c r="W564" t="s">
        <v>45</v>
      </c>
      <c r="X564" t="s">
        <v>1145</v>
      </c>
      <c r="Y564" t="s">
        <v>50</v>
      </c>
      <c r="Z564" s="10">
        <f t="shared" si="51"/>
        <v>9.8000000000000007</v>
      </c>
      <c r="AA564" s="11">
        <v>0</v>
      </c>
      <c r="AB564" s="11">
        <v>-2</v>
      </c>
      <c r="AC564" s="11">
        <v>0</v>
      </c>
      <c r="AD564" s="11">
        <v>0</v>
      </c>
      <c r="AE564" s="11">
        <v>0</v>
      </c>
      <c r="AF564" s="11">
        <f t="shared" si="48"/>
        <v>0.46800000000000003</v>
      </c>
      <c r="AG564" s="11">
        <f t="shared" si="49"/>
        <v>8.2680000000000007</v>
      </c>
      <c r="AH564" t="s">
        <v>51</v>
      </c>
    </row>
    <row r="565" spans="1:34" ht="15" customHeight="1" x14ac:dyDescent="0.25">
      <c r="A565">
        <v>7547676</v>
      </c>
      <c r="B565" t="s">
        <v>34</v>
      </c>
      <c r="C565" t="s">
        <v>35</v>
      </c>
      <c r="D565" s="6" t="s">
        <v>34</v>
      </c>
      <c r="E565" t="s">
        <v>1762</v>
      </c>
      <c r="F565" t="s">
        <v>37</v>
      </c>
      <c r="G565" t="s">
        <v>38</v>
      </c>
      <c r="H565" t="s">
        <v>1763</v>
      </c>
      <c r="I565" t="s">
        <v>40</v>
      </c>
      <c r="J565">
        <v>2</v>
      </c>
      <c r="K565" t="s">
        <v>41</v>
      </c>
      <c r="L565" t="s">
        <v>42</v>
      </c>
      <c r="M565" t="s">
        <v>43</v>
      </c>
      <c r="N565" s="7">
        <v>4</v>
      </c>
      <c r="O565" s="8">
        <v>45512.433495370373</v>
      </c>
      <c r="P565" s="9">
        <v>45513</v>
      </c>
      <c r="Q565" t="s">
        <v>44</v>
      </c>
      <c r="R565" t="s">
        <v>45</v>
      </c>
      <c r="S565" t="s">
        <v>46</v>
      </c>
      <c r="T565" t="s">
        <v>223</v>
      </c>
      <c r="U565" t="s">
        <v>1764</v>
      </c>
      <c r="V565">
        <v>26300</v>
      </c>
      <c r="W565" t="s">
        <v>45</v>
      </c>
      <c r="X565" t="s">
        <v>1377</v>
      </c>
      <c r="Y565" t="s">
        <v>50</v>
      </c>
      <c r="Z565" s="10">
        <f t="shared" si="51"/>
        <v>11.4</v>
      </c>
      <c r="AA565" s="11">
        <v>0</v>
      </c>
      <c r="AB565" s="11">
        <v>-2</v>
      </c>
      <c r="AC565" s="11">
        <v>0</v>
      </c>
      <c r="AD565" s="11">
        <v>0</v>
      </c>
      <c r="AE565" s="11">
        <v>0</v>
      </c>
      <c r="AF565" s="11">
        <f t="shared" si="48"/>
        <v>0.56399999999999995</v>
      </c>
      <c r="AG565" s="11">
        <f t="shared" si="49"/>
        <v>9.9640000000000004</v>
      </c>
      <c r="AH565" t="s">
        <v>51</v>
      </c>
    </row>
    <row r="566" spans="1:34" ht="15" customHeight="1" x14ac:dyDescent="0.25">
      <c r="A566">
        <v>7547676</v>
      </c>
      <c r="B566" t="s">
        <v>34</v>
      </c>
      <c r="C566" t="s">
        <v>35</v>
      </c>
      <c r="D566" s="6" t="s">
        <v>34</v>
      </c>
      <c r="E566" t="s">
        <v>1765</v>
      </c>
      <c r="F566" t="s">
        <v>37</v>
      </c>
      <c r="G566" t="s">
        <v>38</v>
      </c>
      <c r="H566" t="s">
        <v>1766</v>
      </c>
      <c r="I566" t="s">
        <v>40</v>
      </c>
      <c r="J566">
        <v>2</v>
      </c>
      <c r="K566" t="s">
        <v>41</v>
      </c>
      <c r="L566" t="s">
        <v>42</v>
      </c>
      <c r="M566" t="s">
        <v>43</v>
      </c>
      <c r="N566" s="7">
        <v>4</v>
      </c>
      <c r="O566" s="8">
        <v>45510.834421296298</v>
      </c>
      <c r="P566" s="9">
        <v>45513</v>
      </c>
      <c r="Q566" t="s">
        <v>44</v>
      </c>
      <c r="R566" t="s">
        <v>45</v>
      </c>
      <c r="S566" t="s">
        <v>46</v>
      </c>
      <c r="T566" t="s">
        <v>54</v>
      </c>
      <c r="U566" t="s">
        <v>455</v>
      </c>
      <c r="V566">
        <v>81750</v>
      </c>
      <c r="W566" t="s">
        <v>45</v>
      </c>
      <c r="X566" t="s">
        <v>65</v>
      </c>
      <c r="Y566" t="s">
        <v>50</v>
      </c>
      <c r="Z566" s="10">
        <f t="shared" si="51"/>
        <v>11.4</v>
      </c>
      <c r="AA566" s="11">
        <v>0</v>
      </c>
      <c r="AB566" s="11">
        <v>-2</v>
      </c>
      <c r="AC566" s="11">
        <v>0</v>
      </c>
      <c r="AD566" s="11">
        <v>0</v>
      </c>
      <c r="AE566" s="11">
        <v>0</v>
      </c>
      <c r="AF566" s="11">
        <f t="shared" si="48"/>
        <v>0.56399999999999995</v>
      </c>
      <c r="AG566" s="11">
        <f t="shared" si="49"/>
        <v>9.9640000000000004</v>
      </c>
      <c r="AH566" t="s">
        <v>51</v>
      </c>
    </row>
    <row r="567" spans="1:34" ht="15" customHeight="1" x14ac:dyDescent="0.25">
      <c r="A567">
        <v>7547676</v>
      </c>
      <c r="B567" t="s">
        <v>34</v>
      </c>
      <c r="C567" t="s">
        <v>35</v>
      </c>
      <c r="D567" s="6" t="s">
        <v>34</v>
      </c>
      <c r="E567" t="s">
        <v>1767</v>
      </c>
      <c r="F567" t="s">
        <v>37</v>
      </c>
      <c r="G567" t="s">
        <v>38</v>
      </c>
      <c r="H567" t="s">
        <v>1768</v>
      </c>
      <c r="I567" t="s">
        <v>40</v>
      </c>
      <c r="J567">
        <v>2</v>
      </c>
      <c r="K567" t="s">
        <v>41</v>
      </c>
      <c r="L567" t="s">
        <v>42</v>
      </c>
      <c r="M567" t="s">
        <v>43</v>
      </c>
      <c r="N567" s="7">
        <v>1</v>
      </c>
      <c r="O567" s="8">
        <v>45510.822893518518</v>
      </c>
      <c r="P567" s="9">
        <v>45513</v>
      </c>
      <c r="Q567" t="s">
        <v>44</v>
      </c>
      <c r="R567" t="s">
        <v>45</v>
      </c>
      <c r="S567" t="s">
        <v>46</v>
      </c>
      <c r="T567" t="s">
        <v>54</v>
      </c>
      <c r="U567" t="s">
        <v>1769</v>
      </c>
      <c r="V567">
        <v>81110</v>
      </c>
      <c r="W567" t="s">
        <v>45</v>
      </c>
      <c r="X567" t="s">
        <v>1020</v>
      </c>
      <c r="Y567" t="s">
        <v>50</v>
      </c>
      <c r="Z567" s="10">
        <f t="shared" si="51"/>
        <v>9</v>
      </c>
      <c r="AA567" s="11">
        <v>0</v>
      </c>
      <c r="AB567" s="11">
        <v>-2</v>
      </c>
      <c r="AC567" s="11">
        <v>0</v>
      </c>
      <c r="AD567" s="11">
        <v>0</v>
      </c>
      <c r="AE567" s="11">
        <v>0</v>
      </c>
      <c r="AF567" s="11">
        <f t="shared" si="48"/>
        <v>0.42</v>
      </c>
      <c r="AG567" s="11">
        <f t="shared" si="49"/>
        <v>7.42</v>
      </c>
      <c r="AH567" t="s">
        <v>51</v>
      </c>
    </row>
    <row r="568" spans="1:34" ht="15" customHeight="1" x14ac:dyDescent="0.25">
      <c r="A568">
        <v>7547676</v>
      </c>
      <c r="B568" t="s">
        <v>34</v>
      </c>
      <c r="C568" t="s">
        <v>35</v>
      </c>
      <c r="D568" s="6" t="s">
        <v>34</v>
      </c>
      <c r="E568" t="s">
        <v>1770</v>
      </c>
      <c r="F568" t="s">
        <v>37</v>
      </c>
      <c r="G568" t="s">
        <v>38</v>
      </c>
      <c r="H568" t="s">
        <v>1771</v>
      </c>
      <c r="I568" t="s">
        <v>40</v>
      </c>
      <c r="J568">
        <v>2</v>
      </c>
      <c r="K568" t="s">
        <v>41</v>
      </c>
      <c r="L568" t="s">
        <v>42</v>
      </c>
      <c r="M568" t="s">
        <v>43</v>
      </c>
      <c r="N568" s="7">
        <v>1</v>
      </c>
      <c r="O568" s="8">
        <v>45510.822905092595</v>
      </c>
      <c r="P568" s="9">
        <v>45513</v>
      </c>
      <c r="Q568" t="s">
        <v>44</v>
      </c>
      <c r="R568" t="s">
        <v>45</v>
      </c>
      <c r="S568" t="s">
        <v>46</v>
      </c>
      <c r="T568" t="s">
        <v>59</v>
      </c>
      <c r="U568" t="s">
        <v>1772</v>
      </c>
      <c r="V568">
        <v>13110</v>
      </c>
      <c r="W568" t="s">
        <v>45</v>
      </c>
      <c r="X568" t="s">
        <v>69</v>
      </c>
      <c r="Y568" t="s">
        <v>50</v>
      </c>
      <c r="Z568" s="10">
        <f t="shared" si="51"/>
        <v>9</v>
      </c>
      <c r="AA568" s="11">
        <v>0</v>
      </c>
      <c r="AB568" s="11">
        <v>-2</v>
      </c>
      <c r="AC568" s="11">
        <v>0</v>
      </c>
      <c r="AD568" s="11">
        <v>0</v>
      </c>
      <c r="AE568" s="11">
        <v>0</v>
      </c>
      <c r="AF568" s="11">
        <f t="shared" si="48"/>
        <v>0.42</v>
      </c>
      <c r="AG568" s="11">
        <f t="shared" si="49"/>
        <v>7.42</v>
      </c>
      <c r="AH568" t="s">
        <v>51</v>
      </c>
    </row>
    <row r="569" spans="1:34" ht="15" customHeight="1" x14ac:dyDescent="0.25">
      <c r="A569">
        <v>7547676</v>
      </c>
      <c r="B569" t="s">
        <v>34</v>
      </c>
      <c r="C569" t="s">
        <v>35</v>
      </c>
      <c r="D569" s="6" t="s">
        <v>34</v>
      </c>
      <c r="E569" t="s">
        <v>1773</v>
      </c>
      <c r="F569" t="s">
        <v>37</v>
      </c>
      <c r="G569" t="s">
        <v>38</v>
      </c>
      <c r="H569" t="s">
        <v>128</v>
      </c>
      <c r="I569" t="s">
        <v>40</v>
      </c>
      <c r="J569">
        <v>2</v>
      </c>
      <c r="K569" t="s">
        <v>41</v>
      </c>
      <c r="L569" t="s">
        <v>42</v>
      </c>
      <c r="M569" t="s">
        <v>43</v>
      </c>
      <c r="N569" s="7">
        <v>1</v>
      </c>
      <c r="O569" s="8">
        <v>45512.497442129628</v>
      </c>
      <c r="P569" s="9">
        <v>45513</v>
      </c>
      <c r="Q569" t="s">
        <v>44</v>
      </c>
      <c r="R569" t="s">
        <v>45</v>
      </c>
      <c r="S569" t="s">
        <v>46</v>
      </c>
      <c r="T569" t="s">
        <v>92</v>
      </c>
      <c r="U569" t="s">
        <v>1774</v>
      </c>
      <c r="V569">
        <v>68000</v>
      </c>
      <c r="W569" t="s">
        <v>45</v>
      </c>
      <c r="X569" t="s">
        <v>1311</v>
      </c>
      <c r="Y569" t="s">
        <v>50</v>
      </c>
      <c r="Z569" s="10">
        <f t="shared" si="51"/>
        <v>9</v>
      </c>
      <c r="AA569" s="11">
        <v>0</v>
      </c>
      <c r="AB569" s="11">
        <v>-2</v>
      </c>
      <c r="AC569" s="11">
        <v>0</v>
      </c>
      <c r="AD569" s="11">
        <v>0</v>
      </c>
      <c r="AE569" s="11">
        <v>0</v>
      </c>
      <c r="AF569" s="11">
        <f t="shared" si="48"/>
        <v>0.42</v>
      </c>
      <c r="AG569" s="11">
        <f t="shared" si="49"/>
        <v>7.42</v>
      </c>
      <c r="AH569" t="s">
        <v>51</v>
      </c>
    </row>
    <row r="570" spans="1:34" ht="15" customHeight="1" x14ac:dyDescent="0.25">
      <c r="A570">
        <v>7547676</v>
      </c>
      <c r="B570" t="s">
        <v>34</v>
      </c>
      <c r="C570" t="s">
        <v>35</v>
      </c>
      <c r="D570" s="6" t="s">
        <v>34</v>
      </c>
      <c r="E570" t="s">
        <v>1775</v>
      </c>
      <c r="F570" t="s">
        <v>37</v>
      </c>
      <c r="G570" t="s">
        <v>38</v>
      </c>
      <c r="H570" t="s">
        <v>1776</v>
      </c>
      <c r="I570" t="s">
        <v>40</v>
      </c>
      <c r="J570">
        <v>2</v>
      </c>
      <c r="K570" t="s">
        <v>41</v>
      </c>
      <c r="L570" t="s">
        <v>42</v>
      </c>
      <c r="M570" t="s">
        <v>43</v>
      </c>
      <c r="N570" s="7">
        <v>1</v>
      </c>
      <c r="O570" s="8">
        <v>45511.81349537037</v>
      </c>
      <c r="P570" s="9">
        <v>45513</v>
      </c>
      <c r="Q570" t="s">
        <v>44</v>
      </c>
      <c r="R570" t="s">
        <v>45</v>
      </c>
      <c r="S570" t="s">
        <v>46</v>
      </c>
      <c r="T570" t="s">
        <v>92</v>
      </c>
      <c r="U570" t="s">
        <v>1777</v>
      </c>
      <c r="V570">
        <v>48300</v>
      </c>
      <c r="W570" t="s">
        <v>45</v>
      </c>
      <c r="X570" t="s">
        <v>170</v>
      </c>
      <c r="Y570" t="s">
        <v>50</v>
      </c>
      <c r="Z570" s="10">
        <f t="shared" si="51"/>
        <v>9</v>
      </c>
      <c r="AA570" s="11">
        <v>0</v>
      </c>
      <c r="AB570" s="11">
        <v>-2</v>
      </c>
      <c r="AC570" s="11">
        <v>0</v>
      </c>
      <c r="AD570" s="11">
        <v>0</v>
      </c>
      <c r="AE570" s="11">
        <v>0</v>
      </c>
      <c r="AF570" s="11">
        <f t="shared" si="48"/>
        <v>0.42</v>
      </c>
      <c r="AG570" s="11">
        <f t="shared" si="49"/>
        <v>7.42</v>
      </c>
      <c r="AH570" t="s">
        <v>51</v>
      </c>
    </row>
    <row r="571" spans="1:34" ht="15" customHeight="1" x14ac:dyDescent="0.25">
      <c r="A571">
        <v>7547676</v>
      </c>
      <c r="B571" t="s">
        <v>34</v>
      </c>
      <c r="C571" t="s">
        <v>35</v>
      </c>
      <c r="D571" s="6" t="s">
        <v>34</v>
      </c>
      <c r="E571" t="s">
        <v>1778</v>
      </c>
      <c r="F571" t="s">
        <v>37</v>
      </c>
      <c r="G571" t="s">
        <v>38</v>
      </c>
      <c r="H571" t="s">
        <v>1779</v>
      </c>
      <c r="I571" t="s">
        <v>40</v>
      </c>
      <c r="J571">
        <v>2</v>
      </c>
      <c r="K571" t="s">
        <v>41</v>
      </c>
      <c r="L571" t="s">
        <v>42</v>
      </c>
      <c r="M571" t="s">
        <v>43</v>
      </c>
      <c r="N571" s="7">
        <v>1</v>
      </c>
      <c r="O571" s="8">
        <v>45510.823692129627</v>
      </c>
      <c r="P571" s="9">
        <v>45513</v>
      </c>
      <c r="Q571" t="s">
        <v>44</v>
      </c>
      <c r="R571" t="s">
        <v>45</v>
      </c>
      <c r="S571" t="s">
        <v>46</v>
      </c>
      <c r="T571" t="s">
        <v>151</v>
      </c>
      <c r="U571" t="s">
        <v>1780</v>
      </c>
      <c r="V571">
        <v>76400</v>
      </c>
      <c r="W571" t="s">
        <v>45</v>
      </c>
      <c r="X571" t="s">
        <v>69</v>
      </c>
      <c r="Y571" t="s">
        <v>50</v>
      </c>
      <c r="Z571" s="10">
        <f t="shared" si="51"/>
        <v>9</v>
      </c>
      <c r="AA571" s="11">
        <v>0</v>
      </c>
      <c r="AB571" s="11">
        <v>-2</v>
      </c>
      <c r="AC571" s="11">
        <v>0</v>
      </c>
      <c r="AD571" s="11">
        <v>0</v>
      </c>
      <c r="AE571" s="11">
        <v>0</v>
      </c>
      <c r="AF571" s="11">
        <f t="shared" si="48"/>
        <v>0.42</v>
      </c>
      <c r="AG571" s="11">
        <f t="shared" si="49"/>
        <v>7.42</v>
      </c>
      <c r="AH571" t="s">
        <v>51</v>
      </c>
    </row>
    <row r="572" spans="1:34" ht="15" customHeight="1" x14ac:dyDescent="0.25">
      <c r="A572">
        <v>7547676</v>
      </c>
      <c r="B572" t="s">
        <v>34</v>
      </c>
      <c r="C572" t="s">
        <v>35</v>
      </c>
      <c r="D572" s="6" t="s">
        <v>34</v>
      </c>
      <c r="E572" t="s">
        <v>1781</v>
      </c>
      <c r="F572" t="s">
        <v>37</v>
      </c>
      <c r="G572" t="s">
        <v>38</v>
      </c>
      <c r="H572" t="s">
        <v>1782</v>
      </c>
      <c r="I572" t="s">
        <v>40</v>
      </c>
      <c r="J572">
        <v>2</v>
      </c>
      <c r="K572" t="s">
        <v>41</v>
      </c>
      <c r="L572" t="s">
        <v>42</v>
      </c>
      <c r="M572" t="s">
        <v>43</v>
      </c>
      <c r="N572" s="7">
        <v>1</v>
      </c>
      <c r="O572" s="8">
        <v>45511.809756944444</v>
      </c>
      <c r="P572" s="9">
        <v>45513</v>
      </c>
      <c r="Q572" t="s">
        <v>44</v>
      </c>
      <c r="R572" t="s">
        <v>45</v>
      </c>
      <c r="S572" t="s">
        <v>46</v>
      </c>
      <c r="T572" t="s">
        <v>146</v>
      </c>
      <c r="U572" t="s">
        <v>1783</v>
      </c>
      <c r="V572">
        <v>55100</v>
      </c>
      <c r="W572" t="s">
        <v>45</v>
      </c>
      <c r="X572" t="s">
        <v>350</v>
      </c>
      <c r="Y572" t="s">
        <v>50</v>
      </c>
      <c r="Z572" s="10">
        <f t="shared" si="51"/>
        <v>9</v>
      </c>
      <c r="AA572" s="11">
        <v>0</v>
      </c>
      <c r="AB572" s="11">
        <v>-2</v>
      </c>
      <c r="AC572" s="11">
        <v>0</v>
      </c>
      <c r="AD572" s="11">
        <v>0</v>
      </c>
      <c r="AE572" s="11">
        <v>0</v>
      </c>
      <c r="AF572" s="11">
        <f t="shared" si="48"/>
        <v>0.42</v>
      </c>
      <c r="AG572" s="11">
        <f t="shared" si="49"/>
        <v>7.42</v>
      </c>
      <c r="AH572" t="s">
        <v>51</v>
      </c>
    </row>
    <row r="573" spans="1:34" ht="15" customHeight="1" x14ac:dyDescent="0.25">
      <c r="A573">
        <v>7547676</v>
      </c>
      <c r="B573" t="s">
        <v>34</v>
      </c>
      <c r="C573" t="s">
        <v>35</v>
      </c>
      <c r="D573" s="6" t="s">
        <v>34</v>
      </c>
      <c r="E573" t="s">
        <v>1784</v>
      </c>
      <c r="F573" t="s">
        <v>37</v>
      </c>
      <c r="G573" t="s">
        <v>38</v>
      </c>
      <c r="H573" t="s">
        <v>1785</v>
      </c>
      <c r="I573" t="s">
        <v>40</v>
      </c>
      <c r="J573">
        <v>2</v>
      </c>
      <c r="K573" t="s">
        <v>41</v>
      </c>
      <c r="L573" t="s">
        <v>42</v>
      </c>
      <c r="M573" t="s">
        <v>43</v>
      </c>
      <c r="N573" s="7">
        <v>1</v>
      </c>
      <c r="O573" s="8">
        <v>45510.839259259257</v>
      </c>
      <c r="P573" s="9">
        <v>45513</v>
      </c>
      <c r="Q573" t="s">
        <v>44</v>
      </c>
      <c r="R573" t="s">
        <v>45</v>
      </c>
      <c r="S573" t="s">
        <v>46</v>
      </c>
      <c r="T573" t="s">
        <v>54</v>
      </c>
      <c r="U573" t="s">
        <v>1786</v>
      </c>
      <c r="V573">
        <v>81100</v>
      </c>
      <c r="W573" t="s">
        <v>45</v>
      </c>
      <c r="X573" t="s">
        <v>370</v>
      </c>
      <c r="Y573" t="s">
        <v>50</v>
      </c>
      <c r="Z573" s="10">
        <f t="shared" si="51"/>
        <v>9</v>
      </c>
      <c r="AA573" s="11">
        <v>0</v>
      </c>
      <c r="AB573" s="11">
        <v>-2</v>
      </c>
      <c r="AC573" s="11">
        <v>0</v>
      </c>
      <c r="AD573" s="11">
        <v>0</v>
      </c>
      <c r="AE573" s="11">
        <v>0</v>
      </c>
      <c r="AF573" s="11">
        <f t="shared" si="48"/>
        <v>0.42</v>
      </c>
      <c r="AG573" s="11">
        <f t="shared" si="49"/>
        <v>7.42</v>
      </c>
      <c r="AH573" t="s">
        <v>51</v>
      </c>
    </row>
    <row r="574" spans="1:34" ht="15" customHeight="1" x14ac:dyDescent="0.25">
      <c r="A574">
        <v>7547676</v>
      </c>
      <c r="B574" t="s">
        <v>34</v>
      </c>
      <c r="C574" t="s">
        <v>35</v>
      </c>
      <c r="D574" s="6" t="s">
        <v>34</v>
      </c>
      <c r="E574" t="s">
        <v>1787</v>
      </c>
      <c r="F574" t="s">
        <v>37</v>
      </c>
      <c r="G574" t="s">
        <v>38</v>
      </c>
      <c r="H574" t="s">
        <v>1788</v>
      </c>
      <c r="I574" t="s">
        <v>40</v>
      </c>
      <c r="J574">
        <v>2</v>
      </c>
      <c r="K574" t="s">
        <v>41</v>
      </c>
      <c r="L574" t="s">
        <v>42</v>
      </c>
      <c r="M574" t="s">
        <v>43</v>
      </c>
      <c r="N574" s="7">
        <v>3</v>
      </c>
      <c r="O574" s="8">
        <v>45512.497442129628</v>
      </c>
      <c r="P574" s="9">
        <v>45513</v>
      </c>
      <c r="Q574" t="s">
        <v>44</v>
      </c>
      <c r="R574" t="s">
        <v>45</v>
      </c>
      <c r="S574" t="s">
        <v>46</v>
      </c>
      <c r="T574" t="s">
        <v>92</v>
      </c>
      <c r="U574" t="s">
        <v>1789</v>
      </c>
      <c r="V574">
        <v>47150</v>
      </c>
      <c r="W574" t="s">
        <v>45</v>
      </c>
      <c r="X574" t="s">
        <v>296</v>
      </c>
      <c r="Y574" t="s">
        <v>50</v>
      </c>
      <c r="Z574" s="10">
        <f t="shared" si="51"/>
        <v>10.6</v>
      </c>
      <c r="AA574" s="11">
        <v>0</v>
      </c>
      <c r="AB574" s="11">
        <v>-2</v>
      </c>
      <c r="AC574" s="11">
        <v>0</v>
      </c>
      <c r="AD574" s="11">
        <v>0</v>
      </c>
      <c r="AE574" s="11">
        <v>0</v>
      </c>
      <c r="AF574" s="11">
        <f t="shared" si="48"/>
        <v>0.51600000000000001</v>
      </c>
      <c r="AG574" s="11">
        <f t="shared" si="49"/>
        <v>9.1159999999999997</v>
      </c>
      <c r="AH574" t="s">
        <v>51</v>
      </c>
    </row>
    <row r="575" spans="1:34" ht="15" customHeight="1" x14ac:dyDescent="0.25">
      <c r="A575">
        <v>7547676</v>
      </c>
      <c r="B575" t="s">
        <v>34</v>
      </c>
      <c r="C575" t="s">
        <v>35</v>
      </c>
      <c r="D575" s="6" t="s">
        <v>34</v>
      </c>
      <c r="E575" t="s">
        <v>1790</v>
      </c>
      <c r="F575" t="s">
        <v>37</v>
      </c>
      <c r="G575" t="s">
        <v>38</v>
      </c>
      <c r="H575" t="s">
        <v>1791</v>
      </c>
      <c r="I575" t="s">
        <v>40</v>
      </c>
      <c r="J575">
        <v>2</v>
      </c>
      <c r="K575" t="s">
        <v>41</v>
      </c>
      <c r="L575" t="s">
        <v>42</v>
      </c>
      <c r="M575" t="s">
        <v>43</v>
      </c>
      <c r="N575" s="7">
        <v>1</v>
      </c>
      <c r="O575" s="8">
        <v>45513.460115740738</v>
      </c>
      <c r="P575" s="9">
        <v>45514</v>
      </c>
      <c r="Q575" t="s">
        <v>386</v>
      </c>
      <c r="R575" t="s">
        <v>45</v>
      </c>
      <c r="S575" t="s">
        <v>46</v>
      </c>
      <c r="T575" t="s">
        <v>92</v>
      </c>
      <c r="U575" t="s">
        <v>1792</v>
      </c>
      <c r="V575">
        <v>47810</v>
      </c>
      <c r="W575" t="s">
        <v>45</v>
      </c>
      <c r="X575" t="s">
        <v>1247</v>
      </c>
      <c r="Y575" t="s">
        <v>50</v>
      </c>
      <c r="Z575" s="10">
        <f t="shared" si="51"/>
        <v>9</v>
      </c>
      <c r="AA575" s="11">
        <v>0</v>
      </c>
      <c r="AB575" s="11">
        <v>-2</v>
      </c>
      <c r="AC575" s="11">
        <v>0</v>
      </c>
      <c r="AD575" s="11">
        <v>0</v>
      </c>
      <c r="AE575" s="11">
        <v>0</v>
      </c>
      <c r="AF575" s="11">
        <f t="shared" si="48"/>
        <v>0.42</v>
      </c>
      <c r="AG575" s="11">
        <f t="shared" si="49"/>
        <v>7.42</v>
      </c>
      <c r="AH575" t="s">
        <v>51</v>
      </c>
    </row>
    <row r="576" spans="1:34" ht="15" customHeight="1" x14ac:dyDescent="0.25">
      <c r="A576">
        <v>7547676</v>
      </c>
      <c r="B576" t="s">
        <v>34</v>
      </c>
      <c r="C576" t="s">
        <v>35</v>
      </c>
      <c r="D576" s="6" t="s">
        <v>34</v>
      </c>
      <c r="E576" t="s">
        <v>1793</v>
      </c>
      <c r="F576" t="s">
        <v>37</v>
      </c>
      <c r="G576" t="s">
        <v>38</v>
      </c>
      <c r="H576" t="s">
        <v>1107</v>
      </c>
      <c r="I576" t="s">
        <v>40</v>
      </c>
      <c r="J576">
        <v>2</v>
      </c>
      <c r="K576" t="s">
        <v>41</v>
      </c>
      <c r="L576" t="s">
        <v>42</v>
      </c>
      <c r="M576" t="s">
        <v>43</v>
      </c>
      <c r="N576" s="7">
        <v>1</v>
      </c>
      <c r="O576" s="8">
        <v>45512.843912037039</v>
      </c>
      <c r="P576" s="9">
        <v>45514</v>
      </c>
      <c r="Q576" t="s">
        <v>386</v>
      </c>
      <c r="R576" t="s">
        <v>45</v>
      </c>
      <c r="S576" t="s">
        <v>46</v>
      </c>
      <c r="T576" t="s">
        <v>151</v>
      </c>
      <c r="U576" t="s">
        <v>1108</v>
      </c>
      <c r="V576">
        <v>77200</v>
      </c>
      <c r="W576" t="s">
        <v>45</v>
      </c>
      <c r="X576" t="s">
        <v>153</v>
      </c>
      <c r="Y576" t="s">
        <v>50</v>
      </c>
      <c r="Z576" s="10">
        <f t="shared" si="51"/>
        <v>9</v>
      </c>
      <c r="AA576" s="11">
        <v>0</v>
      </c>
      <c r="AB576" s="11">
        <v>-2</v>
      </c>
      <c r="AC576" s="11">
        <v>0</v>
      </c>
      <c r="AD576" s="11">
        <v>0</v>
      </c>
      <c r="AE576" s="11">
        <v>0</v>
      </c>
      <c r="AF576" s="11">
        <f t="shared" si="48"/>
        <v>0.42</v>
      </c>
      <c r="AG576" s="11">
        <f t="shared" si="49"/>
        <v>7.42</v>
      </c>
      <c r="AH576" t="s">
        <v>51</v>
      </c>
    </row>
    <row r="577" spans="1:34" ht="15" customHeight="1" x14ac:dyDescent="0.25">
      <c r="A577">
        <v>7547676</v>
      </c>
      <c r="B577" t="s">
        <v>34</v>
      </c>
      <c r="C577" t="s">
        <v>35</v>
      </c>
      <c r="D577" s="6" t="s">
        <v>34</v>
      </c>
      <c r="E577" t="s">
        <v>1794</v>
      </c>
      <c r="F577" t="s">
        <v>37</v>
      </c>
      <c r="G577" t="s">
        <v>38</v>
      </c>
      <c r="H577" t="s">
        <v>1795</v>
      </c>
      <c r="I577" t="s">
        <v>40</v>
      </c>
      <c r="J577">
        <v>2</v>
      </c>
      <c r="K577" t="s">
        <v>41</v>
      </c>
      <c r="L577" t="s">
        <v>42</v>
      </c>
      <c r="M577" t="s">
        <v>43</v>
      </c>
      <c r="N577" s="7">
        <v>1</v>
      </c>
      <c r="O577" s="8">
        <v>45512.856168981481</v>
      </c>
      <c r="P577" s="9">
        <v>45514</v>
      </c>
      <c r="Q577" t="s">
        <v>386</v>
      </c>
      <c r="R577" t="s">
        <v>45</v>
      </c>
      <c r="S577" t="s">
        <v>46</v>
      </c>
      <c r="T577" t="s">
        <v>72</v>
      </c>
      <c r="U577" t="s">
        <v>1796</v>
      </c>
      <c r="V577">
        <v>20000</v>
      </c>
      <c r="W577" t="s">
        <v>45</v>
      </c>
      <c r="X577" t="s">
        <v>74</v>
      </c>
      <c r="Y577" t="s">
        <v>50</v>
      </c>
      <c r="Z577" s="10">
        <f t="shared" si="51"/>
        <v>9</v>
      </c>
      <c r="AA577" s="11">
        <v>0</v>
      </c>
      <c r="AB577" s="11">
        <v>-2</v>
      </c>
      <c r="AC577" s="11">
        <v>0</v>
      </c>
      <c r="AD577" s="11">
        <v>0</v>
      </c>
      <c r="AE577" s="11">
        <v>0</v>
      </c>
      <c r="AF577" s="11">
        <f t="shared" si="48"/>
        <v>0.42</v>
      </c>
      <c r="AG577" s="11">
        <f t="shared" si="49"/>
        <v>7.42</v>
      </c>
      <c r="AH577" t="s">
        <v>51</v>
      </c>
    </row>
    <row r="578" spans="1:34" ht="15" customHeight="1" x14ac:dyDescent="0.25">
      <c r="A578">
        <v>7547676</v>
      </c>
      <c r="B578" t="s">
        <v>34</v>
      </c>
      <c r="C578" t="s">
        <v>35</v>
      </c>
      <c r="D578" s="6" t="s">
        <v>34</v>
      </c>
      <c r="E578" t="s">
        <v>1797</v>
      </c>
      <c r="F578" t="s">
        <v>37</v>
      </c>
      <c r="G578" t="s">
        <v>38</v>
      </c>
      <c r="H578" t="s">
        <v>1798</v>
      </c>
      <c r="I578" t="s">
        <v>40</v>
      </c>
      <c r="J578">
        <v>2</v>
      </c>
      <c r="K578" t="s">
        <v>41</v>
      </c>
      <c r="L578" t="s">
        <v>42</v>
      </c>
      <c r="M578" t="s">
        <v>43</v>
      </c>
      <c r="N578" s="7">
        <v>1</v>
      </c>
      <c r="O578" s="8">
        <v>45512.839675925927</v>
      </c>
      <c r="P578" s="9">
        <v>45514</v>
      </c>
      <c r="Q578" t="s">
        <v>386</v>
      </c>
      <c r="R578" t="s">
        <v>45</v>
      </c>
      <c r="S578" t="s">
        <v>46</v>
      </c>
      <c r="T578" t="s">
        <v>129</v>
      </c>
      <c r="U578" t="s">
        <v>1799</v>
      </c>
      <c r="V578">
        <v>71760</v>
      </c>
      <c r="W578" t="s">
        <v>45</v>
      </c>
      <c r="X578" t="s">
        <v>174</v>
      </c>
      <c r="Y578" t="s">
        <v>50</v>
      </c>
      <c r="Z578" s="10">
        <f t="shared" si="51"/>
        <v>9</v>
      </c>
      <c r="AA578" s="11">
        <v>0</v>
      </c>
      <c r="AB578" s="11">
        <v>-2</v>
      </c>
      <c r="AC578" s="11">
        <v>0</v>
      </c>
      <c r="AD578" s="11">
        <v>0</v>
      </c>
      <c r="AE578" s="11">
        <v>0</v>
      </c>
      <c r="AF578" s="11">
        <f t="shared" ref="AF578:AF641" si="52">(Z578+AB578+AC578+AE578)*6%</f>
        <v>0.42</v>
      </c>
      <c r="AG578" s="11">
        <f t="shared" ref="AG578:AG641" si="53">Z578+AB578+AC578+AE578+AF578</f>
        <v>7.42</v>
      </c>
      <c r="AH578" t="s">
        <v>51</v>
      </c>
    </row>
    <row r="579" spans="1:34" ht="15" customHeight="1" x14ac:dyDescent="0.25">
      <c r="A579">
        <v>7547676</v>
      </c>
      <c r="B579" t="s">
        <v>34</v>
      </c>
      <c r="C579" t="s">
        <v>35</v>
      </c>
      <c r="D579" s="6" t="s">
        <v>34</v>
      </c>
      <c r="E579" t="s">
        <v>1800</v>
      </c>
      <c r="F579" t="s">
        <v>37</v>
      </c>
      <c r="G579" t="s">
        <v>38</v>
      </c>
      <c r="H579" t="s">
        <v>1801</v>
      </c>
      <c r="I579" t="s">
        <v>40</v>
      </c>
      <c r="J579">
        <v>2</v>
      </c>
      <c r="K579" t="s">
        <v>41</v>
      </c>
      <c r="L579" t="s">
        <v>42</v>
      </c>
      <c r="M579" t="s">
        <v>43</v>
      </c>
      <c r="N579" s="7">
        <v>7</v>
      </c>
      <c r="O579" s="8">
        <v>45512.590231481481</v>
      </c>
      <c r="P579" s="9">
        <v>45514</v>
      </c>
      <c r="Q579" t="s">
        <v>44</v>
      </c>
      <c r="R579" t="s">
        <v>45</v>
      </c>
      <c r="S579" t="s">
        <v>46</v>
      </c>
      <c r="T579" t="s">
        <v>54</v>
      </c>
      <c r="U579" t="s">
        <v>1802</v>
      </c>
      <c r="V579">
        <v>81200</v>
      </c>
      <c r="W579" t="s">
        <v>45</v>
      </c>
      <c r="X579" t="s">
        <v>420</v>
      </c>
      <c r="Y579" t="s">
        <v>50</v>
      </c>
      <c r="Z579" s="10">
        <f t="shared" si="51"/>
        <v>13.8</v>
      </c>
      <c r="AA579" s="11">
        <v>0</v>
      </c>
      <c r="AB579" s="11">
        <v>-2</v>
      </c>
      <c r="AC579" s="11">
        <v>0</v>
      </c>
      <c r="AD579" s="11">
        <v>0</v>
      </c>
      <c r="AE579" s="11">
        <v>0</v>
      </c>
      <c r="AF579" s="11">
        <f t="shared" si="52"/>
        <v>0.70799999999999996</v>
      </c>
      <c r="AG579" s="11">
        <f t="shared" si="53"/>
        <v>12.508000000000001</v>
      </c>
      <c r="AH579" t="s">
        <v>51</v>
      </c>
    </row>
    <row r="580" spans="1:34" ht="15" customHeight="1" x14ac:dyDescent="0.25">
      <c r="A580">
        <v>7547676</v>
      </c>
      <c r="B580" t="s">
        <v>34</v>
      </c>
      <c r="C580" t="s">
        <v>35</v>
      </c>
      <c r="D580" s="6" t="s">
        <v>34</v>
      </c>
      <c r="E580" t="s">
        <v>1803</v>
      </c>
      <c r="F580" t="s">
        <v>37</v>
      </c>
      <c r="G580" t="s">
        <v>38</v>
      </c>
      <c r="H580" t="s">
        <v>1801</v>
      </c>
      <c r="I580" t="s">
        <v>40</v>
      </c>
      <c r="J580">
        <v>2</v>
      </c>
      <c r="K580" t="s">
        <v>41</v>
      </c>
      <c r="L580" t="s">
        <v>42</v>
      </c>
      <c r="M580" t="s">
        <v>43</v>
      </c>
      <c r="N580" s="7">
        <v>7</v>
      </c>
      <c r="O580" s="8">
        <v>45512.590231481481</v>
      </c>
      <c r="P580" s="9">
        <v>45514</v>
      </c>
      <c r="Q580" t="s">
        <v>44</v>
      </c>
      <c r="R580" t="s">
        <v>45</v>
      </c>
      <c r="S580" t="s">
        <v>46</v>
      </c>
      <c r="T580" t="s">
        <v>54</v>
      </c>
      <c r="U580" t="s">
        <v>1802</v>
      </c>
      <c r="V580">
        <v>81200</v>
      </c>
      <c r="W580" t="s">
        <v>45</v>
      </c>
      <c r="X580" t="s">
        <v>420</v>
      </c>
      <c r="Y580" t="s">
        <v>50</v>
      </c>
      <c r="Z580" s="10">
        <f t="shared" si="51"/>
        <v>13.8</v>
      </c>
      <c r="AA580" s="11">
        <v>0</v>
      </c>
      <c r="AB580" s="11">
        <v>-2</v>
      </c>
      <c r="AC580" s="11">
        <v>0</v>
      </c>
      <c r="AD580" s="11">
        <v>0</v>
      </c>
      <c r="AE580" s="11">
        <v>0</v>
      </c>
      <c r="AF580" s="11">
        <f t="shared" si="52"/>
        <v>0.70799999999999996</v>
      </c>
      <c r="AG580" s="11">
        <f t="shared" si="53"/>
        <v>12.508000000000001</v>
      </c>
      <c r="AH580" t="s">
        <v>51</v>
      </c>
    </row>
    <row r="581" spans="1:34" ht="15" customHeight="1" x14ac:dyDescent="0.25">
      <c r="A581">
        <v>7547676</v>
      </c>
      <c r="B581" t="s">
        <v>34</v>
      </c>
      <c r="C581" t="s">
        <v>35</v>
      </c>
      <c r="D581" s="6" t="s">
        <v>34</v>
      </c>
      <c r="E581" t="s">
        <v>1804</v>
      </c>
      <c r="F581" t="s">
        <v>37</v>
      </c>
      <c r="G581" t="s">
        <v>38</v>
      </c>
      <c r="H581" t="s">
        <v>1801</v>
      </c>
      <c r="I581" t="s">
        <v>40</v>
      </c>
      <c r="J581">
        <v>2</v>
      </c>
      <c r="K581" t="s">
        <v>41</v>
      </c>
      <c r="L581" t="s">
        <v>42</v>
      </c>
      <c r="M581" t="s">
        <v>43</v>
      </c>
      <c r="N581" s="7">
        <v>7</v>
      </c>
      <c r="O581" s="8">
        <v>45512.590231481481</v>
      </c>
      <c r="P581" s="9">
        <v>45514</v>
      </c>
      <c r="Q581" t="s">
        <v>44</v>
      </c>
      <c r="R581" t="s">
        <v>45</v>
      </c>
      <c r="S581" t="s">
        <v>46</v>
      </c>
      <c r="T581" t="s">
        <v>54</v>
      </c>
      <c r="U581" t="s">
        <v>1802</v>
      </c>
      <c r="V581">
        <v>81200</v>
      </c>
      <c r="W581" t="s">
        <v>45</v>
      </c>
      <c r="X581" t="s">
        <v>420</v>
      </c>
      <c r="Y581" t="s">
        <v>50</v>
      </c>
      <c r="Z581" s="10">
        <f t="shared" si="51"/>
        <v>13.8</v>
      </c>
      <c r="AA581" s="11">
        <v>0</v>
      </c>
      <c r="AB581" s="11">
        <v>-2</v>
      </c>
      <c r="AC581" s="11">
        <v>0</v>
      </c>
      <c r="AD581" s="11">
        <v>0</v>
      </c>
      <c r="AE581" s="11">
        <v>0</v>
      </c>
      <c r="AF581" s="11">
        <f t="shared" si="52"/>
        <v>0.70799999999999996</v>
      </c>
      <c r="AG581" s="11">
        <f t="shared" si="53"/>
        <v>12.508000000000001</v>
      </c>
      <c r="AH581" t="s">
        <v>51</v>
      </c>
    </row>
    <row r="582" spans="1:34" ht="15" customHeight="1" x14ac:dyDescent="0.25">
      <c r="A582">
        <v>7547676</v>
      </c>
      <c r="B582" t="s">
        <v>34</v>
      </c>
      <c r="C582" t="s">
        <v>35</v>
      </c>
      <c r="D582" s="6" t="s">
        <v>34</v>
      </c>
      <c r="E582" t="s">
        <v>1805</v>
      </c>
      <c r="F582" t="s">
        <v>37</v>
      </c>
      <c r="G582" t="s">
        <v>38</v>
      </c>
      <c r="H582" t="s">
        <v>1806</v>
      </c>
      <c r="I582" t="s">
        <v>40</v>
      </c>
      <c r="J582">
        <v>2</v>
      </c>
      <c r="K582" t="s">
        <v>41</v>
      </c>
      <c r="L582" t="s">
        <v>42</v>
      </c>
      <c r="M582" t="s">
        <v>43</v>
      </c>
      <c r="N582" s="7">
        <v>1</v>
      </c>
      <c r="O582" s="8">
        <v>45512.841053240743</v>
      </c>
      <c r="P582" s="9">
        <v>45514</v>
      </c>
      <c r="Q582" t="s">
        <v>386</v>
      </c>
      <c r="R582" t="s">
        <v>45</v>
      </c>
      <c r="S582" t="s">
        <v>46</v>
      </c>
      <c r="T582" t="s">
        <v>92</v>
      </c>
      <c r="U582" t="s">
        <v>1807</v>
      </c>
      <c r="V582">
        <v>42300</v>
      </c>
      <c r="W582" t="s">
        <v>45</v>
      </c>
      <c r="X582" t="s">
        <v>520</v>
      </c>
      <c r="Y582" t="s">
        <v>50</v>
      </c>
      <c r="Z582" s="10">
        <f t="shared" si="51"/>
        <v>9</v>
      </c>
      <c r="AA582" s="11">
        <v>0</v>
      </c>
      <c r="AB582" s="11">
        <v>-2</v>
      </c>
      <c r="AC582" s="11">
        <v>0</v>
      </c>
      <c r="AD582" s="11">
        <v>0</v>
      </c>
      <c r="AE582" s="11">
        <v>0</v>
      </c>
      <c r="AF582" s="11">
        <f t="shared" si="52"/>
        <v>0.42</v>
      </c>
      <c r="AG582" s="11">
        <f t="shared" si="53"/>
        <v>7.42</v>
      </c>
      <c r="AH582" t="s">
        <v>51</v>
      </c>
    </row>
    <row r="583" spans="1:34" ht="15" customHeight="1" x14ac:dyDescent="0.25">
      <c r="A583">
        <v>7547676</v>
      </c>
      <c r="B583" t="s">
        <v>34</v>
      </c>
      <c r="C583" t="s">
        <v>35</v>
      </c>
      <c r="D583" s="6" t="s">
        <v>34</v>
      </c>
      <c r="E583" t="s">
        <v>1808</v>
      </c>
      <c r="F583" t="s">
        <v>37</v>
      </c>
      <c r="G583" t="s">
        <v>38</v>
      </c>
      <c r="H583" t="s">
        <v>1809</v>
      </c>
      <c r="I583" t="s">
        <v>40</v>
      </c>
      <c r="J583">
        <v>2</v>
      </c>
      <c r="K583" t="s">
        <v>41</v>
      </c>
      <c r="L583" t="s">
        <v>42</v>
      </c>
      <c r="M583" t="s">
        <v>43</v>
      </c>
      <c r="N583" s="7">
        <v>1</v>
      </c>
      <c r="O583" s="8">
        <v>45512.86650462963</v>
      </c>
      <c r="P583" s="9">
        <v>45514</v>
      </c>
      <c r="Q583" t="s">
        <v>386</v>
      </c>
      <c r="R583" t="s">
        <v>45</v>
      </c>
      <c r="S583" t="s">
        <v>46</v>
      </c>
      <c r="T583" t="s">
        <v>223</v>
      </c>
      <c r="U583" t="s">
        <v>1810</v>
      </c>
      <c r="V583">
        <v>26600</v>
      </c>
      <c r="W583" t="s">
        <v>45</v>
      </c>
      <c r="X583" t="s">
        <v>74</v>
      </c>
      <c r="Y583" t="s">
        <v>50</v>
      </c>
      <c r="Z583" s="10">
        <f t="shared" si="51"/>
        <v>9</v>
      </c>
      <c r="AA583" s="11">
        <v>0</v>
      </c>
      <c r="AB583" s="11">
        <v>-2</v>
      </c>
      <c r="AC583" s="11">
        <v>0</v>
      </c>
      <c r="AD583" s="11">
        <v>0</v>
      </c>
      <c r="AE583" s="11">
        <v>0</v>
      </c>
      <c r="AF583" s="11">
        <f t="shared" si="52"/>
        <v>0.42</v>
      </c>
      <c r="AG583" s="11">
        <f t="shared" si="53"/>
        <v>7.42</v>
      </c>
      <c r="AH583" t="s">
        <v>51</v>
      </c>
    </row>
    <row r="584" spans="1:34" ht="15" customHeight="1" x14ac:dyDescent="0.25">
      <c r="A584">
        <v>7547676</v>
      </c>
      <c r="B584" t="s">
        <v>34</v>
      </c>
      <c r="C584" t="s">
        <v>35</v>
      </c>
      <c r="D584" s="6" t="s">
        <v>34</v>
      </c>
      <c r="E584" t="s">
        <v>1811</v>
      </c>
      <c r="F584" t="s">
        <v>37</v>
      </c>
      <c r="G584" t="s">
        <v>38</v>
      </c>
      <c r="H584" t="s">
        <v>1801</v>
      </c>
      <c r="I584" t="s">
        <v>40</v>
      </c>
      <c r="J584">
        <v>2</v>
      </c>
      <c r="K584" t="s">
        <v>41</v>
      </c>
      <c r="L584" t="s">
        <v>42</v>
      </c>
      <c r="M584" t="s">
        <v>43</v>
      </c>
      <c r="N584" s="7">
        <v>7</v>
      </c>
      <c r="O584" s="8">
        <v>45512.590231481481</v>
      </c>
      <c r="P584" s="9">
        <v>45514</v>
      </c>
      <c r="Q584" t="s">
        <v>44</v>
      </c>
      <c r="R584" t="s">
        <v>45</v>
      </c>
      <c r="S584" t="s">
        <v>46</v>
      </c>
      <c r="T584" t="s">
        <v>54</v>
      </c>
      <c r="U584" t="s">
        <v>1802</v>
      </c>
      <c r="V584">
        <v>81200</v>
      </c>
      <c r="W584" t="s">
        <v>45</v>
      </c>
      <c r="X584" t="s">
        <v>420</v>
      </c>
      <c r="Y584" t="s">
        <v>50</v>
      </c>
      <c r="Z584" s="10">
        <f t="shared" si="51"/>
        <v>13.8</v>
      </c>
      <c r="AA584" s="11">
        <v>0</v>
      </c>
      <c r="AB584" s="11">
        <v>-2</v>
      </c>
      <c r="AC584" s="11">
        <v>0</v>
      </c>
      <c r="AD584" s="11">
        <v>0</v>
      </c>
      <c r="AE584" s="11">
        <v>0</v>
      </c>
      <c r="AF584" s="11">
        <f t="shared" si="52"/>
        <v>0.70799999999999996</v>
      </c>
      <c r="AG584" s="11">
        <f t="shared" si="53"/>
        <v>12.508000000000001</v>
      </c>
      <c r="AH584" t="s">
        <v>51</v>
      </c>
    </row>
    <row r="585" spans="1:34" ht="15" customHeight="1" x14ac:dyDescent="0.25">
      <c r="A585">
        <v>7547676</v>
      </c>
      <c r="B585" t="s">
        <v>34</v>
      </c>
      <c r="C585" t="s">
        <v>35</v>
      </c>
      <c r="D585" s="6" t="s">
        <v>34</v>
      </c>
      <c r="E585" t="s">
        <v>1812</v>
      </c>
      <c r="F585" t="s">
        <v>37</v>
      </c>
      <c r="G585" t="s">
        <v>38</v>
      </c>
      <c r="H585" t="s">
        <v>1801</v>
      </c>
      <c r="I585" t="s">
        <v>40</v>
      </c>
      <c r="J585">
        <v>2</v>
      </c>
      <c r="K585" t="s">
        <v>41</v>
      </c>
      <c r="L585" t="s">
        <v>42</v>
      </c>
      <c r="M585" t="s">
        <v>43</v>
      </c>
      <c r="N585" s="7">
        <v>7</v>
      </c>
      <c r="O585" s="8">
        <v>45512.590231481481</v>
      </c>
      <c r="P585" s="9">
        <v>45514</v>
      </c>
      <c r="Q585" t="s">
        <v>44</v>
      </c>
      <c r="R585" t="s">
        <v>45</v>
      </c>
      <c r="S585" t="s">
        <v>46</v>
      </c>
      <c r="T585" t="s">
        <v>54</v>
      </c>
      <c r="U585" t="s">
        <v>1802</v>
      </c>
      <c r="V585">
        <v>81200</v>
      </c>
      <c r="W585" t="s">
        <v>45</v>
      </c>
      <c r="X585" t="s">
        <v>69</v>
      </c>
      <c r="Y585" t="s">
        <v>50</v>
      </c>
      <c r="Z585" s="10">
        <f t="shared" si="51"/>
        <v>13.8</v>
      </c>
      <c r="AA585" s="11">
        <v>0</v>
      </c>
      <c r="AB585" s="11">
        <v>-2</v>
      </c>
      <c r="AC585" s="11">
        <v>0</v>
      </c>
      <c r="AD585" s="11">
        <v>0</v>
      </c>
      <c r="AE585" s="11">
        <v>0</v>
      </c>
      <c r="AF585" s="11">
        <f t="shared" si="52"/>
        <v>0.70799999999999996</v>
      </c>
      <c r="AG585" s="11">
        <f t="shared" si="53"/>
        <v>12.508000000000001</v>
      </c>
      <c r="AH585" t="s">
        <v>51</v>
      </c>
    </row>
    <row r="586" spans="1:34" ht="15" customHeight="1" x14ac:dyDescent="0.25">
      <c r="A586">
        <v>7547676</v>
      </c>
      <c r="B586" t="s">
        <v>34</v>
      </c>
      <c r="C586" t="s">
        <v>35</v>
      </c>
      <c r="D586" s="6" t="s">
        <v>34</v>
      </c>
      <c r="E586" t="s">
        <v>1813</v>
      </c>
      <c r="F586" t="s">
        <v>37</v>
      </c>
      <c r="G586" t="s">
        <v>38</v>
      </c>
      <c r="H586" t="s">
        <v>1801</v>
      </c>
      <c r="I586" t="s">
        <v>40</v>
      </c>
      <c r="J586">
        <v>2</v>
      </c>
      <c r="K586" t="s">
        <v>41</v>
      </c>
      <c r="L586" t="s">
        <v>42</v>
      </c>
      <c r="M586" t="s">
        <v>43</v>
      </c>
      <c r="N586" s="7">
        <v>7</v>
      </c>
      <c r="O586" s="8">
        <v>45512.590231481481</v>
      </c>
      <c r="P586" s="9">
        <v>45514</v>
      </c>
      <c r="Q586" t="s">
        <v>44</v>
      </c>
      <c r="R586" t="s">
        <v>45</v>
      </c>
      <c r="S586" t="s">
        <v>46</v>
      </c>
      <c r="T586" t="s">
        <v>54</v>
      </c>
      <c r="U586" t="s">
        <v>1802</v>
      </c>
      <c r="V586">
        <v>81200</v>
      </c>
      <c r="W586" t="s">
        <v>45</v>
      </c>
      <c r="X586" t="s">
        <v>420</v>
      </c>
      <c r="Y586" t="s">
        <v>50</v>
      </c>
      <c r="Z586" s="10">
        <f t="shared" si="51"/>
        <v>13.8</v>
      </c>
      <c r="AA586" s="11">
        <v>0</v>
      </c>
      <c r="AB586" s="11">
        <v>-2</v>
      </c>
      <c r="AC586" s="11">
        <v>0</v>
      </c>
      <c r="AD586" s="11">
        <v>0</v>
      </c>
      <c r="AE586" s="11">
        <v>0</v>
      </c>
      <c r="AF586" s="11">
        <f t="shared" si="52"/>
        <v>0.70799999999999996</v>
      </c>
      <c r="AG586" s="11">
        <f t="shared" si="53"/>
        <v>12.508000000000001</v>
      </c>
      <c r="AH586" t="s">
        <v>51</v>
      </c>
    </row>
    <row r="587" spans="1:34" ht="15" customHeight="1" x14ac:dyDescent="0.25">
      <c r="A587">
        <v>7547676</v>
      </c>
      <c r="B587" t="s">
        <v>34</v>
      </c>
      <c r="C587" t="s">
        <v>35</v>
      </c>
      <c r="D587" s="6" t="s">
        <v>34</v>
      </c>
      <c r="E587" t="s">
        <v>1814</v>
      </c>
      <c r="F587" t="s">
        <v>37</v>
      </c>
      <c r="G587" t="s">
        <v>38</v>
      </c>
      <c r="H587" t="s">
        <v>743</v>
      </c>
      <c r="I587" t="s">
        <v>40</v>
      </c>
      <c r="J587">
        <v>2</v>
      </c>
      <c r="K587" t="s">
        <v>41</v>
      </c>
      <c r="L587" t="s">
        <v>42</v>
      </c>
      <c r="M587" t="s">
        <v>43</v>
      </c>
      <c r="N587" s="7">
        <v>1</v>
      </c>
      <c r="O587" s="8">
        <v>45512.856168981481</v>
      </c>
      <c r="P587" s="9">
        <v>45514</v>
      </c>
      <c r="Q587" t="s">
        <v>386</v>
      </c>
      <c r="R587" t="s">
        <v>45</v>
      </c>
      <c r="S587" t="s">
        <v>46</v>
      </c>
      <c r="T587" t="s">
        <v>223</v>
      </c>
      <c r="U587" t="s">
        <v>1815</v>
      </c>
      <c r="V587">
        <v>28000</v>
      </c>
      <c r="W587" t="s">
        <v>45</v>
      </c>
      <c r="X587" t="s">
        <v>74</v>
      </c>
      <c r="Y587" t="s">
        <v>50</v>
      </c>
      <c r="Z587" s="10">
        <f t="shared" si="51"/>
        <v>9</v>
      </c>
      <c r="AA587" s="11">
        <v>0</v>
      </c>
      <c r="AB587" s="11">
        <v>-2</v>
      </c>
      <c r="AC587" s="11">
        <v>0</v>
      </c>
      <c r="AD587" s="11">
        <v>0</v>
      </c>
      <c r="AE587" s="11">
        <v>0</v>
      </c>
      <c r="AF587" s="11">
        <f t="shared" si="52"/>
        <v>0.42</v>
      </c>
      <c r="AG587" s="11">
        <f t="shared" si="53"/>
        <v>7.42</v>
      </c>
      <c r="AH587" t="s">
        <v>51</v>
      </c>
    </row>
    <row r="588" spans="1:34" ht="15" customHeight="1" x14ac:dyDescent="0.25">
      <c r="A588">
        <v>7547676</v>
      </c>
      <c r="B588" t="s">
        <v>34</v>
      </c>
      <c r="C588" t="s">
        <v>35</v>
      </c>
      <c r="D588" s="6" t="s">
        <v>34</v>
      </c>
      <c r="E588" t="s">
        <v>1816</v>
      </c>
      <c r="F588" t="s">
        <v>37</v>
      </c>
      <c r="G588" t="s">
        <v>38</v>
      </c>
      <c r="H588" t="s">
        <v>1817</v>
      </c>
      <c r="I588" t="s">
        <v>40</v>
      </c>
      <c r="J588">
        <v>2</v>
      </c>
      <c r="K588" t="s">
        <v>41</v>
      </c>
      <c r="L588" t="s">
        <v>42</v>
      </c>
      <c r="M588" t="s">
        <v>43</v>
      </c>
      <c r="N588" s="7">
        <v>1</v>
      </c>
      <c r="O588" s="8">
        <v>45512.843912037039</v>
      </c>
      <c r="P588" s="9">
        <v>45514</v>
      </c>
      <c r="Q588" t="s">
        <v>386</v>
      </c>
      <c r="R588" t="s">
        <v>45</v>
      </c>
      <c r="S588" t="s">
        <v>46</v>
      </c>
      <c r="T588" t="s">
        <v>54</v>
      </c>
      <c r="U588" t="s">
        <v>1818</v>
      </c>
      <c r="V588">
        <v>81000</v>
      </c>
      <c r="W588" t="s">
        <v>45</v>
      </c>
      <c r="X588" t="s">
        <v>467</v>
      </c>
      <c r="Y588" t="s">
        <v>50</v>
      </c>
      <c r="Z588" s="10">
        <f t="shared" si="51"/>
        <v>9</v>
      </c>
      <c r="AA588" s="11">
        <v>0</v>
      </c>
      <c r="AB588" s="11">
        <v>-2</v>
      </c>
      <c r="AC588" s="11">
        <v>0</v>
      </c>
      <c r="AD588" s="11">
        <v>0</v>
      </c>
      <c r="AE588" s="11">
        <v>0</v>
      </c>
      <c r="AF588" s="11">
        <f t="shared" si="52"/>
        <v>0.42</v>
      </c>
      <c r="AG588" s="11">
        <f t="shared" si="53"/>
        <v>7.42</v>
      </c>
      <c r="AH588" t="s">
        <v>51</v>
      </c>
    </row>
    <row r="589" spans="1:34" ht="15" customHeight="1" x14ac:dyDescent="0.25">
      <c r="A589">
        <v>7547676</v>
      </c>
      <c r="B589" t="s">
        <v>34</v>
      </c>
      <c r="C589" t="s">
        <v>35</v>
      </c>
      <c r="D589" s="6" t="s">
        <v>34</v>
      </c>
      <c r="E589" t="s">
        <v>1819</v>
      </c>
      <c r="F589" t="s">
        <v>37</v>
      </c>
      <c r="G589" t="s">
        <v>38</v>
      </c>
      <c r="H589" t="s">
        <v>1820</v>
      </c>
      <c r="I589" t="s">
        <v>40</v>
      </c>
      <c r="J589">
        <v>2</v>
      </c>
      <c r="K589" t="s">
        <v>41</v>
      </c>
      <c r="L589" t="s">
        <v>42</v>
      </c>
      <c r="M589" t="s">
        <v>43</v>
      </c>
      <c r="N589" s="7">
        <v>7</v>
      </c>
      <c r="O589" s="8">
        <v>45512.597199074073</v>
      </c>
      <c r="P589" s="9">
        <v>45514</v>
      </c>
      <c r="Q589" t="s">
        <v>44</v>
      </c>
      <c r="R589" t="s">
        <v>45</v>
      </c>
      <c r="S589" t="s">
        <v>46</v>
      </c>
      <c r="T589" t="s">
        <v>54</v>
      </c>
      <c r="U589" t="s">
        <v>1821</v>
      </c>
      <c r="V589">
        <v>81100</v>
      </c>
      <c r="W589" t="s">
        <v>45</v>
      </c>
      <c r="X589" t="s">
        <v>370</v>
      </c>
      <c r="Y589" t="s">
        <v>50</v>
      </c>
      <c r="Z589" s="10">
        <f t="shared" si="51"/>
        <v>13.8</v>
      </c>
      <c r="AA589" s="11">
        <v>0</v>
      </c>
      <c r="AB589" s="11">
        <v>-2</v>
      </c>
      <c r="AC589" s="11">
        <v>0</v>
      </c>
      <c r="AD589" s="11">
        <v>0</v>
      </c>
      <c r="AE589" s="11">
        <v>0</v>
      </c>
      <c r="AF589" s="11">
        <f t="shared" si="52"/>
        <v>0.70799999999999996</v>
      </c>
      <c r="AG589" s="11">
        <f t="shared" si="53"/>
        <v>12.508000000000001</v>
      </c>
      <c r="AH589" t="s">
        <v>51</v>
      </c>
    </row>
    <row r="590" spans="1:34" ht="15" customHeight="1" x14ac:dyDescent="0.25">
      <c r="A590">
        <v>7547676</v>
      </c>
      <c r="B590" t="s">
        <v>34</v>
      </c>
      <c r="C590" t="s">
        <v>35</v>
      </c>
      <c r="D590" s="6" t="s">
        <v>34</v>
      </c>
      <c r="E590" t="s">
        <v>1822</v>
      </c>
      <c r="F590" t="s">
        <v>37</v>
      </c>
      <c r="G590" t="s">
        <v>38</v>
      </c>
      <c r="H590" t="s">
        <v>1823</v>
      </c>
      <c r="I590" t="s">
        <v>40</v>
      </c>
      <c r="J590">
        <v>2</v>
      </c>
      <c r="K590" t="s">
        <v>41</v>
      </c>
      <c r="L590" t="s">
        <v>42</v>
      </c>
      <c r="M590" t="s">
        <v>43</v>
      </c>
      <c r="N590" s="7">
        <v>1</v>
      </c>
      <c r="O590" s="8">
        <v>45512.761261574073</v>
      </c>
      <c r="P590" s="9">
        <v>45514</v>
      </c>
      <c r="Q590" t="s">
        <v>386</v>
      </c>
      <c r="R590" t="s">
        <v>45</v>
      </c>
      <c r="S590" t="s">
        <v>46</v>
      </c>
      <c r="T590" t="s">
        <v>84</v>
      </c>
      <c r="U590" t="s">
        <v>1824</v>
      </c>
      <c r="V590">
        <v>17500</v>
      </c>
      <c r="W590" t="s">
        <v>45</v>
      </c>
      <c r="X590" t="s">
        <v>74</v>
      </c>
      <c r="Y590" t="s">
        <v>50</v>
      </c>
      <c r="Z590" s="10">
        <f t="shared" si="51"/>
        <v>9</v>
      </c>
      <c r="AA590" s="11">
        <v>0</v>
      </c>
      <c r="AB590" s="11">
        <v>-2</v>
      </c>
      <c r="AC590" s="11">
        <v>0</v>
      </c>
      <c r="AD590" s="11">
        <v>0</v>
      </c>
      <c r="AE590" s="11">
        <v>0</v>
      </c>
      <c r="AF590" s="11">
        <f t="shared" si="52"/>
        <v>0.42</v>
      </c>
      <c r="AG590" s="11">
        <f t="shared" si="53"/>
        <v>7.42</v>
      </c>
      <c r="AH590" t="s">
        <v>51</v>
      </c>
    </row>
    <row r="591" spans="1:34" ht="15" customHeight="1" x14ac:dyDescent="0.25">
      <c r="A591">
        <v>7547676</v>
      </c>
      <c r="B591" t="s">
        <v>34</v>
      </c>
      <c r="C591" t="s">
        <v>35</v>
      </c>
      <c r="D591" s="6" t="s">
        <v>34</v>
      </c>
      <c r="E591" t="s">
        <v>1825</v>
      </c>
      <c r="F591" t="s">
        <v>37</v>
      </c>
      <c r="G591" t="s">
        <v>38</v>
      </c>
      <c r="H591" t="s">
        <v>1820</v>
      </c>
      <c r="I591" t="s">
        <v>40</v>
      </c>
      <c r="J591">
        <v>2</v>
      </c>
      <c r="K591" t="s">
        <v>41</v>
      </c>
      <c r="L591" t="s">
        <v>42</v>
      </c>
      <c r="M591" t="s">
        <v>43</v>
      </c>
      <c r="N591" s="7">
        <v>7</v>
      </c>
      <c r="O591" s="8">
        <v>45512.597187500003</v>
      </c>
      <c r="P591" s="9">
        <v>45514</v>
      </c>
      <c r="Q591" t="s">
        <v>44</v>
      </c>
      <c r="R591" t="s">
        <v>45</v>
      </c>
      <c r="S591" t="s">
        <v>46</v>
      </c>
      <c r="T591" t="s">
        <v>54</v>
      </c>
      <c r="U591" t="s">
        <v>1821</v>
      </c>
      <c r="V591">
        <v>81100</v>
      </c>
      <c r="W591" t="s">
        <v>45</v>
      </c>
      <c r="X591" t="s">
        <v>370</v>
      </c>
      <c r="Y591" t="s">
        <v>50</v>
      </c>
      <c r="Z591" s="10">
        <f t="shared" si="51"/>
        <v>13.8</v>
      </c>
      <c r="AA591" s="11">
        <v>0</v>
      </c>
      <c r="AB591" s="11">
        <v>-2</v>
      </c>
      <c r="AC591" s="11">
        <v>0</v>
      </c>
      <c r="AD591" s="11">
        <v>0</v>
      </c>
      <c r="AE591" s="11">
        <v>0</v>
      </c>
      <c r="AF591" s="11">
        <f t="shared" si="52"/>
        <v>0.70799999999999996</v>
      </c>
      <c r="AG591" s="11">
        <f t="shared" si="53"/>
        <v>12.508000000000001</v>
      </c>
      <c r="AH591" t="s">
        <v>51</v>
      </c>
    </row>
    <row r="592" spans="1:34" ht="15" customHeight="1" x14ac:dyDescent="0.25">
      <c r="A592">
        <v>7547676</v>
      </c>
      <c r="B592" t="s">
        <v>34</v>
      </c>
      <c r="C592" t="s">
        <v>35</v>
      </c>
      <c r="D592" s="6" t="s">
        <v>34</v>
      </c>
      <c r="E592" t="s">
        <v>1826</v>
      </c>
      <c r="F592" t="s">
        <v>37</v>
      </c>
      <c r="G592" t="s">
        <v>38</v>
      </c>
      <c r="H592" t="s">
        <v>1820</v>
      </c>
      <c r="I592" t="s">
        <v>40</v>
      </c>
      <c r="J592">
        <v>2</v>
      </c>
      <c r="K592" t="s">
        <v>41</v>
      </c>
      <c r="L592" t="s">
        <v>42</v>
      </c>
      <c r="M592" t="s">
        <v>43</v>
      </c>
      <c r="N592" s="7">
        <v>7</v>
      </c>
      <c r="O592" s="8">
        <v>45512.597199074073</v>
      </c>
      <c r="P592" s="9">
        <v>45514</v>
      </c>
      <c r="Q592" t="s">
        <v>44</v>
      </c>
      <c r="R592" t="s">
        <v>45</v>
      </c>
      <c r="S592" t="s">
        <v>46</v>
      </c>
      <c r="T592" t="s">
        <v>54</v>
      </c>
      <c r="U592" t="s">
        <v>1821</v>
      </c>
      <c r="V592">
        <v>81100</v>
      </c>
      <c r="W592" t="s">
        <v>45</v>
      </c>
      <c r="X592" t="s">
        <v>370</v>
      </c>
      <c r="Y592" t="s">
        <v>50</v>
      </c>
      <c r="Z592" s="10">
        <f>IF(N592&lt;=1,9,9+0.8*ROUNDUP(N592-1,0))</f>
        <v>13.8</v>
      </c>
      <c r="AA592" s="11">
        <v>0</v>
      </c>
      <c r="AB592" s="11">
        <v>-2</v>
      </c>
      <c r="AC592" s="11">
        <v>0</v>
      </c>
      <c r="AD592" s="11">
        <v>0</v>
      </c>
      <c r="AE592" s="11">
        <v>0</v>
      </c>
      <c r="AF592" s="11">
        <f t="shared" si="52"/>
        <v>0.70799999999999996</v>
      </c>
      <c r="AG592" s="11">
        <f t="shared" si="53"/>
        <v>12.508000000000001</v>
      </c>
      <c r="AH592" t="s">
        <v>51</v>
      </c>
    </row>
    <row r="593" spans="1:34" ht="15" customHeight="1" x14ac:dyDescent="0.25">
      <c r="A593">
        <v>7547676</v>
      </c>
      <c r="B593" t="s">
        <v>34</v>
      </c>
      <c r="C593" t="s">
        <v>35</v>
      </c>
      <c r="D593" s="6" t="s">
        <v>34</v>
      </c>
      <c r="E593" t="s">
        <v>1827</v>
      </c>
      <c r="F593" t="s">
        <v>37</v>
      </c>
      <c r="G593" t="s">
        <v>38</v>
      </c>
      <c r="H593" t="s">
        <v>1820</v>
      </c>
      <c r="I593" t="s">
        <v>40</v>
      </c>
      <c r="J593">
        <v>2</v>
      </c>
      <c r="K593" t="s">
        <v>41</v>
      </c>
      <c r="L593" t="s">
        <v>42</v>
      </c>
      <c r="M593" t="s">
        <v>43</v>
      </c>
      <c r="N593" s="7">
        <v>7</v>
      </c>
      <c r="O593" s="8">
        <v>45512.597187500003</v>
      </c>
      <c r="P593" s="9">
        <v>45514</v>
      </c>
      <c r="Q593" t="s">
        <v>44</v>
      </c>
      <c r="R593" t="s">
        <v>45</v>
      </c>
      <c r="S593" t="s">
        <v>46</v>
      </c>
      <c r="T593" t="s">
        <v>54</v>
      </c>
      <c r="U593" t="s">
        <v>1821</v>
      </c>
      <c r="V593">
        <v>81100</v>
      </c>
      <c r="W593" t="s">
        <v>45</v>
      </c>
      <c r="X593" t="s">
        <v>370</v>
      </c>
      <c r="Y593" t="s">
        <v>50</v>
      </c>
      <c r="Z593" s="10">
        <f t="shared" ref="Z593:Z604" si="54">IF(N593&lt;=1,9,9+0.8*ROUNDUP(N593-1,0))</f>
        <v>13.8</v>
      </c>
      <c r="AA593" s="11">
        <v>0</v>
      </c>
      <c r="AB593" s="11">
        <v>-2</v>
      </c>
      <c r="AC593" s="11">
        <v>0</v>
      </c>
      <c r="AD593" s="11">
        <v>0</v>
      </c>
      <c r="AE593" s="11">
        <v>0</v>
      </c>
      <c r="AF593" s="11">
        <f t="shared" si="52"/>
        <v>0.70799999999999996</v>
      </c>
      <c r="AG593" s="11">
        <f t="shared" si="53"/>
        <v>12.508000000000001</v>
      </c>
      <c r="AH593" t="s">
        <v>51</v>
      </c>
    </row>
    <row r="594" spans="1:34" ht="15" customHeight="1" x14ac:dyDescent="0.25">
      <c r="A594">
        <v>7547676</v>
      </c>
      <c r="B594" t="s">
        <v>34</v>
      </c>
      <c r="C594" t="s">
        <v>35</v>
      </c>
      <c r="D594" s="6" t="s">
        <v>34</v>
      </c>
      <c r="E594" t="s">
        <v>1828</v>
      </c>
      <c r="F594" t="s">
        <v>37</v>
      </c>
      <c r="G594" t="s">
        <v>38</v>
      </c>
      <c r="H594" t="s">
        <v>1820</v>
      </c>
      <c r="I594" t="s">
        <v>40</v>
      </c>
      <c r="J594">
        <v>2</v>
      </c>
      <c r="K594" t="s">
        <v>41</v>
      </c>
      <c r="L594" t="s">
        <v>42</v>
      </c>
      <c r="M594" t="s">
        <v>43</v>
      </c>
      <c r="N594" s="7">
        <v>7</v>
      </c>
      <c r="O594" s="8">
        <v>45512.597199074073</v>
      </c>
      <c r="P594" s="9">
        <v>45514</v>
      </c>
      <c r="Q594" t="s">
        <v>44</v>
      </c>
      <c r="R594" t="s">
        <v>45</v>
      </c>
      <c r="S594" t="s">
        <v>46</v>
      </c>
      <c r="T594" t="s">
        <v>54</v>
      </c>
      <c r="U594" t="s">
        <v>1821</v>
      </c>
      <c r="V594">
        <v>81200</v>
      </c>
      <c r="W594" t="s">
        <v>45</v>
      </c>
      <c r="X594" t="s">
        <v>370</v>
      </c>
      <c r="Y594" t="s">
        <v>50</v>
      </c>
      <c r="Z594" s="10">
        <f t="shared" si="54"/>
        <v>13.8</v>
      </c>
      <c r="AA594" s="11">
        <v>0</v>
      </c>
      <c r="AB594" s="11">
        <v>-2</v>
      </c>
      <c r="AC594" s="11">
        <v>0</v>
      </c>
      <c r="AD594" s="11">
        <v>0</v>
      </c>
      <c r="AE594" s="11">
        <v>0</v>
      </c>
      <c r="AF594" s="11">
        <f t="shared" si="52"/>
        <v>0.70799999999999996</v>
      </c>
      <c r="AG594" s="11">
        <f t="shared" si="53"/>
        <v>12.508000000000001</v>
      </c>
      <c r="AH594" t="s">
        <v>51</v>
      </c>
    </row>
    <row r="595" spans="1:34" ht="15" customHeight="1" x14ac:dyDescent="0.25">
      <c r="A595">
        <v>7547676</v>
      </c>
      <c r="B595" t="s">
        <v>34</v>
      </c>
      <c r="C595" t="s">
        <v>35</v>
      </c>
      <c r="D595" s="6" t="s">
        <v>34</v>
      </c>
      <c r="E595" t="s">
        <v>1829</v>
      </c>
      <c r="F595" t="s">
        <v>37</v>
      </c>
      <c r="G595" t="s">
        <v>38</v>
      </c>
      <c r="H595" t="s">
        <v>1830</v>
      </c>
      <c r="I595" t="s">
        <v>40</v>
      </c>
      <c r="J595">
        <v>2</v>
      </c>
      <c r="K595" t="s">
        <v>41</v>
      </c>
      <c r="L595" t="s">
        <v>42</v>
      </c>
      <c r="M595" t="s">
        <v>43</v>
      </c>
      <c r="N595" s="7">
        <v>1</v>
      </c>
      <c r="O595" s="8">
        <v>45511.737222222226</v>
      </c>
      <c r="P595" s="9">
        <v>45514</v>
      </c>
      <c r="Q595" t="s">
        <v>44</v>
      </c>
      <c r="R595" t="s">
        <v>45</v>
      </c>
      <c r="S595" t="s">
        <v>46</v>
      </c>
      <c r="T595" t="s">
        <v>54</v>
      </c>
      <c r="U595" t="s">
        <v>1831</v>
      </c>
      <c r="V595">
        <v>81100</v>
      </c>
      <c r="W595" t="s">
        <v>45</v>
      </c>
      <c r="X595" t="s">
        <v>69</v>
      </c>
      <c r="Y595" t="s">
        <v>50</v>
      </c>
      <c r="Z595" s="10">
        <f t="shared" si="54"/>
        <v>9</v>
      </c>
      <c r="AA595" s="11">
        <v>0</v>
      </c>
      <c r="AB595" s="11">
        <v>-2</v>
      </c>
      <c r="AC595" s="11">
        <v>0</v>
      </c>
      <c r="AD595" s="11">
        <v>0</v>
      </c>
      <c r="AE595" s="11">
        <v>0</v>
      </c>
      <c r="AF595" s="11">
        <f t="shared" si="52"/>
        <v>0.42</v>
      </c>
      <c r="AG595" s="11">
        <f t="shared" si="53"/>
        <v>7.42</v>
      </c>
      <c r="AH595" t="s">
        <v>51</v>
      </c>
    </row>
    <row r="596" spans="1:34" ht="15" customHeight="1" x14ac:dyDescent="0.25">
      <c r="A596">
        <v>7547676</v>
      </c>
      <c r="B596" t="s">
        <v>34</v>
      </c>
      <c r="C596" t="s">
        <v>35</v>
      </c>
      <c r="D596" s="6" t="s">
        <v>34</v>
      </c>
      <c r="E596" t="s">
        <v>1832</v>
      </c>
      <c r="F596" t="s">
        <v>37</v>
      </c>
      <c r="G596" t="s">
        <v>38</v>
      </c>
      <c r="H596" t="s">
        <v>1820</v>
      </c>
      <c r="I596" t="s">
        <v>40</v>
      </c>
      <c r="J596">
        <v>2</v>
      </c>
      <c r="K596" t="s">
        <v>41</v>
      </c>
      <c r="L596" t="s">
        <v>42</v>
      </c>
      <c r="M596" t="s">
        <v>43</v>
      </c>
      <c r="N596" s="7">
        <v>7</v>
      </c>
      <c r="O596" s="8">
        <v>45512.597199074073</v>
      </c>
      <c r="P596" s="9">
        <v>45514</v>
      </c>
      <c r="Q596" t="s">
        <v>44</v>
      </c>
      <c r="R596" t="s">
        <v>45</v>
      </c>
      <c r="S596" t="s">
        <v>46</v>
      </c>
      <c r="T596" t="s">
        <v>54</v>
      </c>
      <c r="U596" t="s">
        <v>1821</v>
      </c>
      <c r="V596">
        <v>81100</v>
      </c>
      <c r="W596" t="s">
        <v>45</v>
      </c>
      <c r="X596" t="s">
        <v>370</v>
      </c>
      <c r="Y596" t="s">
        <v>50</v>
      </c>
      <c r="Z596" s="10">
        <f t="shared" si="54"/>
        <v>13.8</v>
      </c>
      <c r="AA596" s="11">
        <v>0</v>
      </c>
      <c r="AB596" s="11">
        <v>-2</v>
      </c>
      <c r="AC596" s="11">
        <v>0</v>
      </c>
      <c r="AD596" s="11">
        <v>0</v>
      </c>
      <c r="AE596" s="11">
        <v>0</v>
      </c>
      <c r="AF596" s="11">
        <f t="shared" si="52"/>
        <v>0.70799999999999996</v>
      </c>
      <c r="AG596" s="11">
        <f t="shared" si="53"/>
        <v>12.508000000000001</v>
      </c>
      <c r="AH596" t="s">
        <v>51</v>
      </c>
    </row>
    <row r="597" spans="1:34" ht="15" customHeight="1" x14ac:dyDescent="0.25">
      <c r="A597">
        <v>7547676</v>
      </c>
      <c r="B597" t="s">
        <v>34</v>
      </c>
      <c r="C597" t="s">
        <v>35</v>
      </c>
      <c r="D597" s="6" t="s">
        <v>34</v>
      </c>
      <c r="E597" t="s">
        <v>1833</v>
      </c>
      <c r="F597" t="s">
        <v>37</v>
      </c>
      <c r="G597" t="s">
        <v>38</v>
      </c>
      <c r="H597" t="s">
        <v>1834</v>
      </c>
      <c r="I597" t="s">
        <v>40</v>
      </c>
      <c r="J597">
        <v>2</v>
      </c>
      <c r="K597" t="s">
        <v>41</v>
      </c>
      <c r="L597" t="s">
        <v>42</v>
      </c>
      <c r="M597" t="s">
        <v>43</v>
      </c>
      <c r="N597" s="7">
        <v>1</v>
      </c>
      <c r="O597" s="8">
        <v>45512.761261574073</v>
      </c>
      <c r="P597" s="9">
        <v>45514</v>
      </c>
      <c r="Q597" t="s">
        <v>386</v>
      </c>
      <c r="R597" t="s">
        <v>45</v>
      </c>
      <c r="S597" t="s">
        <v>46</v>
      </c>
      <c r="T597" t="s">
        <v>84</v>
      </c>
      <c r="U597" t="s">
        <v>1835</v>
      </c>
      <c r="V597">
        <v>17500</v>
      </c>
      <c r="W597" t="s">
        <v>45</v>
      </c>
      <c r="X597" t="s">
        <v>74</v>
      </c>
      <c r="Y597" t="s">
        <v>50</v>
      </c>
      <c r="Z597" s="10">
        <f t="shared" si="54"/>
        <v>9</v>
      </c>
      <c r="AA597" s="11">
        <v>0</v>
      </c>
      <c r="AB597" s="11">
        <v>-2</v>
      </c>
      <c r="AC597" s="11">
        <v>0</v>
      </c>
      <c r="AD597" s="11">
        <v>0</v>
      </c>
      <c r="AE597" s="11">
        <v>0</v>
      </c>
      <c r="AF597" s="11">
        <f t="shared" si="52"/>
        <v>0.42</v>
      </c>
      <c r="AG597" s="11">
        <f t="shared" si="53"/>
        <v>7.42</v>
      </c>
      <c r="AH597" t="s">
        <v>51</v>
      </c>
    </row>
    <row r="598" spans="1:34" ht="15" customHeight="1" x14ac:dyDescent="0.25">
      <c r="A598">
        <v>7547676</v>
      </c>
      <c r="B598" t="s">
        <v>34</v>
      </c>
      <c r="C598" t="s">
        <v>35</v>
      </c>
      <c r="D598" s="6" t="s">
        <v>34</v>
      </c>
      <c r="E598" t="s">
        <v>1836</v>
      </c>
      <c r="F598" t="s">
        <v>37</v>
      </c>
      <c r="G598" t="s">
        <v>38</v>
      </c>
      <c r="H598" t="s">
        <v>1837</v>
      </c>
      <c r="I598" t="s">
        <v>40</v>
      </c>
      <c r="J598">
        <v>2</v>
      </c>
      <c r="K598" t="s">
        <v>41</v>
      </c>
      <c r="L598" t="s">
        <v>42</v>
      </c>
      <c r="M598" t="s">
        <v>43</v>
      </c>
      <c r="N598" s="7">
        <v>1</v>
      </c>
      <c r="O598" s="8">
        <v>45512.763935185183</v>
      </c>
      <c r="P598" s="9">
        <v>45514</v>
      </c>
      <c r="Q598" t="s">
        <v>386</v>
      </c>
      <c r="R598" t="s">
        <v>45</v>
      </c>
      <c r="S598" t="s">
        <v>46</v>
      </c>
      <c r="T598" t="s">
        <v>92</v>
      </c>
      <c r="U598" t="s">
        <v>1838</v>
      </c>
      <c r="V598">
        <v>44300</v>
      </c>
      <c r="W598" t="s">
        <v>45</v>
      </c>
      <c r="X598" t="s">
        <v>1494</v>
      </c>
      <c r="Y598" t="s">
        <v>50</v>
      </c>
      <c r="Z598" s="10">
        <f t="shared" si="54"/>
        <v>9</v>
      </c>
      <c r="AA598" s="11">
        <v>0</v>
      </c>
      <c r="AB598" s="11">
        <v>-2</v>
      </c>
      <c r="AC598" s="11">
        <v>0</v>
      </c>
      <c r="AD598" s="11">
        <v>0</v>
      </c>
      <c r="AE598" s="11">
        <v>0</v>
      </c>
      <c r="AF598" s="11">
        <f t="shared" si="52"/>
        <v>0.42</v>
      </c>
      <c r="AG598" s="11">
        <f t="shared" si="53"/>
        <v>7.42</v>
      </c>
      <c r="AH598" t="s">
        <v>51</v>
      </c>
    </row>
    <row r="599" spans="1:34" ht="15" customHeight="1" x14ac:dyDescent="0.25">
      <c r="A599">
        <v>7547676</v>
      </c>
      <c r="B599" t="s">
        <v>34</v>
      </c>
      <c r="C599" t="s">
        <v>35</v>
      </c>
      <c r="D599" s="6" t="s">
        <v>34</v>
      </c>
      <c r="E599" t="s">
        <v>1839</v>
      </c>
      <c r="F599" t="s">
        <v>37</v>
      </c>
      <c r="G599" t="s">
        <v>38</v>
      </c>
      <c r="H599" t="s">
        <v>1840</v>
      </c>
      <c r="I599" t="s">
        <v>40</v>
      </c>
      <c r="J599">
        <v>2</v>
      </c>
      <c r="K599" t="s">
        <v>41</v>
      </c>
      <c r="L599" t="s">
        <v>42</v>
      </c>
      <c r="M599" t="s">
        <v>43</v>
      </c>
      <c r="N599" s="7">
        <v>1</v>
      </c>
      <c r="O599" s="8">
        <v>45512.856168981481</v>
      </c>
      <c r="P599" s="9">
        <v>45514</v>
      </c>
      <c r="Q599" t="s">
        <v>386</v>
      </c>
      <c r="R599" t="s">
        <v>45</v>
      </c>
      <c r="S599" t="s">
        <v>46</v>
      </c>
      <c r="T599" t="s">
        <v>92</v>
      </c>
      <c r="U599" t="s">
        <v>1841</v>
      </c>
      <c r="V599">
        <v>68100</v>
      </c>
      <c r="W599" t="s">
        <v>45</v>
      </c>
      <c r="X599" t="s">
        <v>1842</v>
      </c>
      <c r="Y599" t="s">
        <v>50</v>
      </c>
      <c r="Z599" s="10">
        <f t="shared" si="54"/>
        <v>9</v>
      </c>
      <c r="AA599" s="11">
        <v>0</v>
      </c>
      <c r="AB599" s="11">
        <v>-2</v>
      </c>
      <c r="AC599" s="11">
        <v>0</v>
      </c>
      <c r="AD599" s="11">
        <v>0</v>
      </c>
      <c r="AE599" s="11">
        <v>0</v>
      </c>
      <c r="AF599" s="11">
        <f t="shared" si="52"/>
        <v>0.42</v>
      </c>
      <c r="AG599" s="11">
        <f t="shared" si="53"/>
        <v>7.42</v>
      </c>
      <c r="AH599" t="s">
        <v>51</v>
      </c>
    </row>
    <row r="600" spans="1:34" ht="15" customHeight="1" x14ac:dyDescent="0.25">
      <c r="A600">
        <v>7547676</v>
      </c>
      <c r="B600" t="s">
        <v>34</v>
      </c>
      <c r="C600" t="s">
        <v>35</v>
      </c>
      <c r="D600" s="6" t="s">
        <v>34</v>
      </c>
      <c r="E600" t="s">
        <v>1843</v>
      </c>
      <c r="F600" t="s">
        <v>37</v>
      </c>
      <c r="G600" t="s">
        <v>38</v>
      </c>
      <c r="H600" t="s">
        <v>1844</v>
      </c>
      <c r="I600" t="s">
        <v>40</v>
      </c>
      <c r="J600">
        <v>2</v>
      </c>
      <c r="K600" t="s">
        <v>41</v>
      </c>
      <c r="L600" t="s">
        <v>42</v>
      </c>
      <c r="M600" t="s">
        <v>43</v>
      </c>
      <c r="N600" s="7">
        <v>1</v>
      </c>
      <c r="O600" s="8">
        <v>45510.832326388889</v>
      </c>
      <c r="P600" s="9">
        <v>45514</v>
      </c>
      <c r="Q600" t="s">
        <v>44</v>
      </c>
      <c r="R600" t="s">
        <v>45</v>
      </c>
      <c r="S600" t="s">
        <v>46</v>
      </c>
      <c r="T600" t="s">
        <v>47</v>
      </c>
      <c r="U600" t="s">
        <v>1845</v>
      </c>
      <c r="V600">
        <v>31700</v>
      </c>
      <c r="W600" t="s">
        <v>45</v>
      </c>
      <c r="X600" t="s">
        <v>391</v>
      </c>
      <c r="Y600" t="s">
        <v>50</v>
      </c>
      <c r="Z600" s="10">
        <f t="shared" si="54"/>
        <v>9</v>
      </c>
      <c r="AA600" s="11">
        <v>0</v>
      </c>
      <c r="AB600" s="11">
        <v>-2</v>
      </c>
      <c r="AC600" s="11">
        <v>0</v>
      </c>
      <c r="AD600" s="11">
        <v>0</v>
      </c>
      <c r="AE600" s="11">
        <v>0</v>
      </c>
      <c r="AF600" s="11">
        <f t="shared" si="52"/>
        <v>0.42</v>
      </c>
      <c r="AG600" s="11">
        <f t="shared" si="53"/>
        <v>7.42</v>
      </c>
      <c r="AH600" t="s">
        <v>51</v>
      </c>
    </row>
    <row r="601" spans="1:34" ht="15" customHeight="1" x14ac:dyDescent="0.25">
      <c r="A601">
        <v>7547676</v>
      </c>
      <c r="B601" t="s">
        <v>34</v>
      </c>
      <c r="C601" t="s">
        <v>35</v>
      </c>
      <c r="D601" s="6" t="s">
        <v>34</v>
      </c>
      <c r="E601" t="s">
        <v>1846</v>
      </c>
      <c r="F601" t="s">
        <v>37</v>
      </c>
      <c r="G601" t="s">
        <v>38</v>
      </c>
      <c r="H601" t="s">
        <v>1847</v>
      </c>
      <c r="I601" t="s">
        <v>40</v>
      </c>
      <c r="J601">
        <v>2</v>
      </c>
      <c r="K601" t="s">
        <v>41</v>
      </c>
      <c r="L601" t="s">
        <v>42</v>
      </c>
      <c r="M601" t="s">
        <v>43</v>
      </c>
      <c r="N601" s="7">
        <v>2</v>
      </c>
      <c r="O601" s="8">
        <v>45512.597986111112</v>
      </c>
      <c r="P601" s="9">
        <v>45514</v>
      </c>
      <c r="Q601" t="s">
        <v>44</v>
      </c>
      <c r="R601" t="s">
        <v>45</v>
      </c>
      <c r="S601" t="s">
        <v>46</v>
      </c>
      <c r="T601" t="s">
        <v>47</v>
      </c>
      <c r="U601" t="s">
        <v>1848</v>
      </c>
      <c r="V601">
        <v>35600</v>
      </c>
      <c r="W601" t="s">
        <v>45</v>
      </c>
      <c r="X601" t="s">
        <v>1849</v>
      </c>
      <c r="Y601" t="s">
        <v>50</v>
      </c>
      <c r="Z601" s="10">
        <f t="shared" si="54"/>
        <v>9.8000000000000007</v>
      </c>
      <c r="AA601" s="11">
        <v>0</v>
      </c>
      <c r="AB601" s="11">
        <v>-2</v>
      </c>
      <c r="AC601" s="11">
        <v>0</v>
      </c>
      <c r="AD601" s="11">
        <v>0</v>
      </c>
      <c r="AE601" s="11">
        <v>0</v>
      </c>
      <c r="AF601" s="11">
        <f t="shared" si="52"/>
        <v>0.46800000000000003</v>
      </c>
      <c r="AG601" s="11">
        <f t="shared" si="53"/>
        <v>8.2680000000000007</v>
      </c>
      <c r="AH601" t="s">
        <v>51</v>
      </c>
    </row>
    <row r="602" spans="1:34" ht="15" customHeight="1" x14ac:dyDescent="0.25">
      <c r="A602">
        <v>7547676</v>
      </c>
      <c r="B602" t="s">
        <v>34</v>
      </c>
      <c r="C602" t="s">
        <v>35</v>
      </c>
      <c r="D602" s="6" t="s">
        <v>34</v>
      </c>
      <c r="E602" t="s">
        <v>1850</v>
      </c>
      <c r="F602" t="s">
        <v>37</v>
      </c>
      <c r="G602" t="s">
        <v>38</v>
      </c>
      <c r="H602" t="s">
        <v>1851</v>
      </c>
      <c r="I602" t="s">
        <v>40</v>
      </c>
      <c r="J602">
        <v>2</v>
      </c>
      <c r="K602" t="s">
        <v>41</v>
      </c>
      <c r="L602" t="s">
        <v>42</v>
      </c>
      <c r="M602" t="s">
        <v>43</v>
      </c>
      <c r="N602" s="7">
        <v>2</v>
      </c>
      <c r="O602" s="8">
        <v>45513.470543981479</v>
      </c>
      <c r="P602" s="9">
        <v>45514</v>
      </c>
      <c r="Q602" t="s">
        <v>386</v>
      </c>
      <c r="R602" t="s">
        <v>45</v>
      </c>
      <c r="S602" t="s">
        <v>46</v>
      </c>
      <c r="T602" t="s">
        <v>92</v>
      </c>
      <c r="U602" t="s">
        <v>1852</v>
      </c>
      <c r="V602">
        <v>48000</v>
      </c>
      <c r="W602" t="s">
        <v>45</v>
      </c>
      <c r="X602" t="s">
        <v>170</v>
      </c>
      <c r="Y602" t="s">
        <v>50</v>
      </c>
      <c r="Z602" s="10">
        <f t="shared" si="54"/>
        <v>9.8000000000000007</v>
      </c>
      <c r="AA602" s="11">
        <v>0</v>
      </c>
      <c r="AB602" s="11">
        <v>-2</v>
      </c>
      <c r="AC602" s="11">
        <v>0</v>
      </c>
      <c r="AD602" s="11">
        <v>0</v>
      </c>
      <c r="AE602" s="11">
        <v>0</v>
      </c>
      <c r="AF602" s="11">
        <f t="shared" si="52"/>
        <v>0.46800000000000003</v>
      </c>
      <c r="AG602" s="11">
        <f t="shared" si="53"/>
        <v>8.2680000000000007</v>
      </c>
      <c r="AH602" t="s">
        <v>51</v>
      </c>
    </row>
    <row r="603" spans="1:34" ht="15" customHeight="1" x14ac:dyDescent="0.25">
      <c r="A603">
        <v>7547676</v>
      </c>
      <c r="B603" t="s">
        <v>34</v>
      </c>
      <c r="C603" t="s">
        <v>35</v>
      </c>
      <c r="D603" s="6" t="s">
        <v>34</v>
      </c>
      <c r="E603" t="s">
        <v>1853</v>
      </c>
      <c r="F603" t="s">
        <v>37</v>
      </c>
      <c r="G603" t="s">
        <v>38</v>
      </c>
      <c r="H603" t="s">
        <v>1854</v>
      </c>
      <c r="I603" t="s">
        <v>40</v>
      </c>
      <c r="J603">
        <v>2</v>
      </c>
      <c r="K603" t="s">
        <v>41</v>
      </c>
      <c r="L603" t="s">
        <v>42</v>
      </c>
      <c r="M603" t="s">
        <v>43</v>
      </c>
      <c r="N603" s="7">
        <v>1</v>
      </c>
      <c r="O603" s="8">
        <v>45512.856157407405</v>
      </c>
      <c r="P603" s="9">
        <v>45514</v>
      </c>
      <c r="Q603" t="s">
        <v>386</v>
      </c>
      <c r="R603" t="s">
        <v>45</v>
      </c>
      <c r="S603" t="s">
        <v>46</v>
      </c>
      <c r="T603" t="s">
        <v>129</v>
      </c>
      <c r="U603" t="s">
        <v>1855</v>
      </c>
      <c r="V603">
        <v>73430</v>
      </c>
      <c r="W603" t="s">
        <v>45</v>
      </c>
      <c r="X603" t="s">
        <v>1197</v>
      </c>
      <c r="Y603" t="s">
        <v>50</v>
      </c>
      <c r="Z603" s="10">
        <f t="shared" si="54"/>
        <v>9</v>
      </c>
      <c r="AA603" s="11">
        <v>0</v>
      </c>
      <c r="AB603" s="11">
        <v>-2</v>
      </c>
      <c r="AC603" s="11">
        <v>0</v>
      </c>
      <c r="AD603" s="11">
        <v>0</v>
      </c>
      <c r="AE603" s="11">
        <v>0</v>
      </c>
      <c r="AF603" s="11">
        <f t="shared" si="52"/>
        <v>0.42</v>
      </c>
      <c r="AG603" s="11">
        <f t="shared" si="53"/>
        <v>7.42</v>
      </c>
      <c r="AH603" t="s">
        <v>51</v>
      </c>
    </row>
    <row r="604" spans="1:34" ht="15" customHeight="1" x14ac:dyDescent="0.25">
      <c r="A604">
        <v>7547676</v>
      </c>
      <c r="B604" t="s">
        <v>34</v>
      </c>
      <c r="C604" t="s">
        <v>35</v>
      </c>
      <c r="D604" s="6" t="s">
        <v>34</v>
      </c>
      <c r="E604" t="s">
        <v>1856</v>
      </c>
      <c r="F604" t="s">
        <v>37</v>
      </c>
      <c r="G604" t="s">
        <v>38</v>
      </c>
      <c r="H604" t="s">
        <v>1857</v>
      </c>
      <c r="I604" t="s">
        <v>40</v>
      </c>
      <c r="J604">
        <v>2</v>
      </c>
      <c r="K604" t="s">
        <v>41</v>
      </c>
      <c r="L604" t="s">
        <v>42</v>
      </c>
      <c r="M604" t="s">
        <v>43</v>
      </c>
      <c r="N604" s="7">
        <v>5</v>
      </c>
      <c r="O604" s="8">
        <v>45510.708298611113</v>
      </c>
      <c r="P604" s="9">
        <v>45514</v>
      </c>
      <c r="Q604" t="s">
        <v>44</v>
      </c>
      <c r="R604" t="s">
        <v>45</v>
      </c>
      <c r="S604" t="s">
        <v>46</v>
      </c>
      <c r="T604" t="s">
        <v>92</v>
      </c>
      <c r="U604" t="s">
        <v>1858</v>
      </c>
      <c r="V604">
        <v>47180</v>
      </c>
      <c r="W604" t="s">
        <v>45</v>
      </c>
      <c r="X604" t="s">
        <v>567</v>
      </c>
      <c r="Y604" t="s">
        <v>50</v>
      </c>
      <c r="Z604" s="10">
        <f t="shared" si="54"/>
        <v>12.2</v>
      </c>
      <c r="AA604" s="11">
        <v>0</v>
      </c>
      <c r="AB604" s="11">
        <v>-2</v>
      </c>
      <c r="AC604" s="11">
        <v>0</v>
      </c>
      <c r="AD604" s="11">
        <v>0</v>
      </c>
      <c r="AE604" s="11">
        <v>0</v>
      </c>
      <c r="AF604" s="11">
        <f t="shared" si="52"/>
        <v>0.61199999999999999</v>
      </c>
      <c r="AG604" s="11">
        <f t="shared" si="53"/>
        <v>10.811999999999999</v>
      </c>
      <c r="AH604" t="s">
        <v>51</v>
      </c>
    </row>
    <row r="605" spans="1:34" ht="15" customHeight="1" x14ac:dyDescent="0.25">
      <c r="A605">
        <v>7547676</v>
      </c>
      <c r="B605" t="s">
        <v>34</v>
      </c>
      <c r="C605" t="s">
        <v>35</v>
      </c>
      <c r="D605" s="6" t="s">
        <v>34</v>
      </c>
      <c r="E605" t="s">
        <v>1859</v>
      </c>
      <c r="F605" t="s">
        <v>37</v>
      </c>
      <c r="G605" t="s">
        <v>38</v>
      </c>
      <c r="H605" t="s">
        <v>1860</v>
      </c>
      <c r="I605" t="s">
        <v>40</v>
      </c>
      <c r="J605">
        <v>2</v>
      </c>
      <c r="K605" t="s">
        <v>41</v>
      </c>
      <c r="L605" t="s">
        <v>42</v>
      </c>
      <c r="M605" t="s">
        <v>43</v>
      </c>
      <c r="N605" s="7">
        <v>2</v>
      </c>
      <c r="O605" s="8">
        <v>45512.497442129628</v>
      </c>
      <c r="P605" s="9">
        <v>45514</v>
      </c>
      <c r="Q605" t="s">
        <v>44</v>
      </c>
      <c r="R605" t="s">
        <v>45</v>
      </c>
      <c r="S605" t="s">
        <v>46</v>
      </c>
      <c r="T605" t="s">
        <v>312</v>
      </c>
      <c r="U605" t="s">
        <v>1861</v>
      </c>
      <c r="V605">
        <v>93050</v>
      </c>
      <c r="W605" t="s">
        <v>118</v>
      </c>
      <c r="X605" t="s">
        <v>69</v>
      </c>
      <c r="Y605" t="s">
        <v>50</v>
      </c>
      <c r="Z605" s="12">
        <f>IF(N605&lt;=1,13,IF(N605&lt;=2,23,IF(N605&lt;=3,35,IF(N605&lt;=4,43,IF(N605&lt;=5,53,IF(N605&lt;=6,63,IF(N605&lt;=7,71,IF(N605&lt;=8,79,IF(N605&lt;=9,87,IF(N605&lt;=10,95,IF(N605&lt;=11,105,IF(N605&lt;=12,114,IF(N605&lt;=13,119,IF(N605&lt;=14,127,IF(N605&lt;=15,135,IF(N605&lt;=16,143,IF(N605&lt;=17,153,IF(N605&lt;=18,163,IF(N605&lt;=19,171,IF(N605&lt;=20,185,IF(N605&lt;=21,193,IF(N605&lt;=22,201,IF(N605&lt;=23,210,IF(N605&lt;=24,220,IF(N605&lt;=25,230,IF(N605&lt;=26,240,IF(N605&lt;=27,250,IF(N605&lt;=28,260,IF(N605&lt;=29,270,IF(N605&lt;=30,280,280+10*ROUNDUP(N605-30,0)))))))))))))))))))))))))))))))</f>
        <v>23</v>
      </c>
      <c r="AA605" s="11">
        <v>0</v>
      </c>
      <c r="AB605" s="11">
        <v>0</v>
      </c>
      <c r="AC605" s="11">
        <v>0</v>
      </c>
      <c r="AD605" s="11">
        <v>0</v>
      </c>
      <c r="AE605" s="11">
        <v>0</v>
      </c>
      <c r="AF605" s="11">
        <f t="shared" si="52"/>
        <v>1.38</v>
      </c>
      <c r="AG605" s="11">
        <f t="shared" si="53"/>
        <v>24.38</v>
      </c>
      <c r="AH605" t="s">
        <v>119</v>
      </c>
    </row>
    <row r="606" spans="1:34" ht="15" customHeight="1" x14ac:dyDescent="0.25">
      <c r="A606">
        <v>7547676</v>
      </c>
      <c r="B606" t="s">
        <v>34</v>
      </c>
      <c r="C606" t="s">
        <v>35</v>
      </c>
      <c r="D606" s="6" t="s">
        <v>34</v>
      </c>
      <c r="E606" t="s">
        <v>1862</v>
      </c>
      <c r="F606" t="s">
        <v>37</v>
      </c>
      <c r="G606" t="s">
        <v>38</v>
      </c>
      <c r="H606" t="s">
        <v>1863</v>
      </c>
      <c r="I606" t="s">
        <v>40</v>
      </c>
      <c r="J606">
        <v>2</v>
      </c>
      <c r="K606" t="s">
        <v>41</v>
      </c>
      <c r="L606" t="s">
        <v>42</v>
      </c>
      <c r="M606" t="s">
        <v>43</v>
      </c>
      <c r="N606" s="7">
        <v>1</v>
      </c>
      <c r="O606" s="8">
        <v>45511.818067129629</v>
      </c>
      <c r="P606" s="9">
        <v>45514</v>
      </c>
      <c r="Q606" t="s">
        <v>44</v>
      </c>
      <c r="R606" t="s">
        <v>45</v>
      </c>
      <c r="S606" t="s">
        <v>46</v>
      </c>
      <c r="T606" t="s">
        <v>107</v>
      </c>
      <c r="U606" t="s">
        <v>1864</v>
      </c>
      <c r="V606">
        <v>6200</v>
      </c>
      <c r="W606" t="s">
        <v>45</v>
      </c>
      <c r="X606" t="s">
        <v>69</v>
      </c>
      <c r="Y606" t="s">
        <v>50</v>
      </c>
      <c r="Z606" s="10">
        <f t="shared" ref="Z606:Z640" si="55">IF(N606&lt;=1,9,9+0.8*ROUNDUP(N606-1,0))</f>
        <v>9</v>
      </c>
      <c r="AA606" s="11">
        <v>0</v>
      </c>
      <c r="AB606" s="11">
        <v>-2</v>
      </c>
      <c r="AC606" s="11">
        <v>0</v>
      </c>
      <c r="AD606" s="11">
        <v>0</v>
      </c>
      <c r="AE606" s="11">
        <v>0</v>
      </c>
      <c r="AF606" s="11">
        <f t="shared" si="52"/>
        <v>0.42</v>
      </c>
      <c r="AG606" s="11">
        <f t="shared" si="53"/>
        <v>7.42</v>
      </c>
      <c r="AH606" t="s">
        <v>51</v>
      </c>
    </row>
    <row r="607" spans="1:34" ht="15" customHeight="1" x14ac:dyDescent="0.25">
      <c r="A607">
        <v>7547676</v>
      </c>
      <c r="B607" t="s">
        <v>34</v>
      </c>
      <c r="C607" t="s">
        <v>35</v>
      </c>
      <c r="D607" s="6" t="s">
        <v>34</v>
      </c>
      <c r="E607" t="s">
        <v>1865</v>
      </c>
      <c r="F607" t="s">
        <v>37</v>
      </c>
      <c r="G607" t="s">
        <v>38</v>
      </c>
      <c r="H607" t="s">
        <v>1866</v>
      </c>
      <c r="I607" t="s">
        <v>40</v>
      </c>
      <c r="J607">
        <v>2</v>
      </c>
      <c r="K607" t="s">
        <v>41</v>
      </c>
      <c r="L607" t="s">
        <v>42</v>
      </c>
      <c r="M607" t="s">
        <v>43</v>
      </c>
      <c r="N607" s="7">
        <v>7</v>
      </c>
      <c r="O607" s="8">
        <v>45512.603796296295</v>
      </c>
      <c r="P607" s="9">
        <v>45514</v>
      </c>
      <c r="Q607" t="s">
        <v>44</v>
      </c>
      <c r="R607" t="s">
        <v>45</v>
      </c>
      <c r="S607" t="s">
        <v>46</v>
      </c>
      <c r="T607" t="s">
        <v>54</v>
      </c>
      <c r="U607" t="s">
        <v>1867</v>
      </c>
      <c r="V607">
        <v>81300</v>
      </c>
      <c r="W607" t="s">
        <v>45</v>
      </c>
      <c r="X607" t="s">
        <v>330</v>
      </c>
      <c r="Y607" t="s">
        <v>50</v>
      </c>
      <c r="Z607" s="10">
        <f t="shared" si="55"/>
        <v>13.8</v>
      </c>
      <c r="AA607" s="11">
        <v>0</v>
      </c>
      <c r="AB607" s="11">
        <v>-2</v>
      </c>
      <c r="AC607" s="11">
        <v>0</v>
      </c>
      <c r="AD607" s="11">
        <v>0</v>
      </c>
      <c r="AE607" s="11">
        <v>0</v>
      </c>
      <c r="AF607" s="11">
        <f t="shared" si="52"/>
        <v>0.70799999999999996</v>
      </c>
      <c r="AG607" s="11">
        <f t="shared" si="53"/>
        <v>12.508000000000001</v>
      </c>
      <c r="AH607" t="s">
        <v>51</v>
      </c>
    </row>
    <row r="608" spans="1:34" ht="15" customHeight="1" x14ac:dyDescent="0.25">
      <c r="A608">
        <v>7547676</v>
      </c>
      <c r="B608" t="s">
        <v>34</v>
      </c>
      <c r="C608" t="s">
        <v>35</v>
      </c>
      <c r="D608" s="6" t="s">
        <v>34</v>
      </c>
      <c r="E608" t="s">
        <v>1868</v>
      </c>
      <c r="F608" t="s">
        <v>37</v>
      </c>
      <c r="G608" t="s">
        <v>38</v>
      </c>
      <c r="H608" t="s">
        <v>1866</v>
      </c>
      <c r="I608" t="s">
        <v>40</v>
      </c>
      <c r="J608">
        <v>2</v>
      </c>
      <c r="K608" t="s">
        <v>41</v>
      </c>
      <c r="L608" t="s">
        <v>42</v>
      </c>
      <c r="M608" t="s">
        <v>43</v>
      </c>
      <c r="N608" s="7">
        <v>7</v>
      </c>
      <c r="O608" s="8">
        <v>45512.606956018521</v>
      </c>
      <c r="P608" s="9">
        <v>45514</v>
      </c>
      <c r="Q608" t="s">
        <v>44</v>
      </c>
      <c r="R608" t="s">
        <v>45</v>
      </c>
      <c r="S608" t="s">
        <v>46</v>
      </c>
      <c r="T608" t="s">
        <v>54</v>
      </c>
      <c r="U608" t="s">
        <v>1869</v>
      </c>
      <c r="V608">
        <v>81300</v>
      </c>
      <c r="W608" t="s">
        <v>45</v>
      </c>
      <c r="X608" t="s">
        <v>330</v>
      </c>
      <c r="Y608" t="s">
        <v>50</v>
      </c>
      <c r="Z608" s="10">
        <f t="shared" si="55"/>
        <v>13.8</v>
      </c>
      <c r="AA608" s="11">
        <v>0</v>
      </c>
      <c r="AB608" s="11">
        <v>-2</v>
      </c>
      <c r="AC608" s="11">
        <v>0</v>
      </c>
      <c r="AD608" s="11">
        <v>0</v>
      </c>
      <c r="AE608" s="11">
        <v>0</v>
      </c>
      <c r="AF608" s="11">
        <f t="shared" si="52"/>
        <v>0.70799999999999996</v>
      </c>
      <c r="AG608" s="11">
        <f t="shared" si="53"/>
        <v>12.508000000000001</v>
      </c>
      <c r="AH608" t="s">
        <v>51</v>
      </c>
    </row>
    <row r="609" spans="1:34" ht="15" customHeight="1" x14ac:dyDescent="0.25">
      <c r="A609">
        <v>7547676</v>
      </c>
      <c r="B609" t="s">
        <v>34</v>
      </c>
      <c r="C609" t="s">
        <v>35</v>
      </c>
      <c r="D609" s="6" t="s">
        <v>34</v>
      </c>
      <c r="E609" t="s">
        <v>1870</v>
      </c>
      <c r="F609" t="s">
        <v>37</v>
      </c>
      <c r="G609" t="s">
        <v>38</v>
      </c>
      <c r="H609" t="s">
        <v>1866</v>
      </c>
      <c r="I609" t="s">
        <v>40</v>
      </c>
      <c r="J609">
        <v>2</v>
      </c>
      <c r="K609" t="s">
        <v>41</v>
      </c>
      <c r="L609" t="s">
        <v>42</v>
      </c>
      <c r="M609" t="s">
        <v>43</v>
      </c>
      <c r="N609" s="7">
        <v>7</v>
      </c>
      <c r="O609" s="8">
        <v>45512.603784722225</v>
      </c>
      <c r="P609" s="9">
        <v>45514</v>
      </c>
      <c r="Q609" t="s">
        <v>44</v>
      </c>
      <c r="R609" t="s">
        <v>45</v>
      </c>
      <c r="S609" t="s">
        <v>46</v>
      </c>
      <c r="T609" t="s">
        <v>54</v>
      </c>
      <c r="U609" t="s">
        <v>1869</v>
      </c>
      <c r="V609">
        <v>81300</v>
      </c>
      <c r="W609" t="s">
        <v>45</v>
      </c>
      <c r="X609" t="s">
        <v>330</v>
      </c>
      <c r="Y609" t="s">
        <v>50</v>
      </c>
      <c r="Z609" s="10">
        <f t="shared" si="55"/>
        <v>13.8</v>
      </c>
      <c r="AA609" s="11">
        <v>0</v>
      </c>
      <c r="AB609" s="11">
        <v>-2</v>
      </c>
      <c r="AC609" s="11">
        <v>0</v>
      </c>
      <c r="AD609" s="11">
        <v>0</v>
      </c>
      <c r="AE609" s="11">
        <v>0</v>
      </c>
      <c r="AF609" s="11">
        <f t="shared" si="52"/>
        <v>0.70799999999999996</v>
      </c>
      <c r="AG609" s="11">
        <f t="shared" si="53"/>
        <v>12.508000000000001</v>
      </c>
      <c r="AH609" t="s">
        <v>51</v>
      </c>
    </row>
    <row r="610" spans="1:34" ht="15" customHeight="1" x14ac:dyDescent="0.25">
      <c r="A610">
        <v>7547676</v>
      </c>
      <c r="B610" t="s">
        <v>34</v>
      </c>
      <c r="C610" t="s">
        <v>35</v>
      </c>
      <c r="D610" s="6" t="s">
        <v>34</v>
      </c>
      <c r="E610" t="s">
        <v>1871</v>
      </c>
      <c r="F610" t="s">
        <v>37</v>
      </c>
      <c r="G610" t="s">
        <v>38</v>
      </c>
      <c r="H610" t="s">
        <v>1866</v>
      </c>
      <c r="I610" t="s">
        <v>40</v>
      </c>
      <c r="J610">
        <v>2</v>
      </c>
      <c r="K610" t="s">
        <v>41</v>
      </c>
      <c r="L610" t="s">
        <v>42</v>
      </c>
      <c r="M610" t="s">
        <v>43</v>
      </c>
      <c r="N610" s="7">
        <v>7</v>
      </c>
      <c r="O610" s="8">
        <v>45512.606956018521</v>
      </c>
      <c r="P610" s="9">
        <v>45514</v>
      </c>
      <c r="Q610" t="s">
        <v>44</v>
      </c>
      <c r="R610" t="s">
        <v>45</v>
      </c>
      <c r="S610" t="s">
        <v>46</v>
      </c>
      <c r="T610" t="s">
        <v>54</v>
      </c>
      <c r="U610" t="s">
        <v>1867</v>
      </c>
      <c r="V610">
        <v>81300</v>
      </c>
      <c r="W610" t="s">
        <v>45</v>
      </c>
      <c r="X610" t="s">
        <v>330</v>
      </c>
      <c r="Y610" t="s">
        <v>50</v>
      </c>
      <c r="Z610" s="10">
        <f t="shared" si="55"/>
        <v>13.8</v>
      </c>
      <c r="AA610" s="11">
        <v>0</v>
      </c>
      <c r="AB610" s="11">
        <v>-2</v>
      </c>
      <c r="AC610" s="11">
        <v>0</v>
      </c>
      <c r="AD610" s="11">
        <v>0</v>
      </c>
      <c r="AE610" s="11">
        <v>0</v>
      </c>
      <c r="AF610" s="11">
        <f t="shared" si="52"/>
        <v>0.70799999999999996</v>
      </c>
      <c r="AG610" s="11">
        <f t="shared" si="53"/>
        <v>12.508000000000001</v>
      </c>
      <c r="AH610" t="s">
        <v>51</v>
      </c>
    </row>
    <row r="611" spans="1:34" ht="15" customHeight="1" x14ac:dyDescent="0.25">
      <c r="A611">
        <v>7547676</v>
      </c>
      <c r="B611" t="s">
        <v>34</v>
      </c>
      <c r="C611" t="s">
        <v>35</v>
      </c>
      <c r="D611" s="6" t="s">
        <v>34</v>
      </c>
      <c r="E611" t="s">
        <v>1872</v>
      </c>
      <c r="F611" t="s">
        <v>37</v>
      </c>
      <c r="G611" t="s">
        <v>38</v>
      </c>
      <c r="H611" t="s">
        <v>1866</v>
      </c>
      <c r="I611" t="s">
        <v>40</v>
      </c>
      <c r="J611">
        <v>2</v>
      </c>
      <c r="K611" t="s">
        <v>41</v>
      </c>
      <c r="L611" t="s">
        <v>42</v>
      </c>
      <c r="M611" t="s">
        <v>43</v>
      </c>
      <c r="N611" s="7">
        <v>7</v>
      </c>
      <c r="O611" s="8">
        <v>45512.60119212963</v>
      </c>
      <c r="P611" s="9">
        <v>45514</v>
      </c>
      <c r="Q611" t="s">
        <v>44</v>
      </c>
      <c r="R611" t="s">
        <v>45</v>
      </c>
      <c r="S611" t="s">
        <v>46</v>
      </c>
      <c r="T611" t="s">
        <v>54</v>
      </c>
      <c r="U611" t="s">
        <v>1869</v>
      </c>
      <c r="V611">
        <v>81300</v>
      </c>
      <c r="W611" t="s">
        <v>45</v>
      </c>
      <c r="X611" t="s">
        <v>330</v>
      </c>
      <c r="Y611" t="s">
        <v>50</v>
      </c>
      <c r="Z611" s="10">
        <f t="shared" si="55"/>
        <v>13.8</v>
      </c>
      <c r="AA611" s="11">
        <v>0</v>
      </c>
      <c r="AB611" s="11">
        <v>-2</v>
      </c>
      <c r="AC611" s="11">
        <v>0</v>
      </c>
      <c r="AD611" s="11">
        <v>0</v>
      </c>
      <c r="AE611" s="11">
        <v>0</v>
      </c>
      <c r="AF611" s="11">
        <f t="shared" si="52"/>
        <v>0.70799999999999996</v>
      </c>
      <c r="AG611" s="11">
        <f t="shared" si="53"/>
        <v>12.508000000000001</v>
      </c>
      <c r="AH611" t="s">
        <v>51</v>
      </c>
    </row>
    <row r="612" spans="1:34" ht="15" customHeight="1" x14ac:dyDescent="0.25">
      <c r="A612">
        <v>7547676</v>
      </c>
      <c r="B612" t="s">
        <v>34</v>
      </c>
      <c r="C612" t="s">
        <v>35</v>
      </c>
      <c r="D612" s="6" t="s">
        <v>34</v>
      </c>
      <c r="E612" t="s">
        <v>1873</v>
      </c>
      <c r="F612" t="s">
        <v>37</v>
      </c>
      <c r="G612" t="s">
        <v>38</v>
      </c>
      <c r="H612" t="s">
        <v>1866</v>
      </c>
      <c r="I612" t="s">
        <v>40</v>
      </c>
      <c r="J612">
        <v>2</v>
      </c>
      <c r="K612" t="s">
        <v>41</v>
      </c>
      <c r="L612" t="s">
        <v>42</v>
      </c>
      <c r="M612" t="s">
        <v>43</v>
      </c>
      <c r="N612" s="7">
        <v>7</v>
      </c>
      <c r="O612" s="8">
        <v>45512.603796296295</v>
      </c>
      <c r="P612" s="9">
        <v>45514</v>
      </c>
      <c r="Q612" t="s">
        <v>44</v>
      </c>
      <c r="R612" t="s">
        <v>45</v>
      </c>
      <c r="S612" t="s">
        <v>46</v>
      </c>
      <c r="T612" t="s">
        <v>54</v>
      </c>
      <c r="U612" t="s">
        <v>1869</v>
      </c>
      <c r="V612">
        <v>81300</v>
      </c>
      <c r="W612" t="s">
        <v>45</v>
      </c>
      <c r="X612" t="s">
        <v>330</v>
      </c>
      <c r="Y612" t="s">
        <v>50</v>
      </c>
      <c r="Z612" s="10">
        <f t="shared" si="55"/>
        <v>13.8</v>
      </c>
      <c r="AA612" s="11">
        <v>0</v>
      </c>
      <c r="AB612" s="11">
        <v>-2</v>
      </c>
      <c r="AC612" s="11">
        <v>0</v>
      </c>
      <c r="AD612" s="11">
        <v>0</v>
      </c>
      <c r="AE612" s="11">
        <v>0</v>
      </c>
      <c r="AF612" s="11">
        <f t="shared" si="52"/>
        <v>0.70799999999999996</v>
      </c>
      <c r="AG612" s="11">
        <f t="shared" si="53"/>
        <v>12.508000000000001</v>
      </c>
      <c r="AH612" t="s">
        <v>51</v>
      </c>
    </row>
    <row r="613" spans="1:34" ht="15" customHeight="1" x14ac:dyDescent="0.25">
      <c r="A613">
        <v>7547676</v>
      </c>
      <c r="B613" t="s">
        <v>34</v>
      </c>
      <c r="C613" t="s">
        <v>35</v>
      </c>
      <c r="D613" s="6" t="s">
        <v>34</v>
      </c>
      <c r="E613" t="s">
        <v>1874</v>
      </c>
      <c r="F613" t="s">
        <v>37</v>
      </c>
      <c r="G613" t="s">
        <v>38</v>
      </c>
      <c r="H613" t="s">
        <v>1866</v>
      </c>
      <c r="I613" t="s">
        <v>40</v>
      </c>
      <c r="J613">
        <v>2</v>
      </c>
      <c r="K613" t="s">
        <v>41</v>
      </c>
      <c r="L613" t="s">
        <v>42</v>
      </c>
      <c r="M613" t="s">
        <v>43</v>
      </c>
      <c r="N613" s="7">
        <v>7</v>
      </c>
      <c r="O613" s="8">
        <v>45512.606956018521</v>
      </c>
      <c r="P613" s="9">
        <v>45514</v>
      </c>
      <c r="Q613" t="s">
        <v>44</v>
      </c>
      <c r="R613" t="s">
        <v>45</v>
      </c>
      <c r="S613" t="s">
        <v>46</v>
      </c>
      <c r="T613" t="s">
        <v>54</v>
      </c>
      <c r="U613" t="s">
        <v>1867</v>
      </c>
      <c r="V613">
        <v>81300</v>
      </c>
      <c r="W613" t="s">
        <v>45</v>
      </c>
      <c r="X613" t="s">
        <v>330</v>
      </c>
      <c r="Y613" t="s">
        <v>50</v>
      </c>
      <c r="Z613" s="10">
        <f t="shared" si="55"/>
        <v>13.8</v>
      </c>
      <c r="AA613" s="11">
        <v>0</v>
      </c>
      <c r="AB613" s="11">
        <v>-2</v>
      </c>
      <c r="AC613" s="11">
        <v>0</v>
      </c>
      <c r="AD613" s="11">
        <v>0</v>
      </c>
      <c r="AE613" s="11">
        <v>0</v>
      </c>
      <c r="AF613" s="11">
        <f t="shared" si="52"/>
        <v>0.70799999999999996</v>
      </c>
      <c r="AG613" s="11">
        <f t="shared" si="53"/>
        <v>12.508000000000001</v>
      </c>
      <c r="AH613" t="s">
        <v>51</v>
      </c>
    </row>
    <row r="614" spans="1:34" ht="15" customHeight="1" x14ac:dyDescent="0.25">
      <c r="A614">
        <v>7547676</v>
      </c>
      <c r="B614" t="s">
        <v>34</v>
      </c>
      <c r="C614" t="s">
        <v>35</v>
      </c>
      <c r="D614" s="6" t="s">
        <v>34</v>
      </c>
      <c r="E614" t="s">
        <v>1875</v>
      </c>
      <c r="F614" t="s">
        <v>37</v>
      </c>
      <c r="G614" t="s">
        <v>38</v>
      </c>
      <c r="H614" t="s">
        <v>1876</v>
      </c>
      <c r="I614" t="s">
        <v>40</v>
      </c>
      <c r="J614">
        <v>2</v>
      </c>
      <c r="K614" t="s">
        <v>41</v>
      </c>
      <c r="L614" t="s">
        <v>42</v>
      </c>
      <c r="M614" t="s">
        <v>43</v>
      </c>
      <c r="N614" s="7">
        <v>1</v>
      </c>
      <c r="O614" s="8">
        <v>45511.737222222226</v>
      </c>
      <c r="P614" s="9">
        <v>45514</v>
      </c>
      <c r="Q614" t="s">
        <v>44</v>
      </c>
      <c r="R614" t="s">
        <v>45</v>
      </c>
      <c r="S614" t="s">
        <v>46</v>
      </c>
      <c r="T614" t="s">
        <v>54</v>
      </c>
      <c r="U614" t="s">
        <v>1877</v>
      </c>
      <c r="V614">
        <v>80990</v>
      </c>
      <c r="W614" t="s">
        <v>45</v>
      </c>
      <c r="X614" t="s">
        <v>1878</v>
      </c>
      <c r="Y614" t="s">
        <v>50</v>
      </c>
      <c r="Z614" s="10">
        <f t="shared" si="55"/>
        <v>9</v>
      </c>
      <c r="AA614" s="11">
        <v>0</v>
      </c>
      <c r="AB614" s="11">
        <v>-2</v>
      </c>
      <c r="AC614" s="11">
        <v>0</v>
      </c>
      <c r="AD614" s="11">
        <v>0</v>
      </c>
      <c r="AE614" s="11">
        <v>0</v>
      </c>
      <c r="AF614" s="11">
        <f t="shared" si="52"/>
        <v>0.42</v>
      </c>
      <c r="AG614" s="11">
        <f t="shared" si="53"/>
        <v>7.42</v>
      </c>
      <c r="AH614" t="s">
        <v>51</v>
      </c>
    </row>
    <row r="615" spans="1:34" ht="15" customHeight="1" x14ac:dyDescent="0.25">
      <c r="A615">
        <v>7547676</v>
      </c>
      <c r="B615" t="s">
        <v>34</v>
      </c>
      <c r="C615" t="s">
        <v>35</v>
      </c>
      <c r="D615" s="6" t="s">
        <v>34</v>
      </c>
      <c r="E615" t="s">
        <v>1879</v>
      </c>
      <c r="F615" t="s">
        <v>37</v>
      </c>
      <c r="G615" t="s">
        <v>38</v>
      </c>
      <c r="H615" t="s">
        <v>1866</v>
      </c>
      <c r="I615" t="s">
        <v>40</v>
      </c>
      <c r="J615">
        <v>2</v>
      </c>
      <c r="K615" t="s">
        <v>41</v>
      </c>
      <c r="L615" t="s">
        <v>42</v>
      </c>
      <c r="M615" t="s">
        <v>43</v>
      </c>
      <c r="N615" s="7">
        <v>7</v>
      </c>
      <c r="O615" s="8">
        <v>45512.606944444444</v>
      </c>
      <c r="P615" s="9">
        <v>45514</v>
      </c>
      <c r="Q615" t="s">
        <v>44</v>
      </c>
      <c r="R615" t="s">
        <v>45</v>
      </c>
      <c r="S615" t="s">
        <v>46</v>
      </c>
      <c r="T615" t="s">
        <v>54</v>
      </c>
      <c r="U615" t="s">
        <v>1869</v>
      </c>
      <c r="V615">
        <v>81300</v>
      </c>
      <c r="W615" t="s">
        <v>45</v>
      </c>
      <c r="X615" t="s">
        <v>330</v>
      </c>
      <c r="Y615" t="s">
        <v>50</v>
      </c>
      <c r="Z615" s="10">
        <f t="shared" si="55"/>
        <v>13.8</v>
      </c>
      <c r="AA615" s="11">
        <v>0</v>
      </c>
      <c r="AB615" s="11">
        <v>-2</v>
      </c>
      <c r="AC615" s="11">
        <v>0</v>
      </c>
      <c r="AD615" s="11">
        <v>0</v>
      </c>
      <c r="AE615" s="11">
        <v>0</v>
      </c>
      <c r="AF615" s="11">
        <f t="shared" si="52"/>
        <v>0.70799999999999996</v>
      </c>
      <c r="AG615" s="11">
        <f t="shared" si="53"/>
        <v>12.508000000000001</v>
      </c>
      <c r="AH615" t="s">
        <v>51</v>
      </c>
    </row>
    <row r="616" spans="1:34" ht="15" customHeight="1" x14ac:dyDescent="0.25">
      <c r="A616">
        <v>7547676</v>
      </c>
      <c r="B616" t="s">
        <v>34</v>
      </c>
      <c r="C616" t="s">
        <v>35</v>
      </c>
      <c r="D616" s="6" t="s">
        <v>34</v>
      </c>
      <c r="E616" t="s">
        <v>1880</v>
      </c>
      <c r="F616" t="s">
        <v>37</v>
      </c>
      <c r="G616" t="s">
        <v>38</v>
      </c>
      <c r="H616" t="s">
        <v>1866</v>
      </c>
      <c r="I616" t="s">
        <v>40</v>
      </c>
      <c r="J616">
        <v>2</v>
      </c>
      <c r="K616" t="s">
        <v>41</v>
      </c>
      <c r="L616" t="s">
        <v>42</v>
      </c>
      <c r="M616" t="s">
        <v>43</v>
      </c>
      <c r="N616" s="7">
        <v>7</v>
      </c>
      <c r="O616" s="8">
        <v>45512.60119212963</v>
      </c>
      <c r="P616" s="9">
        <v>45514</v>
      </c>
      <c r="Q616" t="s">
        <v>44</v>
      </c>
      <c r="R616" t="s">
        <v>45</v>
      </c>
      <c r="S616" t="s">
        <v>46</v>
      </c>
      <c r="T616" t="s">
        <v>54</v>
      </c>
      <c r="U616" t="s">
        <v>1869</v>
      </c>
      <c r="V616">
        <v>81300</v>
      </c>
      <c r="W616" t="s">
        <v>45</v>
      </c>
      <c r="X616" t="s">
        <v>330</v>
      </c>
      <c r="Y616" t="s">
        <v>50</v>
      </c>
      <c r="Z616" s="10">
        <f t="shared" si="55"/>
        <v>13.8</v>
      </c>
      <c r="AA616" s="11">
        <v>0</v>
      </c>
      <c r="AB616" s="11">
        <v>-2</v>
      </c>
      <c r="AC616" s="11">
        <v>0</v>
      </c>
      <c r="AD616" s="11">
        <v>0</v>
      </c>
      <c r="AE616" s="11">
        <v>0</v>
      </c>
      <c r="AF616" s="11">
        <f t="shared" si="52"/>
        <v>0.70799999999999996</v>
      </c>
      <c r="AG616" s="11">
        <f t="shared" si="53"/>
        <v>12.508000000000001</v>
      </c>
      <c r="AH616" t="s">
        <v>51</v>
      </c>
    </row>
    <row r="617" spans="1:34" ht="15" customHeight="1" x14ac:dyDescent="0.25">
      <c r="A617">
        <v>7547676</v>
      </c>
      <c r="B617" t="s">
        <v>34</v>
      </c>
      <c r="C617" t="s">
        <v>35</v>
      </c>
      <c r="D617" s="6" t="s">
        <v>34</v>
      </c>
      <c r="E617" t="s">
        <v>1881</v>
      </c>
      <c r="F617" t="s">
        <v>37</v>
      </c>
      <c r="G617" t="s">
        <v>38</v>
      </c>
      <c r="H617" t="s">
        <v>1866</v>
      </c>
      <c r="I617" t="s">
        <v>40</v>
      </c>
      <c r="J617">
        <v>2</v>
      </c>
      <c r="K617" t="s">
        <v>41</v>
      </c>
      <c r="L617" t="s">
        <v>42</v>
      </c>
      <c r="M617" t="s">
        <v>43</v>
      </c>
      <c r="N617" s="7">
        <v>7</v>
      </c>
      <c r="O617" s="8">
        <v>45512.603796296295</v>
      </c>
      <c r="P617" s="9">
        <v>45514</v>
      </c>
      <c r="Q617" t="s">
        <v>44</v>
      </c>
      <c r="R617" t="s">
        <v>45</v>
      </c>
      <c r="S617" t="s">
        <v>46</v>
      </c>
      <c r="T617" t="s">
        <v>54</v>
      </c>
      <c r="U617" t="s">
        <v>1867</v>
      </c>
      <c r="V617">
        <v>81300</v>
      </c>
      <c r="W617" t="s">
        <v>45</v>
      </c>
      <c r="X617" t="s">
        <v>330</v>
      </c>
      <c r="Y617" t="s">
        <v>50</v>
      </c>
      <c r="Z617" s="10">
        <f t="shared" si="55"/>
        <v>13.8</v>
      </c>
      <c r="AA617" s="11">
        <v>0</v>
      </c>
      <c r="AB617" s="11">
        <v>-2</v>
      </c>
      <c r="AC617" s="11">
        <v>0</v>
      </c>
      <c r="AD617" s="11">
        <v>0</v>
      </c>
      <c r="AE617" s="11">
        <v>0</v>
      </c>
      <c r="AF617" s="11">
        <f t="shared" si="52"/>
        <v>0.70799999999999996</v>
      </c>
      <c r="AG617" s="11">
        <f t="shared" si="53"/>
        <v>12.508000000000001</v>
      </c>
      <c r="AH617" t="s">
        <v>51</v>
      </c>
    </row>
    <row r="618" spans="1:34" ht="15" customHeight="1" x14ac:dyDescent="0.25">
      <c r="A618">
        <v>7547676</v>
      </c>
      <c r="B618" t="s">
        <v>34</v>
      </c>
      <c r="C618" t="s">
        <v>35</v>
      </c>
      <c r="D618" s="6" t="s">
        <v>34</v>
      </c>
      <c r="E618" t="s">
        <v>1882</v>
      </c>
      <c r="F618" t="s">
        <v>37</v>
      </c>
      <c r="G618" t="s">
        <v>38</v>
      </c>
      <c r="H618" t="s">
        <v>1866</v>
      </c>
      <c r="I618" t="s">
        <v>40</v>
      </c>
      <c r="J618">
        <v>2</v>
      </c>
      <c r="K618" t="s">
        <v>41</v>
      </c>
      <c r="L618" t="s">
        <v>42</v>
      </c>
      <c r="M618" t="s">
        <v>43</v>
      </c>
      <c r="N618" s="7">
        <v>7</v>
      </c>
      <c r="O618" s="8">
        <v>45512.60119212963</v>
      </c>
      <c r="P618" s="9">
        <v>45514</v>
      </c>
      <c r="Q618" t="s">
        <v>44</v>
      </c>
      <c r="R618" t="s">
        <v>45</v>
      </c>
      <c r="S618" t="s">
        <v>46</v>
      </c>
      <c r="T618" t="s">
        <v>54</v>
      </c>
      <c r="U618" t="s">
        <v>1869</v>
      </c>
      <c r="V618">
        <v>81300</v>
      </c>
      <c r="W618" t="s">
        <v>45</v>
      </c>
      <c r="X618" t="s">
        <v>1683</v>
      </c>
      <c r="Y618" t="s">
        <v>50</v>
      </c>
      <c r="Z618" s="10">
        <f t="shared" si="55"/>
        <v>13.8</v>
      </c>
      <c r="AA618" s="11">
        <v>0</v>
      </c>
      <c r="AB618" s="11">
        <v>-2</v>
      </c>
      <c r="AC618" s="11">
        <v>0</v>
      </c>
      <c r="AD618" s="11">
        <v>0</v>
      </c>
      <c r="AE618" s="11">
        <v>0</v>
      </c>
      <c r="AF618" s="11">
        <f t="shared" si="52"/>
        <v>0.70799999999999996</v>
      </c>
      <c r="AG618" s="11">
        <f t="shared" si="53"/>
        <v>12.508000000000001</v>
      </c>
      <c r="AH618" t="s">
        <v>51</v>
      </c>
    </row>
    <row r="619" spans="1:34" ht="15" customHeight="1" x14ac:dyDescent="0.25">
      <c r="A619">
        <v>7547676</v>
      </c>
      <c r="B619" t="s">
        <v>34</v>
      </c>
      <c r="C619" t="s">
        <v>35</v>
      </c>
      <c r="D619" s="6" t="s">
        <v>34</v>
      </c>
      <c r="E619" t="s">
        <v>1883</v>
      </c>
      <c r="F619" t="s">
        <v>37</v>
      </c>
      <c r="G619" t="s">
        <v>38</v>
      </c>
      <c r="H619" t="s">
        <v>1866</v>
      </c>
      <c r="I619" t="s">
        <v>40</v>
      </c>
      <c r="J619">
        <v>2</v>
      </c>
      <c r="K619" t="s">
        <v>41</v>
      </c>
      <c r="L619" t="s">
        <v>42</v>
      </c>
      <c r="M619" t="s">
        <v>43</v>
      </c>
      <c r="N619" s="7">
        <v>7</v>
      </c>
      <c r="O619" s="8">
        <v>45512.60119212963</v>
      </c>
      <c r="P619" s="9">
        <v>45514</v>
      </c>
      <c r="Q619" t="s">
        <v>44</v>
      </c>
      <c r="R619" t="s">
        <v>45</v>
      </c>
      <c r="S619" t="s">
        <v>46</v>
      </c>
      <c r="T619" t="s">
        <v>54</v>
      </c>
      <c r="U619" t="s">
        <v>1869</v>
      </c>
      <c r="V619">
        <v>81300</v>
      </c>
      <c r="W619" t="s">
        <v>45</v>
      </c>
      <c r="X619" t="s">
        <v>330</v>
      </c>
      <c r="Y619" t="s">
        <v>50</v>
      </c>
      <c r="Z619" s="10">
        <f t="shared" si="55"/>
        <v>13.8</v>
      </c>
      <c r="AA619" s="11">
        <v>0</v>
      </c>
      <c r="AB619" s="11">
        <v>-2</v>
      </c>
      <c r="AC619" s="11">
        <v>0</v>
      </c>
      <c r="AD619" s="11">
        <v>0</v>
      </c>
      <c r="AE619" s="11">
        <v>0</v>
      </c>
      <c r="AF619" s="11">
        <f t="shared" si="52"/>
        <v>0.70799999999999996</v>
      </c>
      <c r="AG619" s="11">
        <f t="shared" si="53"/>
        <v>12.508000000000001</v>
      </c>
      <c r="AH619" t="s">
        <v>51</v>
      </c>
    </row>
    <row r="620" spans="1:34" ht="15" customHeight="1" x14ac:dyDescent="0.25">
      <c r="A620">
        <v>7547676</v>
      </c>
      <c r="B620" t="s">
        <v>34</v>
      </c>
      <c r="C620" t="s">
        <v>35</v>
      </c>
      <c r="D620" s="6" t="s">
        <v>34</v>
      </c>
      <c r="E620" t="s">
        <v>1884</v>
      </c>
      <c r="F620" t="s">
        <v>37</v>
      </c>
      <c r="G620" t="s">
        <v>38</v>
      </c>
      <c r="H620" t="s">
        <v>1866</v>
      </c>
      <c r="I620" t="s">
        <v>40</v>
      </c>
      <c r="J620">
        <v>2</v>
      </c>
      <c r="K620" t="s">
        <v>41</v>
      </c>
      <c r="L620" t="s">
        <v>42</v>
      </c>
      <c r="M620" t="s">
        <v>43</v>
      </c>
      <c r="N620" s="7">
        <v>7</v>
      </c>
      <c r="O620" s="8">
        <v>45512.60119212963</v>
      </c>
      <c r="P620" s="9">
        <v>45514</v>
      </c>
      <c r="Q620" t="s">
        <v>44</v>
      </c>
      <c r="R620" t="s">
        <v>45</v>
      </c>
      <c r="S620" t="s">
        <v>46</v>
      </c>
      <c r="T620" t="s">
        <v>54</v>
      </c>
      <c r="U620" t="s">
        <v>1869</v>
      </c>
      <c r="V620">
        <v>81300</v>
      </c>
      <c r="W620" t="s">
        <v>45</v>
      </c>
      <c r="X620" t="s">
        <v>330</v>
      </c>
      <c r="Y620" t="s">
        <v>50</v>
      </c>
      <c r="Z620" s="10">
        <f t="shared" si="55"/>
        <v>13.8</v>
      </c>
      <c r="AA620" s="11">
        <v>0</v>
      </c>
      <c r="AB620" s="11">
        <v>-2</v>
      </c>
      <c r="AC620" s="11">
        <v>0</v>
      </c>
      <c r="AD620" s="11">
        <v>0</v>
      </c>
      <c r="AE620" s="11">
        <v>0</v>
      </c>
      <c r="AF620" s="11">
        <f t="shared" si="52"/>
        <v>0.70799999999999996</v>
      </c>
      <c r="AG620" s="11">
        <f t="shared" si="53"/>
        <v>12.508000000000001</v>
      </c>
      <c r="AH620" t="s">
        <v>51</v>
      </c>
    </row>
    <row r="621" spans="1:34" ht="15" customHeight="1" x14ac:dyDescent="0.25">
      <c r="A621">
        <v>7547676</v>
      </c>
      <c r="B621" t="s">
        <v>34</v>
      </c>
      <c r="C621" t="s">
        <v>35</v>
      </c>
      <c r="D621" s="6" t="s">
        <v>34</v>
      </c>
      <c r="E621" t="s">
        <v>1885</v>
      </c>
      <c r="F621" t="s">
        <v>37</v>
      </c>
      <c r="G621" t="s">
        <v>38</v>
      </c>
      <c r="H621" t="s">
        <v>1866</v>
      </c>
      <c r="I621" t="s">
        <v>40</v>
      </c>
      <c r="J621">
        <v>2</v>
      </c>
      <c r="K621" t="s">
        <v>41</v>
      </c>
      <c r="L621" t="s">
        <v>42</v>
      </c>
      <c r="M621" t="s">
        <v>43</v>
      </c>
      <c r="N621" s="7">
        <v>7</v>
      </c>
      <c r="O621" s="8">
        <v>45512.603796296295</v>
      </c>
      <c r="P621" s="9">
        <v>45514</v>
      </c>
      <c r="Q621" t="s">
        <v>44</v>
      </c>
      <c r="R621" t="s">
        <v>45</v>
      </c>
      <c r="S621" t="s">
        <v>46</v>
      </c>
      <c r="T621" t="s">
        <v>54</v>
      </c>
      <c r="U621" t="s">
        <v>1869</v>
      </c>
      <c r="V621">
        <v>81300</v>
      </c>
      <c r="W621" t="s">
        <v>45</v>
      </c>
      <c r="X621" t="s">
        <v>330</v>
      </c>
      <c r="Y621" t="s">
        <v>50</v>
      </c>
      <c r="Z621" s="10">
        <f t="shared" si="55"/>
        <v>13.8</v>
      </c>
      <c r="AA621" s="11">
        <v>0</v>
      </c>
      <c r="AB621" s="11">
        <v>-2</v>
      </c>
      <c r="AC621" s="11">
        <v>0</v>
      </c>
      <c r="AD621" s="11">
        <v>0</v>
      </c>
      <c r="AE621" s="11">
        <v>0</v>
      </c>
      <c r="AF621" s="11">
        <f t="shared" si="52"/>
        <v>0.70799999999999996</v>
      </c>
      <c r="AG621" s="11">
        <f t="shared" si="53"/>
        <v>12.508000000000001</v>
      </c>
      <c r="AH621" t="s">
        <v>51</v>
      </c>
    </row>
    <row r="622" spans="1:34" ht="15" customHeight="1" x14ac:dyDescent="0.25">
      <c r="A622">
        <v>7547676</v>
      </c>
      <c r="B622" t="s">
        <v>34</v>
      </c>
      <c r="C622" t="s">
        <v>35</v>
      </c>
      <c r="D622" s="6" t="s">
        <v>34</v>
      </c>
      <c r="E622" t="s">
        <v>1886</v>
      </c>
      <c r="F622" t="s">
        <v>37</v>
      </c>
      <c r="G622" t="s">
        <v>38</v>
      </c>
      <c r="H622" t="s">
        <v>1866</v>
      </c>
      <c r="I622" t="s">
        <v>40</v>
      </c>
      <c r="J622">
        <v>2</v>
      </c>
      <c r="K622" t="s">
        <v>41</v>
      </c>
      <c r="L622" t="s">
        <v>42</v>
      </c>
      <c r="M622" t="s">
        <v>43</v>
      </c>
      <c r="N622" s="7">
        <v>7</v>
      </c>
      <c r="O622" s="8">
        <v>45512.606944444444</v>
      </c>
      <c r="P622" s="9">
        <v>45514</v>
      </c>
      <c r="Q622" t="s">
        <v>44</v>
      </c>
      <c r="R622" t="s">
        <v>45</v>
      </c>
      <c r="S622" t="s">
        <v>46</v>
      </c>
      <c r="T622" t="s">
        <v>54</v>
      </c>
      <c r="U622" t="s">
        <v>1869</v>
      </c>
      <c r="V622">
        <v>81300</v>
      </c>
      <c r="W622" t="s">
        <v>45</v>
      </c>
      <c r="X622" t="s">
        <v>330</v>
      </c>
      <c r="Y622" t="s">
        <v>50</v>
      </c>
      <c r="Z622" s="10">
        <f t="shared" si="55"/>
        <v>13.8</v>
      </c>
      <c r="AA622" s="11">
        <v>0</v>
      </c>
      <c r="AB622" s="11">
        <v>-2</v>
      </c>
      <c r="AC622" s="11">
        <v>0</v>
      </c>
      <c r="AD622" s="11">
        <v>0</v>
      </c>
      <c r="AE622" s="11">
        <v>0</v>
      </c>
      <c r="AF622" s="11">
        <f t="shared" si="52"/>
        <v>0.70799999999999996</v>
      </c>
      <c r="AG622" s="11">
        <f t="shared" si="53"/>
        <v>12.508000000000001</v>
      </c>
      <c r="AH622" t="s">
        <v>51</v>
      </c>
    </row>
    <row r="623" spans="1:34" ht="15" customHeight="1" x14ac:dyDescent="0.25">
      <c r="A623">
        <v>7547676</v>
      </c>
      <c r="B623" t="s">
        <v>34</v>
      </c>
      <c r="C623" t="s">
        <v>35</v>
      </c>
      <c r="D623" s="6" t="s">
        <v>34</v>
      </c>
      <c r="E623" t="s">
        <v>1887</v>
      </c>
      <c r="F623" t="s">
        <v>37</v>
      </c>
      <c r="G623" t="s">
        <v>38</v>
      </c>
      <c r="H623" t="s">
        <v>1888</v>
      </c>
      <c r="I623" t="s">
        <v>40</v>
      </c>
      <c r="J623">
        <v>2</v>
      </c>
      <c r="K623" t="s">
        <v>41</v>
      </c>
      <c r="L623" t="s">
        <v>42</v>
      </c>
      <c r="M623" t="s">
        <v>43</v>
      </c>
      <c r="N623" s="7">
        <v>1</v>
      </c>
      <c r="O623" s="8">
        <v>45512.61204861111</v>
      </c>
      <c r="P623" s="9">
        <v>45514</v>
      </c>
      <c r="Q623" t="s">
        <v>44</v>
      </c>
      <c r="R623" t="s">
        <v>45</v>
      </c>
      <c r="S623" t="s">
        <v>46</v>
      </c>
      <c r="T623" t="s">
        <v>92</v>
      </c>
      <c r="U623" t="s">
        <v>1889</v>
      </c>
      <c r="V623">
        <v>43800</v>
      </c>
      <c r="W623" t="s">
        <v>45</v>
      </c>
      <c r="X623" t="s">
        <v>69</v>
      </c>
      <c r="Y623" t="s">
        <v>50</v>
      </c>
      <c r="Z623" s="10">
        <f t="shared" si="55"/>
        <v>9</v>
      </c>
      <c r="AA623" s="11">
        <v>0</v>
      </c>
      <c r="AB623" s="11">
        <v>-2</v>
      </c>
      <c r="AC623" s="11">
        <v>0</v>
      </c>
      <c r="AD623" s="11">
        <v>0</v>
      </c>
      <c r="AE623" s="11">
        <v>0</v>
      </c>
      <c r="AF623" s="11">
        <f t="shared" si="52"/>
        <v>0.42</v>
      </c>
      <c r="AG623" s="11">
        <f t="shared" si="53"/>
        <v>7.42</v>
      </c>
      <c r="AH623" t="s">
        <v>51</v>
      </c>
    </row>
    <row r="624" spans="1:34" ht="15" customHeight="1" x14ac:dyDescent="0.25">
      <c r="A624">
        <v>7547676</v>
      </c>
      <c r="B624" t="s">
        <v>34</v>
      </c>
      <c r="C624" t="s">
        <v>35</v>
      </c>
      <c r="D624" s="6" t="s">
        <v>34</v>
      </c>
      <c r="E624" t="s">
        <v>1890</v>
      </c>
      <c r="F624" t="s">
        <v>37</v>
      </c>
      <c r="G624" t="s">
        <v>38</v>
      </c>
      <c r="H624" t="s">
        <v>1891</v>
      </c>
      <c r="I624" t="s">
        <v>40</v>
      </c>
      <c r="J624">
        <v>2</v>
      </c>
      <c r="K624" t="s">
        <v>41</v>
      </c>
      <c r="L624" t="s">
        <v>42</v>
      </c>
      <c r="M624" t="s">
        <v>43</v>
      </c>
      <c r="N624" s="7">
        <v>1</v>
      </c>
      <c r="O624" s="8">
        <v>45512.856168981481</v>
      </c>
      <c r="P624" s="9">
        <v>45514</v>
      </c>
      <c r="Q624" t="s">
        <v>386</v>
      </c>
      <c r="R624" t="s">
        <v>45</v>
      </c>
      <c r="S624" t="s">
        <v>46</v>
      </c>
      <c r="T624" t="s">
        <v>223</v>
      </c>
      <c r="U624" t="s">
        <v>1892</v>
      </c>
      <c r="V624">
        <v>26060</v>
      </c>
      <c r="W624" t="s">
        <v>45</v>
      </c>
      <c r="X624" t="s">
        <v>74</v>
      </c>
      <c r="Y624" t="s">
        <v>50</v>
      </c>
      <c r="Z624" s="10">
        <f t="shared" si="55"/>
        <v>9</v>
      </c>
      <c r="AA624" s="11">
        <v>0</v>
      </c>
      <c r="AB624" s="11">
        <v>-2</v>
      </c>
      <c r="AC624" s="11">
        <v>0</v>
      </c>
      <c r="AD624" s="11">
        <v>0</v>
      </c>
      <c r="AE624" s="11">
        <v>0</v>
      </c>
      <c r="AF624" s="11">
        <f t="shared" si="52"/>
        <v>0.42</v>
      </c>
      <c r="AG624" s="11">
        <f t="shared" si="53"/>
        <v>7.42</v>
      </c>
      <c r="AH624" t="s">
        <v>51</v>
      </c>
    </row>
    <row r="625" spans="1:34" ht="15" customHeight="1" x14ac:dyDescent="0.25">
      <c r="A625">
        <v>7547676</v>
      </c>
      <c r="B625" t="s">
        <v>34</v>
      </c>
      <c r="C625" t="s">
        <v>35</v>
      </c>
      <c r="D625" s="6" t="s">
        <v>34</v>
      </c>
      <c r="E625" t="s">
        <v>1893</v>
      </c>
      <c r="F625" t="s">
        <v>37</v>
      </c>
      <c r="G625" t="s">
        <v>38</v>
      </c>
      <c r="H625" t="s">
        <v>1894</v>
      </c>
      <c r="I625" t="s">
        <v>40</v>
      </c>
      <c r="J625">
        <v>2</v>
      </c>
      <c r="K625" t="s">
        <v>41</v>
      </c>
      <c r="L625" t="s">
        <v>42</v>
      </c>
      <c r="M625" t="s">
        <v>43</v>
      </c>
      <c r="N625" s="7">
        <v>1</v>
      </c>
      <c r="O625" s="8">
        <v>45512.856168981481</v>
      </c>
      <c r="P625" s="9">
        <v>45514</v>
      </c>
      <c r="Q625" t="s">
        <v>386</v>
      </c>
      <c r="R625" t="s">
        <v>45</v>
      </c>
      <c r="S625" t="s">
        <v>46</v>
      </c>
      <c r="T625" t="s">
        <v>84</v>
      </c>
      <c r="U625" t="s">
        <v>1895</v>
      </c>
      <c r="V625">
        <v>18200</v>
      </c>
      <c r="W625" t="s">
        <v>45</v>
      </c>
      <c r="X625" t="s">
        <v>74</v>
      </c>
      <c r="Y625" t="s">
        <v>50</v>
      </c>
      <c r="Z625" s="10">
        <f t="shared" si="55"/>
        <v>9</v>
      </c>
      <c r="AA625" s="11">
        <v>0</v>
      </c>
      <c r="AB625" s="11">
        <v>-2</v>
      </c>
      <c r="AC625" s="11">
        <v>0</v>
      </c>
      <c r="AD625" s="11">
        <v>0</v>
      </c>
      <c r="AE625" s="11">
        <v>0</v>
      </c>
      <c r="AF625" s="11">
        <f t="shared" si="52"/>
        <v>0.42</v>
      </c>
      <c r="AG625" s="11">
        <f t="shared" si="53"/>
        <v>7.42</v>
      </c>
      <c r="AH625" t="s">
        <v>51</v>
      </c>
    </row>
    <row r="626" spans="1:34" ht="15" customHeight="1" x14ac:dyDescent="0.25">
      <c r="A626">
        <v>7547676</v>
      </c>
      <c r="B626" t="s">
        <v>34</v>
      </c>
      <c r="C626" t="s">
        <v>35</v>
      </c>
      <c r="D626" s="6" t="s">
        <v>34</v>
      </c>
      <c r="E626" t="s">
        <v>1896</v>
      </c>
      <c r="F626" t="s">
        <v>37</v>
      </c>
      <c r="G626" t="s">
        <v>38</v>
      </c>
      <c r="H626" t="s">
        <v>1897</v>
      </c>
      <c r="I626" t="s">
        <v>40</v>
      </c>
      <c r="J626">
        <v>2</v>
      </c>
      <c r="K626" t="s">
        <v>41</v>
      </c>
      <c r="L626" t="s">
        <v>42</v>
      </c>
      <c r="M626" t="s">
        <v>43</v>
      </c>
      <c r="N626" s="7">
        <v>1</v>
      </c>
      <c r="O626" s="8">
        <v>45512.881851851853</v>
      </c>
      <c r="P626" s="9">
        <v>45515</v>
      </c>
      <c r="Q626" t="s">
        <v>1898</v>
      </c>
      <c r="R626" t="s">
        <v>45</v>
      </c>
      <c r="S626" t="s">
        <v>46</v>
      </c>
      <c r="T626" t="s">
        <v>54</v>
      </c>
      <c r="U626" t="s">
        <v>1899</v>
      </c>
      <c r="V626">
        <v>83010</v>
      </c>
      <c r="W626" t="s">
        <v>45</v>
      </c>
      <c r="X626" t="s">
        <v>1254</v>
      </c>
      <c r="Y626" t="s">
        <v>50</v>
      </c>
      <c r="Z626" s="10">
        <f t="shared" si="55"/>
        <v>9</v>
      </c>
      <c r="AA626" s="11">
        <v>0</v>
      </c>
      <c r="AB626" s="11">
        <v>-2</v>
      </c>
      <c r="AC626" s="11">
        <v>0</v>
      </c>
      <c r="AD626" s="11">
        <v>0</v>
      </c>
      <c r="AE626" s="11">
        <v>0</v>
      </c>
      <c r="AF626" s="11">
        <f t="shared" si="52"/>
        <v>0.42</v>
      </c>
      <c r="AG626" s="11">
        <f t="shared" si="53"/>
        <v>7.42</v>
      </c>
      <c r="AH626" t="s">
        <v>51</v>
      </c>
    </row>
    <row r="627" spans="1:34" ht="15" customHeight="1" x14ac:dyDescent="0.25">
      <c r="A627">
        <v>7547676</v>
      </c>
      <c r="B627" t="s">
        <v>34</v>
      </c>
      <c r="C627" t="s">
        <v>35</v>
      </c>
      <c r="D627" s="6" t="s">
        <v>34</v>
      </c>
      <c r="E627" t="s">
        <v>1900</v>
      </c>
      <c r="F627" t="s">
        <v>37</v>
      </c>
      <c r="G627" t="s">
        <v>38</v>
      </c>
      <c r="H627" t="s">
        <v>1901</v>
      </c>
      <c r="I627" t="s">
        <v>40</v>
      </c>
      <c r="J627">
        <v>2</v>
      </c>
      <c r="K627" t="s">
        <v>41</v>
      </c>
      <c r="L627" t="s">
        <v>42</v>
      </c>
      <c r="M627" t="s">
        <v>43</v>
      </c>
      <c r="N627" s="7">
        <v>1</v>
      </c>
      <c r="O627" s="8">
        <v>45512.881851851853</v>
      </c>
      <c r="P627" s="9">
        <v>45515</v>
      </c>
      <c r="Q627" t="s">
        <v>386</v>
      </c>
      <c r="R627" t="s">
        <v>45</v>
      </c>
      <c r="S627" t="s">
        <v>46</v>
      </c>
      <c r="T627" t="s">
        <v>59</v>
      </c>
      <c r="U627" t="s">
        <v>1902</v>
      </c>
      <c r="V627">
        <v>13700</v>
      </c>
      <c r="W627" t="s">
        <v>45</v>
      </c>
      <c r="X627" t="s">
        <v>1301</v>
      </c>
      <c r="Y627" t="s">
        <v>50</v>
      </c>
      <c r="Z627" s="10">
        <f t="shared" si="55"/>
        <v>9</v>
      </c>
      <c r="AA627" s="11">
        <v>0</v>
      </c>
      <c r="AB627" s="11">
        <v>-2</v>
      </c>
      <c r="AC627" s="11">
        <v>0</v>
      </c>
      <c r="AD627" s="11">
        <v>0</v>
      </c>
      <c r="AE627" s="11">
        <v>0</v>
      </c>
      <c r="AF627" s="11">
        <f t="shared" si="52"/>
        <v>0.42</v>
      </c>
      <c r="AG627" s="11">
        <f t="shared" si="53"/>
        <v>7.42</v>
      </c>
      <c r="AH627" t="s">
        <v>51</v>
      </c>
    </row>
    <row r="628" spans="1:34" ht="15" customHeight="1" x14ac:dyDescent="0.25">
      <c r="A628">
        <v>7547676</v>
      </c>
      <c r="B628" t="s">
        <v>34</v>
      </c>
      <c r="C628" t="s">
        <v>35</v>
      </c>
      <c r="D628" s="6" t="s">
        <v>34</v>
      </c>
      <c r="E628" t="s">
        <v>1903</v>
      </c>
      <c r="F628" t="s">
        <v>37</v>
      </c>
      <c r="G628" t="s">
        <v>38</v>
      </c>
      <c r="H628" t="s">
        <v>1904</v>
      </c>
      <c r="I628" t="s">
        <v>40</v>
      </c>
      <c r="J628">
        <v>2</v>
      </c>
      <c r="K628" t="s">
        <v>41</v>
      </c>
      <c r="L628" t="s">
        <v>42</v>
      </c>
      <c r="M628" t="s">
        <v>43</v>
      </c>
      <c r="N628" s="7">
        <v>1</v>
      </c>
      <c r="O628" s="8">
        <v>45512.539131944446</v>
      </c>
      <c r="P628" s="9">
        <v>45515</v>
      </c>
      <c r="Q628" t="s">
        <v>44</v>
      </c>
      <c r="R628" t="s">
        <v>45</v>
      </c>
      <c r="S628" t="s">
        <v>46</v>
      </c>
      <c r="T628" t="s">
        <v>84</v>
      </c>
      <c r="U628" t="s">
        <v>1905</v>
      </c>
      <c r="V628">
        <v>16300</v>
      </c>
      <c r="W628" t="s">
        <v>45</v>
      </c>
      <c r="X628" t="s">
        <v>74</v>
      </c>
      <c r="Y628" t="s">
        <v>50</v>
      </c>
      <c r="Z628" s="10">
        <f t="shared" si="55"/>
        <v>9</v>
      </c>
      <c r="AA628" s="11">
        <v>0</v>
      </c>
      <c r="AB628" s="11">
        <v>-2</v>
      </c>
      <c r="AC628" s="11">
        <v>0</v>
      </c>
      <c r="AD628" s="11">
        <v>0</v>
      </c>
      <c r="AE628" s="11">
        <v>0</v>
      </c>
      <c r="AF628" s="11">
        <f t="shared" si="52"/>
        <v>0.42</v>
      </c>
      <c r="AG628" s="11">
        <f t="shared" si="53"/>
        <v>7.42</v>
      </c>
      <c r="AH628" t="s">
        <v>51</v>
      </c>
    </row>
    <row r="629" spans="1:34" ht="15" customHeight="1" x14ac:dyDescent="0.25">
      <c r="A629">
        <v>7547676</v>
      </c>
      <c r="B629" t="s">
        <v>34</v>
      </c>
      <c r="C629" t="s">
        <v>35</v>
      </c>
      <c r="D629" s="6" t="s">
        <v>34</v>
      </c>
      <c r="E629" t="s">
        <v>1906</v>
      </c>
      <c r="F629" t="s">
        <v>37</v>
      </c>
      <c r="G629" t="s">
        <v>38</v>
      </c>
      <c r="H629" t="s">
        <v>1907</v>
      </c>
      <c r="I629" t="s">
        <v>40</v>
      </c>
      <c r="J629">
        <v>2</v>
      </c>
      <c r="K629" t="s">
        <v>41</v>
      </c>
      <c r="L629" t="s">
        <v>42</v>
      </c>
      <c r="M629" t="s">
        <v>43</v>
      </c>
      <c r="N629" s="7">
        <v>1</v>
      </c>
      <c r="O629" s="8">
        <v>45512.453217592592</v>
      </c>
      <c r="P629" s="9">
        <v>45515</v>
      </c>
      <c r="Q629" t="s">
        <v>44</v>
      </c>
      <c r="R629" t="s">
        <v>45</v>
      </c>
      <c r="S629" t="s">
        <v>46</v>
      </c>
      <c r="T629" t="s">
        <v>84</v>
      </c>
      <c r="U629" t="s">
        <v>1908</v>
      </c>
      <c r="V629">
        <v>17000</v>
      </c>
      <c r="W629" t="s">
        <v>45</v>
      </c>
      <c r="X629" t="s">
        <v>74</v>
      </c>
      <c r="Y629" t="s">
        <v>50</v>
      </c>
      <c r="Z629" s="10">
        <f t="shared" si="55"/>
        <v>9</v>
      </c>
      <c r="AA629" s="11">
        <v>0</v>
      </c>
      <c r="AB629" s="11">
        <v>-2</v>
      </c>
      <c r="AC629" s="11">
        <v>0</v>
      </c>
      <c r="AD629" s="11">
        <v>0</v>
      </c>
      <c r="AE629" s="11">
        <v>0</v>
      </c>
      <c r="AF629" s="11">
        <f t="shared" si="52"/>
        <v>0.42</v>
      </c>
      <c r="AG629" s="11">
        <f t="shared" si="53"/>
        <v>7.42</v>
      </c>
      <c r="AH629" t="s">
        <v>51</v>
      </c>
    </row>
    <row r="630" spans="1:34" ht="15" customHeight="1" x14ac:dyDescent="0.25">
      <c r="A630">
        <v>7547676</v>
      </c>
      <c r="B630" t="s">
        <v>34</v>
      </c>
      <c r="C630" t="s">
        <v>35</v>
      </c>
      <c r="D630" s="6" t="s">
        <v>34</v>
      </c>
      <c r="E630" t="s">
        <v>1909</v>
      </c>
      <c r="F630" t="s">
        <v>37</v>
      </c>
      <c r="G630" t="s">
        <v>38</v>
      </c>
      <c r="H630" t="s">
        <v>1910</v>
      </c>
      <c r="I630" t="s">
        <v>40</v>
      </c>
      <c r="J630">
        <v>2</v>
      </c>
      <c r="K630" t="s">
        <v>41</v>
      </c>
      <c r="L630" t="s">
        <v>42</v>
      </c>
      <c r="M630" t="s">
        <v>43</v>
      </c>
      <c r="N630" s="7">
        <v>1</v>
      </c>
      <c r="O630" s="8">
        <v>45512.880474537036</v>
      </c>
      <c r="P630" s="9">
        <v>45515</v>
      </c>
      <c r="Q630" t="s">
        <v>386</v>
      </c>
      <c r="R630" t="s">
        <v>45</v>
      </c>
      <c r="S630" t="s">
        <v>46</v>
      </c>
      <c r="T630" t="s">
        <v>59</v>
      </c>
      <c r="U630" t="s">
        <v>1911</v>
      </c>
      <c r="V630">
        <v>13500</v>
      </c>
      <c r="W630" t="s">
        <v>45</v>
      </c>
      <c r="X630" t="s">
        <v>1301</v>
      </c>
      <c r="Y630" t="s">
        <v>50</v>
      </c>
      <c r="Z630" s="10">
        <f t="shared" si="55"/>
        <v>9</v>
      </c>
      <c r="AA630" s="11">
        <v>0</v>
      </c>
      <c r="AB630" s="11">
        <v>-2</v>
      </c>
      <c r="AC630" s="11">
        <v>0</v>
      </c>
      <c r="AD630" s="11">
        <v>0</v>
      </c>
      <c r="AE630" s="11">
        <v>0</v>
      </c>
      <c r="AF630" s="11">
        <f t="shared" si="52"/>
        <v>0.42</v>
      </c>
      <c r="AG630" s="11">
        <f t="shared" si="53"/>
        <v>7.42</v>
      </c>
      <c r="AH630" t="s">
        <v>51</v>
      </c>
    </row>
    <row r="631" spans="1:34" ht="15" customHeight="1" x14ac:dyDescent="0.25">
      <c r="A631">
        <v>7547676</v>
      </c>
      <c r="B631" t="s">
        <v>34</v>
      </c>
      <c r="C631" t="s">
        <v>35</v>
      </c>
      <c r="D631" s="6" t="s">
        <v>34</v>
      </c>
      <c r="E631" t="s">
        <v>1912</v>
      </c>
      <c r="F631" t="s">
        <v>37</v>
      </c>
      <c r="G631" t="s">
        <v>38</v>
      </c>
      <c r="H631" t="s">
        <v>1542</v>
      </c>
      <c r="I631" t="s">
        <v>40</v>
      </c>
      <c r="J631">
        <v>2</v>
      </c>
      <c r="K631" t="s">
        <v>41</v>
      </c>
      <c r="L631" t="s">
        <v>42</v>
      </c>
      <c r="M631" t="s">
        <v>43</v>
      </c>
      <c r="N631" s="7">
        <v>1</v>
      </c>
      <c r="O631" s="8">
        <v>45512.856157407405</v>
      </c>
      <c r="P631" s="9">
        <v>45515</v>
      </c>
      <c r="Q631" t="s">
        <v>386</v>
      </c>
      <c r="R631" t="s">
        <v>45</v>
      </c>
      <c r="S631" t="s">
        <v>46</v>
      </c>
      <c r="T631" t="s">
        <v>107</v>
      </c>
      <c r="U631" t="s">
        <v>1913</v>
      </c>
      <c r="V631">
        <v>8000</v>
      </c>
      <c r="W631" t="s">
        <v>45</v>
      </c>
      <c r="X631" t="s">
        <v>109</v>
      </c>
      <c r="Y631" t="s">
        <v>50</v>
      </c>
      <c r="Z631" s="10">
        <f t="shared" si="55"/>
        <v>9</v>
      </c>
      <c r="AA631" s="11">
        <v>0</v>
      </c>
      <c r="AB631" s="11">
        <v>-2</v>
      </c>
      <c r="AC631" s="11">
        <v>0</v>
      </c>
      <c r="AD631" s="11">
        <v>0</v>
      </c>
      <c r="AE631" s="11">
        <v>0</v>
      </c>
      <c r="AF631" s="11">
        <f t="shared" si="52"/>
        <v>0.42</v>
      </c>
      <c r="AG631" s="11">
        <f t="shared" si="53"/>
        <v>7.42</v>
      </c>
      <c r="AH631" t="s">
        <v>51</v>
      </c>
    </row>
    <row r="632" spans="1:34" ht="15" customHeight="1" x14ac:dyDescent="0.25">
      <c r="A632">
        <v>7547676</v>
      </c>
      <c r="B632" t="s">
        <v>34</v>
      </c>
      <c r="C632" t="s">
        <v>35</v>
      </c>
      <c r="D632" s="6" t="s">
        <v>34</v>
      </c>
      <c r="E632" t="s">
        <v>1914</v>
      </c>
      <c r="F632" t="s">
        <v>37</v>
      </c>
      <c r="G632" t="s">
        <v>38</v>
      </c>
      <c r="H632" t="s">
        <v>1915</v>
      </c>
      <c r="I632" t="s">
        <v>40</v>
      </c>
      <c r="J632">
        <v>2</v>
      </c>
      <c r="K632" t="s">
        <v>41</v>
      </c>
      <c r="L632" t="s">
        <v>42</v>
      </c>
      <c r="M632" t="s">
        <v>43</v>
      </c>
      <c r="N632" s="7">
        <v>1</v>
      </c>
      <c r="O632" s="8">
        <v>45512.881851851853</v>
      </c>
      <c r="P632" s="9">
        <v>45515</v>
      </c>
      <c r="Q632" t="s">
        <v>386</v>
      </c>
      <c r="R632" t="s">
        <v>45</v>
      </c>
      <c r="S632" t="s">
        <v>46</v>
      </c>
      <c r="T632" t="s">
        <v>107</v>
      </c>
      <c r="U632" t="s">
        <v>1916</v>
      </c>
      <c r="V632">
        <v>6300</v>
      </c>
      <c r="W632" t="s">
        <v>45</v>
      </c>
      <c r="X632" t="s">
        <v>1917</v>
      </c>
      <c r="Y632" t="s">
        <v>50</v>
      </c>
      <c r="Z632" s="10">
        <f t="shared" si="55"/>
        <v>9</v>
      </c>
      <c r="AA632" s="11">
        <v>0</v>
      </c>
      <c r="AB632" s="11">
        <v>-2</v>
      </c>
      <c r="AC632" s="11">
        <v>0</v>
      </c>
      <c r="AD632" s="11">
        <v>0</v>
      </c>
      <c r="AE632" s="11">
        <v>0</v>
      </c>
      <c r="AF632" s="11">
        <f t="shared" si="52"/>
        <v>0.42</v>
      </c>
      <c r="AG632" s="11">
        <f t="shared" si="53"/>
        <v>7.42</v>
      </c>
      <c r="AH632" t="s">
        <v>51</v>
      </c>
    </row>
    <row r="633" spans="1:34" ht="15" customHeight="1" x14ac:dyDescent="0.25">
      <c r="A633">
        <v>7547676</v>
      </c>
      <c r="B633" t="s">
        <v>34</v>
      </c>
      <c r="C633" t="s">
        <v>35</v>
      </c>
      <c r="D633" s="6" t="s">
        <v>34</v>
      </c>
      <c r="E633" t="s">
        <v>1918</v>
      </c>
      <c r="F633" t="s">
        <v>37</v>
      </c>
      <c r="G633" t="s">
        <v>38</v>
      </c>
      <c r="H633" t="s">
        <v>1919</v>
      </c>
      <c r="I633" t="s">
        <v>40</v>
      </c>
      <c r="J633">
        <v>2</v>
      </c>
      <c r="K633" t="s">
        <v>41</v>
      </c>
      <c r="L633" t="s">
        <v>42</v>
      </c>
      <c r="M633" t="s">
        <v>43</v>
      </c>
      <c r="N633" s="7">
        <v>9</v>
      </c>
      <c r="O633" s="8">
        <v>45514.42659722222</v>
      </c>
      <c r="P633" s="9">
        <v>45515</v>
      </c>
      <c r="Q633" t="s">
        <v>44</v>
      </c>
      <c r="R633" t="s">
        <v>45</v>
      </c>
      <c r="S633" t="s">
        <v>46</v>
      </c>
      <c r="T633" t="s">
        <v>223</v>
      </c>
      <c r="U633" t="s">
        <v>1920</v>
      </c>
      <c r="V633">
        <v>27050</v>
      </c>
      <c r="W633" t="s">
        <v>45</v>
      </c>
      <c r="X633" t="s">
        <v>1921</v>
      </c>
      <c r="Y633" t="s">
        <v>50</v>
      </c>
      <c r="Z633" s="10">
        <f t="shared" si="55"/>
        <v>15.4</v>
      </c>
      <c r="AA633" s="11">
        <v>0</v>
      </c>
      <c r="AB633" s="11">
        <v>-2</v>
      </c>
      <c r="AC633" s="11">
        <v>0</v>
      </c>
      <c r="AD633" s="11">
        <v>0</v>
      </c>
      <c r="AE633" s="11">
        <v>0</v>
      </c>
      <c r="AF633" s="11">
        <f t="shared" si="52"/>
        <v>0.80399999999999994</v>
      </c>
      <c r="AG633" s="11">
        <f t="shared" si="53"/>
        <v>14.204000000000001</v>
      </c>
      <c r="AH633" t="s">
        <v>51</v>
      </c>
    </row>
    <row r="634" spans="1:34" ht="15" customHeight="1" x14ac:dyDescent="0.25">
      <c r="A634">
        <v>7547676</v>
      </c>
      <c r="B634" t="s">
        <v>34</v>
      </c>
      <c r="C634" t="s">
        <v>35</v>
      </c>
      <c r="D634" s="6" t="s">
        <v>34</v>
      </c>
      <c r="E634" t="s">
        <v>1922</v>
      </c>
      <c r="F634" t="s">
        <v>37</v>
      </c>
      <c r="G634" t="s">
        <v>38</v>
      </c>
      <c r="H634" t="s">
        <v>1923</v>
      </c>
      <c r="I634" t="s">
        <v>40</v>
      </c>
      <c r="J634">
        <v>2</v>
      </c>
      <c r="K634" t="s">
        <v>41</v>
      </c>
      <c r="L634" t="s">
        <v>42</v>
      </c>
      <c r="M634" t="s">
        <v>43</v>
      </c>
      <c r="N634" s="7">
        <v>3</v>
      </c>
      <c r="O634" s="8">
        <v>45512.657650462963</v>
      </c>
      <c r="P634" s="9">
        <v>45515</v>
      </c>
      <c r="Q634" t="s">
        <v>44</v>
      </c>
      <c r="R634" t="s">
        <v>45</v>
      </c>
      <c r="S634" t="s">
        <v>46</v>
      </c>
      <c r="T634" t="s">
        <v>92</v>
      </c>
      <c r="U634" t="s">
        <v>1924</v>
      </c>
      <c r="V634">
        <v>55100</v>
      </c>
      <c r="W634" t="s">
        <v>45</v>
      </c>
      <c r="X634" t="s">
        <v>69</v>
      </c>
      <c r="Y634" t="s">
        <v>50</v>
      </c>
      <c r="Z634" s="10">
        <f t="shared" si="55"/>
        <v>10.6</v>
      </c>
      <c r="AA634" s="11">
        <v>0</v>
      </c>
      <c r="AB634" s="11">
        <v>-2</v>
      </c>
      <c r="AC634" s="11">
        <v>0</v>
      </c>
      <c r="AD634" s="11">
        <v>0</v>
      </c>
      <c r="AE634" s="11">
        <v>0</v>
      </c>
      <c r="AF634" s="11">
        <f t="shared" si="52"/>
        <v>0.51600000000000001</v>
      </c>
      <c r="AG634" s="11">
        <f t="shared" si="53"/>
        <v>9.1159999999999997</v>
      </c>
      <c r="AH634" t="s">
        <v>51</v>
      </c>
    </row>
    <row r="635" spans="1:34" ht="15" customHeight="1" x14ac:dyDescent="0.25">
      <c r="A635">
        <v>7547676</v>
      </c>
      <c r="B635" t="s">
        <v>34</v>
      </c>
      <c r="C635" t="s">
        <v>35</v>
      </c>
      <c r="D635" s="6" t="s">
        <v>34</v>
      </c>
      <c r="E635" t="s">
        <v>1925</v>
      </c>
      <c r="F635" t="s">
        <v>37</v>
      </c>
      <c r="G635" t="s">
        <v>38</v>
      </c>
      <c r="H635" t="s">
        <v>1926</v>
      </c>
      <c r="I635" t="s">
        <v>40</v>
      </c>
      <c r="J635">
        <v>2</v>
      </c>
      <c r="K635" t="s">
        <v>41</v>
      </c>
      <c r="L635" t="s">
        <v>42</v>
      </c>
      <c r="M635" t="s">
        <v>43</v>
      </c>
      <c r="N635" s="7">
        <v>1</v>
      </c>
      <c r="O635" s="8">
        <v>45514.843553240738</v>
      </c>
      <c r="P635" s="9">
        <v>45516</v>
      </c>
      <c r="Q635" t="s">
        <v>44</v>
      </c>
      <c r="R635" t="s">
        <v>45</v>
      </c>
      <c r="S635" t="s">
        <v>46</v>
      </c>
      <c r="T635" t="s">
        <v>223</v>
      </c>
      <c r="U635" t="s">
        <v>1927</v>
      </c>
      <c r="V635">
        <v>27210</v>
      </c>
      <c r="W635" t="s">
        <v>45</v>
      </c>
      <c r="X635" t="s">
        <v>74</v>
      </c>
      <c r="Y635" t="s">
        <v>50</v>
      </c>
      <c r="Z635" s="10">
        <f t="shared" si="55"/>
        <v>9</v>
      </c>
      <c r="AA635" s="11">
        <v>0</v>
      </c>
      <c r="AB635" s="11">
        <v>-2</v>
      </c>
      <c r="AC635" s="11">
        <v>0</v>
      </c>
      <c r="AD635" s="11">
        <v>0</v>
      </c>
      <c r="AE635" s="11">
        <v>0</v>
      </c>
      <c r="AF635" s="11">
        <f t="shared" si="52"/>
        <v>0.42</v>
      </c>
      <c r="AG635" s="11">
        <f t="shared" si="53"/>
        <v>7.42</v>
      </c>
      <c r="AH635" t="s">
        <v>51</v>
      </c>
    </row>
    <row r="636" spans="1:34" ht="15" customHeight="1" x14ac:dyDescent="0.25">
      <c r="A636">
        <v>7547676</v>
      </c>
      <c r="B636" t="s">
        <v>34</v>
      </c>
      <c r="C636" t="s">
        <v>35</v>
      </c>
      <c r="D636" s="6" t="s">
        <v>34</v>
      </c>
      <c r="E636" t="s">
        <v>1928</v>
      </c>
      <c r="F636" t="s">
        <v>37</v>
      </c>
      <c r="G636" t="s">
        <v>38</v>
      </c>
      <c r="H636" t="s">
        <v>1929</v>
      </c>
      <c r="I636" t="s">
        <v>40</v>
      </c>
      <c r="J636">
        <v>2</v>
      </c>
      <c r="K636" t="s">
        <v>41</v>
      </c>
      <c r="L636" t="s">
        <v>42</v>
      </c>
      <c r="M636" t="s">
        <v>43</v>
      </c>
      <c r="N636" s="7">
        <v>1</v>
      </c>
      <c r="O636" s="8">
        <v>45512.868344907409</v>
      </c>
      <c r="P636" s="9">
        <v>45516</v>
      </c>
      <c r="Q636" t="s">
        <v>386</v>
      </c>
      <c r="R636" t="s">
        <v>45</v>
      </c>
      <c r="S636" t="s">
        <v>46</v>
      </c>
      <c r="T636" t="s">
        <v>146</v>
      </c>
      <c r="U636" t="s">
        <v>1930</v>
      </c>
      <c r="V636">
        <v>50100</v>
      </c>
      <c r="W636" t="s">
        <v>45</v>
      </c>
      <c r="X636" t="s">
        <v>69</v>
      </c>
      <c r="Y636" t="s">
        <v>50</v>
      </c>
      <c r="Z636" s="10">
        <f t="shared" si="55"/>
        <v>9</v>
      </c>
      <c r="AA636" s="11">
        <v>0</v>
      </c>
      <c r="AB636" s="11">
        <v>-2</v>
      </c>
      <c r="AC636" s="11">
        <v>0</v>
      </c>
      <c r="AD636" s="11">
        <v>0</v>
      </c>
      <c r="AE636" s="11">
        <v>0</v>
      </c>
      <c r="AF636" s="11">
        <f t="shared" si="52"/>
        <v>0.42</v>
      </c>
      <c r="AG636" s="11">
        <f t="shared" si="53"/>
        <v>7.42</v>
      </c>
      <c r="AH636" t="s">
        <v>51</v>
      </c>
    </row>
    <row r="637" spans="1:34" ht="15" customHeight="1" x14ac:dyDescent="0.25">
      <c r="A637">
        <v>7547676</v>
      </c>
      <c r="B637" t="s">
        <v>34</v>
      </c>
      <c r="C637" t="s">
        <v>35</v>
      </c>
      <c r="D637" s="6" t="s">
        <v>34</v>
      </c>
      <c r="E637" t="s">
        <v>1931</v>
      </c>
      <c r="F637" t="s">
        <v>37</v>
      </c>
      <c r="G637" t="s">
        <v>38</v>
      </c>
      <c r="H637" t="s">
        <v>1932</v>
      </c>
      <c r="I637" t="s">
        <v>40</v>
      </c>
      <c r="J637">
        <v>2</v>
      </c>
      <c r="K637" t="s">
        <v>41</v>
      </c>
      <c r="L637" t="s">
        <v>42</v>
      </c>
      <c r="M637" t="s">
        <v>43</v>
      </c>
      <c r="N637" s="7">
        <v>1</v>
      </c>
      <c r="O637" s="8">
        <v>45515.720231481479</v>
      </c>
      <c r="P637" s="9">
        <v>45516</v>
      </c>
      <c r="Q637" t="s">
        <v>44</v>
      </c>
      <c r="R637" t="s">
        <v>45</v>
      </c>
      <c r="S637" t="s">
        <v>46</v>
      </c>
      <c r="T637" t="s">
        <v>72</v>
      </c>
      <c r="U637" t="s">
        <v>1933</v>
      </c>
      <c r="V637">
        <v>24300</v>
      </c>
      <c r="W637" t="s">
        <v>45</v>
      </c>
      <c r="X637" t="s">
        <v>139</v>
      </c>
      <c r="Y637" t="s">
        <v>50</v>
      </c>
      <c r="Z637" s="10">
        <f t="shared" si="55"/>
        <v>9</v>
      </c>
      <c r="AA637" s="11">
        <v>0</v>
      </c>
      <c r="AB637" s="11">
        <v>-2</v>
      </c>
      <c r="AC637" s="11">
        <v>0</v>
      </c>
      <c r="AD637" s="11">
        <v>0</v>
      </c>
      <c r="AE637" s="11">
        <v>0</v>
      </c>
      <c r="AF637" s="11">
        <f t="shared" si="52"/>
        <v>0.42</v>
      </c>
      <c r="AG637" s="11">
        <f t="shared" si="53"/>
        <v>7.42</v>
      </c>
      <c r="AH637" t="s">
        <v>51</v>
      </c>
    </row>
    <row r="638" spans="1:34" ht="15" customHeight="1" x14ac:dyDescent="0.25">
      <c r="A638">
        <v>7547676</v>
      </c>
      <c r="B638" t="s">
        <v>34</v>
      </c>
      <c r="C638" t="s">
        <v>35</v>
      </c>
      <c r="D638" s="6" t="s">
        <v>34</v>
      </c>
      <c r="E638" t="s">
        <v>1934</v>
      </c>
      <c r="F638" t="s">
        <v>37</v>
      </c>
      <c r="G638" t="s">
        <v>38</v>
      </c>
      <c r="H638" t="s">
        <v>454</v>
      </c>
      <c r="I638" t="s">
        <v>40</v>
      </c>
      <c r="J638">
        <v>2</v>
      </c>
      <c r="K638" t="s">
        <v>41</v>
      </c>
      <c r="L638" t="s">
        <v>42</v>
      </c>
      <c r="M638" t="s">
        <v>43</v>
      </c>
      <c r="N638" s="7">
        <v>10</v>
      </c>
      <c r="O638" s="8">
        <v>45514.63076388889</v>
      </c>
      <c r="P638" s="9">
        <v>45516</v>
      </c>
      <c r="Q638" t="s">
        <v>44</v>
      </c>
      <c r="R638" t="s">
        <v>45</v>
      </c>
      <c r="S638" t="s">
        <v>46</v>
      </c>
      <c r="T638" t="s">
        <v>54</v>
      </c>
      <c r="U638" t="s">
        <v>1367</v>
      </c>
      <c r="V638">
        <v>81750</v>
      </c>
      <c r="W638" t="s">
        <v>45</v>
      </c>
      <c r="X638" t="s">
        <v>65</v>
      </c>
      <c r="Y638" t="s">
        <v>50</v>
      </c>
      <c r="Z638" s="10">
        <f t="shared" si="55"/>
        <v>16.2</v>
      </c>
      <c r="AA638" s="11">
        <v>0</v>
      </c>
      <c r="AB638" s="11">
        <v>-2</v>
      </c>
      <c r="AC638" s="11">
        <v>0</v>
      </c>
      <c r="AD638" s="11">
        <v>0</v>
      </c>
      <c r="AE638" s="11">
        <v>0</v>
      </c>
      <c r="AF638" s="11">
        <f t="shared" si="52"/>
        <v>0.85199999999999998</v>
      </c>
      <c r="AG638" s="11">
        <f t="shared" si="53"/>
        <v>15.052</v>
      </c>
      <c r="AH638" t="s">
        <v>51</v>
      </c>
    </row>
    <row r="639" spans="1:34" ht="15" customHeight="1" x14ac:dyDescent="0.25">
      <c r="A639">
        <v>7547676</v>
      </c>
      <c r="B639" t="s">
        <v>34</v>
      </c>
      <c r="C639" t="s">
        <v>35</v>
      </c>
      <c r="D639" s="6" t="s">
        <v>34</v>
      </c>
      <c r="E639" t="s">
        <v>1935</v>
      </c>
      <c r="F639" t="s">
        <v>37</v>
      </c>
      <c r="G639" t="s">
        <v>38</v>
      </c>
      <c r="H639" t="s">
        <v>1936</v>
      </c>
      <c r="I639" t="s">
        <v>40</v>
      </c>
      <c r="J639">
        <v>2</v>
      </c>
      <c r="K639" t="s">
        <v>41</v>
      </c>
      <c r="L639" t="s">
        <v>42</v>
      </c>
      <c r="M639" t="s">
        <v>43</v>
      </c>
      <c r="N639" s="7">
        <v>1</v>
      </c>
      <c r="O639" s="8">
        <v>45512.761250000003</v>
      </c>
      <c r="P639" s="9">
        <v>45516</v>
      </c>
      <c r="Q639" t="s">
        <v>386</v>
      </c>
      <c r="R639" t="s">
        <v>45</v>
      </c>
      <c r="S639" t="s">
        <v>46</v>
      </c>
      <c r="T639" t="s">
        <v>146</v>
      </c>
      <c r="U639" t="s">
        <v>1937</v>
      </c>
      <c r="V639">
        <v>52000</v>
      </c>
      <c r="W639" t="s">
        <v>45</v>
      </c>
      <c r="X639" t="s">
        <v>69</v>
      </c>
      <c r="Y639" t="s">
        <v>50</v>
      </c>
      <c r="Z639" s="10">
        <f t="shared" si="55"/>
        <v>9</v>
      </c>
      <c r="AA639" s="11">
        <v>0</v>
      </c>
      <c r="AB639" s="11">
        <v>-2</v>
      </c>
      <c r="AC639" s="11">
        <v>0</v>
      </c>
      <c r="AD639" s="11">
        <v>0</v>
      </c>
      <c r="AE639" s="11">
        <v>0</v>
      </c>
      <c r="AF639" s="11">
        <f t="shared" si="52"/>
        <v>0.42</v>
      </c>
      <c r="AG639" s="11">
        <f t="shared" si="53"/>
        <v>7.42</v>
      </c>
      <c r="AH639" t="s">
        <v>51</v>
      </c>
    </row>
    <row r="640" spans="1:34" ht="15" customHeight="1" x14ac:dyDescent="0.25">
      <c r="A640">
        <v>7547676</v>
      </c>
      <c r="B640" t="s">
        <v>34</v>
      </c>
      <c r="C640" t="s">
        <v>35</v>
      </c>
      <c r="D640" s="6" t="s">
        <v>34</v>
      </c>
      <c r="E640" t="s">
        <v>1938</v>
      </c>
      <c r="F640" t="s">
        <v>37</v>
      </c>
      <c r="G640" t="s">
        <v>38</v>
      </c>
      <c r="H640" t="s">
        <v>195</v>
      </c>
      <c r="I640" t="s">
        <v>40</v>
      </c>
      <c r="J640">
        <v>2</v>
      </c>
      <c r="K640" t="s">
        <v>41</v>
      </c>
      <c r="L640" t="s">
        <v>42</v>
      </c>
      <c r="M640" t="s">
        <v>43</v>
      </c>
      <c r="N640" s="7">
        <v>3</v>
      </c>
      <c r="O640" s="8">
        <v>45515.698564814818</v>
      </c>
      <c r="P640" s="9">
        <v>45516</v>
      </c>
      <c r="Q640" t="s">
        <v>44</v>
      </c>
      <c r="R640" t="s">
        <v>45</v>
      </c>
      <c r="S640" t="s">
        <v>46</v>
      </c>
      <c r="T640" t="s">
        <v>72</v>
      </c>
      <c r="U640" t="s">
        <v>1939</v>
      </c>
      <c r="V640">
        <v>21040</v>
      </c>
      <c r="W640" t="s">
        <v>45</v>
      </c>
      <c r="X640" t="s">
        <v>1940</v>
      </c>
      <c r="Y640" t="s">
        <v>50</v>
      </c>
      <c r="Z640" s="10">
        <f t="shared" si="55"/>
        <v>10.6</v>
      </c>
      <c r="AA640" s="11">
        <v>0</v>
      </c>
      <c r="AB640" s="11">
        <v>-2</v>
      </c>
      <c r="AC640" s="11">
        <v>0</v>
      </c>
      <c r="AD640" s="11">
        <v>0</v>
      </c>
      <c r="AE640" s="11">
        <v>0</v>
      </c>
      <c r="AF640" s="11">
        <f t="shared" si="52"/>
        <v>0.51600000000000001</v>
      </c>
      <c r="AG640" s="11">
        <f t="shared" si="53"/>
        <v>9.1159999999999997</v>
      </c>
      <c r="AH640" t="s">
        <v>51</v>
      </c>
    </row>
    <row r="641" spans="1:34" ht="15" customHeight="1" x14ac:dyDescent="0.25">
      <c r="A641">
        <v>7547676</v>
      </c>
      <c r="B641" t="s">
        <v>34</v>
      </c>
      <c r="C641" t="s">
        <v>35</v>
      </c>
      <c r="D641" s="6" t="s">
        <v>34</v>
      </c>
      <c r="E641" t="s">
        <v>1941</v>
      </c>
      <c r="F641" t="s">
        <v>37</v>
      </c>
      <c r="G641" t="s">
        <v>38</v>
      </c>
      <c r="H641" t="s">
        <v>1942</v>
      </c>
      <c r="I641" t="s">
        <v>40</v>
      </c>
      <c r="J641">
        <v>2</v>
      </c>
      <c r="K641" t="s">
        <v>41</v>
      </c>
      <c r="L641" t="s">
        <v>42</v>
      </c>
      <c r="M641" t="s">
        <v>43</v>
      </c>
      <c r="N641" s="7">
        <v>2</v>
      </c>
      <c r="O641" s="8">
        <v>45512.881863425922</v>
      </c>
      <c r="P641" s="9">
        <v>45516</v>
      </c>
      <c r="Q641" t="s">
        <v>386</v>
      </c>
      <c r="R641" t="s">
        <v>45</v>
      </c>
      <c r="S641" t="s">
        <v>46</v>
      </c>
      <c r="T641" t="s">
        <v>116</v>
      </c>
      <c r="U641" t="s">
        <v>1943</v>
      </c>
      <c r="V641">
        <v>89808</v>
      </c>
      <c r="W641" t="s">
        <v>118</v>
      </c>
      <c r="X641" t="s">
        <v>69</v>
      </c>
      <c r="Y641" t="s">
        <v>50</v>
      </c>
      <c r="Z641" s="12">
        <f>IF(N641&lt;=1,13,IF(N641&lt;=2,23,IF(N641&lt;=3,35,IF(N641&lt;=4,43,IF(N641&lt;=5,53,IF(N641&lt;=6,63,IF(N641&lt;=7,71,IF(N641&lt;=8,79,IF(N641&lt;=9,87,IF(N641&lt;=10,95,IF(N641&lt;=11,105,IF(N641&lt;=12,114,IF(N641&lt;=13,119,IF(N641&lt;=14,127,IF(N641&lt;=15,135,IF(N641&lt;=16,143,IF(N641&lt;=17,153,IF(N641&lt;=18,163,IF(N641&lt;=19,171,IF(N641&lt;=20,185,IF(N641&lt;=21,193,IF(N641&lt;=22,201,IF(N641&lt;=23,210,IF(N641&lt;=24,220,IF(N641&lt;=25,230,IF(N641&lt;=26,240,IF(N641&lt;=27,250,IF(N641&lt;=28,260,IF(N641&lt;=29,270,IF(N641&lt;=30,280,280+10*ROUNDUP(N641-30,0)))))))))))))))))))))))))))))))</f>
        <v>23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f t="shared" si="52"/>
        <v>1.38</v>
      </c>
      <c r="AG641" s="11">
        <f t="shared" si="53"/>
        <v>24.38</v>
      </c>
      <c r="AH641" t="s">
        <v>119</v>
      </c>
    </row>
    <row r="642" spans="1:34" ht="15" customHeight="1" x14ac:dyDescent="0.25">
      <c r="A642">
        <v>7547676</v>
      </c>
      <c r="B642" t="s">
        <v>34</v>
      </c>
      <c r="C642" t="s">
        <v>35</v>
      </c>
      <c r="D642" s="6" t="s">
        <v>34</v>
      </c>
      <c r="E642" t="s">
        <v>1944</v>
      </c>
      <c r="F642" t="s">
        <v>37</v>
      </c>
      <c r="G642" t="s">
        <v>38</v>
      </c>
      <c r="H642" t="s">
        <v>1945</v>
      </c>
      <c r="I642" t="s">
        <v>40</v>
      </c>
      <c r="J642">
        <v>2</v>
      </c>
      <c r="K642" t="s">
        <v>41</v>
      </c>
      <c r="L642" t="s">
        <v>42</v>
      </c>
      <c r="M642" t="s">
        <v>43</v>
      </c>
      <c r="N642" s="7">
        <v>1</v>
      </c>
      <c r="O642" s="8">
        <v>45513.766770833332</v>
      </c>
      <c r="P642" s="9">
        <v>45516</v>
      </c>
      <c r="Q642" t="s">
        <v>44</v>
      </c>
      <c r="R642" t="s">
        <v>45</v>
      </c>
      <c r="S642" t="s">
        <v>46</v>
      </c>
      <c r="T642" t="s">
        <v>333</v>
      </c>
      <c r="U642" t="s">
        <v>1946</v>
      </c>
      <c r="V642">
        <v>2700</v>
      </c>
      <c r="W642" t="s">
        <v>45</v>
      </c>
      <c r="X642" t="s">
        <v>1287</v>
      </c>
      <c r="Y642" t="s">
        <v>50</v>
      </c>
      <c r="Z642" s="10">
        <f t="shared" ref="Z642:Z659" si="56">IF(N642&lt;=1,9,9+0.8*ROUNDUP(N642-1,0))</f>
        <v>9</v>
      </c>
      <c r="AA642" s="11">
        <v>0</v>
      </c>
      <c r="AB642" s="11">
        <v>-2</v>
      </c>
      <c r="AC642" s="11">
        <v>0</v>
      </c>
      <c r="AD642" s="11">
        <v>0</v>
      </c>
      <c r="AE642" s="11">
        <v>0</v>
      </c>
      <c r="AF642" s="11">
        <f t="shared" ref="AF642:AF705" si="57">(Z642+AB642+AC642+AE642)*6%</f>
        <v>0.42</v>
      </c>
      <c r="AG642" s="11">
        <f t="shared" ref="AG642:AG705" si="58">Z642+AB642+AC642+AE642+AF642</f>
        <v>7.42</v>
      </c>
      <c r="AH642" t="s">
        <v>51</v>
      </c>
    </row>
    <row r="643" spans="1:34" ht="15" customHeight="1" x14ac:dyDescent="0.25">
      <c r="A643">
        <v>7547676</v>
      </c>
      <c r="B643" t="s">
        <v>34</v>
      </c>
      <c r="C643" t="s">
        <v>35</v>
      </c>
      <c r="D643" s="6" t="s">
        <v>34</v>
      </c>
      <c r="E643" t="s">
        <v>1947</v>
      </c>
      <c r="F643" t="s">
        <v>37</v>
      </c>
      <c r="G643" t="s">
        <v>38</v>
      </c>
      <c r="H643" t="s">
        <v>1948</v>
      </c>
      <c r="I643" t="s">
        <v>40</v>
      </c>
      <c r="J643">
        <v>2</v>
      </c>
      <c r="K643" t="s">
        <v>41</v>
      </c>
      <c r="L643" t="s">
        <v>42</v>
      </c>
      <c r="M643" t="s">
        <v>43</v>
      </c>
      <c r="N643" s="7">
        <v>5</v>
      </c>
      <c r="O643" s="8">
        <v>45514.418171296296</v>
      </c>
      <c r="P643" s="9">
        <v>45516</v>
      </c>
      <c r="Q643" t="s">
        <v>44</v>
      </c>
      <c r="R643" t="s">
        <v>45</v>
      </c>
      <c r="S643" t="s">
        <v>46</v>
      </c>
      <c r="T643" t="s">
        <v>92</v>
      </c>
      <c r="U643" t="s">
        <v>1949</v>
      </c>
      <c r="V643">
        <v>40300</v>
      </c>
      <c r="W643" t="s">
        <v>45</v>
      </c>
      <c r="X643" t="s">
        <v>94</v>
      </c>
      <c r="Y643" t="s">
        <v>50</v>
      </c>
      <c r="Z643" s="10">
        <f t="shared" si="56"/>
        <v>12.2</v>
      </c>
      <c r="AA643" s="11">
        <v>0</v>
      </c>
      <c r="AB643" s="11">
        <v>-2</v>
      </c>
      <c r="AC643" s="11">
        <v>0</v>
      </c>
      <c r="AD643" s="11">
        <v>0</v>
      </c>
      <c r="AE643" s="11">
        <v>0</v>
      </c>
      <c r="AF643" s="11">
        <f t="shared" si="57"/>
        <v>0.61199999999999999</v>
      </c>
      <c r="AG643" s="11">
        <f t="shared" si="58"/>
        <v>10.811999999999999</v>
      </c>
      <c r="AH643" t="s">
        <v>51</v>
      </c>
    </row>
    <row r="644" spans="1:34" ht="15" customHeight="1" x14ac:dyDescent="0.25">
      <c r="A644">
        <v>7547676</v>
      </c>
      <c r="B644" t="s">
        <v>34</v>
      </c>
      <c r="C644" t="s">
        <v>35</v>
      </c>
      <c r="D644" s="6" t="s">
        <v>34</v>
      </c>
      <c r="E644" t="s">
        <v>1950</v>
      </c>
      <c r="F644" t="s">
        <v>37</v>
      </c>
      <c r="G644" t="s">
        <v>38</v>
      </c>
      <c r="H644" t="s">
        <v>1951</v>
      </c>
      <c r="I644" t="s">
        <v>40</v>
      </c>
      <c r="J644">
        <v>2</v>
      </c>
      <c r="K644" t="s">
        <v>41</v>
      </c>
      <c r="L644" t="s">
        <v>42</v>
      </c>
      <c r="M644" t="s">
        <v>43</v>
      </c>
      <c r="N644" s="7">
        <v>1</v>
      </c>
      <c r="O644" s="8">
        <v>45514.597083333334</v>
      </c>
      <c r="P644" s="9">
        <v>45516</v>
      </c>
      <c r="Q644" t="s">
        <v>44</v>
      </c>
      <c r="R644" t="s">
        <v>45</v>
      </c>
      <c r="S644" t="s">
        <v>46</v>
      </c>
      <c r="T644" t="s">
        <v>107</v>
      </c>
      <c r="U644" t="s">
        <v>1952</v>
      </c>
      <c r="V644">
        <v>6570</v>
      </c>
      <c r="W644" t="s">
        <v>45</v>
      </c>
      <c r="X644" t="s">
        <v>459</v>
      </c>
      <c r="Y644" t="s">
        <v>50</v>
      </c>
      <c r="Z644" s="10">
        <f t="shared" si="56"/>
        <v>9</v>
      </c>
      <c r="AA644" s="11">
        <v>0</v>
      </c>
      <c r="AB644" s="11">
        <v>-2</v>
      </c>
      <c r="AC644" s="11">
        <v>0</v>
      </c>
      <c r="AD644" s="11">
        <v>0</v>
      </c>
      <c r="AE644" s="11">
        <v>0</v>
      </c>
      <c r="AF644" s="11">
        <f t="shared" si="57"/>
        <v>0.42</v>
      </c>
      <c r="AG644" s="11">
        <f t="shared" si="58"/>
        <v>7.42</v>
      </c>
      <c r="AH644" t="s">
        <v>51</v>
      </c>
    </row>
    <row r="645" spans="1:34" ht="15" customHeight="1" x14ac:dyDescent="0.25">
      <c r="A645">
        <v>7547676</v>
      </c>
      <c r="B645" t="s">
        <v>34</v>
      </c>
      <c r="C645" t="s">
        <v>35</v>
      </c>
      <c r="D645" s="6" t="s">
        <v>34</v>
      </c>
      <c r="E645" t="s">
        <v>1953</v>
      </c>
      <c r="F645" t="s">
        <v>37</v>
      </c>
      <c r="G645" t="s">
        <v>38</v>
      </c>
      <c r="H645" t="s">
        <v>1586</v>
      </c>
      <c r="I645" t="s">
        <v>40</v>
      </c>
      <c r="J645">
        <v>2</v>
      </c>
      <c r="K645" t="s">
        <v>41</v>
      </c>
      <c r="L645" t="s">
        <v>42</v>
      </c>
      <c r="M645" t="s">
        <v>43</v>
      </c>
      <c r="N645" s="7">
        <v>6</v>
      </c>
      <c r="O645" s="8">
        <v>45515.622476851851</v>
      </c>
      <c r="P645" s="9">
        <v>45516</v>
      </c>
      <c r="Q645" t="s">
        <v>44</v>
      </c>
      <c r="R645" t="s">
        <v>45</v>
      </c>
      <c r="S645" t="s">
        <v>46</v>
      </c>
      <c r="T645" t="s">
        <v>146</v>
      </c>
      <c r="U645" t="s">
        <v>1954</v>
      </c>
      <c r="V645">
        <v>54200</v>
      </c>
      <c r="W645" t="s">
        <v>45</v>
      </c>
      <c r="X645" t="s">
        <v>354</v>
      </c>
      <c r="Y645" t="s">
        <v>50</v>
      </c>
      <c r="Z645" s="10">
        <f t="shared" si="56"/>
        <v>13</v>
      </c>
      <c r="AA645" s="11">
        <v>0</v>
      </c>
      <c r="AB645" s="11">
        <v>-2</v>
      </c>
      <c r="AC645" s="11">
        <v>0</v>
      </c>
      <c r="AD645" s="11">
        <v>0</v>
      </c>
      <c r="AE645" s="11">
        <v>0</v>
      </c>
      <c r="AF645" s="11">
        <f t="shared" si="57"/>
        <v>0.65999999999999992</v>
      </c>
      <c r="AG645" s="11">
        <f t="shared" si="58"/>
        <v>11.66</v>
      </c>
      <c r="AH645" t="s">
        <v>51</v>
      </c>
    </row>
    <row r="646" spans="1:34" ht="15" customHeight="1" x14ac:dyDescent="0.25">
      <c r="A646">
        <v>7547676</v>
      </c>
      <c r="B646" t="s">
        <v>34</v>
      </c>
      <c r="C646" t="s">
        <v>35</v>
      </c>
      <c r="D646" s="6" t="s">
        <v>34</v>
      </c>
      <c r="E646" t="s">
        <v>1955</v>
      </c>
      <c r="F646" t="s">
        <v>37</v>
      </c>
      <c r="G646" t="s">
        <v>38</v>
      </c>
      <c r="H646" t="s">
        <v>1956</v>
      </c>
      <c r="I646" t="s">
        <v>40</v>
      </c>
      <c r="J646">
        <v>2</v>
      </c>
      <c r="K646" t="s">
        <v>41</v>
      </c>
      <c r="L646" t="s">
        <v>42</v>
      </c>
      <c r="M646" t="s">
        <v>43</v>
      </c>
      <c r="N646" s="7">
        <v>1</v>
      </c>
      <c r="O646" s="8">
        <v>45514.459398148145</v>
      </c>
      <c r="P646" s="9">
        <v>45516</v>
      </c>
      <c r="Q646" t="s">
        <v>44</v>
      </c>
      <c r="R646" t="s">
        <v>45</v>
      </c>
      <c r="S646" t="s">
        <v>46</v>
      </c>
      <c r="T646" t="s">
        <v>59</v>
      </c>
      <c r="U646" t="s">
        <v>1957</v>
      </c>
      <c r="V646">
        <v>11900</v>
      </c>
      <c r="W646" t="s">
        <v>45</v>
      </c>
      <c r="X646" t="s">
        <v>69</v>
      </c>
      <c r="Y646" t="s">
        <v>50</v>
      </c>
      <c r="Z646" s="10">
        <f t="shared" si="56"/>
        <v>9</v>
      </c>
      <c r="AA646" s="11">
        <v>0</v>
      </c>
      <c r="AB646" s="11">
        <v>-2</v>
      </c>
      <c r="AC646" s="11">
        <v>0</v>
      </c>
      <c r="AD646" s="11">
        <v>0</v>
      </c>
      <c r="AE646" s="11">
        <v>0</v>
      </c>
      <c r="AF646" s="11">
        <f t="shared" si="57"/>
        <v>0.42</v>
      </c>
      <c r="AG646" s="11">
        <f t="shared" si="58"/>
        <v>7.42</v>
      </c>
      <c r="AH646" t="s">
        <v>51</v>
      </c>
    </row>
    <row r="647" spans="1:34" ht="15" customHeight="1" x14ac:dyDescent="0.25">
      <c r="A647">
        <v>7547676</v>
      </c>
      <c r="B647" t="s">
        <v>34</v>
      </c>
      <c r="C647" t="s">
        <v>35</v>
      </c>
      <c r="D647" s="6" t="s">
        <v>34</v>
      </c>
      <c r="E647" t="s">
        <v>1958</v>
      </c>
      <c r="F647" t="s">
        <v>37</v>
      </c>
      <c r="G647" t="s">
        <v>38</v>
      </c>
      <c r="H647" t="s">
        <v>1959</v>
      </c>
      <c r="I647" t="s">
        <v>40</v>
      </c>
      <c r="J647">
        <v>2</v>
      </c>
      <c r="K647" t="s">
        <v>41</v>
      </c>
      <c r="L647" t="s">
        <v>42</v>
      </c>
      <c r="M647" t="s">
        <v>43</v>
      </c>
      <c r="N647" s="7">
        <v>1</v>
      </c>
      <c r="O647" s="8">
        <v>45510.843310185184</v>
      </c>
      <c r="P647" s="9">
        <v>45516</v>
      </c>
      <c r="Q647" t="s">
        <v>44</v>
      </c>
      <c r="R647" t="s">
        <v>45</v>
      </c>
      <c r="S647" t="s">
        <v>46</v>
      </c>
      <c r="T647" t="s">
        <v>54</v>
      </c>
      <c r="U647" t="s">
        <v>1960</v>
      </c>
      <c r="V647">
        <v>80000</v>
      </c>
      <c r="W647" t="s">
        <v>45</v>
      </c>
      <c r="X647" t="s">
        <v>1878</v>
      </c>
      <c r="Y647" t="s">
        <v>50</v>
      </c>
      <c r="Z647" s="10">
        <f t="shared" si="56"/>
        <v>9</v>
      </c>
      <c r="AA647" s="11">
        <v>0</v>
      </c>
      <c r="AB647" s="11">
        <v>-2</v>
      </c>
      <c r="AC647" s="11">
        <v>0</v>
      </c>
      <c r="AD647" s="11">
        <v>0</v>
      </c>
      <c r="AE647" s="11">
        <v>0</v>
      </c>
      <c r="AF647" s="11">
        <f t="shared" si="57"/>
        <v>0.42</v>
      </c>
      <c r="AG647" s="11">
        <f t="shared" si="58"/>
        <v>7.42</v>
      </c>
      <c r="AH647" t="s">
        <v>51</v>
      </c>
    </row>
    <row r="648" spans="1:34" ht="15" customHeight="1" x14ac:dyDescent="0.25">
      <c r="A648">
        <v>7547676</v>
      </c>
      <c r="B648" t="s">
        <v>34</v>
      </c>
      <c r="C648" t="s">
        <v>35</v>
      </c>
      <c r="D648" s="6" t="s">
        <v>34</v>
      </c>
      <c r="E648" t="s">
        <v>1961</v>
      </c>
      <c r="F648" t="s">
        <v>37</v>
      </c>
      <c r="G648" t="s">
        <v>38</v>
      </c>
      <c r="H648" t="s">
        <v>998</v>
      </c>
      <c r="I648" t="s">
        <v>40</v>
      </c>
      <c r="J648">
        <v>2</v>
      </c>
      <c r="K648" t="s">
        <v>41</v>
      </c>
      <c r="L648" t="s">
        <v>42</v>
      </c>
      <c r="M648" t="s">
        <v>43</v>
      </c>
      <c r="N648" s="7">
        <v>1</v>
      </c>
      <c r="O648" s="8">
        <v>45515.70853009259</v>
      </c>
      <c r="P648" s="9">
        <v>45516</v>
      </c>
      <c r="Q648" t="s">
        <v>44</v>
      </c>
      <c r="R648" t="s">
        <v>45</v>
      </c>
      <c r="S648" t="s">
        <v>46</v>
      </c>
      <c r="T648" t="s">
        <v>92</v>
      </c>
      <c r="U648" t="s">
        <v>1962</v>
      </c>
      <c r="V648">
        <v>41200</v>
      </c>
      <c r="W648" t="s">
        <v>45</v>
      </c>
      <c r="X648" t="s">
        <v>113</v>
      </c>
      <c r="Y648" t="s">
        <v>50</v>
      </c>
      <c r="Z648" s="10">
        <f t="shared" si="56"/>
        <v>9</v>
      </c>
      <c r="AA648" s="11">
        <v>0</v>
      </c>
      <c r="AB648" s="11">
        <v>-2</v>
      </c>
      <c r="AC648" s="11">
        <v>0</v>
      </c>
      <c r="AD648" s="11">
        <v>0</v>
      </c>
      <c r="AE648" s="11">
        <v>0</v>
      </c>
      <c r="AF648" s="11">
        <f t="shared" si="57"/>
        <v>0.42</v>
      </c>
      <c r="AG648" s="11">
        <f t="shared" si="58"/>
        <v>7.42</v>
      </c>
      <c r="AH648" t="s">
        <v>51</v>
      </c>
    </row>
    <row r="649" spans="1:34" ht="15" customHeight="1" x14ac:dyDescent="0.25">
      <c r="A649">
        <v>7547676</v>
      </c>
      <c r="B649" t="s">
        <v>34</v>
      </c>
      <c r="C649" t="s">
        <v>35</v>
      </c>
      <c r="D649" s="6" t="s">
        <v>34</v>
      </c>
      <c r="E649" t="s">
        <v>1963</v>
      </c>
      <c r="F649" t="s">
        <v>37</v>
      </c>
      <c r="G649" t="s">
        <v>38</v>
      </c>
      <c r="H649" t="s">
        <v>555</v>
      </c>
      <c r="I649" t="s">
        <v>40</v>
      </c>
      <c r="J649">
        <v>2</v>
      </c>
      <c r="K649" t="s">
        <v>41</v>
      </c>
      <c r="L649" t="s">
        <v>42</v>
      </c>
      <c r="M649" t="s">
        <v>43</v>
      </c>
      <c r="N649" s="7">
        <v>10</v>
      </c>
      <c r="O649" s="8">
        <v>45515.714756944442</v>
      </c>
      <c r="P649" s="9">
        <v>45516</v>
      </c>
      <c r="Q649" t="s">
        <v>44</v>
      </c>
      <c r="R649" t="s">
        <v>45</v>
      </c>
      <c r="S649" t="s">
        <v>46</v>
      </c>
      <c r="T649" t="s">
        <v>72</v>
      </c>
      <c r="U649" t="s">
        <v>556</v>
      </c>
      <c r="V649">
        <v>20050</v>
      </c>
      <c r="W649" t="s">
        <v>45</v>
      </c>
      <c r="X649" t="s">
        <v>557</v>
      </c>
      <c r="Y649" t="s">
        <v>50</v>
      </c>
      <c r="Z649" s="10">
        <f t="shared" si="56"/>
        <v>16.2</v>
      </c>
      <c r="AA649" s="11">
        <v>0</v>
      </c>
      <c r="AB649" s="11">
        <v>-2</v>
      </c>
      <c r="AC649" s="11">
        <v>0</v>
      </c>
      <c r="AD649" s="11">
        <v>0</v>
      </c>
      <c r="AE649" s="11">
        <v>0</v>
      </c>
      <c r="AF649" s="11">
        <f t="shared" si="57"/>
        <v>0.85199999999999998</v>
      </c>
      <c r="AG649" s="11">
        <f t="shared" si="58"/>
        <v>15.052</v>
      </c>
      <c r="AH649" t="s">
        <v>51</v>
      </c>
    </row>
    <row r="650" spans="1:34" ht="15" customHeight="1" x14ac:dyDescent="0.25">
      <c r="A650">
        <v>7547676</v>
      </c>
      <c r="B650" t="s">
        <v>34</v>
      </c>
      <c r="C650" t="s">
        <v>35</v>
      </c>
      <c r="D650" s="6" t="s">
        <v>34</v>
      </c>
      <c r="E650" t="s">
        <v>1964</v>
      </c>
      <c r="F650" t="s">
        <v>37</v>
      </c>
      <c r="G650" t="s">
        <v>38</v>
      </c>
      <c r="H650" t="s">
        <v>1965</v>
      </c>
      <c r="I650" t="s">
        <v>40</v>
      </c>
      <c r="J650">
        <v>2</v>
      </c>
      <c r="K650" t="s">
        <v>41</v>
      </c>
      <c r="L650" t="s">
        <v>42</v>
      </c>
      <c r="M650" t="s">
        <v>43</v>
      </c>
      <c r="N650" s="7">
        <v>6</v>
      </c>
      <c r="O650" s="8">
        <v>45514.839687500003</v>
      </c>
      <c r="P650" s="9">
        <v>45516</v>
      </c>
      <c r="Q650" t="s">
        <v>44</v>
      </c>
      <c r="R650" t="s">
        <v>45</v>
      </c>
      <c r="S650" t="s">
        <v>46</v>
      </c>
      <c r="T650" t="s">
        <v>92</v>
      </c>
      <c r="U650" t="s">
        <v>1966</v>
      </c>
      <c r="V650">
        <v>68100</v>
      </c>
      <c r="W650" t="s">
        <v>45</v>
      </c>
      <c r="X650" t="s">
        <v>1842</v>
      </c>
      <c r="Y650" t="s">
        <v>50</v>
      </c>
      <c r="Z650" s="10">
        <f t="shared" si="56"/>
        <v>13</v>
      </c>
      <c r="AA650" s="11">
        <v>0</v>
      </c>
      <c r="AB650" s="11">
        <v>-2</v>
      </c>
      <c r="AC650" s="11">
        <v>0</v>
      </c>
      <c r="AD650" s="11">
        <v>0</v>
      </c>
      <c r="AE650" s="11">
        <v>0</v>
      </c>
      <c r="AF650" s="11">
        <f t="shared" si="57"/>
        <v>0.65999999999999992</v>
      </c>
      <c r="AG650" s="11">
        <f t="shared" si="58"/>
        <v>11.66</v>
      </c>
      <c r="AH650" t="s">
        <v>51</v>
      </c>
    </row>
    <row r="651" spans="1:34" ht="15" customHeight="1" x14ac:dyDescent="0.25">
      <c r="A651">
        <v>7547676</v>
      </c>
      <c r="B651" t="s">
        <v>34</v>
      </c>
      <c r="C651" t="s">
        <v>35</v>
      </c>
      <c r="D651" s="6" t="s">
        <v>34</v>
      </c>
      <c r="E651" t="s">
        <v>1967</v>
      </c>
      <c r="F651" t="s">
        <v>37</v>
      </c>
      <c r="G651" t="s">
        <v>38</v>
      </c>
      <c r="H651" t="s">
        <v>1968</v>
      </c>
      <c r="I651" t="s">
        <v>40</v>
      </c>
      <c r="J651">
        <v>2</v>
      </c>
      <c r="K651" t="s">
        <v>41</v>
      </c>
      <c r="L651" t="s">
        <v>42</v>
      </c>
      <c r="M651" t="s">
        <v>43</v>
      </c>
      <c r="N651" s="7">
        <v>1</v>
      </c>
      <c r="O651" s="8">
        <v>45515.711423611108</v>
      </c>
      <c r="P651" s="9">
        <v>45516</v>
      </c>
      <c r="Q651" t="s">
        <v>44</v>
      </c>
      <c r="R651" t="s">
        <v>45</v>
      </c>
      <c r="S651" t="s">
        <v>46</v>
      </c>
      <c r="T651" t="s">
        <v>72</v>
      </c>
      <c r="U651" t="s">
        <v>1969</v>
      </c>
      <c r="V651">
        <v>24000</v>
      </c>
      <c r="W651" t="s">
        <v>45</v>
      </c>
      <c r="X651" t="s">
        <v>225</v>
      </c>
      <c r="Y651" t="s">
        <v>50</v>
      </c>
      <c r="Z651" s="10">
        <f t="shared" si="56"/>
        <v>9</v>
      </c>
      <c r="AA651" s="11">
        <v>0</v>
      </c>
      <c r="AB651" s="11">
        <v>-2</v>
      </c>
      <c r="AC651" s="11">
        <v>0</v>
      </c>
      <c r="AD651" s="11">
        <v>0</v>
      </c>
      <c r="AE651" s="11">
        <v>0</v>
      </c>
      <c r="AF651" s="11">
        <f t="shared" si="57"/>
        <v>0.42</v>
      </c>
      <c r="AG651" s="11">
        <f t="shared" si="58"/>
        <v>7.42</v>
      </c>
      <c r="AH651" t="s">
        <v>51</v>
      </c>
    </row>
    <row r="652" spans="1:34" ht="15" customHeight="1" x14ac:dyDescent="0.25">
      <c r="A652">
        <v>7547676</v>
      </c>
      <c r="B652" t="s">
        <v>34</v>
      </c>
      <c r="C652" t="s">
        <v>35</v>
      </c>
      <c r="D652" s="6" t="s">
        <v>34</v>
      </c>
      <c r="E652" t="s">
        <v>1970</v>
      </c>
      <c r="F652" t="s">
        <v>37</v>
      </c>
      <c r="G652" t="s">
        <v>38</v>
      </c>
      <c r="H652" t="s">
        <v>1971</v>
      </c>
      <c r="I652" t="s">
        <v>40</v>
      </c>
      <c r="J652">
        <v>2</v>
      </c>
      <c r="K652" t="s">
        <v>41</v>
      </c>
      <c r="L652" t="s">
        <v>42</v>
      </c>
      <c r="M652" t="s">
        <v>43</v>
      </c>
      <c r="N652" s="7">
        <v>3</v>
      </c>
      <c r="O652" s="8">
        <v>45514.48369212963</v>
      </c>
      <c r="P652" s="9">
        <v>45516</v>
      </c>
      <c r="Q652" t="s">
        <v>44</v>
      </c>
      <c r="R652" t="s">
        <v>45</v>
      </c>
      <c r="S652" t="s">
        <v>46</v>
      </c>
      <c r="T652" t="s">
        <v>92</v>
      </c>
      <c r="U652" t="s">
        <v>1972</v>
      </c>
      <c r="V652">
        <v>43900</v>
      </c>
      <c r="W652" t="s">
        <v>45</v>
      </c>
      <c r="X652" t="s">
        <v>1193</v>
      </c>
      <c r="Y652" t="s">
        <v>50</v>
      </c>
      <c r="Z652" s="10">
        <f t="shared" si="56"/>
        <v>10.6</v>
      </c>
      <c r="AA652" s="11">
        <v>0</v>
      </c>
      <c r="AB652" s="11">
        <v>-2</v>
      </c>
      <c r="AC652" s="11">
        <v>0</v>
      </c>
      <c r="AD652" s="11">
        <v>0</v>
      </c>
      <c r="AE652" s="11">
        <v>0</v>
      </c>
      <c r="AF652" s="11">
        <f t="shared" si="57"/>
        <v>0.51600000000000001</v>
      </c>
      <c r="AG652" s="11">
        <f t="shared" si="58"/>
        <v>9.1159999999999997</v>
      </c>
      <c r="AH652" t="s">
        <v>51</v>
      </c>
    </row>
    <row r="653" spans="1:34" ht="15" customHeight="1" x14ac:dyDescent="0.25">
      <c r="A653">
        <v>7547676</v>
      </c>
      <c r="B653" t="s">
        <v>34</v>
      </c>
      <c r="C653" t="s">
        <v>35</v>
      </c>
      <c r="D653" s="6" t="s">
        <v>34</v>
      </c>
      <c r="E653" t="s">
        <v>1973</v>
      </c>
      <c r="F653" t="s">
        <v>37</v>
      </c>
      <c r="G653" t="s">
        <v>38</v>
      </c>
      <c r="H653" t="s">
        <v>1974</v>
      </c>
      <c r="I653" t="s">
        <v>40</v>
      </c>
      <c r="J653">
        <v>2</v>
      </c>
      <c r="K653" t="s">
        <v>41</v>
      </c>
      <c r="L653" t="s">
        <v>42</v>
      </c>
      <c r="M653" t="s">
        <v>43</v>
      </c>
      <c r="N653" s="7">
        <v>7</v>
      </c>
      <c r="O653" s="8">
        <v>45514.643773148149</v>
      </c>
      <c r="P653" s="9">
        <v>45516</v>
      </c>
      <c r="Q653" t="s">
        <v>44</v>
      </c>
      <c r="R653" t="s">
        <v>45</v>
      </c>
      <c r="S653" t="s">
        <v>46</v>
      </c>
      <c r="T653" t="s">
        <v>107</v>
      </c>
      <c r="U653" t="s">
        <v>1975</v>
      </c>
      <c r="V653">
        <v>8100</v>
      </c>
      <c r="W653" t="s">
        <v>45</v>
      </c>
      <c r="X653" t="s">
        <v>1478</v>
      </c>
      <c r="Y653" t="s">
        <v>50</v>
      </c>
      <c r="Z653" s="10">
        <f t="shared" si="56"/>
        <v>13.8</v>
      </c>
      <c r="AA653" s="11">
        <v>0</v>
      </c>
      <c r="AB653" s="11">
        <v>-2</v>
      </c>
      <c r="AC653" s="11">
        <v>0</v>
      </c>
      <c r="AD653" s="11">
        <v>0</v>
      </c>
      <c r="AE653" s="11">
        <v>0</v>
      </c>
      <c r="AF653" s="11">
        <f t="shared" si="57"/>
        <v>0.70799999999999996</v>
      </c>
      <c r="AG653" s="11">
        <f t="shared" si="58"/>
        <v>12.508000000000001</v>
      </c>
      <c r="AH653" t="s">
        <v>51</v>
      </c>
    </row>
    <row r="654" spans="1:34" ht="15" customHeight="1" x14ac:dyDescent="0.25">
      <c r="A654">
        <v>7547676</v>
      </c>
      <c r="B654" t="s">
        <v>34</v>
      </c>
      <c r="C654" t="s">
        <v>35</v>
      </c>
      <c r="D654" s="6" t="s">
        <v>34</v>
      </c>
      <c r="E654" t="s">
        <v>1976</v>
      </c>
      <c r="F654" t="s">
        <v>37</v>
      </c>
      <c r="G654" t="s">
        <v>38</v>
      </c>
      <c r="H654" t="s">
        <v>1977</v>
      </c>
      <c r="I654" t="s">
        <v>40</v>
      </c>
      <c r="J654">
        <v>2</v>
      </c>
      <c r="K654" t="s">
        <v>41</v>
      </c>
      <c r="L654" t="s">
        <v>42</v>
      </c>
      <c r="M654" t="s">
        <v>43</v>
      </c>
      <c r="N654" s="7">
        <v>11</v>
      </c>
      <c r="O654" s="8">
        <v>45514.741238425922</v>
      </c>
      <c r="P654" s="9">
        <v>45516</v>
      </c>
      <c r="Q654" t="s">
        <v>44</v>
      </c>
      <c r="R654" t="s">
        <v>45</v>
      </c>
      <c r="S654" t="s">
        <v>46</v>
      </c>
      <c r="T654" t="s">
        <v>92</v>
      </c>
      <c r="U654" t="s">
        <v>1978</v>
      </c>
      <c r="V654">
        <v>52200</v>
      </c>
      <c r="W654" t="s">
        <v>45</v>
      </c>
      <c r="X654" t="s">
        <v>69</v>
      </c>
      <c r="Y654" t="s">
        <v>50</v>
      </c>
      <c r="Z654" s="10">
        <f t="shared" si="56"/>
        <v>17</v>
      </c>
      <c r="AA654" s="11">
        <v>0</v>
      </c>
      <c r="AB654" s="11">
        <v>-2</v>
      </c>
      <c r="AC654" s="11">
        <v>0</v>
      </c>
      <c r="AD654" s="11">
        <v>0</v>
      </c>
      <c r="AE654" s="11">
        <v>0</v>
      </c>
      <c r="AF654" s="11">
        <f t="shared" si="57"/>
        <v>0.89999999999999991</v>
      </c>
      <c r="AG654" s="11">
        <f t="shared" si="58"/>
        <v>15.9</v>
      </c>
      <c r="AH654" t="s">
        <v>51</v>
      </c>
    </row>
    <row r="655" spans="1:34" ht="15" customHeight="1" x14ac:dyDescent="0.25">
      <c r="A655">
        <v>7547676</v>
      </c>
      <c r="B655" t="s">
        <v>34</v>
      </c>
      <c r="C655" t="s">
        <v>35</v>
      </c>
      <c r="D655" s="6" t="s">
        <v>34</v>
      </c>
      <c r="E655" t="s">
        <v>1979</v>
      </c>
      <c r="F655" t="s">
        <v>37</v>
      </c>
      <c r="G655" t="s">
        <v>38</v>
      </c>
      <c r="H655" t="s">
        <v>1980</v>
      </c>
      <c r="I655" t="s">
        <v>40</v>
      </c>
      <c r="J655">
        <v>2</v>
      </c>
      <c r="K655" t="s">
        <v>41</v>
      </c>
      <c r="L655" t="s">
        <v>42</v>
      </c>
      <c r="M655" t="s">
        <v>43</v>
      </c>
      <c r="N655" s="7">
        <v>3</v>
      </c>
      <c r="O655" s="8">
        <v>45514.743576388886</v>
      </c>
      <c r="P655" s="9">
        <v>45516</v>
      </c>
      <c r="Q655" t="s">
        <v>44</v>
      </c>
      <c r="R655" t="s">
        <v>45</v>
      </c>
      <c r="S655" t="s">
        <v>46</v>
      </c>
      <c r="T655" t="s">
        <v>223</v>
      </c>
      <c r="U655" t="s">
        <v>1981</v>
      </c>
      <c r="V655">
        <v>25300</v>
      </c>
      <c r="W655" t="s">
        <v>45</v>
      </c>
      <c r="X655" t="s">
        <v>619</v>
      </c>
      <c r="Y655" t="s">
        <v>50</v>
      </c>
      <c r="Z655" s="10">
        <f t="shared" si="56"/>
        <v>10.6</v>
      </c>
      <c r="AA655" s="11">
        <v>0</v>
      </c>
      <c r="AB655" s="11">
        <v>-2</v>
      </c>
      <c r="AC655" s="11">
        <v>0</v>
      </c>
      <c r="AD655" s="11">
        <v>0</v>
      </c>
      <c r="AE655" s="11">
        <v>0</v>
      </c>
      <c r="AF655" s="11">
        <f t="shared" si="57"/>
        <v>0.51600000000000001</v>
      </c>
      <c r="AG655" s="11">
        <f t="shared" si="58"/>
        <v>9.1159999999999997</v>
      </c>
      <c r="AH655" t="s">
        <v>51</v>
      </c>
    </row>
    <row r="656" spans="1:34" ht="15" customHeight="1" x14ac:dyDescent="0.25">
      <c r="A656">
        <v>7547676</v>
      </c>
      <c r="B656" t="s">
        <v>34</v>
      </c>
      <c r="C656" t="s">
        <v>35</v>
      </c>
      <c r="D656" s="6" t="s">
        <v>34</v>
      </c>
      <c r="E656" t="s">
        <v>1982</v>
      </c>
      <c r="F656" t="s">
        <v>37</v>
      </c>
      <c r="G656" t="s">
        <v>38</v>
      </c>
      <c r="H656" t="s">
        <v>1983</v>
      </c>
      <c r="I656" t="s">
        <v>40</v>
      </c>
      <c r="J656">
        <v>2</v>
      </c>
      <c r="K656" t="s">
        <v>41</v>
      </c>
      <c r="L656" t="s">
        <v>42</v>
      </c>
      <c r="M656" t="s">
        <v>43</v>
      </c>
      <c r="N656" s="7">
        <v>1</v>
      </c>
      <c r="O656" s="8">
        <v>45512.881851851853</v>
      </c>
      <c r="P656" s="9">
        <v>45516</v>
      </c>
      <c r="Q656" t="s">
        <v>386</v>
      </c>
      <c r="R656" t="s">
        <v>45</v>
      </c>
      <c r="S656" t="s">
        <v>46</v>
      </c>
      <c r="T656" t="s">
        <v>146</v>
      </c>
      <c r="U656" t="s">
        <v>1984</v>
      </c>
      <c r="V656">
        <v>54100</v>
      </c>
      <c r="W656" t="s">
        <v>45</v>
      </c>
      <c r="X656" t="s">
        <v>1985</v>
      </c>
      <c r="Y656" t="s">
        <v>50</v>
      </c>
      <c r="Z656" s="10">
        <f t="shared" si="56"/>
        <v>9</v>
      </c>
      <c r="AA656" s="11">
        <v>0</v>
      </c>
      <c r="AB656" s="11">
        <v>-2</v>
      </c>
      <c r="AC656" s="11">
        <v>0</v>
      </c>
      <c r="AD656" s="11">
        <v>0</v>
      </c>
      <c r="AE656" s="11">
        <v>0</v>
      </c>
      <c r="AF656" s="11">
        <f t="shared" si="57"/>
        <v>0.42</v>
      </c>
      <c r="AG656" s="11">
        <f t="shared" si="58"/>
        <v>7.42</v>
      </c>
      <c r="AH656" t="s">
        <v>51</v>
      </c>
    </row>
    <row r="657" spans="1:34" ht="15" customHeight="1" x14ac:dyDescent="0.25">
      <c r="A657">
        <v>7547676</v>
      </c>
      <c r="B657" t="s">
        <v>34</v>
      </c>
      <c r="C657" t="s">
        <v>35</v>
      </c>
      <c r="D657" s="6" t="s">
        <v>34</v>
      </c>
      <c r="E657" t="s">
        <v>1986</v>
      </c>
      <c r="F657" t="s">
        <v>37</v>
      </c>
      <c r="G657" t="s">
        <v>38</v>
      </c>
      <c r="H657" t="s">
        <v>1987</v>
      </c>
      <c r="I657" t="s">
        <v>40</v>
      </c>
      <c r="J657">
        <v>2</v>
      </c>
      <c r="K657" t="s">
        <v>41</v>
      </c>
      <c r="L657" t="s">
        <v>42</v>
      </c>
      <c r="M657" t="s">
        <v>43</v>
      </c>
      <c r="N657" s="7">
        <v>4</v>
      </c>
      <c r="O657" s="8">
        <v>45512.874282407407</v>
      </c>
      <c r="P657" s="9">
        <v>45516</v>
      </c>
      <c r="Q657" t="s">
        <v>386</v>
      </c>
      <c r="R657" t="s">
        <v>45</v>
      </c>
      <c r="S657" t="s">
        <v>46</v>
      </c>
      <c r="T657" t="s">
        <v>92</v>
      </c>
      <c r="U657" t="s">
        <v>1988</v>
      </c>
      <c r="V657">
        <v>47500</v>
      </c>
      <c r="W657" t="s">
        <v>45</v>
      </c>
      <c r="X657" t="s">
        <v>104</v>
      </c>
      <c r="Y657" t="s">
        <v>50</v>
      </c>
      <c r="Z657" s="10">
        <f t="shared" si="56"/>
        <v>11.4</v>
      </c>
      <c r="AA657" s="11">
        <v>0</v>
      </c>
      <c r="AB657" s="11">
        <v>-2</v>
      </c>
      <c r="AC657" s="11">
        <v>0</v>
      </c>
      <c r="AD657" s="11">
        <v>0</v>
      </c>
      <c r="AE657" s="11">
        <v>0</v>
      </c>
      <c r="AF657" s="11">
        <f t="shared" si="57"/>
        <v>0.56399999999999995</v>
      </c>
      <c r="AG657" s="11">
        <f t="shared" si="58"/>
        <v>9.9640000000000004</v>
      </c>
      <c r="AH657" t="s">
        <v>51</v>
      </c>
    </row>
    <row r="658" spans="1:34" ht="15" customHeight="1" x14ac:dyDescent="0.25">
      <c r="A658">
        <v>7547676</v>
      </c>
      <c r="B658" t="s">
        <v>34</v>
      </c>
      <c r="C658" t="s">
        <v>35</v>
      </c>
      <c r="D658" s="6" t="s">
        <v>34</v>
      </c>
      <c r="E658" t="s">
        <v>1989</v>
      </c>
      <c r="F658" t="s">
        <v>37</v>
      </c>
      <c r="G658" t="s">
        <v>38</v>
      </c>
      <c r="H658" t="s">
        <v>1990</v>
      </c>
      <c r="I658" t="s">
        <v>40</v>
      </c>
      <c r="J658">
        <v>2</v>
      </c>
      <c r="K658" t="s">
        <v>41</v>
      </c>
      <c r="L658" t="s">
        <v>42</v>
      </c>
      <c r="M658" t="s">
        <v>43</v>
      </c>
      <c r="N658" s="7">
        <v>1</v>
      </c>
      <c r="O658" s="8">
        <v>45512.766111111108</v>
      </c>
      <c r="P658" s="9">
        <v>45516</v>
      </c>
      <c r="Q658" t="s">
        <v>386</v>
      </c>
      <c r="R658" t="s">
        <v>45</v>
      </c>
      <c r="S658" t="s">
        <v>46</v>
      </c>
      <c r="T658" t="s">
        <v>92</v>
      </c>
      <c r="U658" t="s">
        <v>1991</v>
      </c>
      <c r="V658">
        <v>47130</v>
      </c>
      <c r="W658" t="s">
        <v>45</v>
      </c>
      <c r="X658" t="s">
        <v>135</v>
      </c>
      <c r="Y658" t="s">
        <v>50</v>
      </c>
      <c r="Z658" s="10">
        <f t="shared" si="56"/>
        <v>9</v>
      </c>
      <c r="AA658" s="11">
        <v>0</v>
      </c>
      <c r="AB658" s="11">
        <v>-2</v>
      </c>
      <c r="AC658" s="11">
        <v>0</v>
      </c>
      <c r="AD658" s="11">
        <v>0</v>
      </c>
      <c r="AE658" s="11">
        <v>0</v>
      </c>
      <c r="AF658" s="11">
        <f t="shared" si="57"/>
        <v>0.42</v>
      </c>
      <c r="AG658" s="11">
        <f t="shared" si="58"/>
        <v>7.42</v>
      </c>
      <c r="AH658" t="s">
        <v>51</v>
      </c>
    </row>
    <row r="659" spans="1:34" ht="15" customHeight="1" x14ac:dyDescent="0.25">
      <c r="A659">
        <v>7547676</v>
      </c>
      <c r="B659" t="s">
        <v>34</v>
      </c>
      <c r="C659" t="s">
        <v>35</v>
      </c>
      <c r="D659" s="6" t="s">
        <v>34</v>
      </c>
      <c r="E659" t="s">
        <v>1992</v>
      </c>
      <c r="F659" t="s">
        <v>37</v>
      </c>
      <c r="G659" t="s">
        <v>38</v>
      </c>
      <c r="H659" t="s">
        <v>1993</v>
      </c>
      <c r="I659" t="s">
        <v>40</v>
      </c>
      <c r="J659">
        <v>2</v>
      </c>
      <c r="K659" t="s">
        <v>41</v>
      </c>
      <c r="L659" t="s">
        <v>42</v>
      </c>
      <c r="M659" t="s">
        <v>43</v>
      </c>
      <c r="N659" s="7">
        <v>1</v>
      </c>
      <c r="O659" s="8">
        <v>45512.761261574073</v>
      </c>
      <c r="P659" s="9">
        <v>45516</v>
      </c>
      <c r="Q659" t="s">
        <v>386</v>
      </c>
      <c r="R659" t="s">
        <v>45</v>
      </c>
      <c r="S659" t="s">
        <v>46</v>
      </c>
      <c r="T659" t="s">
        <v>146</v>
      </c>
      <c r="U659" t="s">
        <v>1994</v>
      </c>
      <c r="V659">
        <v>47180</v>
      </c>
      <c r="W659" t="s">
        <v>45</v>
      </c>
      <c r="X659" t="s">
        <v>993</v>
      </c>
      <c r="Y659" t="s">
        <v>50</v>
      </c>
      <c r="Z659" s="10">
        <f t="shared" si="56"/>
        <v>9</v>
      </c>
      <c r="AA659" s="11">
        <v>0</v>
      </c>
      <c r="AB659" s="11">
        <v>-2</v>
      </c>
      <c r="AC659" s="11">
        <v>0</v>
      </c>
      <c r="AD659" s="11">
        <v>0</v>
      </c>
      <c r="AE659" s="11">
        <v>0</v>
      </c>
      <c r="AF659" s="11">
        <f t="shared" si="57"/>
        <v>0.42</v>
      </c>
      <c r="AG659" s="11">
        <f t="shared" si="58"/>
        <v>7.42</v>
      </c>
      <c r="AH659" t="s">
        <v>51</v>
      </c>
    </row>
    <row r="660" spans="1:34" ht="15" customHeight="1" x14ac:dyDescent="0.25">
      <c r="A660">
        <v>7547676</v>
      </c>
      <c r="B660" t="s">
        <v>34</v>
      </c>
      <c r="C660" t="s">
        <v>35</v>
      </c>
      <c r="D660" s="6" t="s">
        <v>34</v>
      </c>
      <c r="E660" t="s">
        <v>1995</v>
      </c>
      <c r="F660" t="s">
        <v>37</v>
      </c>
      <c r="G660" t="s">
        <v>38</v>
      </c>
      <c r="H660" t="s">
        <v>1996</v>
      </c>
      <c r="I660" t="s">
        <v>40</v>
      </c>
      <c r="J660">
        <v>2</v>
      </c>
      <c r="K660" t="s">
        <v>41</v>
      </c>
      <c r="L660" t="s">
        <v>42</v>
      </c>
      <c r="M660" t="s">
        <v>43</v>
      </c>
      <c r="N660" s="7">
        <v>1</v>
      </c>
      <c r="O660" s="8">
        <v>45515.599409722221</v>
      </c>
      <c r="P660" s="9">
        <v>45516</v>
      </c>
      <c r="Q660" t="s">
        <v>44</v>
      </c>
      <c r="R660" t="s">
        <v>45</v>
      </c>
      <c r="S660" t="s">
        <v>46</v>
      </c>
      <c r="T660" t="s">
        <v>92</v>
      </c>
      <c r="U660" t="s">
        <v>1997</v>
      </c>
      <c r="V660">
        <v>47820</v>
      </c>
      <c r="W660" t="s">
        <v>45</v>
      </c>
      <c r="X660" t="s">
        <v>1247</v>
      </c>
      <c r="Y660" t="s">
        <v>50</v>
      </c>
      <c r="Z660" s="10">
        <f>IF(N660&lt;=1,9,9+0.8*ROUNDUP(N660-1,0))</f>
        <v>9</v>
      </c>
      <c r="AA660" s="11">
        <v>0</v>
      </c>
      <c r="AB660" s="11">
        <v>-2</v>
      </c>
      <c r="AC660" s="11">
        <v>0</v>
      </c>
      <c r="AD660" s="11">
        <v>0</v>
      </c>
      <c r="AE660" s="11">
        <v>0</v>
      </c>
      <c r="AF660" s="11">
        <f t="shared" si="57"/>
        <v>0.42</v>
      </c>
      <c r="AG660" s="11">
        <f t="shared" si="58"/>
        <v>7.42</v>
      </c>
      <c r="AH660" t="s">
        <v>51</v>
      </c>
    </row>
    <row r="661" spans="1:34" ht="15" customHeight="1" x14ac:dyDescent="0.25">
      <c r="A661">
        <v>7547676</v>
      </c>
      <c r="B661" t="s">
        <v>34</v>
      </c>
      <c r="C661" t="s">
        <v>35</v>
      </c>
      <c r="D661" s="6" t="s">
        <v>34</v>
      </c>
      <c r="E661" t="s">
        <v>1998</v>
      </c>
      <c r="F661" t="s">
        <v>37</v>
      </c>
      <c r="G661" t="s">
        <v>38</v>
      </c>
      <c r="H661" t="s">
        <v>1999</v>
      </c>
      <c r="I661" t="s">
        <v>40</v>
      </c>
      <c r="J661">
        <v>2</v>
      </c>
      <c r="K661" t="s">
        <v>41</v>
      </c>
      <c r="L661" t="s">
        <v>42</v>
      </c>
      <c r="M661" t="s">
        <v>43</v>
      </c>
      <c r="N661" s="7">
        <v>7</v>
      </c>
      <c r="O661" s="8">
        <v>45514.643773148149</v>
      </c>
      <c r="P661" s="9">
        <v>45516</v>
      </c>
      <c r="Q661" t="s">
        <v>44</v>
      </c>
      <c r="R661" t="s">
        <v>45</v>
      </c>
      <c r="S661" t="s">
        <v>46</v>
      </c>
      <c r="T661" t="s">
        <v>146</v>
      </c>
      <c r="U661" t="s">
        <v>2000</v>
      </c>
      <c r="V661">
        <v>50480</v>
      </c>
      <c r="W661" t="s">
        <v>45</v>
      </c>
      <c r="X661" t="s">
        <v>148</v>
      </c>
      <c r="Y661" t="s">
        <v>50</v>
      </c>
      <c r="Z661" s="10">
        <f>IF(N661&lt;=1,9,9+0.8*ROUNDUP(N661-1,0))</f>
        <v>13.8</v>
      </c>
      <c r="AA661" s="11">
        <v>0</v>
      </c>
      <c r="AB661" s="11">
        <v>-2</v>
      </c>
      <c r="AC661" s="11">
        <v>0</v>
      </c>
      <c r="AD661" s="11">
        <v>0</v>
      </c>
      <c r="AE661" s="11">
        <v>0</v>
      </c>
      <c r="AF661" s="11">
        <f t="shared" si="57"/>
        <v>0.70799999999999996</v>
      </c>
      <c r="AG661" s="11">
        <f t="shared" si="58"/>
        <v>12.508000000000001</v>
      </c>
      <c r="AH661" t="s">
        <v>51</v>
      </c>
    </row>
    <row r="662" spans="1:34" ht="15" customHeight="1" x14ac:dyDescent="0.25">
      <c r="A662">
        <v>7547676</v>
      </c>
      <c r="B662" t="s">
        <v>34</v>
      </c>
      <c r="C662" t="s">
        <v>35</v>
      </c>
      <c r="D662" s="6" t="s">
        <v>34</v>
      </c>
      <c r="E662" t="s">
        <v>2001</v>
      </c>
      <c r="F662" t="s">
        <v>37</v>
      </c>
      <c r="G662" t="s">
        <v>38</v>
      </c>
      <c r="H662" t="s">
        <v>2002</v>
      </c>
      <c r="I662" t="s">
        <v>40</v>
      </c>
      <c r="J662">
        <v>2</v>
      </c>
      <c r="K662" t="s">
        <v>41</v>
      </c>
      <c r="L662" t="s">
        <v>42</v>
      </c>
      <c r="M662" t="s">
        <v>43</v>
      </c>
      <c r="N662" s="7">
        <v>1</v>
      </c>
      <c r="O662" s="8">
        <v>45514.733935185184</v>
      </c>
      <c r="P662" s="9">
        <v>45516</v>
      </c>
      <c r="Q662" t="s">
        <v>44</v>
      </c>
      <c r="R662" t="s">
        <v>45</v>
      </c>
      <c r="S662" t="s">
        <v>46</v>
      </c>
      <c r="T662" t="s">
        <v>59</v>
      </c>
      <c r="U662" t="s">
        <v>2003</v>
      </c>
      <c r="V662">
        <v>13200</v>
      </c>
      <c r="W662" t="s">
        <v>45</v>
      </c>
      <c r="X662" t="s">
        <v>61</v>
      </c>
      <c r="Y662" t="s">
        <v>50</v>
      </c>
      <c r="Z662" s="10">
        <f>IF(N662&lt;=1,9,9+0.8*ROUNDUP(N662-1,0))</f>
        <v>9</v>
      </c>
      <c r="AA662" s="11">
        <v>0</v>
      </c>
      <c r="AB662" s="11">
        <v>-2</v>
      </c>
      <c r="AC662" s="11">
        <v>0</v>
      </c>
      <c r="AD662" s="11">
        <v>0</v>
      </c>
      <c r="AE662" s="11">
        <v>0</v>
      </c>
      <c r="AF662" s="11">
        <f t="shared" si="57"/>
        <v>0.42</v>
      </c>
      <c r="AG662" s="11">
        <f t="shared" si="58"/>
        <v>7.42</v>
      </c>
      <c r="AH662" t="s">
        <v>51</v>
      </c>
    </row>
    <row r="663" spans="1:34" ht="15" customHeight="1" x14ac:dyDescent="0.25">
      <c r="A663">
        <v>7547676</v>
      </c>
      <c r="B663" t="s">
        <v>34</v>
      </c>
      <c r="C663" t="s">
        <v>35</v>
      </c>
      <c r="D663" s="6" t="s">
        <v>34</v>
      </c>
      <c r="E663" t="s">
        <v>2004</v>
      </c>
      <c r="F663" t="s">
        <v>37</v>
      </c>
      <c r="G663" t="s">
        <v>38</v>
      </c>
      <c r="H663" t="s">
        <v>2005</v>
      </c>
      <c r="I663" t="s">
        <v>40</v>
      </c>
      <c r="J663">
        <v>2</v>
      </c>
      <c r="K663" t="s">
        <v>41</v>
      </c>
      <c r="L663" t="s">
        <v>42</v>
      </c>
      <c r="M663" t="s">
        <v>43</v>
      </c>
      <c r="N663" s="7">
        <v>1</v>
      </c>
      <c r="O663" s="8">
        <v>45515.56622685185</v>
      </c>
      <c r="P663" s="9">
        <v>45517</v>
      </c>
      <c r="Q663" t="s">
        <v>44</v>
      </c>
      <c r="R663" t="s">
        <v>45</v>
      </c>
      <c r="S663" t="s">
        <v>46</v>
      </c>
      <c r="T663" t="s">
        <v>54</v>
      </c>
      <c r="U663" t="s">
        <v>2006</v>
      </c>
      <c r="V663">
        <v>86000</v>
      </c>
      <c r="W663" t="s">
        <v>45</v>
      </c>
      <c r="X663" t="s">
        <v>69</v>
      </c>
      <c r="Y663" t="s">
        <v>50</v>
      </c>
      <c r="Z663" s="10">
        <f>IF(N663&lt;=1,9,9+0.8*ROUNDUP(N663-1,0))</f>
        <v>9</v>
      </c>
      <c r="AA663" s="11">
        <v>0</v>
      </c>
      <c r="AB663" s="11">
        <v>-2</v>
      </c>
      <c r="AC663" s="11">
        <v>0</v>
      </c>
      <c r="AD663" s="11">
        <v>0</v>
      </c>
      <c r="AE663" s="11">
        <v>0</v>
      </c>
      <c r="AF663" s="11">
        <f t="shared" si="57"/>
        <v>0.42</v>
      </c>
      <c r="AG663" s="11">
        <f t="shared" si="58"/>
        <v>7.42</v>
      </c>
      <c r="AH663" t="s">
        <v>51</v>
      </c>
    </row>
    <row r="664" spans="1:34" ht="15" customHeight="1" x14ac:dyDescent="0.25">
      <c r="A664">
        <v>7547676</v>
      </c>
      <c r="B664" t="s">
        <v>34</v>
      </c>
      <c r="C664" t="s">
        <v>35</v>
      </c>
      <c r="D664" s="6" t="s">
        <v>34</v>
      </c>
      <c r="E664" t="s">
        <v>2007</v>
      </c>
      <c r="F664" t="s">
        <v>37</v>
      </c>
      <c r="G664" t="s">
        <v>38</v>
      </c>
      <c r="H664" t="s">
        <v>2008</v>
      </c>
      <c r="I664" t="s">
        <v>40</v>
      </c>
      <c r="J664">
        <v>2</v>
      </c>
      <c r="K664" t="s">
        <v>41</v>
      </c>
      <c r="L664" t="s">
        <v>42</v>
      </c>
      <c r="M664" t="s">
        <v>43</v>
      </c>
      <c r="N664" s="7">
        <v>2</v>
      </c>
      <c r="O664" s="8">
        <v>45515.70853009259</v>
      </c>
      <c r="P664" s="9">
        <v>45517</v>
      </c>
      <c r="Q664" t="s">
        <v>44</v>
      </c>
      <c r="R664" t="s">
        <v>45</v>
      </c>
      <c r="S664" t="s">
        <v>46</v>
      </c>
      <c r="T664" t="s">
        <v>107</v>
      </c>
      <c r="U664" t="s">
        <v>2009</v>
      </c>
      <c r="V664">
        <v>34950</v>
      </c>
      <c r="W664" t="s">
        <v>45</v>
      </c>
      <c r="X664" t="s">
        <v>2010</v>
      </c>
      <c r="Y664" t="s">
        <v>50</v>
      </c>
      <c r="Z664" s="10">
        <f t="shared" ref="Z664" si="59">IF(N664&lt;=1,9,9+0.8*ROUNDUP(N664-1,0))</f>
        <v>9.8000000000000007</v>
      </c>
      <c r="AA664" s="11">
        <v>0</v>
      </c>
      <c r="AB664" s="11">
        <v>-2</v>
      </c>
      <c r="AC664" s="11">
        <v>0</v>
      </c>
      <c r="AD664" s="11">
        <v>0</v>
      </c>
      <c r="AE664" s="11">
        <v>0</v>
      </c>
      <c r="AF664" s="11">
        <f t="shared" si="57"/>
        <v>0.46800000000000003</v>
      </c>
      <c r="AG664" s="11">
        <f t="shared" si="58"/>
        <v>8.2680000000000007</v>
      </c>
      <c r="AH664" t="s">
        <v>51</v>
      </c>
    </row>
    <row r="665" spans="1:34" ht="15" customHeight="1" x14ac:dyDescent="0.25">
      <c r="A665">
        <v>7547676</v>
      </c>
      <c r="B665" t="s">
        <v>34</v>
      </c>
      <c r="C665" t="s">
        <v>35</v>
      </c>
      <c r="D665" s="6" t="s">
        <v>34</v>
      </c>
      <c r="E665" t="s">
        <v>2011</v>
      </c>
      <c r="F665" t="s">
        <v>37</v>
      </c>
      <c r="G665" t="s">
        <v>38</v>
      </c>
      <c r="H665" t="s">
        <v>102</v>
      </c>
      <c r="I665" t="s">
        <v>40</v>
      </c>
      <c r="J665">
        <v>2</v>
      </c>
      <c r="K665" t="s">
        <v>41</v>
      </c>
      <c r="L665" t="s">
        <v>42</v>
      </c>
      <c r="M665" t="s">
        <v>43</v>
      </c>
      <c r="N665" s="7">
        <v>8</v>
      </c>
      <c r="O665" s="8">
        <v>45516.650034722225</v>
      </c>
      <c r="P665" s="9">
        <v>45517</v>
      </c>
      <c r="Q665" t="s">
        <v>44</v>
      </c>
      <c r="R665" t="s">
        <v>45</v>
      </c>
      <c r="S665" t="s">
        <v>46</v>
      </c>
      <c r="T665" t="s">
        <v>92</v>
      </c>
      <c r="U665" t="s">
        <v>103</v>
      </c>
      <c r="V665">
        <v>40000</v>
      </c>
      <c r="W665" t="s">
        <v>45</v>
      </c>
      <c r="X665" t="s">
        <v>104</v>
      </c>
      <c r="Y665" t="s">
        <v>50</v>
      </c>
      <c r="Z665" s="10">
        <f>IF(N665&lt;=1,9,9+0.8*ROUNDUP(N665-1,0))</f>
        <v>14.600000000000001</v>
      </c>
      <c r="AA665" s="11">
        <v>0</v>
      </c>
      <c r="AB665" s="11">
        <v>-2</v>
      </c>
      <c r="AC665" s="11">
        <v>0</v>
      </c>
      <c r="AD665" s="11">
        <v>0</v>
      </c>
      <c r="AE665" s="11">
        <v>0</v>
      </c>
      <c r="AF665" s="11">
        <f t="shared" si="57"/>
        <v>0.75600000000000001</v>
      </c>
      <c r="AG665" s="11">
        <f t="shared" si="58"/>
        <v>13.356000000000002</v>
      </c>
      <c r="AH665" t="s">
        <v>51</v>
      </c>
    </row>
    <row r="666" spans="1:34" ht="15" customHeight="1" x14ac:dyDescent="0.25">
      <c r="A666">
        <v>7547676</v>
      </c>
      <c r="B666" t="s">
        <v>34</v>
      </c>
      <c r="C666" t="s">
        <v>35</v>
      </c>
      <c r="D666" s="6" t="s">
        <v>34</v>
      </c>
      <c r="E666" t="s">
        <v>2012</v>
      </c>
      <c r="F666" t="s">
        <v>37</v>
      </c>
      <c r="G666" t="s">
        <v>38</v>
      </c>
      <c r="H666" t="s">
        <v>2013</v>
      </c>
      <c r="I666" t="s">
        <v>40</v>
      </c>
      <c r="J666">
        <v>2</v>
      </c>
      <c r="K666" t="s">
        <v>41</v>
      </c>
      <c r="L666" t="s">
        <v>42</v>
      </c>
      <c r="M666" t="s">
        <v>43</v>
      </c>
      <c r="N666" s="7">
        <v>5</v>
      </c>
      <c r="O666" s="8">
        <v>45515.5934375</v>
      </c>
      <c r="P666" s="9">
        <v>45517</v>
      </c>
      <c r="Q666" t="s">
        <v>44</v>
      </c>
      <c r="R666" t="s">
        <v>45</v>
      </c>
      <c r="S666" t="s">
        <v>46</v>
      </c>
      <c r="T666" t="s">
        <v>312</v>
      </c>
      <c r="U666" t="s">
        <v>2014</v>
      </c>
      <c r="V666">
        <v>93050</v>
      </c>
      <c r="W666" t="s">
        <v>118</v>
      </c>
      <c r="X666" t="s">
        <v>2015</v>
      </c>
      <c r="Y666" t="s">
        <v>50</v>
      </c>
      <c r="Z666" s="12">
        <f>IF(N666&lt;=1,13,IF(N666&lt;=2,23,IF(N666&lt;=3,35,IF(N666&lt;=4,43,IF(N666&lt;=5,53,IF(N666&lt;=6,63,IF(N666&lt;=7,71,IF(N666&lt;=8,79,IF(N666&lt;=9,87,IF(N666&lt;=10,95,IF(N666&lt;=11,105,IF(N666&lt;=12,114,IF(N666&lt;=13,119,IF(N666&lt;=14,127,IF(N666&lt;=15,135,IF(N666&lt;=16,143,IF(N666&lt;=17,153,IF(N666&lt;=18,163,IF(N666&lt;=19,171,IF(N666&lt;=20,185,IF(N666&lt;=21,193,IF(N666&lt;=22,201,IF(N666&lt;=23,210,IF(N666&lt;=24,220,IF(N666&lt;=25,230,IF(N666&lt;=26,240,IF(N666&lt;=27,250,IF(N666&lt;=28,260,IF(N666&lt;=29,270,IF(N666&lt;=30,280,280+10*ROUNDUP(N666-30,0)))))))))))))))))))))))))))))))</f>
        <v>53</v>
      </c>
      <c r="AA666" s="11">
        <v>0</v>
      </c>
      <c r="AB666" s="11">
        <v>0</v>
      </c>
      <c r="AC666" s="11">
        <v>0</v>
      </c>
      <c r="AD666" s="11">
        <v>0</v>
      </c>
      <c r="AE666" s="11">
        <v>0</v>
      </c>
      <c r="AF666" s="11">
        <f t="shared" si="57"/>
        <v>3.1799999999999997</v>
      </c>
      <c r="AG666" s="11">
        <f t="shared" si="58"/>
        <v>56.18</v>
      </c>
      <c r="AH666" t="s">
        <v>119</v>
      </c>
    </row>
    <row r="667" spans="1:34" ht="15" customHeight="1" x14ac:dyDescent="0.25">
      <c r="A667">
        <v>7547676</v>
      </c>
      <c r="B667" t="s">
        <v>34</v>
      </c>
      <c r="C667" t="s">
        <v>35</v>
      </c>
      <c r="D667" s="6" t="s">
        <v>34</v>
      </c>
      <c r="E667" t="s">
        <v>2016</v>
      </c>
      <c r="F667" t="s">
        <v>37</v>
      </c>
      <c r="G667" t="s">
        <v>38</v>
      </c>
      <c r="H667" t="s">
        <v>2017</v>
      </c>
      <c r="I667" t="s">
        <v>40</v>
      </c>
      <c r="J667">
        <v>2</v>
      </c>
      <c r="K667" t="s">
        <v>41</v>
      </c>
      <c r="L667" t="s">
        <v>42</v>
      </c>
      <c r="M667" t="s">
        <v>43</v>
      </c>
      <c r="N667" s="7">
        <v>2</v>
      </c>
      <c r="O667" s="8">
        <v>45516.702245370368</v>
      </c>
      <c r="P667" s="9">
        <v>45517</v>
      </c>
      <c r="Q667" t="s">
        <v>44</v>
      </c>
      <c r="R667" t="s">
        <v>45</v>
      </c>
      <c r="S667" t="s">
        <v>46</v>
      </c>
      <c r="T667" t="s">
        <v>72</v>
      </c>
      <c r="U667" t="s">
        <v>2018</v>
      </c>
      <c r="V667">
        <v>21300</v>
      </c>
      <c r="W667" t="s">
        <v>45</v>
      </c>
      <c r="X667" t="s">
        <v>139</v>
      </c>
      <c r="Y667" t="s">
        <v>50</v>
      </c>
      <c r="Z667" s="10">
        <f t="shared" ref="Z667:Z687" si="60">IF(N667&lt;=1,9,9+0.8*ROUNDUP(N667-1,0))</f>
        <v>9.8000000000000007</v>
      </c>
      <c r="AA667" s="11">
        <v>0</v>
      </c>
      <c r="AB667" s="11">
        <v>-2</v>
      </c>
      <c r="AC667" s="11">
        <v>0</v>
      </c>
      <c r="AD667" s="11">
        <v>0</v>
      </c>
      <c r="AE667" s="11">
        <v>0</v>
      </c>
      <c r="AF667" s="11">
        <f t="shared" si="57"/>
        <v>0.46800000000000003</v>
      </c>
      <c r="AG667" s="11">
        <f t="shared" si="58"/>
        <v>8.2680000000000007</v>
      </c>
      <c r="AH667" t="s">
        <v>51</v>
      </c>
    </row>
    <row r="668" spans="1:34" ht="15" customHeight="1" x14ac:dyDescent="0.25">
      <c r="A668">
        <v>7547676</v>
      </c>
      <c r="B668" t="s">
        <v>34</v>
      </c>
      <c r="C668" t="s">
        <v>35</v>
      </c>
      <c r="D668" s="6" t="s">
        <v>34</v>
      </c>
      <c r="E668" t="s">
        <v>2019</v>
      </c>
      <c r="F668" t="s">
        <v>37</v>
      </c>
      <c r="G668" t="s">
        <v>38</v>
      </c>
      <c r="H668" t="s">
        <v>2020</v>
      </c>
      <c r="I668" t="s">
        <v>40</v>
      </c>
      <c r="J668">
        <v>2</v>
      </c>
      <c r="K668" t="s">
        <v>41</v>
      </c>
      <c r="L668" t="s">
        <v>42</v>
      </c>
      <c r="M668" t="s">
        <v>43</v>
      </c>
      <c r="N668" s="7">
        <v>1</v>
      </c>
      <c r="O668" s="8">
        <v>45515.704699074071</v>
      </c>
      <c r="P668" s="9">
        <v>45517</v>
      </c>
      <c r="Q668" t="s">
        <v>44</v>
      </c>
      <c r="R668" t="s">
        <v>45</v>
      </c>
      <c r="S668" t="s">
        <v>46</v>
      </c>
      <c r="T668" t="s">
        <v>59</v>
      </c>
      <c r="U668" t="s">
        <v>2021</v>
      </c>
      <c r="V668">
        <v>13700</v>
      </c>
      <c r="W668" t="s">
        <v>45</v>
      </c>
      <c r="X668" t="s">
        <v>1301</v>
      </c>
      <c r="Y668" t="s">
        <v>50</v>
      </c>
      <c r="Z668" s="10">
        <f t="shared" si="60"/>
        <v>9</v>
      </c>
      <c r="AA668" s="11">
        <v>0</v>
      </c>
      <c r="AB668" s="11">
        <v>-2</v>
      </c>
      <c r="AC668" s="11">
        <v>0</v>
      </c>
      <c r="AD668" s="11">
        <v>0</v>
      </c>
      <c r="AE668" s="11">
        <v>0</v>
      </c>
      <c r="AF668" s="11">
        <f t="shared" si="57"/>
        <v>0.42</v>
      </c>
      <c r="AG668" s="11">
        <f t="shared" si="58"/>
        <v>7.42</v>
      </c>
      <c r="AH668" t="s">
        <v>51</v>
      </c>
    </row>
    <row r="669" spans="1:34" ht="15" customHeight="1" x14ac:dyDescent="0.25">
      <c r="A669">
        <v>7547676</v>
      </c>
      <c r="B669" t="s">
        <v>34</v>
      </c>
      <c r="C669" t="s">
        <v>35</v>
      </c>
      <c r="D669" s="6" t="s">
        <v>34</v>
      </c>
      <c r="E669" t="s">
        <v>2022</v>
      </c>
      <c r="F669" t="s">
        <v>37</v>
      </c>
      <c r="G669" t="s">
        <v>38</v>
      </c>
      <c r="H669" t="s">
        <v>2023</v>
      </c>
      <c r="I669" t="s">
        <v>40</v>
      </c>
      <c r="J669">
        <v>2</v>
      </c>
      <c r="K669" t="s">
        <v>41</v>
      </c>
      <c r="L669" t="s">
        <v>42</v>
      </c>
      <c r="M669" t="s">
        <v>43</v>
      </c>
      <c r="N669" s="7">
        <v>3</v>
      </c>
      <c r="O669" s="8">
        <v>45516.702627314815</v>
      </c>
      <c r="P669" s="9">
        <v>45517</v>
      </c>
      <c r="Q669" t="s">
        <v>44</v>
      </c>
      <c r="R669" t="s">
        <v>45</v>
      </c>
      <c r="S669" t="s">
        <v>46</v>
      </c>
      <c r="T669" t="s">
        <v>84</v>
      </c>
      <c r="U669" t="s">
        <v>2024</v>
      </c>
      <c r="V669">
        <v>18300</v>
      </c>
      <c r="W669" t="s">
        <v>45</v>
      </c>
      <c r="X669" t="s">
        <v>616</v>
      </c>
      <c r="Y669" t="s">
        <v>50</v>
      </c>
      <c r="Z669" s="10">
        <f t="shared" si="60"/>
        <v>10.6</v>
      </c>
      <c r="AA669" s="11">
        <v>0</v>
      </c>
      <c r="AB669" s="11">
        <v>-2</v>
      </c>
      <c r="AC669" s="11">
        <v>0</v>
      </c>
      <c r="AD669" s="11">
        <v>0</v>
      </c>
      <c r="AE669" s="11">
        <v>0</v>
      </c>
      <c r="AF669" s="11">
        <f t="shared" si="57"/>
        <v>0.51600000000000001</v>
      </c>
      <c r="AG669" s="11">
        <f t="shared" si="58"/>
        <v>9.1159999999999997</v>
      </c>
      <c r="AH669" t="s">
        <v>51</v>
      </c>
    </row>
    <row r="670" spans="1:34" ht="15" customHeight="1" x14ac:dyDescent="0.25">
      <c r="A670">
        <v>7547676</v>
      </c>
      <c r="B670" t="s">
        <v>34</v>
      </c>
      <c r="C670" t="s">
        <v>35</v>
      </c>
      <c r="D670" s="6" t="s">
        <v>34</v>
      </c>
      <c r="E670" t="s">
        <v>2025</v>
      </c>
      <c r="F670" t="s">
        <v>37</v>
      </c>
      <c r="G670" t="s">
        <v>38</v>
      </c>
      <c r="H670" t="s">
        <v>2026</v>
      </c>
      <c r="I670" t="s">
        <v>40</v>
      </c>
      <c r="J670">
        <v>2</v>
      </c>
      <c r="K670" t="s">
        <v>41</v>
      </c>
      <c r="L670" t="s">
        <v>42</v>
      </c>
      <c r="M670" t="s">
        <v>43</v>
      </c>
      <c r="N670" s="7">
        <v>1</v>
      </c>
      <c r="O670" s="8">
        <v>45516.725173611114</v>
      </c>
      <c r="P670" s="9">
        <v>45517</v>
      </c>
      <c r="Q670" t="s">
        <v>44</v>
      </c>
      <c r="R670" t="s">
        <v>45</v>
      </c>
      <c r="S670" t="s">
        <v>46</v>
      </c>
      <c r="T670" t="s">
        <v>92</v>
      </c>
      <c r="U670" t="s">
        <v>2027</v>
      </c>
      <c r="V670">
        <v>42500</v>
      </c>
      <c r="W670" t="s">
        <v>45</v>
      </c>
      <c r="X670" t="s">
        <v>887</v>
      </c>
      <c r="Y670" t="s">
        <v>50</v>
      </c>
      <c r="Z670" s="10">
        <f t="shared" si="60"/>
        <v>9</v>
      </c>
      <c r="AA670" s="11">
        <v>0</v>
      </c>
      <c r="AB670" s="11">
        <v>-2</v>
      </c>
      <c r="AC670" s="11">
        <v>0</v>
      </c>
      <c r="AD670" s="11">
        <v>0</v>
      </c>
      <c r="AE670" s="11">
        <v>0</v>
      </c>
      <c r="AF670" s="11">
        <f t="shared" si="57"/>
        <v>0.42</v>
      </c>
      <c r="AG670" s="11">
        <f t="shared" si="58"/>
        <v>7.42</v>
      </c>
      <c r="AH670" t="s">
        <v>51</v>
      </c>
    </row>
    <row r="671" spans="1:34" ht="15" customHeight="1" x14ac:dyDescent="0.25">
      <c r="A671">
        <v>7547676</v>
      </c>
      <c r="B671" t="s">
        <v>34</v>
      </c>
      <c r="C671" t="s">
        <v>35</v>
      </c>
      <c r="D671" s="6" t="s">
        <v>34</v>
      </c>
      <c r="E671" t="s">
        <v>2028</v>
      </c>
      <c r="F671" t="s">
        <v>37</v>
      </c>
      <c r="G671" t="s">
        <v>38</v>
      </c>
      <c r="H671" t="s">
        <v>2029</v>
      </c>
      <c r="I671" t="s">
        <v>40</v>
      </c>
      <c r="J671">
        <v>2</v>
      </c>
      <c r="K671" t="s">
        <v>41</v>
      </c>
      <c r="L671" t="s">
        <v>42</v>
      </c>
      <c r="M671" t="s">
        <v>43</v>
      </c>
      <c r="N671" s="7">
        <v>1</v>
      </c>
      <c r="O671" s="8">
        <v>45515.738518518519</v>
      </c>
      <c r="P671" s="9">
        <v>45517</v>
      </c>
      <c r="Q671" t="s">
        <v>44</v>
      </c>
      <c r="R671" t="s">
        <v>45</v>
      </c>
      <c r="S671" t="s">
        <v>46</v>
      </c>
      <c r="T671" t="s">
        <v>84</v>
      </c>
      <c r="U671" t="s">
        <v>2030</v>
      </c>
      <c r="V671">
        <v>16450</v>
      </c>
      <c r="W671" t="s">
        <v>45</v>
      </c>
      <c r="X671" t="s">
        <v>74</v>
      </c>
      <c r="Y671" t="s">
        <v>50</v>
      </c>
      <c r="Z671" s="10">
        <f t="shared" si="60"/>
        <v>9</v>
      </c>
      <c r="AA671" s="11">
        <v>0</v>
      </c>
      <c r="AB671" s="11">
        <v>-2</v>
      </c>
      <c r="AC671" s="11">
        <v>0</v>
      </c>
      <c r="AD671" s="11">
        <v>0</v>
      </c>
      <c r="AE671" s="11">
        <v>0</v>
      </c>
      <c r="AF671" s="11">
        <f t="shared" si="57"/>
        <v>0.42</v>
      </c>
      <c r="AG671" s="11">
        <f t="shared" si="58"/>
        <v>7.42</v>
      </c>
      <c r="AH671" t="s">
        <v>51</v>
      </c>
    </row>
    <row r="672" spans="1:34" ht="15" customHeight="1" x14ac:dyDescent="0.25">
      <c r="A672">
        <v>7547676</v>
      </c>
      <c r="B672" t="s">
        <v>34</v>
      </c>
      <c r="C672" t="s">
        <v>35</v>
      </c>
      <c r="D672" s="6" t="s">
        <v>34</v>
      </c>
      <c r="E672" t="s">
        <v>2031</v>
      </c>
      <c r="F672" t="s">
        <v>37</v>
      </c>
      <c r="G672" t="s">
        <v>38</v>
      </c>
      <c r="H672" t="s">
        <v>2032</v>
      </c>
      <c r="I672" t="s">
        <v>40</v>
      </c>
      <c r="J672">
        <v>2</v>
      </c>
      <c r="K672" t="s">
        <v>41</v>
      </c>
      <c r="L672" t="s">
        <v>42</v>
      </c>
      <c r="M672" t="s">
        <v>43</v>
      </c>
      <c r="N672" s="7">
        <v>1</v>
      </c>
      <c r="O672" s="8">
        <v>45516.543761574074</v>
      </c>
      <c r="P672" s="9">
        <v>45517</v>
      </c>
      <c r="Q672" t="s">
        <v>44</v>
      </c>
      <c r="R672" t="s">
        <v>45</v>
      </c>
      <c r="S672" t="s">
        <v>46</v>
      </c>
      <c r="T672" t="s">
        <v>84</v>
      </c>
      <c r="U672" t="s">
        <v>2033</v>
      </c>
      <c r="V672">
        <v>18300</v>
      </c>
      <c r="W672" t="s">
        <v>45</v>
      </c>
      <c r="X672" t="s">
        <v>74</v>
      </c>
      <c r="Y672" t="s">
        <v>50</v>
      </c>
      <c r="Z672" s="10">
        <f t="shared" si="60"/>
        <v>9</v>
      </c>
      <c r="AA672" s="11">
        <v>0</v>
      </c>
      <c r="AB672" s="11">
        <v>-2</v>
      </c>
      <c r="AC672" s="11">
        <v>0</v>
      </c>
      <c r="AD672" s="11">
        <v>0</v>
      </c>
      <c r="AE672" s="11">
        <v>0</v>
      </c>
      <c r="AF672" s="11">
        <f t="shared" si="57"/>
        <v>0.42</v>
      </c>
      <c r="AG672" s="11">
        <f t="shared" si="58"/>
        <v>7.42</v>
      </c>
      <c r="AH672" t="s">
        <v>51</v>
      </c>
    </row>
    <row r="673" spans="1:34" ht="15" customHeight="1" x14ac:dyDescent="0.25">
      <c r="A673">
        <v>7547676</v>
      </c>
      <c r="B673" t="s">
        <v>34</v>
      </c>
      <c r="C673" t="s">
        <v>35</v>
      </c>
      <c r="D673" s="6" t="s">
        <v>34</v>
      </c>
      <c r="E673" t="s">
        <v>2034</v>
      </c>
      <c r="F673" t="s">
        <v>37</v>
      </c>
      <c r="G673" t="s">
        <v>38</v>
      </c>
      <c r="H673" t="s">
        <v>2035</v>
      </c>
      <c r="I673" t="s">
        <v>40</v>
      </c>
      <c r="J673">
        <v>2</v>
      </c>
      <c r="K673" t="s">
        <v>41</v>
      </c>
      <c r="L673" t="s">
        <v>42</v>
      </c>
      <c r="M673" t="s">
        <v>43</v>
      </c>
      <c r="N673" s="7">
        <v>1</v>
      </c>
      <c r="O673" s="8">
        <v>45515.828287037039</v>
      </c>
      <c r="P673" s="9">
        <v>45517</v>
      </c>
      <c r="Q673" t="s">
        <v>44</v>
      </c>
      <c r="R673" t="s">
        <v>45</v>
      </c>
      <c r="S673" t="s">
        <v>46</v>
      </c>
      <c r="T673" t="s">
        <v>92</v>
      </c>
      <c r="U673" t="s">
        <v>2036</v>
      </c>
      <c r="V673">
        <v>40400</v>
      </c>
      <c r="W673" t="s">
        <v>45</v>
      </c>
      <c r="X673" t="s">
        <v>446</v>
      </c>
      <c r="Y673" t="s">
        <v>50</v>
      </c>
      <c r="Z673" s="10">
        <f t="shared" si="60"/>
        <v>9</v>
      </c>
      <c r="AA673" s="11">
        <v>0</v>
      </c>
      <c r="AB673" s="11">
        <v>-2</v>
      </c>
      <c r="AC673" s="11">
        <v>0</v>
      </c>
      <c r="AD673" s="11">
        <v>0</v>
      </c>
      <c r="AE673" s="11">
        <v>0</v>
      </c>
      <c r="AF673" s="11">
        <f t="shared" si="57"/>
        <v>0.42</v>
      </c>
      <c r="AG673" s="11">
        <f t="shared" si="58"/>
        <v>7.42</v>
      </c>
      <c r="AH673" t="s">
        <v>51</v>
      </c>
    </row>
    <row r="674" spans="1:34" ht="15" customHeight="1" x14ac:dyDescent="0.25">
      <c r="A674">
        <v>7547676</v>
      </c>
      <c r="B674" t="s">
        <v>34</v>
      </c>
      <c r="C674" t="s">
        <v>35</v>
      </c>
      <c r="D674" s="6" t="s">
        <v>34</v>
      </c>
      <c r="E674" t="s">
        <v>2037</v>
      </c>
      <c r="F674" t="s">
        <v>37</v>
      </c>
      <c r="G674" t="s">
        <v>38</v>
      </c>
      <c r="H674" t="s">
        <v>2038</v>
      </c>
      <c r="I674" t="s">
        <v>40</v>
      </c>
      <c r="J674">
        <v>2</v>
      </c>
      <c r="K674" t="s">
        <v>41</v>
      </c>
      <c r="L674" t="s">
        <v>42</v>
      </c>
      <c r="M674" t="s">
        <v>43</v>
      </c>
      <c r="N674" s="7">
        <v>1</v>
      </c>
      <c r="O674" s="8">
        <v>45516.627604166664</v>
      </c>
      <c r="P674" s="9">
        <v>45517</v>
      </c>
      <c r="Q674" t="s">
        <v>44</v>
      </c>
      <c r="R674" t="s">
        <v>45</v>
      </c>
      <c r="S674" t="s">
        <v>46</v>
      </c>
      <c r="T674" t="s">
        <v>146</v>
      </c>
      <c r="U674" t="s">
        <v>2039</v>
      </c>
      <c r="V674">
        <v>51100</v>
      </c>
      <c r="W674" t="s">
        <v>45</v>
      </c>
      <c r="X674" t="s">
        <v>69</v>
      </c>
      <c r="Y674" t="s">
        <v>50</v>
      </c>
      <c r="Z674" s="10">
        <f t="shared" si="60"/>
        <v>9</v>
      </c>
      <c r="AA674" s="11">
        <v>0</v>
      </c>
      <c r="AB674" s="11">
        <v>-2</v>
      </c>
      <c r="AC674" s="11">
        <v>0</v>
      </c>
      <c r="AD674" s="11">
        <v>0</v>
      </c>
      <c r="AE674" s="11">
        <v>0</v>
      </c>
      <c r="AF674" s="11">
        <f t="shared" si="57"/>
        <v>0.42</v>
      </c>
      <c r="AG674" s="11">
        <f t="shared" si="58"/>
        <v>7.42</v>
      </c>
      <c r="AH674" t="s">
        <v>51</v>
      </c>
    </row>
    <row r="675" spans="1:34" ht="15" customHeight="1" x14ac:dyDescent="0.25">
      <c r="A675">
        <v>7547676</v>
      </c>
      <c r="B675" t="s">
        <v>34</v>
      </c>
      <c r="C675" t="s">
        <v>35</v>
      </c>
      <c r="D675" s="6" t="s">
        <v>34</v>
      </c>
      <c r="E675" t="s">
        <v>2040</v>
      </c>
      <c r="F675" t="s">
        <v>37</v>
      </c>
      <c r="G675" t="s">
        <v>38</v>
      </c>
      <c r="H675" t="s">
        <v>2041</v>
      </c>
      <c r="I675" t="s">
        <v>40</v>
      </c>
      <c r="J675">
        <v>2</v>
      </c>
      <c r="K675" t="s">
        <v>41</v>
      </c>
      <c r="L675" t="s">
        <v>42</v>
      </c>
      <c r="M675" t="s">
        <v>43</v>
      </c>
      <c r="N675" s="7">
        <v>9</v>
      </c>
      <c r="O675" s="8">
        <v>45515.4690162037</v>
      </c>
      <c r="P675" s="9">
        <v>45517</v>
      </c>
      <c r="Q675" t="s">
        <v>44</v>
      </c>
      <c r="R675" t="s">
        <v>45</v>
      </c>
      <c r="S675" t="s">
        <v>46</v>
      </c>
      <c r="T675" t="s">
        <v>92</v>
      </c>
      <c r="U675" t="s">
        <v>2042</v>
      </c>
      <c r="V675">
        <v>43300</v>
      </c>
      <c r="W675" t="s">
        <v>45</v>
      </c>
      <c r="X675" t="s">
        <v>652</v>
      </c>
      <c r="Y675" t="s">
        <v>50</v>
      </c>
      <c r="Z675" s="10">
        <f t="shared" si="60"/>
        <v>15.4</v>
      </c>
      <c r="AA675" s="11">
        <v>0</v>
      </c>
      <c r="AB675" s="11">
        <v>-2</v>
      </c>
      <c r="AC675" s="11">
        <v>0</v>
      </c>
      <c r="AD675" s="11">
        <v>0</v>
      </c>
      <c r="AE675" s="11">
        <v>0</v>
      </c>
      <c r="AF675" s="11">
        <f t="shared" si="57"/>
        <v>0.80399999999999994</v>
      </c>
      <c r="AG675" s="11">
        <f t="shared" si="58"/>
        <v>14.204000000000001</v>
      </c>
      <c r="AH675" t="s">
        <v>51</v>
      </c>
    </row>
    <row r="676" spans="1:34" ht="15" customHeight="1" x14ac:dyDescent="0.25">
      <c r="A676">
        <v>7547676</v>
      </c>
      <c r="B676" t="s">
        <v>34</v>
      </c>
      <c r="C676" t="s">
        <v>35</v>
      </c>
      <c r="D676" s="6" t="s">
        <v>34</v>
      </c>
      <c r="E676" t="s">
        <v>2043</v>
      </c>
      <c r="F676" t="s">
        <v>37</v>
      </c>
      <c r="G676" t="s">
        <v>38</v>
      </c>
      <c r="H676" t="s">
        <v>2044</v>
      </c>
      <c r="I676" t="s">
        <v>40</v>
      </c>
      <c r="J676">
        <v>2</v>
      </c>
      <c r="K676" t="s">
        <v>41</v>
      </c>
      <c r="L676" t="s">
        <v>42</v>
      </c>
      <c r="M676" t="s">
        <v>43</v>
      </c>
      <c r="N676" s="7">
        <v>2</v>
      </c>
      <c r="O676" s="8">
        <v>45515.5934375</v>
      </c>
      <c r="P676" s="9">
        <v>45517</v>
      </c>
      <c r="Q676" t="s">
        <v>44</v>
      </c>
      <c r="R676" t="s">
        <v>45</v>
      </c>
      <c r="S676" t="s">
        <v>46</v>
      </c>
      <c r="T676" t="s">
        <v>92</v>
      </c>
      <c r="U676" t="s">
        <v>2045</v>
      </c>
      <c r="V676">
        <v>41250</v>
      </c>
      <c r="W676" t="s">
        <v>45</v>
      </c>
      <c r="X676" t="s">
        <v>2046</v>
      </c>
      <c r="Y676" t="s">
        <v>50</v>
      </c>
      <c r="Z676" s="10">
        <f t="shared" si="60"/>
        <v>9.8000000000000007</v>
      </c>
      <c r="AA676" s="11">
        <v>0</v>
      </c>
      <c r="AB676" s="11">
        <v>-2</v>
      </c>
      <c r="AC676" s="11">
        <v>0</v>
      </c>
      <c r="AD676" s="11">
        <v>0</v>
      </c>
      <c r="AE676" s="11">
        <v>0</v>
      </c>
      <c r="AF676" s="11">
        <f t="shared" si="57"/>
        <v>0.46800000000000003</v>
      </c>
      <c r="AG676" s="11">
        <f t="shared" si="58"/>
        <v>8.2680000000000007</v>
      </c>
      <c r="AH676" t="s">
        <v>51</v>
      </c>
    </row>
    <row r="677" spans="1:34" ht="15" customHeight="1" x14ac:dyDescent="0.25">
      <c r="A677">
        <v>7547676</v>
      </c>
      <c r="B677" t="s">
        <v>34</v>
      </c>
      <c r="C677" t="s">
        <v>35</v>
      </c>
      <c r="D677" s="6" t="s">
        <v>34</v>
      </c>
      <c r="E677" t="s">
        <v>2047</v>
      </c>
      <c r="F677" t="s">
        <v>37</v>
      </c>
      <c r="G677" t="s">
        <v>38</v>
      </c>
      <c r="H677" t="s">
        <v>2048</v>
      </c>
      <c r="I677" t="s">
        <v>40</v>
      </c>
      <c r="J677">
        <v>2</v>
      </c>
      <c r="K677" t="s">
        <v>41</v>
      </c>
      <c r="L677" t="s">
        <v>42</v>
      </c>
      <c r="M677" t="s">
        <v>43</v>
      </c>
      <c r="N677" s="7">
        <v>1</v>
      </c>
      <c r="O677" s="8">
        <v>45515.828287037039</v>
      </c>
      <c r="P677" s="9">
        <v>45517</v>
      </c>
      <c r="Q677" t="s">
        <v>44</v>
      </c>
      <c r="R677" t="s">
        <v>45</v>
      </c>
      <c r="S677" t="s">
        <v>46</v>
      </c>
      <c r="T677" t="s">
        <v>92</v>
      </c>
      <c r="U677" t="s">
        <v>2049</v>
      </c>
      <c r="V677">
        <v>40200</v>
      </c>
      <c r="W677" t="s">
        <v>45</v>
      </c>
      <c r="X677" t="s">
        <v>478</v>
      </c>
      <c r="Y677" t="s">
        <v>50</v>
      </c>
      <c r="Z677" s="10">
        <f t="shared" si="60"/>
        <v>9</v>
      </c>
      <c r="AA677" s="11">
        <v>0</v>
      </c>
      <c r="AB677" s="11">
        <v>-2</v>
      </c>
      <c r="AC677" s="11">
        <v>0</v>
      </c>
      <c r="AD677" s="11">
        <v>0</v>
      </c>
      <c r="AE677" s="11">
        <v>0</v>
      </c>
      <c r="AF677" s="11">
        <f t="shared" si="57"/>
        <v>0.42</v>
      </c>
      <c r="AG677" s="11">
        <f t="shared" si="58"/>
        <v>7.42</v>
      </c>
      <c r="AH677" t="s">
        <v>51</v>
      </c>
    </row>
    <row r="678" spans="1:34" ht="15" customHeight="1" x14ac:dyDescent="0.25">
      <c r="A678">
        <v>7547676</v>
      </c>
      <c r="B678" t="s">
        <v>34</v>
      </c>
      <c r="C678" t="s">
        <v>35</v>
      </c>
      <c r="D678" s="6" t="s">
        <v>34</v>
      </c>
      <c r="E678" t="s">
        <v>2050</v>
      </c>
      <c r="F678" t="s">
        <v>37</v>
      </c>
      <c r="G678" t="s">
        <v>38</v>
      </c>
      <c r="H678" t="s">
        <v>2051</v>
      </c>
      <c r="I678" t="s">
        <v>40</v>
      </c>
      <c r="J678">
        <v>2</v>
      </c>
      <c r="K678" t="s">
        <v>41</v>
      </c>
      <c r="L678" t="s">
        <v>42</v>
      </c>
      <c r="M678" t="s">
        <v>43</v>
      </c>
      <c r="N678" s="7">
        <v>1</v>
      </c>
      <c r="O678" s="8">
        <v>45516.722858796296</v>
      </c>
      <c r="P678" s="9">
        <v>45517</v>
      </c>
      <c r="Q678" t="s">
        <v>44</v>
      </c>
      <c r="R678" t="s">
        <v>45</v>
      </c>
      <c r="S678" t="s">
        <v>46</v>
      </c>
      <c r="T678" t="s">
        <v>92</v>
      </c>
      <c r="U678" t="s">
        <v>2052</v>
      </c>
      <c r="V678">
        <v>45500</v>
      </c>
      <c r="W678" t="s">
        <v>45</v>
      </c>
      <c r="X678" t="s">
        <v>416</v>
      </c>
      <c r="Y678" t="s">
        <v>50</v>
      </c>
      <c r="Z678" s="10">
        <f t="shared" si="60"/>
        <v>9</v>
      </c>
      <c r="AA678" s="11">
        <v>0</v>
      </c>
      <c r="AB678" s="11">
        <v>-2</v>
      </c>
      <c r="AC678" s="11">
        <v>0</v>
      </c>
      <c r="AD678" s="11">
        <v>0</v>
      </c>
      <c r="AE678" s="11">
        <v>0</v>
      </c>
      <c r="AF678" s="11">
        <f t="shared" si="57"/>
        <v>0.42</v>
      </c>
      <c r="AG678" s="11">
        <f t="shared" si="58"/>
        <v>7.42</v>
      </c>
      <c r="AH678" t="s">
        <v>51</v>
      </c>
    </row>
    <row r="679" spans="1:34" ht="15" customHeight="1" x14ac:dyDescent="0.25">
      <c r="A679">
        <v>7547676</v>
      </c>
      <c r="B679" t="s">
        <v>34</v>
      </c>
      <c r="C679" t="s">
        <v>35</v>
      </c>
      <c r="D679" s="6" t="s">
        <v>34</v>
      </c>
      <c r="E679" t="s">
        <v>2053</v>
      </c>
      <c r="F679" t="s">
        <v>37</v>
      </c>
      <c r="G679" t="s">
        <v>38</v>
      </c>
      <c r="H679" t="s">
        <v>2054</v>
      </c>
      <c r="I679" t="s">
        <v>40</v>
      </c>
      <c r="J679">
        <v>2</v>
      </c>
      <c r="K679" t="s">
        <v>41</v>
      </c>
      <c r="L679" t="s">
        <v>42</v>
      </c>
      <c r="M679" t="s">
        <v>43</v>
      </c>
      <c r="N679" s="7">
        <v>3</v>
      </c>
      <c r="O679" s="8">
        <v>45516.446875000001</v>
      </c>
      <c r="P679" s="9">
        <v>45517</v>
      </c>
      <c r="Q679" t="s">
        <v>44</v>
      </c>
      <c r="R679" t="s">
        <v>45</v>
      </c>
      <c r="S679" t="s">
        <v>46</v>
      </c>
      <c r="T679" t="s">
        <v>92</v>
      </c>
      <c r="U679" t="s">
        <v>2055</v>
      </c>
      <c r="V679">
        <v>53100</v>
      </c>
      <c r="W679" t="s">
        <v>45</v>
      </c>
      <c r="X679" t="s">
        <v>842</v>
      </c>
      <c r="Y679" t="s">
        <v>50</v>
      </c>
      <c r="Z679" s="10">
        <f t="shared" si="60"/>
        <v>10.6</v>
      </c>
      <c r="AA679" s="11">
        <v>0</v>
      </c>
      <c r="AB679" s="11">
        <v>-2</v>
      </c>
      <c r="AC679" s="11">
        <v>0</v>
      </c>
      <c r="AD679" s="11">
        <v>0</v>
      </c>
      <c r="AE679" s="11">
        <v>0</v>
      </c>
      <c r="AF679" s="11">
        <f t="shared" si="57"/>
        <v>0.51600000000000001</v>
      </c>
      <c r="AG679" s="11">
        <f t="shared" si="58"/>
        <v>9.1159999999999997</v>
      </c>
      <c r="AH679" t="s">
        <v>51</v>
      </c>
    </row>
    <row r="680" spans="1:34" ht="15" customHeight="1" x14ac:dyDescent="0.25">
      <c r="A680">
        <v>7547676</v>
      </c>
      <c r="B680" t="s">
        <v>34</v>
      </c>
      <c r="C680" t="s">
        <v>35</v>
      </c>
      <c r="D680" s="6" t="s">
        <v>34</v>
      </c>
      <c r="E680" t="s">
        <v>2056</v>
      </c>
      <c r="F680" t="s">
        <v>37</v>
      </c>
      <c r="G680" t="s">
        <v>38</v>
      </c>
      <c r="H680" t="s">
        <v>2057</v>
      </c>
      <c r="I680" t="s">
        <v>40</v>
      </c>
      <c r="J680">
        <v>2</v>
      </c>
      <c r="K680" t="s">
        <v>41</v>
      </c>
      <c r="L680" t="s">
        <v>42</v>
      </c>
      <c r="M680" t="s">
        <v>43</v>
      </c>
      <c r="N680" s="7">
        <v>1</v>
      </c>
      <c r="O680" s="8">
        <v>45515.601388888892</v>
      </c>
      <c r="P680" s="9">
        <v>45517</v>
      </c>
      <c r="Q680" t="s">
        <v>44</v>
      </c>
      <c r="R680" t="s">
        <v>45</v>
      </c>
      <c r="S680" t="s">
        <v>46</v>
      </c>
      <c r="T680" t="s">
        <v>107</v>
      </c>
      <c r="U680" t="s">
        <v>2058</v>
      </c>
      <c r="V680">
        <v>9000</v>
      </c>
      <c r="W680" t="s">
        <v>45</v>
      </c>
      <c r="X680" t="s">
        <v>126</v>
      </c>
      <c r="Y680" t="s">
        <v>50</v>
      </c>
      <c r="Z680" s="10">
        <f t="shared" si="60"/>
        <v>9</v>
      </c>
      <c r="AA680" s="11">
        <v>0</v>
      </c>
      <c r="AB680" s="11">
        <v>-2</v>
      </c>
      <c r="AC680" s="11">
        <v>0</v>
      </c>
      <c r="AD680" s="11">
        <v>0</v>
      </c>
      <c r="AE680" s="11">
        <v>0</v>
      </c>
      <c r="AF680" s="11">
        <f t="shared" si="57"/>
        <v>0.42</v>
      </c>
      <c r="AG680" s="11">
        <f t="shared" si="58"/>
        <v>7.42</v>
      </c>
      <c r="AH680" t="s">
        <v>51</v>
      </c>
    </row>
    <row r="681" spans="1:34" ht="15" customHeight="1" x14ac:dyDescent="0.25">
      <c r="A681">
        <v>7547676</v>
      </c>
      <c r="B681" t="s">
        <v>34</v>
      </c>
      <c r="C681" t="s">
        <v>35</v>
      </c>
      <c r="D681" s="6" t="s">
        <v>34</v>
      </c>
      <c r="E681" t="s">
        <v>2059</v>
      </c>
      <c r="F681" t="s">
        <v>37</v>
      </c>
      <c r="G681" t="s">
        <v>38</v>
      </c>
      <c r="H681" t="s">
        <v>2060</v>
      </c>
      <c r="I681" t="s">
        <v>40</v>
      </c>
      <c r="J681">
        <v>2</v>
      </c>
      <c r="K681" t="s">
        <v>41</v>
      </c>
      <c r="L681" t="s">
        <v>42</v>
      </c>
      <c r="M681" t="s">
        <v>43</v>
      </c>
      <c r="N681" s="7">
        <v>1</v>
      </c>
      <c r="O681" s="8">
        <v>45516.4687962963</v>
      </c>
      <c r="P681" s="9">
        <v>45517</v>
      </c>
      <c r="Q681" t="s">
        <v>44</v>
      </c>
      <c r="R681" t="s">
        <v>45</v>
      </c>
      <c r="S681" t="s">
        <v>46</v>
      </c>
      <c r="T681" t="s">
        <v>92</v>
      </c>
      <c r="U681" t="s">
        <v>2061</v>
      </c>
      <c r="V681">
        <v>43650</v>
      </c>
      <c r="W681" t="s">
        <v>45</v>
      </c>
      <c r="X681" t="s">
        <v>232</v>
      </c>
      <c r="Y681" t="s">
        <v>50</v>
      </c>
      <c r="Z681" s="10">
        <f t="shared" si="60"/>
        <v>9</v>
      </c>
      <c r="AA681" s="11">
        <v>0</v>
      </c>
      <c r="AB681" s="11">
        <v>-2</v>
      </c>
      <c r="AC681" s="11">
        <v>0</v>
      </c>
      <c r="AD681" s="11">
        <v>0</v>
      </c>
      <c r="AE681" s="11">
        <v>0</v>
      </c>
      <c r="AF681" s="11">
        <f t="shared" si="57"/>
        <v>0.42</v>
      </c>
      <c r="AG681" s="11">
        <f t="shared" si="58"/>
        <v>7.42</v>
      </c>
      <c r="AH681" t="s">
        <v>51</v>
      </c>
    </row>
    <row r="682" spans="1:34" ht="15" customHeight="1" x14ac:dyDescent="0.25">
      <c r="A682">
        <v>7547676</v>
      </c>
      <c r="B682" t="s">
        <v>34</v>
      </c>
      <c r="C682" t="s">
        <v>35</v>
      </c>
      <c r="D682" s="6" t="s">
        <v>34</v>
      </c>
      <c r="E682" t="s">
        <v>2062</v>
      </c>
      <c r="F682" t="s">
        <v>37</v>
      </c>
      <c r="G682" t="s">
        <v>38</v>
      </c>
      <c r="H682" t="s">
        <v>2063</v>
      </c>
      <c r="I682" t="s">
        <v>40</v>
      </c>
      <c r="J682">
        <v>2</v>
      </c>
      <c r="K682" t="s">
        <v>41</v>
      </c>
      <c r="L682" t="s">
        <v>42</v>
      </c>
      <c r="M682" t="s">
        <v>43</v>
      </c>
      <c r="N682" s="7">
        <v>1</v>
      </c>
      <c r="O682" s="8">
        <v>45514.853530092594</v>
      </c>
      <c r="P682" s="9">
        <v>45517</v>
      </c>
      <c r="Q682" t="s">
        <v>44</v>
      </c>
      <c r="R682" t="s">
        <v>45</v>
      </c>
      <c r="S682" t="s">
        <v>46</v>
      </c>
      <c r="T682" t="s">
        <v>146</v>
      </c>
      <c r="U682" t="s">
        <v>2064</v>
      </c>
      <c r="V682">
        <v>51000</v>
      </c>
      <c r="W682" t="s">
        <v>45</v>
      </c>
      <c r="X682" t="s">
        <v>69</v>
      </c>
      <c r="Y682" t="s">
        <v>50</v>
      </c>
      <c r="Z682" s="10">
        <f t="shared" si="60"/>
        <v>9</v>
      </c>
      <c r="AA682" s="11">
        <v>0</v>
      </c>
      <c r="AB682" s="11">
        <v>-2</v>
      </c>
      <c r="AC682" s="11">
        <v>0</v>
      </c>
      <c r="AD682" s="11">
        <v>0</v>
      </c>
      <c r="AE682" s="11">
        <v>0</v>
      </c>
      <c r="AF682" s="11">
        <f t="shared" si="57"/>
        <v>0.42</v>
      </c>
      <c r="AG682" s="11">
        <f t="shared" si="58"/>
        <v>7.42</v>
      </c>
      <c r="AH682" t="s">
        <v>51</v>
      </c>
    </row>
    <row r="683" spans="1:34" ht="15" customHeight="1" x14ac:dyDescent="0.25">
      <c r="A683">
        <v>7547676</v>
      </c>
      <c r="B683" t="s">
        <v>34</v>
      </c>
      <c r="C683" t="s">
        <v>35</v>
      </c>
      <c r="D683" s="6" t="s">
        <v>34</v>
      </c>
      <c r="E683" t="s">
        <v>2065</v>
      </c>
      <c r="F683" t="s">
        <v>37</v>
      </c>
      <c r="G683" t="s">
        <v>38</v>
      </c>
      <c r="H683" t="s">
        <v>2066</v>
      </c>
      <c r="I683" t="s">
        <v>40</v>
      </c>
      <c r="J683">
        <v>2</v>
      </c>
      <c r="K683" t="s">
        <v>41</v>
      </c>
      <c r="L683" t="s">
        <v>42</v>
      </c>
      <c r="M683" t="s">
        <v>43</v>
      </c>
      <c r="N683" s="7">
        <v>1</v>
      </c>
      <c r="O683" s="8">
        <v>45516.708865740744</v>
      </c>
      <c r="P683" s="9">
        <v>45517</v>
      </c>
      <c r="Q683" t="s">
        <v>44</v>
      </c>
      <c r="R683" t="s">
        <v>45</v>
      </c>
      <c r="S683" t="s">
        <v>46</v>
      </c>
      <c r="T683" t="s">
        <v>92</v>
      </c>
      <c r="U683" t="s">
        <v>2067</v>
      </c>
      <c r="V683">
        <v>46000</v>
      </c>
      <c r="W683" t="s">
        <v>45</v>
      </c>
      <c r="X683" t="s">
        <v>320</v>
      </c>
      <c r="Y683" t="s">
        <v>50</v>
      </c>
      <c r="Z683" s="10">
        <f t="shared" si="60"/>
        <v>9</v>
      </c>
      <c r="AA683" s="11">
        <v>0</v>
      </c>
      <c r="AB683" s="11">
        <v>-2</v>
      </c>
      <c r="AC683" s="11">
        <v>0</v>
      </c>
      <c r="AD683" s="11">
        <v>0</v>
      </c>
      <c r="AE683" s="11">
        <v>0</v>
      </c>
      <c r="AF683" s="11">
        <f t="shared" si="57"/>
        <v>0.42</v>
      </c>
      <c r="AG683" s="11">
        <f t="shared" si="58"/>
        <v>7.42</v>
      </c>
      <c r="AH683" t="s">
        <v>51</v>
      </c>
    </row>
    <row r="684" spans="1:34" ht="15" customHeight="1" x14ac:dyDescent="0.25">
      <c r="A684">
        <v>7547676</v>
      </c>
      <c r="B684" t="s">
        <v>34</v>
      </c>
      <c r="C684" t="s">
        <v>35</v>
      </c>
      <c r="D684" s="6" t="s">
        <v>34</v>
      </c>
      <c r="E684" t="s">
        <v>2068</v>
      </c>
      <c r="F684" t="s">
        <v>37</v>
      </c>
      <c r="G684" t="s">
        <v>38</v>
      </c>
      <c r="H684" t="s">
        <v>2069</v>
      </c>
      <c r="I684" t="s">
        <v>40</v>
      </c>
      <c r="J684">
        <v>2</v>
      </c>
      <c r="K684" t="s">
        <v>41</v>
      </c>
      <c r="L684" t="s">
        <v>42</v>
      </c>
      <c r="M684" t="s">
        <v>43</v>
      </c>
      <c r="N684" s="7">
        <v>3</v>
      </c>
      <c r="O684" s="8">
        <v>45514.770104166666</v>
      </c>
      <c r="P684" s="9">
        <v>45517</v>
      </c>
      <c r="Q684" t="s">
        <v>44</v>
      </c>
      <c r="R684" t="s">
        <v>45</v>
      </c>
      <c r="S684" t="s">
        <v>46</v>
      </c>
      <c r="T684" t="s">
        <v>54</v>
      </c>
      <c r="U684" t="s">
        <v>2070</v>
      </c>
      <c r="V684">
        <v>84000</v>
      </c>
      <c r="W684" t="s">
        <v>45</v>
      </c>
      <c r="X684" t="s">
        <v>69</v>
      </c>
      <c r="Y684" t="s">
        <v>50</v>
      </c>
      <c r="Z684" s="10">
        <f t="shared" si="60"/>
        <v>10.6</v>
      </c>
      <c r="AA684" s="11">
        <v>0</v>
      </c>
      <c r="AB684" s="11">
        <v>-2</v>
      </c>
      <c r="AC684" s="11">
        <v>0</v>
      </c>
      <c r="AD684" s="11">
        <v>0</v>
      </c>
      <c r="AE684" s="11">
        <v>0</v>
      </c>
      <c r="AF684" s="11">
        <f t="shared" si="57"/>
        <v>0.51600000000000001</v>
      </c>
      <c r="AG684" s="11">
        <f t="shared" si="58"/>
        <v>9.1159999999999997</v>
      </c>
      <c r="AH684" t="s">
        <v>51</v>
      </c>
    </row>
    <row r="685" spans="1:34" ht="15" customHeight="1" x14ac:dyDescent="0.25">
      <c r="A685">
        <v>7547676</v>
      </c>
      <c r="B685" t="s">
        <v>34</v>
      </c>
      <c r="C685" t="s">
        <v>35</v>
      </c>
      <c r="D685" s="6" t="s">
        <v>34</v>
      </c>
      <c r="E685" t="s">
        <v>2071</v>
      </c>
      <c r="F685" t="s">
        <v>37</v>
      </c>
      <c r="G685" t="s">
        <v>38</v>
      </c>
      <c r="H685" t="s">
        <v>2072</v>
      </c>
      <c r="I685" t="s">
        <v>40</v>
      </c>
      <c r="J685">
        <v>2</v>
      </c>
      <c r="K685" t="s">
        <v>41</v>
      </c>
      <c r="L685" t="s">
        <v>42</v>
      </c>
      <c r="M685" t="s">
        <v>43</v>
      </c>
      <c r="N685" s="7">
        <v>1</v>
      </c>
      <c r="O685" s="8">
        <v>45514.853530092594</v>
      </c>
      <c r="P685" s="9">
        <v>45517</v>
      </c>
      <c r="Q685" t="s">
        <v>44</v>
      </c>
      <c r="R685" t="s">
        <v>45</v>
      </c>
      <c r="S685" t="s">
        <v>46</v>
      </c>
      <c r="T685" t="s">
        <v>54</v>
      </c>
      <c r="U685" t="s">
        <v>2073</v>
      </c>
      <c r="V685">
        <v>81200</v>
      </c>
      <c r="W685" t="s">
        <v>45</v>
      </c>
      <c r="X685" t="s">
        <v>56</v>
      </c>
      <c r="Y685" t="s">
        <v>50</v>
      </c>
      <c r="Z685" s="10">
        <f t="shared" si="60"/>
        <v>9</v>
      </c>
      <c r="AA685" s="11">
        <v>0</v>
      </c>
      <c r="AB685" s="11">
        <v>-2</v>
      </c>
      <c r="AC685" s="11">
        <v>0</v>
      </c>
      <c r="AD685" s="11">
        <v>0</v>
      </c>
      <c r="AE685" s="11">
        <v>0</v>
      </c>
      <c r="AF685" s="11">
        <f t="shared" si="57"/>
        <v>0.42</v>
      </c>
      <c r="AG685" s="11">
        <f t="shared" si="58"/>
        <v>7.42</v>
      </c>
      <c r="AH685" t="s">
        <v>51</v>
      </c>
    </row>
    <row r="686" spans="1:34" ht="15" customHeight="1" x14ac:dyDescent="0.25">
      <c r="A686">
        <v>7547676</v>
      </c>
      <c r="B686" t="s">
        <v>34</v>
      </c>
      <c r="C686" t="s">
        <v>35</v>
      </c>
      <c r="D686" s="6" t="s">
        <v>34</v>
      </c>
      <c r="E686" t="s">
        <v>2074</v>
      </c>
      <c r="F686" t="s">
        <v>37</v>
      </c>
      <c r="G686" t="s">
        <v>38</v>
      </c>
      <c r="H686" t="s">
        <v>2075</v>
      </c>
      <c r="I686" t="s">
        <v>40</v>
      </c>
      <c r="J686">
        <v>2</v>
      </c>
      <c r="K686" t="s">
        <v>41</v>
      </c>
      <c r="L686" t="s">
        <v>42</v>
      </c>
      <c r="M686" t="s">
        <v>43</v>
      </c>
      <c r="N686" s="7">
        <v>1</v>
      </c>
      <c r="O686" s="8">
        <v>45513.766770833332</v>
      </c>
      <c r="P686" s="9">
        <v>45517</v>
      </c>
      <c r="Q686" t="s">
        <v>44</v>
      </c>
      <c r="R686" t="s">
        <v>45</v>
      </c>
      <c r="S686" t="s">
        <v>46</v>
      </c>
      <c r="T686" t="s">
        <v>47</v>
      </c>
      <c r="U686" t="s">
        <v>2076</v>
      </c>
      <c r="V686">
        <v>34600</v>
      </c>
      <c r="W686" t="s">
        <v>45</v>
      </c>
      <c r="X686" t="s">
        <v>285</v>
      </c>
      <c r="Y686" t="s">
        <v>50</v>
      </c>
      <c r="Z686" s="10">
        <f t="shared" si="60"/>
        <v>9</v>
      </c>
      <c r="AA686" s="11">
        <v>0</v>
      </c>
      <c r="AB686" s="11">
        <v>-2</v>
      </c>
      <c r="AC686" s="11">
        <v>0</v>
      </c>
      <c r="AD686" s="11">
        <v>0</v>
      </c>
      <c r="AE686" s="11">
        <v>0</v>
      </c>
      <c r="AF686" s="11">
        <f t="shared" si="57"/>
        <v>0.42</v>
      </c>
      <c r="AG686" s="11">
        <f t="shared" si="58"/>
        <v>7.42</v>
      </c>
      <c r="AH686" t="s">
        <v>51</v>
      </c>
    </row>
    <row r="687" spans="1:34" ht="15" customHeight="1" x14ac:dyDescent="0.25">
      <c r="A687">
        <v>7547676</v>
      </c>
      <c r="B687" t="s">
        <v>34</v>
      </c>
      <c r="C687" t="s">
        <v>35</v>
      </c>
      <c r="D687" s="6" t="s">
        <v>34</v>
      </c>
      <c r="E687" t="s">
        <v>2077</v>
      </c>
      <c r="F687" t="s">
        <v>37</v>
      </c>
      <c r="G687" t="s">
        <v>38</v>
      </c>
      <c r="H687" t="s">
        <v>2078</v>
      </c>
      <c r="I687" t="s">
        <v>40</v>
      </c>
      <c r="J687">
        <v>2</v>
      </c>
      <c r="K687" t="s">
        <v>41</v>
      </c>
      <c r="L687" t="s">
        <v>42</v>
      </c>
      <c r="M687" t="s">
        <v>43</v>
      </c>
      <c r="N687" s="7">
        <v>5</v>
      </c>
      <c r="O687" s="8">
        <v>45515.727384259262</v>
      </c>
      <c r="P687" s="9">
        <v>45517</v>
      </c>
      <c r="Q687" t="s">
        <v>44</v>
      </c>
      <c r="R687" t="s">
        <v>45</v>
      </c>
      <c r="S687" t="s">
        <v>46</v>
      </c>
      <c r="T687" t="s">
        <v>107</v>
      </c>
      <c r="U687" t="s">
        <v>2079</v>
      </c>
      <c r="V687">
        <v>9100</v>
      </c>
      <c r="W687" t="s">
        <v>45</v>
      </c>
      <c r="X687" t="s">
        <v>69</v>
      </c>
      <c r="Y687" t="s">
        <v>50</v>
      </c>
      <c r="Z687" s="10">
        <f t="shared" si="60"/>
        <v>12.2</v>
      </c>
      <c r="AA687" s="11">
        <v>0</v>
      </c>
      <c r="AB687" s="11">
        <v>-2</v>
      </c>
      <c r="AC687" s="11">
        <v>0</v>
      </c>
      <c r="AD687" s="11">
        <v>0</v>
      </c>
      <c r="AE687" s="11">
        <v>0</v>
      </c>
      <c r="AF687" s="11">
        <f t="shared" si="57"/>
        <v>0.61199999999999999</v>
      </c>
      <c r="AG687" s="11">
        <f t="shared" si="58"/>
        <v>10.811999999999999</v>
      </c>
      <c r="AH687" t="s">
        <v>51</v>
      </c>
    </row>
    <row r="688" spans="1:34" ht="15" customHeight="1" x14ac:dyDescent="0.25">
      <c r="A688">
        <v>7547676</v>
      </c>
      <c r="B688" t="s">
        <v>34</v>
      </c>
      <c r="C688" t="s">
        <v>35</v>
      </c>
      <c r="D688" s="6" t="s">
        <v>34</v>
      </c>
      <c r="E688" t="s">
        <v>2080</v>
      </c>
      <c r="F688" t="s">
        <v>37</v>
      </c>
      <c r="G688" t="s">
        <v>38</v>
      </c>
      <c r="H688" t="s">
        <v>2081</v>
      </c>
      <c r="I688" t="s">
        <v>40</v>
      </c>
      <c r="J688">
        <v>2</v>
      </c>
      <c r="K688" t="s">
        <v>41</v>
      </c>
      <c r="L688" t="s">
        <v>42</v>
      </c>
      <c r="M688" t="s">
        <v>43</v>
      </c>
      <c r="N688" s="7">
        <v>1</v>
      </c>
      <c r="O688" s="8">
        <v>45515.828287037039</v>
      </c>
      <c r="P688" s="9">
        <v>45518</v>
      </c>
      <c r="Q688" t="s">
        <v>44</v>
      </c>
      <c r="R688" t="s">
        <v>45</v>
      </c>
      <c r="S688" t="s">
        <v>46</v>
      </c>
      <c r="T688" t="s">
        <v>47</v>
      </c>
      <c r="U688" t="s">
        <v>2082</v>
      </c>
      <c r="V688">
        <v>30020</v>
      </c>
      <c r="W688" t="s">
        <v>45</v>
      </c>
      <c r="X688" t="s">
        <v>864</v>
      </c>
      <c r="Y688" t="s">
        <v>50</v>
      </c>
      <c r="Z688" s="10">
        <f>IF(N688&lt;=1,9,9+0.8*ROUNDUP(N688-1,0))</f>
        <v>9</v>
      </c>
      <c r="AA688" s="11">
        <v>0</v>
      </c>
      <c r="AB688" s="11">
        <v>-2</v>
      </c>
      <c r="AC688" s="11">
        <v>0</v>
      </c>
      <c r="AD688" s="11">
        <v>0</v>
      </c>
      <c r="AE688" s="11">
        <v>0</v>
      </c>
      <c r="AF688" s="11">
        <f t="shared" si="57"/>
        <v>0.42</v>
      </c>
      <c r="AG688" s="11">
        <f t="shared" si="58"/>
        <v>7.42</v>
      </c>
      <c r="AH688" t="s">
        <v>51</v>
      </c>
    </row>
    <row r="689" spans="1:34" ht="15" customHeight="1" x14ac:dyDescent="0.25">
      <c r="A689">
        <v>7547676</v>
      </c>
      <c r="B689" t="s">
        <v>34</v>
      </c>
      <c r="C689" t="s">
        <v>35</v>
      </c>
      <c r="D689" s="6" t="s">
        <v>34</v>
      </c>
      <c r="E689" t="s">
        <v>2083</v>
      </c>
      <c r="F689" t="s">
        <v>37</v>
      </c>
      <c r="G689" t="s">
        <v>38</v>
      </c>
      <c r="H689" t="s">
        <v>2084</v>
      </c>
      <c r="I689" t="s">
        <v>40</v>
      </c>
      <c r="J689">
        <v>2</v>
      </c>
      <c r="K689" t="s">
        <v>41</v>
      </c>
      <c r="L689" t="s">
        <v>42</v>
      </c>
      <c r="M689" t="s">
        <v>43</v>
      </c>
      <c r="N689" s="7">
        <v>1</v>
      </c>
      <c r="O689" s="8">
        <v>45516.758518518516</v>
      </c>
      <c r="P689" s="9">
        <v>45518</v>
      </c>
      <c r="Q689" t="s">
        <v>44</v>
      </c>
      <c r="R689" t="s">
        <v>45</v>
      </c>
      <c r="S689" t="s">
        <v>46</v>
      </c>
      <c r="T689" t="s">
        <v>223</v>
      </c>
      <c r="U689" t="s">
        <v>2085</v>
      </c>
      <c r="V689">
        <v>28600</v>
      </c>
      <c r="W689" t="s">
        <v>45</v>
      </c>
      <c r="X689" t="s">
        <v>225</v>
      </c>
      <c r="Y689" t="s">
        <v>50</v>
      </c>
      <c r="Z689" s="10">
        <f t="shared" ref="Z689:Z690" si="61">IF(N689&lt;=1,9,9+0.8*ROUNDUP(N689-1,0))</f>
        <v>9</v>
      </c>
      <c r="AA689" s="11">
        <v>0</v>
      </c>
      <c r="AB689" s="11">
        <v>-2</v>
      </c>
      <c r="AC689" s="11">
        <v>0</v>
      </c>
      <c r="AD689" s="11">
        <v>0</v>
      </c>
      <c r="AE689" s="11">
        <v>0</v>
      </c>
      <c r="AF689" s="11">
        <f t="shared" si="57"/>
        <v>0.42</v>
      </c>
      <c r="AG689" s="11">
        <f t="shared" si="58"/>
        <v>7.42</v>
      </c>
      <c r="AH689" t="s">
        <v>51</v>
      </c>
    </row>
    <row r="690" spans="1:34" ht="15" customHeight="1" x14ac:dyDescent="0.25">
      <c r="A690">
        <v>7547676</v>
      </c>
      <c r="B690" t="s">
        <v>34</v>
      </c>
      <c r="C690" t="s">
        <v>35</v>
      </c>
      <c r="D690" s="6" t="s">
        <v>34</v>
      </c>
      <c r="E690" t="s">
        <v>2086</v>
      </c>
      <c r="F690" t="s">
        <v>37</v>
      </c>
      <c r="G690" t="s">
        <v>38</v>
      </c>
      <c r="H690" t="s">
        <v>2087</v>
      </c>
      <c r="I690" t="s">
        <v>40</v>
      </c>
      <c r="J690">
        <v>2</v>
      </c>
      <c r="K690" t="s">
        <v>41</v>
      </c>
      <c r="L690" t="s">
        <v>42</v>
      </c>
      <c r="M690" t="s">
        <v>43</v>
      </c>
      <c r="N690" s="7">
        <v>1</v>
      </c>
      <c r="O690" s="8">
        <v>45517.658229166664</v>
      </c>
      <c r="P690" s="9">
        <v>45518</v>
      </c>
      <c r="Q690" t="s">
        <v>44</v>
      </c>
      <c r="R690" t="s">
        <v>45</v>
      </c>
      <c r="S690" t="s">
        <v>46</v>
      </c>
      <c r="T690" t="s">
        <v>151</v>
      </c>
      <c r="U690" t="s">
        <v>2088</v>
      </c>
      <c r="V690">
        <v>75250</v>
      </c>
      <c r="W690" t="s">
        <v>45</v>
      </c>
      <c r="X690" t="s">
        <v>69</v>
      </c>
      <c r="Y690" t="s">
        <v>50</v>
      </c>
      <c r="Z690" s="10">
        <f t="shared" si="61"/>
        <v>9</v>
      </c>
      <c r="AA690" s="11">
        <v>0</v>
      </c>
      <c r="AB690" s="11">
        <v>-2</v>
      </c>
      <c r="AC690" s="11">
        <v>0</v>
      </c>
      <c r="AD690" s="11">
        <v>0</v>
      </c>
      <c r="AE690" s="11">
        <v>0</v>
      </c>
      <c r="AF690" s="11">
        <f t="shared" si="57"/>
        <v>0.42</v>
      </c>
      <c r="AG690" s="11">
        <f t="shared" si="58"/>
        <v>7.42</v>
      </c>
      <c r="AH690" t="s">
        <v>51</v>
      </c>
    </row>
    <row r="691" spans="1:34" ht="15" customHeight="1" x14ac:dyDescent="0.25">
      <c r="A691">
        <v>7547676</v>
      </c>
      <c r="B691" t="s">
        <v>34</v>
      </c>
      <c r="C691" t="s">
        <v>35</v>
      </c>
      <c r="D691" s="6" t="s">
        <v>34</v>
      </c>
      <c r="E691" t="s">
        <v>2089</v>
      </c>
      <c r="F691" t="s">
        <v>37</v>
      </c>
      <c r="G691" t="s">
        <v>38</v>
      </c>
      <c r="H691" t="s">
        <v>425</v>
      </c>
      <c r="I691" t="s">
        <v>40</v>
      </c>
      <c r="J691">
        <v>2</v>
      </c>
      <c r="K691" t="s">
        <v>41</v>
      </c>
      <c r="L691" t="s">
        <v>42</v>
      </c>
      <c r="M691" t="s">
        <v>43</v>
      </c>
      <c r="N691" s="7">
        <v>5</v>
      </c>
      <c r="O691" s="8">
        <v>45515.474351851852</v>
      </c>
      <c r="P691" s="9">
        <v>45518</v>
      </c>
      <c r="Q691" t="s">
        <v>44</v>
      </c>
      <c r="R691" t="s">
        <v>45</v>
      </c>
      <c r="S691" t="s">
        <v>46</v>
      </c>
      <c r="T691" t="s">
        <v>223</v>
      </c>
      <c r="U691" t="s">
        <v>2090</v>
      </c>
      <c r="V691">
        <v>39100</v>
      </c>
      <c r="W691" t="s">
        <v>45</v>
      </c>
      <c r="X691" t="s">
        <v>427</v>
      </c>
      <c r="Y691" t="s">
        <v>50</v>
      </c>
      <c r="Z691" s="10">
        <f>IF(N691&lt;=1,9,9+0.8*ROUNDUP(N691-1,0))</f>
        <v>12.2</v>
      </c>
      <c r="AA691" s="11">
        <v>0</v>
      </c>
      <c r="AB691" s="11">
        <v>-2</v>
      </c>
      <c r="AC691" s="11">
        <v>0</v>
      </c>
      <c r="AD691" s="11">
        <v>0</v>
      </c>
      <c r="AE691" s="11">
        <v>0</v>
      </c>
      <c r="AF691" s="11">
        <f t="shared" si="57"/>
        <v>0.61199999999999999</v>
      </c>
      <c r="AG691" s="11">
        <f t="shared" si="58"/>
        <v>10.811999999999999</v>
      </c>
      <c r="AH691" t="s">
        <v>51</v>
      </c>
    </row>
    <row r="692" spans="1:34" ht="15" customHeight="1" x14ac:dyDescent="0.25">
      <c r="A692">
        <v>7547676</v>
      </c>
      <c r="B692" t="s">
        <v>34</v>
      </c>
      <c r="C692" t="s">
        <v>35</v>
      </c>
      <c r="D692" s="6" t="s">
        <v>34</v>
      </c>
      <c r="E692" t="s">
        <v>2091</v>
      </c>
      <c r="F692" t="s">
        <v>37</v>
      </c>
      <c r="G692" t="s">
        <v>38</v>
      </c>
      <c r="H692" t="s">
        <v>2092</v>
      </c>
      <c r="I692" t="s">
        <v>40</v>
      </c>
      <c r="J692">
        <v>2</v>
      </c>
      <c r="K692" t="s">
        <v>41</v>
      </c>
      <c r="L692" t="s">
        <v>42</v>
      </c>
      <c r="M692" t="s">
        <v>43</v>
      </c>
      <c r="N692" s="7">
        <v>1</v>
      </c>
      <c r="O692" s="8">
        <v>45515.807534722226</v>
      </c>
      <c r="P692" s="9">
        <v>45518</v>
      </c>
      <c r="Q692" t="s">
        <v>44</v>
      </c>
      <c r="R692" t="s">
        <v>45</v>
      </c>
      <c r="S692" t="s">
        <v>46</v>
      </c>
      <c r="T692" t="s">
        <v>47</v>
      </c>
      <c r="U692" t="s">
        <v>2093</v>
      </c>
      <c r="V692">
        <v>31000</v>
      </c>
      <c r="W692" t="s">
        <v>45</v>
      </c>
      <c r="X692" t="s">
        <v>391</v>
      </c>
      <c r="Y692" t="s">
        <v>50</v>
      </c>
      <c r="Z692" s="10">
        <f t="shared" ref="Z692:Z695" si="62">IF(N692&lt;=1,9,9+0.8*ROUNDUP(N692-1,0))</f>
        <v>9</v>
      </c>
      <c r="AA692" s="11">
        <v>0</v>
      </c>
      <c r="AB692" s="11">
        <v>-2</v>
      </c>
      <c r="AC692" s="11">
        <v>0</v>
      </c>
      <c r="AD692" s="11">
        <v>0</v>
      </c>
      <c r="AE692" s="11">
        <v>0</v>
      </c>
      <c r="AF692" s="11">
        <f t="shared" si="57"/>
        <v>0.42</v>
      </c>
      <c r="AG692" s="11">
        <f t="shared" si="58"/>
        <v>7.42</v>
      </c>
      <c r="AH692" t="s">
        <v>51</v>
      </c>
    </row>
    <row r="693" spans="1:34" ht="15" customHeight="1" x14ac:dyDescent="0.25">
      <c r="A693">
        <v>7547676</v>
      </c>
      <c r="B693" t="s">
        <v>34</v>
      </c>
      <c r="C693" t="s">
        <v>35</v>
      </c>
      <c r="D693" s="6" t="s">
        <v>34</v>
      </c>
      <c r="E693" t="s">
        <v>2094</v>
      </c>
      <c r="F693" t="s">
        <v>37</v>
      </c>
      <c r="G693" t="s">
        <v>38</v>
      </c>
      <c r="H693" t="s">
        <v>425</v>
      </c>
      <c r="I693" t="s">
        <v>40</v>
      </c>
      <c r="J693">
        <v>2</v>
      </c>
      <c r="K693" t="s">
        <v>41</v>
      </c>
      <c r="L693" t="s">
        <v>42</v>
      </c>
      <c r="M693" t="s">
        <v>43</v>
      </c>
      <c r="N693" s="7">
        <v>7</v>
      </c>
      <c r="O693" s="8">
        <v>45515.474351851852</v>
      </c>
      <c r="P693" s="9">
        <v>45518</v>
      </c>
      <c r="Q693" t="s">
        <v>44</v>
      </c>
      <c r="R693" t="s">
        <v>45</v>
      </c>
      <c r="S693" t="s">
        <v>46</v>
      </c>
      <c r="T693" t="s">
        <v>223</v>
      </c>
      <c r="U693" t="s">
        <v>2090</v>
      </c>
      <c r="V693">
        <v>39100</v>
      </c>
      <c r="W693" t="s">
        <v>45</v>
      </c>
      <c r="X693" t="s">
        <v>427</v>
      </c>
      <c r="Y693" t="s">
        <v>50</v>
      </c>
      <c r="Z693" s="10">
        <f t="shared" si="62"/>
        <v>13.8</v>
      </c>
      <c r="AA693" s="11">
        <v>0</v>
      </c>
      <c r="AB693" s="11">
        <v>-2</v>
      </c>
      <c r="AC693" s="11">
        <v>0</v>
      </c>
      <c r="AD693" s="11">
        <v>0</v>
      </c>
      <c r="AE693" s="11">
        <v>0</v>
      </c>
      <c r="AF693" s="11">
        <f t="shared" si="57"/>
        <v>0.70799999999999996</v>
      </c>
      <c r="AG693" s="11">
        <f t="shared" si="58"/>
        <v>12.508000000000001</v>
      </c>
      <c r="AH693" t="s">
        <v>51</v>
      </c>
    </row>
    <row r="694" spans="1:34" ht="15" customHeight="1" x14ac:dyDescent="0.25">
      <c r="A694">
        <v>7547676</v>
      </c>
      <c r="B694" t="s">
        <v>34</v>
      </c>
      <c r="C694" t="s">
        <v>35</v>
      </c>
      <c r="D694" s="6" t="s">
        <v>34</v>
      </c>
      <c r="E694" t="s">
        <v>2095</v>
      </c>
      <c r="F694" t="s">
        <v>37</v>
      </c>
      <c r="G694" t="s">
        <v>38</v>
      </c>
      <c r="H694" t="s">
        <v>2096</v>
      </c>
      <c r="I694" t="s">
        <v>40</v>
      </c>
      <c r="J694">
        <v>2</v>
      </c>
      <c r="K694" t="s">
        <v>41</v>
      </c>
      <c r="L694" t="s">
        <v>42</v>
      </c>
      <c r="M694" t="s">
        <v>43</v>
      </c>
      <c r="N694" s="7">
        <v>1</v>
      </c>
      <c r="O694" s="8">
        <v>45515.828287037039</v>
      </c>
      <c r="P694" s="9">
        <v>45518</v>
      </c>
      <c r="Q694" t="s">
        <v>44</v>
      </c>
      <c r="R694" t="s">
        <v>45</v>
      </c>
      <c r="S694" t="s">
        <v>46</v>
      </c>
      <c r="T694" t="s">
        <v>47</v>
      </c>
      <c r="U694" t="s">
        <v>2097</v>
      </c>
      <c r="V694">
        <v>32100</v>
      </c>
      <c r="W694" t="s">
        <v>45</v>
      </c>
      <c r="X694" t="s">
        <v>1461</v>
      </c>
      <c r="Y694" t="s">
        <v>50</v>
      </c>
      <c r="Z694" s="10">
        <f t="shared" si="62"/>
        <v>9</v>
      </c>
      <c r="AA694" s="11">
        <v>0</v>
      </c>
      <c r="AB694" s="11">
        <v>-2</v>
      </c>
      <c r="AC694" s="11">
        <v>0</v>
      </c>
      <c r="AD694" s="11">
        <v>0</v>
      </c>
      <c r="AE694" s="11">
        <v>0</v>
      </c>
      <c r="AF694" s="11">
        <f t="shared" si="57"/>
        <v>0.42</v>
      </c>
      <c r="AG694" s="11">
        <f t="shared" si="58"/>
        <v>7.42</v>
      </c>
      <c r="AH694" t="s">
        <v>51</v>
      </c>
    </row>
    <row r="695" spans="1:34" ht="15" customHeight="1" x14ac:dyDescent="0.25">
      <c r="A695">
        <v>7547676</v>
      </c>
      <c r="B695" t="s">
        <v>34</v>
      </c>
      <c r="C695" t="s">
        <v>35</v>
      </c>
      <c r="D695" s="6" t="s">
        <v>34</v>
      </c>
      <c r="E695" t="s">
        <v>2098</v>
      </c>
      <c r="F695" t="s">
        <v>37</v>
      </c>
      <c r="G695" t="s">
        <v>38</v>
      </c>
      <c r="H695" t="s">
        <v>102</v>
      </c>
      <c r="I695" t="s">
        <v>40</v>
      </c>
      <c r="J695">
        <v>2</v>
      </c>
      <c r="K695" t="s">
        <v>41</v>
      </c>
      <c r="L695" t="s">
        <v>42</v>
      </c>
      <c r="M695" t="s">
        <v>43</v>
      </c>
      <c r="N695" s="7">
        <v>7</v>
      </c>
      <c r="O695" s="8">
        <v>45517.61886574074</v>
      </c>
      <c r="P695" s="9">
        <v>45518</v>
      </c>
      <c r="Q695" t="s">
        <v>44</v>
      </c>
      <c r="R695" t="s">
        <v>45</v>
      </c>
      <c r="S695" t="s">
        <v>46</v>
      </c>
      <c r="T695" t="s">
        <v>92</v>
      </c>
      <c r="U695" t="s">
        <v>2099</v>
      </c>
      <c r="V695">
        <v>40000</v>
      </c>
      <c r="W695" t="s">
        <v>45</v>
      </c>
      <c r="X695" t="s">
        <v>104</v>
      </c>
      <c r="Y695" t="s">
        <v>50</v>
      </c>
      <c r="Z695" s="10">
        <f t="shared" si="62"/>
        <v>13.8</v>
      </c>
      <c r="AA695" s="11">
        <v>0</v>
      </c>
      <c r="AB695" s="11">
        <v>-2</v>
      </c>
      <c r="AC695" s="11">
        <v>0</v>
      </c>
      <c r="AD695" s="11">
        <v>0</v>
      </c>
      <c r="AE695" s="11">
        <v>0</v>
      </c>
      <c r="AF695" s="11">
        <f t="shared" si="57"/>
        <v>0.70799999999999996</v>
      </c>
      <c r="AG695" s="11">
        <f t="shared" si="58"/>
        <v>12.508000000000001</v>
      </c>
      <c r="AH695" t="s">
        <v>51</v>
      </c>
    </row>
    <row r="696" spans="1:34" ht="15" customHeight="1" x14ac:dyDescent="0.25">
      <c r="A696">
        <v>7547676</v>
      </c>
      <c r="B696" t="s">
        <v>34</v>
      </c>
      <c r="C696" t="s">
        <v>35</v>
      </c>
      <c r="D696" s="6" t="s">
        <v>34</v>
      </c>
      <c r="E696" t="s">
        <v>2100</v>
      </c>
      <c r="F696" t="s">
        <v>37</v>
      </c>
      <c r="G696" t="s">
        <v>38</v>
      </c>
      <c r="H696" t="s">
        <v>2101</v>
      </c>
      <c r="I696" t="s">
        <v>40</v>
      </c>
      <c r="J696">
        <v>2</v>
      </c>
      <c r="K696" t="s">
        <v>41</v>
      </c>
      <c r="L696" t="s">
        <v>42</v>
      </c>
      <c r="M696" t="s">
        <v>43</v>
      </c>
      <c r="N696" s="7">
        <v>3</v>
      </c>
      <c r="O696" s="8">
        <v>45515.727384259262</v>
      </c>
      <c r="P696" s="9">
        <v>45518</v>
      </c>
      <c r="Q696" t="s">
        <v>44</v>
      </c>
      <c r="R696" t="s">
        <v>45</v>
      </c>
      <c r="S696" t="s">
        <v>46</v>
      </c>
      <c r="T696" t="s">
        <v>116</v>
      </c>
      <c r="U696" t="s">
        <v>2102</v>
      </c>
      <c r="V696">
        <v>89320</v>
      </c>
      <c r="W696" t="s">
        <v>118</v>
      </c>
      <c r="X696" t="s">
        <v>69</v>
      </c>
      <c r="Y696" t="s">
        <v>50</v>
      </c>
      <c r="Z696" s="12">
        <f>IF(N696&lt;=1,13,IF(N696&lt;=2,23,IF(N696&lt;=3,35,IF(N696&lt;=4,43,IF(N696&lt;=5,53,IF(N696&lt;=6,63,IF(N696&lt;=7,71,IF(N696&lt;=8,79,IF(N696&lt;=9,87,IF(N696&lt;=10,95,IF(N696&lt;=11,105,IF(N696&lt;=12,114,IF(N696&lt;=13,119,IF(N696&lt;=14,127,IF(N696&lt;=15,135,IF(N696&lt;=16,143,IF(N696&lt;=17,153,IF(N696&lt;=18,163,IF(N696&lt;=19,171,IF(N696&lt;=20,185,IF(N696&lt;=21,193,IF(N696&lt;=22,201,IF(N696&lt;=23,210,IF(N696&lt;=24,220,IF(N696&lt;=25,230,IF(N696&lt;=26,240,IF(N696&lt;=27,250,IF(N696&lt;=28,260,IF(N696&lt;=29,270,IF(N696&lt;=30,280,280+10*ROUNDUP(N696-30,0)))))))))))))))))))))))))))))))</f>
        <v>35</v>
      </c>
      <c r="AA696" s="11">
        <v>0</v>
      </c>
      <c r="AB696" s="11">
        <v>0</v>
      </c>
      <c r="AC696" s="11">
        <v>0</v>
      </c>
      <c r="AD696" s="11">
        <v>0</v>
      </c>
      <c r="AE696" s="11">
        <v>0</v>
      </c>
      <c r="AF696" s="11">
        <f t="shared" si="57"/>
        <v>2.1</v>
      </c>
      <c r="AG696" s="11">
        <f t="shared" si="58"/>
        <v>37.1</v>
      </c>
      <c r="AH696" t="s">
        <v>119</v>
      </c>
    </row>
    <row r="697" spans="1:34" ht="15" customHeight="1" x14ac:dyDescent="0.25">
      <c r="A697">
        <v>7547676</v>
      </c>
      <c r="B697" t="s">
        <v>34</v>
      </c>
      <c r="C697" t="s">
        <v>35</v>
      </c>
      <c r="D697" s="6" t="s">
        <v>34</v>
      </c>
      <c r="E697" t="s">
        <v>2103</v>
      </c>
      <c r="F697" t="s">
        <v>37</v>
      </c>
      <c r="G697" t="s">
        <v>38</v>
      </c>
      <c r="H697" t="s">
        <v>2104</v>
      </c>
      <c r="I697" t="s">
        <v>40</v>
      </c>
      <c r="J697">
        <v>2</v>
      </c>
      <c r="K697" t="s">
        <v>41</v>
      </c>
      <c r="L697" t="s">
        <v>42</v>
      </c>
      <c r="M697" t="s">
        <v>43</v>
      </c>
      <c r="N697" s="7">
        <v>1</v>
      </c>
      <c r="O697" s="8">
        <v>45516.771643518521</v>
      </c>
      <c r="P697" s="9">
        <v>45518</v>
      </c>
      <c r="Q697" t="s">
        <v>44</v>
      </c>
      <c r="R697" t="s">
        <v>45</v>
      </c>
      <c r="S697" t="s">
        <v>46</v>
      </c>
      <c r="T697" t="s">
        <v>92</v>
      </c>
      <c r="U697" t="s">
        <v>2105</v>
      </c>
      <c r="V697">
        <v>47180</v>
      </c>
      <c r="W697" t="s">
        <v>45</v>
      </c>
      <c r="X697" t="s">
        <v>993</v>
      </c>
      <c r="Y697" t="s">
        <v>50</v>
      </c>
      <c r="Z697" s="10">
        <f t="shared" ref="Z697:Z724" si="63">IF(N697&lt;=1,9,9+0.8*ROUNDUP(N697-1,0))</f>
        <v>9</v>
      </c>
      <c r="AA697" s="11">
        <v>0</v>
      </c>
      <c r="AB697" s="11">
        <v>-2</v>
      </c>
      <c r="AC697" s="11">
        <v>0</v>
      </c>
      <c r="AD697" s="11">
        <v>0</v>
      </c>
      <c r="AE697" s="11">
        <v>0</v>
      </c>
      <c r="AF697" s="11">
        <f t="shared" si="57"/>
        <v>0.42</v>
      </c>
      <c r="AG697" s="11">
        <f t="shared" si="58"/>
        <v>7.42</v>
      </c>
      <c r="AH697" t="s">
        <v>51</v>
      </c>
    </row>
    <row r="698" spans="1:34" ht="15" customHeight="1" x14ac:dyDescent="0.25">
      <c r="A698">
        <v>7547676</v>
      </c>
      <c r="B698" t="s">
        <v>34</v>
      </c>
      <c r="C698" t="s">
        <v>35</v>
      </c>
      <c r="D698" s="6" t="s">
        <v>34</v>
      </c>
      <c r="E698" t="s">
        <v>2106</v>
      </c>
      <c r="F698" t="s">
        <v>37</v>
      </c>
      <c r="G698" t="s">
        <v>38</v>
      </c>
      <c r="H698" t="s">
        <v>1558</v>
      </c>
      <c r="I698" t="s">
        <v>40</v>
      </c>
      <c r="J698">
        <v>2</v>
      </c>
      <c r="K698" t="s">
        <v>41</v>
      </c>
      <c r="L698" t="s">
        <v>42</v>
      </c>
      <c r="M698" t="s">
        <v>43</v>
      </c>
      <c r="N698" s="7">
        <v>1</v>
      </c>
      <c r="O698" s="8">
        <v>45516.815011574072</v>
      </c>
      <c r="P698" s="9">
        <v>45518</v>
      </c>
      <c r="Q698" t="s">
        <v>44</v>
      </c>
      <c r="R698" t="s">
        <v>45</v>
      </c>
      <c r="S698" t="s">
        <v>46</v>
      </c>
      <c r="T698" t="s">
        <v>72</v>
      </c>
      <c r="U698" t="s">
        <v>1559</v>
      </c>
      <c r="V698">
        <v>24000</v>
      </c>
      <c r="W698" t="s">
        <v>45</v>
      </c>
      <c r="X698" t="s">
        <v>225</v>
      </c>
      <c r="Y698" t="s">
        <v>50</v>
      </c>
      <c r="Z698" s="10">
        <f t="shared" si="63"/>
        <v>9</v>
      </c>
      <c r="AA698" s="11">
        <v>0</v>
      </c>
      <c r="AB698" s="11">
        <v>-2</v>
      </c>
      <c r="AC698" s="11">
        <v>0</v>
      </c>
      <c r="AD698" s="11">
        <v>0</v>
      </c>
      <c r="AE698" s="11">
        <v>0</v>
      </c>
      <c r="AF698" s="11">
        <f t="shared" si="57"/>
        <v>0.42</v>
      </c>
      <c r="AG698" s="11">
        <f t="shared" si="58"/>
        <v>7.42</v>
      </c>
      <c r="AH698" t="s">
        <v>51</v>
      </c>
    </row>
    <row r="699" spans="1:34" ht="15" customHeight="1" x14ac:dyDescent="0.25">
      <c r="A699">
        <v>7547676</v>
      </c>
      <c r="B699" t="s">
        <v>34</v>
      </c>
      <c r="C699" t="s">
        <v>35</v>
      </c>
      <c r="D699" s="6" t="s">
        <v>34</v>
      </c>
      <c r="E699" t="s">
        <v>2107</v>
      </c>
      <c r="F699" t="s">
        <v>37</v>
      </c>
      <c r="G699" t="s">
        <v>38</v>
      </c>
      <c r="H699" t="s">
        <v>2108</v>
      </c>
      <c r="I699" t="s">
        <v>40</v>
      </c>
      <c r="J699">
        <v>2</v>
      </c>
      <c r="K699" t="s">
        <v>41</v>
      </c>
      <c r="L699" t="s">
        <v>42</v>
      </c>
      <c r="M699" t="s">
        <v>43</v>
      </c>
      <c r="N699" s="7">
        <v>1</v>
      </c>
      <c r="O699" s="8">
        <v>45517.662094907406</v>
      </c>
      <c r="P699" s="9">
        <v>45518</v>
      </c>
      <c r="Q699" t="s">
        <v>44</v>
      </c>
      <c r="R699" t="s">
        <v>45</v>
      </c>
      <c r="S699" t="s">
        <v>46</v>
      </c>
      <c r="T699" t="s">
        <v>92</v>
      </c>
      <c r="U699" t="s">
        <v>2109</v>
      </c>
      <c r="V699">
        <v>43300</v>
      </c>
      <c r="W699" t="s">
        <v>45</v>
      </c>
      <c r="X699" t="s">
        <v>652</v>
      </c>
      <c r="Y699" t="s">
        <v>50</v>
      </c>
      <c r="Z699" s="10">
        <f t="shared" si="63"/>
        <v>9</v>
      </c>
      <c r="AA699" s="11">
        <v>0</v>
      </c>
      <c r="AB699" s="11">
        <v>-2</v>
      </c>
      <c r="AC699" s="11">
        <v>0</v>
      </c>
      <c r="AD699" s="11">
        <v>0</v>
      </c>
      <c r="AE699" s="11">
        <v>0</v>
      </c>
      <c r="AF699" s="11">
        <f t="shared" si="57"/>
        <v>0.42</v>
      </c>
      <c r="AG699" s="11">
        <f t="shared" si="58"/>
        <v>7.42</v>
      </c>
      <c r="AH699" t="s">
        <v>51</v>
      </c>
    </row>
    <row r="700" spans="1:34" ht="15" customHeight="1" x14ac:dyDescent="0.25">
      <c r="A700">
        <v>7547676</v>
      </c>
      <c r="B700" t="s">
        <v>34</v>
      </c>
      <c r="C700" t="s">
        <v>35</v>
      </c>
      <c r="D700" s="6" t="s">
        <v>34</v>
      </c>
      <c r="E700" t="s">
        <v>2110</v>
      </c>
      <c r="F700" t="s">
        <v>37</v>
      </c>
      <c r="G700" t="s">
        <v>38</v>
      </c>
      <c r="H700" t="s">
        <v>2111</v>
      </c>
      <c r="I700" t="s">
        <v>40</v>
      </c>
      <c r="J700">
        <v>2</v>
      </c>
      <c r="K700" t="s">
        <v>41</v>
      </c>
      <c r="L700" t="s">
        <v>42</v>
      </c>
      <c r="M700" t="s">
        <v>43</v>
      </c>
      <c r="N700" s="7">
        <v>1</v>
      </c>
      <c r="O700" s="8">
        <v>45517.443668981483</v>
      </c>
      <c r="P700" s="9">
        <v>45518</v>
      </c>
      <c r="Q700" t="s">
        <v>44</v>
      </c>
      <c r="R700" t="s">
        <v>45</v>
      </c>
      <c r="S700" t="s">
        <v>46</v>
      </c>
      <c r="T700" t="s">
        <v>72</v>
      </c>
      <c r="U700" t="s">
        <v>2112</v>
      </c>
      <c r="V700">
        <v>21600</v>
      </c>
      <c r="W700" t="s">
        <v>45</v>
      </c>
      <c r="X700" t="s">
        <v>139</v>
      </c>
      <c r="Y700" t="s">
        <v>50</v>
      </c>
      <c r="Z700" s="10">
        <f t="shared" si="63"/>
        <v>9</v>
      </c>
      <c r="AA700" s="11">
        <v>0</v>
      </c>
      <c r="AB700" s="11">
        <v>-2</v>
      </c>
      <c r="AC700" s="11">
        <v>0</v>
      </c>
      <c r="AD700" s="11">
        <v>0</v>
      </c>
      <c r="AE700" s="11">
        <v>0</v>
      </c>
      <c r="AF700" s="11">
        <f t="shared" si="57"/>
        <v>0.42</v>
      </c>
      <c r="AG700" s="11">
        <f t="shared" si="58"/>
        <v>7.42</v>
      </c>
      <c r="AH700" t="s">
        <v>51</v>
      </c>
    </row>
    <row r="701" spans="1:34" ht="15" customHeight="1" x14ac:dyDescent="0.25">
      <c r="A701">
        <v>7547676</v>
      </c>
      <c r="B701" t="s">
        <v>34</v>
      </c>
      <c r="C701" t="s">
        <v>35</v>
      </c>
      <c r="D701" s="6" t="s">
        <v>34</v>
      </c>
      <c r="E701" t="s">
        <v>2113</v>
      </c>
      <c r="F701" t="s">
        <v>37</v>
      </c>
      <c r="G701" t="s">
        <v>38</v>
      </c>
      <c r="H701" t="s">
        <v>2114</v>
      </c>
      <c r="I701" t="s">
        <v>40</v>
      </c>
      <c r="J701">
        <v>2</v>
      </c>
      <c r="K701" t="s">
        <v>41</v>
      </c>
      <c r="L701" t="s">
        <v>42</v>
      </c>
      <c r="M701" t="s">
        <v>43</v>
      </c>
      <c r="N701" s="7">
        <v>3</v>
      </c>
      <c r="O701" s="8">
        <v>45515.462997685187</v>
      </c>
      <c r="P701" s="9">
        <v>45518</v>
      </c>
      <c r="Q701" t="s">
        <v>44</v>
      </c>
      <c r="R701" t="s">
        <v>45</v>
      </c>
      <c r="S701" t="s">
        <v>46</v>
      </c>
      <c r="T701" t="s">
        <v>107</v>
      </c>
      <c r="U701" t="s">
        <v>2115</v>
      </c>
      <c r="V701">
        <v>6300</v>
      </c>
      <c r="W701" t="s">
        <v>45</v>
      </c>
      <c r="X701" t="s">
        <v>69</v>
      </c>
      <c r="Y701" t="s">
        <v>50</v>
      </c>
      <c r="Z701" s="10">
        <f t="shared" si="63"/>
        <v>10.6</v>
      </c>
      <c r="AA701" s="11">
        <v>0</v>
      </c>
      <c r="AB701" s="11">
        <v>-2</v>
      </c>
      <c r="AC701" s="11">
        <v>0</v>
      </c>
      <c r="AD701" s="11">
        <v>0</v>
      </c>
      <c r="AE701" s="11">
        <v>0</v>
      </c>
      <c r="AF701" s="11">
        <f t="shared" si="57"/>
        <v>0.51600000000000001</v>
      </c>
      <c r="AG701" s="11">
        <f t="shared" si="58"/>
        <v>9.1159999999999997</v>
      </c>
      <c r="AH701" t="s">
        <v>51</v>
      </c>
    </row>
    <row r="702" spans="1:34" ht="15" customHeight="1" x14ac:dyDescent="0.25">
      <c r="A702">
        <v>7547676</v>
      </c>
      <c r="B702" t="s">
        <v>34</v>
      </c>
      <c r="C702" t="s">
        <v>35</v>
      </c>
      <c r="D702" s="6" t="s">
        <v>34</v>
      </c>
      <c r="E702" t="s">
        <v>2116</v>
      </c>
      <c r="F702" t="s">
        <v>37</v>
      </c>
      <c r="G702" t="s">
        <v>38</v>
      </c>
      <c r="H702" t="s">
        <v>2117</v>
      </c>
      <c r="I702" t="s">
        <v>40</v>
      </c>
      <c r="J702">
        <v>2</v>
      </c>
      <c r="K702" t="s">
        <v>41</v>
      </c>
      <c r="L702" t="s">
        <v>42</v>
      </c>
      <c r="M702" t="s">
        <v>43</v>
      </c>
      <c r="N702" s="7">
        <v>1</v>
      </c>
      <c r="O702" s="8">
        <v>45515.807534722226</v>
      </c>
      <c r="P702" s="9">
        <v>45518</v>
      </c>
      <c r="Q702" t="s">
        <v>44</v>
      </c>
      <c r="R702" t="s">
        <v>45</v>
      </c>
      <c r="S702" t="s">
        <v>46</v>
      </c>
      <c r="T702" t="s">
        <v>47</v>
      </c>
      <c r="U702" t="s">
        <v>2118</v>
      </c>
      <c r="V702">
        <v>34600</v>
      </c>
      <c r="W702" t="s">
        <v>45</v>
      </c>
      <c r="X702" t="s">
        <v>285</v>
      </c>
      <c r="Y702" t="s">
        <v>50</v>
      </c>
      <c r="Z702" s="10">
        <f t="shared" si="63"/>
        <v>9</v>
      </c>
      <c r="AA702" s="11">
        <v>0</v>
      </c>
      <c r="AB702" s="11">
        <v>-2</v>
      </c>
      <c r="AC702" s="11">
        <v>0</v>
      </c>
      <c r="AD702" s="11">
        <v>0</v>
      </c>
      <c r="AE702" s="11">
        <v>0</v>
      </c>
      <c r="AF702" s="11">
        <f t="shared" si="57"/>
        <v>0.42</v>
      </c>
      <c r="AG702" s="11">
        <f t="shared" si="58"/>
        <v>7.42</v>
      </c>
      <c r="AH702" t="s">
        <v>51</v>
      </c>
    </row>
    <row r="703" spans="1:34" ht="15" customHeight="1" x14ac:dyDescent="0.25">
      <c r="A703">
        <v>7547676</v>
      </c>
      <c r="B703" t="s">
        <v>34</v>
      </c>
      <c r="C703" t="s">
        <v>35</v>
      </c>
      <c r="D703" s="6" t="s">
        <v>34</v>
      </c>
      <c r="E703" t="s">
        <v>2119</v>
      </c>
      <c r="F703" t="s">
        <v>37</v>
      </c>
      <c r="G703" t="s">
        <v>38</v>
      </c>
      <c r="H703" t="s">
        <v>2120</v>
      </c>
      <c r="I703" t="s">
        <v>40</v>
      </c>
      <c r="J703">
        <v>2</v>
      </c>
      <c r="K703" t="s">
        <v>41</v>
      </c>
      <c r="L703" t="s">
        <v>42</v>
      </c>
      <c r="M703" t="s">
        <v>43</v>
      </c>
      <c r="N703" s="7">
        <v>1</v>
      </c>
      <c r="O703" s="8">
        <v>45516.758518518516</v>
      </c>
      <c r="P703" s="9">
        <v>45518</v>
      </c>
      <c r="Q703" t="s">
        <v>44</v>
      </c>
      <c r="R703" t="s">
        <v>45</v>
      </c>
      <c r="S703" t="s">
        <v>46</v>
      </c>
      <c r="T703" t="s">
        <v>72</v>
      </c>
      <c r="U703" t="s">
        <v>2121</v>
      </c>
      <c r="V703">
        <v>23300</v>
      </c>
      <c r="W703" t="s">
        <v>45</v>
      </c>
      <c r="X703" t="s">
        <v>139</v>
      </c>
      <c r="Y703" t="s">
        <v>50</v>
      </c>
      <c r="Z703" s="10">
        <f t="shared" si="63"/>
        <v>9</v>
      </c>
      <c r="AA703" s="11">
        <v>0</v>
      </c>
      <c r="AB703" s="11">
        <v>-2</v>
      </c>
      <c r="AC703" s="11">
        <v>0</v>
      </c>
      <c r="AD703" s="11">
        <v>0</v>
      </c>
      <c r="AE703" s="11">
        <v>0</v>
      </c>
      <c r="AF703" s="11">
        <f t="shared" si="57"/>
        <v>0.42</v>
      </c>
      <c r="AG703" s="11">
        <f t="shared" si="58"/>
        <v>7.42</v>
      </c>
      <c r="AH703" t="s">
        <v>51</v>
      </c>
    </row>
    <row r="704" spans="1:34" ht="15" customHeight="1" x14ac:dyDescent="0.25">
      <c r="A704">
        <v>7547676</v>
      </c>
      <c r="B704" t="s">
        <v>34</v>
      </c>
      <c r="C704" t="s">
        <v>35</v>
      </c>
      <c r="D704" s="6" t="s">
        <v>34</v>
      </c>
      <c r="E704" t="s">
        <v>2122</v>
      </c>
      <c r="F704" t="s">
        <v>37</v>
      </c>
      <c r="G704" t="s">
        <v>38</v>
      </c>
      <c r="H704" t="s">
        <v>2123</v>
      </c>
      <c r="I704" t="s">
        <v>40</v>
      </c>
      <c r="J704">
        <v>2</v>
      </c>
      <c r="K704" t="s">
        <v>41</v>
      </c>
      <c r="L704" t="s">
        <v>42</v>
      </c>
      <c r="M704" t="s">
        <v>43</v>
      </c>
      <c r="N704" s="7">
        <v>2</v>
      </c>
      <c r="O704" s="8">
        <v>45517.699976851851</v>
      </c>
      <c r="P704" s="9">
        <v>45518</v>
      </c>
      <c r="Q704" t="s">
        <v>44</v>
      </c>
      <c r="R704" t="s">
        <v>45</v>
      </c>
      <c r="S704" t="s">
        <v>46</v>
      </c>
      <c r="T704" t="s">
        <v>151</v>
      </c>
      <c r="U704" t="s">
        <v>2124</v>
      </c>
      <c r="V704">
        <v>78300</v>
      </c>
      <c r="W704" t="s">
        <v>45</v>
      </c>
      <c r="X704" t="s">
        <v>346</v>
      </c>
      <c r="Y704" t="s">
        <v>50</v>
      </c>
      <c r="Z704" s="10">
        <f t="shared" si="63"/>
        <v>9.8000000000000007</v>
      </c>
      <c r="AA704" s="11">
        <v>0</v>
      </c>
      <c r="AB704" s="11">
        <v>-2</v>
      </c>
      <c r="AC704" s="11">
        <v>0</v>
      </c>
      <c r="AD704" s="11">
        <v>0</v>
      </c>
      <c r="AE704" s="11">
        <v>0</v>
      </c>
      <c r="AF704" s="11">
        <f t="shared" si="57"/>
        <v>0.46800000000000003</v>
      </c>
      <c r="AG704" s="11">
        <f t="shared" si="58"/>
        <v>8.2680000000000007</v>
      </c>
      <c r="AH704" t="s">
        <v>51</v>
      </c>
    </row>
    <row r="705" spans="1:34" ht="15" customHeight="1" x14ac:dyDescent="0.25">
      <c r="A705">
        <v>7547676</v>
      </c>
      <c r="B705" t="s">
        <v>34</v>
      </c>
      <c r="C705" t="s">
        <v>35</v>
      </c>
      <c r="D705" s="6" t="s">
        <v>34</v>
      </c>
      <c r="E705" t="s">
        <v>2125</v>
      </c>
      <c r="F705" t="s">
        <v>37</v>
      </c>
      <c r="G705" t="s">
        <v>38</v>
      </c>
      <c r="H705" t="s">
        <v>2126</v>
      </c>
      <c r="I705" t="s">
        <v>40</v>
      </c>
      <c r="J705">
        <v>2</v>
      </c>
      <c r="K705" t="s">
        <v>41</v>
      </c>
      <c r="L705" t="s">
        <v>42</v>
      </c>
      <c r="M705" t="s">
        <v>43</v>
      </c>
      <c r="N705" s="7">
        <v>1</v>
      </c>
      <c r="O705" s="8">
        <v>45517.61241898148</v>
      </c>
      <c r="P705" s="9">
        <v>45518</v>
      </c>
      <c r="Q705" t="s">
        <v>44</v>
      </c>
      <c r="R705" t="s">
        <v>45</v>
      </c>
      <c r="S705" t="s">
        <v>46</v>
      </c>
      <c r="T705" t="s">
        <v>92</v>
      </c>
      <c r="U705" t="s">
        <v>2127</v>
      </c>
      <c r="V705">
        <v>40200</v>
      </c>
      <c r="W705" t="s">
        <v>45</v>
      </c>
      <c r="X705" t="s">
        <v>69</v>
      </c>
      <c r="Y705" t="s">
        <v>50</v>
      </c>
      <c r="Z705" s="10">
        <f t="shared" si="63"/>
        <v>9</v>
      </c>
      <c r="AA705" s="11">
        <v>0</v>
      </c>
      <c r="AB705" s="11">
        <v>-2</v>
      </c>
      <c r="AC705" s="11">
        <v>0</v>
      </c>
      <c r="AD705" s="11">
        <v>0</v>
      </c>
      <c r="AE705" s="11">
        <v>0</v>
      </c>
      <c r="AF705" s="11">
        <f t="shared" si="57"/>
        <v>0.42</v>
      </c>
      <c r="AG705" s="11">
        <f t="shared" si="58"/>
        <v>7.42</v>
      </c>
      <c r="AH705" t="s">
        <v>51</v>
      </c>
    </row>
    <row r="706" spans="1:34" ht="15" customHeight="1" x14ac:dyDescent="0.25">
      <c r="A706">
        <v>7547676</v>
      </c>
      <c r="B706" t="s">
        <v>34</v>
      </c>
      <c r="C706" t="s">
        <v>35</v>
      </c>
      <c r="D706" s="6" t="s">
        <v>34</v>
      </c>
      <c r="E706" t="s">
        <v>2128</v>
      </c>
      <c r="F706" t="s">
        <v>37</v>
      </c>
      <c r="G706" t="s">
        <v>38</v>
      </c>
      <c r="H706" t="s">
        <v>2129</v>
      </c>
      <c r="I706" t="s">
        <v>40</v>
      </c>
      <c r="J706">
        <v>2</v>
      </c>
      <c r="K706" t="s">
        <v>41</v>
      </c>
      <c r="L706" t="s">
        <v>42</v>
      </c>
      <c r="M706" t="s">
        <v>43</v>
      </c>
      <c r="N706" s="7">
        <v>1</v>
      </c>
      <c r="O706" s="8">
        <v>45516.771643518521</v>
      </c>
      <c r="P706" s="9">
        <v>45518</v>
      </c>
      <c r="Q706" t="s">
        <v>44</v>
      </c>
      <c r="R706" t="s">
        <v>45</v>
      </c>
      <c r="S706" t="s">
        <v>46</v>
      </c>
      <c r="T706" t="s">
        <v>146</v>
      </c>
      <c r="U706" t="s">
        <v>2130</v>
      </c>
      <c r="V706">
        <v>58200</v>
      </c>
      <c r="W706" t="s">
        <v>45</v>
      </c>
      <c r="X706" t="s">
        <v>362</v>
      </c>
      <c r="Y706" t="s">
        <v>50</v>
      </c>
      <c r="Z706" s="10">
        <f t="shared" si="63"/>
        <v>9</v>
      </c>
      <c r="AA706" s="11">
        <v>0</v>
      </c>
      <c r="AB706" s="11">
        <v>-2</v>
      </c>
      <c r="AC706" s="11">
        <v>0</v>
      </c>
      <c r="AD706" s="11">
        <v>0</v>
      </c>
      <c r="AE706" s="11">
        <v>0</v>
      </c>
      <c r="AF706" s="11">
        <f t="shared" ref="AF706:AF769" si="64">(Z706+AB706+AC706+AE706)*6%</f>
        <v>0.42</v>
      </c>
      <c r="AG706" s="11">
        <f t="shared" ref="AG706:AG769" si="65">Z706+AB706+AC706+AE706+AF706</f>
        <v>7.42</v>
      </c>
      <c r="AH706" t="s">
        <v>51</v>
      </c>
    </row>
    <row r="707" spans="1:34" ht="15" customHeight="1" x14ac:dyDescent="0.25">
      <c r="A707">
        <v>7547676</v>
      </c>
      <c r="B707" t="s">
        <v>34</v>
      </c>
      <c r="C707" t="s">
        <v>35</v>
      </c>
      <c r="D707" s="6" t="s">
        <v>34</v>
      </c>
      <c r="E707" t="s">
        <v>2131</v>
      </c>
      <c r="F707" t="s">
        <v>37</v>
      </c>
      <c r="G707" t="s">
        <v>38</v>
      </c>
      <c r="H707" t="s">
        <v>2132</v>
      </c>
      <c r="I707" t="s">
        <v>40</v>
      </c>
      <c r="J707">
        <v>2</v>
      </c>
      <c r="K707" t="s">
        <v>41</v>
      </c>
      <c r="L707" t="s">
        <v>42</v>
      </c>
      <c r="M707" t="s">
        <v>43</v>
      </c>
      <c r="N707" s="7">
        <v>1</v>
      </c>
      <c r="O707" s="8">
        <v>45517.701319444444</v>
      </c>
      <c r="P707" s="9">
        <v>45518</v>
      </c>
      <c r="Q707" t="s">
        <v>44</v>
      </c>
      <c r="R707" t="s">
        <v>45</v>
      </c>
      <c r="S707" t="s">
        <v>46</v>
      </c>
      <c r="T707" t="s">
        <v>92</v>
      </c>
      <c r="U707" t="s">
        <v>2133</v>
      </c>
      <c r="V707">
        <v>53300</v>
      </c>
      <c r="W707" t="s">
        <v>45</v>
      </c>
      <c r="X707" t="s">
        <v>69</v>
      </c>
      <c r="Y707" t="s">
        <v>50</v>
      </c>
      <c r="Z707" s="10">
        <f t="shared" si="63"/>
        <v>9</v>
      </c>
      <c r="AA707" s="11">
        <v>0</v>
      </c>
      <c r="AB707" s="11">
        <v>-2</v>
      </c>
      <c r="AC707" s="11">
        <v>0</v>
      </c>
      <c r="AD707" s="11">
        <v>0</v>
      </c>
      <c r="AE707" s="11">
        <v>0</v>
      </c>
      <c r="AF707" s="11">
        <f t="shared" si="64"/>
        <v>0.42</v>
      </c>
      <c r="AG707" s="11">
        <f t="shared" si="65"/>
        <v>7.42</v>
      </c>
      <c r="AH707" t="s">
        <v>51</v>
      </c>
    </row>
    <row r="708" spans="1:34" ht="15" customHeight="1" x14ac:dyDescent="0.25">
      <c r="A708">
        <v>7547676</v>
      </c>
      <c r="B708" t="s">
        <v>34</v>
      </c>
      <c r="C708" t="s">
        <v>35</v>
      </c>
      <c r="D708" s="6" t="s">
        <v>34</v>
      </c>
      <c r="E708" t="s">
        <v>2134</v>
      </c>
      <c r="F708" t="s">
        <v>37</v>
      </c>
      <c r="G708" t="s">
        <v>38</v>
      </c>
      <c r="H708" t="s">
        <v>2135</v>
      </c>
      <c r="I708" t="s">
        <v>40</v>
      </c>
      <c r="J708">
        <v>2</v>
      </c>
      <c r="K708" t="s">
        <v>41</v>
      </c>
      <c r="L708" t="s">
        <v>42</v>
      </c>
      <c r="M708" t="s">
        <v>43</v>
      </c>
      <c r="N708" s="7">
        <v>1</v>
      </c>
      <c r="O708" s="8">
        <v>45515.828287037039</v>
      </c>
      <c r="P708" s="9">
        <v>45518</v>
      </c>
      <c r="Q708" t="s">
        <v>44</v>
      </c>
      <c r="R708" t="s">
        <v>45</v>
      </c>
      <c r="S708" t="s">
        <v>46</v>
      </c>
      <c r="T708" t="s">
        <v>92</v>
      </c>
      <c r="U708" t="s">
        <v>2136</v>
      </c>
      <c r="V708">
        <v>40150</v>
      </c>
      <c r="W708" t="s">
        <v>45</v>
      </c>
      <c r="X708" t="s">
        <v>69</v>
      </c>
      <c r="Y708" t="s">
        <v>50</v>
      </c>
      <c r="Z708" s="10">
        <f t="shared" si="63"/>
        <v>9</v>
      </c>
      <c r="AA708" s="11">
        <v>0</v>
      </c>
      <c r="AB708" s="11">
        <v>-2</v>
      </c>
      <c r="AC708" s="11">
        <v>0</v>
      </c>
      <c r="AD708" s="11">
        <v>0</v>
      </c>
      <c r="AE708" s="11">
        <v>0</v>
      </c>
      <c r="AF708" s="11">
        <f t="shared" si="64"/>
        <v>0.42</v>
      </c>
      <c r="AG708" s="11">
        <f t="shared" si="65"/>
        <v>7.42</v>
      </c>
      <c r="AH708" t="s">
        <v>51</v>
      </c>
    </row>
    <row r="709" spans="1:34" ht="15" customHeight="1" x14ac:dyDescent="0.25">
      <c r="A709">
        <v>7547676</v>
      </c>
      <c r="B709" t="s">
        <v>34</v>
      </c>
      <c r="C709" t="s">
        <v>35</v>
      </c>
      <c r="D709" s="6" t="s">
        <v>34</v>
      </c>
      <c r="E709" t="s">
        <v>2137</v>
      </c>
      <c r="F709" t="s">
        <v>37</v>
      </c>
      <c r="G709" t="s">
        <v>38</v>
      </c>
      <c r="H709" t="s">
        <v>2138</v>
      </c>
      <c r="I709" t="s">
        <v>40</v>
      </c>
      <c r="J709">
        <v>2</v>
      </c>
      <c r="K709" t="s">
        <v>41</v>
      </c>
      <c r="L709" t="s">
        <v>42</v>
      </c>
      <c r="M709" t="s">
        <v>43</v>
      </c>
      <c r="N709" s="7">
        <v>1</v>
      </c>
      <c r="O709" s="8">
        <v>45517.658229166664</v>
      </c>
      <c r="P709" s="9">
        <v>45518</v>
      </c>
      <c r="Q709" t="s">
        <v>44</v>
      </c>
      <c r="R709" t="s">
        <v>45</v>
      </c>
      <c r="S709" t="s">
        <v>46</v>
      </c>
      <c r="T709" t="s">
        <v>84</v>
      </c>
      <c r="U709" t="s">
        <v>2139</v>
      </c>
      <c r="V709">
        <v>16800</v>
      </c>
      <c r="W709" t="s">
        <v>45</v>
      </c>
      <c r="X709" t="s">
        <v>74</v>
      </c>
      <c r="Y709" t="s">
        <v>50</v>
      </c>
      <c r="Z709" s="10">
        <f t="shared" si="63"/>
        <v>9</v>
      </c>
      <c r="AA709" s="11">
        <v>0</v>
      </c>
      <c r="AB709" s="11">
        <v>-2</v>
      </c>
      <c r="AC709" s="11">
        <v>0</v>
      </c>
      <c r="AD709" s="11">
        <v>0</v>
      </c>
      <c r="AE709" s="11">
        <v>0</v>
      </c>
      <c r="AF709" s="11">
        <f t="shared" si="64"/>
        <v>0.42</v>
      </c>
      <c r="AG709" s="11">
        <f t="shared" si="65"/>
        <v>7.42</v>
      </c>
      <c r="AH709" t="s">
        <v>51</v>
      </c>
    </row>
    <row r="710" spans="1:34" ht="15" customHeight="1" x14ac:dyDescent="0.25">
      <c r="A710">
        <v>7547676</v>
      </c>
      <c r="B710" t="s">
        <v>34</v>
      </c>
      <c r="C710" t="s">
        <v>35</v>
      </c>
      <c r="D710" s="6" t="s">
        <v>34</v>
      </c>
      <c r="E710" t="s">
        <v>2140</v>
      </c>
      <c r="F710" t="s">
        <v>37</v>
      </c>
      <c r="G710" t="s">
        <v>38</v>
      </c>
      <c r="H710" t="s">
        <v>2141</v>
      </c>
      <c r="I710" t="s">
        <v>40</v>
      </c>
      <c r="J710">
        <v>2</v>
      </c>
      <c r="K710" t="s">
        <v>41</v>
      </c>
      <c r="L710" t="s">
        <v>42</v>
      </c>
      <c r="M710" t="s">
        <v>43</v>
      </c>
      <c r="N710" s="7">
        <v>1</v>
      </c>
      <c r="O710" s="8">
        <v>45516.708865740744</v>
      </c>
      <c r="P710" s="9">
        <v>45518</v>
      </c>
      <c r="Q710" t="s">
        <v>44</v>
      </c>
      <c r="R710" t="s">
        <v>45</v>
      </c>
      <c r="S710" t="s">
        <v>46</v>
      </c>
      <c r="T710" t="s">
        <v>107</v>
      </c>
      <c r="U710" t="s">
        <v>2142</v>
      </c>
      <c r="V710">
        <v>8000</v>
      </c>
      <c r="W710" t="s">
        <v>45</v>
      </c>
      <c r="X710" t="s">
        <v>109</v>
      </c>
      <c r="Y710" t="s">
        <v>50</v>
      </c>
      <c r="Z710" s="10">
        <f t="shared" si="63"/>
        <v>9</v>
      </c>
      <c r="AA710" s="11">
        <v>0</v>
      </c>
      <c r="AB710" s="11">
        <v>-2</v>
      </c>
      <c r="AC710" s="11">
        <v>0</v>
      </c>
      <c r="AD710" s="11">
        <v>0</v>
      </c>
      <c r="AE710" s="11">
        <v>0</v>
      </c>
      <c r="AF710" s="11">
        <f t="shared" si="64"/>
        <v>0.42</v>
      </c>
      <c r="AG710" s="11">
        <f t="shared" si="65"/>
        <v>7.42</v>
      </c>
      <c r="AH710" t="s">
        <v>51</v>
      </c>
    </row>
    <row r="711" spans="1:34" ht="15" customHeight="1" x14ac:dyDescent="0.25">
      <c r="A711">
        <v>7547676</v>
      </c>
      <c r="B711" t="s">
        <v>34</v>
      </c>
      <c r="C711" t="s">
        <v>35</v>
      </c>
      <c r="D711" s="6" t="s">
        <v>34</v>
      </c>
      <c r="E711" t="s">
        <v>2143</v>
      </c>
      <c r="F711" t="s">
        <v>37</v>
      </c>
      <c r="G711" t="s">
        <v>38</v>
      </c>
      <c r="H711" t="s">
        <v>2144</v>
      </c>
      <c r="I711" t="s">
        <v>40</v>
      </c>
      <c r="J711">
        <v>2</v>
      </c>
      <c r="K711" t="s">
        <v>41</v>
      </c>
      <c r="L711" t="s">
        <v>42</v>
      </c>
      <c r="M711" t="s">
        <v>43</v>
      </c>
      <c r="N711" s="7">
        <v>1</v>
      </c>
      <c r="O711" s="8">
        <v>45515.828287037039</v>
      </c>
      <c r="P711" s="9">
        <v>45518</v>
      </c>
      <c r="Q711" t="s">
        <v>44</v>
      </c>
      <c r="R711" t="s">
        <v>45</v>
      </c>
      <c r="S711" t="s">
        <v>46</v>
      </c>
      <c r="T711" t="s">
        <v>54</v>
      </c>
      <c r="U711" t="s">
        <v>2145</v>
      </c>
      <c r="V711">
        <v>82000</v>
      </c>
      <c r="W711" t="s">
        <v>45</v>
      </c>
      <c r="X711" t="s">
        <v>56</v>
      </c>
      <c r="Y711" t="s">
        <v>50</v>
      </c>
      <c r="Z711" s="10">
        <f t="shared" si="63"/>
        <v>9</v>
      </c>
      <c r="AA711" s="11">
        <v>0</v>
      </c>
      <c r="AB711" s="11">
        <v>-2</v>
      </c>
      <c r="AC711" s="11">
        <v>0</v>
      </c>
      <c r="AD711" s="11">
        <v>0</v>
      </c>
      <c r="AE711" s="11">
        <v>0</v>
      </c>
      <c r="AF711" s="11">
        <f t="shared" si="64"/>
        <v>0.42</v>
      </c>
      <c r="AG711" s="11">
        <f t="shared" si="65"/>
        <v>7.42</v>
      </c>
      <c r="AH711" t="s">
        <v>51</v>
      </c>
    </row>
    <row r="712" spans="1:34" ht="15" customHeight="1" x14ac:dyDescent="0.25">
      <c r="A712">
        <v>7547676</v>
      </c>
      <c r="B712" t="s">
        <v>34</v>
      </c>
      <c r="C712" t="s">
        <v>35</v>
      </c>
      <c r="D712" s="6" t="s">
        <v>34</v>
      </c>
      <c r="E712" t="s">
        <v>2146</v>
      </c>
      <c r="F712" t="s">
        <v>37</v>
      </c>
      <c r="G712" t="s">
        <v>38</v>
      </c>
      <c r="H712" t="s">
        <v>2147</v>
      </c>
      <c r="I712" t="s">
        <v>40</v>
      </c>
      <c r="J712">
        <v>2</v>
      </c>
      <c r="K712" t="s">
        <v>41</v>
      </c>
      <c r="L712" t="s">
        <v>42</v>
      </c>
      <c r="M712" t="s">
        <v>43</v>
      </c>
      <c r="N712" s="7">
        <v>1</v>
      </c>
      <c r="O712" s="8">
        <v>45517.658229166664</v>
      </c>
      <c r="P712" s="9">
        <v>45518</v>
      </c>
      <c r="Q712" t="s">
        <v>44</v>
      </c>
      <c r="R712" t="s">
        <v>45</v>
      </c>
      <c r="S712" t="s">
        <v>46</v>
      </c>
      <c r="T712" t="s">
        <v>84</v>
      </c>
      <c r="U712" t="s">
        <v>2148</v>
      </c>
      <c r="V712">
        <v>15350</v>
      </c>
      <c r="W712" t="s">
        <v>45</v>
      </c>
      <c r="X712" t="s">
        <v>74</v>
      </c>
      <c r="Y712" t="s">
        <v>50</v>
      </c>
      <c r="Z712" s="10">
        <f t="shared" si="63"/>
        <v>9</v>
      </c>
      <c r="AA712" s="11">
        <v>0</v>
      </c>
      <c r="AB712" s="11">
        <v>-2</v>
      </c>
      <c r="AC712" s="11">
        <v>0</v>
      </c>
      <c r="AD712" s="11">
        <v>0</v>
      </c>
      <c r="AE712" s="11">
        <v>0</v>
      </c>
      <c r="AF712" s="11">
        <f t="shared" si="64"/>
        <v>0.42</v>
      </c>
      <c r="AG712" s="11">
        <f t="shared" si="65"/>
        <v>7.42</v>
      </c>
      <c r="AH712" t="s">
        <v>51</v>
      </c>
    </row>
    <row r="713" spans="1:34" ht="15" customHeight="1" x14ac:dyDescent="0.25">
      <c r="A713">
        <v>7547676</v>
      </c>
      <c r="B713" t="s">
        <v>34</v>
      </c>
      <c r="C713" t="s">
        <v>35</v>
      </c>
      <c r="D713" s="6" t="s">
        <v>34</v>
      </c>
      <c r="E713" t="s">
        <v>2149</v>
      </c>
      <c r="F713" t="s">
        <v>37</v>
      </c>
      <c r="G713" t="s">
        <v>38</v>
      </c>
      <c r="H713" t="s">
        <v>2150</v>
      </c>
      <c r="I713" t="s">
        <v>40</v>
      </c>
      <c r="J713">
        <v>2</v>
      </c>
      <c r="K713" t="s">
        <v>41</v>
      </c>
      <c r="L713" t="s">
        <v>42</v>
      </c>
      <c r="M713" t="s">
        <v>43</v>
      </c>
      <c r="N713" s="7">
        <v>1</v>
      </c>
      <c r="O713" s="8">
        <v>45517.61241898148</v>
      </c>
      <c r="P713" s="9">
        <v>45518</v>
      </c>
      <c r="Q713" t="s">
        <v>44</v>
      </c>
      <c r="R713" t="s">
        <v>45</v>
      </c>
      <c r="S713" t="s">
        <v>46</v>
      </c>
      <c r="T713" t="s">
        <v>92</v>
      </c>
      <c r="U713" t="s">
        <v>2151</v>
      </c>
      <c r="V713">
        <v>40200</v>
      </c>
      <c r="W713" t="s">
        <v>45</v>
      </c>
      <c r="X713" t="s">
        <v>478</v>
      </c>
      <c r="Y713" t="s">
        <v>50</v>
      </c>
      <c r="Z713" s="10">
        <f t="shared" si="63"/>
        <v>9</v>
      </c>
      <c r="AA713" s="11">
        <v>0</v>
      </c>
      <c r="AB713" s="11">
        <v>-2</v>
      </c>
      <c r="AC713" s="11">
        <v>0</v>
      </c>
      <c r="AD713" s="11">
        <v>0</v>
      </c>
      <c r="AE713" s="11">
        <v>0</v>
      </c>
      <c r="AF713" s="11">
        <f t="shared" si="64"/>
        <v>0.42</v>
      </c>
      <c r="AG713" s="11">
        <f t="shared" si="65"/>
        <v>7.42</v>
      </c>
      <c r="AH713" t="s">
        <v>51</v>
      </c>
    </row>
    <row r="714" spans="1:34" ht="15" customHeight="1" x14ac:dyDescent="0.25">
      <c r="A714">
        <v>7547676</v>
      </c>
      <c r="B714" t="s">
        <v>34</v>
      </c>
      <c r="C714" t="s">
        <v>35</v>
      </c>
      <c r="D714" s="6" t="s">
        <v>34</v>
      </c>
      <c r="E714" t="s">
        <v>2152</v>
      </c>
      <c r="G714" t="s">
        <v>38</v>
      </c>
      <c r="H714" t="s">
        <v>2153</v>
      </c>
      <c r="I714" t="s">
        <v>40</v>
      </c>
      <c r="J714">
        <v>2</v>
      </c>
      <c r="K714" t="s">
        <v>41</v>
      </c>
      <c r="L714" t="s">
        <v>42</v>
      </c>
      <c r="M714" t="s">
        <v>43</v>
      </c>
      <c r="N714" s="7">
        <v>10</v>
      </c>
      <c r="O714" s="8">
        <v>45532.624340277776</v>
      </c>
      <c r="P714" s="9">
        <v>45533</v>
      </c>
      <c r="Q714" t="s">
        <v>44</v>
      </c>
      <c r="R714" t="s">
        <v>45</v>
      </c>
      <c r="S714" t="s">
        <v>46</v>
      </c>
      <c r="T714" t="s">
        <v>223</v>
      </c>
      <c r="U714" t="s">
        <v>2154</v>
      </c>
      <c r="V714">
        <v>26300</v>
      </c>
      <c r="W714" t="s">
        <v>45</v>
      </c>
      <c r="X714" t="s">
        <v>1377</v>
      </c>
      <c r="Y714" t="s">
        <v>50</v>
      </c>
      <c r="Z714" s="10">
        <f t="shared" si="63"/>
        <v>16.2</v>
      </c>
      <c r="AA714" s="13">
        <v>0</v>
      </c>
      <c r="AB714" s="11">
        <v>-2</v>
      </c>
      <c r="AC714" s="13">
        <v>0</v>
      </c>
      <c r="AD714" s="13">
        <v>0</v>
      </c>
      <c r="AE714" s="13">
        <v>0</v>
      </c>
      <c r="AF714" s="11">
        <f t="shared" si="64"/>
        <v>0.85199999999999998</v>
      </c>
      <c r="AG714" s="11">
        <f t="shared" si="65"/>
        <v>15.052</v>
      </c>
      <c r="AH714" t="s">
        <v>51</v>
      </c>
    </row>
    <row r="715" spans="1:34" ht="15" customHeight="1" x14ac:dyDescent="0.25">
      <c r="A715">
        <v>7547676</v>
      </c>
      <c r="B715" t="s">
        <v>34</v>
      </c>
      <c r="C715" t="s">
        <v>35</v>
      </c>
      <c r="D715" s="6" t="s">
        <v>34</v>
      </c>
      <c r="E715" t="s">
        <v>2155</v>
      </c>
      <c r="G715" t="s">
        <v>38</v>
      </c>
      <c r="H715" t="s">
        <v>102</v>
      </c>
      <c r="I715" t="s">
        <v>40</v>
      </c>
      <c r="J715">
        <v>2</v>
      </c>
      <c r="K715" t="s">
        <v>41</v>
      </c>
      <c r="L715" t="s">
        <v>42</v>
      </c>
      <c r="M715" t="s">
        <v>43</v>
      </c>
      <c r="N715" s="7">
        <v>1</v>
      </c>
      <c r="O715" s="8">
        <v>45532.595833333333</v>
      </c>
      <c r="P715" s="9">
        <v>45533</v>
      </c>
      <c r="Q715" t="s">
        <v>44</v>
      </c>
      <c r="R715" t="s">
        <v>45</v>
      </c>
      <c r="S715" t="s">
        <v>46</v>
      </c>
      <c r="T715" t="s">
        <v>92</v>
      </c>
      <c r="U715" t="s">
        <v>103</v>
      </c>
      <c r="V715">
        <v>40000</v>
      </c>
      <c r="W715" t="s">
        <v>45</v>
      </c>
      <c r="X715" t="s">
        <v>104</v>
      </c>
      <c r="Y715" t="s">
        <v>50</v>
      </c>
      <c r="Z715" s="10">
        <f t="shared" si="63"/>
        <v>9</v>
      </c>
      <c r="AA715" s="13">
        <v>0</v>
      </c>
      <c r="AB715" s="11">
        <v>-2</v>
      </c>
      <c r="AC715" s="13">
        <v>0</v>
      </c>
      <c r="AD715" s="13">
        <v>0</v>
      </c>
      <c r="AE715" s="13">
        <v>0</v>
      </c>
      <c r="AF715" s="11">
        <f t="shared" si="64"/>
        <v>0.42</v>
      </c>
      <c r="AG715" s="11">
        <f t="shared" si="65"/>
        <v>7.42</v>
      </c>
      <c r="AH715" t="s">
        <v>51</v>
      </c>
    </row>
    <row r="716" spans="1:34" ht="15" customHeight="1" x14ac:dyDescent="0.25">
      <c r="A716">
        <v>7547676</v>
      </c>
      <c r="B716" t="s">
        <v>34</v>
      </c>
      <c r="C716" t="s">
        <v>35</v>
      </c>
      <c r="D716" s="6" t="s">
        <v>34</v>
      </c>
      <c r="E716" t="s">
        <v>2156</v>
      </c>
      <c r="G716" t="s">
        <v>38</v>
      </c>
      <c r="H716" t="s">
        <v>2157</v>
      </c>
      <c r="I716" t="s">
        <v>40</v>
      </c>
      <c r="J716">
        <v>2</v>
      </c>
      <c r="K716" t="s">
        <v>41</v>
      </c>
      <c r="L716" t="s">
        <v>42</v>
      </c>
      <c r="M716" t="s">
        <v>43</v>
      </c>
      <c r="N716" s="7">
        <v>1</v>
      </c>
      <c r="O716" s="8">
        <v>45531.546122685184</v>
      </c>
      <c r="P716" s="9">
        <v>45533</v>
      </c>
      <c r="Q716" t="s">
        <v>44</v>
      </c>
      <c r="R716" t="s">
        <v>45</v>
      </c>
      <c r="S716" t="s">
        <v>46</v>
      </c>
      <c r="T716" t="s">
        <v>72</v>
      </c>
      <c r="U716" t="s">
        <v>2158</v>
      </c>
      <c r="V716">
        <v>24050</v>
      </c>
      <c r="W716" t="s">
        <v>45</v>
      </c>
      <c r="X716" t="s">
        <v>225</v>
      </c>
      <c r="Y716" t="s">
        <v>50</v>
      </c>
      <c r="Z716" s="10">
        <f t="shared" si="63"/>
        <v>9</v>
      </c>
      <c r="AA716" s="13">
        <v>0</v>
      </c>
      <c r="AB716" s="11">
        <v>-2</v>
      </c>
      <c r="AC716" s="13">
        <v>0</v>
      </c>
      <c r="AD716" s="13">
        <v>0</v>
      </c>
      <c r="AE716" s="13">
        <v>0</v>
      </c>
      <c r="AF716" s="11">
        <f t="shared" si="64"/>
        <v>0.42</v>
      </c>
      <c r="AG716" s="11">
        <f t="shared" si="65"/>
        <v>7.42</v>
      </c>
      <c r="AH716" t="s">
        <v>51</v>
      </c>
    </row>
    <row r="717" spans="1:34" ht="15" customHeight="1" x14ac:dyDescent="0.25">
      <c r="A717">
        <v>7547676</v>
      </c>
      <c r="B717" t="s">
        <v>34</v>
      </c>
      <c r="C717" t="s">
        <v>35</v>
      </c>
      <c r="D717" s="6" t="s">
        <v>34</v>
      </c>
      <c r="E717" t="s">
        <v>2159</v>
      </c>
      <c r="G717" t="s">
        <v>38</v>
      </c>
      <c r="H717" t="s">
        <v>2160</v>
      </c>
      <c r="I717" t="s">
        <v>40</v>
      </c>
      <c r="J717">
        <v>2</v>
      </c>
      <c r="K717" t="s">
        <v>41</v>
      </c>
      <c r="L717" t="s">
        <v>42</v>
      </c>
      <c r="M717" t="s">
        <v>43</v>
      </c>
      <c r="N717" s="7">
        <v>1</v>
      </c>
      <c r="O717" s="8">
        <v>45531.701863425929</v>
      </c>
      <c r="P717" s="9">
        <v>45533</v>
      </c>
      <c r="Q717" t="s">
        <v>44</v>
      </c>
      <c r="R717" t="s">
        <v>45</v>
      </c>
      <c r="S717" t="s">
        <v>46</v>
      </c>
      <c r="T717" t="s">
        <v>107</v>
      </c>
      <c r="U717" t="s">
        <v>2161</v>
      </c>
      <c r="V717">
        <v>9600</v>
      </c>
      <c r="W717" t="s">
        <v>45</v>
      </c>
      <c r="X717" t="s">
        <v>126</v>
      </c>
      <c r="Y717" t="s">
        <v>50</v>
      </c>
      <c r="Z717" s="10">
        <f t="shared" si="63"/>
        <v>9</v>
      </c>
      <c r="AA717" s="13">
        <v>0</v>
      </c>
      <c r="AB717" s="11">
        <v>-2</v>
      </c>
      <c r="AC717" s="13">
        <v>0</v>
      </c>
      <c r="AD717" s="13">
        <v>0</v>
      </c>
      <c r="AE717" s="13">
        <v>0</v>
      </c>
      <c r="AF717" s="11">
        <f t="shared" si="64"/>
        <v>0.42</v>
      </c>
      <c r="AG717" s="11">
        <f t="shared" si="65"/>
        <v>7.42</v>
      </c>
      <c r="AH717" t="s">
        <v>51</v>
      </c>
    </row>
    <row r="718" spans="1:34" ht="15" customHeight="1" x14ac:dyDescent="0.25">
      <c r="A718">
        <v>7547676</v>
      </c>
      <c r="B718" t="s">
        <v>34</v>
      </c>
      <c r="C718" t="s">
        <v>35</v>
      </c>
      <c r="D718" s="6" t="s">
        <v>34</v>
      </c>
      <c r="E718" t="s">
        <v>2162</v>
      </c>
      <c r="G718" t="s">
        <v>38</v>
      </c>
      <c r="H718" t="s">
        <v>2163</v>
      </c>
      <c r="I718" t="s">
        <v>40</v>
      </c>
      <c r="J718">
        <v>2</v>
      </c>
      <c r="K718" t="s">
        <v>41</v>
      </c>
      <c r="L718" t="s">
        <v>42</v>
      </c>
      <c r="M718" t="s">
        <v>43</v>
      </c>
      <c r="N718" s="7">
        <v>3</v>
      </c>
      <c r="O718" s="8">
        <v>45532.599756944444</v>
      </c>
      <c r="P718" s="9">
        <v>45533</v>
      </c>
      <c r="Q718" t="s">
        <v>44</v>
      </c>
      <c r="R718" t="s">
        <v>45</v>
      </c>
      <c r="S718" t="s">
        <v>46</v>
      </c>
      <c r="T718" t="s">
        <v>84</v>
      </c>
      <c r="U718" t="s">
        <v>2164</v>
      </c>
      <c r="V718">
        <v>18300</v>
      </c>
      <c r="W718" t="s">
        <v>45</v>
      </c>
      <c r="X718" t="s">
        <v>616</v>
      </c>
      <c r="Y718" t="s">
        <v>50</v>
      </c>
      <c r="Z718" s="10">
        <f t="shared" si="63"/>
        <v>10.6</v>
      </c>
      <c r="AA718" s="13">
        <v>0</v>
      </c>
      <c r="AB718" s="11">
        <v>-2</v>
      </c>
      <c r="AC718" s="13">
        <v>0</v>
      </c>
      <c r="AD718" s="13">
        <v>0</v>
      </c>
      <c r="AE718" s="13">
        <v>0</v>
      </c>
      <c r="AF718" s="11">
        <f t="shared" si="64"/>
        <v>0.51600000000000001</v>
      </c>
      <c r="AG718" s="11">
        <f t="shared" si="65"/>
        <v>9.1159999999999997</v>
      </c>
      <c r="AH718" t="s">
        <v>51</v>
      </c>
    </row>
    <row r="719" spans="1:34" ht="15" customHeight="1" x14ac:dyDescent="0.25">
      <c r="A719">
        <v>7547676</v>
      </c>
      <c r="B719" t="s">
        <v>34</v>
      </c>
      <c r="C719" t="s">
        <v>35</v>
      </c>
      <c r="D719" s="6" t="s">
        <v>34</v>
      </c>
      <c r="E719" t="s">
        <v>2165</v>
      </c>
      <c r="G719" t="s">
        <v>38</v>
      </c>
      <c r="H719" t="s">
        <v>2166</v>
      </c>
      <c r="I719" t="s">
        <v>40</v>
      </c>
      <c r="J719">
        <v>2</v>
      </c>
      <c r="K719" t="s">
        <v>41</v>
      </c>
      <c r="L719" t="s">
        <v>42</v>
      </c>
      <c r="M719" t="s">
        <v>43</v>
      </c>
      <c r="N719" s="7">
        <v>1</v>
      </c>
      <c r="O719" s="8">
        <v>45530.703287037039</v>
      </c>
      <c r="P719" s="9">
        <v>45533</v>
      </c>
      <c r="Q719" t="s">
        <v>44</v>
      </c>
      <c r="R719" t="s">
        <v>45</v>
      </c>
      <c r="S719" t="s">
        <v>46</v>
      </c>
      <c r="T719" t="s">
        <v>146</v>
      </c>
      <c r="U719" t="s">
        <v>2167</v>
      </c>
      <c r="V719">
        <v>47800</v>
      </c>
      <c r="W719" t="s">
        <v>45</v>
      </c>
      <c r="X719" t="s">
        <v>1247</v>
      </c>
      <c r="Y719" t="s">
        <v>50</v>
      </c>
      <c r="Z719" s="10">
        <f t="shared" si="63"/>
        <v>9</v>
      </c>
      <c r="AA719" s="13">
        <v>0</v>
      </c>
      <c r="AB719" s="11">
        <v>-2</v>
      </c>
      <c r="AC719" s="13">
        <v>0</v>
      </c>
      <c r="AD719" s="13">
        <v>0</v>
      </c>
      <c r="AE719" s="13">
        <v>0</v>
      </c>
      <c r="AF719" s="11">
        <f t="shared" si="64"/>
        <v>0.42</v>
      </c>
      <c r="AG719" s="11">
        <f t="shared" si="65"/>
        <v>7.42</v>
      </c>
      <c r="AH719" t="s">
        <v>51</v>
      </c>
    </row>
    <row r="720" spans="1:34" ht="15" customHeight="1" x14ac:dyDescent="0.25">
      <c r="A720">
        <v>7547676</v>
      </c>
      <c r="B720" t="s">
        <v>34</v>
      </c>
      <c r="C720" t="s">
        <v>35</v>
      </c>
      <c r="D720" s="6" t="s">
        <v>34</v>
      </c>
      <c r="E720" t="s">
        <v>2168</v>
      </c>
      <c r="G720" t="s">
        <v>38</v>
      </c>
      <c r="H720" t="s">
        <v>2169</v>
      </c>
      <c r="I720" t="s">
        <v>40</v>
      </c>
      <c r="J720">
        <v>2</v>
      </c>
      <c r="K720" t="s">
        <v>41</v>
      </c>
      <c r="L720" t="s">
        <v>42</v>
      </c>
      <c r="M720" t="s">
        <v>43</v>
      </c>
      <c r="N720" s="7">
        <v>1</v>
      </c>
      <c r="O720" s="8">
        <v>45530.803969907407</v>
      </c>
      <c r="P720" s="9">
        <v>45533</v>
      </c>
      <c r="Q720" t="s">
        <v>44</v>
      </c>
      <c r="R720" t="s">
        <v>45</v>
      </c>
      <c r="S720" t="s">
        <v>46</v>
      </c>
      <c r="T720" t="s">
        <v>59</v>
      </c>
      <c r="U720" t="s">
        <v>2170</v>
      </c>
      <c r="V720">
        <v>14400</v>
      </c>
      <c r="W720" t="s">
        <v>45</v>
      </c>
      <c r="X720" t="s">
        <v>374</v>
      </c>
      <c r="Y720" t="s">
        <v>50</v>
      </c>
      <c r="Z720" s="10">
        <f t="shared" si="63"/>
        <v>9</v>
      </c>
      <c r="AA720" s="13">
        <v>0</v>
      </c>
      <c r="AB720" s="11">
        <v>-2</v>
      </c>
      <c r="AC720" s="13">
        <v>0</v>
      </c>
      <c r="AD720" s="13">
        <v>0</v>
      </c>
      <c r="AE720" s="13">
        <v>0</v>
      </c>
      <c r="AF720" s="11">
        <f t="shared" si="64"/>
        <v>0.42</v>
      </c>
      <c r="AG720" s="11">
        <f t="shared" si="65"/>
        <v>7.42</v>
      </c>
      <c r="AH720" t="s">
        <v>51</v>
      </c>
    </row>
    <row r="721" spans="1:34" ht="15" customHeight="1" x14ac:dyDescent="0.25">
      <c r="A721">
        <v>7547676</v>
      </c>
      <c r="B721" t="s">
        <v>34</v>
      </c>
      <c r="C721" t="s">
        <v>35</v>
      </c>
      <c r="D721" s="6" t="s">
        <v>34</v>
      </c>
      <c r="E721" t="s">
        <v>2171</v>
      </c>
      <c r="G721" t="s">
        <v>38</v>
      </c>
      <c r="H721" t="s">
        <v>102</v>
      </c>
      <c r="I721" t="s">
        <v>40</v>
      </c>
      <c r="J721">
        <v>2</v>
      </c>
      <c r="K721" t="s">
        <v>41</v>
      </c>
      <c r="L721" t="s">
        <v>42</v>
      </c>
      <c r="M721" t="s">
        <v>43</v>
      </c>
      <c r="N721" s="7">
        <v>1</v>
      </c>
      <c r="O721" s="8">
        <v>45531.600868055553</v>
      </c>
      <c r="P721" s="9">
        <v>45533</v>
      </c>
      <c r="Q721" t="s">
        <v>44</v>
      </c>
      <c r="R721" t="s">
        <v>45</v>
      </c>
      <c r="S721" t="s">
        <v>46</v>
      </c>
      <c r="T721" t="s">
        <v>92</v>
      </c>
      <c r="U721" t="s">
        <v>103</v>
      </c>
      <c r="V721">
        <v>40000</v>
      </c>
      <c r="W721" t="s">
        <v>45</v>
      </c>
      <c r="X721" t="s">
        <v>69</v>
      </c>
      <c r="Y721" t="s">
        <v>50</v>
      </c>
      <c r="Z721" s="10">
        <f t="shared" si="63"/>
        <v>9</v>
      </c>
      <c r="AA721" s="13">
        <v>0</v>
      </c>
      <c r="AB721" s="11">
        <v>-2</v>
      </c>
      <c r="AC721" s="13">
        <v>0</v>
      </c>
      <c r="AD721" s="13">
        <v>0</v>
      </c>
      <c r="AE721" s="13">
        <v>0</v>
      </c>
      <c r="AF721" s="11">
        <f t="shared" si="64"/>
        <v>0.42</v>
      </c>
      <c r="AG721" s="11">
        <f t="shared" si="65"/>
        <v>7.42</v>
      </c>
      <c r="AH721" t="s">
        <v>51</v>
      </c>
    </row>
    <row r="722" spans="1:34" ht="15" customHeight="1" x14ac:dyDescent="0.25">
      <c r="A722">
        <v>7547676</v>
      </c>
      <c r="B722" t="s">
        <v>34</v>
      </c>
      <c r="C722" t="s">
        <v>35</v>
      </c>
      <c r="D722" s="6" t="s">
        <v>34</v>
      </c>
      <c r="E722" t="s">
        <v>2172</v>
      </c>
      <c r="G722" t="s">
        <v>38</v>
      </c>
      <c r="H722" t="s">
        <v>2173</v>
      </c>
      <c r="I722" t="s">
        <v>40</v>
      </c>
      <c r="J722">
        <v>2</v>
      </c>
      <c r="K722" t="s">
        <v>41</v>
      </c>
      <c r="L722" t="s">
        <v>42</v>
      </c>
      <c r="M722" t="s">
        <v>43</v>
      </c>
      <c r="N722" s="7">
        <v>1</v>
      </c>
      <c r="O722" s="8">
        <v>45531.8046875</v>
      </c>
      <c r="P722" s="9">
        <v>45533</v>
      </c>
      <c r="Q722" t="s">
        <v>44</v>
      </c>
      <c r="R722" t="s">
        <v>45</v>
      </c>
      <c r="S722" t="s">
        <v>46</v>
      </c>
      <c r="T722" t="s">
        <v>146</v>
      </c>
      <c r="U722" t="s">
        <v>2174</v>
      </c>
      <c r="V722">
        <v>55100</v>
      </c>
      <c r="W722" t="s">
        <v>45</v>
      </c>
      <c r="X722" t="s">
        <v>350</v>
      </c>
      <c r="Y722" t="s">
        <v>50</v>
      </c>
      <c r="Z722" s="10">
        <f t="shared" si="63"/>
        <v>9</v>
      </c>
      <c r="AA722" s="13">
        <v>0</v>
      </c>
      <c r="AB722" s="11">
        <v>-2</v>
      </c>
      <c r="AC722" s="13">
        <v>0</v>
      </c>
      <c r="AD722" s="13">
        <v>0</v>
      </c>
      <c r="AE722" s="13">
        <v>0</v>
      </c>
      <c r="AF722" s="11">
        <f t="shared" si="64"/>
        <v>0.42</v>
      </c>
      <c r="AG722" s="11">
        <f t="shared" si="65"/>
        <v>7.42</v>
      </c>
      <c r="AH722" t="s">
        <v>51</v>
      </c>
    </row>
    <row r="723" spans="1:34" ht="15" customHeight="1" x14ac:dyDescent="0.25">
      <c r="A723">
        <v>7547676</v>
      </c>
      <c r="B723" t="s">
        <v>34</v>
      </c>
      <c r="C723" t="s">
        <v>35</v>
      </c>
      <c r="D723" s="6" t="s">
        <v>34</v>
      </c>
      <c r="E723" t="s">
        <v>2175</v>
      </c>
      <c r="G723" t="s">
        <v>38</v>
      </c>
      <c r="H723" t="s">
        <v>2176</v>
      </c>
      <c r="I723" t="s">
        <v>40</v>
      </c>
      <c r="J723">
        <v>2</v>
      </c>
      <c r="K723" t="s">
        <v>41</v>
      </c>
      <c r="L723" t="s">
        <v>42</v>
      </c>
      <c r="M723" t="s">
        <v>43</v>
      </c>
      <c r="N723" s="7">
        <v>1</v>
      </c>
      <c r="O723" s="8">
        <v>45532.405219907407</v>
      </c>
      <c r="P723" s="9">
        <v>45533</v>
      </c>
      <c r="Q723" t="s">
        <v>44</v>
      </c>
      <c r="R723" t="s">
        <v>45</v>
      </c>
      <c r="S723" t="s">
        <v>46</v>
      </c>
      <c r="T723" t="s">
        <v>146</v>
      </c>
      <c r="U723" t="s">
        <v>2177</v>
      </c>
      <c r="V723">
        <v>47300</v>
      </c>
      <c r="W723" t="s">
        <v>45</v>
      </c>
      <c r="X723" t="s">
        <v>1007</v>
      </c>
      <c r="Y723" t="s">
        <v>50</v>
      </c>
      <c r="Z723" s="10">
        <f t="shared" si="63"/>
        <v>9</v>
      </c>
      <c r="AA723" s="13">
        <v>0</v>
      </c>
      <c r="AB723" s="11">
        <v>-2</v>
      </c>
      <c r="AC723" s="13">
        <v>0</v>
      </c>
      <c r="AD723" s="13">
        <v>0</v>
      </c>
      <c r="AE723" s="13">
        <v>0</v>
      </c>
      <c r="AF723" s="11">
        <f t="shared" si="64"/>
        <v>0.42</v>
      </c>
      <c r="AG723" s="11">
        <f t="shared" si="65"/>
        <v>7.42</v>
      </c>
      <c r="AH723" t="s">
        <v>51</v>
      </c>
    </row>
    <row r="724" spans="1:34" ht="15" customHeight="1" x14ac:dyDescent="0.25">
      <c r="A724">
        <v>7547676</v>
      </c>
      <c r="B724" t="s">
        <v>34</v>
      </c>
      <c r="C724" t="s">
        <v>35</v>
      </c>
      <c r="D724" s="6" t="s">
        <v>34</v>
      </c>
      <c r="E724" t="s">
        <v>2178</v>
      </c>
      <c r="G724" t="s">
        <v>38</v>
      </c>
      <c r="H724" t="s">
        <v>2179</v>
      </c>
      <c r="I724" t="s">
        <v>40</v>
      </c>
      <c r="J724">
        <v>2</v>
      </c>
      <c r="K724" t="s">
        <v>41</v>
      </c>
      <c r="L724" t="s">
        <v>42</v>
      </c>
      <c r="M724" t="s">
        <v>43</v>
      </c>
      <c r="N724" s="7">
        <v>1</v>
      </c>
      <c r="O724" s="8">
        <v>45531.725138888891</v>
      </c>
      <c r="P724" s="9">
        <v>45533</v>
      </c>
      <c r="Q724" t="s">
        <v>44</v>
      </c>
      <c r="R724" t="s">
        <v>45</v>
      </c>
      <c r="S724" t="s">
        <v>46</v>
      </c>
      <c r="T724" t="s">
        <v>47</v>
      </c>
      <c r="U724" t="s">
        <v>2180</v>
      </c>
      <c r="V724">
        <v>30020</v>
      </c>
      <c r="W724" t="s">
        <v>45</v>
      </c>
      <c r="X724" t="s">
        <v>864</v>
      </c>
      <c r="Y724" t="s">
        <v>50</v>
      </c>
      <c r="Z724" s="10">
        <f t="shared" si="63"/>
        <v>9</v>
      </c>
      <c r="AA724" s="13">
        <v>0</v>
      </c>
      <c r="AB724" s="11">
        <v>-2</v>
      </c>
      <c r="AC724" s="13">
        <v>0</v>
      </c>
      <c r="AD724" s="13">
        <v>0</v>
      </c>
      <c r="AE724" s="13">
        <v>0</v>
      </c>
      <c r="AF724" s="11">
        <f t="shared" si="64"/>
        <v>0.42</v>
      </c>
      <c r="AG724" s="11">
        <f t="shared" si="65"/>
        <v>7.42</v>
      </c>
      <c r="AH724" t="s">
        <v>51</v>
      </c>
    </row>
    <row r="725" spans="1:34" ht="15" customHeight="1" x14ac:dyDescent="0.25">
      <c r="A725">
        <v>7547676</v>
      </c>
      <c r="B725" t="s">
        <v>34</v>
      </c>
      <c r="C725" t="s">
        <v>35</v>
      </c>
      <c r="D725" s="6" t="s">
        <v>34</v>
      </c>
      <c r="E725" t="s">
        <v>2181</v>
      </c>
      <c r="G725" t="s">
        <v>38</v>
      </c>
      <c r="H725" t="s">
        <v>2182</v>
      </c>
      <c r="I725" t="s">
        <v>40</v>
      </c>
      <c r="J725">
        <v>2</v>
      </c>
      <c r="K725" t="s">
        <v>41</v>
      </c>
      <c r="L725" t="s">
        <v>42</v>
      </c>
      <c r="M725" t="s">
        <v>43</v>
      </c>
      <c r="N725" s="7">
        <v>1</v>
      </c>
      <c r="O725" s="8">
        <v>45528.824699074074</v>
      </c>
      <c r="P725" s="9">
        <v>45533</v>
      </c>
      <c r="Q725" t="s">
        <v>44</v>
      </c>
      <c r="R725" t="s">
        <v>45</v>
      </c>
      <c r="S725" t="s">
        <v>46</v>
      </c>
      <c r="T725" t="s">
        <v>312</v>
      </c>
      <c r="U725" t="s">
        <v>2183</v>
      </c>
      <c r="V725">
        <v>97000</v>
      </c>
      <c r="W725" t="s">
        <v>118</v>
      </c>
      <c r="X725" t="s">
        <v>69</v>
      </c>
      <c r="Y725" t="s">
        <v>50</v>
      </c>
      <c r="Z725" s="12">
        <f>IF(N725&lt;=1,13,IF(N725&lt;=2,23,IF(N725&lt;=3,35,IF(N725&lt;=4,43,IF(N725&lt;=5,53,IF(N725&lt;=6,63,IF(N725&lt;=7,71,IF(N725&lt;=8,79,IF(N725&lt;=9,87,IF(N725&lt;=10,95,IF(N725&lt;=11,105,IF(N725&lt;=12,114,IF(N725&lt;=13,119,IF(N725&lt;=14,127,IF(N725&lt;=15,135,IF(N725&lt;=16,143,IF(N725&lt;=17,153,IF(N725&lt;=18,163,IF(N725&lt;=19,171,IF(N725&lt;=20,185,IF(N725&lt;=21,193,IF(N725&lt;=22,201,IF(N725&lt;=23,210,IF(N725&lt;=24,220,IF(N725&lt;=25,230,IF(N725&lt;=26,240,IF(N725&lt;=27,250,IF(N725&lt;=28,260,IF(N725&lt;=29,270,IF(N725&lt;=30,280,280+10*ROUNDUP(N725-30,0)))))))))))))))))))))))))))))))</f>
        <v>13</v>
      </c>
      <c r="AA725" s="13">
        <v>0</v>
      </c>
      <c r="AB725" s="11">
        <v>0</v>
      </c>
      <c r="AC725" s="13">
        <v>0</v>
      </c>
      <c r="AD725" s="13">
        <v>0</v>
      </c>
      <c r="AE725" s="13">
        <v>0</v>
      </c>
      <c r="AF725" s="11">
        <f t="shared" si="64"/>
        <v>0.78</v>
      </c>
      <c r="AG725" s="11">
        <f t="shared" si="65"/>
        <v>13.78</v>
      </c>
      <c r="AH725" t="s">
        <v>119</v>
      </c>
    </row>
    <row r="726" spans="1:34" ht="15" customHeight="1" x14ac:dyDescent="0.25">
      <c r="A726">
        <v>7547676</v>
      </c>
      <c r="B726" t="s">
        <v>34</v>
      </c>
      <c r="C726" t="s">
        <v>35</v>
      </c>
      <c r="D726" s="6" t="s">
        <v>34</v>
      </c>
      <c r="E726" t="s">
        <v>2184</v>
      </c>
      <c r="G726" t="s">
        <v>38</v>
      </c>
      <c r="H726" t="s">
        <v>2185</v>
      </c>
      <c r="I726" t="s">
        <v>40</v>
      </c>
      <c r="J726">
        <v>2</v>
      </c>
      <c r="K726" t="s">
        <v>41</v>
      </c>
      <c r="L726" t="s">
        <v>42</v>
      </c>
      <c r="M726" t="s">
        <v>43</v>
      </c>
      <c r="N726" s="7">
        <v>1</v>
      </c>
      <c r="O726" s="8">
        <v>45531.790983796294</v>
      </c>
      <c r="P726" s="9">
        <v>45533</v>
      </c>
      <c r="Q726" t="s">
        <v>44</v>
      </c>
      <c r="R726" t="s">
        <v>45</v>
      </c>
      <c r="S726" t="s">
        <v>46</v>
      </c>
      <c r="T726" t="s">
        <v>84</v>
      </c>
      <c r="U726" t="s">
        <v>2186</v>
      </c>
      <c r="V726">
        <v>18500</v>
      </c>
      <c r="W726" t="s">
        <v>45</v>
      </c>
      <c r="X726" t="s">
        <v>74</v>
      </c>
      <c r="Y726" t="s">
        <v>50</v>
      </c>
      <c r="Z726" s="10">
        <f>IF(N726&lt;=1,9,9+0.8*ROUNDUP(N726-1,0))</f>
        <v>9</v>
      </c>
      <c r="AA726" s="13">
        <v>0</v>
      </c>
      <c r="AB726" s="11">
        <v>-2</v>
      </c>
      <c r="AC726" s="13">
        <v>0</v>
      </c>
      <c r="AD726" s="13">
        <v>0</v>
      </c>
      <c r="AE726" s="13">
        <v>0</v>
      </c>
      <c r="AF726" s="11">
        <f t="shared" si="64"/>
        <v>0.42</v>
      </c>
      <c r="AG726" s="11">
        <f t="shared" si="65"/>
        <v>7.42</v>
      </c>
      <c r="AH726" t="s">
        <v>51</v>
      </c>
    </row>
    <row r="727" spans="1:34" ht="15" customHeight="1" x14ac:dyDescent="0.25">
      <c r="A727">
        <v>7547676</v>
      </c>
      <c r="B727" t="s">
        <v>34</v>
      </c>
      <c r="C727" t="s">
        <v>35</v>
      </c>
      <c r="D727" s="6" t="s">
        <v>34</v>
      </c>
      <c r="E727" t="s">
        <v>2187</v>
      </c>
      <c r="G727" t="s">
        <v>38</v>
      </c>
      <c r="H727" t="s">
        <v>2188</v>
      </c>
      <c r="I727" t="s">
        <v>40</v>
      </c>
      <c r="J727">
        <v>2</v>
      </c>
      <c r="K727" t="s">
        <v>41</v>
      </c>
      <c r="L727" t="s">
        <v>42</v>
      </c>
      <c r="M727" t="s">
        <v>43</v>
      </c>
      <c r="N727" s="7">
        <v>1</v>
      </c>
      <c r="O727" s="8">
        <v>45531.725138888891</v>
      </c>
      <c r="P727" s="9">
        <v>45533</v>
      </c>
      <c r="Q727" t="s">
        <v>44</v>
      </c>
      <c r="R727" t="s">
        <v>45</v>
      </c>
      <c r="S727" t="s">
        <v>46</v>
      </c>
      <c r="T727" t="s">
        <v>92</v>
      </c>
      <c r="U727" t="s">
        <v>2189</v>
      </c>
      <c r="V727">
        <v>47100</v>
      </c>
      <c r="W727" t="s">
        <v>45</v>
      </c>
      <c r="X727" t="s">
        <v>993</v>
      </c>
      <c r="Y727" t="s">
        <v>50</v>
      </c>
      <c r="Z727" s="10">
        <f t="shared" ref="Z727:Z760" si="66">IF(N727&lt;=1,9,9+0.8*ROUNDUP(N727-1,0))</f>
        <v>9</v>
      </c>
      <c r="AA727" s="13">
        <v>0</v>
      </c>
      <c r="AB727" s="11">
        <v>-2</v>
      </c>
      <c r="AC727" s="13">
        <v>0</v>
      </c>
      <c r="AD727" s="13">
        <v>0</v>
      </c>
      <c r="AE727" s="13">
        <v>0</v>
      </c>
      <c r="AF727" s="11">
        <f t="shared" si="64"/>
        <v>0.42</v>
      </c>
      <c r="AG727" s="11">
        <f t="shared" si="65"/>
        <v>7.42</v>
      </c>
      <c r="AH727" t="s">
        <v>51</v>
      </c>
    </row>
    <row r="728" spans="1:34" ht="15" customHeight="1" x14ac:dyDescent="0.25">
      <c r="A728">
        <v>7547676</v>
      </c>
      <c r="B728" t="s">
        <v>34</v>
      </c>
      <c r="C728" t="s">
        <v>35</v>
      </c>
      <c r="D728" s="6" t="s">
        <v>34</v>
      </c>
      <c r="E728" t="s">
        <v>2190</v>
      </c>
      <c r="G728" t="s">
        <v>38</v>
      </c>
      <c r="H728" t="s">
        <v>2191</v>
      </c>
      <c r="I728" t="s">
        <v>40</v>
      </c>
      <c r="J728">
        <v>2</v>
      </c>
      <c r="K728" t="s">
        <v>41</v>
      </c>
      <c r="L728" t="s">
        <v>42</v>
      </c>
      <c r="M728" t="s">
        <v>43</v>
      </c>
      <c r="N728" s="7">
        <v>3</v>
      </c>
      <c r="O728" s="8">
        <v>45531.475034722222</v>
      </c>
      <c r="P728" s="9">
        <v>45533</v>
      </c>
      <c r="Q728" t="s">
        <v>44</v>
      </c>
      <c r="R728" t="s">
        <v>45</v>
      </c>
      <c r="S728" t="s">
        <v>46</v>
      </c>
      <c r="T728" t="s">
        <v>129</v>
      </c>
      <c r="U728" t="s">
        <v>2192</v>
      </c>
      <c r="V728">
        <v>70400</v>
      </c>
      <c r="W728" t="s">
        <v>45</v>
      </c>
      <c r="X728" t="s">
        <v>131</v>
      </c>
      <c r="Y728" t="s">
        <v>50</v>
      </c>
      <c r="Z728" s="10">
        <f t="shared" si="66"/>
        <v>10.6</v>
      </c>
      <c r="AA728" s="13">
        <v>0</v>
      </c>
      <c r="AB728" s="11">
        <v>-2</v>
      </c>
      <c r="AC728" s="13">
        <v>0</v>
      </c>
      <c r="AD728" s="13">
        <v>0</v>
      </c>
      <c r="AE728" s="13">
        <v>0</v>
      </c>
      <c r="AF728" s="11">
        <f t="shared" si="64"/>
        <v>0.51600000000000001</v>
      </c>
      <c r="AG728" s="11">
        <f t="shared" si="65"/>
        <v>9.1159999999999997</v>
      </c>
      <c r="AH728" t="s">
        <v>51</v>
      </c>
    </row>
    <row r="729" spans="1:34" ht="15" customHeight="1" x14ac:dyDescent="0.25">
      <c r="A729">
        <v>7547676</v>
      </c>
      <c r="B729" t="s">
        <v>34</v>
      </c>
      <c r="C729" t="s">
        <v>35</v>
      </c>
      <c r="D729" s="6" t="s">
        <v>34</v>
      </c>
      <c r="E729" t="s">
        <v>2193</v>
      </c>
      <c r="G729" t="s">
        <v>38</v>
      </c>
      <c r="H729" t="s">
        <v>2194</v>
      </c>
      <c r="I729" t="s">
        <v>40</v>
      </c>
      <c r="J729">
        <v>2</v>
      </c>
      <c r="K729" t="s">
        <v>41</v>
      </c>
      <c r="L729" t="s">
        <v>42</v>
      </c>
      <c r="M729" t="s">
        <v>43</v>
      </c>
      <c r="N729" s="7">
        <v>2</v>
      </c>
      <c r="O729" s="8">
        <v>45531.8046875</v>
      </c>
      <c r="P729" s="9">
        <v>45533</v>
      </c>
      <c r="Q729" t="s">
        <v>44</v>
      </c>
      <c r="R729" t="s">
        <v>45</v>
      </c>
      <c r="S729" t="s">
        <v>46</v>
      </c>
      <c r="T729" t="s">
        <v>92</v>
      </c>
      <c r="U729" t="s">
        <v>2195</v>
      </c>
      <c r="V729">
        <v>42300</v>
      </c>
      <c r="W729" t="s">
        <v>45</v>
      </c>
      <c r="X729" t="s">
        <v>520</v>
      </c>
      <c r="Y729" t="s">
        <v>50</v>
      </c>
      <c r="Z729" s="10">
        <f t="shared" si="66"/>
        <v>9.8000000000000007</v>
      </c>
      <c r="AA729" s="13">
        <v>0</v>
      </c>
      <c r="AB729" s="11">
        <v>-2</v>
      </c>
      <c r="AC729" s="13">
        <v>0</v>
      </c>
      <c r="AD729" s="13">
        <v>0</v>
      </c>
      <c r="AE729" s="13">
        <v>0</v>
      </c>
      <c r="AF729" s="11">
        <f t="shared" si="64"/>
        <v>0.46800000000000003</v>
      </c>
      <c r="AG729" s="11">
        <f t="shared" si="65"/>
        <v>8.2680000000000007</v>
      </c>
      <c r="AH729" t="s">
        <v>51</v>
      </c>
    </row>
    <row r="730" spans="1:34" ht="15" customHeight="1" x14ac:dyDescent="0.25">
      <c r="A730">
        <v>7547676</v>
      </c>
      <c r="B730" t="s">
        <v>34</v>
      </c>
      <c r="C730" t="s">
        <v>35</v>
      </c>
      <c r="D730" s="6" t="s">
        <v>34</v>
      </c>
      <c r="E730" t="s">
        <v>2196</v>
      </c>
      <c r="G730" t="s">
        <v>38</v>
      </c>
      <c r="H730" t="s">
        <v>2197</v>
      </c>
      <c r="I730" t="s">
        <v>40</v>
      </c>
      <c r="J730">
        <v>2</v>
      </c>
      <c r="K730" t="s">
        <v>41</v>
      </c>
      <c r="L730" t="s">
        <v>42</v>
      </c>
      <c r="M730" t="s">
        <v>43</v>
      </c>
      <c r="N730" s="7">
        <v>1</v>
      </c>
      <c r="O730" s="8">
        <v>45531.8046875</v>
      </c>
      <c r="P730" s="9">
        <v>45533</v>
      </c>
      <c r="Q730" t="s">
        <v>44</v>
      </c>
      <c r="R730" t="s">
        <v>45</v>
      </c>
      <c r="S730" t="s">
        <v>46</v>
      </c>
      <c r="T730" t="s">
        <v>151</v>
      </c>
      <c r="U730" t="s">
        <v>2198</v>
      </c>
      <c r="V730">
        <v>75200</v>
      </c>
      <c r="W730" t="s">
        <v>45</v>
      </c>
      <c r="X730" t="s">
        <v>346</v>
      </c>
      <c r="Y730" t="s">
        <v>50</v>
      </c>
      <c r="Z730" s="10">
        <f t="shared" si="66"/>
        <v>9</v>
      </c>
      <c r="AA730" s="13">
        <v>0</v>
      </c>
      <c r="AB730" s="11">
        <v>-2</v>
      </c>
      <c r="AC730" s="13">
        <v>0</v>
      </c>
      <c r="AD730" s="13">
        <v>0</v>
      </c>
      <c r="AE730" s="13">
        <v>0</v>
      </c>
      <c r="AF730" s="11">
        <f t="shared" si="64"/>
        <v>0.42</v>
      </c>
      <c r="AG730" s="11">
        <f t="shared" si="65"/>
        <v>7.42</v>
      </c>
      <c r="AH730" t="s">
        <v>51</v>
      </c>
    </row>
    <row r="731" spans="1:34" ht="15" customHeight="1" x14ac:dyDescent="0.25">
      <c r="A731">
        <v>7547676</v>
      </c>
      <c r="B731" t="s">
        <v>34</v>
      </c>
      <c r="C731" t="s">
        <v>35</v>
      </c>
      <c r="D731" s="6" t="s">
        <v>34</v>
      </c>
      <c r="E731" t="s">
        <v>2199</v>
      </c>
      <c r="G731" t="s">
        <v>38</v>
      </c>
      <c r="H731" t="s">
        <v>2200</v>
      </c>
      <c r="I731" t="s">
        <v>40</v>
      </c>
      <c r="J731">
        <v>2</v>
      </c>
      <c r="K731" t="s">
        <v>41</v>
      </c>
      <c r="L731" t="s">
        <v>42</v>
      </c>
      <c r="M731" t="s">
        <v>43</v>
      </c>
      <c r="N731" s="7">
        <v>1</v>
      </c>
      <c r="O731" s="8">
        <v>45531.813032407408</v>
      </c>
      <c r="P731" s="9">
        <v>45533</v>
      </c>
      <c r="Q731" t="s">
        <v>44</v>
      </c>
      <c r="R731" t="s">
        <v>45</v>
      </c>
      <c r="S731" t="s">
        <v>46</v>
      </c>
      <c r="T731" t="s">
        <v>223</v>
      </c>
      <c r="U731" t="s">
        <v>2201</v>
      </c>
      <c r="V731">
        <v>26100</v>
      </c>
      <c r="W731" t="s">
        <v>45</v>
      </c>
      <c r="X731" t="s">
        <v>225</v>
      </c>
      <c r="Y731" t="s">
        <v>50</v>
      </c>
      <c r="Z731" s="10">
        <f t="shared" si="66"/>
        <v>9</v>
      </c>
      <c r="AA731" s="13">
        <v>0</v>
      </c>
      <c r="AB731" s="11">
        <v>-2</v>
      </c>
      <c r="AC731" s="13">
        <v>0</v>
      </c>
      <c r="AD731" s="13">
        <v>0</v>
      </c>
      <c r="AE731" s="13">
        <v>0</v>
      </c>
      <c r="AF731" s="11">
        <f t="shared" si="64"/>
        <v>0.42</v>
      </c>
      <c r="AG731" s="11">
        <f t="shared" si="65"/>
        <v>7.42</v>
      </c>
      <c r="AH731" t="s">
        <v>51</v>
      </c>
    </row>
    <row r="732" spans="1:34" ht="15" customHeight="1" x14ac:dyDescent="0.25">
      <c r="A732">
        <v>7547676</v>
      </c>
      <c r="B732" t="s">
        <v>34</v>
      </c>
      <c r="C732" t="s">
        <v>35</v>
      </c>
      <c r="D732" s="6" t="s">
        <v>34</v>
      </c>
      <c r="E732" t="s">
        <v>2202</v>
      </c>
      <c r="G732" t="s">
        <v>38</v>
      </c>
      <c r="H732" t="s">
        <v>2203</v>
      </c>
      <c r="I732" t="s">
        <v>40</v>
      </c>
      <c r="J732">
        <v>2</v>
      </c>
      <c r="K732" t="s">
        <v>41</v>
      </c>
      <c r="L732" t="s">
        <v>42</v>
      </c>
      <c r="M732" t="s">
        <v>43</v>
      </c>
      <c r="N732" s="7">
        <v>1</v>
      </c>
      <c r="O732" s="8">
        <v>45530.793645833335</v>
      </c>
      <c r="P732" s="9">
        <v>45533</v>
      </c>
      <c r="Q732" t="s">
        <v>44</v>
      </c>
      <c r="R732" t="s">
        <v>45</v>
      </c>
      <c r="S732" t="s">
        <v>46</v>
      </c>
      <c r="T732" t="s">
        <v>54</v>
      </c>
      <c r="U732" t="s">
        <v>2204</v>
      </c>
      <c r="V732">
        <v>86000</v>
      </c>
      <c r="W732" t="s">
        <v>45</v>
      </c>
      <c r="X732" t="s">
        <v>1636</v>
      </c>
      <c r="Y732" t="s">
        <v>50</v>
      </c>
      <c r="Z732" s="10">
        <f t="shared" si="66"/>
        <v>9</v>
      </c>
      <c r="AA732" s="13">
        <v>0</v>
      </c>
      <c r="AB732" s="11">
        <v>-2</v>
      </c>
      <c r="AC732" s="13">
        <v>0</v>
      </c>
      <c r="AD732" s="13">
        <v>0</v>
      </c>
      <c r="AE732" s="13">
        <v>0</v>
      </c>
      <c r="AF732" s="11">
        <f t="shared" si="64"/>
        <v>0.42</v>
      </c>
      <c r="AG732" s="11">
        <f t="shared" si="65"/>
        <v>7.42</v>
      </c>
      <c r="AH732" t="s">
        <v>51</v>
      </c>
    </row>
    <row r="733" spans="1:34" ht="15" customHeight="1" x14ac:dyDescent="0.25">
      <c r="A733">
        <v>7547676</v>
      </c>
      <c r="B733" t="s">
        <v>34</v>
      </c>
      <c r="C733" t="s">
        <v>35</v>
      </c>
      <c r="D733" s="6" t="s">
        <v>34</v>
      </c>
      <c r="E733" t="s">
        <v>2205</v>
      </c>
      <c r="G733" t="s">
        <v>38</v>
      </c>
      <c r="H733" t="s">
        <v>2206</v>
      </c>
      <c r="I733" t="s">
        <v>40</v>
      </c>
      <c r="J733">
        <v>2</v>
      </c>
      <c r="K733" t="s">
        <v>41</v>
      </c>
      <c r="L733" t="s">
        <v>42</v>
      </c>
      <c r="M733" t="s">
        <v>43</v>
      </c>
      <c r="N733" s="7">
        <v>1</v>
      </c>
      <c r="O733" s="8">
        <v>45531.813032407408</v>
      </c>
      <c r="P733" s="9">
        <v>45533</v>
      </c>
      <c r="Q733" t="s">
        <v>44</v>
      </c>
      <c r="R733" t="s">
        <v>45</v>
      </c>
      <c r="S733" t="s">
        <v>46</v>
      </c>
      <c r="T733" t="s">
        <v>92</v>
      </c>
      <c r="U733" t="s">
        <v>2207</v>
      </c>
      <c r="V733">
        <v>42700</v>
      </c>
      <c r="W733" t="s">
        <v>45</v>
      </c>
      <c r="X733" t="s">
        <v>178</v>
      </c>
      <c r="Y733" t="s">
        <v>50</v>
      </c>
      <c r="Z733" s="10">
        <f t="shared" si="66"/>
        <v>9</v>
      </c>
      <c r="AA733" s="13">
        <v>0</v>
      </c>
      <c r="AB733" s="11">
        <v>-2</v>
      </c>
      <c r="AC733" s="13">
        <v>0</v>
      </c>
      <c r="AD733" s="13">
        <v>0</v>
      </c>
      <c r="AE733" s="13">
        <v>0</v>
      </c>
      <c r="AF733" s="11">
        <f t="shared" si="64"/>
        <v>0.42</v>
      </c>
      <c r="AG733" s="11">
        <f t="shared" si="65"/>
        <v>7.42</v>
      </c>
      <c r="AH733" t="s">
        <v>51</v>
      </c>
    </row>
    <row r="734" spans="1:34" ht="15" customHeight="1" x14ac:dyDescent="0.25">
      <c r="A734">
        <v>7547676</v>
      </c>
      <c r="B734" t="s">
        <v>34</v>
      </c>
      <c r="C734" t="s">
        <v>35</v>
      </c>
      <c r="D734" s="6" t="s">
        <v>34</v>
      </c>
      <c r="E734" t="s">
        <v>2208</v>
      </c>
      <c r="G734" t="s">
        <v>38</v>
      </c>
      <c r="H734" t="s">
        <v>2209</v>
      </c>
      <c r="I734" t="s">
        <v>40</v>
      </c>
      <c r="J734">
        <v>2</v>
      </c>
      <c r="K734" t="s">
        <v>41</v>
      </c>
      <c r="L734" t="s">
        <v>42</v>
      </c>
      <c r="M734" t="s">
        <v>43</v>
      </c>
      <c r="N734" s="7">
        <v>6</v>
      </c>
      <c r="O734" s="8">
        <v>45531.54351851852</v>
      </c>
      <c r="P734" s="9">
        <v>45533</v>
      </c>
      <c r="Q734" t="s">
        <v>44</v>
      </c>
      <c r="R734" t="s">
        <v>45</v>
      </c>
      <c r="S734" t="s">
        <v>46</v>
      </c>
      <c r="T734" t="s">
        <v>92</v>
      </c>
      <c r="U734" t="s">
        <v>2210</v>
      </c>
      <c r="V734">
        <v>43650</v>
      </c>
      <c r="W734" t="s">
        <v>45</v>
      </c>
      <c r="X734" t="s">
        <v>232</v>
      </c>
      <c r="Y734" t="s">
        <v>50</v>
      </c>
      <c r="Z734" s="10">
        <f t="shared" si="66"/>
        <v>13</v>
      </c>
      <c r="AA734" s="13">
        <v>0</v>
      </c>
      <c r="AB734" s="11">
        <v>-2</v>
      </c>
      <c r="AC734" s="13">
        <v>0</v>
      </c>
      <c r="AD734" s="13">
        <v>0</v>
      </c>
      <c r="AE734" s="13">
        <v>0</v>
      </c>
      <c r="AF734" s="11">
        <f t="shared" si="64"/>
        <v>0.65999999999999992</v>
      </c>
      <c r="AG734" s="11">
        <f t="shared" si="65"/>
        <v>11.66</v>
      </c>
      <c r="AH734" t="s">
        <v>51</v>
      </c>
    </row>
    <row r="735" spans="1:34" ht="15" customHeight="1" x14ac:dyDescent="0.25">
      <c r="A735">
        <v>7547676</v>
      </c>
      <c r="B735" t="s">
        <v>34</v>
      </c>
      <c r="C735" t="s">
        <v>35</v>
      </c>
      <c r="D735" s="6" t="s">
        <v>34</v>
      </c>
      <c r="E735" t="s">
        <v>2211</v>
      </c>
      <c r="G735" t="s">
        <v>38</v>
      </c>
      <c r="H735" t="s">
        <v>2212</v>
      </c>
      <c r="I735" t="s">
        <v>40</v>
      </c>
      <c r="J735">
        <v>2</v>
      </c>
      <c r="K735" t="s">
        <v>41</v>
      </c>
      <c r="L735" t="s">
        <v>42</v>
      </c>
      <c r="M735" t="s">
        <v>43</v>
      </c>
      <c r="N735" s="7">
        <v>1</v>
      </c>
      <c r="O735" s="8">
        <v>45531.712314814817</v>
      </c>
      <c r="P735" s="9">
        <v>45533</v>
      </c>
      <c r="Q735" t="s">
        <v>44</v>
      </c>
      <c r="R735" t="s">
        <v>45</v>
      </c>
      <c r="S735" t="s">
        <v>46</v>
      </c>
      <c r="T735" t="s">
        <v>146</v>
      </c>
      <c r="U735" t="s">
        <v>2213</v>
      </c>
      <c r="V735">
        <v>50050</v>
      </c>
      <c r="W735" t="s">
        <v>45</v>
      </c>
      <c r="X735" t="s">
        <v>69</v>
      </c>
      <c r="Y735" t="s">
        <v>50</v>
      </c>
      <c r="Z735" s="10">
        <f t="shared" si="66"/>
        <v>9</v>
      </c>
      <c r="AA735" s="13">
        <v>0</v>
      </c>
      <c r="AB735" s="11">
        <v>-2</v>
      </c>
      <c r="AC735" s="13">
        <v>0</v>
      </c>
      <c r="AD735" s="13">
        <v>0</v>
      </c>
      <c r="AE735" s="13">
        <v>0</v>
      </c>
      <c r="AF735" s="11">
        <f t="shared" si="64"/>
        <v>0.42</v>
      </c>
      <c r="AG735" s="11">
        <f t="shared" si="65"/>
        <v>7.42</v>
      </c>
      <c r="AH735" t="s">
        <v>51</v>
      </c>
    </row>
    <row r="736" spans="1:34" ht="15" customHeight="1" x14ac:dyDescent="0.25">
      <c r="A736">
        <v>7547676</v>
      </c>
      <c r="B736" t="s">
        <v>34</v>
      </c>
      <c r="C736" t="s">
        <v>35</v>
      </c>
      <c r="D736" s="6" t="s">
        <v>34</v>
      </c>
      <c r="E736" t="s">
        <v>2214</v>
      </c>
      <c r="G736" t="s">
        <v>38</v>
      </c>
      <c r="H736" t="s">
        <v>2215</v>
      </c>
      <c r="I736" t="s">
        <v>40</v>
      </c>
      <c r="J736">
        <v>2</v>
      </c>
      <c r="K736" t="s">
        <v>41</v>
      </c>
      <c r="L736" t="s">
        <v>42</v>
      </c>
      <c r="M736" t="s">
        <v>43</v>
      </c>
      <c r="N736" s="7">
        <v>1</v>
      </c>
      <c r="O736" s="8">
        <v>45531.804675925923</v>
      </c>
      <c r="P736" s="9">
        <v>45533</v>
      </c>
      <c r="Q736" t="s">
        <v>44</v>
      </c>
      <c r="R736" t="s">
        <v>45</v>
      </c>
      <c r="S736" t="s">
        <v>46</v>
      </c>
      <c r="T736" t="s">
        <v>92</v>
      </c>
      <c r="U736" t="s">
        <v>2216</v>
      </c>
      <c r="V736">
        <v>43200</v>
      </c>
      <c r="W736" t="s">
        <v>45</v>
      </c>
      <c r="X736" t="s">
        <v>2217</v>
      </c>
      <c r="Y736" t="s">
        <v>50</v>
      </c>
      <c r="Z736" s="10">
        <f t="shared" si="66"/>
        <v>9</v>
      </c>
      <c r="AA736" s="13">
        <v>0</v>
      </c>
      <c r="AB736" s="11">
        <v>-2</v>
      </c>
      <c r="AC736" s="13">
        <v>0</v>
      </c>
      <c r="AD736" s="13">
        <v>0</v>
      </c>
      <c r="AE736" s="13">
        <v>0</v>
      </c>
      <c r="AF736" s="11">
        <f t="shared" si="64"/>
        <v>0.42</v>
      </c>
      <c r="AG736" s="11">
        <f t="shared" si="65"/>
        <v>7.42</v>
      </c>
      <c r="AH736" t="s">
        <v>51</v>
      </c>
    </row>
    <row r="737" spans="1:34" ht="15" customHeight="1" x14ac:dyDescent="0.25">
      <c r="A737">
        <v>7547676</v>
      </c>
      <c r="B737" t="s">
        <v>34</v>
      </c>
      <c r="C737" t="s">
        <v>35</v>
      </c>
      <c r="D737" s="6" t="s">
        <v>34</v>
      </c>
      <c r="E737" t="s">
        <v>2218</v>
      </c>
      <c r="G737" t="s">
        <v>38</v>
      </c>
      <c r="H737" t="s">
        <v>2219</v>
      </c>
      <c r="I737" t="s">
        <v>40</v>
      </c>
      <c r="J737">
        <v>2</v>
      </c>
      <c r="K737" t="s">
        <v>41</v>
      </c>
      <c r="L737" t="s">
        <v>42</v>
      </c>
      <c r="M737" t="s">
        <v>43</v>
      </c>
      <c r="N737" s="7">
        <v>4</v>
      </c>
      <c r="O737" s="8">
        <v>45531.72215277778</v>
      </c>
      <c r="P737" s="9">
        <v>45533</v>
      </c>
      <c r="Q737" t="s">
        <v>44</v>
      </c>
      <c r="R737" t="s">
        <v>45</v>
      </c>
      <c r="S737" t="s">
        <v>46</v>
      </c>
      <c r="T737" t="s">
        <v>92</v>
      </c>
      <c r="U737" t="s">
        <v>2220</v>
      </c>
      <c r="V737">
        <v>40150</v>
      </c>
      <c r="W737" t="s">
        <v>45</v>
      </c>
      <c r="X737" t="s">
        <v>143</v>
      </c>
      <c r="Y737" t="s">
        <v>50</v>
      </c>
      <c r="Z737" s="10">
        <f t="shared" si="66"/>
        <v>11.4</v>
      </c>
      <c r="AA737" s="13">
        <v>0</v>
      </c>
      <c r="AB737" s="11">
        <v>-2</v>
      </c>
      <c r="AC737" s="13">
        <v>0</v>
      </c>
      <c r="AD737" s="11">
        <v>2000</v>
      </c>
      <c r="AE737" s="11">
        <f>AD737*1.5%</f>
        <v>30</v>
      </c>
      <c r="AF737" s="11">
        <f t="shared" si="64"/>
        <v>2.3639999999999999</v>
      </c>
      <c r="AG737" s="11">
        <f t="shared" si="65"/>
        <v>41.763999999999996</v>
      </c>
      <c r="AH737" t="s">
        <v>51</v>
      </c>
    </row>
    <row r="738" spans="1:34" ht="15" customHeight="1" x14ac:dyDescent="0.25">
      <c r="A738">
        <v>7547676</v>
      </c>
      <c r="B738" t="s">
        <v>34</v>
      </c>
      <c r="C738" t="s">
        <v>35</v>
      </c>
      <c r="D738" s="6" t="s">
        <v>34</v>
      </c>
      <c r="E738" t="s">
        <v>2221</v>
      </c>
      <c r="G738" t="s">
        <v>38</v>
      </c>
      <c r="H738" t="s">
        <v>2222</v>
      </c>
      <c r="I738" t="s">
        <v>40</v>
      </c>
      <c r="J738">
        <v>2</v>
      </c>
      <c r="K738" t="s">
        <v>41</v>
      </c>
      <c r="L738" t="s">
        <v>42</v>
      </c>
      <c r="M738" t="s">
        <v>43</v>
      </c>
      <c r="N738" s="7">
        <v>4</v>
      </c>
      <c r="O738" s="8">
        <v>45530.798460648148</v>
      </c>
      <c r="P738" s="9">
        <v>45533</v>
      </c>
      <c r="Q738" t="s">
        <v>44</v>
      </c>
      <c r="R738" t="s">
        <v>45</v>
      </c>
      <c r="S738" t="s">
        <v>46</v>
      </c>
      <c r="T738" t="s">
        <v>107</v>
      </c>
      <c r="U738" t="s">
        <v>2223</v>
      </c>
      <c r="V738">
        <v>6000</v>
      </c>
      <c r="W738" t="s">
        <v>45</v>
      </c>
      <c r="X738" t="s">
        <v>463</v>
      </c>
      <c r="Y738" t="s">
        <v>50</v>
      </c>
      <c r="Z738" s="10">
        <f t="shared" si="66"/>
        <v>11.4</v>
      </c>
      <c r="AA738" s="13">
        <v>0</v>
      </c>
      <c r="AB738" s="11">
        <v>-2</v>
      </c>
      <c r="AC738" s="13">
        <v>0</v>
      </c>
      <c r="AD738" s="13">
        <v>0</v>
      </c>
      <c r="AE738" s="13">
        <v>0</v>
      </c>
      <c r="AF738" s="11">
        <f t="shared" si="64"/>
        <v>0.56399999999999995</v>
      </c>
      <c r="AG738" s="11">
        <f t="shared" si="65"/>
        <v>9.9640000000000004</v>
      </c>
      <c r="AH738" t="s">
        <v>51</v>
      </c>
    </row>
    <row r="739" spans="1:34" ht="15" customHeight="1" x14ac:dyDescent="0.25">
      <c r="A739">
        <v>7547676</v>
      </c>
      <c r="B739" t="s">
        <v>34</v>
      </c>
      <c r="C739" t="s">
        <v>35</v>
      </c>
      <c r="D739" s="6" t="s">
        <v>34</v>
      </c>
      <c r="E739" t="s">
        <v>2224</v>
      </c>
      <c r="G739" t="s">
        <v>38</v>
      </c>
      <c r="H739" t="s">
        <v>2225</v>
      </c>
      <c r="I739" t="s">
        <v>40</v>
      </c>
      <c r="J739">
        <v>2</v>
      </c>
      <c r="K739" t="s">
        <v>41</v>
      </c>
      <c r="L739" t="s">
        <v>42</v>
      </c>
      <c r="M739" t="s">
        <v>43</v>
      </c>
      <c r="N739" s="7">
        <v>1</v>
      </c>
      <c r="O739" s="8">
        <v>45531.450138888889</v>
      </c>
      <c r="P739" s="9">
        <v>45533</v>
      </c>
      <c r="Q739" t="s">
        <v>44</v>
      </c>
      <c r="R739" t="s">
        <v>45</v>
      </c>
      <c r="S739" t="s">
        <v>46</v>
      </c>
      <c r="T739" t="s">
        <v>59</v>
      </c>
      <c r="U739" t="s">
        <v>2226</v>
      </c>
      <c r="V739">
        <v>14000</v>
      </c>
      <c r="W739" t="s">
        <v>45</v>
      </c>
      <c r="X739" t="s">
        <v>374</v>
      </c>
      <c r="Y739" t="s">
        <v>50</v>
      </c>
      <c r="Z739" s="10">
        <f t="shared" si="66"/>
        <v>9</v>
      </c>
      <c r="AA739" s="13">
        <v>0</v>
      </c>
      <c r="AB739" s="11">
        <v>-2</v>
      </c>
      <c r="AC739" s="13">
        <v>0</v>
      </c>
      <c r="AD739" s="13">
        <v>0</v>
      </c>
      <c r="AE739" s="13">
        <v>0</v>
      </c>
      <c r="AF739" s="11">
        <f t="shared" si="64"/>
        <v>0.42</v>
      </c>
      <c r="AG739" s="11">
        <f t="shared" si="65"/>
        <v>7.42</v>
      </c>
      <c r="AH739" t="s">
        <v>51</v>
      </c>
    </row>
    <row r="740" spans="1:34" ht="15" customHeight="1" x14ac:dyDescent="0.25">
      <c r="A740">
        <v>7547676</v>
      </c>
      <c r="B740" t="s">
        <v>34</v>
      </c>
      <c r="C740" t="s">
        <v>35</v>
      </c>
      <c r="D740" s="6" t="s">
        <v>34</v>
      </c>
      <c r="E740" t="s">
        <v>2227</v>
      </c>
      <c r="G740" t="s">
        <v>38</v>
      </c>
      <c r="H740" t="s">
        <v>2228</v>
      </c>
      <c r="I740" t="s">
        <v>40</v>
      </c>
      <c r="J740">
        <v>2</v>
      </c>
      <c r="K740" t="s">
        <v>41</v>
      </c>
      <c r="L740" t="s">
        <v>42</v>
      </c>
      <c r="M740" t="s">
        <v>43</v>
      </c>
      <c r="N740" s="7">
        <v>1</v>
      </c>
      <c r="O740" s="8">
        <v>45531.8046875</v>
      </c>
      <c r="P740" s="9">
        <v>45533</v>
      </c>
      <c r="Q740" t="s">
        <v>44</v>
      </c>
      <c r="R740" t="s">
        <v>45</v>
      </c>
      <c r="S740" t="s">
        <v>46</v>
      </c>
      <c r="T740" t="s">
        <v>72</v>
      </c>
      <c r="U740" t="s">
        <v>2229</v>
      </c>
      <c r="V740">
        <v>21200</v>
      </c>
      <c r="W740" t="s">
        <v>45</v>
      </c>
      <c r="X740" t="s">
        <v>139</v>
      </c>
      <c r="Y740" t="s">
        <v>50</v>
      </c>
      <c r="Z740" s="10">
        <f t="shared" si="66"/>
        <v>9</v>
      </c>
      <c r="AA740" s="13">
        <v>0</v>
      </c>
      <c r="AB740" s="11">
        <v>-2</v>
      </c>
      <c r="AC740" s="13">
        <v>0</v>
      </c>
      <c r="AD740" s="13">
        <v>0</v>
      </c>
      <c r="AE740" s="13">
        <v>0</v>
      </c>
      <c r="AF740" s="11">
        <f t="shared" si="64"/>
        <v>0.42</v>
      </c>
      <c r="AG740" s="11">
        <f t="shared" si="65"/>
        <v>7.42</v>
      </c>
      <c r="AH740" t="s">
        <v>51</v>
      </c>
    </row>
    <row r="741" spans="1:34" ht="15" customHeight="1" x14ac:dyDescent="0.25">
      <c r="A741">
        <v>7547676</v>
      </c>
      <c r="B741" t="s">
        <v>34</v>
      </c>
      <c r="C741" t="s">
        <v>35</v>
      </c>
      <c r="D741" s="6" t="s">
        <v>34</v>
      </c>
      <c r="E741" t="s">
        <v>2230</v>
      </c>
      <c r="G741" t="s">
        <v>38</v>
      </c>
      <c r="H741" t="s">
        <v>2231</v>
      </c>
      <c r="I741" t="s">
        <v>40</v>
      </c>
      <c r="J741">
        <v>2</v>
      </c>
      <c r="K741" t="s">
        <v>41</v>
      </c>
      <c r="L741" t="s">
        <v>42</v>
      </c>
      <c r="M741" t="s">
        <v>43</v>
      </c>
      <c r="N741" s="7">
        <v>5</v>
      </c>
      <c r="O741" s="8">
        <v>45531.8046875</v>
      </c>
      <c r="P741" s="9">
        <v>45533</v>
      </c>
      <c r="Q741" t="s">
        <v>44</v>
      </c>
      <c r="R741" t="s">
        <v>45</v>
      </c>
      <c r="S741" t="s">
        <v>46</v>
      </c>
      <c r="T741" t="s">
        <v>72</v>
      </c>
      <c r="U741" t="s">
        <v>2232</v>
      </c>
      <c r="V741">
        <v>24060</v>
      </c>
      <c r="W741" t="s">
        <v>45</v>
      </c>
      <c r="X741" t="s">
        <v>2233</v>
      </c>
      <c r="Y741" t="s">
        <v>50</v>
      </c>
      <c r="Z741" s="10">
        <f t="shared" si="66"/>
        <v>12.2</v>
      </c>
      <c r="AA741" s="13">
        <v>0</v>
      </c>
      <c r="AB741" s="11">
        <v>-2</v>
      </c>
      <c r="AC741" s="13">
        <v>0</v>
      </c>
      <c r="AD741" s="13">
        <v>0</v>
      </c>
      <c r="AE741" s="13">
        <v>0</v>
      </c>
      <c r="AF741" s="11">
        <f t="shared" si="64"/>
        <v>0.61199999999999999</v>
      </c>
      <c r="AG741" s="11">
        <f t="shared" si="65"/>
        <v>10.811999999999999</v>
      </c>
      <c r="AH741" t="s">
        <v>51</v>
      </c>
    </row>
    <row r="742" spans="1:34" ht="15" customHeight="1" x14ac:dyDescent="0.25">
      <c r="A742">
        <v>7547676</v>
      </c>
      <c r="B742" t="s">
        <v>34</v>
      </c>
      <c r="C742" t="s">
        <v>35</v>
      </c>
      <c r="D742" s="6" t="s">
        <v>34</v>
      </c>
      <c r="E742" t="s">
        <v>2234</v>
      </c>
      <c r="G742" t="s">
        <v>38</v>
      </c>
      <c r="H742" t="s">
        <v>2235</v>
      </c>
      <c r="I742" t="s">
        <v>40</v>
      </c>
      <c r="J742">
        <v>2</v>
      </c>
      <c r="K742" t="s">
        <v>41</v>
      </c>
      <c r="L742" t="s">
        <v>42</v>
      </c>
      <c r="M742" t="s">
        <v>43</v>
      </c>
      <c r="N742" s="7">
        <v>1</v>
      </c>
      <c r="O742" s="8">
        <v>45532.726261574076</v>
      </c>
      <c r="P742" s="9">
        <v>45533</v>
      </c>
      <c r="Q742" t="s">
        <v>44</v>
      </c>
      <c r="R742" t="s">
        <v>45</v>
      </c>
      <c r="S742" t="s">
        <v>46</v>
      </c>
      <c r="T742" t="s">
        <v>92</v>
      </c>
      <c r="U742" t="s">
        <v>2236</v>
      </c>
      <c r="V742">
        <v>40160</v>
      </c>
      <c r="W742" t="s">
        <v>45</v>
      </c>
      <c r="X742" t="s">
        <v>143</v>
      </c>
      <c r="Y742" t="s">
        <v>50</v>
      </c>
      <c r="Z742" s="10">
        <f t="shared" si="66"/>
        <v>9</v>
      </c>
      <c r="AA742" s="13">
        <v>0</v>
      </c>
      <c r="AB742" s="11">
        <v>-2</v>
      </c>
      <c r="AC742" s="13">
        <v>0</v>
      </c>
      <c r="AD742" s="13">
        <v>0</v>
      </c>
      <c r="AE742" s="13">
        <v>0</v>
      </c>
      <c r="AF742" s="11">
        <f t="shared" si="64"/>
        <v>0.42</v>
      </c>
      <c r="AG742" s="11">
        <f t="shared" si="65"/>
        <v>7.42</v>
      </c>
      <c r="AH742" t="s">
        <v>51</v>
      </c>
    </row>
    <row r="743" spans="1:34" ht="15" customHeight="1" x14ac:dyDescent="0.25">
      <c r="A743">
        <v>7547676</v>
      </c>
      <c r="B743" t="s">
        <v>34</v>
      </c>
      <c r="C743" t="s">
        <v>35</v>
      </c>
      <c r="D743" s="6" t="s">
        <v>34</v>
      </c>
      <c r="E743" t="s">
        <v>2237</v>
      </c>
      <c r="G743" t="s">
        <v>38</v>
      </c>
      <c r="H743" t="s">
        <v>2238</v>
      </c>
      <c r="I743" t="s">
        <v>40</v>
      </c>
      <c r="J743">
        <v>2</v>
      </c>
      <c r="K743" t="s">
        <v>41</v>
      </c>
      <c r="L743" t="s">
        <v>42</v>
      </c>
      <c r="M743" t="s">
        <v>43</v>
      </c>
      <c r="N743" s="7">
        <v>1</v>
      </c>
      <c r="O743" s="8">
        <v>45531.709780092591</v>
      </c>
      <c r="P743" s="9">
        <v>45533</v>
      </c>
      <c r="Q743" t="s">
        <v>44</v>
      </c>
      <c r="R743" t="s">
        <v>45</v>
      </c>
      <c r="S743" t="s">
        <v>46</v>
      </c>
      <c r="T743" t="s">
        <v>92</v>
      </c>
      <c r="U743" t="s">
        <v>2239</v>
      </c>
      <c r="V743">
        <v>47301</v>
      </c>
      <c r="W743" t="s">
        <v>45</v>
      </c>
      <c r="X743" t="s">
        <v>69</v>
      </c>
      <c r="Y743" t="s">
        <v>50</v>
      </c>
      <c r="Z743" s="10">
        <f t="shared" si="66"/>
        <v>9</v>
      </c>
      <c r="AA743" s="13">
        <v>0</v>
      </c>
      <c r="AB743" s="11">
        <v>-2</v>
      </c>
      <c r="AC743" s="13">
        <v>0</v>
      </c>
      <c r="AD743" s="13">
        <v>0</v>
      </c>
      <c r="AE743" s="13">
        <v>0</v>
      </c>
      <c r="AF743" s="11">
        <f t="shared" si="64"/>
        <v>0.42</v>
      </c>
      <c r="AG743" s="11">
        <f t="shared" si="65"/>
        <v>7.42</v>
      </c>
      <c r="AH743" t="s">
        <v>51</v>
      </c>
    </row>
    <row r="744" spans="1:34" ht="15" customHeight="1" x14ac:dyDescent="0.25">
      <c r="A744">
        <v>7547676</v>
      </c>
      <c r="B744" t="s">
        <v>34</v>
      </c>
      <c r="C744" t="s">
        <v>35</v>
      </c>
      <c r="D744" s="6" t="s">
        <v>34</v>
      </c>
      <c r="E744" t="s">
        <v>2240</v>
      </c>
      <c r="G744" t="s">
        <v>38</v>
      </c>
      <c r="H744" t="s">
        <v>2241</v>
      </c>
      <c r="I744" t="s">
        <v>40</v>
      </c>
      <c r="J744">
        <v>2</v>
      </c>
      <c r="K744" t="s">
        <v>41</v>
      </c>
      <c r="L744" t="s">
        <v>42</v>
      </c>
      <c r="M744" t="s">
        <v>43</v>
      </c>
      <c r="N744" s="7">
        <v>1</v>
      </c>
      <c r="O744" s="8">
        <v>45531.72215277778</v>
      </c>
      <c r="P744" s="9">
        <v>45533</v>
      </c>
      <c r="Q744" t="s">
        <v>44</v>
      </c>
      <c r="R744" t="s">
        <v>45</v>
      </c>
      <c r="S744" t="s">
        <v>46</v>
      </c>
      <c r="T744" t="s">
        <v>54</v>
      </c>
      <c r="U744" t="s">
        <v>2242</v>
      </c>
      <c r="V744">
        <v>79100</v>
      </c>
      <c r="W744" t="s">
        <v>45</v>
      </c>
      <c r="X744" t="s">
        <v>1020</v>
      </c>
      <c r="Y744" t="s">
        <v>50</v>
      </c>
      <c r="Z744" s="10">
        <f t="shared" si="66"/>
        <v>9</v>
      </c>
      <c r="AA744" s="13">
        <v>0</v>
      </c>
      <c r="AB744" s="11">
        <v>-2</v>
      </c>
      <c r="AC744" s="13">
        <v>0</v>
      </c>
      <c r="AD744" s="13">
        <v>0</v>
      </c>
      <c r="AE744" s="13">
        <v>0</v>
      </c>
      <c r="AF744" s="11">
        <f t="shared" si="64"/>
        <v>0.42</v>
      </c>
      <c r="AG744" s="11">
        <f t="shared" si="65"/>
        <v>7.42</v>
      </c>
      <c r="AH744" t="s">
        <v>51</v>
      </c>
    </row>
    <row r="745" spans="1:34" ht="15" customHeight="1" x14ac:dyDescent="0.25">
      <c r="A745">
        <v>7547676</v>
      </c>
      <c r="B745" t="s">
        <v>34</v>
      </c>
      <c r="C745" t="s">
        <v>35</v>
      </c>
      <c r="D745" s="6" t="s">
        <v>34</v>
      </c>
      <c r="E745" t="s">
        <v>2243</v>
      </c>
      <c r="G745" t="s">
        <v>38</v>
      </c>
      <c r="H745" t="s">
        <v>2244</v>
      </c>
      <c r="I745" t="s">
        <v>40</v>
      </c>
      <c r="J745">
        <v>2</v>
      </c>
      <c r="K745" t="s">
        <v>41</v>
      </c>
      <c r="L745" t="s">
        <v>42</v>
      </c>
      <c r="M745" t="s">
        <v>43</v>
      </c>
      <c r="N745" s="7">
        <v>1</v>
      </c>
      <c r="O745" s="8">
        <v>45530.561284722222</v>
      </c>
      <c r="P745" s="9">
        <v>45533</v>
      </c>
      <c r="Q745" t="s">
        <v>44</v>
      </c>
      <c r="R745" t="s">
        <v>45</v>
      </c>
      <c r="S745" t="s">
        <v>46</v>
      </c>
      <c r="T745" t="s">
        <v>92</v>
      </c>
      <c r="U745" t="s">
        <v>2245</v>
      </c>
      <c r="V745">
        <v>40000</v>
      </c>
      <c r="W745" t="s">
        <v>45</v>
      </c>
      <c r="X745" t="s">
        <v>69</v>
      </c>
      <c r="Y745" t="s">
        <v>50</v>
      </c>
      <c r="Z745" s="10">
        <f t="shared" si="66"/>
        <v>9</v>
      </c>
      <c r="AA745" s="13">
        <v>0</v>
      </c>
      <c r="AB745" s="11">
        <v>-2</v>
      </c>
      <c r="AC745" s="13">
        <v>0</v>
      </c>
      <c r="AD745" s="13">
        <v>0</v>
      </c>
      <c r="AE745" s="13">
        <v>0</v>
      </c>
      <c r="AF745" s="11">
        <f t="shared" si="64"/>
        <v>0.42</v>
      </c>
      <c r="AG745" s="11">
        <f t="shared" si="65"/>
        <v>7.42</v>
      </c>
      <c r="AH745" t="s">
        <v>51</v>
      </c>
    </row>
    <row r="746" spans="1:34" ht="15" customHeight="1" x14ac:dyDescent="0.25">
      <c r="A746">
        <v>7547676</v>
      </c>
      <c r="B746" t="s">
        <v>34</v>
      </c>
      <c r="C746" t="s">
        <v>35</v>
      </c>
      <c r="D746" s="6" t="s">
        <v>34</v>
      </c>
      <c r="E746" t="s">
        <v>2246</v>
      </c>
      <c r="G746" t="s">
        <v>38</v>
      </c>
      <c r="H746" t="s">
        <v>2247</v>
      </c>
      <c r="I746" t="s">
        <v>40</v>
      </c>
      <c r="J746">
        <v>2</v>
      </c>
      <c r="K746" t="s">
        <v>41</v>
      </c>
      <c r="L746" t="s">
        <v>42</v>
      </c>
      <c r="M746" t="s">
        <v>43</v>
      </c>
      <c r="N746" s="7">
        <v>1</v>
      </c>
      <c r="O746" s="8">
        <v>45532.709421296298</v>
      </c>
      <c r="P746" s="9">
        <v>45533</v>
      </c>
      <c r="Q746" t="s">
        <v>44</v>
      </c>
      <c r="R746" t="s">
        <v>45</v>
      </c>
      <c r="S746" t="s">
        <v>46</v>
      </c>
      <c r="T746" t="s">
        <v>92</v>
      </c>
      <c r="U746" t="s">
        <v>2248</v>
      </c>
      <c r="V746">
        <v>41200</v>
      </c>
      <c r="W746" t="s">
        <v>45</v>
      </c>
      <c r="X746" t="s">
        <v>113</v>
      </c>
      <c r="Y746" t="s">
        <v>50</v>
      </c>
      <c r="Z746" s="10">
        <f t="shared" si="66"/>
        <v>9</v>
      </c>
      <c r="AA746" s="13">
        <v>0</v>
      </c>
      <c r="AB746" s="11">
        <v>-2</v>
      </c>
      <c r="AC746" s="13">
        <v>0</v>
      </c>
      <c r="AD746" s="13">
        <v>0</v>
      </c>
      <c r="AE746" s="13">
        <v>0</v>
      </c>
      <c r="AF746" s="11">
        <f t="shared" si="64"/>
        <v>0.42</v>
      </c>
      <c r="AG746" s="11">
        <f t="shared" si="65"/>
        <v>7.42</v>
      </c>
      <c r="AH746" t="s">
        <v>51</v>
      </c>
    </row>
    <row r="747" spans="1:34" ht="15" customHeight="1" x14ac:dyDescent="0.25">
      <c r="A747">
        <v>7547676</v>
      </c>
      <c r="B747" t="s">
        <v>34</v>
      </c>
      <c r="C747" t="s">
        <v>35</v>
      </c>
      <c r="D747" s="6" t="s">
        <v>34</v>
      </c>
      <c r="E747" t="s">
        <v>2249</v>
      </c>
      <c r="G747" t="s">
        <v>38</v>
      </c>
      <c r="H747" t="s">
        <v>2250</v>
      </c>
      <c r="I747" t="s">
        <v>40</v>
      </c>
      <c r="J747">
        <v>2</v>
      </c>
      <c r="K747" t="s">
        <v>41</v>
      </c>
      <c r="L747" t="s">
        <v>42</v>
      </c>
      <c r="M747" t="s">
        <v>43</v>
      </c>
      <c r="N747" s="7">
        <v>1</v>
      </c>
      <c r="O747" s="8">
        <v>45530.764409722222</v>
      </c>
      <c r="P747" s="9">
        <v>45533</v>
      </c>
      <c r="Q747" t="s">
        <v>44</v>
      </c>
      <c r="R747" t="s">
        <v>45</v>
      </c>
      <c r="S747" t="s">
        <v>46</v>
      </c>
      <c r="T747" t="s">
        <v>92</v>
      </c>
      <c r="U747" t="s">
        <v>2251</v>
      </c>
      <c r="V747">
        <v>43650</v>
      </c>
      <c r="W747" t="s">
        <v>45</v>
      </c>
      <c r="X747" t="s">
        <v>232</v>
      </c>
      <c r="Y747" t="s">
        <v>50</v>
      </c>
      <c r="Z747" s="10">
        <f t="shared" si="66"/>
        <v>9</v>
      </c>
      <c r="AA747" s="13">
        <v>0</v>
      </c>
      <c r="AB747" s="11">
        <v>-2</v>
      </c>
      <c r="AC747" s="13">
        <v>0</v>
      </c>
      <c r="AD747" s="13">
        <v>0</v>
      </c>
      <c r="AE747" s="13">
        <v>0</v>
      </c>
      <c r="AF747" s="11">
        <f t="shared" si="64"/>
        <v>0.42</v>
      </c>
      <c r="AG747" s="11">
        <f t="shared" si="65"/>
        <v>7.42</v>
      </c>
      <c r="AH747" t="s">
        <v>51</v>
      </c>
    </row>
    <row r="748" spans="1:34" ht="15" customHeight="1" x14ac:dyDescent="0.25">
      <c r="A748">
        <v>7547676</v>
      </c>
      <c r="B748" t="s">
        <v>34</v>
      </c>
      <c r="C748" t="s">
        <v>35</v>
      </c>
      <c r="D748" s="6" t="s">
        <v>34</v>
      </c>
      <c r="E748" t="s">
        <v>2252</v>
      </c>
      <c r="G748" t="s">
        <v>38</v>
      </c>
      <c r="H748" t="s">
        <v>2253</v>
      </c>
      <c r="I748" t="s">
        <v>40</v>
      </c>
      <c r="J748">
        <v>2</v>
      </c>
      <c r="K748" t="s">
        <v>41</v>
      </c>
      <c r="L748" t="s">
        <v>42</v>
      </c>
      <c r="M748" t="s">
        <v>43</v>
      </c>
      <c r="N748" s="7">
        <v>1</v>
      </c>
      <c r="O748" s="8">
        <v>45531.742893518516</v>
      </c>
      <c r="P748" s="9">
        <v>45533</v>
      </c>
      <c r="Q748" t="s">
        <v>44</v>
      </c>
      <c r="R748" t="s">
        <v>45</v>
      </c>
      <c r="S748" t="s">
        <v>46</v>
      </c>
      <c r="T748" t="s">
        <v>92</v>
      </c>
      <c r="U748" t="s">
        <v>2254</v>
      </c>
      <c r="V748">
        <v>42000</v>
      </c>
      <c r="W748" t="s">
        <v>45</v>
      </c>
      <c r="X748" t="s">
        <v>2046</v>
      </c>
      <c r="Y748" t="s">
        <v>50</v>
      </c>
      <c r="Z748" s="10">
        <f t="shared" si="66"/>
        <v>9</v>
      </c>
      <c r="AA748" s="13">
        <v>0</v>
      </c>
      <c r="AB748" s="11">
        <v>-2</v>
      </c>
      <c r="AC748" s="13">
        <v>0</v>
      </c>
      <c r="AD748" s="13">
        <v>0</v>
      </c>
      <c r="AE748" s="13">
        <v>0</v>
      </c>
      <c r="AF748" s="11">
        <f t="shared" si="64"/>
        <v>0.42</v>
      </c>
      <c r="AG748" s="11">
        <f t="shared" si="65"/>
        <v>7.42</v>
      </c>
      <c r="AH748" t="s">
        <v>51</v>
      </c>
    </row>
    <row r="749" spans="1:34" ht="15" customHeight="1" x14ac:dyDescent="0.25">
      <c r="A749">
        <v>7547676</v>
      </c>
      <c r="B749" t="s">
        <v>34</v>
      </c>
      <c r="C749" t="s">
        <v>35</v>
      </c>
      <c r="D749" s="6" t="s">
        <v>34</v>
      </c>
      <c r="E749" t="s">
        <v>2255</v>
      </c>
      <c r="G749" t="s">
        <v>38</v>
      </c>
      <c r="H749" t="s">
        <v>2256</v>
      </c>
      <c r="I749" t="s">
        <v>40</v>
      </c>
      <c r="J749">
        <v>2</v>
      </c>
      <c r="K749" t="s">
        <v>41</v>
      </c>
      <c r="L749" t="s">
        <v>42</v>
      </c>
      <c r="M749" t="s">
        <v>43</v>
      </c>
      <c r="N749" s="7">
        <v>1</v>
      </c>
      <c r="O749" s="8">
        <v>45532.712326388886</v>
      </c>
      <c r="P749" s="9">
        <v>45533</v>
      </c>
      <c r="Q749" t="s">
        <v>44</v>
      </c>
      <c r="R749" t="s">
        <v>45</v>
      </c>
      <c r="S749" t="s">
        <v>46</v>
      </c>
      <c r="T749" t="s">
        <v>92</v>
      </c>
      <c r="U749" t="s">
        <v>2257</v>
      </c>
      <c r="V749">
        <v>41050</v>
      </c>
      <c r="W749" t="s">
        <v>45</v>
      </c>
      <c r="X749" t="s">
        <v>512</v>
      </c>
      <c r="Y749" t="s">
        <v>50</v>
      </c>
      <c r="Z749" s="10">
        <f t="shared" si="66"/>
        <v>9</v>
      </c>
      <c r="AA749" s="13">
        <v>0</v>
      </c>
      <c r="AB749" s="11">
        <v>-2</v>
      </c>
      <c r="AC749" s="13">
        <v>0</v>
      </c>
      <c r="AD749" s="13">
        <v>0</v>
      </c>
      <c r="AE749" s="13">
        <v>0</v>
      </c>
      <c r="AF749" s="11">
        <f t="shared" si="64"/>
        <v>0.42</v>
      </c>
      <c r="AG749" s="11">
        <f t="shared" si="65"/>
        <v>7.42</v>
      </c>
      <c r="AH749" t="s">
        <v>51</v>
      </c>
    </row>
    <row r="750" spans="1:34" ht="15" customHeight="1" x14ac:dyDescent="0.25">
      <c r="A750">
        <v>7547676</v>
      </c>
      <c r="B750" t="s">
        <v>34</v>
      </c>
      <c r="C750" t="s">
        <v>35</v>
      </c>
      <c r="D750" s="6" t="s">
        <v>34</v>
      </c>
      <c r="E750" t="s">
        <v>2258</v>
      </c>
      <c r="G750" t="s">
        <v>38</v>
      </c>
      <c r="H750" t="s">
        <v>2259</v>
      </c>
      <c r="I750" t="s">
        <v>40</v>
      </c>
      <c r="J750">
        <v>2</v>
      </c>
      <c r="K750" t="s">
        <v>41</v>
      </c>
      <c r="L750" t="s">
        <v>42</v>
      </c>
      <c r="M750" t="s">
        <v>43</v>
      </c>
      <c r="N750" s="7">
        <v>1</v>
      </c>
      <c r="O750" s="8">
        <v>45530.803969907407</v>
      </c>
      <c r="P750" s="9">
        <v>45533</v>
      </c>
      <c r="Q750" t="s">
        <v>44</v>
      </c>
      <c r="R750" t="s">
        <v>45</v>
      </c>
      <c r="S750" t="s">
        <v>46</v>
      </c>
      <c r="T750" t="s">
        <v>59</v>
      </c>
      <c r="U750" t="s">
        <v>2260</v>
      </c>
      <c r="V750">
        <v>10150</v>
      </c>
      <c r="W750" t="s">
        <v>45</v>
      </c>
      <c r="X750" t="s">
        <v>609</v>
      </c>
      <c r="Y750" t="s">
        <v>50</v>
      </c>
      <c r="Z750" s="10">
        <f t="shared" si="66"/>
        <v>9</v>
      </c>
      <c r="AA750" s="13">
        <v>0</v>
      </c>
      <c r="AB750" s="11">
        <v>-2</v>
      </c>
      <c r="AC750" s="13">
        <v>0</v>
      </c>
      <c r="AD750" s="13">
        <v>0</v>
      </c>
      <c r="AE750" s="13">
        <v>0</v>
      </c>
      <c r="AF750" s="11">
        <f t="shared" si="64"/>
        <v>0.42</v>
      </c>
      <c r="AG750" s="11">
        <f t="shared" si="65"/>
        <v>7.42</v>
      </c>
      <c r="AH750" t="s">
        <v>51</v>
      </c>
    </row>
    <row r="751" spans="1:34" ht="15" customHeight="1" x14ac:dyDescent="0.25">
      <c r="A751">
        <v>7547676</v>
      </c>
      <c r="B751" t="s">
        <v>34</v>
      </c>
      <c r="C751" t="s">
        <v>35</v>
      </c>
      <c r="D751" s="6" t="s">
        <v>34</v>
      </c>
      <c r="E751" t="s">
        <v>2261</v>
      </c>
      <c r="G751" t="s">
        <v>38</v>
      </c>
      <c r="H751" t="s">
        <v>2262</v>
      </c>
      <c r="I751" t="s">
        <v>40</v>
      </c>
      <c r="J751">
        <v>2</v>
      </c>
      <c r="K751" t="s">
        <v>41</v>
      </c>
      <c r="L751" t="s">
        <v>42</v>
      </c>
      <c r="M751" t="s">
        <v>43</v>
      </c>
      <c r="N751" s="7">
        <v>1</v>
      </c>
      <c r="O751" s="8">
        <v>45531.790995370371</v>
      </c>
      <c r="P751" s="9">
        <v>45534</v>
      </c>
      <c r="Q751" t="s">
        <v>44</v>
      </c>
      <c r="R751" t="s">
        <v>45</v>
      </c>
      <c r="S751" t="s">
        <v>46</v>
      </c>
      <c r="T751" t="s">
        <v>59</v>
      </c>
      <c r="U751" t="s">
        <v>2263</v>
      </c>
      <c r="V751">
        <v>12000</v>
      </c>
      <c r="W751" t="s">
        <v>45</v>
      </c>
      <c r="X751" t="s">
        <v>1301</v>
      </c>
      <c r="Y751" t="s">
        <v>50</v>
      </c>
      <c r="Z751" s="10">
        <f t="shared" si="66"/>
        <v>9</v>
      </c>
      <c r="AA751" s="13">
        <v>0</v>
      </c>
      <c r="AB751" s="11">
        <v>-2</v>
      </c>
      <c r="AC751" s="13">
        <v>0</v>
      </c>
      <c r="AD751" s="13">
        <v>0</v>
      </c>
      <c r="AE751" s="13">
        <v>0</v>
      </c>
      <c r="AF751" s="11">
        <f t="shared" si="64"/>
        <v>0.42</v>
      </c>
      <c r="AG751" s="11">
        <f t="shared" si="65"/>
        <v>7.42</v>
      </c>
      <c r="AH751" t="s">
        <v>51</v>
      </c>
    </row>
    <row r="752" spans="1:34" ht="15" customHeight="1" x14ac:dyDescent="0.25">
      <c r="A752">
        <v>7547676</v>
      </c>
      <c r="B752" t="s">
        <v>34</v>
      </c>
      <c r="C752" t="s">
        <v>35</v>
      </c>
      <c r="D752" s="6" t="s">
        <v>34</v>
      </c>
      <c r="E752" t="s">
        <v>2264</v>
      </c>
      <c r="G752" t="s">
        <v>38</v>
      </c>
      <c r="H752" t="s">
        <v>2265</v>
      </c>
      <c r="I752" t="s">
        <v>40</v>
      </c>
      <c r="J752">
        <v>2</v>
      </c>
      <c r="K752" t="s">
        <v>41</v>
      </c>
      <c r="L752" t="s">
        <v>42</v>
      </c>
      <c r="M752" t="s">
        <v>43</v>
      </c>
      <c r="N752" s="7">
        <v>1</v>
      </c>
      <c r="O752" s="8">
        <v>45533.514178240737</v>
      </c>
      <c r="P752" s="9">
        <v>45534</v>
      </c>
      <c r="Q752" t="s">
        <v>44</v>
      </c>
      <c r="R752" t="s">
        <v>45</v>
      </c>
      <c r="S752" t="s">
        <v>46</v>
      </c>
      <c r="T752" t="s">
        <v>92</v>
      </c>
      <c r="U752" t="s">
        <v>2266</v>
      </c>
      <c r="V752">
        <v>43000</v>
      </c>
      <c r="W752" t="s">
        <v>45</v>
      </c>
      <c r="X752" t="s">
        <v>187</v>
      </c>
      <c r="Y752" t="s">
        <v>50</v>
      </c>
      <c r="Z752" s="10">
        <f t="shared" si="66"/>
        <v>9</v>
      </c>
      <c r="AA752" s="13">
        <v>0</v>
      </c>
      <c r="AB752" s="11">
        <v>-2</v>
      </c>
      <c r="AC752" s="13">
        <v>0</v>
      </c>
      <c r="AD752" s="13">
        <v>0</v>
      </c>
      <c r="AE752" s="13">
        <v>0</v>
      </c>
      <c r="AF752" s="11">
        <f t="shared" si="64"/>
        <v>0.42</v>
      </c>
      <c r="AG752" s="11">
        <f t="shared" si="65"/>
        <v>7.42</v>
      </c>
      <c r="AH752" t="s">
        <v>51</v>
      </c>
    </row>
    <row r="753" spans="1:34" ht="15" customHeight="1" x14ac:dyDescent="0.25">
      <c r="A753">
        <v>7547676</v>
      </c>
      <c r="B753" t="s">
        <v>34</v>
      </c>
      <c r="C753" t="s">
        <v>35</v>
      </c>
      <c r="D753" s="6" t="s">
        <v>34</v>
      </c>
      <c r="E753" t="s">
        <v>2267</v>
      </c>
      <c r="G753" t="s">
        <v>38</v>
      </c>
      <c r="H753" t="s">
        <v>2268</v>
      </c>
      <c r="I753" t="s">
        <v>40</v>
      </c>
      <c r="J753">
        <v>2</v>
      </c>
      <c r="K753" t="s">
        <v>41</v>
      </c>
      <c r="L753" t="s">
        <v>42</v>
      </c>
      <c r="M753" t="s">
        <v>43</v>
      </c>
      <c r="N753" s="7">
        <v>4</v>
      </c>
      <c r="O753" s="8">
        <v>45533.458252314813</v>
      </c>
      <c r="P753" s="9">
        <v>45534</v>
      </c>
      <c r="Q753" t="s">
        <v>44</v>
      </c>
      <c r="R753" t="s">
        <v>45</v>
      </c>
      <c r="S753" t="s">
        <v>46</v>
      </c>
      <c r="T753" t="s">
        <v>223</v>
      </c>
      <c r="U753" t="s">
        <v>2269</v>
      </c>
      <c r="V753">
        <v>26100</v>
      </c>
      <c r="W753" t="s">
        <v>45</v>
      </c>
      <c r="X753" t="s">
        <v>2233</v>
      </c>
      <c r="Y753" t="s">
        <v>50</v>
      </c>
      <c r="Z753" s="10">
        <f t="shared" si="66"/>
        <v>11.4</v>
      </c>
      <c r="AA753" s="13">
        <v>0</v>
      </c>
      <c r="AB753" s="11">
        <v>-2</v>
      </c>
      <c r="AC753" s="13">
        <v>0</v>
      </c>
      <c r="AD753" s="13">
        <v>0</v>
      </c>
      <c r="AE753" s="13">
        <v>0</v>
      </c>
      <c r="AF753" s="11">
        <f t="shared" si="64"/>
        <v>0.56399999999999995</v>
      </c>
      <c r="AG753" s="11">
        <f t="shared" si="65"/>
        <v>9.9640000000000004</v>
      </c>
      <c r="AH753" t="s">
        <v>51</v>
      </c>
    </row>
    <row r="754" spans="1:34" ht="15" customHeight="1" x14ac:dyDescent="0.25">
      <c r="A754">
        <v>7547676</v>
      </c>
      <c r="B754" t="s">
        <v>34</v>
      </c>
      <c r="C754" t="s">
        <v>35</v>
      </c>
      <c r="D754" s="6" t="s">
        <v>34</v>
      </c>
      <c r="E754" t="s">
        <v>2270</v>
      </c>
      <c r="G754" t="s">
        <v>38</v>
      </c>
      <c r="H754" t="s">
        <v>2271</v>
      </c>
      <c r="I754" t="s">
        <v>40</v>
      </c>
      <c r="J754">
        <v>2</v>
      </c>
      <c r="K754" t="s">
        <v>41</v>
      </c>
      <c r="L754" t="s">
        <v>42</v>
      </c>
      <c r="M754" t="s">
        <v>43</v>
      </c>
      <c r="N754" s="7">
        <v>2</v>
      </c>
      <c r="O754" s="8">
        <v>45532.854398148149</v>
      </c>
      <c r="P754" s="9">
        <v>45534</v>
      </c>
      <c r="Q754" t="s">
        <v>44</v>
      </c>
      <c r="R754" t="s">
        <v>45</v>
      </c>
      <c r="S754" t="s">
        <v>46</v>
      </c>
      <c r="T754" t="s">
        <v>84</v>
      </c>
      <c r="U754" t="s">
        <v>2272</v>
      </c>
      <c r="V754">
        <v>18000</v>
      </c>
      <c r="W754" t="s">
        <v>45</v>
      </c>
      <c r="X754" t="s">
        <v>74</v>
      </c>
      <c r="Y754" t="s">
        <v>50</v>
      </c>
      <c r="Z754" s="10">
        <f t="shared" si="66"/>
        <v>9.8000000000000007</v>
      </c>
      <c r="AA754" s="13">
        <v>0</v>
      </c>
      <c r="AB754" s="11">
        <v>-2</v>
      </c>
      <c r="AC754" s="13">
        <v>0</v>
      </c>
      <c r="AD754" s="13">
        <v>0</v>
      </c>
      <c r="AE754" s="13">
        <v>0</v>
      </c>
      <c r="AF754" s="11">
        <f t="shared" si="64"/>
        <v>0.46800000000000003</v>
      </c>
      <c r="AG754" s="11">
        <f t="shared" si="65"/>
        <v>8.2680000000000007</v>
      </c>
      <c r="AH754" t="s">
        <v>51</v>
      </c>
    </row>
    <row r="755" spans="1:34" ht="15" customHeight="1" x14ac:dyDescent="0.25">
      <c r="A755">
        <v>7547676</v>
      </c>
      <c r="B755" t="s">
        <v>34</v>
      </c>
      <c r="C755" t="s">
        <v>35</v>
      </c>
      <c r="D755" s="6" t="s">
        <v>34</v>
      </c>
      <c r="E755" t="s">
        <v>2273</v>
      </c>
      <c r="G755" t="s">
        <v>38</v>
      </c>
      <c r="H755" t="s">
        <v>2274</v>
      </c>
      <c r="I755" t="s">
        <v>40</v>
      </c>
      <c r="J755">
        <v>2</v>
      </c>
      <c r="K755" t="s">
        <v>41</v>
      </c>
      <c r="L755" t="s">
        <v>42</v>
      </c>
      <c r="M755" t="s">
        <v>43</v>
      </c>
      <c r="N755" s="7">
        <v>1</v>
      </c>
      <c r="O755" s="8">
        <v>45531.804675925923</v>
      </c>
      <c r="P755" s="9">
        <v>45534</v>
      </c>
      <c r="Q755" t="s">
        <v>44</v>
      </c>
      <c r="R755" t="s">
        <v>45</v>
      </c>
      <c r="S755" t="s">
        <v>46</v>
      </c>
      <c r="T755" t="s">
        <v>54</v>
      </c>
      <c r="U755" t="s">
        <v>2275</v>
      </c>
      <c r="V755">
        <v>82200</v>
      </c>
      <c r="W755" t="s">
        <v>45</v>
      </c>
      <c r="X755" t="s">
        <v>56</v>
      </c>
      <c r="Y755" t="s">
        <v>50</v>
      </c>
      <c r="Z755" s="10">
        <f t="shared" si="66"/>
        <v>9</v>
      </c>
      <c r="AA755" s="13">
        <v>0</v>
      </c>
      <c r="AB755" s="11">
        <v>-2</v>
      </c>
      <c r="AC755" s="13">
        <v>0</v>
      </c>
      <c r="AD755" s="13">
        <v>0</v>
      </c>
      <c r="AE755" s="13">
        <v>0</v>
      </c>
      <c r="AF755" s="11">
        <f t="shared" si="64"/>
        <v>0.42</v>
      </c>
      <c r="AG755" s="11">
        <f t="shared" si="65"/>
        <v>7.42</v>
      </c>
      <c r="AH755" t="s">
        <v>51</v>
      </c>
    </row>
    <row r="756" spans="1:34" ht="15" customHeight="1" x14ac:dyDescent="0.25">
      <c r="A756">
        <v>7547676</v>
      </c>
      <c r="B756" t="s">
        <v>34</v>
      </c>
      <c r="C756" t="s">
        <v>35</v>
      </c>
      <c r="D756" s="6" t="s">
        <v>34</v>
      </c>
      <c r="E756" t="s">
        <v>2276</v>
      </c>
      <c r="G756" t="s">
        <v>38</v>
      </c>
      <c r="H756" t="s">
        <v>2277</v>
      </c>
      <c r="I756" t="s">
        <v>40</v>
      </c>
      <c r="J756">
        <v>2</v>
      </c>
      <c r="K756" t="s">
        <v>41</v>
      </c>
      <c r="L756" t="s">
        <v>42</v>
      </c>
      <c r="M756" t="s">
        <v>43</v>
      </c>
      <c r="N756" s="7">
        <v>1</v>
      </c>
      <c r="O756" s="8">
        <v>45533.451168981483</v>
      </c>
      <c r="P756" s="9">
        <v>45534</v>
      </c>
      <c r="Q756" t="s">
        <v>44</v>
      </c>
      <c r="R756" t="s">
        <v>45</v>
      </c>
      <c r="S756" t="s">
        <v>46</v>
      </c>
      <c r="T756" t="s">
        <v>84</v>
      </c>
      <c r="U756" t="s">
        <v>2278</v>
      </c>
      <c r="V756">
        <v>15350</v>
      </c>
      <c r="W756" t="s">
        <v>45</v>
      </c>
      <c r="X756" t="s">
        <v>74</v>
      </c>
      <c r="Y756" t="s">
        <v>50</v>
      </c>
      <c r="Z756" s="10">
        <f t="shared" si="66"/>
        <v>9</v>
      </c>
      <c r="AA756" s="13">
        <v>0</v>
      </c>
      <c r="AB756" s="11">
        <v>-2</v>
      </c>
      <c r="AC756" s="13">
        <v>0</v>
      </c>
      <c r="AD756" s="13">
        <v>0</v>
      </c>
      <c r="AE756" s="13">
        <v>0</v>
      </c>
      <c r="AF756" s="11">
        <f t="shared" si="64"/>
        <v>0.42</v>
      </c>
      <c r="AG756" s="11">
        <f t="shared" si="65"/>
        <v>7.42</v>
      </c>
      <c r="AH756" t="s">
        <v>51</v>
      </c>
    </row>
    <row r="757" spans="1:34" ht="15" customHeight="1" x14ac:dyDescent="0.25">
      <c r="A757">
        <v>7547676</v>
      </c>
      <c r="B757" t="s">
        <v>34</v>
      </c>
      <c r="C757" t="s">
        <v>35</v>
      </c>
      <c r="D757" s="6" t="s">
        <v>34</v>
      </c>
      <c r="E757" t="s">
        <v>2279</v>
      </c>
      <c r="G757" t="s">
        <v>38</v>
      </c>
      <c r="H757" t="s">
        <v>454</v>
      </c>
      <c r="I757" t="s">
        <v>40</v>
      </c>
      <c r="J757">
        <v>2</v>
      </c>
      <c r="K757" t="s">
        <v>41</v>
      </c>
      <c r="L757" t="s">
        <v>42</v>
      </c>
      <c r="M757" t="s">
        <v>43</v>
      </c>
      <c r="N757" s="7">
        <v>4</v>
      </c>
      <c r="O757" s="8">
        <v>45531.839965277781</v>
      </c>
      <c r="P757" s="9">
        <v>45534</v>
      </c>
      <c r="Q757" t="s">
        <v>44</v>
      </c>
      <c r="R757" t="s">
        <v>45</v>
      </c>
      <c r="S757" t="s">
        <v>46</v>
      </c>
      <c r="T757" t="s">
        <v>54</v>
      </c>
      <c r="U757" t="s">
        <v>547</v>
      </c>
      <c r="V757">
        <v>81750</v>
      </c>
      <c r="W757" t="s">
        <v>45</v>
      </c>
      <c r="X757" t="s">
        <v>65</v>
      </c>
      <c r="Y757" t="s">
        <v>50</v>
      </c>
      <c r="Z757" s="10">
        <f t="shared" si="66"/>
        <v>11.4</v>
      </c>
      <c r="AA757" s="13">
        <v>0</v>
      </c>
      <c r="AB757" s="11">
        <v>-2</v>
      </c>
      <c r="AC757" s="13">
        <v>0</v>
      </c>
      <c r="AD757" s="13">
        <v>0</v>
      </c>
      <c r="AE757" s="13">
        <v>0</v>
      </c>
      <c r="AF757" s="11">
        <f t="shared" si="64"/>
        <v>0.56399999999999995</v>
      </c>
      <c r="AG757" s="11">
        <f t="shared" si="65"/>
        <v>9.9640000000000004</v>
      </c>
      <c r="AH757" t="s">
        <v>51</v>
      </c>
    </row>
    <row r="758" spans="1:34" ht="15" customHeight="1" x14ac:dyDescent="0.25">
      <c r="A758">
        <v>7547676</v>
      </c>
      <c r="B758" t="s">
        <v>34</v>
      </c>
      <c r="C758" t="s">
        <v>35</v>
      </c>
      <c r="D758" s="6" t="s">
        <v>34</v>
      </c>
      <c r="E758" t="s">
        <v>2280</v>
      </c>
      <c r="G758" t="s">
        <v>38</v>
      </c>
      <c r="H758" t="s">
        <v>2281</v>
      </c>
      <c r="I758" t="s">
        <v>40</v>
      </c>
      <c r="J758">
        <v>2</v>
      </c>
      <c r="K758" t="s">
        <v>41</v>
      </c>
      <c r="L758" t="s">
        <v>42</v>
      </c>
      <c r="M758" t="s">
        <v>43</v>
      </c>
      <c r="N758" s="7">
        <v>1</v>
      </c>
      <c r="O758" s="8">
        <v>45531.8046875</v>
      </c>
      <c r="P758" s="9">
        <v>45534</v>
      </c>
      <c r="Q758" t="s">
        <v>44</v>
      </c>
      <c r="R758" t="s">
        <v>45</v>
      </c>
      <c r="S758" t="s">
        <v>46</v>
      </c>
      <c r="T758" t="s">
        <v>107</v>
      </c>
      <c r="U758" t="s">
        <v>2282</v>
      </c>
      <c r="V758">
        <v>9600</v>
      </c>
      <c r="W758" t="s">
        <v>45</v>
      </c>
      <c r="X758" t="s">
        <v>126</v>
      </c>
      <c r="Y758" t="s">
        <v>50</v>
      </c>
      <c r="Z758" s="10">
        <f t="shared" si="66"/>
        <v>9</v>
      </c>
      <c r="AA758" s="13">
        <v>0</v>
      </c>
      <c r="AB758" s="11">
        <v>-2</v>
      </c>
      <c r="AC758" s="13">
        <v>0</v>
      </c>
      <c r="AD758" s="13">
        <v>0</v>
      </c>
      <c r="AE758" s="13">
        <v>0</v>
      </c>
      <c r="AF758" s="11">
        <f t="shared" si="64"/>
        <v>0.42</v>
      </c>
      <c r="AG758" s="11">
        <f t="shared" si="65"/>
        <v>7.42</v>
      </c>
      <c r="AH758" t="s">
        <v>51</v>
      </c>
    </row>
    <row r="759" spans="1:34" ht="15" customHeight="1" x14ac:dyDescent="0.25">
      <c r="A759">
        <v>7547676</v>
      </c>
      <c r="B759" t="s">
        <v>34</v>
      </c>
      <c r="C759" t="s">
        <v>35</v>
      </c>
      <c r="D759" s="6" t="s">
        <v>34</v>
      </c>
      <c r="E759" t="s">
        <v>2283</v>
      </c>
      <c r="G759" t="s">
        <v>38</v>
      </c>
      <c r="H759" t="s">
        <v>2284</v>
      </c>
      <c r="I759" t="s">
        <v>40</v>
      </c>
      <c r="J759">
        <v>2</v>
      </c>
      <c r="K759" t="s">
        <v>41</v>
      </c>
      <c r="L759" t="s">
        <v>42</v>
      </c>
      <c r="M759" t="s">
        <v>43</v>
      </c>
      <c r="N759" s="7">
        <v>3</v>
      </c>
      <c r="O759" s="8">
        <v>45532.790486111109</v>
      </c>
      <c r="P759" s="9">
        <v>45534</v>
      </c>
      <c r="Q759" t="s">
        <v>44</v>
      </c>
      <c r="R759" t="s">
        <v>45</v>
      </c>
      <c r="S759" t="s">
        <v>46</v>
      </c>
      <c r="T759" t="s">
        <v>223</v>
      </c>
      <c r="U759" t="s">
        <v>2285</v>
      </c>
      <c r="V759">
        <v>25250</v>
      </c>
      <c r="W759" t="s">
        <v>45</v>
      </c>
      <c r="X759" t="s">
        <v>1016</v>
      </c>
      <c r="Y759" t="s">
        <v>50</v>
      </c>
      <c r="Z759" s="10">
        <f t="shared" si="66"/>
        <v>10.6</v>
      </c>
      <c r="AA759" s="13">
        <v>0</v>
      </c>
      <c r="AB759" s="11">
        <v>-2</v>
      </c>
      <c r="AC759" s="13">
        <v>0</v>
      </c>
      <c r="AD759" s="13">
        <v>0</v>
      </c>
      <c r="AE759" s="13">
        <v>0</v>
      </c>
      <c r="AF759" s="11">
        <f t="shared" si="64"/>
        <v>0.51600000000000001</v>
      </c>
      <c r="AG759" s="11">
        <f t="shared" si="65"/>
        <v>9.1159999999999997</v>
      </c>
      <c r="AH759" t="s">
        <v>51</v>
      </c>
    </row>
    <row r="760" spans="1:34" ht="15" customHeight="1" x14ac:dyDescent="0.25">
      <c r="A760">
        <v>7547676</v>
      </c>
      <c r="B760" t="s">
        <v>34</v>
      </c>
      <c r="C760" t="s">
        <v>35</v>
      </c>
      <c r="D760" s="6" t="s">
        <v>34</v>
      </c>
      <c r="E760" t="s">
        <v>2286</v>
      </c>
      <c r="G760" t="s">
        <v>38</v>
      </c>
      <c r="H760" t="s">
        <v>2287</v>
      </c>
      <c r="I760" t="s">
        <v>40</v>
      </c>
      <c r="J760">
        <v>2</v>
      </c>
      <c r="K760" t="s">
        <v>41</v>
      </c>
      <c r="L760" t="s">
        <v>42</v>
      </c>
      <c r="M760" t="s">
        <v>43</v>
      </c>
      <c r="N760" s="7">
        <v>1</v>
      </c>
      <c r="O760" s="8">
        <v>45533.461377314816</v>
      </c>
      <c r="P760" s="9">
        <v>45534</v>
      </c>
      <c r="Q760" t="s">
        <v>44</v>
      </c>
      <c r="R760" t="s">
        <v>45</v>
      </c>
      <c r="S760" t="s">
        <v>46</v>
      </c>
      <c r="T760" t="s">
        <v>223</v>
      </c>
      <c r="U760" t="s">
        <v>2288</v>
      </c>
      <c r="V760">
        <v>28000</v>
      </c>
      <c r="W760" t="s">
        <v>45</v>
      </c>
      <c r="X760" t="s">
        <v>225</v>
      </c>
      <c r="Y760" t="s">
        <v>50</v>
      </c>
      <c r="Z760" s="10">
        <f t="shared" si="66"/>
        <v>9</v>
      </c>
      <c r="AA760" s="13">
        <v>0</v>
      </c>
      <c r="AB760" s="11">
        <v>-2</v>
      </c>
      <c r="AC760" s="13">
        <v>0</v>
      </c>
      <c r="AD760" s="13">
        <v>0</v>
      </c>
      <c r="AE760" s="13">
        <v>0</v>
      </c>
      <c r="AF760" s="11">
        <f t="shared" si="64"/>
        <v>0.42</v>
      </c>
      <c r="AG760" s="11">
        <f t="shared" si="65"/>
        <v>7.42</v>
      </c>
      <c r="AH760" t="s">
        <v>51</v>
      </c>
    </row>
    <row r="761" spans="1:34" ht="15" customHeight="1" x14ac:dyDescent="0.25">
      <c r="A761">
        <v>7547676</v>
      </c>
      <c r="B761" t="s">
        <v>34</v>
      </c>
      <c r="C761" t="s">
        <v>35</v>
      </c>
      <c r="D761" s="6" t="s">
        <v>34</v>
      </c>
      <c r="E761" t="s">
        <v>2289</v>
      </c>
      <c r="G761" t="s">
        <v>38</v>
      </c>
      <c r="H761" t="s">
        <v>1427</v>
      </c>
      <c r="I761" t="s">
        <v>40</v>
      </c>
      <c r="J761">
        <v>2</v>
      </c>
      <c r="K761" t="s">
        <v>41</v>
      </c>
      <c r="L761" t="s">
        <v>42</v>
      </c>
      <c r="M761" t="s">
        <v>43</v>
      </c>
      <c r="N761" s="7">
        <v>1</v>
      </c>
      <c r="O761" s="8">
        <v>45529.83761574074</v>
      </c>
      <c r="P761" s="9">
        <v>45534</v>
      </c>
      <c r="Q761" t="s">
        <v>44</v>
      </c>
      <c r="R761" t="s">
        <v>45</v>
      </c>
      <c r="S761" t="s">
        <v>46</v>
      </c>
      <c r="T761" t="s">
        <v>116</v>
      </c>
      <c r="U761" t="s">
        <v>1428</v>
      </c>
      <c r="V761">
        <v>88300</v>
      </c>
      <c r="W761" t="s">
        <v>118</v>
      </c>
      <c r="X761" t="s">
        <v>69</v>
      </c>
      <c r="Y761" t="s">
        <v>50</v>
      </c>
      <c r="Z761" s="12">
        <f>IF(N761&lt;=1,13,IF(N761&lt;=2,23,IF(N761&lt;=3,35,IF(N761&lt;=4,43,IF(N761&lt;=5,53,IF(N761&lt;=6,63,IF(N761&lt;=7,71,IF(N761&lt;=8,79,IF(N761&lt;=9,87,IF(N761&lt;=10,95,IF(N761&lt;=11,105,IF(N761&lt;=12,114,IF(N761&lt;=13,119,IF(N761&lt;=14,127,IF(N761&lt;=15,135,IF(N761&lt;=16,143,IF(N761&lt;=17,153,IF(N761&lt;=18,163,IF(N761&lt;=19,171,IF(N761&lt;=20,185,IF(N761&lt;=21,193,IF(N761&lt;=22,201,IF(N761&lt;=23,210,IF(N761&lt;=24,220,IF(N761&lt;=25,230,IF(N761&lt;=26,240,IF(N761&lt;=27,250,IF(N761&lt;=28,260,IF(N761&lt;=29,270,IF(N761&lt;=30,280,280+10*ROUNDUP(N761-30,0)))))))))))))))))))))))))))))))</f>
        <v>13</v>
      </c>
      <c r="AA761" s="13">
        <v>0</v>
      </c>
      <c r="AB761" s="11">
        <v>0</v>
      </c>
      <c r="AC761" s="13">
        <v>0</v>
      </c>
      <c r="AD761" s="13">
        <v>0</v>
      </c>
      <c r="AE761" s="13">
        <v>0</v>
      </c>
      <c r="AF761" s="11">
        <f t="shared" si="64"/>
        <v>0.78</v>
      </c>
      <c r="AG761" s="11">
        <f t="shared" si="65"/>
        <v>13.78</v>
      </c>
      <c r="AH761" t="s">
        <v>119</v>
      </c>
    </row>
    <row r="762" spans="1:34" ht="15" customHeight="1" x14ac:dyDescent="0.25">
      <c r="A762">
        <v>7547676</v>
      </c>
      <c r="B762" t="s">
        <v>34</v>
      </c>
      <c r="C762" t="s">
        <v>35</v>
      </c>
      <c r="D762" s="6" t="s">
        <v>34</v>
      </c>
      <c r="E762" t="s">
        <v>2290</v>
      </c>
      <c r="G762" t="s">
        <v>38</v>
      </c>
      <c r="H762" t="s">
        <v>2291</v>
      </c>
      <c r="I762" t="s">
        <v>40</v>
      </c>
      <c r="J762">
        <v>2</v>
      </c>
      <c r="K762" t="s">
        <v>41</v>
      </c>
      <c r="L762" t="s">
        <v>42</v>
      </c>
      <c r="M762" t="s">
        <v>43</v>
      </c>
      <c r="N762" s="7">
        <v>1</v>
      </c>
      <c r="O762" s="8">
        <v>45531.80773148148</v>
      </c>
      <c r="P762" s="9">
        <v>45534</v>
      </c>
      <c r="Q762" t="s">
        <v>44</v>
      </c>
      <c r="R762" t="s">
        <v>45</v>
      </c>
      <c r="S762" t="s">
        <v>46</v>
      </c>
      <c r="T762" t="s">
        <v>54</v>
      </c>
      <c r="U762" t="s">
        <v>2292</v>
      </c>
      <c r="V762">
        <v>84000</v>
      </c>
      <c r="W762" t="s">
        <v>45</v>
      </c>
      <c r="X762" t="s">
        <v>81</v>
      </c>
      <c r="Y762" t="s">
        <v>50</v>
      </c>
      <c r="Z762" s="10">
        <f t="shared" ref="Z762:Z763" si="67">IF(N762&lt;=1,9,9+0.8*ROUNDUP(N762-1,0))</f>
        <v>9</v>
      </c>
      <c r="AA762" s="13">
        <v>0</v>
      </c>
      <c r="AB762" s="11">
        <v>-2</v>
      </c>
      <c r="AC762" s="13">
        <v>0</v>
      </c>
      <c r="AD762" s="13">
        <v>0</v>
      </c>
      <c r="AE762" s="13">
        <v>0</v>
      </c>
      <c r="AF762" s="11">
        <f t="shared" si="64"/>
        <v>0.42</v>
      </c>
      <c r="AG762" s="11">
        <f t="shared" si="65"/>
        <v>7.42</v>
      </c>
      <c r="AH762" t="s">
        <v>51</v>
      </c>
    </row>
    <row r="763" spans="1:34" ht="15" customHeight="1" x14ac:dyDescent="0.25">
      <c r="A763">
        <v>7547676</v>
      </c>
      <c r="B763" t="s">
        <v>34</v>
      </c>
      <c r="C763" t="s">
        <v>35</v>
      </c>
      <c r="D763" s="6" t="s">
        <v>34</v>
      </c>
      <c r="E763" t="s">
        <v>2293</v>
      </c>
      <c r="G763" t="s">
        <v>38</v>
      </c>
      <c r="H763" t="s">
        <v>2294</v>
      </c>
      <c r="I763" t="s">
        <v>40</v>
      </c>
      <c r="J763">
        <v>2</v>
      </c>
      <c r="K763" t="s">
        <v>41</v>
      </c>
      <c r="L763" t="s">
        <v>42</v>
      </c>
      <c r="M763" t="s">
        <v>43</v>
      </c>
      <c r="N763" s="7">
        <v>4</v>
      </c>
      <c r="O763" s="8">
        <v>45532.632025462961</v>
      </c>
      <c r="P763" s="9">
        <v>45534</v>
      </c>
      <c r="Q763" t="s">
        <v>44</v>
      </c>
      <c r="R763" t="s">
        <v>45</v>
      </c>
      <c r="S763" t="s">
        <v>46</v>
      </c>
      <c r="T763" t="s">
        <v>47</v>
      </c>
      <c r="U763" t="s">
        <v>2295</v>
      </c>
      <c r="V763">
        <v>31500</v>
      </c>
      <c r="W763" t="s">
        <v>45</v>
      </c>
      <c r="X763" t="s">
        <v>89</v>
      </c>
      <c r="Y763" t="s">
        <v>50</v>
      </c>
      <c r="Z763" s="10">
        <f t="shared" si="67"/>
        <v>11.4</v>
      </c>
      <c r="AA763" s="13">
        <v>0</v>
      </c>
      <c r="AB763" s="11">
        <v>-2</v>
      </c>
      <c r="AC763" s="13">
        <v>0</v>
      </c>
      <c r="AD763" s="13">
        <v>0</v>
      </c>
      <c r="AE763" s="13">
        <v>0</v>
      </c>
      <c r="AF763" s="11">
        <f t="shared" si="64"/>
        <v>0.56399999999999995</v>
      </c>
      <c r="AG763" s="11">
        <f t="shared" si="65"/>
        <v>9.9640000000000004</v>
      </c>
      <c r="AH763" t="s">
        <v>51</v>
      </c>
    </row>
    <row r="764" spans="1:34" ht="15" customHeight="1" x14ac:dyDescent="0.25">
      <c r="A764">
        <v>7547676</v>
      </c>
      <c r="B764" t="s">
        <v>34</v>
      </c>
      <c r="C764" t="s">
        <v>35</v>
      </c>
      <c r="D764" s="6" t="s">
        <v>34</v>
      </c>
      <c r="E764" t="s">
        <v>2296</v>
      </c>
      <c r="G764" t="s">
        <v>38</v>
      </c>
      <c r="H764" t="s">
        <v>2297</v>
      </c>
      <c r="I764" t="s">
        <v>40</v>
      </c>
      <c r="J764">
        <v>2</v>
      </c>
      <c r="K764" t="s">
        <v>41</v>
      </c>
      <c r="L764" t="s">
        <v>42</v>
      </c>
      <c r="M764" t="s">
        <v>43</v>
      </c>
      <c r="N764" s="7">
        <v>1</v>
      </c>
      <c r="O764" s="8">
        <v>45533.717361111114</v>
      </c>
      <c r="P764" s="9">
        <v>45534</v>
      </c>
      <c r="Q764" t="s">
        <v>44</v>
      </c>
      <c r="R764" t="s">
        <v>45</v>
      </c>
      <c r="S764" t="s">
        <v>46</v>
      </c>
      <c r="T764" t="s">
        <v>223</v>
      </c>
      <c r="U764" t="s">
        <v>2298</v>
      </c>
      <c r="V764">
        <v>26400</v>
      </c>
      <c r="W764" t="s">
        <v>45</v>
      </c>
      <c r="X764" t="s">
        <v>225</v>
      </c>
      <c r="Y764" t="s">
        <v>50</v>
      </c>
      <c r="Z764" s="10">
        <f>IF(N764&lt;=1,9,9+0.8*ROUNDUP(N764-1,0))</f>
        <v>9</v>
      </c>
      <c r="AA764" s="13">
        <v>0</v>
      </c>
      <c r="AB764" s="11">
        <v>-2</v>
      </c>
      <c r="AC764" s="13">
        <v>0</v>
      </c>
      <c r="AD764" s="13">
        <v>0</v>
      </c>
      <c r="AE764" s="13">
        <v>0</v>
      </c>
      <c r="AF764" s="11">
        <f t="shared" si="64"/>
        <v>0.42</v>
      </c>
      <c r="AG764" s="11">
        <f t="shared" si="65"/>
        <v>7.42</v>
      </c>
      <c r="AH764" t="s">
        <v>51</v>
      </c>
    </row>
    <row r="765" spans="1:34" ht="15" customHeight="1" x14ac:dyDescent="0.25">
      <c r="A765">
        <v>7547676</v>
      </c>
      <c r="B765" t="s">
        <v>34</v>
      </c>
      <c r="C765" t="s">
        <v>35</v>
      </c>
      <c r="D765" s="6" t="s">
        <v>34</v>
      </c>
      <c r="E765" t="s">
        <v>2299</v>
      </c>
      <c r="G765" t="s">
        <v>38</v>
      </c>
      <c r="H765" t="s">
        <v>2300</v>
      </c>
      <c r="I765" t="s">
        <v>40</v>
      </c>
      <c r="J765">
        <v>2</v>
      </c>
      <c r="K765" t="s">
        <v>41</v>
      </c>
      <c r="L765" t="s">
        <v>42</v>
      </c>
      <c r="M765" t="s">
        <v>43</v>
      </c>
      <c r="N765" s="7">
        <v>1</v>
      </c>
      <c r="O765" s="8">
        <v>45533.713055555556</v>
      </c>
      <c r="P765" s="9">
        <v>45534</v>
      </c>
      <c r="Q765" t="s">
        <v>44</v>
      </c>
      <c r="R765" t="s">
        <v>45</v>
      </c>
      <c r="S765" t="s">
        <v>46</v>
      </c>
      <c r="T765" t="s">
        <v>223</v>
      </c>
      <c r="U765" t="s">
        <v>2301</v>
      </c>
      <c r="V765">
        <v>26070</v>
      </c>
      <c r="W765" t="s">
        <v>45</v>
      </c>
      <c r="X765" t="s">
        <v>225</v>
      </c>
      <c r="Y765" t="s">
        <v>50</v>
      </c>
      <c r="Z765" s="10">
        <f t="shared" ref="Z765:Z770" si="68">IF(N765&lt;=1,9,9+0.8*ROUNDUP(N765-1,0))</f>
        <v>9</v>
      </c>
      <c r="AA765" s="13">
        <v>0</v>
      </c>
      <c r="AB765" s="11">
        <v>-2</v>
      </c>
      <c r="AC765" s="13">
        <v>0</v>
      </c>
      <c r="AD765" s="13">
        <v>0</v>
      </c>
      <c r="AE765" s="13">
        <v>0</v>
      </c>
      <c r="AF765" s="11">
        <f t="shared" si="64"/>
        <v>0.42</v>
      </c>
      <c r="AG765" s="11">
        <f t="shared" si="65"/>
        <v>7.42</v>
      </c>
      <c r="AH765" t="s">
        <v>51</v>
      </c>
    </row>
    <row r="766" spans="1:34" ht="15" customHeight="1" x14ac:dyDescent="0.25">
      <c r="A766">
        <v>7547676</v>
      </c>
      <c r="B766" t="s">
        <v>34</v>
      </c>
      <c r="C766" t="s">
        <v>35</v>
      </c>
      <c r="D766" s="6" t="s">
        <v>34</v>
      </c>
      <c r="E766" t="s">
        <v>2302</v>
      </c>
      <c r="G766" t="s">
        <v>38</v>
      </c>
      <c r="H766" t="s">
        <v>2303</v>
      </c>
      <c r="I766" t="s">
        <v>40</v>
      </c>
      <c r="J766">
        <v>2</v>
      </c>
      <c r="K766" t="s">
        <v>41</v>
      </c>
      <c r="L766" t="s">
        <v>42</v>
      </c>
      <c r="M766" t="s">
        <v>43</v>
      </c>
      <c r="N766" s="7">
        <v>1</v>
      </c>
      <c r="O766" s="8">
        <v>45531.804675925923</v>
      </c>
      <c r="P766" s="9">
        <v>45534</v>
      </c>
      <c r="Q766" t="s">
        <v>44</v>
      </c>
      <c r="R766" t="s">
        <v>45</v>
      </c>
      <c r="S766" t="s">
        <v>46</v>
      </c>
      <c r="T766" t="s">
        <v>47</v>
      </c>
      <c r="U766" t="s">
        <v>2304</v>
      </c>
      <c r="V766">
        <v>34010</v>
      </c>
      <c r="W766" t="s">
        <v>45</v>
      </c>
      <c r="X766" t="s">
        <v>285</v>
      </c>
      <c r="Y766" t="s">
        <v>50</v>
      </c>
      <c r="Z766" s="10">
        <f t="shared" si="68"/>
        <v>9</v>
      </c>
      <c r="AA766" s="13">
        <v>0</v>
      </c>
      <c r="AB766" s="11">
        <v>-2</v>
      </c>
      <c r="AC766" s="13">
        <v>0</v>
      </c>
      <c r="AD766" s="13">
        <v>0</v>
      </c>
      <c r="AE766" s="13">
        <v>0</v>
      </c>
      <c r="AF766" s="11">
        <f t="shared" si="64"/>
        <v>0.42</v>
      </c>
      <c r="AG766" s="11">
        <f t="shared" si="65"/>
        <v>7.42</v>
      </c>
      <c r="AH766" t="s">
        <v>51</v>
      </c>
    </row>
    <row r="767" spans="1:34" ht="15" customHeight="1" x14ac:dyDescent="0.25">
      <c r="A767">
        <v>7547676</v>
      </c>
      <c r="B767" t="s">
        <v>34</v>
      </c>
      <c r="C767" t="s">
        <v>35</v>
      </c>
      <c r="D767" s="6" t="s">
        <v>34</v>
      </c>
      <c r="E767" t="s">
        <v>2305</v>
      </c>
      <c r="G767" t="s">
        <v>38</v>
      </c>
      <c r="H767" t="s">
        <v>2306</v>
      </c>
      <c r="I767" t="s">
        <v>40</v>
      </c>
      <c r="J767">
        <v>2</v>
      </c>
      <c r="K767" t="s">
        <v>41</v>
      </c>
      <c r="L767" t="s">
        <v>42</v>
      </c>
      <c r="M767" t="s">
        <v>43</v>
      </c>
      <c r="N767" s="7">
        <v>1</v>
      </c>
      <c r="O767" s="8">
        <v>45531.790995370371</v>
      </c>
      <c r="P767" s="9">
        <v>45534</v>
      </c>
      <c r="Q767" t="s">
        <v>44</v>
      </c>
      <c r="R767" t="s">
        <v>45</v>
      </c>
      <c r="S767" t="s">
        <v>46</v>
      </c>
      <c r="T767" t="s">
        <v>54</v>
      </c>
      <c r="U767" t="s">
        <v>2307</v>
      </c>
      <c r="V767">
        <v>81100</v>
      </c>
      <c r="W767" t="s">
        <v>45</v>
      </c>
      <c r="X767" t="s">
        <v>370</v>
      </c>
      <c r="Y767" t="s">
        <v>50</v>
      </c>
      <c r="Z767" s="10">
        <f t="shared" si="68"/>
        <v>9</v>
      </c>
      <c r="AA767" s="13">
        <v>0</v>
      </c>
      <c r="AB767" s="11">
        <v>-2</v>
      </c>
      <c r="AC767" s="13">
        <v>0</v>
      </c>
      <c r="AD767" s="13">
        <v>0</v>
      </c>
      <c r="AE767" s="13">
        <v>0</v>
      </c>
      <c r="AF767" s="11">
        <f t="shared" si="64"/>
        <v>0.42</v>
      </c>
      <c r="AG767" s="11">
        <f t="shared" si="65"/>
        <v>7.42</v>
      </c>
      <c r="AH767" t="s">
        <v>51</v>
      </c>
    </row>
    <row r="768" spans="1:34" ht="15" customHeight="1" x14ac:dyDescent="0.25">
      <c r="A768">
        <v>7547676</v>
      </c>
      <c r="B768" t="s">
        <v>34</v>
      </c>
      <c r="C768" t="s">
        <v>35</v>
      </c>
      <c r="D768" s="6" t="s">
        <v>34</v>
      </c>
      <c r="E768" t="s">
        <v>2308</v>
      </c>
      <c r="G768" t="s">
        <v>38</v>
      </c>
      <c r="H768" t="s">
        <v>2309</v>
      </c>
      <c r="I768" t="s">
        <v>40</v>
      </c>
      <c r="J768">
        <v>2</v>
      </c>
      <c r="K768" t="s">
        <v>41</v>
      </c>
      <c r="L768" t="s">
        <v>42</v>
      </c>
      <c r="M768" t="s">
        <v>43</v>
      </c>
      <c r="N768" s="7">
        <v>1</v>
      </c>
      <c r="O768" s="8">
        <v>45532.745868055557</v>
      </c>
      <c r="P768" s="9">
        <v>45534</v>
      </c>
      <c r="Q768" t="s">
        <v>44</v>
      </c>
      <c r="R768" t="s">
        <v>45</v>
      </c>
      <c r="S768" t="s">
        <v>46</v>
      </c>
      <c r="T768" t="s">
        <v>92</v>
      </c>
      <c r="U768" t="s">
        <v>2310</v>
      </c>
      <c r="V768">
        <v>52200</v>
      </c>
      <c r="W768" t="s">
        <v>45</v>
      </c>
      <c r="X768" t="s">
        <v>69</v>
      </c>
      <c r="Y768" t="s">
        <v>50</v>
      </c>
      <c r="Z768" s="10">
        <f t="shared" si="68"/>
        <v>9</v>
      </c>
      <c r="AA768" s="13">
        <v>0</v>
      </c>
      <c r="AB768" s="11">
        <v>-2</v>
      </c>
      <c r="AC768" s="13">
        <v>0</v>
      </c>
      <c r="AD768" s="13">
        <v>0</v>
      </c>
      <c r="AE768" s="13">
        <v>0</v>
      </c>
      <c r="AF768" s="11">
        <f t="shared" si="64"/>
        <v>0.42</v>
      </c>
      <c r="AG768" s="11">
        <f t="shared" si="65"/>
        <v>7.42</v>
      </c>
      <c r="AH768" t="s">
        <v>51</v>
      </c>
    </row>
    <row r="769" spans="1:34" ht="15" customHeight="1" x14ac:dyDescent="0.25">
      <c r="A769">
        <v>7547676</v>
      </c>
      <c r="B769" t="s">
        <v>34</v>
      </c>
      <c r="C769" t="s">
        <v>35</v>
      </c>
      <c r="D769" s="6" t="s">
        <v>34</v>
      </c>
      <c r="E769" t="s">
        <v>2311</v>
      </c>
      <c r="G769" t="s">
        <v>38</v>
      </c>
      <c r="H769" t="s">
        <v>2312</v>
      </c>
      <c r="I769" t="s">
        <v>40</v>
      </c>
      <c r="J769">
        <v>2</v>
      </c>
      <c r="K769" t="s">
        <v>41</v>
      </c>
      <c r="L769" t="s">
        <v>42</v>
      </c>
      <c r="M769" t="s">
        <v>43</v>
      </c>
      <c r="N769" s="7">
        <v>1</v>
      </c>
      <c r="O769" s="8">
        <v>45532.75540509259</v>
      </c>
      <c r="P769" s="9">
        <v>45534</v>
      </c>
      <c r="Q769" t="s">
        <v>44</v>
      </c>
      <c r="R769" t="s">
        <v>45</v>
      </c>
      <c r="S769" t="s">
        <v>46</v>
      </c>
      <c r="T769" t="s">
        <v>92</v>
      </c>
      <c r="U769" t="s">
        <v>2313</v>
      </c>
      <c r="V769">
        <v>43900</v>
      </c>
      <c r="W769" t="s">
        <v>45</v>
      </c>
      <c r="X769" t="s">
        <v>1193</v>
      </c>
      <c r="Y769" t="s">
        <v>50</v>
      </c>
      <c r="Z769" s="10">
        <f t="shared" si="68"/>
        <v>9</v>
      </c>
      <c r="AA769" s="13">
        <v>0</v>
      </c>
      <c r="AB769" s="11">
        <v>-2</v>
      </c>
      <c r="AC769" s="13">
        <v>0</v>
      </c>
      <c r="AD769" s="13">
        <v>0</v>
      </c>
      <c r="AE769" s="13">
        <v>0</v>
      </c>
      <c r="AF769" s="11">
        <f t="shared" si="64"/>
        <v>0.42</v>
      </c>
      <c r="AG769" s="11">
        <f t="shared" si="65"/>
        <v>7.42</v>
      </c>
      <c r="AH769" t="s">
        <v>51</v>
      </c>
    </row>
    <row r="770" spans="1:34" ht="15" customHeight="1" x14ac:dyDescent="0.25">
      <c r="A770">
        <v>7547676</v>
      </c>
      <c r="B770" t="s">
        <v>34</v>
      </c>
      <c r="C770" t="s">
        <v>35</v>
      </c>
      <c r="D770" s="6" t="s">
        <v>34</v>
      </c>
      <c r="E770" t="s">
        <v>2314</v>
      </c>
      <c r="G770" t="s">
        <v>38</v>
      </c>
      <c r="H770" t="s">
        <v>2315</v>
      </c>
      <c r="I770" t="s">
        <v>40</v>
      </c>
      <c r="J770">
        <v>2</v>
      </c>
      <c r="K770" t="s">
        <v>41</v>
      </c>
      <c r="L770" t="s">
        <v>42</v>
      </c>
      <c r="M770" t="s">
        <v>43</v>
      </c>
      <c r="N770" s="7">
        <v>1</v>
      </c>
      <c r="O770" s="8">
        <v>45533.734444444446</v>
      </c>
      <c r="P770" s="9">
        <v>45534</v>
      </c>
      <c r="Q770" t="s">
        <v>44</v>
      </c>
      <c r="R770" t="s">
        <v>45</v>
      </c>
      <c r="S770" t="s">
        <v>46</v>
      </c>
      <c r="T770" t="s">
        <v>84</v>
      </c>
      <c r="U770" t="s">
        <v>2316</v>
      </c>
      <c r="V770">
        <v>16300</v>
      </c>
      <c r="W770" t="s">
        <v>45</v>
      </c>
      <c r="X770" t="s">
        <v>74</v>
      </c>
      <c r="Y770" t="s">
        <v>50</v>
      </c>
      <c r="Z770" s="10">
        <f t="shared" si="68"/>
        <v>9</v>
      </c>
      <c r="AA770" s="13">
        <v>0</v>
      </c>
      <c r="AB770" s="11">
        <v>-2</v>
      </c>
      <c r="AC770" s="13">
        <v>0</v>
      </c>
      <c r="AD770" s="13">
        <v>0</v>
      </c>
      <c r="AE770" s="13">
        <v>0</v>
      </c>
      <c r="AF770" s="11">
        <f t="shared" ref="AF770" si="69">(Z770+AB770+AC770+AE770)*6%</f>
        <v>0.42</v>
      </c>
      <c r="AG770" s="11">
        <f t="shared" ref="AG770" si="70">Z770+AB770+AC770+AE770+AF770</f>
        <v>7.42</v>
      </c>
      <c r="AH770" t="s">
        <v>51</v>
      </c>
    </row>
    <row r="772" spans="1:34" x14ac:dyDescent="0.25">
      <c r="Z772" s="13">
        <f>SUM(Z2:Z770)</f>
        <v>8253.4000000000106</v>
      </c>
      <c r="AA772" s="13">
        <f>SUM(AA2:AA770)</f>
        <v>0</v>
      </c>
      <c r="AB772" s="13">
        <f>SUM(AB2:AB770)</f>
        <v>-1486</v>
      </c>
      <c r="AC772" s="13">
        <f>SUM(AC2:AC770)</f>
        <v>0</v>
      </c>
      <c r="AD772" s="13">
        <f>SUM(AD2:AD770)</f>
        <v>6500</v>
      </c>
      <c r="AE772" s="13">
        <f>SUM(AE2:AE770)</f>
        <v>97.5</v>
      </c>
      <c r="AF772" s="13">
        <f>SUM(AF2:AF770)</f>
        <v>411.89400000000234</v>
      </c>
      <c r="AG772" s="13">
        <f>SUM(AG2:AG770)</f>
        <v>7276.7940000000199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Bukhari</dc:creator>
  <cp:lastModifiedBy>Ahmad Bukhari</cp:lastModifiedBy>
  <dcterms:created xsi:type="dcterms:W3CDTF">2024-09-04T10:52:47Z</dcterms:created>
  <dcterms:modified xsi:type="dcterms:W3CDTF">2024-09-04T10:52:47Z</dcterms:modified>
</cp:coreProperties>
</file>