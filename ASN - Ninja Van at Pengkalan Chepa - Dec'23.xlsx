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JAVAN\BILLING 2023\Dec'23\Billing\ASN\Split file\ASN Walk-in\"/>
    </mc:Choice>
  </mc:AlternateContent>
  <xr:revisionPtr revIDLastSave="0" documentId="8_{DB5FB0B6-1B26-49E2-877A-F7A1C690E632}" xr6:coauthVersionLast="47" xr6:coauthVersionMax="47" xr10:uidLastSave="{00000000-0000-0000-0000-000000000000}"/>
  <bookViews>
    <workbookView xWindow="-110" yWindow="490" windowWidth="19420" windowHeight="10420" xr2:uid="{25B25C37-8D06-4CBC-BF56-4FB392500A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20" i="1" l="1"/>
  <c r="AF620" i="1"/>
  <c r="AE620" i="1"/>
  <c r="AD620" i="1"/>
  <c r="AC620" i="1"/>
  <c r="AB620" i="1"/>
  <c r="AA620" i="1"/>
  <c r="AA618" i="1"/>
  <c r="AA617" i="1"/>
  <c r="AA616" i="1"/>
  <c r="AF615" i="1"/>
  <c r="AA615" i="1"/>
  <c r="AG615" i="1" s="1"/>
  <c r="AF614" i="1"/>
  <c r="AA614" i="1"/>
  <c r="AF613" i="1"/>
  <c r="AG613" i="1" s="1"/>
  <c r="AA613" i="1"/>
  <c r="AG612" i="1"/>
  <c r="AF612" i="1"/>
  <c r="AA612" i="1"/>
  <c r="AA611" i="1"/>
  <c r="AF611" i="1" s="1"/>
  <c r="AG611" i="1" s="1"/>
  <c r="AA610" i="1"/>
  <c r="AA609" i="1"/>
  <c r="AA608" i="1"/>
  <c r="AF607" i="1"/>
  <c r="AA607" i="1"/>
  <c r="AG607" i="1" s="1"/>
  <c r="AF606" i="1"/>
  <c r="AG606" i="1" s="1"/>
  <c r="AA606" i="1"/>
  <c r="AF605" i="1"/>
  <c r="AG605" i="1" s="1"/>
  <c r="AA605" i="1"/>
  <c r="AG604" i="1"/>
  <c r="AF604" i="1"/>
  <c r="AA604" i="1"/>
  <c r="AG603" i="1"/>
  <c r="AA603" i="1"/>
  <c r="AF603" i="1" s="1"/>
  <c r="AA602" i="1"/>
  <c r="AA601" i="1"/>
  <c r="AA600" i="1"/>
  <c r="AF599" i="1"/>
  <c r="AA599" i="1"/>
  <c r="AG599" i="1" s="1"/>
  <c r="AF598" i="1"/>
  <c r="AG598" i="1" s="1"/>
  <c r="AA598" i="1"/>
  <c r="AF597" i="1"/>
  <c r="AG597" i="1" s="1"/>
  <c r="AA597" i="1"/>
  <c r="AG596" i="1"/>
  <c r="AF596" i="1"/>
  <c r="AA596" i="1"/>
  <c r="AA595" i="1"/>
  <c r="AF595" i="1" s="1"/>
  <c r="AG595" i="1" s="1"/>
  <c r="AA594" i="1"/>
  <c r="AA593" i="1"/>
  <c r="AA592" i="1"/>
  <c r="AF591" i="1"/>
  <c r="AA591" i="1"/>
  <c r="AG591" i="1" s="1"/>
  <c r="AF590" i="1"/>
  <c r="AG590" i="1" s="1"/>
  <c r="AA590" i="1"/>
  <c r="AF589" i="1"/>
  <c r="AA589" i="1"/>
  <c r="AG589" i="1" s="1"/>
  <c r="AA588" i="1"/>
  <c r="AF588" i="1" s="1"/>
  <c r="AG588" i="1" s="1"/>
  <c r="AA587" i="1"/>
  <c r="AF587" i="1" s="1"/>
  <c r="AG587" i="1" s="1"/>
  <c r="AA586" i="1"/>
  <c r="AA585" i="1"/>
  <c r="AA584" i="1"/>
  <c r="AF583" i="1"/>
  <c r="AG583" i="1" s="1"/>
  <c r="AA583" i="1"/>
  <c r="AF582" i="1"/>
  <c r="AA582" i="1"/>
  <c r="AG582" i="1" s="1"/>
  <c r="AA581" i="1"/>
  <c r="AF581" i="1" s="1"/>
  <c r="AA580" i="1"/>
  <c r="AF580" i="1" s="1"/>
  <c r="AG580" i="1" s="1"/>
  <c r="AG579" i="1"/>
  <c r="AA579" i="1"/>
  <c r="AF579" i="1" s="1"/>
  <c r="AA578" i="1"/>
  <c r="AA577" i="1"/>
  <c r="AA576" i="1"/>
  <c r="AF575" i="1"/>
  <c r="AG575" i="1" s="1"/>
  <c r="AA575" i="1"/>
  <c r="AF574" i="1"/>
  <c r="AG574" i="1" s="1"/>
  <c r="AA574" i="1"/>
  <c r="AA573" i="1"/>
  <c r="AF573" i="1" s="1"/>
  <c r="AA572" i="1"/>
  <c r="AF572" i="1" s="1"/>
  <c r="AG572" i="1" s="1"/>
  <c r="AA571" i="1"/>
  <c r="AF571" i="1" s="1"/>
  <c r="AG571" i="1" s="1"/>
  <c r="AA570" i="1"/>
  <c r="AA569" i="1"/>
  <c r="AA568" i="1"/>
  <c r="AA567" i="1"/>
  <c r="AF566" i="1"/>
  <c r="AA566" i="1"/>
  <c r="AG566" i="1" s="1"/>
  <c r="AA565" i="1"/>
  <c r="AF565" i="1" s="1"/>
  <c r="AA564" i="1"/>
  <c r="AG563" i="1"/>
  <c r="AA563" i="1"/>
  <c r="AF563" i="1" s="1"/>
  <c r="AA562" i="1"/>
  <c r="AA561" i="1"/>
  <c r="AF560" i="1"/>
  <c r="AA560" i="1"/>
  <c r="AG560" i="1" s="1"/>
  <c r="AA559" i="1"/>
  <c r="AF558" i="1"/>
  <c r="AA558" i="1"/>
  <c r="AG558" i="1" s="1"/>
  <c r="AG557" i="1"/>
  <c r="AF557" i="1"/>
  <c r="AA557" i="1"/>
  <c r="AA556" i="1"/>
  <c r="AA555" i="1"/>
  <c r="AF555" i="1" s="1"/>
  <c r="AG555" i="1" s="1"/>
  <c r="AA554" i="1"/>
  <c r="AA553" i="1"/>
  <c r="AA552" i="1"/>
  <c r="AA551" i="1"/>
  <c r="AF550" i="1"/>
  <c r="AA550" i="1"/>
  <c r="AF549" i="1"/>
  <c r="AG549" i="1" s="1"/>
  <c r="AA549" i="1"/>
  <c r="AA548" i="1"/>
  <c r="AA547" i="1"/>
  <c r="AF547" i="1" s="1"/>
  <c r="AG547" i="1" s="1"/>
  <c r="AA546" i="1"/>
  <c r="AF546" i="1" s="1"/>
  <c r="AG546" i="1" s="1"/>
  <c r="AA545" i="1"/>
  <c r="AA544" i="1"/>
  <c r="AA543" i="1"/>
  <c r="AF542" i="1"/>
  <c r="AA542" i="1"/>
  <c r="AG542" i="1" s="1"/>
  <c r="AA541" i="1"/>
  <c r="AF541" i="1" s="1"/>
  <c r="AA540" i="1"/>
  <c r="AA539" i="1"/>
  <c r="AF539" i="1" s="1"/>
  <c r="AG539" i="1" s="1"/>
  <c r="AA538" i="1"/>
  <c r="AA537" i="1"/>
  <c r="AF536" i="1"/>
  <c r="AG536" i="1" s="1"/>
  <c r="AA536" i="1"/>
  <c r="AA535" i="1"/>
  <c r="AF534" i="1"/>
  <c r="AA534" i="1"/>
  <c r="AA533" i="1"/>
  <c r="AF533" i="1" s="1"/>
  <c r="AG533" i="1" s="1"/>
  <c r="AA532" i="1"/>
  <c r="AG531" i="1"/>
  <c r="AA531" i="1"/>
  <c r="AF531" i="1" s="1"/>
  <c r="AF530" i="1"/>
  <c r="AA530" i="1"/>
  <c r="AG530" i="1" s="1"/>
  <c r="AA529" i="1"/>
  <c r="AF528" i="1"/>
  <c r="AG528" i="1" s="1"/>
  <c r="AA528" i="1"/>
  <c r="AA527" i="1"/>
  <c r="AF526" i="1"/>
  <c r="AA526" i="1"/>
  <c r="AA525" i="1"/>
  <c r="AF525" i="1" s="1"/>
  <c r="AG525" i="1" s="1"/>
  <c r="AA524" i="1"/>
  <c r="AG523" i="1"/>
  <c r="AA523" i="1"/>
  <c r="AF523" i="1" s="1"/>
  <c r="AF522" i="1"/>
  <c r="AA522" i="1"/>
  <c r="AG522" i="1" s="1"/>
  <c r="AA521" i="1"/>
  <c r="AF520" i="1"/>
  <c r="AG520" i="1" s="1"/>
  <c r="AA520" i="1"/>
  <c r="AA519" i="1"/>
  <c r="AF518" i="1"/>
  <c r="AA518" i="1"/>
  <c r="AA517" i="1"/>
  <c r="AF517" i="1" s="1"/>
  <c r="AA516" i="1"/>
  <c r="AG515" i="1"/>
  <c r="AA515" i="1"/>
  <c r="AF515" i="1" s="1"/>
  <c r="AA514" i="1"/>
  <c r="AA513" i="1"/>
  <c r="AA512" i="1"/>
  <c r="AA511" i="1"/>
  <c r="AF510" i="1"/>
  <c r="AG510" i="1" s="1"/>
  <c r="AA510" i="1"/>
  <c r="AA509" i="1"/>
  <c r="AF509" i="1" s="1"/>
  <c r="AA508" i="1"/>
  <c r="AA507" i="1"/>
  <c r="AF507" i="1" s="1"/>
  <c r="AG507" i="1" s="1"/>
  <c r="AA506" i="1"/>
  <c r="AA505" i="1"/>
  <c r="AA504" i="1"/>
  <c r="AF503" i="1"/>
  <c r="AG503" i="1" s="1"/>
  <c r="AA503" i="1"/>
  <c r="AF502" i="1"/>
  <c r="AA502" i="1"/>
  <c r="AA501" i="1"/>
  <c r="AF501" i="1" s="1"/>
  <c r="AA500" i="1"/>
  <c r="AF500" i="1" s="1"/>
  <c r="AG500" i="1" s="1"/>
  <c r="AA499" i="1"/>
  <c r="AF499" i="1" s="1"/>
  <c r="AG499" i="1" s="1"/>
  <c r="AA498" i="1"/>
  <c r="AA497" i="1"/>
  <c r="AA496" i="1"/>
  <c r="AF495" i="1"/>
  <c r="AA495" i="1"/>
  <c r="AG495" i="1" s="1"/>
  <c r="AF494" i="1"/>
  <c r="AA494" i="1"/>
  <c r="AA493" i="1"/>
  <c r="AF493" i="1" s="1"/>
  <c r="AA492" i="1"/>
  <c r="AF492" i="1" s="1"/>
  <c r="AG492" i="1" s="1"/>
  <c r="AG491" i="1"/>
  <c r="AA491" i="1"/>
  <c r="AF491" i="1" s="1"/>
  <c r="AA490" i="1"/>
  <c r="AA489" i="1"/>
  <c r="AF488" i="1"/>
  <c r="AA488" i="1"/>
  <c r="AG488" i="1" s="1"/>
  <c r="AF487" i="1"/>
  <c r="AA487" i="1"/>
  <c r="AG487" i="1" s="1"/>
  <c r="AF486" i="1"/>
  <c r="AA486" i="1"/>
  <c r="AA485" i="1"/>
  <c r="AF485" i="1" s="1"/>
  <c r="AG485" i="1" s="1"/>
  <c r="AA484" i="1"/>
  <c r="AF484" i="1" s="1"/>
  <c r="AG484" i="1" s="1"/>
  <c r="AG483" i="1"/>
  <c r="AA483" i="1"/>
  <c r="AF483" i="1" s="1"/>
  <c r="AA482" i="1"/>
  <c r="AA481" i="1"/>
  <c r="AA480" i="1"/>
  <c r="AF479" i="1"/>
  <c r="AA479" i="1"/>
  <c r="AG479" i="1" s="1"/>
  <c r="AF478" i="1"/>
  <c r="AA478" i="1"/>
  <c r="AG477" i="1"/>
  <c r="AF477" i="1"/>
  <c r="AA477" i="1"/>
  <c r="AG476" i="1"/>
  <c r="AF476" i="1"/>
  <c r="AA476" i="1"/>
  <c r="AA475" i="1"/>
  <c r="AF475" i="1" s="1"/>
  <c r="AG475" i="1" s="1"/>
  <c r="AA474" i="1"/>
  <c r="AA473" i="1"/>
  <c r="AF472" i="1"/>
  <c r="AA472" i="1"/>
  <c r="AG472" i="1" s="1"/>
  <c r="AF471" i="1"/>
  <c r="AA471" i="1"/>
  <c r="AG471" i="1" s="1"/>
  <c r="AF470" i="1"/>
  <c r="AA470" i="1"/>
  <c r="AG469" i="1"/>
  <c r="AF469" i="1"/>
  <c r="AA469" i="1"/>
  <c r="AA468" i="1"/>
  <c r="AF468" i="1" s="1"/>
  <c r="AG468" i="1" s="1"/>
  <c r="AA467" i="1"/>
  <c r="AF467" i="1" s="1"/>
  <c r="AG467" i="1" s="1"/>
  <c r="AA466" i="1"/>
  <c r="AA465" i="1"/>
  <c r="AA464" i="1"/>
  <c r="AA463" i="1"/>
  <c r="AF462" i="1"/>
  <c r="AA462" i="1"/>
  <c r="AG462" i="1" s="1"/>
  <c r="AA461" i="1"/>
  <c r="AF461" i="1" s="1"/>
  <c r="AA460" i="1"/>
  <c r="AG459" i="1"/>
  <c r="AA459" i="1"/>
  <c r="AF459" i="1" s="1"/>
  <c r="AA458" i="1"/>
  <c r="AA457" i="1"/>
  <c r="AA456" i="1"/>
  <c r="AA455" i="1"/>
  <c r="AF454" i="1"/>
  <c r="AA454" i="1"/>
  <c r="AA453" i="1"/>
  <c r="AF453" i="1" s="1"/>
  <c r="AA452" i="1"/>
  <c r="AG451" i="1"/>
  <c r="AF451" i="1"/>
  <c r="AA451" i="1"/>
  <c r="AA450" i="1"/>
  <c r="AA449" i="1"/>
  <c r="AA448" i="1"/>
  <c r="AA447" i="1"/>
  <c r="AF446" i="1"/>
  <c r="AA446" i="1"/>
  <c r="AA445" i="1"/>
  <c r="AF445" i="1" s="1"/>
  <c r="AA444" i="1"/>
  <c r="AA443" i="1"/>
  <c r="AF443" i="1" s="1"/>
  <c r="AG443" i="1" s="1"/>
  <c r="AA442" i="1"/>
  <c r="AA441" i="1"/>
  <c r="AA440" i="1"/>
  <c r="AA439" i="1"/>
  <c r="AF438" i="1"/>
  <c r="AA438" i="1"/>
  <c r="AA437" i="1"/>
  <c r="AF437" i="1" s="1"/>
  <c r="AF436" i="1"/>
  <c r="AA436" i="1"/>
  <c r="AG436" i="1" s="1"/>
  <c r="AA435" i="1"/>
  <c r="AF435" i="1" s="1"/>
  <c r="AG435" i="1" s="1"/>
  <c r="AF434" i="1"/>
  <c r="AG434" i="1" s="1"/>
  <c r="AA434" i="1"/>
  <c r="AA433" i="1"/>
  <c r="AA432" i="1"/>
  <c r="AA431" i="1"/>
  <c r="AF430" i="1"/>
  <c r="AA430" i="1"/>
  <c r="AG430" i="1" s="1"/>
  <c r="AA429" i="1"/>
  <c r="AF429" i="1" s="1"/>
  <c r="AA428" i="1"/>
  <c r="AG427" i="1"/>
  <c r="AA427" i="1"/>
  <c r="AF427" i="1" s="1"/>
  <c r="AF426" i="1"/>
  <c r="AG426" i="1" s="1"/>
  <c r="AA426" i="1"/>
  <c r="AA425" i="1"/>
  <c r="AA424" i="1"/>
  <c r="AA423" i="1"/>
  <c r="AF422" i="1"/>
  <c r="AA422" i="1"/>
  <c r="AG422" i="1" s="1"/>
  <c r="AA421" i="1"/>
  <c r="AF421" i="1" s="1"/>
  <c r="AA420" i="1"/>
  <c r="AA419" i="1"/>
  <c r="AF419" i="1" s="1"/>
  <c r="AG419" i="1" s="1"/>
  <c r="AF418" i="1"/>
  <c r="AA418" i="1"/>
  <c r="AG418" i="1" s="1"/>
  <c r="AA417" i="1"/>
  <c r="AA416" i="1"/>
  <c r="AA415" i="1"/>
  <c r="AF414" i="1"/>
  <c r="AA414" i="1"/>
  <c r="AA413" i="1"/>
  <c r="AF413" i="1" s="1"/>
  <c r="AA412" i="1"/>
  <c r="AG411" i="1"/>
  <c r="AA411" i="1"/>
  <c r="AF411" i="1" s="1"/>
  <c r="AA410" i="1"/>
  <c r="AA409" i="1"/>
  <c r="AA408" i="1"/>
  <c r="AA407" i="1"/>
  <c r="AF406" i="1"/>
  <c r="AA406" i="1"/>
  <c r="AG406" i="1" s="1"/>
  <c r="AF405" i="1"/>
  <c r="AA405" i="1"/>
  <c r="AG405" i="1" s="1"/>
  <c r="AA404" i="1"/>
  <c r="AG403" i="1"/>
  <c r="AA403" i="1"/>
  <c r="AF403" i="1" s="1"/>
  <c r="AA402" i="1"/>
  <c r="AA401" i="1"/>
  <c r="AF400" i="1"/>
  <c r="AA400" i="1"/>
  <c r="AG400" i="1" s="1"/>
  <c r="AA399" i="1"/>
  <c r="AF398" i="1"/>
  <c r="AA398" i="1"/>
  <c r="AG398" i="1" s="1"/>
  <c r="AA397" i="1"/>
  <c r="AF397" i="1" s="1"/>
  <c r="AA396" i="1"/>
  <c r="AG395" i="1"/>
  <c r="AF395" i="1"/>
  <c r="AA395" i="1"/>
  <c r="AA394" i="1"/>
  <c r="AA393" i="1"/>
  <c r="AA392" i="1"/>
  <c r="AA391" i="1"/>
  <c r="AF390" i="1"/>
  <c r="AA390" i="1"/>
  <c r="AG390" i="1" s="1"/>
  <c r="AF389" i="1"/>
  <c r="AA389" i="1"/>
  <c r="AG389" i="1" s="1"/>
  <c r="AA388" i="1"/>
  <c r="AA387" i="1"/>
  <c r="AF387" i="1" s="1"/>
  <c r="AG387" i="1" s="1"/>
  <c r="AA386" i="1"/>
  <c r="AA385" i="1"/>
  <c r="AF384" i="1"/>
  <c r="AG384" i="1" s="1"/>
  <c r="AA384" i="1"/>
  <c r="AA383" i="1"/>
  <c r="AF382" i="1"/>
  <c r="AA382" i="1"/>
  <c r="AA381" i="1"/>
  <c r="AF381" i="1" s="1"/>
  <c r="AA380" i="1"/>
  <c r="AG379" i="1"/>
  <c r="AF379" i="1"/>
  <c r="AA379" i="1"/>
  <c r="AA378" i="1"/>
  <c r="AA377" i="1"/>
  <c r="AA376" i="1"/>
  <c r="AA375" i="1"/>
  <c r="AF374" i="1"/>
  <c r="AA374" i="1"/>
  <c r="AA373" i="1"/>
  <c r="AF373" i="1" s="1"/>
  <c r="AA372" i="1"/>
  <c r="AG371" i="1"/>
  <c r="AA371" i="1"/>
  <c r="AF371" i="1" s="1"/>
  <c r="AA370" i="1"/>
  <c r="AA369" i="1"/>
  <c r="AA368" i="1"/>
  <c r="AA367" i="1"/>
  <c r="AF366" i="1"/>
  <c r="AA366" i="1"/>
  <c r="AG366" i="1" s="1"/>
  <c r="AA365" i="1"/>
  <c r="AF365" i="1" s="1"/>
  <c r="AA364" i="1"/>
  <c r="AA363" i="1"/>
  <c r="AF363" i="1" s="1"/>
  <c r="AG363" i="1" s="1"/>
  <c r="AA362" i="1"/>
  <c r="AA361" i="1"/>
  <c r="AA360" i="1"/>
  <c r="AF359" i="1"/>
  <c r="AG359" i="1" s="1"/>
  <c r="AA359" i="1"/>
  <c r="AF358" i="1"/>
  <c r="AA358" i="1"/>
  <c r="AA357" i="1"/>
  <c r="AF357" i="1" s="1"/>
  <c r="AA356" i="1"/>
  <c r="AF356" i="1" s="1"/>
  <c r="AG356" i="1" s="1"/>
  <c r="AA355" i="1"/>
  <c r="AF355" i="1" s="1"/>
  <c r="AG355" i="1" s="1"/>
  <c r="AA354" i="1"/>
  <c r="AA353" i="1"/>
  <c r="AA352" i="1"/>
  <c r="AA351" i="1"/>
  <c r="AF350" i="1"/>
  <c r="AA350" i="1"/>
  <c r="AG350" i="1" s="1"/>
  <c r="AA349" i="1"/>
  <c r="AF349" i="1" s="1"/>
  <c r="AA348" i="1"/>
  <c r="AG347" i="1"/>
  <c r="AA347" i="1"/>
  <c r="AF347" i="1" s="1"/>
  <c r="AA346" i="1"/>
  <c r="AA345" i="1"/>
  <c r="AA344" i="1"/>
  <c r="AA343" i="1"/>
  <c r="AF342" i="1"/>
  <c r="AA342" i="1"/>
  <c r="AA341" i="1"/>
  <c r="AF341" i="1" s="1"/>
  <c r="AA340" i="1"/>
  <c r="AG339" i="1"/>
  <c r="AA339" i="1"/>
  <c r="AF339" i="1" s="1"/>
  <c r="AA338" i="1"/>
  <c r="AA337" i="1"/>
  <c r="AA336" i="1"/>
  <c r="AA335" i="1"/>
  <c r="AF334" i="1"/>
  <c r="AA334" i="1"/>
  <c r="AA333" i="1"/>
  <c r="AF333" i="1" s="1"/>
  <c r="AA332" i="1"/>
  <c r="AA331" i="1"/>
  <c r="AF331" i="1" s="1"/>
  <c r="AG331" i="1" s="1"/>
  <c r="AF330" i="1"/>
  <c r="AG330" i="1" s="1"/>
  <c r="AA330" i="1"/>
  <c r="AA329" i="1"/>
  <c r="AA328" i="1"/>
  <c r="AA327" i="1"/>
  <c r="AF327" i="1" s="1"/>
  <c r="AG327" i="1" s="1"/>
  <c r="AF326" i="1"/>
  <c r="AA326" i="1"/>
  <c r="AG326" i="1" s="1"/>
  <c r="AF325" i="1"/>
  <c r="AA325" i="1"/>
  <c r="AG325" i="1" s="1"/>
  <c r="AA324" i="1"/>
  <c r="AG323" i="1"/>
  <c r="AF323" i="1"/>
  <c r="AA323" i="1"/>
  <c r="AA322" i="1"/>
  <c r="AF322" i="1" s="1"/>
  <c r="AG322" i="1" s="1"/>
  <c r="AA321" i="1"/>
  <c r="AA320" i="1"/>
  <c r="AA319" i="1"/>
  <c r="AF318" i="1"/>
  <c r="AA318" i="1"/>
  <c r="AG318" i="1" s="1"/>
  <c r="AA317" i="1"/>
  <c r="AF317" i="1" s="1"/>
  <c r="AA316" i="1"/>
  <c r="AA315" i="1"/>
  <c r="AF315" i="1" s="1"/>
  <c r="AG315" i="1" s="1"/>
  <c r="AA314" i="1"/>
  <c r="AA313" i="1"/>
  <c r="AA312" i="1"/>
  <c r="AA311" i="1"/>
  <c r="AF310" i="1"/>
  <c r="AA310" i="1"/>
  <c r="AA309" i="1"/>
  <c r="AF309" i="1" s="1"/>
  <c r="AA308" i="1"/>
  <c r="AA307" i="1"/>
  <c r="AF307" i="1" s="1"/>
  <c r="AG307" i="1" s="1"/>
  <c r="AA306" i="1"/>
  <c r="AA305" i="1"/>
  <c r="AF304" i="1"/>
  <c r="AG304" i="1" s="1"/>
  <c r="AA304" i="1"/>
  <c r="AA303" i="1"/>
  <c r="AF302" i="1"/>
  <c r="AA302" i="1"/>
  <c r="AA301" i="1"/>
  <c r="AF301" i="1" s="1"/>
  <c r="AA300" i="1"/>
  <c r="AG299" i="1"/>
  <c r="AA299" i="1"/>
  <c r="AF299" i="1" s="1"/>
  <c r="AA298" i="1"/>
  <c r="AA297" i="1"/>
  <c r="AA296" i="1"/>
  <c r="AA295" i="1"/>
  <c r="AF294" i="1"/>
  <c r="AA294" i="1"/>
  <c r="AA293" i="1"/>
  <c r="AF293" i="1" s="1"/>
  <c r="AA292" i="1"/>
  <c r="AA291" i="1"/>
  <c r="AF291" i="1" s="1"/>
  <c r="AG291" i="1" s="1"/>
  <c r="AF290" i="1"/>
  <c r="AA290" i="1"/>
  <c r="AG290" i="1" s="1"/>
  <c r="AA289" i="1"/>
  <c r="AA288" i="1"/>
  <c r="AA287" i="1"/>
  <c r="AF286" i="1"/>
  <c r="AA286" i="1"/>
  <c r="AA285" i="1"/>
  <c r="AF285" i="1" s="1"/>
  <c r="AF284" i="1"/>
  <c r="AA284" i="1"/>
  <c r="AG284" i="1" s="1"/>
  <c r="AA283" i="1"/>
  <c r="AF283" i="1" s="1"/>
  <c r="AG283" i="1" s="1"/>
  <c r="AA282" i="1"/>
  <c r="AA281" i="1"/>
  <c r="AA280" i="1"/>
  <c r="AF279" i="1"/>
  <c r="AA279" i="1"/>
  <c r="AG279" i="1" s="1"/>
  <c r="AA278" i="1"/>
  <c r="AF277" i="1"/>
  <c r="AG277" i="1" s="1"/>
  <c r="AA277" i="1"/>
  <c r="AA276" i="1"/>
  <c r="AF276" i="1" s="1"/>
  <c r="AA275" i="1"/>
  <c r="AG274" i="1"/>
  <c r="AF274" i="1"/>
  <c r="AA274" i="1"/>
  <c r="AA273" i="1"/>
  <c r="AF272" i="1"/>
  <c r="AA272" i="1"/>
  <c r="AA271" i="1"/>
  <c r="AA270" i="1"/>
  <c r="AG269" i="1"/>
  <c r="AF269" i="1"/>
  <c r="AA269" i="1"/>
  <c r="AA268" i="1"/>
  <c r="AF268" i="1" s="1"/>
  <c r="AA267" i="1"/>
  <c r="AA266" i="1"/>
  <c r="AF266" i="1" s="1"/>
  <c r="AG266" i="1" s="1"/>
  <c r="AF265" i="1"/>
  <c r="AA265" i="1"/>
  <c r="AG265" i="1" s="1"/>
  <c r="AA264" i="1"/>
  <c r="AF264" i="1" s="1"/>
  <c r="AA263" i="1"/>
  <c r="AA262" i="1"/>
  <c r="AF262" i="1" s="1"/>
  <c r="AG262" i="1" s="1"/>
  <c r="AF261" i="1"/>
  <c r="AG261" i="1" s="1"/>
  <c r="AA261" i="1"/>
  <c r="AA260" i="1"/>
  <c r="AF260" i="1" s="1"/>
  <c r="AA259" i="1"/>
  <c r="AG258" i="1"/>
  <c r="AF258" i="1"/>
  <c r="AA258" i="1"/>
  <c r="AF257" i="1"/>
  <c r="AA257" i="1"/>
  <c r="AG257" i="1" s="1"/>
  <c r="AF256" i="1"/>
  <c r="AA256" i="1"/>
  <c r="AG255" i="1"/>
  <c r="AF255" i="1"/>
  <c r="AA255" i="1"/>
  <c r="AG254" i="1"/>
  <c r="AF254" i="1"/>
  <c r="AA254" i="1"/>
  <c r="AG253" i="1"/>
  <c r="AF253" i="1"/>
  <c r="AA253" i="1"/>
  <c r="AA252" i="1"/>
  <c r="AF252" i="1" s="1"/>
  <c r="AA251" i="1"/>
  <c r="AG250" i="1"/>
  <c r="AF250" i="1"/>
  <c r="AA250" i="1"/>
  <c r="AF249" i="1"/>
  <c r="AA249" i="1"/>
  <c r="AG249" i="1" s="1"/>
  <c r="AA248" i="1"/>
  <c r="AF248" i="1" s="1"/>
  <c r="AA247" i="1"/>
  <c r="AG246" i="1"/>
  <c r="AF246" i="1"/>
  <c r="AA246" i="1"/>
  <c r="AG245" i="1"/>
  <c r="AF245" i="1"/>
  <c r="AA245" i="1"/>
  <c r="AA244" i="1"/>
  <c r="AF244" i="1" s="1"/>
  <c r="AA243" i="1"/>
  <c r="AG242" i="1"/>
  <c r="AA242" i="1"/>
  <c r="AF242" i="1" s="1"/>
  <c r="AF241" i="1"/>
  <c r="AG241" i="1" s="1"/>
  <c r="AA241" i="1"/>
  <c r="AF240" i="1"/>
  <c r="AA240" i="1"/>
  <c r="AA239" i="1"/>
  <c r="AA238" i="1"/>
  <c r="AG237" i="1"/>
  <c r="AF237" i="1"/>
  <c r="AA237" i="1"/>
  <c r="AA236" i="1"/>
  <c r="AF236" i="1" s="1"/>
  <c r="AA235" i="1"/>
  <c r="AA234" i="1"/>
  <c r="AF234" i="1" s="1"/>
  <c r="AG234" i="1" s="1"/>
  <c r="AF233" i="1"/>
  <c r="AA233" i="1"/>
  <c r="AG233" i="1" s="1"/>
  <c r="AA232" i="1"/>
  <c r="AA231" i="1"/>
  <c r="AA230" i="1"/>
  <c r="AF229" i="1"/>
  <c r="AG229" i="1" s="1"/>
  <c r="AA229" i="1"/>
  <c r="AF228" i="1"/>
  <c r="AA228" i="1"/>
  <c r="AG228" i="1" s="1"/>
  <c r="AA227" i="1"/>
  <c r="AG226" i="1"/>
  <c r="AA226" i="1"/>
  <c r="AF226" i="1" s="1"/>
  <c r="AA225" i="1"/>
  <c r="AF225" i="1" s="1"/>
  <c r="AG225" i="1" s="1"/>
  <c r="AF224" i="1"/>
  <c r="AA224" i="1"/>
  <c r="AA223" i="1"/>
  <c r="AA222" i="1"/>
  <c r="AF221" i="1"/>
  <c r="AG221" i="1" s="1"/>
  <c r="AA221" i="1"/>
  <c r="AF220" i="1"/>
  <c r="AA220" i="1"/>
  <c r="AG220" i="1" s="1"/>
  <c r="AA219" i="1"/>
  <c r="AG218" i="1"/>
  <c r="AA218" i="1"/>
  <c r="AF218" i="1" s="1"/>
  <c r="AA217" i="1"/>
  <c r="AF217" i="1" s="1"/>
  <c r="AG217" i="1" s="1"/>
  <c r="AF216" i="1"/>
  <c r="AA216" i="1"/>
  <c r="AA215" i="1"/>
  <c r="AA214" i="1"/>
  <c r="AF213" i="1"/>
  <c r="AG213" i="1" s="1"/>
  <c r="AA213" i="1"/>
  <c r="AF212" i="1"/>
  <c r="AA212" i="1"/>
  <c r="AG212" i="1" s="1"/>
  <c r="AA211" i="1"/>
  <c r="AG210" i="1"/>
  <c r="AF210" i="1"/>
  <c r="AA210" i="1"/>
  <c r="AA209" i="1"/>
  <c r="AF209" i="1" s="1"/>
  <c r="AG209" i="1" s="1"/>
  <c r="AA208" i="1"/>
  <c r="AA207" i="1"/>
  <c r="AA206" i="1"/>
  <c r="AF205" i="1"/>
  <c r="AG205" i="1" s="1"/>
  <c r="AA205" i="1"/>
  <c r="AF204" i="1"/>
  <c r="AA204" i="1"/>
  <c r="AG204" i="1" s="1"/>
  <c r="AA203" i="1"/>
  <c r="AG202" i="1"/>
  <c r="AA202" i="1"/>
  <c r="AF202" i="1" s="1"/>
  <c r="AA201" i="1"/>
  <c r="AF201" i="1" s="1"/>
  <c r="AG201" i="1" s="1"/>
  <c r="AF200" i="1"/>
  <c r="AA200" i="1"/>
  <c r="AA199" i="1"/>
  <c r="AF198" i="1"/>
  <c r="AG198" i="1" s="1"/>
  <c r="AA198" i="1"/>
  <c r="AG197" i="1"/>
  <c r="AF197" i="1"/>
  <c r="AA197" i="1"/>
  <c r="AF196" i="1"/>
  <c r="AA196" i="1"/>
  <c r="AG196" i="1" s="1"/>
  <c r="AA195" i="1"/>
  <c r="AG194" i="1"/>
  <c r="AF194" i="1"/>
  <c r="AA194" i="1"/>
  <c r="AF193" i="1"/>
  <c r="AG193" i="1" s="1"/>
  <c r="AA193" i="1"/>
  <c r="AF192" i="1"/>
  <c r="AA192" i="1"/>
  <c r="AA191" i="1"/>
  <c r="AA190" i="1"/>
  <c r="AF190" i="1" s="1"/>
  <c r="AG190" i="1" s="1"/>
  <c r="AF189" i="1"/>
  <c r="AG189" i="1" s="1"/>
  <c r="AA189" i="1"/>
  <c r="AA188" i="1"/>
  <c r="AF188" i="1" s="1"/>
  <c r="AA187" i="1"/>
  <c r="AG186" i="1"/>
  <c r="AF186" i="1"/>
  <c r="AA186" i="1"/>
  <c r="AA185" i="1"/>
  <c r="AF184" i="1"/>
  <c r="AA184" i="1"/>
  <c r="AF183" i="1"/>
  <c r="AG183" i="1" s="1"/>
  <c r="AA183" i="1"/>
  <c r="AA182" i="1"/>
  <c r="AG181" i="1"/>
  <c r="AF181" i="1"/>
  <c r="AA181" i="1"/>
  <c r="AA180" i="1"/>
  <c r="AF180" i="1" s="1"/>
  <c r="AA179" i="1"/>
  <c r="AG178" i="1"/>
  <c r="AF178" i="1"/>
  <c r="AA178" i="1"/>
  <c r="AF177" i="1"/>
  <c r="AA177" i="1"/>
  <c r="AG177" i="1" s="1"/>
  <c r="AA176" i="1"/>
  <c r="AA175" i="1"/>
  <c r="AA174" i="1"/>
  <c r="AF174" i="1" s="1"/>
  <c r="AG174" i="1" s="1"/>
  <c r="AG173" i="1"/>
  <c r="AF173" i="1"/>
  <c r="AA173" i="1"/>
  <c r="AA172" i="1"/>
  <c r="AF172" i="1" s="1"/>
  <c r="AA171" i="1"/>
  <c r="AG170" i="1"/>
  <c r="AF170" i="1"/>
  <c r="AA170" i="1"/>
  <c r="AA169" i="1"/>
  <c r="AA168" i="1"/>
  <c r="AA167" i="1"/>
  <c r="AA166" i="1"/>
  <c r="AG165" i="1"/>
  <c r="AF165" i="1"/>
  <c r="AA165" i="1"/>
  <c r="AA164" i="1"/>
  <c r="AF164" i="1" s="1"/>
  <c r="AA163" i="1"/>
  <c r="AG162" i="1"/>
  <c r="AA162" i="1"/>
  <c r="AF162" i="1" s="1"/>
  <c r="AA161" i="1"/>
  <c r="AF160" i="1"/>
  <c r="AA160" i="1"/>
  <c r="AA159" i="1"/>
  <c r="AA158" i="1"/>
  <c r="AF157" i="1"/>
  <c r="AG157" i="1" s="1"/>
  <c r="AA157" i="1"/>
  <c r="AA156" i="1"/>
  <c r="AF156" i="1" s="1"/>
  <c r="AA155" i="1"/>
  <c r="AG154" i="1"/>
  <c r="AA154" i="1"/>
  <c r="AF154" i="1" s="1"/>
  <c r="AA153" i="1"/>
  <c r="AA152" i="1"/>
  <c r="AA151" i="1"/>
  <c r="AA150" i="1"/>
  <c r="AG149" i="1"/>
  <c r="AF149" i="1"/>
  <c r="AA149" i="1"/>
  <c r="AF148" i="1"/>
  <c r="AA148" i="1"/>
  <c r="AG148" i="1" s="1"/>
  <c r="AA147" i="1"/>
  <c r="AA146" i="1"/>
  <c r="AF146" i="1" s="1"/>
  <c r="AG146" i="1" s="1"/>
  <c r="AA145" i="1"/>
  <c r="AF144" i="1"/>
  <c r="AA144" i="1"/>
  <c r="AA143" i="1"/>
  <c r="AA142" i="1"/>
  <c r="AG141" i="1"/>
  <c r="AF141" i="1"/>
  <c r="AA141" i="1"/>
  <c r="AA140" i="1"/>
  <c r="AF140" i="1" s="1"/>
  <c r="AA139" i="1"/>
  <c r="AA138" i="1"/>
  <c r="AF138" i="1" s="1"/>
  <c r="AG138" i="1" s="1"/>
  <c r="AA137" i="1"/>
  <c r="AF136" i="1"/>
  <c r="AA136" i="1"/>
  <c r="AA135" i="1"/>
  <c r="AF134" i="1"/>
  <c r="AG134" i="1" s="1"/>
  <c r="AA134" i="1"/>
  <c r="AF133" i="1"/>
  <c r="AG133" i="1" s="1"/>
  <c r="AA133" i="1"/>
  <c r="AA132" i="1"/>
  <c r="AF132" i="1" s="1"/>
  <c r="AA131" i="1"/>
  <c r="AA130" i="1"/>
  <c r="AF130" i="1" s="1"/>
  <c r="AG130" i="1" s="1"/>
  <c r="AF129" i="1"/>
  <c r="AA129" i="1"/>
  <c r="AG129" i="1" s="1"/>
  <c r="AF128" i="1"/>
  <c r="AA128" i="1"/>
  <c r="AA127" i="1"/>
  <c r="AA126" i="1"/>
  <c r="AF126" i="1" s="1"/>
  <c r="AG126" i="1" s="1"/>
  <c r="AF125" i="1"/>
  <c r="AG125" i="1" s="1"/>
  <c r="AA125" i="1"/>
  <c r="AA124" i="1"/>
  <c r="AF124" i="1" s="1"/>
  <c r="AA123" i="1"/>
  <c r="AA122" i="1"/>
  <c r="AF122" i="1" s="1"/>
  <c r="AG122" i="1" s="1"/>
  <c r="AA121" i="1"/>
  <c r="AA120" i="1"/>
  <c r="AF120" i="1" s="1"/>
  <c r="AA119" i="1"/>
  <c r="AA118" i="1"/>
  <c r="AG117" i="1"/>
  <c r="AF117" i="1"/>
  <c r="AA117" i="1"/>
  <c r="AA116" i="1"/>
  <c r="AF116" i="1" s="1"/>
  <c r="AA115" i="1"/>
  <c r="AG114" i="1"/>
  <c r="AA114" i="1"/>
  <c r="AF114" i="1" s="1"/>
  <c r="AA113" i="1"/>
  <c r="AF112" i="1"/>
  <c r="AA112" i="1"/>
  <c r="AA111" i="1"/>
  <c r="AA110" i="1"/>
  <c r="AF109" i="1"/>
  <c r="AG109" i="1" s="1"/>
  <c r="AA109" i="1"/>
  <c r="AA108" i="1"/>
  <c r="AF108" i="1" s="1"/>
  <c r="AA107" i="1"/>
  <c r="AA106" i="1"/>
  <c r="AF106" i="1" s="1"/>
  <c r="AG106" i="1" s="1"/>
  <c r="AA105" i="1"/>
  <c r="AA104" i="1"/>
  <c r="AA103" i="1"/>
  <c r="AA102" i="1"/>
  <c r="AG101" i="1"/>
  <c r="AF101" i="1"/>
  <c r="AA101" i="1"/>
  <c r="AA100" i="1"/>
  <c r="AF100" i="1" s="1"/>
  <c r="AA99" i="1"/>
  <c r="AG98" i="1"/>
  <c r="AA98" i="1"/>
  <c r="AF98" i="1" s="1"/>
  <c r="AF97" i="1"/>
  <c r="AA97" i="1"/>
  <c r="AG97" i="1" s="1"/>
  <c r="AA96" i="1"/>
  <c r="AA95" i="1"/>
  <c r="AA94" i="1"/>
  <c r="AG93" i="1"/>
  <c r="AF93" i="1"/>
  <c r="AA93" i="1"/>
  <c r="AA92" i="1"/>
  <c r="AF92" i="1" s="1"/>
  <c r="AA91" i="1"/>
  <c r="AG90" i="1"/>
  <c r="AA90" i="1"/>
  <c r="AF90" i="1" s="1"/>
  <c r="AF89" i="1"/>
  <c r="AA89" i="1"/>
  <c r="AG89" i="1" s="1"/>
  <c r="AF88" i="1"/>
  <c r="AA88" i="1"/>
  <c r="AA87" i="1"/>
  <c r="AA86" i="1"/>
  <c r="AG85" i="1"/>
  <c r="AF85" i="1"/>
  <c r="AA85" i="1"/>
  <c r="AA84" i="1"/>
  <c r="AF84" i="1" s="1"/>
  <c r="AA83" i="1"/>
  <c r="AA82" i="1"/>
  <c r="AF82" i="1" s="1"/>
  <c r="AG82" i="1" s="1"/>
  <c r="AA81" i="1"/>
  <c r="AF80" i="1"/>
  <c r="AA80" i="1"/>
  <c r="AA79" i="1"/>
  <c r="AA78" i="1"/>
  <c r="AG77" i="1"/>
  <c r="AF77" i="1"/>
  <c r="AA77" i="1"/>
  <c r="AF76" i="1"/>
  <c r="AA76" i="1"/>
  <c r="AG76" i="1" s="1"/>
  <c r="AA75" i="1"/>
  <c r="AA74" i="1"/>
  <c r="AF74" i="1" s="1"/>
  <c r="AG74" i="1" s="1"/>
  <c r="AG73" i="1"/>
  <c r="AF73" i="1"/>
  <c r="AA73" i="1"/>
  <c r="AA72" i="1"/>
  <c r="AA71" i="1"/>
  <c r="AF70" i="1"/>
  <c r="AG70" i="1" s="1"/>
  <c r="AA70" i="1"/>
  <c r="AG69" i="1"/>
  <c r="AF69" i="1"/>
  <c r="AA69" i="1"/>
  <c r="AA68" i="1"/>
  <c r="AF68" i="1" s="1"/>
  <c r="AA67" i="1"/>
  <c r="AG66" i="1"/>
  <c r="AF66" i="1"/>
  <c r="AA66" i="1"/>
  <c r="AA65" i="1"/>
  <c r="AA64" i="1"/>
  <c r="AF64" i="1" s="1"/>
  <c r="AA63" i="1"/>
  <c r="AF62" i="1"/>
  <c r="AG62" i="1" s="1"/>
  <c r="AA62" i="1"/>
  <c r="AF61" i="1"/>
  <c r="AG61" i="1" s="1"/>
  <c r="AA61" i="1"/>
  <c r="AF60" i="1"/>
  <c r="AA60" i="1"/>
  <c r="AG60" i="1" s="1"/>
  <c r="AA59" i="1"/>
  <c r="AG58" i="1"/>
  <c r="AA58" i="1"/>
  <c r="AF58" i="1" s="1"/>
  <c r="AA57" i="1"/>
  <c r="AF57" i="1" s="1"/>
  <c r="AG57" i="1" s="1"/>
  <c r="AF56" i="1"/>
  <c r="AA56" i="1"/>
  <c r="AA55" i="1"/>
  <c r="AF54" i="1"/>
  <c r="AG54" i="1" s="1"/>
  <c r="AA54" i="1"/>
  <c r="AG53" i="1"/>
  <c r="AF53" i="1"/>
  <c r="AA53" i="1"/>
  <c r="AF52" i="1"/>
  <c r="AA52" i="1"/>
  <c r="AG52" i="1" s="1"/>
  <c r="AA51" i="1"/>
  <c r="AG50" i="1"/>
  <c r="AA50" i="1"/>
  <c r="AF50" i="1" s="1"/>
  <c r="AA49" i="1"/>
  <c r="AF49" i="1" s="1"/>
  <c r="AG49" i="1" s="1"/>
  <c r="AA48" i="1"/>
  <c r="AA47" i="1"/>
  <c r="AG46" i="1"/>
  <c r="AF46" i="1"/>
  <c r="AA46" i="1"/>
  <c r="AF45" i="1"/>
  <c r="AG45" i="1" s="1"/>
  <c r="AA45" i="1"/>
  <c r="AF44" i="1"/>
  <c r="AA44" i="1"/>
  <c r="AG44" i="1" s="1"/>
  <c r="AA43" i="1"/>
  <c r="AG42" i="1"/>
  <c r="AF42" i="1"/>
  <c r="AA42" i="1"/>
  <c r="AG41" i="1"/>
  <c r="AF41" i="1"/>
  <c r="AA41" i="1"/>
  <c r="AF40" i="1"/>
  <c r="AA40" i="1"/>
  <c r="AA39" i="1"/>
  <c r="AF38" i="1"/>
  <c r="AG38" i="1" s="1"/>
  <c r="AA38" i="1"/>
  <c r="AG37" i="1"/>
  <c r="AF37" i="1"/>
  <c r="AA37" i="1"/>
  <c r="AF36" i="1"/>
  <c r="AA36" i="1"/>
  <c r="AG36" i="1" s="1"/>
  <c r="AA35" i="1"/>
  <c r="AG34" i="1"/>
  <c r="AA34" i="1"/>
  <c r="AF34" i="1" s="1"/>
  <c r="AG33" i="1"/>
  <c r="AA33" i="1"/>
  <c r="AF33" i="1" s="1"/>
  <c r="AA32" i="1"/>
  <c r="AA31" i="1"/>
  <c r="AA30" i="1"/>
  <c r="AA29" i="1"/>
  <c r="AA28" i="1"/>
  <c r="AG27" i="1"/>
  <c r="AF27" i="1"/>
  <c r="AA27" i="1"/>
  <c r="AA26" i="1"/>
  <c r="AA25" i="1"/>
  <c r="AA24" i="1"/>
  <c r="AF23" i="1"/>
  <c r="AA23" i="1"/>
  <c r="AG23" i="1" s="1"/>
  <c r="AF22" i="1"/>
  <c r="AG22" i="1" s="1"/>
  <c r="AA22" i="1"/>
  <c r="AF21" i="1"/>
  <c r="AA21" i="1"/>
  <c r="AG21" i="1" s="1"/>
  <c r="AA20" i="1"/>
  <c r="AG19" i="1"/>
  <c r="AF19" i="1"/>
  <c r="AA19" i="1"/>
  <c r="AA18" i="1"/>
  <c r="AA17" i="1"/>
  <c r="AA16" i="1"/>
  <c r="AF15" i="1"/>
  <c r="AA15" i="1"/>
  <c r="AG15" i="1" s="1"/>
  <c r="AF14" i="1"/>
  <c r="AG14" i="1" s="1"/>
  <c r="AA14" i="1"/>
  <c r="AF13" i="1"/>
  <c r="AA13" i="1"/>
  <c r="AG13" i="1" s="1"/>
  <c r="AA12" i="1"/>
  <c r="AA11" i="1"/>
  <c r="AF11" i="1" s="1"/>
  <c r="AG11" i="1" s="1"/>
  <c r="AA10" i="1"/>
  <c r="AA9" i="1"/>
  <c r="AA8" i="1"/>
  <c r="AF7" i="1"/>
  <c r="AA7" i="1"/>
  <c r="AG7" i="1" s="1"/>
  <c r="AF6" i="1"/>
  <c r="AG6" i="1" s="1"/>
  <c r="AA6" i="1"/>
  <c r="AF5" i="1"/>
  <c r="AA5" i="1"/>
  <c r="AG5" i="1" s="1"/>
  <c r="AA4" i="1"/>
  <c r="AA3" i="1"/>
  <c r="AF3" i="1" s="1"/>
  <c r="AG3" i="1" s="1"/>
  <c r="AA2" i="1"/>
  <c r="AG24" i="1" l="1"/>
  <c r="AG4" i="1"/>
  <c r="AG26" i="1"/>
  <c r="AG12" i="1"/>
  <c r="AF8" i="1"/>
  <c r="AG8" i="1" s="1"/>
  <c r="AF16" i="1"/>
  <c r="AG16" i="1" s="1"/>
  <c r="AF24" i="1"/>
  <c r="AG30" i="1"/>
  <c r="AF30" i="1"/>
  <c r="AF35" i="1"/>
  <c r="AG35" i="1" s="1"/>
  <c r="AF51" i="1"/>
  <c r="AG51" i="1" s="1"/>
  <c r="AG88" i="1"/>
  <c r="AG144" i="1"/>
  <c r="AG215" i="1"/>
  <c r="AG240" i="1"/>
  <c r="AF259" i="1"/>
  <c r="AG259" i="1" s="1"/>
  <c r="AF329" i="1"/>
  <c r="AG329" i="1" s="1"/>
  <c r="AG470" i="1"/>
  <c r="AG478" i="1"/>
  <c r="AG31" i="1"/>
  <c r="AF31" i="1"/>
  <c r="AG40" i="1"/>
  <c r="AG43" i="1"/>
  <c r="AF43" i="1"/>
  <c r="AG56" i="1"/>
  <c r="AF83" i="1"/>
  <c r="AG83" i="1" s="1"/>
  <c r="AG139" i="1"/>
  <c r="AF139" i="1"/>
  <c r="AG160" i="1"/>
  <c r="AF179" i="1"/>
  <c r="AG179" i="1" s="1"/>
  <c r="AG184" i="1"/>
  <c r="AG211" i="1"/>
  <c r="AF211" i="1"/>
  <c r="AG216" i="1"/>
  <c r="AF235" i="1"/>
  <c r="AG235" i="1" s="1"/>
  <c r="AG256" i="1"/>
  <c r="AG311" i="1"/>
  <c r="AF465" i="1"/>
  <c r="AG465" i="1" s="1"/>
  <c r="AF489" i="1"/>
  <c r="AG489" i="1" s="1"/>
  <c r="AF305" i="1"/>
  <c r="AG305" i="1" s="1"/>
  <c r="AF9" i="1"/>
  <c r="AG9" i="1" s="1"/>
  <c r="AF17" i="1"/>
  <c r="AG17" i="1" s="1"/>
  <c r="AF25" i="1"/>
  <c r="AG25" i="1" s="1"/>
  <c r="AG28" i="1"/>
  <c r="AF32" i="1"/>
  <c r="AG32" i="1" s="1"/>
  <c r="AG99" i="1"/>
  <c r="AF99" i="1"/>
  <c r="AF104" i="1"/>
  <c r="AG104" i="1" s="1"/>
  <c r="AG115" i="1"/>
  <c r="AF115" i="1"/>
  <c r="AF171" i="1"/>
  <c r="AG171" i="1" s="1"/>
  <c r="AF176" i="1"/>
  <c r="AG176" i="1" s="1"/>
  <c r="AF203" i="1"/>
  <c r="AG203" i="1" s="1"/>
  <c r="AG227" i="1"/>
  <c r="AF227" i="1"/>
  <c r="AF281" i="1"/>
  <c r="AG281" i="1" s="1"/>
  <c r="AG441" i="1"/>
  <c r="AF441" i="1"/>
  <c r="AG120" i="1"/>
  <c r="AF155" i="1"/>
  <c r="AG155" i="1" s="1"/>
  <c r="AG275" i="1"/>
  <c r="AF275" i="1"/>
  <c r="AF601" i="1"/>
  <c r="AG601" i="1" s="1"/>
  <c r="AF4" i="1"/>
  <c r="AF12" i="1"/>
  <c r="AF20" i="1"/>
  <c r="AG20" i="1" s="1"/>
  <c r="AF28" i="1"/>
  <c r="AF48" i="1"/>
  <c r="AG48" i="1" s="1"/>
  <c r="AF75" i="1"/>
  <c r="AG75" i="1" s="1"/>
  <c r="AG80" i="1"/>
  <c r="AG121" i="1"/>
  <c r="AF131" i="1"/>
  <c r="AG131" i="1" s="1"/>
  <c r="AG136" i="1"/>
  <c r="AF208" i="1"/>
  <c r="AG208" i="1" s="1"/>
  <c r="AF232" i="1"/>
  <c r="AG232" i="1" s="1"/>
  <c r="AG272" i="1"/>
  <c r="AG378" i="1"/>
  <c r="AF569" i="1"/>
  <c r="AG569" i="1" s="1"/>
  <c r="AG592" i="1"/>
  <c r="AG440" i="1"/>
  <c r="AG67" i="1"/>
  <c r="AF67" i="1"/>
  <c r="AG127" i="1"/>
  <c r="AF147" i="1"/>
  <c r="AG147" i="1" s="1"/>
  <c r="AG152" i="1"/>
  <c r="AF195" i="1"/>
  <c r="AG195" i="1" s="1"/>
  <c r="AG199" i="1"/>
  <c r="AF267" i="1"/>
  <c r="AG267" i="1" s="1"/>
  <c r="AG145" i="1"/>
  <c r="AG423" i="1"/>
  <c r="AF2" i="1"/>
  <c r="AG2" i="1" s="1"/>
  <c r="AF10" i="1"/>
  <c r="AG10" i="1" s="1"/>
  <c r="AF18" i="1"/>
  <c r="AG18" i="1" s="1"/>
  <c r="AF26" i="1"/>
  <c r="AF29" i="1"/>
  <c r="AG29" i="1" s="1"/>
  <c r="AF59" i="1"/>
  <c r="AG59" i="1" s="1"/>
  <c r="AG63" i="1"/>
  <c r="AF72" i="1"/>
  <c r="AG72" i="1" s="1"/>
  <c r="AF91" i="1"/>
  <c r="AG91" i="1" s="1"/>
  <c r="AF96" i="1"/>
  <c r="AG96" i="1" s="1"/>
  <c r="AG112" i="1"/>
  <c r="AG128" i="1"/>
  <c r="AF152" i="1"/>
  <c r="AF163" i="1"/>
  <c r="AG163" i="1" s="1"/>
  <c r="AF168" i="1"/>
  <c r="AG168" i="1" s="1"/>
  <c r="AG182" i="1"/>
  <c r="AG192" i="1"/>
  <c r="AG200" i="1"/>
  <c r="AF219" i="1"/>
  <c r="AG219" i="1" s="1"/>
  <c r="AG224" i="1"/>
  <c r="AG238" i="1"/>
  <c r="AF243" i="1"/>
  <c r="AG243" i="1" s="1"/>
  <c r="AF251" i="1"/>
  <c r="AG251" i="1" s="1"/>
  <c r="AG334" i="1"/>
  <c r="AF353" i="1"/>
  <c r="AG353" i="1" s="1"/>
  <c r="AF529" i="1"/>
  <c r="AG529" i="1" s="1"/>
  <c r="AF553" i="1"/>
  <c r="AG553" i="1" s="1"/>
  <c r="AG64" i="1"/>
  <c r="AG107" i="1"/>
  <c r="AF107" i="1"/>
  <c r="AF123" i="1"/>
  <c r="AG123" i="1" s="1"/>
  <c r="AG153" i="1"/>
  <c r="AG169" i="1"/>
  <c r="AG187" i="1"/>
  <c r="AF187" i="1"/>
  <c r="AG248" i="1"/>
  <c r="AG264" i="1"/>
  <c r="AG328" i="1"/>
  <c r="AG354" i="1"/>
  <c r="AF513" i="1"/>
  <c r="AG513" i="1" s="1"/>
  <c r="AF39" i="1"/>
  <c r="AG39" i="1" s="1"/>
  <c r="AF47" i="1"/>
  <c r="AG47" i="1" s="1"/>
  <c r="AF55" i="1"/>
  <c r="AG55" i="1" s="1"/>
  <c r="AF63" i="1"/>
  <c r="AG68" i="1"/>
  <c r="AF71" i="1"/>
  <c r="AG71" i="1" s="1"/>
  <c r="AF79" i="1"/>
  <c r="AG79" i="1" s="1"/>
  <c r="AG84" i="1"/>
  <c r="AF87" i="1"/>
  <c r="AG87" i="1" s="1"/>
  <c r="AG92" i="1"/>
  <c r="AF95" i="1"/>
  <c r="AG95" i="1" s="1"/>
  <c r="AG100" i="1"/>
  <c r="AF103" i="1"/>
  <c r="AG103" i="1" s="1"/>
  <c r="AG108" i="1"/>
  <c r="AF111" i="1"/>
  <c r="AG111" i="1" s="1"/>
  <c r="AG116" i="1"/>
  <c r="AF119" i="1"/>
  <c r="AG119" i="1" s="1"/>
  <c r="AG124" i="1"/>
  <c r="AF127" i="1"/>
  <c r="AG132" i="1"/>
  <c r="AF135" i="1"/>
  <c r="AG135" i="1" s="1"/>
  <c r="AG140" i="1"/>
  <c r="AF143" i="1"/>
  <c r="AG143" i="1" s="1"/>
  <c r="AF151" i="1"/>
  <c r="AG151" i="1" s="1"/>
  <c r="AG156" i="1"/>
  <c r="AF159" i="1"/>
  <c r="AG159" i="1" s="1"/>
  <c r="AG164" i="1"/>
  <c r="AF167" i="1"/>
  <c r="AG167" i="1" s="1"/>
  <c r="AG172" i="1"/>
  <c r="AF175" i="1"/>
  <c r="AG175" i="1" s="1"/>
  <c r="AG180" i="1"/>
  <c r="AG188" i="1"/>
  <c r="AF191" i="1"/>
  <c r="AG191" i="1" s="1"/>
  <c r="AF199" i="1"/>
  <c r="AF207" i="1"/>
  <c r="AG207" i="1" s="1"/>
  <c r="AF215" i="1"/>
  <c r="AF223" i="1"/>
  <c r="AG223" i="1" s="1"/>
  <c r="AF231" i="1"/>
  <c r="AG231" i="1" s="1"/>
  <c r="AG236" i="1"/>
  <c r="AF239" i="1"/>
  <c r="AG239" i="1" s="1"/>
  <c r="AG244" i="1"/>
  <c r="AF247" i="1"/>
  <c r="AG247" i="1" s="1"/>
  <c r="AG252" i="1"/>
  <c r="AG260" i="1"/>
  <c r="AF263" i="1"/>
  <c r="AG263" i="1" s="1"/>
  <c r="AG268" i="1"/>
  <c r="AF271" i="1"/>
  <c r="AG271" i="1" s="1"/>
  <c r="AG276" i="1"/>
  <c r="AF297" i="1"/>
  <c r="AG297" i="1" s="1"/>
  <c r="AF345" i="1"/>
  <c r="AG345" i="1" s="1"/>
  <c r="AG351" i="1"/>
  <c r="AG358" i="1"/>
  <c r="AG382" i="1"/>
  <c r="AF393" i="1"/>
  <c r="AG393" i="1" s="1"/>
  <c r="AF457" i="1"/>
  <c r="AG457" i="1" s="1"/>
  <c r="AF473" i="1"/>
  <c r="AG473" i="1" s="1"/>
  <c r="AG504" i="1"/>
  <c r="AF545" i="1"/>
  <c r="AG545" i="1" s="1"/>
  <c r="AG561" i="1"/>
  <c r="AF561" i="1"/>
  <c r="AF585" i="1"/>
  <c r="AG585" i="1" s="1"/>
  <c r="AG609" i="1"/>
  <c r="AF609" i="1"/>
  <c r="AG280" i="1"/>
  <c r="AG286" i="1"/>
  <c r="AG310" i="1"/>
  <c r="AG352" i="1"/>
  <c r="AF377" i="1"/>
  <c r="AG377" i="1" s="1"/>
  <c r="AF417" i="1"/>
  <c r="AG417" i="1" s="1"/>
  <c r="AG439" i="1"/>
  <c r="AG446" i="1"/>
  <c r="AG494" i="1"/>
  <c r="AG505" i="1"/>
  <c r="AF505" i="1"/>
  <c r="AG518" i="1"/>
  <c r="AG534" i="1"/>
  <c r="AG614" i="1"/>
  <c r="AG294" i="1"/>
  <c r="AG312" i="1"/>
  <c r="AG342" i="1"/>
  <c r="AF401" i="1"/>
  <c r="AG401" i="1" s="1"/>
  <c r="AG425" i="1"/>
  <c r="AF425" i="1"/>
  <c r="AG442" i="1"/>
  <c r="AG454" i="1"/>
  <c r="AG502" i="1"/>
  <c r="AG514" i="1"/>
  <c r="AG554" i="1"/>
  <c r="AG564" i="1"/>
  <c r="AF593" i="1"/>
  <c r="AG593" i="1" s="1"/>
  <c r="AF78" i="1"/>
  <c r="AG78" i="1" s="1"/>
  <c r="AF86" i="1"/>
  <c r="AG86" i="1" s="1"/>
  <c r="AF94" i="1"/>
  <c r="AG94" i="1" s="1"/>
  <c r="AF102" i="1"/>
  <c r="AG102" i="1" s="1"/>
  <c r="AF110" i="1"/>
  <c r="AG110" i="1" s="1"/>
  <c r="AF118" i="1"/>
  <c r="AG118" i="1" s="1"/>
  <c r="AF142" i="1"/>
  <c r="AG142" i="1" s="1"/>
  <c r="AF150" i="1"/>
  <c r="AG150" i="1" s="1"/>
  <c r="AF158" i="1"/>
  <c r="AG158" i="1" s="1"/>
  <c r="AF166" i="1"/>
  <c r="AG166" i="1" s="1"/>
  <c r="AF182" i="1"/>
  <c r="AF206" i="1"/>
  <c r="AG206" i="1" s="1"/>
  <c r="AF214" i="1"/>
  <c r="AG214" i="1" s="1"/>
  <c r="AF222" i="1"/>
  <c r="AG222" i="1" s="1"/>
  <c r="AF230" i="1"/>
  <c r="AG230" i="1" s="1"/>
  <c r="AF238" i="1"/>
  <c r="AF270" i="1"/>
  <c r="AG270" i="1" s="1"/>
  <c r="AF278" i="1"/>
  <c r="AG278" i="1" s="1"/>
  <c r="AF289" i="1"/>
  <c r="AG289" i="1" s="1"/>
  <c r="AG313" i="1"/>
  <c r="AF313" i="1"/>
  <c r="AF361" i="1"/>
  <c r="AG361" i="1" s="1"/>
  <c r="AG374" i="1"/>
  <c r="AG385" i="1"/>
  <c r="AF385" i="1"/>
  <c r="AG414" i="1"/>
  <c r="AF449" i="1"/>
  <c r="AG449" i="1" s="1"/>
  <c r="AG486" i="1"/>
  <c r="AG526" i="1"/>
  <c r="AG559" i="1"/>
  <c r="AF577" i="1"/>
  <c r="AG577" i="1" s="1"/>
  <c r="AG594" i="1"/>
  <c r="AF65" i="1"/>
  <c r="AG65" i="1" s="1"/>
  <c r="AF81" i="1"/>
  <c r="AG81" i="1" s="1"/>
  <c r="AF105" i="1"/>
  <c r="AG105" i="1" s="1"/>
  <c r="AF113" i="1"/>
  <c r="AG113" i="1" s="1"/>
  <c r="AF121" i="1"/>
  <c r="AF137" i="1"/>
  <c r="AG137" i="1" s="1"/>
  <c r="AF145" i="1"/>
  <c r="AF153" i="1"/>
  <c r="AF161" i="1"/>
  <c r="AG161" i="1" s="1"/>
  <c r="AF169" i="1"/>
  <c r="AF185" i="1"/>
  <c r="AG185" i="1" s="1"/>
  <c r="AF273" i="1"/>
  <c r="AG273" i="1" s="1"/>
  <c r="AG302" i="1"/>
  <c r="AG314" i="1"/>
  <c r="AF337" i="1"/>
  <c r="AG337" i="1" s="1"/>
  <c r="AG362" i="1"/>
  <c r="AG380" i="1"/>
  <c r="AG386" i="1"/>
  <c r="AG450" i="1"/>
  <c r="AG480" i="1"/>
  <c r="AG497" i="1"/>
  <c r="AF497" i="1"/>
  <c r="AF521" i="1"/>
  <c r="AG521" i="1" s="1"/>
  <c r="AF537" i="1"/>
  <c r="AG537" i="1" s="1"/>
  <c r="AG578" i="1"/>
  <c r="AG617" i="1"/>
  <c r="AF617" i="1"/>
  <c r="AF321" i="1"/>
  <c r="AG321" i="1" s="1"/>
  <c r="AG369" i="1"/>
  <c r="AF369" i="1"/>
  <c r="AF409" i="1"/>
  <c r="AG409" i="1" s="1"/>
  <c r="AF433" i="1"/>
  <c r="AG433" i="1" s="1"/>
  <c r="AG438" i="1"/>
  <c r="AF481" i="1"/>
  <c r="AG481" i="1" s="1"/>
  <c r="AG516" i="1"/>
  <c r="AG527" i="1"/>
  <c r="AG550" i="1"/>
  <c r="AG556" i="1"/>
  <c r="AG618" i="1"/>
  <c r="AF280" i="1"/>
  <c r="AG285" i="1"/>
  <c r="AF288" i="1"/>
  <c r="AG288" i="1" s="1"/>
  <c r="AG293" i="1"/>
  <c r="AF296" i="1"/>
  <c r="AG296" i="1" s="1"/>
  <c r="AG301" i="1"/>
  <c r="AG309" i="1"/>
  <c r="AF312" i="1"/>
  <c r="AG317" i="1"/>
  <c r="AF320" i="1"/>
  <c r="AG320" i="1" s="1"/>
  <c r="AF328" i="1"/>
  <c r="AG333" i="1"/>
  <c r="AF336" i="1"/>
  <c r="AG336" i="1" s="1"/>
  <c r="AG341" i="1"/>
  <c r="AF344" i="1"/>
  <c r="AG344" i="1" s="1"/>
  <c r="AG349" i="1"/>
  <c r="AF352" i="1"/>
  <c r="AG357" i="1"/>
  <c r="AF360" i="1"/>
  <c r="AG360" i="1" s="1"/>
  <c r="AG365" i="1"/>
  <c r="AF368" i="1"/>
  <c r="AG368" i="1" s="1"/>
  <c r="AG373" i="1"/>
  <c r="AF376" i="1"/>
  <c r="AG376" i="1" s="1"/>
  <c r="AG381" i="1"/>
  <c r="AF392" i="1"/>
  <c r="AG392" i="1" s="1"/>
  <c r="AG397" i="1"/>
  <c r="AF408" i="1"/>
  <c r="AG408" i="1" s="1"/>
  <c r="AG413" i="1"/>
  <c r="AF416" i="1"/>
  <c r="AG416" i="1" s="1"/>
  <c r="AG421" i="1"/>
  <c r="AF424" i="1"/>
  <c r="AG424" i="1" s="1"/>
  <c r="AG429" i="1"/>
  <c r="AF432" i="1"/>
  <c r="AG432" i="1" s="1"/>
  <c r="AG437" i="1"/>
  <c r="AF440" i="1"/>
  <c r="AG445" i="1"/>
  <c r="AF448" i="1"/>
  <c r="AG448" i="1" s="1"/>
  <c r="AG453" i="1"/>
  <c r="AF456" i="1"/>
  <c r="AG456" i="1" s="1"/>
  <c r="AG461" i="1"/>
  <c r="AF464" i="1"/>
  <c r="AG464" i="1" s="1"/>
  <c r="AF480" i="1"/>
  <c r="AG493" i="1"/>
  <c r="AF496" i="1"/>
  <c r="AG496" i="1" s="1"/>
  <c r="AG501" i="1"/>
  <c r="AF504" i="1"/>
  <c r="AG509" i="1"/>
  <c r="AF512" i="1"/>
  <c r="AG512" i="1" s="1"/>
  <c r="AG517" i="1"/>
  <c r="AG541" i="1"/>
  <c r="AF544" i="1"/>
  <c r="AG544" i="1" s="1"/>
  <c r="AF552" i="1"/>
  <c r="AG552" i="1" s="1"/>
  <c r="AG565" i="1"/>
  <c r="AF568" i="1"/>
  <c r="AG568" i="1" s="1"/>
  <c r="AG573" i="1"/>
  <c r="AF576" i="1"/>
  <c r="AG576" i="1" s="1"/>
  <c r="AG581" i="1"/>
  <c r="AF584" i="1"/>
  <c r="AG584" i="1" s="1"/>
  <c r="AF592" i="1"/>
  <c r="AF600" i="1"/>
  <c r="AG600" i="1" s="1"/>
  <c r="AF608" i="1"/>
  <c r="AG608" i="1" s="1"/>
  <c r="AF616" i="1"/>
  <c r="AG616" i="1" s="1"/>
  <c r="AF292" i="1"/>
  <c r="AG292" i="1" s="1"/>
  <c r="AF300" i="1"/>
  <c r="AG300" i="1" s="1"/>
  <c r="AF308" i="1"/>
  <c r="AG308" i="1" s="1"/>
  <c r="AF316" i="1"/>
  <c r="AG316" i="1" s="1"/>
  <c r="AF324" i="1"/>
  <c r="AG324" i="1" s="1"/>
  <c r="AF332" i="1"/>
  <c r="AG332" i="1" s="1"/>
  <c r="AF340" i="1"/>
  <c r="AG340" i="1" s="1"/>
  <c r="AF348" i="1"/>
  <c r="AG348" i="1" s="1"/>
  <c r="AF364" i="1"/>
  <c r="AG364" i="1" s="1"/>
  <c r="AF372" i="1"/>
  <c r="AG372" i="1" s="1"/>
  <c r="AF380" i="1"/>
  <c r="AF388" i="1"/>
  <c r="AG388" i="1" s="1"/>
  <c r="AF396" i="1"/>
  <c r="AG396" i="1" s="1"/>
  <c r="AF404" i="1"/>
  <c r="AG404" i="1" s="1"/>
  <c r="AF412" i="1"/>
  <c r="AG412" i="1" s="1"/>
  <c r="AF420" i="1"/>
  <c r="AG420" i="1" s="1"/>
  <c r="AF428" i="1"/>
  <c r="AG428" i="1" s="1"/>
  <c r="AF444" i="1"/>
  <c r="AG444" i="1" s="1"/>
  <c r="AF452" i="1"/>
  <c r="AG452" i="1" s="1"/>
  <c r="AF460" i="1"/>
  <c r="AG460" i="1" s="1"/>
  <c r="AF508" i="1"/>
  <c r="AG508" i="1" s="1"/>
  <c r="AF516" i="1"/>
  <c r="AF524" i="1"/>
  <c r="AG524" i="1" s="1"/>
  <c r="AF532" i="1"/>
  <c r="AG532" i="1" s="1"/>
  <c r="AF540" i="1"/>
  <c r="AG540" i="1" s="1"/>
  <c r="AF548" i="1"/>
  <c r="AG548" i="1" s="1"/>
  <c r="AF556" i="1"/>
  <c r="AF564" i="1"/>
  <c r="AF287" i="1"/>
  <c r="AG287" i="1" s="1"/>
  <c r="AF295" i="1"/>
  <c r="AG295" i="1" s="1"/>
  <c r="AF303" i="1"/>
  <c r="AG303" i="1" s="1"/>
  <c r="AF311" i="1"/>
  <c r="AF319" i="1"/>
  <c r="AG319" i="1" s="1"/>
  <c r="AF335" i="1"/>
  <c r="AG335" i="1" s="1"/>
  <c r="AF343" i="1"/>
  <c r="AG343" i="1" s="1"/>
  <c r="AF351" i="1"/>
  <c r="AF367" i="1"/>
  <c r="AG367" i="1" s="1"/>
  <c r="AF375" i="1"/>
  <c r="AG375" i="1" s="1"/>
  <c r="AF383" i="1"/>
  <c r="AG383" i="1" s="1"/>
  <c r="AF391" i="1"/>
  <c r="AG391" i="1" s="1"/>
  <c r="AF399" i="1"/>
  <c r="AG399" i="1" s="1"/>
  <c r="AF407" i="1"/>
  <c r="AG407" i="1" s="1"/>
  <c r="AF415" i="1"/>
  <c r="AG415" i="1" s="1"/>
  <c r="AF423" i="1"/>
  <c r="AF431" i="1"/>
  <c r="AG431" i="1" s="1"/>
  <c r="AF439" i="1"/>
  <c r="AF447" i="1"/>
  <c r="AG447" i="1" s="1"/>
  <c r="AF455" i="1"/>
  <c r="AG455" i="1" s="1"/>
  <c r="AF463" i="1"/>
  <c r="AG463" i="1" s="1"/>
  <c r="AF511" i="1"/>
  <c r="AG511" i="1" s="1"/>
  <c r="AF519" i="1"/>
  <c r="AG519" i="1" s="1"/>
  <c r="AF527" i="1"/>
  <c r="AF535" i="1"/>
  <c r="AG535" i="1" s="1"/>
  <c r="AF543" i="1"/>
  <c r="AG543" i="1" s="1"/>
  <c r="AF551" i="1"/>
  <c r="AG551" i="1" s="1"/>
  <c r="AF559" i="1"/>
  <c r="AF567" i="1"/>
  <c r="AG567" i="1" s="1"/>
  <c r="AF282" i="1"/>
  <c r="AG282" i="1" s="1"/>
  <c r="AF298" i="1"/>
  <c r="AG298" i="1" s="1"/>
  <c r="AF306" i="1"/>
  <c r="AG306" i="1" s="1"/>
  <c r="AF314" i="1"/>
  <c r="AF338" i="1"/>
  <c r="AG338" i="1" s="1"/>
  <c r="AF346" i="1"/>
  <c r="AG346" i="1" s="1"/>
  <c r="AF354" i="1"/>
  <c r="AF362" i="1"/>
  <c r="AF370" i="1"/>
  <c r="AG370" i="1" s="1"/>
  <c r="AF378" i="1"/>
  <c r="AF386" i="1"/>
  <c r="AF394" i="1"/>
  <c r="AG394" i="1" s="1"/>
  <c r="AF402" i="1"/>
  <c r="AG402" i="1" s="1"/>
  <c r="AF410" i="1"/>
  <c r="AG410" i="1" s="1"/>
  <c r="AF442" i="1"/>
  <c r="AF450" i="1"/>
  <c r="AF458" i="1"/>
  <c r="AG458" i="1" s="1"/>
  <c r="AF466" i="1"/>
  <c r="AG466" i="1" s="1"/>
  <c r="AF474" i="1"/>
  <c r="AG474" i="1" s="1"/>
  <c r="AF482" i="1"/>
  <c r="AG482" i="1" s="1"/>
  <c r="AF490" i="1"/>
  <c r="AG490" i="1" s="1"/>
  <c r="AF498" i="1"/>
  <c r="AG498" i="1" s="1"/>
  <c r="AF506" i="1"/>
  <c r="AG506" i="1" s="1"/>
  <c r="AF514" i="1"/>
  <c r="AF538" i="1"/>
  <c r="AG538" i="1" s="1"/>
  <c r="AF554" i="1"/>
  <c r="AF562" i="1"/>
  <c r="AG562" i="1" s="1"/>
  <c r="AF570" i="1"/>
  <c r="AG570" i="1" s="1"/>
  <c r="AF578" i="1"/>
  <c r="AF586" i="1"/>
  <c r="AG586" i="1" s="1"/>
  <c r="AF594" i="1"/>
  <c r="AF602" i="1"/>
  <c r="AG602" i="1" s="1"/>
  <c r="AF610" i="1"/>
  <c r="AG610" i="1" s="1"/>
  <c r="AF618" i="1"/>
</calcChain>
</file>

<file path=xl/sharedStrings.xml><?xml version="1.0" encoding="utf-8"?>
<sst xmlns="http://schemas.openxmlformats.org/spreadsheetml/2006/main" count="12248" uniqueCount="1963">
  <si>
    <t>Global Shipper ID</t>
  </si>
  <si>
    <t>Legacy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</si>
  <si>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</si>
  <si>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</si>
  <si>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</si>
  <si>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</si>
  <si>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</si>
  <si>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</si>
  <si>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</si>
  <si>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</si>
  <si>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</si>
  <si>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</si>
  <si>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</si>
  <si>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</si>
  <si>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</si>
  <si>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</si>
  <si>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</si>
  <si>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</si>
  <si>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</si>
  <si>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</si>
  <si>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</si>
  <si>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</si>
  <si>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</si>
  <si>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</si>
  <si>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</si>
  <si>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</si>
  <si>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</si>
  <si>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</si>
  <si>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</si>
  <si>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</si>
  <si>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</si>
  <si>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</si>
  <si>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</si>
  <si>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</si>
  <si>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</si>
  <si>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</si>
  <si>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NVMY34535000008138</t>
  </si>
  <si>
    <t/>
  </si>
  <si>
    <t>Completed</t>
  </si>
  <si>
    <t>Norwati Binti Abu Bakar</t>
  </si>
  <si>
    <t>DELIVERY_THREE_DAYS_ANYTIME</t>
  </si>
  <si>
    <t>Parcel</t>
  </si>
  <si>
    <t>STANDARD</t>
  </si>
  <si>
    <t>SMALL</t>
  </si>
  <si>
    <t>WMSIA</t>
  </si>
  <si>
    <t>KBR1-KBR1</t>
  </si>
  <si>
    <t>Johor</t>
  </si>
  <si>
    <t>No 36, Jln PI 15/5, Bandar Putera Indah,  Tongkang Pechah, 83010 Bt Pahat, Johor  Batu Pahat Johor - my 83010</t>
  </si>
  <si>
    <t>YPG-YPG</t>
  </si>
  <si>
    <t>AHMAD RETAIL</t>
  </si>
  <si>
    <t>NVMY34535000008145</t>
  </si>
  <si>
    <t>Wan Zunaidah Bt Wan Ab Rahman</t>
  </si>
  <si>
    <t>MM-MM</t>
  </si>
  <si>
    <t>Kuala Lumpur</t>
  </si>
  <si>
    <t>11-2-1 Kelumpuk Kemunting B, Jalan 30/56 Keramat Wangsa, 54200 KL  Kuala Lumpur Kuala Lumpur - my 54200</t>
  </si>
  <si>
    <t>D5-MLT-4-141</t>
  </si>
  <si>
    <t>NVMY34535000008131</t>
  </si>
  <si>
    <t>NOR JOHANIZA BT JOHARI</t>
  </si>
  <si>
    <t>Kedah</t>
  </si>
  <si>
    <t>F413 B KAMPUNG KUALA SEDAKA 06900, YAN, KEDAH  Yan Kedah - my 06900</t>
  </si>
  <si>
    <t>A3-GRN-23-21</t>
  </si>
  <si>
    <t>NVMY34535000008158</t>
  </si>
  <si>
    <t>NURNATASYA NAJIHA</t>
  </si>
  <si>
    <t>Melaka</t>
  </si>
  <si>
    <t>NO 14 JALAN TBC 39 TAMAN BUKIT CHENG 75260 MELAKA  Melaka Melaka - my 75260</t>
  </si>
  <si>
    <t>C3-MYK-3-82</t>
  </si>
  <si>
    <t>NVMY34535000008161</t>
  </si>
  <si>
    <t>NURAZLINA JAAFAR</t>
  </si>
  <si>
    <t>Selangor</t>
  </si>
  <si>
    <t>22, JALAN KERANJI 7 TAMAN SALAK PERDANA BANDAR BARU SALAK TINGGI 43900 SEPANG, SELANGOR  Sepang Selangor - my 43900</t>
  </si>
  <si>
    <t>D4-STG-8-130</t>
  </si>
  <si>
    <t>NVMY34535000008135</t>
  </si>
  <si>
    <t>Nurul nadia</t>
  </si>
  <si>
    <t>No 632D Kg Baru Pengkalan Semeling 08100 Bedong Kedah  Bedong Kedah - my 08100</t>
  </si>
  <si>
    <t>NVMY34535000008163</t>
  </si>
  <si>
    <t>MUHAMMAD AZROY</t>
  </si>
  <si>
    <t>KEL-KEL</t>
  </si>
  <si>
    <t>Pahang</t>
  </si>
  <si>
    <t>KAMPUNG PIANGGU, 26820 KUALA ROMPIN PAHANG  Kuala Rompin Pahang - my 26820</t>
  </si>
  <si>
    <t>PHG-PHG</t>
  </si>
  <si>
    <t>NVMY34535000008139</t>
  </si>
  <si>
    <t>fadilah binti mohamad</t>
  </si>
  <si>
    <t>Negeri Sembilan</t>
  </si>
  <si>
    <t>D-016,Pasar rakyat jalan nilai 3/4 nilai 3,  71800,nilai  Negeri Sembilan  Labu Negeri Sembilan - my 71800</t>
  </si>
  <si>
    <t>C4-NIL-28-93</t>
  </si>
  <si>
    <t>NVMY34535000008141</t>
  </si>
  <si>
    <t>sis eriena</t>
  </si>
  <si>
    <t>lot 5425 jalan sheikh jalalludin , bt 29 kampung jenderam hulu 43800 dengkil selangor  Telok Panglima Garang Selangor - my 43800</t>
  </si>
  <si>
    <t>D4-BSP-8-133</t>
  </si>
  <si>
    <t>NVMY34535000008117</t>
  </si>
  <si>
    <t>NURAINAA MADIHA</t>
  </si>
  <si>
    <t>25-1 MH PLATINUM RESIDENCE JALAN GOMBAK SEJAHTERA 53000 SETAPAK KUALA LUMPUR  Kuala Lumpur Kuala Lumpur Kuala Lumpur - my 53000</t>
  </si>
  <si>
    <t>NVMY34535000008133</t>
  </si>
  <si>
    <t>Noor Diyana Binti Abu Hassan</t>
  </si>
  <si>
    <t>Pulau Pinang</t>
  </si>
  <si>
    <t>No 23, Lorong Desa Kuala Muda 16, Taman Desa Kuala Muda, 13110 Penaga, Seberang Perai Utara, Pulau Pinang  Penaga Pulau Pinang - my 13110</t>
  </si>
  <si>
    <t>B2-BTS-15-42</t>
  </si>
  <si>
    <t>NVMY34535000008165</t>
  </si>
  <si>
    <t>NURUL ATIEQA</t>
  </si>
  <si>
    <t>P3-10-08, PANGSAPURI SERI PINANG, JALAN SETIA PERMAI U13/40 SETIA ALAM, 40170 SHAH ALAM, SELANGOR  Shah Alam Selangor - my 40170</t>
  </si>
  <si>
    <t>D4-ALM-6-136</t>
  </si>
  <si>
    <t>NVMY34535000008122</t>
  </si>
  <si>
    <t>SITI MASLIZA BT ABD SAMAD</t>
  </si>
  <si>
    <t>LOT 1352 JALAN KENANGAN SIJANGKANG TELOK PANGLIMA GARANG 42500 SELANGOR  Selangor Telok Panglima Garang Selangor - my 42500</t>
  </si>
  <si>
    <t>D5-RBY-2-143</t>
  </si>
  <si>
    <t>NVMY34535000008180</t>
  </si>
  <si>
    <t>MUHD JAMALUDDIN HAKMAL</t>
  </si>
  <si>
    <t>KOKUBU FOOD LOGISTICS MALAYSIA  LOT 22204 JALAN 33/52 SEKSYEN 33 40400 SHAH ALAM SELANGOR MALAYSIA  Shah Alam Selangor - my 40400</t>
  </si>
  <si>
    <t>D2-HGT-16-115</t>
  </si>
  <si>
    <t>NVMY34535000008167</t>
  </si>
  <si>
    <t>SASHRULNIZA BIN MAT YASIN</t>
  </si>
  <si>
    <t>KG BINJAI KM5 JLN LIPIS RAUB 27200 KUALA LIPIS PAHANG DARULMAKMUR  Kuala Lipis Pahang - my 27200</t>
  </si>
  <si>
    <t>B1-LIP-17-39</t>
  </si>
  <si>
    <t>NVMY34535000008203</t>
  </si>
  <si>
    <t>MOHD AFIZ</t>
  </si>
  <si>
    <t>Kelantan</t>
  </si>
  <si>
    <t>LOT 221 KG PERMATANG GADING BUKIT ABAL 16800 PASIR PUTEH, KELANTAN  Pasir Puteh Kelantan - my 16800</t>
  </si>
  <si>
    <t>NVMY34535000008166</t>
  </si>
  <si>
    <t>MS KHOR</t>
  </si>
  <si>
    <t>ISLAND MARKETING 49 LORONG BAYU MUTIARA 2, TAMAN BAYU MUTIARA BUKIT TENGAH 14000 BUKIT MERTAJAM PULAU PINANG  Bukit Mertajam Pulau Pinang - my 14000</t>
  </si>
  <si>
    <t>NVMY34535000008200</t>
  </si>
  <si>
    <t>MADIHA BT MOHAMAD</t>
  </si>
  <si>
    <t>RPS KAMPUNG KUALA BETIS 18300 GUA MUSANG KELANTAN (KEDAI ALZUMA)  Gua Musang Kelantan - my 18300</t>
  </si>
  <si>
    <t>AB1-GUA-27-10</t>
  </si>
  <si>
    <t>NVMY34535000008173</t>
  </si>
  <si>
    <t>HAZELIN HARUN</t>
  </si>
  <si>
    <t>7-7-11, APARTMENT HIJAU RIA, JLN 1/1A, TAMAN KEPONG INDAH 52100 KUALA LUMPUR  Kuala Lumpur Kuala Lumpur - my 52100</t>
  </si>
  <si>
    <t>D5-SLG-2-142</t>
  </si>
  <si>
    <t>NVMY34535000008175</t>
  </si>
  <si>
    <t>TARMIZI DOLAH</t>
  </si>
  <si>
    <t>NO 53, JALAN BELIMBING BULUH 7/KV10, TAMAN MERU DAMAI, 42200 MERU KAPAR, SELANGOR  Kapar Selangor - my 42200</t>
  </si>
  <si>
    <t>D3-MRU-10-127</t>
  </si>
  <si>
    <t>NVMY34535000008209</t>
  </si>
  <si>
    <t>RUSUZAIMI ISHAK</t>
  </si>
  <si>
    <t>NO 33, RIMBUN RIZQI JALAN GM1, TAMAN GAU MAKMUR 28000 TEMERLOH PAHANG DARUL MAKMUR  Temerloh Pahang - my 28000</t>
  </si>
  <si>
    <t>NVMY34535000008174</t>
  </si>
  <si>
    <t>KU AYU BINTI KU ISMAIL</t>
  </si>
  <si>
    <t>314-2-5, TAMAN JADE VIEW, JLN BUKIT GAMBIR 11700 GELUGOR, PENANG  Gelugor Pulau Pinang - my 11700</t>
  </si>
  <si>
    <t>B2-FLM-15-46</t>
  </si>
  <si>
    <t>NVMY34535000008172</t>
  </si>
  <si>
    <t>NUR UMAIRAH BINTI KHAIRUL ANUAR</t>
  </si>
  <si>
    <t>NO 2, JALAN PRIMA SAUJANA 1/4C, TAMAN PRIMA SAUJANA KAJANG 43000 SELANGOR  Kajang Selangor - my 43000</t>
  </si>
  <si>
    <t>D4-BMC-6-135</t>
  </si>
  <si>
    <t>NVMY34535000008204</t>
  </si>
  <si>
    <t>NURUL FATIHAH</t>
  </si>
  <si>
    <t>PT 575 TAMAN ALAM BAYU KG MERABANG 16300 BACHOK, KELANTAN  Bachok Kelantan - my 16300</t>
  </si>
  <si>
    <t>NVMY34535000008170</t>
  </si>
  <si>
    <t>NIK HASBOLLAH</t>
  </si>
  <si>
    <t>NIK IKAN BAKAR NO 1 MEDAN SELERA MASJID KAYANGAN BRINCHANG 39100 CAMERON HIGHLANDS PAHANG  Brinchang Pahang - my 39100</t>
  </si>
  <si>
    <t>B3-CMN-13-54</t>
  </si>
  <si>
    <t>NVMY34535000008169</t>
  </si>
  <si>
    <t>NVMY34535000008197</t>
  </si>
  <si>
    <t>SAKILAH</t>
  </si>
  <si>
    <t>NO 7 JALAN PUNAI 8/6, BATU 9 KAMPUNG KEBUN BARU TAMAN BENTARA 42500 TELOK PANGLIMA GARANG, SELANGOR  Telok Panglima Garang Selangor - my 42500</t>
  </si>
  <si>
    <t>NVMY34535000008184</t>
  </si>
  <si>
    <t>ZAINI BIN YAKOB</t>
  </si>
  <si>
    <t>NO 54, JALAN SU3, TAMAN SUNGAI UDANG 76300 MELAKA  Sungai Udang Melaka - my 76300</t>
  </si>
  <si>
    <t>NVMY34535000008194</t>
  </si>
  <si>
    <t>KHAIRUL YANTI BT MOHD KHAIRI</t>
  </si>
  <si>
    <t>Perak</t>
  </si>
  <si>
    <t>NO 8, LALUAN PRISMA 8, TAMAN PENGKALAN PRISMA 31550 PUSING, BATU GAJAH, PERAK  Pusing Perak - my 31550</t>
  </si>
  <si>
    <t>B3-GAJ-13-49</t>
  </si>
  <si>
    <t>NVMY34535000008171</t>
  </si>
  <si>
    <t>DENTAL LAB NETWORKS SDN BHD</t>
  </si>
  <si>
    <t>DELNTAL LAB NETWORKS SDN BHD, NO28-D, 3RD FLOOR JALAN BRP 6/11, BUKIT RAHMAN PUTRA SUNGAI BULOH, 47000 SUNGAI BULOH, SELANGOR  Kuala Lumpur Kuala Lumpur - my 47000</t>
  </si>
  <si>
    <t>D3-SGB-14-121</t>
  </si>
  <si>
    <t>NVMY34535000008186</t>
  </si>
  <si>
    <t>SYAFI</t>
  </si>
  <si>
    <t>LOT PT (B) 257, TAMAN PENDITA, KEPAS BARU 18500 MACHANG, KELANTAN  Machang Kelantan - my 18500</t>
  </si>
  <si>
    <t>A1-MAC-27-6</t>
  </si>
  <si>
    <t>NVMY34535000008190</t>
  </si>
  <si>
    <t>PN SALMI</t>
  </si>
  <si>
    <t>MY-SUTERA SDN BHD, LOT NO 9&amp;11, JALAN TUKANG 16/4 KAWASAN PERINDUSTRIAN SEKSYEN 16, 40702 SHAH ALAM, SELANGOR  Shah Alam Selangor - my 40000</t>
  </si>
  <si>
    <t>D1-KLG-22-105</t>
  </si>
  <si>
    <t>NVMY34535000008189</t>
  </si>
  <si>
    <t>DATO ZAKBAH HARUN</t>
  </si>
  <si>
    <t>NO 41, JLN I-1 TAMAN MELAWATI 53100 KUALA LUMPUR  Hulu Langat Kuala Lumpur - my 53100</t>
  </si>
  <si>
    <t>NVMY34535000008183</t>
  </si>
  <si>
    <t>ROSLEENA ABDULLAH</t>
  </si>
  <si>
    <t>B-2-3 BLOK B APARTMENT LAGUNA BIRU 1 JLN TASEK BIRU 17 TMN TASEK BIRU 48050 RAWANG, SELANGOR  Rawang Selangor - my 48050</t>
  </si>
  <si>
    <t>NVMY34535000008207</t>
  </si>
  <si>
    <t>pikah cantek</t>
  </si>
  <si>
    <t>Pt7766 Taman Mesra  18300 Gua Musang Kelantan  Gua Musang Kelantan - my 18300</t>
  </si>
  <si>
    <t>NVMY34535000008179</t>
  </si>
  <si>
    <t>shafiqa amelia</t>
  </si>
  <si>
    <t xml:space="preserve"> 86, Jalan Dato' Jamil Rais 14/15, Seksyen 14, 46100 Petaling Jaya, Selangor  Petaling Jaya Selangor - my 46100</t>
  </si>
  <si>
    <t>D1-PJY-22-102</t>
  </si>
  <si>
    <t>NVMY34535000008187</t>
  </si>
  <si>
    <t>Ria</t>
  </si>
  <si>
    <t>Blok 11 05/54 Taman cempaka 81200 johor bahru  Johor Bahru Johor - my 81200</t>
  </si>
  <si>
    <t>C1-KEM-7-74</t>
  </si>
  <si>
    <t>NVMY34535000008198</t>
  </si>
  <si>
    <t>NURUL KHAUSAR</t>
  </si>
  <si>
    <t>LOT 2961 E, KAMPUNG PAYA JARAS TENGAH 47000 SUNGAI BULOH, SELANGOR  Kuala Lumpur Kuala Lumpur - my 47000</t>
  </si>
  <si>
    <t>NVMY34535000008214</t>
  </si>
  <si>
    <t>NURUL HIDAYAH BINTI ZALI</t>
  </si>
  <si>
    <t>29, JALAN LUMPIT 11 TAMAN TERATAI 81110 SKUDAI, JOHOR  Gelang Patah Johor - my 81110</t>
  </si>
  <si>
    <t>C1-SEN-7-73</t>
  </si>
  <si>
    <t>NVMY34535000008182</t>
  </si>
  <si>
    <t>MAHENDRAN GANESAN</t>
  </si>
  <si>
    <t>NO 91 JALAN BURUNG TEKUKUR TAMAN BUKIT MALURI KEPONG KUALA LUMPUR 52100 MALAYSIA   Kuala Lumpur Kuala Lumpur - my 52100</t>
  </si>
  <si>
    <t>D1-KEP-22-103</t>
  </si>
  <si>
    <t>NVMY34535000008208</t>
  </si>
  <si>
    <t>FARINA</t>
  </si>
  <si>
    <t>no 56, berlian 14, taman cahaya masai. 81700 pasir gudang  Pasir Gudang Johor - my 81700</t>
  </si>
  <si>
    <t>C1-MAS-7-70</t>
  </si>
  <si>
    <t>NVMY34535000008192</t>
  </si>
  <si>
    <t>Zaharuddin Bin Abdul Razak</t>
  </si>
  <si>
    <t>PD2/120 Jalan Rompin Lama, 26600 Pekan,Pahang  Pekan Pahang - my 26600</t>
  </si>
  <si>
    <t>NVMY34535000008177</t>
  </si>
  <si>
    <t>Pannita Anggara</t>
  </si>
  <si>
    <t>Kedai runcit Jamilah Dan Sharifah No.8A, Jalan Ungku Mohsin, Johor Bahru   Johor Bahru Johor - my 80350</t>
  </si>
  <si>
    <t>C1-LKN-7-72</t>
  </si>
  <si>
    <t>NVMY34535000008217</t>
  </si>
  <si>
    <t>SYAHIRA NABILA</t>
  </si>
  <si>
    <t>LOT 449 KAMPUNG WAKAF POHON TANJUNG PERUPOK 16300 BACHOK KELANTAN  Bachok Kelantan - my 16300</t>
  </si>
  <si>
    <t>NVMY34535000008188</t>
  </si>
  <si>
    <t>Amiera aziz</t>
  </si>
  <si>
    <t>Kampung pulau Besar sungai Pinang, Tumpat Kelantan  Tumpat Kelantan - my 16200</t>
  </si>
  <si>
    <t>NVMY34535000008202</t>
  </si>
  <si>
    <t>NURUL AFIRA</t>
  </si>
  <si>
    <t>NO E05/78, RUMAH KAKITANGAN FELDA SIBOL JALAN TERATAI 81440 JOHOR  Bandar Tenggara Johor - my 81440</t>
  </si>
  <si>
    <t>C1-KLI-7-69</t>
  </si>
  <si>
    <t>NVMY34535000008210</t>
  </si>
  <si>
    <t>NURUL IZZATI</t>
  </si>
  <si>
    <t>1035, MUKIM 9, TANAH LIAT 14000 BUKIT MERTAJAM PULAU PINANG  Bukit Mertajam Pulau Pinang - my 14000</t>
  </si>
  <si>
    <t>B2-BKM-15-47</t>
  </si>
  <si>
    <t>NVMY34535000008193</t>
  </si>
  <si>
    <t>WANA</t>
  </si>
  <si>
    <t>M15 JALAN MELUR 1 TAMAN MELUR 06000 JITRA, KEDAH  Jitra Kedah - my 06000</t>
  </si>
  <si>
    <t>NVMY34535000008212</t>
  </si>
  <si>
    <t>MOHAMMAD EDDY BIN MOHD JOHAN</t>
  </si>
  <si>
    <t>9 JALAN KEBANGSAAN 62 TAMAN UNIVERSITI SKUDAI 81300 JOHOR BAHRU, JOHOR  Johor Bahru Johor - my 81300</t>
  </si>
  <si>
    <t>C1-NSJ-9-65</t>
  </si>
  <si>
    <t>NVMY34535000008191</t>
  </si>
  <si>
    <t>MOHD HASNI BIN MOHD NASIR</t>
  </si>
  <si>
    <t>KETUA POLIS DAERAH IPD MUALIM 35800 SLIM RIVER, PERAK  Slim River Perak - my 35800</t>
  </si>
  <si>
    <t>B3-SLM-13-50</t>
  </si>
  <si>
    <t>NVMY34535000008147</t>
  </si>
  <si>
    <t>Hajah Siti Hasmah Bte Hj Md Zamzam  ( Bengkurong)</t>
  </si>
  <si>
    <t>Sarawak</t>
  </si>
  <si>
    <t>Lot 303 KAMPUNG KUBONG  Limbang Sarawak 98750   Nanga Medamit Sarawak - my 98750</t>
  </si>
  <si>
    <t>EMSIA</t>
  </si>
  <si>
    <t>NVMY34535000008206</t>
  </si>
  <si>
    <t>SAIFUL AZMAN BIN MOHAMED</t>
  </si>
  <si>
    <t>JAMBATAN PENYIARAN MALAYSIA TINGKAT 1, WISMA BERITA SEKSYEN FASILITI TEKNIKAL BERITA TV 50614 ANGKASAPURI, KUALA LUMPUR  Kuala Lumpur Kuala Lumpur - my 50614</t>
  </si>
  <si>
    <t>NVMY34535000008185</t>
  </si>
  <si>
    <t>SITI HAJAR RAMLI</t>
  </si>
  <si>
    <t>31-02 IMPIANA SKY RESIDENSI, 3 JALAN BUKIT JALIL INDAH 57000 BUKIT JALIL KUALA LUMPUR  Kuala Lumpur Kuala Lumpur - my 57000</t>
  </si>
  <si>
    <t>D2-TPK-20-106</t>
  </si>
  <si>
    <t>NVMY34535000008213</t>
  </si>
  <si>
    <t>NORAIZAH ABDUL SAMAH</t>
  </si>
  <si>
    <t>32-04-07 FLAT SRI MELAKA CHERAS 56000 KUALA LUMPUR  Kuala Lumpur Kuala Lumpur - my 56000</t>
  </si>
  <si>
    <t>NVMY34535000008224</t>
  </si>
  <si>
    <t>NAZRI BIN KOTEK</t>
  </si>
  <si>
    <t>SMU(A) DARUL IMAN BERIS LALANG BACHOK 16370, KELANTAN  Bachok Kelantan - my 16300</t>
  </si>
  <si>
    <t>NVMY34535000008226</t>
  </si>
  <si>
    <t>ANUAR BIN ABD RAHMAN</t>
  </si>
  <si>
    <t>Terengganu</t>
  </si>
  <si>
    <t>NO 685 PLPP WILAYAH TIMUR LORONG MUKHLISIN LALUAN PERSEKUTUAN KAMPUNG TOK DOR BESUT, TERENGGANU  Jerteh Terengganu - my 22000</t>
  </si>
  <si>
    <t>TGG-TGG</t>
  </si>
  <si>
    <t>NVMY34535000008227</t>
  </si>
  <si>
    <t>MIOR MOHD JEFRI BIN MIOR AZINAN</t>
  </si>
  <si>
    <t>LOT 9 JALAN TEMPINIS KAMPUNG TENGAH BATU 13, 47100 PUCHONG, SELANGOR  Telok Panglima Garang Selangor - my 47100</t>
  </si>
  <si>
    <t>NVMY34535000008201</t>
  </si>
  <si>
    <t>LINDA YUSOF</t>
  </si>
  <si>
    <t>122-J, LENGKOK SUNGAI PINANG 10150 GEORGETOWN PULAU PINANG  Pulau Pinang Pulau Pinang - my 10150</t>
  </si>
  <si>
    <t>B2-GEO-15-44</t>
  </si>
  <si>
    <t>NVMY34535000008216</t>
  </si>
  <si>
    <t>HAIZAM</t>
  </si>
  <si>
    <t>10 A-E JALAN KENANGA KG SURA TENGAH 23000 DUNGUN TERENGGANU  Dungun Terengganu - my 23000</t>
  </si>
  <si>
    <t>NVMY34535000008199</t>
  </si>
  <si>
    <t>Hazwani Amira</t>
  </si>
  <si>
    <t>20, Jalan Damar SD15/3, Bandar Sri Damansara, 52200, Kuala Lumpur  Kuala Lumpur Kuala Lumpur - my 52200</t>
  </si>
  <si>
    <t>NVMY34535000008223</t>
  </si>
  <si>
    <t>Adi aiman</t>
  </si>
  <si>
    <t>SKN 212 HANDAU, Pangakalan Udara Gong Kedak Besut, 22000 Terengganu  Jerteh Terengganu - my 22000</t>
  </si>
  <si>
    <t>NVMY34535000008219</t>
  </si>
  <si>
    <t>Lau Kok Kuan</t>
  </si>
  <si>
    <t>Sabah</t>
  </si>
  <si>
    <t>Ka Ka Trading PLT, WDT 146, MDKNK 2331, Bangunan Kunak Plaza, 91207 Kunak, Sabah  Kunak Sabah - my 91207</t>
  </si>
  <si>
    <t>E2-KNK-1-166</t>
  </si>
  <si>
    <t>NVMY34535000008222</t>
  </si>
  <si>
    <t>SITI ZAINAB BINTI JAMALUDIN</t>
  </si>
  <si>
    <t>C 6 PLS 13 JALAN KLUANG PARIT LAPIS SEMARANG 86400 PARIT RAJA BATU PAHAT JOHOR BAHRU, JOHOR  Parit Raja Johor - my 86400</t>
  </si>
  <si>
    <t>C2-HTM-5-81</t>
  </si>
  <si>
    <t>NVMY34535000008220</t>
  </si>
  <si>
    <t>NVMY34535000008250</t>
  </si>
  <si>
    <t>NIK NUR HAZWANIE</t>
  </si>
  <si>
    <t>UNIT HAEMODIALISIS ARAS 3 BILIK 3 BANGUNAN PAKAR HARIAN SACC HOSPITAL KUALA LUMPUR JALAN PAHANG 50586 KUALA LUMPUR  Kuala Lumpur Kuala Lumpur - my 50586</t>
  </si>
  <si>
    <t>D2-CKT-18-112</t>
  </si>
  <si>
    <t>NVMY34535000008249</t>
  </si>
  <si>
    <t>PUAN HALIMAH BT AB RAHMAN</t>
  </si>
  <si>
    <t>BLOCK C 80A KG MELAYU SRI KUNDANG 48050 RAWANG SELANGOR  Rawang Selangor - my 48050</t>
  </si>
  <si>
    <t>NVMY34535000008242</t>
  </si>
  <si>
    <t>JAMILAH IBRAHIM</t>
  </si>
  <si>
    <t>IBU PEJABAT POLIS DAERAH POLIS DIRAJA MALAYSIA JERTEH, 22200 BESUT TERENGGANU  Kampung Raja Terengganu - my 22200</t>
  </si>
  <si>
    <t>NVMY34535000008168</t>
  </si>
  <si>
    <t>ANUAR BIN SELI</t>
  </si>
  <si>
    <t>BAHAGIAN INSTITUSI PELADANG IBU PEJABAT JABATAN PERTANIAN NEGERI SARAWAK TINGKAT 13 MENARA PELITA, JLN TUN ABDUL RAHMAN YAKUB 93050 PETRA JAYA KUCHING, SARAWAK  Kuching Sarawak - my 93050</t>
  </si>
  <si>
    <t>NVMY34535000008239</t>
  </si>
  <si>
    <t>ARMOUR SECURITY SYSTEM (M) SDN BHD</t>
  </si>
  <si>
    <t>NO 5578-D, TAMAN DESA TELIPOT 15150 KOTA BHARU KELANTAN  Kota Bharu Kelantan - my 15150</t>
  </si>
  <si>
    <t>NVMY34535000008232</t>
  </si>
  <si>
    <t>MOHD ZULKIMAN ZAKARIA</t>
  </si>
  <si>
    <t>PT 1811 LORONG 14, TAMAN DESA SBJ PUTRA PASIR PEKAN 16250 WAKAF BHARU, KELANTAN  Wakaf Bharu Kelantan - my 16250</t>
  </si>
  <si>
    <t>NVMY34535000008215</t>
  </si>
  <si>
    <t>MUHAMAD MUAZ BIN MOHAMAD ZAKI</t>
  </si>
  <si>
    <t>DARUL QURAN JAKIM 44000 AMPANG PECHAH HULU SELANGOR  Kuala Lumpur Kuala Lumpur - my 44000</t>
  </si>
  <si>
    <t>D3-KKB-12-124</t>
  </si>
  <si>
    <t>NVMY34535000008230</t>
  </si>
  <si>
    <t>ROSTIJOY</t>
  </si>
  <si>
    <t>SALAM NOODLES,43 JALAN WARISAN MEGAH 1/5,KOTA WARISAN SEPANG RUMAH ATAS KEDAI SALAM NOODLES TINGKAT 2 PINTU KIRIR 43900 SEPANG SELANGOR   Sepang Selangor - my 43900</t>
  </si>
  <si>
    <t>NVMY34535000008246</t>
  </si>
  <si>
    <t>ATTN PN. SALMI</t>
  </si>
  <si>
    <t>MY-SUTERA SDN  BHD LOT NO 9 &amp; 11, JALAN TUKANG 16/4 KAWASAN PERINDUSTRIAN SEKSYEN 16, 40702 SHAH ALAM SELANGOR  Shah Alam Selangor - my 40000</t>
  </si>
  <si>
    <t>NVMY34535000008243</t>
  </si>
  <si>
    <t>KOO HUI CHEN</t>
  </si>
  <si>
    <t>NO 20A JALAN RODAT 2, BANDAR BUKIT RAJA 41050 KLANG, SELANGOR  Klang Selangor - my 41050</t>
  </si>
  <si>
    <t>NVMY34535000008181</t>
  </si>
  <si>
    <t>SPEED SYNERGY TRADING SDN BHD</t>
  </si>
  <si>
    <t>SPEED SYNERGY TRADING SDN BHD NO 19-01 BANGUNAN PJ21 , JALAN SS3/39 , SUNGAI WAY , 46300 PETALING JAYA SELANGOR   Petaling Jaya Selangor - my 46300</t>
  </si>
  <si>
    <t>NVMY34535000008178</t>
  </si>
  <si>
    <t>Returned to Sender</t>
  </si>
  <si>
    <t>Khairul manja</t>
  </si>
  <si>
    <t xml:space="preserve"> kg perigi Semporna Sabah 91308 </t>
  </si>
  <si>
    <t>A1-KBR-29-4</t>
  </si>
  <si>
    <t>NVMY34535000008218</t>
  </si>
  <si>
    <t>MUHD AKMAL MUZAMMIL  BIN ABDIUL AZIZ</t>
  </si>
  <si>
    <t>448 A KAMPUNG RHU MUDA SEBERANG MARANG TERENGGANU  Terengganu Marang Terengganu - my 21600</t>
  </si>
  <si>
    <t>NVMY34535000008229</t>
  </si>
  <si>
    <t>NVMY34535000008234</t>
  </si>
  <si>
    <t>HUSIN HJ OMAR</t>
  </si>
  <si>
    <t>NO E-G-03 JALAN TBK 1/10 PANGSAPURI MELUR TAMAN BUKIT KINRARA 47180 PUCHONG, SELANGOR  Puchong Selangor - my 47180</t>
  </si>
  <si>
    <t>NVMY34535000008225</t>
  </si>
  <si>
    <t>JOEMIN</t>
  </si>
  <si>
    <t>UNIT 70-2-88, D'PIAZZA MALL, JALAN MAHSURI 11900 BAYAN LEPAS, PENANG  Bayan Lepas Pulau Pinang - my 11900</t>
  </si>
  <si>
    <t>B2-BAY-15-45</t>
  </si>
  <si>
    <t>NVMY34535000008196</t>
  </si>
  <si>
    <t>Yeong Mee ping</t>
  </si>
  <si>
    <t>No.193 Lot 1384 Lorong 6 Jalan Sentebu Taman Susur Jambu, 96100, Sarikei, Sarawak  Sarikei Sarawak - my 96100</t>
  </si>
  <si>
    <t>NVMY34535000008211</t>
  </si>
  <si>
    <t>LOGENDRAN GANESON</t>
  </si>
  <si>
    <t>KENVEU LOT 3&amp;5 JALAN TANDANG 46050 PETALING JAYA, SELANGOR  Selangor Petaling Jaya Selangor - my 46050</t>
  </si>
  <si>
    <t>NVMY34535000008124</t>
  </si>
  <si>
    <t>YASMIN JEFFRI</t>
  </si>
  <si>
    <t xml:space="preserve">138, LORONG BAKTI 1 JALAN SULTAN TENGAH SEMARIANG 93050 KUCHING, SARAWAK </t>
  </si>
  <si>
    <t>NVMY34535000008228</t>
  </si>
  <si>
    <t>EADA</t>
  </si>
  <si>
    <t>C-10-13 , ENDAH RIA CONDOMINIUM , JALAN 3/149E , TAMAN SRI ENDAH , KUALA LUMPUR , 57000 , KUALA LUMPUR  Kuala Lumpur Kuala Lumpur - my 57000</t>
  </si>
  <si>
    <t>D2-OUG-20-108</t>
  </si>
  <si>
    <t>NVMY34535000008205</t>
  </si>
  <si>
    <t>NURUL ATHIRAH</t>
  </si>
  <si>
    <t>NO 26 TAMAN PUTRA JALAN KAPAR SETIA 23, 42200 KAPAR KLANG, SELANGOR  Kapar Selangor - my 42200</t>
  </si>
  <si>
    <t>NVMY34535000008240</t>
  </si>
  <si>
    <t>SHURA MALEK</t>
  </si>
  <si>
    <t>NO 11 SERI SUTERA B2, BANDAR SERI BOTANI 31350 IPOH PERAK  Ipoh Perak - my 31350</t>
  </si>
  <si>
    <t>NVMY34535000008241</t>
  </si>
  <si>
    <t>ZINAB BINTI MAN</t>
  </si>
  <si>
    <t>TASCO BERHAD , 1441 , LORONG PERUSAHAAN MAJU 8 , PRAI , INDUSTRIAL ESTATE , 13600 , PRAI , PENANG   Perai Pulau Pinang - my 13600</t>
  </si>
  <si>
    <t>NVMY34535000008231</t>
  </si>
  <si>
    <t>SABRI BIN ROSLI</t>
  </si>
  <si>
    <t>NO 2 LALUAN INDAH 5, TAMAN RAIA INDAH 31300 KG KEPAYANG, PERAK  Kampung Kepayang Perak - my 31300</t>
  </si>
  <si>
    <t>B3-HLD-13-48</t>
  </si>
  <si>
    <t>NVMY34535000008272</t>
  </si>
  <si>
    <t>SHAFIKA</t>
  </si>
  <si>
    <t>NO 29 LORONG GB 1/34 RESIDENSI PRIMA GAMBANG BARU 1, 26300 KUANTAN  Gambang Pahang - my 26300</t>
  </si>
  <si>
    <t>NVMY34535000008221</t>
  </si>
  <si>
    <t>DSOFEACONCEPT</t>
  </si>
  <si>
    <t>LOT PTB 16550 NO 12-1 , JALAN STADIUM MUAR , 84000 MUAR JOHOR  Muar Johor - my 84000</t>
  </si>
  <si>
    <t>NVMY34535000008258</t>
  </si>
  <si>
    <t>MOHD ROSHDAN HAZIMI BIN A RASHID</t>
  </si>
  <si>
    <t>KB1 KAMPUNG BELUKAR BATU 3 1/2, JALAN GAMBANG 25150 KUANTAN PAHANG  Kuantan Pahang - my 25150</t>
  </si>
  <si>
    <t>B1-KUA-19-28</t>
  </si>
  <si>
    <t>NVMY34535000008233</t>
  </si>
  <si>
    <t>MOHD JUZAILI BIN MOHAMOOD</t>
  </si>
  <si>
    <t>KLINIK DESA BATU 4 JALAN FELCRA 86600 KLUANG, JOHOR  Paloh Johor - my 86600</t>
  </si>
  <si>
    <t>C2-KLU-5-76</t>
  </si>
  <si>
    <t>NVMY34535000008143</t>
  </si>
  <si>
    <t>Azinah binti Mohammad</t>
  </si>
  <si>
    <t>No11 Lorong Hj Namat Kampung Sungai Chengkeh  82300 Serkat Pontian Johor  Kukup Johor - my 82300</t>
  </si>
  <si>
    <t>C1-PTN-9-66</t>
  </si>
  <si>
    <t>NVMY34535000008261</t>
  </si>
  <si>
    <t>RUSMADY BIN MOHAMMAD</t>
  </si>
  <si>
    <t>C-02-07 FLAT RAMPAI IDAMAN, JALAN PJU 10/9 PRIMA  DAMANSARA 47830 PETALING JAYA, SELANGOR  Petaling Jaya Selangor - my 47830</t>
  </si>
  <si>
    <t>NVMY34535000008235</t>
  </si>
  <si>
    <t>MUHAMMAD KHAIRI</t>
  </si>
  <si>
    <t>C-G-10 TAMAN SAHABAT, JALAN GERTAK SANGGUL, TELUK KUMBAR 11920 BAYAN LEPAS PULAU PINANG  Bayan Lepas Pulau Pinang - my 11920</t>
  </si>
  <si>
    <t>NVMY34535000008254</t>
  </si>
  <si>
    <t>IZMER AMIN</t>
  </si>
  <si>
    <t>KEDAI HIJAU KAMPUNG LALANG KUALA LIPIS 27200 PAHANG  Kuala Lipis Pahang - my 27200</t>
  </si>
  <si>
    <t>NVMY34535000008247</t>
  </si>
  <si>
    <t>YAYA YUSOF</t>
  </si>
  <si>
    <t>NO 13, LINTANG BERLIAN INDAH 2, TAMAN BERLIAN INDAH 34950 BANDAR BARU KEDAH  Bandar Baharu Kedah - my 34950</t>
  </si>
  <si>
    <t>B3-BAG-11-58</t>
  </si>
  <si>
    <t>NVMY34535000008271</t>
  </si>
  <si>
    <t>MUHD RUSLI</t>
  </si>
  <si>
    <t>11-3-07 GUGUSAN SEMARAK JALAN CAMAR PJU 4/7 SEKSYEN 4 KOTA DAMANSARA 47810 PETALING JAYA, SELANGOR  Petaling Jaya Selangor - my 47810</t>
  </si>
  <si>
    <t>D1-DAM-26-97</t>
  </si>
  <si>
    <t>NVMY34535000008245</t>
  </si>
  <si>
    <t>NUR AIDA</t>
  </si>
  <si>
    <t>TINGKAT 4, C2-04-02 JALAN MAKLAGAM FLAT DESA KELAURGA KG FIKRI 24000 CUKAI TERENGGANU  Ayer Puteh Terengganu - my 24000</t>
  </si>
  <si>
    <t>B1-CHU-19-29</t>
  </si>
  <si>
    <t>NVMY34535000008237</t>
  </si>
  <si>
    <t>SAFREN</t>
  </si>
  <si>
    <t>NO 4284 JLN SJ 4/2 TAMAN SEREMBAN JAYA 70450 NEGERI SEMBILAN  Seremban Negeri Sembilan - my 70450</t>
  </si>
  <si>
    <t>NVMY34535000008236</t>
  </si>
  <si>
    <t>MAZLINA MUHAMAD</t>
  </si>
  <si>
    <t>171  JALAN SENAI UTAMA 5/16 TAMAN SENAI.UTAMA 81400 SENAI JOHOR  Senai Johor - my 81400</t>
  </si>
  <si>
    <t>NVMY34535000008265</t>
  </si>
  <si>
    <t>Wani</t>
  </si>
  <si>
    <t>BG-01 jalan 1/18 seksyen 1 bandar teknologi 43500 Semenyih Selangor  Shah Alam Selangor - my 43500</t>
  </si>
  <si>
    <t>NVMY34535000008238</t>
  </si>
  <si>
    <t>ALIF IQBAL</t>
  </si>
  <si>
    <t>GEO RESORT &amp; HOTEL JALAN PERMAI 2, GENTING PERMAI AVENUE 69000 GENTING HIGHLANDS PAHANG DARUL MAKMUR  Genting Highlands Pahang - my 69000</t>
  </si>
  <si>
    <t>NVMY34535000008264</t>
  </si>
  <si>
    <t>nurizzati binti mohd yusoff</t>
  </si>
  <si>
    <t>998 kampung tanjung che mas 16200 tumpat kelantan  Tumpat Kelantan - my 16200</t>
  </si>
  <si>
    <t>NVMY34535000008256</t>
  </si>
  <si>
    <t>Muhammad Bin Othman</t>
  </si>
  <si>
    <t>D-19-14, PERUMAHAN PDRM SRI KERAMAT AU1, JLN AU 1C/1, TAMAN KERAMAT 54200 BANDAR ULU KELANG GOMBAK, SELANGOR  Kuala Lumpur Kuala Lumpur - my 54200</t>
  </si>
  <si>
    <t>NVMY34535000008244</t>
  </si>
  <si>
    <t>NIK SUMIRA NIK SHAPIK</t>
  </si>
  <si>
    <t>NO 17 TINGKAT 2, BLOK A, RUMAH PANGSA, JLN LENGKUNGAN 81000 KULAI JOHOR BAHRU, JOHOR  Kulai Johor - my 81000</t>
  </si>
  <si>
    <t>NVMY34535000008302</t>
  </si>
  <si>
    <t>AZLINA BINTI HJ DAUD</t>
  </si>
  <si>
    <t>NO 17 JALAN TUPAI TIGA 20/16C SEKSYEN 20, 40300 SHAH ALAM, SELANGOR  Shah Alam Selangor - my 40300</t>
  </si>
  <si>
    <t>D1-SHA-26-95</t>
  </si>
  <si>
    <t>NVMY34535000008253</t>
  </si>
  <si>
    <t>Ahmilah binti hamdzah</t>
  </si>
  <si>
    <t>No 33 jln manis 3,  tmn manis,  86400 parit raja,  batu pahat, johor  Parit Raja Johor - my 86400</t>
  </si>
  <si>
    <t>NVMY34535000008300</t>
  </si>
  <si>
    <t>AMIELIA</t>
  </si>
  <si>
    <t>KK1, UNIVERSITI MALAYSIA PAHANG AL-SULTAN ABDULLAH, LEBUH PERSIARAN TUN KHALIL YAAKOB 26300 GAMBANG PAHANG DARUL MAKMUR  Gambang Pahang - my 26300</t>
  </si>
  <si>
    <t>NVMY34535000008268</t>
  </si>
  <si>
    <t>MOHAMAD MAHIDIN BIN MD TAHIR</t>
  </si>
  <si>
    <t>POS 270 PARIT AMAL JALAN TEMENGGONG AHMAD 84000 MUAR JOHOR  Muar Johor - my 84000</t>
  </si>
  <si>
    <t>NVMY34535000008279</t>
  </si>
  <si>
    <t>DATIN HASYA ATIRA</t>
  </si>
  <si>
    <t>NO 4 LORONG 12 TAMAN IMPIANKU JALAN SUNGAI LEMBING 25200 KUANTAN PAHANG  Kuantan Pahang - my 25200</t>
  </si>
  <si>
    <t>NVMY34535000008266</t>
  </si>
  <si>
    <t>nurul farahin</t>
  </si>
  <si>
    <t>no 27 jln pertanian 47  tmn universiti  81300 skudai johor  Johor Bahru Johor - my 81300</t>
  </si>
  <si>
    <t>NVMY34535000008286</t>
  </si>
  <si>
    <t>FATHIA HAZIRAH M.FARIDZUL</t>
  </si>
  <si>
    <t>796, LORONG KEMUNTING, KAMPUNG PASIR PANJANG 21100 KUALA TERENGGANU  Kuala Terengganu Terengganu - my 21100</t>
  </si>
  <si>
    <t>NVMY34535000008270</t>
  </si>
  <si>
    <t>SITI NORBAYA BINTI MD YUNOS</t>
  </si>
  <si>
    <t>NO 50P PESTA 1 KG KENANGAN TUN DR ISMAIL 84000 MUAR, JOHOR  Muar Johor - my 84000</t>
  </si>
  <si>
    <t>C2-MUA-5-79</t>
  </si>
  <si>
    <t>NVMY34535000008260</t>
  </si>
  <si>
    <t>SHAFINAS</t>
  </si>
  <si>
    <t>NO 26 LORONG 28 TAMAN MEWAH 34600 KAMUNTING PERAK  Kamunting Perak - my 34600</t>
  </si>
  <si>
    <t>NVMY34535000008276</t>
  </si>
  <si>
    <t>NORWANI BINTI ALI</t>
  </si>
  <si>
    <t>LOT 109 KG MELAYU SUNGAI BULOH 47000 PETALING JAYA SELANGOR  Kuala Lumpur Kuala Lumpur - my 47000</t>
  </si>
  <si>
    <t>NVMY34535000008252</t>
  </si>
  <si>
    <t>YUSNIZA BT MAT YUSOF</t>
  </si>
  <si>
    <t>KUARTERS MERANTI JALAN ABDUL RAHMAN ALI (FRIM) 52109 KEPONG, SELANGOR  Kuala Lumpur Kuala Lumpur - my 52100</t>
  </si>
  <si>
    <t>NVMY34535000008259</t>
  </si>
  <si>
    <t>RAZIAH JANUDIN</t>
  </si>
  <si>
    <t>NO 185 JALAN PERDANA 6 TAMAN BUKIT PERDANA 71050 PORT DICKSON NEGERI SEMBILAN  Si Rusa Negeri Sembilan - my 71050</t>
  </si>
  <si>
    <t>C4-PDS-28-90</t>
  </si>
  <si>
    <t>NVMY34535000008248</t>
  </si>
  <si>
    <t>JOAN CHEN YOOK CHIN</t>
  </si>
  <si>
    <t>26,LALUAN PANORAMA 3 TAMAN PANORAMA RAPAT INSAN 31350 IPOH, PERAK  Ipoh Perak - my 31350</t>
  </si>
  <si>
    <t>NVMY34535000008275</t>
  </si>
  <si>
    <t>NUR AMIRA FARHANA</t>
  </si>
  <si>
    <t>14A JALAN REJANG 7 TAMAN SETAPAK JAYA 53000 KUALA LUMPUR  Kuala Lumpur Kuala Lumpur - my 53300</t>
  </si>
  <si>
    <t>D1-WMJ-24-98</t>
  </si>
  <si>
    <t>NVMY34535000008110</t>
  </si>
  <si>
    <t>Nur Syahirah hasim</t>
  </si>
  <si>
    <t>309 kesedar Paloh 2 18300 gua musang,  Kelantan  Kelantan -</t>
  </si>
  <si>
    <t>NVMY34535000008288</t>
  </si>
  <si>
    <t>FARAH</t>
  </si>
  <si>
    <t>530 JALAN SEKOLAH KEBANGSAAN CHENDERING 21080 KUALA TERENGGANU  Kuala Terengganu Terengganu - my 21080</t>
  </si>
  <si>
    <t>NVMY34535000008301</t>
  </si>
  <si>
    <t>NUR AIN SHAHIRAH BINTI WAHAB</t>
  </si>
  <si>
    <t>KAMPUNG SENTOL PATAH 21600 MARANG, TERENGGANU  Marang Terengganu - my 21600</t>
  </si>
  <si>
    <t>NVMY34535000008257</t>
  </si>
  <si>
    <t>NAZATUL</t>
  </si>
  <si>
    <t>EMPIRE CITY DAMANSARA, BLOCK M-23-01, JALAN DAMANSARA, DAMANSARA PERDANA, 47820 SUNGAI BULOH 60000 PETALING SELANGOR  Kuala Lumpur Kuala Lumpur - my 60000</t>
  </si>
  <si>
    <t>NVMY34535000008255</t>
  </si>
  <si>
    <t>yatie awang</t>
  </si>
  <si>
    <t>6912 taman fikri 2, fasa 4 24000 kemaman, terenggnu  Ayer Puteh Terengganu - my 24000</t>
  </si>
  <si>
    <t>NVMY34535000008263</t>
  </si>
  <si>
    <t>MUHAMMAD NADZHIR BIN JALIL</t>
  </si>
  <si>
    <t>PT9419 , JALAN KETAPANG , TAMAN BUKIT KUANG SEJAHTERA 24000 CHUKAI KEMAMAN TERENGGANU   Ayer Puteh Terengganu - my 24000</t>
  </si>
  <si>
    <t>NVMY34535000008297</t>
  </si>
  <si>
    <t>JUNAIDAH BINTI KAMARUDDIN</t>
  </si>
  <si>
    <t>LOT 6451 JALAN TERATAI 4, KAMPUNG PAYA JARAS HILIR 47000 SUNGAI BULOH SELANGOR DARUL EHSAN  Kuala Lumpur Kuala Lumpur - my 47000</t>
  </si>
  <si>
    <t>NVMY34535000008295</t>
  </si>
  <si>
    <t>Suhaini Hanapi</t>
  </si>
  <si>
    <t>40 Jalan Batu Jauhar 6, Taman Rowther 68100 Batu Caves Selangor  Batu Caves Selangor - my 68100</t>
  </si>
  <si>
    <t>D1-CAV-24-99</t>
  </si>
  <si>
    <t>NVMY34535000008284</t>
  </si>
  <si>
    <t>ZULKEPLI BIN MAT ISA</t>
  </si>
  <si>
    <t>NO 15, JLN KESUMA 7/2 FASA 3 BANDAR TASIK KESUMA 43700 BERANANG, SELANGOR  Beranang Selangor - my 43700</t>
  </si>
  <si>
    <t>D4-SYH-8-131</t>
  </si>
  <si>
    <t>NVMY34535000008291</t>
  </si>
  <si>
    <t>TENGKU MAHSURI</t>
  </si>
  <si>
    <t>Perlis</t>
  </si>
  <si>
    <t>MINI MART PELADANG KAWASAN BESERI KM 11 JALAN KAKI BUKIT 02400 KANGAR PERLIS   Kangar Perlis - my 02400</t>
  </si>
  <si>
    <t>A3-BSR-23-22</t>
  </si>
  <si>
    <t>NVMY34535000008310</t>
  </si>
  <si>
    <t>MOHD FAKULRAZI</t>
  </si>
  <si>
    <t>MF GARAGE ENTERPRISE LOT 31 001A, JALAN SUASA 5, 57000 SUNGAI BESI KUALA LUMPUR  Kuala Lumpur Kuala Lumpur - my 57000</t>
  </si>
  <si>
    <t>D3-BTR-12-125</t>
  </si>
  <si>
    <t>NVMY34535000008311</t>
  </si>
  <si>
    <t>IMA</t>
  </si>
  <si>
    <t>NO 39 JALAN PJS 26/6 TAMAN DATO HARUN 46000 PETALING JAYA, SELANGOR  Petaling Jaya Selangor - my 46000</t>
  </si>
  <si>
    <t>D1-SUN-24-101</t>
  </si>
  <si>
    <t>NVMY34535000008308</t>
  </si>
  <si>
    <t>MFR GARAGE ENTERPRISE JALAN SUASA 5 LOT 31, 001A 57000 SUNGAI BESI KUALA LUMPUR WILAYAH PERSEKUTUAN  Kuala Lumpur Kuala Lumpur - my 57000</t>
  </si>
  <si>
    <t>NVMY34535000008273</t>
  </si>
  <si>
    <t>LAILATUL ZAFIRAH BINTI MOHD ZAKI</t>
  </si>
  <si>
    <t>NO 310 KUARTERS GURU SMKA, 35800 SLIM RIVER, PERAK  Slim River Perak - my 35800</t>
  </si>
  <si>
    <t>NVMY34535000008304</t>
  </si>
  <si>
    <t>FARHANA</t>
  </si>
  <si>
    <t>140, LORONG 6 BANDAR UTAMA 08000 SUNGAI PETANI, KEDAH  Sungai Petani Kedah - my 08000</t>
  </si>
  <si>
    <t>A3-SPT-23-18</t>
  </si>
  <si>
    <t>NVMY34535000008299</t>
  </si>
  <si>
    <t>SYAHRIL HAKIMI</t>
  </si>
  <si>
    <t>NO 1994 PERSIARAN PUTRI 3/33 TAMAN CHANDAN PUTRI FASA 5 33000 KUALA KANGKSAR PERAK DARUL RIDZUAN  Kuala Kangsar Perak - my 33000</t>
  </si>
  <si>
    <t>B3-SAR-11-57</t>
  </si>
  <si>
    <t>NVMY34535000008296</t>
  </si>
  <si>
    <t>SUZILAH NOORBIN</t>
  </si>
  <si>
    <t>SUZILAH NOORBIN MAHKAMAH-MAHKAMAH SABAH, MAHKAMAH MAJISTRET LAHAD DATU 91111 LAHAD DATU, SABAH  Lahad Datu Sabah - my 91111</t>
  </si>
  <si>
    <t>NVMY34535000008282</t>
  </si>
  <si>
    <t>SYAIFUL HANAFI</t>
  </si>
  <si>
    <t>NO 20 JALAN MUSTAPHA, 80100 JOHOR BAHRU  Johor Bahru Johor - my 80100</t>
  </si>
  <si>
    <t>NVMY34535000008277</t>
  </si>
  <si>
    <t>ZURIANI HUSSIN</t>
  </si>
  <si>
    <t>NO 1391 C MUKIM 4 KAMPUNG PERTAMA PERMATANG PAUH 13500 PULAU PINANG  Permatang Pauh Pulau Pinang - my 13500</t>
  </si>
  <si>
    <t>B2-BWH-15-41</t>
  </si>
  <si>
    <t>NVMY34535000008269</t>
  </si>
  <si>
    <t>RAMADAN</t>
  </si>
  <si>
    <t>LOT 480, RUMAH KEDAI, LOT 480 JALAN KUBANG JURUS KEMAMAN 24000, TERENGGANU  Ayer Puteh Terengganu - my 24000</t>
  </si>
  <si>
    <t>NVMY34535000008303</t>
  </si>
  <si>
    <t>NURHAZURAH BT IBRAHIM</t>
  </si>
  <si>
    <t>NO 19, JLN PI 1/6 TAMAN PULAU INDAH 81110 JOHOR BAHRU, JOHOR  Gelang Patah Johor - my 81110</t>
  </si>
  <si>
    <t>C1-GLG-9-64</t>
  </si>
  <si>
    <t>NVMY34535000008315</t>
  </si>
  <si>
    <t>NORMAZIAH</t>
  </si>
  <si>
    <t>NO 30 JLN SG 10/7 TAMAN SRI GOMBAK, BATU CAVES 68100 SELANGOR  Batu Caves Selangor - my 68100</t>
  </si>
  <si>
    <t>NVMY34535000008283</t>
  </si>
  <si>
    <t>MUHAMMAD AFIQ ZAMIR</t>
  </si>
  <si>
    <t>SV-13-04 MERIDIN EXECUTIVE SUITES PERSIARAN MEDINI UTARA 3, BANDAR MEDINI ISKANDAR 79250 ISKANDAR PUTERI, JOHOR  Iskandar Puteri Johor - my 79250</t>
  </si>
  <si>
    <t>NVMY34535000008309</t>
  </si>
  <si>
    <t>FAHMI</t>
  </si>
  <si>
    <t>NO 2, LORONG 4/7A, TAMAN TASEK TAMBAHAN 68000 AMPANG, SELANGOR  Ampang Selangor - my 68000</t>
  </si>
  <si>
    <t>D3-TMJ-10-129</t>
  </si>
  <si>
    <t>NVMY34535000008290</t>
  </si>
  <si>
    <t>Amir Muhammad Akmal Bin Zakaria</t>
  </si>
  <si>
    <t>No 201, Batu 15 1/4 Padang Lumat Guar Chempedak 08300 Gurun Kedah  Gurun Kedah - my 08300</t>
  </si>
  <si>
    <t>NVMY34535000008312</t>
  </si>
  <si>
    <t>AZMAN HASSAN</t>
  </si>
  <si>
    <t>C-03-15 PPR BELAKANG BALAI BOMBA 18300 GUA MUSANG, KELANTAN  Gua Musang Kelantan - my 18300</t>
  </si>
  <si>
    <t>NVMY34535000008251</t>
  </si>
  <si>
    <t>SITI NORAZARIAH</t>
  </si>
  <si>
    <t>NO 126, KG CHEMPEROH JANDA BAIK 28750, BENTONG, PAHANG  Bentong Pahang - my 28750</t>
  </si>
  <si>
    <t>NVMY34535000008293</t>
  </si>
  <si>
    <t>Safiya</t>
  </si>
  <si>
    <t>N0 78, persiaran taman meru 30, taman meru 2C, 30020, ipoh, perak  Ipoh Perak - my 30020</t>
  </si>
  <si>
    <t>B3-IPH-11-61</t>
  </si>
  <si>
    <t>NVMY34535000008292</t>
  </si>
  <si>
    <t>SITI NORAISHAH BINTI SAAT</t>
  </si>
  <si>
    <t>NO 8 JALAN BENDAHARA 10. ULU SUNGAI, JOHOR KOTA TINGGI, JOHOR  Kota Tinggi Johor - my 81900</t>
  </si>
  <si>
    <t>NVMY34535000008274</t>
  </si>
  <si>
    <t>NVMY34535000008320</t>
  </si>
  <si>
    <t>RAHMA</t>
  </si>
  <si>
    <t>BLOK I-1-05 FLAT PANGSAPURI BUKIT TINGGI 2, JALAN BATU NILAM 34, BANDAR BUKIT TINGGI 41200 KLANG, SELANGOR  Klang Selangor - my 41200</t>
  </si>
  <si>
    <t>D5-BTK-4-139</t>
  </si>
  <si>
    <t>NVMY34535000008267</t>
  </si>
  <si>
    <t>Nurul nasuha</t>
  </si>
  <si>
    <t>No 1 persiaran pinji selatan 4 ,taman desa pelancungan ,31500 lahat perak   Perak Ipoh Perak - my 31500</t>
  </si>
  <si>
    <t>NVMY34535000008314</t>
  </si>
  <si>
    <t>HAZIRA MOHD</t>
  </si>
  <si>
    <t>LOT 6874 TAMAN SRI MEDANG 2KAMPUNG RAJA 22200 BESUT, TERENGGANU  Kampung Raja Terengganu - my 22200</t>
  </si>
  <si>
    <t>NVMY34535000008262</t>
  </si>
  <si>
    <t>DEZLIN</t>
  </si>
  <si>
    <t>89,Jalan landak kawan,Taman Abad,  80250 Johor Bahru  Johor Bahru Johor - my 80250</t>
  </si>
  <si>
    <t>NVMY34535000008306</t>
  </si>
  <si>
    <t>EN. SHUKRI BIN MOHD</t>
  </si>
  <si>
    <t>139A KAMPUNG MASJID, HAJI KHADIR 21100 KUALA TERENGGANU  Kuala Terengganu Terengganu - my 21100</t>
  </si>
  <si>
    <t>A2-PYG-25-17</t>
  </si>
  <si>
    <t>NVMY34535000008305</t>
  </si>
  <si>
    <t>EN SHUKRI BIN MOHAMAD</t>
  </si>
  <si>
    <t>139 A KAMPUNG MASJID HAJI KHADIR 21100 KUALA TERENGGANU, TERENGGANU  Kuala Terengganu Terengganu - my 21100</t>
  </si>
  <si>
    <t>NVMY34535000008307</t>
  </si>
  <si>
    <t>NVMY34535000008287</t>
  </si>
  <si>
    <t>NORIDAH ALBASEN</t>
  </si>
  <si>
    <t>TAMAN HENG LONG NO 53, 91308 SEMPORNA, SABAH  Semporna Sabah - my 91308</t>
  </si>
  <si>
    <t>NVMY34535000008336</t>
  </si>
  <si>
    <t>MUHAMMAD SYAMAZHAR</t>
  </si>
  <si>
    <t>NO 33, LOT 39335, JALAN 2/12 B, KG BATU MUDA, 51100 KUALA LUMPUR  Kuala Lumpur Kuala Lumpur - my 51100</t>
  </si>
  <si>
    <t>NVMY34535000008348</t>
  </si>
  <si>
    <t>AJIM</t>
  </si>
  <si>
    <t>PANDAN MEWAH HEIGHTS CONDOMINIUM B3-3-5 PANDAN MEWAH HEIGHTS JALAN PADAN MEWAH 1, 68000 AMPANG, SELANGOR  Ampang Selangor - my 68000</t>
  </si>
  <si>
    <t>NVMY34535000008326</t>
  </si>
  <si>
    <t>YSZA ABAS</t>
  </si>
  <si>
    <t>No . 48, Jalan Nova U5/87, Subang Bestari, 40150, Shah Alam  Shah Alam Selangor - my 40150</t>
  </si>
  <si>
    <t>D1-SZB-26-94</t>
  </si>
  <si>
    <t>NVMY34535000008349</t>
  </si>
  <si>
    <t>PANDAN MEWAH HEIGHTS CONDOMINIUM B3-3-5 PANDAN MEWAH HEIGHTS JALAN PANDAN MEWAH 1, 68000 AMPANG, SELANGOR  Ampang Selangor - my 68000</t>
  </si>
  <si>
    <t>NVMY34535000008298</t>
  </si>
  <si>
    <t>NUR HANANI BINTI RAMLI</t>
  </si>
  <si>
    <t>NO 291 JALAN MIEL 9/S1 TAMAN PEDAS PERDANA 71400 REMBAU NEGERI SEMBILAN  Rembau Negeri Sembilan - my 71400</t>
  </si>
  <si>
    <t>NVMY34535000008324</t>
  </si>
  <si>
    <t>NVMY34535000008323</t>
  </si>
  <si>
    <t>MUHAMMAD IZWAN SHAH BIN SHAHAR</t>
  </si>
  <si>
    <t>NO 1660 KAMPUNG MUHIBBAH MUKIM 3 PESERAI BATU PAHAT 83000 JOHOR  Batu Pahat Johor - my 83000</t>
  </si>
  <si>
    <t>C2-BPT-5-80</t>
  </si>
  <si>
    <t>NVMY34535000008325</t>
  </si>
  <si>
    <t>NVMY34535000008350</t>
  </si>
  <si>
    <t>CELLCARE WAREHOUSE MIIFIX DIGITAL SDN BHD</t>
  </si>
  <si>
    <t>LOT 3.34A, 3RD FLOOR PERTAMA COMPLEX JALAN TUNKU ABDUL RAHMAN KUALA LUMPUR 50100  Kuala Lumpur Kuala Lumpur - my 50100</t>
  </si>
  <si>
    <t>NVMY34535000008346</t>
  </si>
  <si>
    <t>SAADIAH RAHMAN</t>
  </si>
  <si>
    <t>NO 19 JALAN TAN SRI ABDUL RAHMAN, SUNGAI KANTAN 43000 KAJANG, SELANGOR  Kajang Selangor - my 43000</t>
  </si>
  <si>
    <t>D2-KAJ-16-117</t>
  </si>
  <si>
    <t>NVMY34535000008344</t>
  </si>
  <si>
    <t>AZIZAH BT OSMAN</t>
  </si>
  <si>
    <t>34 G JALAN ARA SD 7/3B BANDAR SRI DAMANSARA 52200 KUALA LUMPUR  Kuala Lumpur Kuala Lumpur - my 52200</t>
  </si>
  <si>
    <t>NVMY34535000008280</t>
  </si>
  <si>
    <t>muhammad aiman</t>
  </si>
  <si>
    <t xml:space="preserve"> No 29 jalan orkid felda titi jelebu 71650, negeri sembilan  Kuala Klawang Negeri Sembilan - my 71650</t>
  </si>
  <si>
    <t>NVMY34535000008329</t>
  </si>
  <si>
    <t>SARAABEAUTY (SARA)</t>
  </si>
  <si>
    <t>JKR 899 KUARTERS POLIS BALAI POLIS CHENOR 28100 CHENOR MARAN PAHANG  Chenor Pahang - my 28100</t>
  </si>
  <si>
    <t>B1-JKA-17-34</t>
  </si>
  <si>
    <t>NVMY34535000008330</t>
  </si>
  <si>
    <t>FARIZA</t>
  </si>
  <si>
    <t>NO 26 JALAN WAWASAN 1/5 TAMAN WAWASAN, PUSAT BANDAR PUCHONG 47100 PUCHONG, SELANGOR  Telok Panglima Garang Selangor - my 47100</t>
  </si>
  <si>
    <t>NVMY34535000008322</t>
  </si>
  <si>
    <t>EMY</t>
  </si>
  <si>
    <t>NO 17 JALAN UDA  UTAMA 5/20 BANDAR UTAMA 81200 JOHOR BAHRU, JOHOR  Johor Bahru Johor - my 81200</t>
  </si>
  <si>
    <t>NVMY34535000008317</t>
  </si>
  <si>
    <t>HAZMIRA ROMLI</t>
  </si>
  <si>
    <t>GDEX PERLIS NO 28 &amp; 30 JALAN 1 TAMAN JEJAWI PERMAI 02600 ARAU PERLIS  Arau Perlis - my 02600</t>
  </si>
  <si>
    <t>A3-KGR-21-23</t>
  </si>
  <si>
    <t>NVMY34535000008337</t>
  </si>
  <si>
    <t>MUHAMMAD RIDZUAN</t>
  </si>
  <si>
    <t>1384-A, LORONG HAJI DA 6, 20400 BATU BURUK, KUALA TERENGGANU  Kuala Terengganu Terengganu - my 20400</t>
  </si>
  <si>
    <t>NVMY34535000008281</t>
  </si>
  <si>
    <t>NUR AZLIN ABDULLAH</t>
  </si>
  <si>
    <t>27 , KAMPUNG TEGA 96400 , MUKAH SARAWAK   Mukah Sarawak - my 96400</t>
  </si>
  <si>
    <t>NVMY34535000008332</t>
  </si>
  <si>
    <t>PARCEL HUB (MAILBOX 1)</t>
  </si>
  <si>
    <t>176, PERSIARANP EGAGA TAMAN BAYU PERDANA 41200 KLANG, SELANGOR  Klang Selangor - my 41200</t>
  </si>
  <si>
    <t>NVMY34535000008294</t>
  </si>
  <si>
    <t>Zurain Akhir</t>
  </si>
  <si>
    <t xml:space="preserve"> TS 11111, Lorong Permatang Tok Brain 3, Jalan Permatang Tok Labu, 13110 Penaga, Pulau Pinang  Pulau Pinang Penaga Pulau Pinang - my 13110</t>
  </si>
  <si>
    <t>NVMY34535000008289</t>
  </si>
  <si>
    <t>Nurfarah fazriana Binti muhamad</t>
  </si>
  <si>
    <t>No 14 Jalan kebangsaan 60 taman universiti 81300 skudai johor  Johor Bahru Johor - my 81300</t>
  </si>
  <si>
    <t>NVMY34535000008278</t>
  </si>
  <si>
    <t>NURUL QUSHIEDA BT ABDULLAH</t>
  </si>
  <si>
    <t>LOT  2898 LORONG MERBAU 5A RAMPANGI FASA 2, 93050 KUCHING, SARAWAK  Kuching Sarawak - my 93050</t>
  </si>
  <si>
    <t>NVMY34535000008313</t>
  </si>
  <si>
    <t>MOHD SAIFUL RIZAN</t>
  </si>
  <si>
    <t>NO 172, LORONG 10 TAMAN RIA MESRA 2, 08300 GURUN KEDAH  Gurun Kedah - my 08300</t>
  </si>
  <si>
    <t>NVMY34535000008327</t>
  </si>
  <si>
    <t>Noorshazila bte zainal abidin</t>
  </si>
  <si>
    <t>No,4 jln d,areca2 Taman bandar senawang,70450 Seremban ,n.9  Seremban Negeri Sembilan - my 70450</t>
  </si>
  <si>
    <t>NVMY34535000008340</t>
  </si>
  <si>
    <t>NORHAIZA BT ZAINAL ABIDIN</t>
  </si>
  <si>
    <t>NO 27, JALAN BANGI RIA, 43000 KAJANG, SELANGOR  Kajang Selangor - my 43000</t>
  </si>
  <si>
    <t>NVMY34535000008355</t>
  </si>
  <si>
    <t>Mommy Fel</t>
  </si>
  <si>
    <t>B46-A, Ground Floor, Lorong Baluk Darat 13, 26100 Kuantan Pahang  Kuantan Pahang - my 26100</t>
  </si>
  <si>
    <t>B1-BLK-19-30</t>
  </si>
  <si>
    <t>NVMY34535000008351</t>
  </si>
  <si>
    <t>NVMY34535000008328</t>
  </si>
  <si>
    <t>Marianiza Abu Bakar</t>
  </si>
  <si>
    <t>No 9, Taman Sri Manis 2, 01000 Kangar, Perlis  Kangar Perlis - my 01000</t>
  </si>
  <si>
    <t>NVMY34535000008319</t>
  </si>
  <si>
    <t>UMMU SALLAMAH NADZRI</t>
  </si>
  <si>
    <t>82, LORONG CP 2/12 CHERAS PERDANA 43200 CHERAS, SELANGOR  Kuala Lumpur Kuala Lumpur - my 43200</t>
  </si>
  <si>
    <t>NVMY34535000008333</t>
  </si>
  <si>
    <t>H'NG ZHI WEI</t>
  </si>
  <si>
    <t>1905, KAMPUNG JAWI JALAN BALAI POLIS, 14200 SUNGAI BAKAP, PULAU PINANG  Sungai Jawi Pulau Pinang - my 14200</t>
  </si>
  <si>
    <t>B2-SIM-15-43</t>
  </si>
  <si>
    <t>NVMY34535000008358</t>
  </si>
  <si>
    <t>EID SOFEA CILINIC BUKIT RAJA</t>
  </si>
  <si>
    <t>JALAN MAHKOTA 1/KU2, MUTIARA BUKIT RAJA 2, 41050 KLANG SELANGOR  Klang Selangor - my 41050</t>
  </si>
  <si>
    <t>NVMY34535000008338</t>
  </si>
  <si>
    <t>NUR 'IZZAH SAHREL</t>
  </si>
  <si>
    <t>NO.91, JALAN PUTRA 1/44,  BANDAR PUTRA IOI ,85000 SEGAMAT, JOHOR  Segamat Johor - my 85000</t>
  </si>
  <si>
    <t>C2-SGT-5-77</t>
  </si>
  <si>
    <t>NVMY34535000008345</t>
  </si>
  <si>
    <t>SITI FARIDAH</t>
  </si>
  <si>
    <t>NO 28 PSRN SENGAT BARU 19, TAMAN BERSATU 31300 IPOH, PERAK  Kampung Kepayang Perak - my 31300</t>
  </si>
  <si>
    <t>NVMY34535000008357</t>
  </si>
  <si>
    <t>Wan Nur Munirah Binti Wan Ayub</t>
  </si>
  <si>
    <t>Kolej Profesional Mara Bandar Melaka,146, Jalan Hang Tuah, Melaka 75300, Melaka, Malacca, Malaysia  Melaka Melaka - my 75300</t>
  </si>
  <si>
    <t>C3-PIA-3-86</t>
  </si>
  <si>
    <t>NVMY34535000008335</t>
  </si>
  <si>
    <t>BTK INTEGRATED TRANSPORT SDN BHD (ATTN: MISS SIEW)</t>
  </si>
  <si>
    <t>LOT 1030 &amp; 1070 JALAN KUALA KANGSAR 34700 SIMPANG TAIPING PERAK  Simpang Perak - my 34700</t>
  </si>
  <si>
    <t>NVMY34535000008354</t>
  </si>
  <si>
    <t>ZARUL IZWAN</t>
  </si>
  <si>
    <t>NO 21 JALAN INTAN BAIDURI 7D, TAMAN INTAN BAIDURI 52100 SELAYANG KUALA LUMPUR  Kuala Lumpur Kuala Lumpur - my 52100</t>
  </si>
  <si>
    <t>NVMY34535000008342</t>
  </si>
  <si>
    <t>NUR HUZA AMNI SAFIAH BINTI MOHAMAD HUZAIRO</t>
  </si>
  <si>
    <t>D14 PERUMAHAN LADANG RAKYAT, PERINGKAT 4 BANDAR CENEH BARU 24000 KEMAMAN TERENGGANU  Ayer Puteh Terengganu - my 24000</t>
  </si>
  <si>
    <t>NVMY34535000008316</t>
  </si>
  <si>
    <t>138, LORONG BAKTI 1 JALAN SULTAN TENGAH SEMARIANG 93050 KUCHING, SARAWAK  Kuching Sarawak - my 93050</t>
  </si>
  <si>
    <t>NVMY34535000008331</t>
  </si>
  <si>
    <t>MUHAMMAD ZAKWAN HAZIQ BIN ZAMZURI</t>
  </si>
  <si>
    <t>NO 111 FELCRA AIR HITAM, 72120 BANDAR SERI JEMPOL NEGERI SEMBILAN  Bahau Negeri Sembilan - my 72120</t>
  </si>
  <si>
    <t>C4-BHU-28-88</t>
  </si>
  <si>
    <t>NVMY34535000008334</t>
  </si>
  <si>
    <t>MEK MAS BT BAKAR</t>
  </si>
  <si>
    <t>NO 18 JALAN SETIA 2/10 TAMAN SETIA INDAH 81100 JOHOR BAHRU, JOHOR  Johor Bahru Johor - my 81100</t>
  </si>
  <si>
    <t>C1-AUS-9-67</t>
  </si>
  <si>
    <t>NVMY34535000008343</t>
  </si>
  <si>
    <t>MUAMMAR GADAFFI BIN MOHD SHAHAR</t>
  </si>
  <si>
    <t xml:space="preserve"> NO. 15, JALAN MERANTI 3, RPA MATA AYER 2, 02500 MATA AYER PERLIS.  Kangar Perlis - my 02500</t>
  </si>
  <si>
    <t>NVMY34535000008353</t>
  </si>
  <si>
    <t>NURDADILA AQILAH BINTI MOHD YASIN</t>
  </si>
  <si>
    <t>LOT 1570 KAMPUNG PAUH SEMBILAN 16050 BACHOK, KELANTAN  Bachok Kelantan - my 16050</t>
  </si>
  <si>
    <t>NVMY34535000008356</t>
  </si>
  <si>
    <t>ruby</t>
  </si>
  <si>
    <t>2206 kampung gong kiat,20050 kuala terengganu  Kuala Terengganu Terengganu - my 20050</t>
  </si>
  <si>
    <t>NVMY34535000008318</t>
  </si>
  <si>
    <t>AFFAN ZAKI</t>
  </si>
  <si>
    <t>12320 JALAN FERI LAMA 1, 24000 KEMAMAN TERENGGANU  Ayer Puteh Terengganu - my 24000</t>
  </si>
  <si>
    <t>NVMY34535000008367</t>
  </si>
  <si>
    <t>SITI NOOR FATIHA</t>
  </si>
  <si>
    <t>NO 3 LORONG MAN KG PAYA LUAS 28000 TEMERLOH, PAHANG  Temerloh Pahang - my 28000</t>
  </si>
  <si>
    <t>NVMY34535000008352</t>
  </si>
  <si>
    <t>NURUL AIN JAWAHIR</t>
  </si>
  <si>
    <t>NO 2 KG PIDA 8 TANDOP MATANG PAKU AIR HITAM 06150 ALOR SETAR, KEDAH  Ayer Hitam Kedah - my 06150</t>
  </si>
  <si>
    <t>NVMY34535000008370</t>
  </si>
  <si>
    <t>DYANA AZHAR</t>
  </si>
  <si>
    <t>3 , JALAN INDAH 10 , TAMAN CHERAS INDAH 56100 KUALA LUMPUR   Kuala Lumpur Kuala Lumpur - my 56100</t>
  </si>
  <si>
    <t>D3-SHM-10-128</t>
  </si>
  <si>
    <t>NVMY34535000008366</t>
  </si>
  <si>
    <t>SEMEK BT SIDEK</t>
  </si>
  <si>
    <t>935-1 KG TANAH LOT, 24200 KEMASEK, KEMAMAN TERENGGANU  Kemasek Terengganu - my 24200</t>
  </si>
  <si>
    <t>A2-PAK-25-14</t>
  </si>
  <si>
    <t>NVMY34535000008339</t>
  </si>
  <si>
    <t>NIZAM BAHER</t>
  </si>
  <si>
    <t>NO.142, KG PARIT TENGAH SRI MERLONG,83100 BATU PAHAT, JOHOR  Rengit Johor - my 83100</t>
  </si>
  <si>
    <t>NVMY34535000008347</t>
  </si>
  <si>
    <t>FLEXILAB_TECH</t>
  </si>
  <si>
    <t>NO 11116, JALAN PENAGA, KG JAYA BATU 2, JALAN AYER PUTEH, 24000 KEMAMAN, TERENGGANU  Ayer Puteh Terengganu - my 24000</t>
  </si>
  <si>
    <t>NVMY34535000008384</t>
  </si>
  <si>
    <t>NYSSA NASIR (IDA TUAN MIN)</t>
  </si>
  <si>
    <t>32 LORONG TOK SUBOH 8, TAMAN PERUMAHAN RAKYAT PPR 14100 SIMPANG AMPAT, PULAU PINANG  Simpang Ampat Pulau Pinang - my 14100</t>
  </si>
  <si>
    <t>NVMY34535000008363</t>
  </si>
  <si>
    <t>SHAHIRAH BT SUHAIRI</t>
  </si>
  <si>
    <t>K2-07-17,PANGSAPURI DKRISTAL,JALAN ECOHILL 1/2,SETIA ECOHILL,43500 SEMENYIH  Shah Alam Selangor - my 43500</t>
  </si>
  <si>
    <t>NVMY34535000008394</t>
  </si>
  <si>
    <t>NORZIANA BAHKHANI</t>
  </si>
  <si>
    <t>NO.32 JALAN PUTRA BAHAGIA 8/1C PUTRA HEIGHTS 47650 SUBANG JAYA SELANGOR  Subang Jaya Selangor - my 47650</t>
  </si>
  <si>
    <t>NVMY34535000008391</t>
  </si>
  <si>
    <t>SURIANI</t>
  </si>
  <si>
    <t>NO 11 JALAN ASTAKA U8/88 A, SECTION U8, BUKIT JELUTONG 40150 SHAH ALAM, SELANGOR  Shah Alam Selangor - my 40150</t>
  </si>
  <si>
    <t>NVMY34535000008359</t>
  </si>
  <si>
    <t>SYADAA SCHADA</t>
  </si>
  <si>
    <t>NO 24, JALAN TSS 1, TAMAN SERI SEMELING, 08100 BEDONG, SUNGAI PETANI, KEDAH  Bedong Kedah - my 08100</t>
  </si>
  <si>
    <t>NVMY34535000008397</t>
  </si>
  <si>
    <t>AM PATIMAH BINTI ABU HANIPIAH</t>
  </si>
  <si>
    <t>KG KUALA GRIS 18200 KUALA KRAI, KELANTAN  Dabong Kelantan - my 18200</t>
  </si>
  <si>
    <t>NVMY34535000008376</t>
  </si>
  <si>
    <t>NADHIRAH  MOHD NASIR</t>
  </si>
  <si>
    <t>NO2 KEDIAMAN PPRT TAMAN PER TELAGA DAING SEB TAKIR 21300 KUALA NERUS TERENGGANU   Kuala Terengganu Terengganu - my 21300</t>
  </si>
  <si>
    <t>NVMY34535000008360</t>
  </si>
  <si>
    <t>Nanie moon</t>
  </si>
  <si>
    <t>No 111 jalan selendang 8 Taman 1 krubong 75260 melaka   Melaka Melaka - my 75260</t>
  </si>
  <si>
    <t>C3-MTG-3-84</t>
  </si>
  <si>
    <t>NVMY34535000008396</t>
  </si>
  <si>
    <t>ESAH TOK MA</t>
  </si>
  <si>
    <t>LOT 737 KG ALOR PASIR JALAN KOTA BHARU 16800 PASIR PUTEH, KELANTAN  Pasir Puteh Kelantan - my 16800</t>
  </si>
  <si>
    <t>NVMY34535000008365</t>
  </si>
  <si>
    <t>REEN ANNISA BT HUSSIN</t>
  </si>
  <si>
    <t>J2-11-03 APARTMENT PPAM JINTAN JALAN KANDIS P16, PRESINT 16 62100 PUTRAJAYA  Putrajaya Putrajaya - my 62100</t>
  </si>
  <si>
    <t>D4-CJY-8-132</t>
  </si>
  <si>
    <t>NVMY34535000008369</t>
  </si>
  <si>
    <t>ALMA BAZLAA SYIFAZANA</t>
  </si>
  <si>
    <t>YEOH MAZLINA &amp; PARTNERS A-22-13 LEVEL 22, MENARA UOA BANGSAR NO 5 JALAN BANGSAR UTAMA 1, 59000 KUALA LUMPUR  Kuala Lumpur Kuala Lumpur - my 59000</t>
  </si>
  <si>
    <t>D5-SPH-4-138</t>
  </si>
  <si>
    <t>NVMY34535000008392</t>
  </si>
  <si>
    <t>NVMY34535000008393</t>
  </si>
  <si>
    <t>NVMY34535000008389</t>
  </si>
  <si>
    <t>AZLINA MOHAIDIN</t>
  </si>
  <si>
    <t>NO 24 JALAN ZUHRAH U5/159 TAMAN SUBANG MURNI, 40150 SHAH ALAM, SELANGOR  Shah Alam Selangor - my 40150</t>
  </si>
  <si>
    <t>NVMY34535000008385</t>
  </si>
  <si>
    <t>NUR FARAHDIANA AISYA (CHACHA)</t>
  </si>
  <si>
    <t>(RUMAH BELAKANG KN MAJU HARDWARE) 21448 JALAN BESAR KG NYIOR PAKA, DUNGUN 23100 TERENGGANU  Paka Terengganu - my 23100</t>
  </si>
  <si>
    <t>NVMY34535000008378</t>
  </si>
  <si>
    <t>SUHAIMI BIN HUSSAIN</t>
  </si>
  <si>
    <t>NO 8 JALAN KP 2/20 TAMAN KOTA PERDANA, BANDAR PUTRA PERMAI 43300 SERI KEMBANGAN, SELANGOR  Seri Kembangan Selangor - my 43300</t>
  </si>
  <si>
    <t>D3-SRD-10-126</t>
  </si>
  <si>
    <t>NVMY34535000008341</t>
  </si>
  <si>
    <t>NOOR HASNIZAH BT MASUNI</t>
  </si>
  <si>
    <t>LOT 2200 LORONG 5 TMN KIDURONG COASTAL ROAD 97000 BINTULU SARAWAK  Bintulu Sarawak - my 97000</t>
  </si>
  <si>
    <t>NVMY34535000008377</t>
  </si>
  <si>
    <t>ZAHRA</t>
  </si>
  <si>
    <t>NO 20 JALAN CEMPAKA 9 TAMAN CEMPAKA 68000 AMPANG SELANGOR   Ampang Selangor - my 68000</t>
  </si>
  <si>
    <t>D1-AMP-26-96</t>
  </si>
  <si>
    <t>NVMY34535000008375</t>
  </si>
  <si>
    <t>Norzila Kamarudin</t>
  </si>
  <si>
    <t>No. 31 Jalan Warisan Permai 2/2, Kota Warisan, 43900 Sepang, Selangor  Sepang Selangor - my 43900</t>
  </si>
  <si>
    <t>NVMY34535000008368</t>
  </si>
  <si>
    <t>Saddam el hafedz bin shahri</t>
  </si>
  <si>
    <t>90 jalan hj ali othman kg pengkalan batu 86800 mersing johor  Mersing Johor - my 86800</t>
  </si>
  <si>
    <t>C2-MSG-5-75</t>
  </si>
  <si>
    <t>NVMY34535000008285</t>
  </si>
  <si>
    <t>KHAIRUL MANJA</t>
  </si>
  <si>
    <t>KG PERIGI SEMPORNA 91308, SABAH  Sabah Semporna Sabah - my 91308</t>
  </si>
  <si>
    <t>NVMY34535000008381</t>
  </si>
  <si>
    <t>ALIN MK</t>
  </si>
  <si>
    <t>NO 35, JALAN SIANTAN 2, TAMAN SERI PAROI 70400 SEREMBAN NEGERI SEMBILAN  Seremban Negeri Sembilan - my 70400</t>
  </si>
  <si>
    <t>C4-SWG-28-89</t>
  </si>
  <si>
    <t>NVMY34535000008374</t>
  </si>
  <si>
    <t>noor sakinah ismail</t>
  </si>
  <si>
    <t>no31 perumahan bukit jetit 21600 marang terengganu  Marang Terengganu - my 21600</t>
  </si>
  <si>
    <t>NVMY34535000008382</t>
  </si>
  <si>
    <t>TENGKU NAJWA</t>
  </si>
  <si>
    <t>LOT 110 A KAMPUNG TELUK PAKU GELUGUR RAJA 20050 KUALA TERENGGANU   Kuala Terengganu Terengganu - my 20050</t>
  </si>
  <si>
    <t>NVMY34535000008386</t>
  </si>
  <si>
    <t>NUR NABIHAH BINTI NASRUDDIN</t>
  </si>
  <si>
    <t>MEQS LAWO KOSMETIK, BAWAH PUSAT IQRA PULAU RUSA 20050 KUALA TERENGGANU  Kuala Terengganu Terengganu - my 20050</t>
  </si>
  <si>
    <t>NVMY34535000008383</t>
  </si>
  <si>
    <t>NORASIKIN BINTI MOHD AMIR</t>
  </si>
  <si>
    <t>NO 5 JALAN SUNGAI KAPAL 9 TAMAN BAYU DAMAI 81620 PENGERANG, JOHOR  Pengerang Johor - my 81620</t>
  </si>
  <si>
    <t>C1-PWR-9-63</t>
  </si>
  <si>
    <t>NVMY34535000008364</t>
  </si>
  <si>
    <t>SITI AISYAH NAJWA</t>
  </si>
  <si>
    <t>LOT 43-4, LORONG TERATAI RTB BUKIT CHANGGANG 42700 BANTING, SELANGOR  Telok Panglima Garang Selangor - my 42700</t>
  </si>
  <si>
    <t>D4-BAN-6-137</t>
  </si>
  <si>
    <t>NVMY34535000008379</t>
  </si>
  <si>
    <t>SYAKIRAH ABDUL HALIM</t>
  </si>
  <si>
    <t>17 JALAN SU 37 TAMAN SLEAYANG UTAMA, 68100 BATU CAVES, SELANGOR  Batu Caves Selangor - my 68100</t>
  </si>
  <si>
    <t>NVMY34535000008362</t>
  </si>
  <si>
    <t>HALIMATUS SAADIAH BINTI SUDIRMAN</t>
  </si>
  <si>
    <t>NO 80 JALAN TAMAN GOMBAK, TAMAN GOMBAK, 68100 BATU CAVES, SELANGOR DARUL EHSAN  Batu Caves Selangor - my 68100</t>
  </si>
  <si>
    <t>NVMY34535000008416</t>
  </si>
  <si>
    <t>NVMY34535000008418</t>
  </si>
  <si>
    <t>NUR FAIZAH RAMLI</t>
  </si>
  <si>
    <t>PT 6312 JLN 2/27 A SEKSYEN 1, WANGSA MAJU 53300 KUALA LUMPUR KILANG SEBELAH HONDA  Kuala Lumpur Kuala Lumpur - my 53300</t>
  </si>
  <si>
    <t>NVMY34535000008361</t>
  </si>
  <si>
    <t>norazami bt zakaria</t>
  </si>
  <si>
    <t>no 3013,kuaters klinik kesihatan langgar,06500 langgar alor setar kedah  Langgar Kedah - my 06500</t>
  </si>
  <si>
    <t>A3-AOR-21-25</t>
  </si>
  <si>
    <t>NVMY34535000008390</t>
  </si>
  <si>
    <t>MIMI</t>
  </si>
  <si>
    <t>NO 1 JALAN 2 TAMAN SRI SEPANG 43900 SEPANG, SELANGOR  Sepang Selangor - my 43900</t>
  </si>
  <si>
    <t>NVMY34535000008423</t>
  </si>
  <si>
    <t>Haizatul nurmariah binti Roslam</t>
  </si>
  <si>
    <t>1008, kg.fikri  22110 Setiu  Terengganu  Permaisuri Terengganu - my 22100</t>
  </si>
  <si>
    <t>A2-STU-25-15</t>
  </si>
  <si>
    <t>NVMY34535000008372</t>
  </si>
  <si>
    <t>(1223725) PM HARIS MOHD ISKANDAR BIN ABDULLAH</t>
  </si>
  <si>
    <t>PLATUN 22 KOMPENI FOXTROT PUSAT LATIHAN ASAS TENTERA DARAT, DEPOT ASKAR MELAYU DIRAJA KEM SIRUSA, 71050 PORT DICKSON NEGERI SEMBILAN  Si Rusa Negeri Sembilan - my 71050</t>
  </si>
  <si>
    <t>NVMY34535000008395</t>
  </si>
  <si>
    <t>SITI RAIHAN</t>
  </si>
  <si>
    <t>A-156 BELAKANG MASJID SULTAN YAHYA PETRA 18500 MACHANG, KELANTAN  Machang Kelantan - my 18500</t>
  </si>
  <si>
    <t>NVMY34535000008373</t>
  </si>
  <si>
    <t>APIH CINO</t>
  </si>
  <si>
    <t>11A, LORONG 4/SS7, BANDAR TASEK MUTIARA, 14120 SIMPANG AMPAT SEBERANG PERAI SELATAN, 14120 PENANG  Simpang Ampat Pulau Pinang - my 14120</t>
  </si>
  <si>
    <t>NVMY34535000008321</t>
  </si>
  <si>
    <t>AMINUDDIN BIN OMAR</t>
  </si>
  <si>
    <t>NO 90 LOT 33 JALAN KAMPUNG SANTUBONG 93050 KUCHING, SARAWAK  Kuching Sarawak - my 93050</t>
  </si>
  <si>
    <t>NVMY34535000008419</t>
  </si>
  <si>
    <t>NABILAH</t>
  </si>
  <si>
    <t>61, LORONG AZIZAH PRIHATIN KAMPUNG CHANGKAT GOMBAK 68100 SELANGOR  Batu Caves Selangor - my 68100</t>
  </si>
  <si>
    <t>NVMY34535000008400</t>
  </si>
  <si>
    <t>NORAIN BT ALIM</t>
  </si>
  <si>
    <t>LOT 1414, A14, BATU 7 1/2, LEMBAH PINGGIRAN KG SG CHINCHIN JLN SULTAN HARUN SETAPAK GOMBAK 53100 KL  Hulu Langat Kuala Lumpur - my 53100</t>
  </si>
  <si>
    <t>NVMY34535000008417</t>
  </si>
  <si>
    <t>YASMIN ZAHRI</t>
  </si>
  <si>
    <t>18 JALAN SP 3/18 BANDAR SAUJANA PUTRA 42610 JENJAROM SELANGOR  Jenjarom Selangor - my 42610</t>
  </si>
  <si>
    <t>NVMY34535000008420</t>
  </si>
  <si>
    <t>MASHITAH</t>
  </si>
  <si>
    <t>NO 23 JLN 2/4 TAMAN SRI HANECO 43500 SEMENYIH, SELANGOR  Shah Alam Selangor - my 43500</t>
  </si>
  <si>
    <t>NVMY34535000007860</t>
  </si>
  <si>
    <t>AHMILAH BINTI HAMDZAH</t>
  </si>
  <si>
    <t>NO 33 JLN MANIS 3, TMN MANIS, 86400 PARIT RAJA BATU PAHAT, JOHOR  Parit Raja Johor - my 86400</t>
  </si>
  <si>
    <t>NVMY34535000007885</t>
  </si>
  <si>
    <t>NUR AMALYN PUTRI</t>
  </si>
  <si>
    <t>STUDENT SERVICE CENTRE, GROUND FLOOR STUDENT CENTRE (STC) BUILDING MULTIMEDIA UNIVERSITY PERSIARAN MULTIMEDIA CYBERJAYA 63100 SEPANG, SELANGOR  Cyberjaya Selangor - my 63100</t>
  </si>
  <si>
    <t>NVMY34535000007887</t>
  </si>
  <si>
    <t>PUAN HALIMAH BT ABD RAHMAN</t>
  </si>
  <si>
    <t>BLOCK C 80A KG MELAYU SRI KUNDANG 48050 RAWANG, SELANGOR  Rawang Selangor - my 48050</t>
  </si>
  <si>
    <t>NVMY34535000007868</t>
  </si>
  <si>
    <t>MUHAMMAD YUSRY IBRAHIM</t>
  </si>
  <si>
    <t>NO 5329, JLN TS 2/5 J, TAMAN SEMARAK 2, 71800 NILAI NEGERI SEMBILAN  Labu Negeri Sembilan - my 71800</t>
  </si>
  <si>
    <t>NVMY34535000007856</t>
  </si>
  <si>
    <t>SALMI BT CH AHMAD</t>
  </si>
  <si>
    <t>SAN HER ENGINEERING WORKS, LOT 2564, JALAN LIPIS SEMPALIT 27600 RAUB, PAHANG  Raub Pahang - my 27600</t>
  </si>
  <si>
    <t>NVMY34535000007888</t>
  </si>
  <si>
    <t>MEKSU SHOPE</t>
  </si>
  <si>
    <t>KAMPUNG SEBERANG JELAI 27100 PADANG TENGKU KUALA LIPIS, PAHANG  Padang Tengku Pahang - my 27100</t>
  </si>
  <si>
    <t>NVMY34535000007843</t>
  </si>
  <si>
    <t>Liza kasnin</t>
  </si>
  <si>
    <t>535,blok 24 felda simpang waha 81900 kota tinggi Johor  Kota Tinggi Johor - my 81900</t>
  </si>
  <si>
    <t>C1-TGI-9-62</t>
  </si>
  <si>
    <t>NVMY34535000007870</t>
  </si>
  <si>
    <t>SYARIFAH NORAFIZAH FARIDAH SOFIA</t>
  </si>
  <si>
    <t>842 JALAN SEMARAK 15 TAMAN PANCHOR JAYA 70400 SEREMBAN NEGERI SEMBILAN   Seremban Negeri Sembilan - my 70400</t>
  </si>
  <si>
    <t>NVMY34535000007890</t>
  </si>
  <si>
    <t>EN. IR NOOR HARIZAL BIN HUSSEIN</t>
  </si>
  <si>
    <t>D1-21 JALAN PJU 1/41 DATARAN PRIMA KELANA JAYA 47301 PETALING JAYA SELANGOR  Petaling Jaya Selangor - my 47301</t>
  </si>
  <si>
    <t>D2-ARA-18-110</t>
  </si>
  <si>
    <t>NVMY34535000007892</t>
  </si>
  <si>
    <t>NVMY34535000007891</t>
  </si>
  <si>
    <t>NVMY34535000007882</t>
  </si>
  <si>
    <t>ATTN MS AIN (ACCOUNT DEPARTMENT)</t>
  </si>
  <si>
    <t>PARKSON CORPORATION SDN BHD, PARKSON KUANTAN CITY MALL GF-AT 01, GF-36-38, GROUND FLOOR LEVEL 1-3 JLN PUTRA SQUARE 6/1 PUTRA SQUARE 25200 KUANTAN, PAHANG  Kuantan Pahang - my 25200</t>
  </si>
  <si>
    <t>NVMY34535000007893</t>
  </si>
  <si>
    <t>NVMY34535000007854</t>
  </si>
  <si>
    <t>NURUL ATIKAH MOHD JAMAL</t>
  </si>
  <si>
    <t>NO 12 JALAN KEKATONG, TAMAN KEKATONG 71250 PASIR PANJANG PORT DICKSON, NEGERI SEMBILAN  Si Rusa Negeri Sembilan - my 71250</t>
  </si>
  <si>
    <t>NVMY34535000007881</t>
  </si>
  <si>
    <t>ATTN MS NG (ADMIN ACCOUNT DEPARTMENT)</t>
  </si>
  <si>
    <t>PARKSON CORPORATION SDN BHD (EAST COAST MALL), GROUND LEVEL 1 (ZONE 1) JLN PUTRA SQUARE 6, PUTRA SQUARE 25200 KUANTAN, PAHANG  Kuantan Pahang - my 25200</t>
  </si>
  <si>
    <t>NVMY34535000007828</t>
  </si>
  <si>
    <t>Asmira Yusoff</t>
  </si>
  <si>
    <t>102, Jalan Baldwin 3, Pusat Perniagaan Baldwin, 35000 Tapah, Perak  Tapah Perak - my 35000</t>
  </si>
  <si>
    <t>NVMY34535000007842</t>
  </si>
  <si>
    <t>Nora Mohd Nordin</t>
  </si>
  <si>
    <t>No 94, Jalan Jaya Putra 8/17, Taman Jaya Putra Perdana, 81100 Johor Bahru, Johor Darul Takzim  Johor Bahru Johor - my 81100</t>
  </si>
  <si>
    <t>NVMY34535000007879</t>
  </si>
  <si>
    <t>NVMY34535000007825</t>
  </si>
  <si>
    <t>Bella</t>
  </si>
  <si>
    <t>NO 17 , jalan molek 3/1 , taman molek 81100 , johor bahru johor  Johor Bahru Johor - my 81100</t>
  </si>
  <si>
    <t>NVMY34535000007869</t>
  </si>
  <si>
    <t>AHMAD FAIZ MOHAMAD YAHYA</t>
  </si>
  <si>
    <t>21-13A RESIDENSI TERATAI NO 2 JLN 4/23F, OFF JLN LANGKAWI  TAMAN TERATAI SETAPAK 53000 KUALA LUMPUR  Kuala Lumpur Kuala Lumpur - my 53000</t>
  </si>
  <si>
    <t>D2-DNK-16-116</t>
  </si>
  <si>
    <t>NVMY34535000007834</t>
  </si>
  <si>
    <t>HELMIEY BIN SUID</t>
  </si>
  <si>
    <t>NO 2856, LORONG SERAI WANGI 4/11 TMN SERAI WANGI 3&amp;4, 09400 PADANG SERAI, KEDAH  Padang Serai Kedah - my 09400</t>
  </si>
  <si>
    <t>B2-KLM-15-40</t>
  </si>
  <si>
    <t>NVMY34535000007886</t>
  </si>
  <si>
    <t>ABDULLAH BIN YAACOB</t>
  </si>
  <si>
    <t>NO 05 BLOK 04 FELDA CIKU 06, 18300 GUA MUSANG KELANTAN  Gua Musang Kelantan - my 18300</t>
  </si>
  <si>
    <t>NVMY34535000007859</t>
  </si>
  <si>
    <t>ISKANDAR</t>
  </si>
  <si>
    <t>SJKC CHEOW MIN, BATU 35 JALAN JOHOR PONTIAN POST KESELAMATAN 82000 PONTIAN, JOHOR  Pontian Johor - my 82000</t>
  </si>
  <si>
    <t>NVMY34535000007815</t>
  </si>
  <si>
    <t>AZRINA BINTI ABD RAHMAN</t>
  </si>
  <si>
    <t>D/A HAZIYAH BINTI AHMAD, KG NERAMBAI 71150 LINGGI, NEGERI SEMBILAN  Negeri Sembilan Linggi Negeri Sembilan - my 71150</t>
  </si>
  <si>
    <t>NVMY34535000007844</t>
  </si>
  <si>
    <t>NURUL AZLIN YUSOFF</t>
  </si>
  <si>
    <t>No24 jalan ss6/8 kelana jaya 47301 petaling jaya selangor  Petaling Jaya Selangor - my 47301</t>
  </si>
  <si>
    <t>NVMY34535000007827</t>
  </si>
  <si>
    <t>Farah Zuhairah</t>
  </si>
  <si>
    <t xml:space="preserve"> No 9, Jalan Duku 4, Taman Kota Masai, 81700, Pasir Gudang, Johor  Pasir Gudang Johor - my 81700</t>
  </si>
  <si>
    <t>NVMY34535000007848</t>
  </si>
  <si>
    <t>MUHAMMAD FIRDAUS BIN HARUN</t>
  </si>
  <si>
    <t>LOT 2444, KAMPUNG CHARUK SALANG, PARIT PANJANG 09120 BALING, KEDAH  Baling Kedah - my 09120</t>
  </si>
  <si>
    <t>A3-BAL-21-27</t>
  </si>
  <si>
    <t>NVMY34535000007873</t>
  </si>
  <si>
    <t>AHMAD MUBSYIR</t>
  </si>
  <si>
    <t>A-11-17 LESTARI APARTMENT JALAN SRI PERMAISURI 3 BANDAR SRI PERMAISURI 56000 CHERAS KL  Kuala Lumpur Kuala Lumpur - my 56000</t>
  </si>
  <si>
    <t>D5-ECO-2-145</t>
  </si>
  <si>
    <t>NVMY34535000007829</t>
  </si>
  <si>
    <t>MALINA</t>
  </si>
  <si>
    <t>NO 66 KG KECHOR JALAN KAKI BUKIT 01000 KANGAR, PERLIS WARUNG ALI KOPI  Kangar Perlis - my 01000</t>
  </si>
  <si>
    <t>NVMY34535000007894</t>
  </si>
  <si>
    <t>NOOR HIDAYAH</t>
  </si>
  <si>
    <t>NO 19, JALAN TANJUNG TENTERAM 30/21C, TAMAN IMPIAN SUTERA SEKSYEN 30, 40460 SHAH ALAM, SELANGOR  Shah Alam Selangor - my 40460</t>
  </si>
  <si>
    <t>D2-KMU-18-113</t>
  </si>
  <si>
    <t>NVMY34535000007866</t>
  </si>
  <si>
    <t>NASTURA HAMID</t>
  </si>
  <si>
    <t>NO 16 JLN 37/142 TAMAN ORKID DESA 56000 CHERAS, KUALA LUMPUR  Kuala Lumpur Kuala Lumpur - my 56000</t>
  </si>
  <si>
    <t>NVMY34535000007884</t>
  </si>
  <si>
    <t>KELVIN</t>
  </si>
  <si>
    <t>NO 3 JALAN SAGA TAMAN SRI AMAN 83700 YONG PENG JOHOR  Yong Peng Johor - my 83700</t>
  </si>
  <si>
    <t>NVMY34535000007875</t>
  </si>
  <si>
    <t>PUAN SRI SURIANI</t>
  </si>
  <si>
    <t>LOT 9, JALAN MARKISA 1, TAMAN PINGGIRAN MARKISA, KG JIJAN 71800 NEGERI SEMBILAN  Labu Negeri Sembilan - my 71800</t>
  </si>
  <si>
    <t>NVMY34535000007874</t>
  </si>
  <si>
    <t>NUR AMELLYA ZAAHIRA</t>
  </si>
  <si>
    <t>LOT 621 KG PAK KRAU TUMPAT 16200 TUMPAT, KELANTAN  Tumpat Kelantan - my 16200</t>
  </si>
  <si>
    <t>NVMY34535000007865</t>
  </si>
  <si>
    <t>NVMY34535000007799</t>
  </si>
  <si>
    <t>SUWAIBAH BINTI ABDUL RAHIM</t>
  </si>
  <si>
    <t xml:space="preserve">36 A SIMPANG 3 KG JEREK DALAM 18300 GUA MUSANG KELANTAN </t>
  </si>
  <si>
    <t>NVMY34535000007895</t>
  </si>
  <si>
    <t>NURUL NABISAH BT HAJI MOHAMED</t>
  </si>
  <si>
    <t>771, LORONG KOTA KENARI 4/5, KOTA KENARI 09000 KULIM, KEDAH  Kulim Kedah - my 09000</t>
  </si>
  <si>
    <t>NVMY34535000007883</t>
  </si>
  <si>
    <t>ATTN ACCOUNT DEPARTMENT</t>
  </si>
  <si>
    <t>PARKSON CORPORATION SDN BHD, PARKSON AMAN CENTRAL, LG G 1 2, 1, DARUL AMAN HWY, KAMPUNG LUBOK PERINGGI, 05150 ALOR SETAR, KEDAH  Alor Setar Kedah - my 05150</t>
  </si>
  <si>
    <t>NVMY34535000007880</t>
  </si>
  <si>
    <t>PARKSON CORPORATION SDN BHD (SUNGAI PETANI), PARKSON SUNGAI PETANI TAMAN SEJATI INDAH 08000 SUNGAI PETANI, KEDAH  Sungai Petani Kedah - my 08000</t>
  </si>
  <si>
    <t>NVMY34535000007833</t>
  </si>
  <si>
    <t>NORDIANA TAJUDIN</t>
  </si>
  <si>
    <t>NO 65 TMN DESA KEMBOJA, MUKIM BOHOR 07000 LANGKAWI KEDAH  Langkawi Kedah - my 07000</t>
  </si>
  <si>
    <t>NVMY34535000007872</t>
  </si>
  <si>
    <t>NVMY34535000007845</t>
  </si>
  <si>
    <t>Habsah bt tol</t>
  </si>
  <si>
    <t>Jln lorong pisang Kampung niup 94300 kota samarahan Kuching Sarawak  Kota Samarahan Sarawak - my 94300</t>
  </si>
  <si>
    <t>E3-SAM-1-174</t>
  </si>
  <si>
    <t>NVMY34535000007889</t>
  </si>
  <si>
    <t>JOANNA LOH</t>
  </si>
  <si>
    <t>2, JALAN JAYA PUTRA 5/48 BANDAR JAYA PUTRA 81100 JOHOR BAHRU, JOHOR  Johor Bahru Johor - my 81100</t>
  </si>
  <si>
    <t>NVMY34535000007864</t>
  </si>
  <si>
    <t>BELLA</t>
  </si>
  <si>
    <t>TLBA 29 KAMPUNG BAKAR ARANG 81500 PEKAN NENAS PONTIAN  Pekan Nenas Johor - my 81500</t>
  </si>
  <si>
    <t>NVMY34535000007871</t>
  </si>
  <si>
    <t>NURIN SYUHAIDAH BT MOHD RIZAL</t>
  </si>
  <si>
    <t>NO 134 KAMPUNG TOK JALAI, JALAN ALOR RAMBAI 06000 JITRA, KEDAH  Jitra Kedah - my 06000</t>
  </si>
  <si>
    <t>NVMY34535000007878</t>
  </si>
  <si>
    <t>LANGKAWI FAIR SHOPPING MALL PEKAN KUAH, PERSIARAN PUTERA 07000 LANGKAWI, KEDAH  Langkawi Kedah - my 07000</t>
  </si>
  <si>
    <t>NVMY34535000007903</t>
  </si>
  <si>
    <t>CARSON</t>
  </si>
  <si>
    <t>NO 27 JALAN HUJAN ABU 6, OVERSEAS UNION GARDEN 58200 KUALA LUMPUR  Kuala Lumpur Kuala Lumpur - my 58200</t>
  </si>
  <si>
    <t>NVMY34535000007915</t>
  </si>
  <si>
    <t>AHMAD ARIF AHDA BIN AHMAD MUTTAQIN RABBANI</t>
  </si>
  <si>
    <t>1B-12-05, PANGSAPURI PPA1M LARAI, JALAN KAJANGAN P6 (JALAN P/5) PRESINT 6, 62150 PUTRAJAYA  Putrajaya Putrajaya - my 62150</t>
  </si>
  <si>
    <t>NVMY34535000007897</t>
  </si>
  <si>
    <t>AZLINA HASAN</t>
  </si>
  <si>
    <t>NO 881 JLN 2/7 TAMAN TUANKU JAAFAR 71450 SEREMBAN NEGERI SEMBILAN   Seremban Negeri Sembilan - my 71450</t>
  </si>
  <si>
    <t>NVMY34535000007912</t>
  </si>
  <si>
    <t>ana sz</t>
  </si>
  <si>
    <t>c-02-12  taman subang mas jln sm1 47620 subang jaya selangor  Subang Jaya Selangor - my 47620</t>
  </si>
  <si>
    <t>D2-HTC-16-114</t>
  </si>
  <si>
    <t>NVMY34535000007898</t>
  </si>
  <si>
    <t>AMNI SYAZWANI BT MOHD FAUZI</t>
  </si>
  <si>
    <t>NO 55 JALAN MAS MERAH KAMPUNG PARIT BARU,BATU 31,81500 PEKAN NENAS  Pekan Nenas Johor - my 81500</t>
  </si>
  <si>
    <t>NVMY34535000007899</t>
  </si>
  <si>
    <t>NOR HAYATI BT ABDULLAH</t>
  </si>
  <si>
    <t>29/30 HADAPAN KOLEJ KOMUNITI ARAU,JALAN BN,KAMPUNG TAMBUN TULANG ARAU PERLIS  Arau Perlis - my 02600</t>
  </si>
  <si>
    <t>NVMY34535000007896</t>
  </si>
  <si>
    <t>HASLINA BINTI HAMID</t>
  </si>
  <si>
    <t>NO 5 LORONG GUAR PERAHU 24 TAMAN GUAR PERAHU 14400 KUBANG SEMANG PULAU PINANG  Kubang Semang Pulau Pinang - my 14400</t>
  </si>
  <si>
    <t>NVMY34535000007876</t>
  </si>
  <si>
    <t>PERTUBUHAN INSAN ISTIMEWA KELANTAN (INSANI)</t>
  </si>
  <si>
    <t>NO 1 LOT 1568 KG KELUBI JALAN KOTA BHARU 16800 PASIR PUTEH, KELANTAN  Pasir Puteh Kelantan - my 16800</t>
  </si>
  <si>
    <t>A1-PTH-27-8</t>
  </si>
  <si>
    <t>NVMY34535000007867</t>
  </si>
  <si>
    <t>NORHAFIZAH RABAN</t>
  </si>
  <si>
    <t>TL 25/2, KG PARIT SATU, SANGLANG 82100 PONTIAN, JOHOR  Ayer Baloi Johor - my 82100</t>
  </si>
  <si>
    <t>NVMY34535000007877</t>
  </si>
  <si>
    <t>PERTUBUHAN ORANG CACAT PENGLIHATAN MALAYSIA CAW KELANTAN (SBM)</t>
  </si>
  <si>
    <t>LOT 1814 CABANG TIGA, SEK KEB PADANG MOKKAN, PERINGAT 16400 KOTA BHARU, KELANTAN  Melor Kelantan - my 16400</t>
  </si>
  <si>
    <t>A1-KET-29-2</t>
  </si>
  <si>
    <t>NVMY34535000007921</t>
  </si>
  <si>
    <t>MUHAMMAD IMRAN BIN HANAPI</t>
  </si>
  <si>
    <t>BALAI PENGAWAL MARKAS BRIGED TENGGARA, BATALION 7 PGA KEM BUKIT GALING 25300 KUANTAN, PAHANG  Kuantan Pahang - my 25300</t>
  </si>
  <si>
    <t>NVMY34535000007914</t>
  </si>
  <si>
    <t>CHA</t>
  </si>
  <si>
    <t>NO 13 JALAN RHU 2/2 PINES,BANDAR HILLPARK 42300 PUNCAK ALAM SELANGOR  Bandar Puncak Alam Selangor - my 42300</t>
  </si>
  <si>
    <t>D3-PCK-14-118</t>
  </si>
  <si>
    <t>NVMY34535000007926</t>
  </si>
  <si>
    <t>KAKNIK BRANDED STATION</t>
  </si>
  <si>
    <t>A-12-05, EPIC RESIDENCE JALAN BP 7/12 BANDAR BUKIT PUCHONG 2, 47120 PUCHONG, SELANGOR  Puchong Selangor - my 47120</t>
  </si>
  <si>
    <t>D1-PUC-22-104</t>
  </si>
  <si>
    <t>NVMY34535000007950</t>
  </si>
  <si>
    <t>NOOR HIDAYU BT AZHAR</t>
  </si>
  <si>
    <t>LOT 4468F, NO 1 JALAN NAKHODA YUSUF 5, TAMAN NAKHODA YUSUF, 41000 KLANG, SELANGOR  Klang Selangor - my 41000</t>
  </si>
  <si>
    <t>NVMY34535000007911</t>
  </si>
  <si>
    <t>Nur azma</t>
  </si>
  <si>
    <t xml:space="preserve"> No 1 lorong cherating perdana 10 jalan kuantan kemaman 26080 kuantan pahang  Kuantan Pahang - my 26080</t>
  </si>
  <si>
    <t>NVMY34535000007932</t>
  </si>
  <si>
    <t>KHAIRUL</t>
  </si>
  <si>
    <t>KAMPUNG DEWAN BESAR DEPAN RUMAH HAJI PATAH, 18500 MACHANG, KELANTAN  Machang Kelantan - my 18500</t>
  </si>
  <si>
    <t>NVMY34535000007940</t>
  </si>
  <si>
    <t>WAN FAIZAH BINTI WAN ZAKARIA</t>
  </si>
  <si>
    <t>NO 204 TAMAN DESA PUTRA KAMPUNG BANGGOL TUAN MUDA, MANIR 21200 KUALA TERENGGANU  Kuala Terengganu Terengganu - my 21200</t>
  </si>
  <si>
    <t>NVMY34535000007924</t>
  </si>
  <si>
    <t>SITI ANIS BT YUSOF</t>
  </si>
  <si>
    <t>PEJABAT PENGURUSAN PANGSAPURI RUSELIA , JALAN PINGGIRAN 1/2 SEKSYEN 1 , TAMAN PINGGIRAN PUTRA PETALING JAYA , SELANGOR , 43300  Seri Kembangan Selangor - my 43300</t>
  </si>
  <si>
    <t>NVMY34535000007934</t>
  </si>
  <si>
    <t>SHAILA</t>
  </si>
  <si>
    <t>Zizi Auto Parts Sdn Bhd No 63 Jalan Perindustrian 4/Ku8 kawasan Perindustrian Meru Selatan 41050 Klang Selangor  Klang Selangor - my 41050</t>
  </si>
  <si>
    <t>NVMY34535000007942</t>
  </si>
  <si>
    <t>NORZALEHA BT MUSTAPHA</t>
  </si>
  <si>
    <t>LOT 891, KG BATANG MERBAU 17500 TANAH MERAH, KELANTAN  Tanah Merah Kelantan - my 17500</t>
  </si>
  <si>
    <t>NVMY34535000007923</t>
  </si>
  <si>
    <t>KISHKA PETHOUSE</t>
  </si>
  <si>
    <t>2314 TAMAN BERSEKUTU (TT-87), KEMAMAN 24000, TERENGGANU  Ayer Puteh Terengganu - my 24000</t>
  </si>
  <si>
    <t>NVMY34535000007918</t>
  </si>
  <si>
    <t>MOHD FAUZI SHARIFF</t>
  </si>
  <si>
    <t>173B, TAMAN PERINDUSTRIAN KRISTAL FASA 2, SHAHAB PERDANA 05150 ALOR SETAR, KEDAH  Alor Setar Kedah - my 05150</t>
  </si>
  <si>
    <t>NVMY34535000007931</t>
  </si>
  <si>
    <t>MOHD HISHAM BIN AB RAHMAN</t>
  </si>
  <si>
    <t>NO 64 LENGKUK SRI SIANTAN 50, TAMAN SRI ANDALAS 41200 KLANG, SELANGOR  Klang Selangor - my 41200</t>
  </si>
  <si>
    <t>NVMY34535000007951</t>
  </si>
  <si>
    <t>FARAH WAHEEDAH BT AZMAN</t>
  </si>
  <si>
    <t>KG BATU 31, JALAN KUALA KRAI 18500 MACHANG, KELANTAN  Machang Kelantan - my 18500</t>
  </si>
  <si>
    <t>NVMY34535000007910</t>
  </si>
  <si>
    <t>Aleeya Batrisyah</t>
  </si>
  <si>
    <t>No 60 jalan bukit jati 5 taman bukit jati 41000 Klang Selangor  Klang Selangor - my 41000</t>
  </si>
  <si>
    <t>NVMY34535000007904</t>
  </si>
  <si>
    <t>NIK NUR SYAZLIANA BT HISHAMUDIN</t>
  </si>
  <si>
    <t>BLOK U TING 7 PINTU 8 KEM PASUKAN GERAKAN AM PGA 31150 ULU KINTA PERAK  Ulu Kinta Perak - my 31150</t>
  </si>
  <si>
    <t>NVMY34535000007905</t>
  </si>
  <si>
    <t>WAK AMAT SUKARIA</t>
  </si>
  <si>
    <t>LIMA BINTANG ABADI SDN BHD LOT 848 JLN POKOK SENA PERMATANG HAJI HASSAN 13200 KEPALA BATAS PULAU PINANG  Kepala Batas Pulau Pinang - my 13200</t>
  </si>
  <si>
    <t>NVMY34535000007907</t>
  </si>
  <si>
    <t>NOOR SHUHAIMI HAMID</t>
  </si>
  <si>
    <t>LOT 6530 JALAN CHABANG KG BARU, KERTEH 24300 KERTEH KEMAMAN TERENGGANU  Kerteh Terengganu - my 24300</t>
  </si>
  <si>
    <t>NVMY34535000007901</t>
  </si>
  <si>
    <t>NOOR AZIRAH BINTI ASLI</t>
  </si>
  <si>
    <t>944 JALAN MERPATI 2 TAMAN WAWASAN KELAPA SAWIT 81000 KULAI JOHOR  Kulai Johor - my 81000</t>
  </si>
  <si>
    <t>NVMY34535000007925</t>
  </si>
  <si>
    <t>MOHD HELMIE</t>
  </si>
  <si>
    <t>NO 32 JALAN ALAM SURIA 16/5 BANDAR PUNCAK ALAM 42300 KUALA SELANGOR  Bandar Puncak Alam Selangor - my 42300</t>
  </si>
  <si>
    <t>NVMY34535000007945</t>
  </si>
  <si>
    <t>CIK PUAN ZARINI BT MUSA</t>
  </si>
  <si>
    <t>LOT 134, JLN BUKIT WAN KG PONDOK LALANG 21060 KUALA TERENGGANU, TERENGGANU  Kuala Terengganu Terengganu - my 21060</t>
  </si>
  <si>
    <t>NVMY34535000007902</t>
  </si>
  <si>
    <t>AMALINGHAZALI</t>
  </si>
  <si>
    <t>INSTITUT KEMAHIRAN BELIA NEGARA IKBN WKAF TAPAI,KM,24,JALAN KULA TERENGGANU KUALA BERANG 21040 TERENGGANU  Kuala Terengganu Terengganu - my 21040</t>
  </si>
  <si>
    <t>NVMY34535000007916</t>
  </si>
  <si>
    <t>TONG YIN KUAN</t>
  </si>
  <si>
    <t>NO 9 BLOCK 1, JALAN GEMPITA 1, SALAK SOUTH GARDEN 57100 KUALA LUMPUR  Kuala Lumpur Kuala Lumpur - my 57100</t>
  </si>
  <si>
    <t>NVMY34535000007939</t>
  </si>
  <si>
    <t>AMNI NAJWA</t>
  </si>
  <si>
    <t>KOLEJ KEMAHIRAN TINGGI MARA, KUANTAN KM 8 JLN GAMBANG, MK KUALA KUANTAN 25150 KUANTAN, PAHANG  Kuantan Pahang - my 25150</t>
  </si>
  <si>
    <t>NVMY34535000007936</t>
  </si>
  <si>
    <t>NIK AINI BT OMAR</t>
  </si>
  <si>
    <t>PT 19070 KAMPUNGRAWAI JALAN BAROH POK BELUNG BUKIT PAYUNG 21400 KUALA TERENGGANU  Bukit Payong Terengganu - my 21400</t>
  </si>
  <si>
    <t>NVMY34535000007935</t>
  </si>
  <si>
    <t>PT 19070 KAMPUNG RAWAI, JALAN BAROH POK BELUNG BUKIT PAYONG 21400 MARANG, TERENGGANU  Bukit Payong Terengganu - my 21400</t>
  </si>
  <si>
    <t>NVMY34535000007908</t>
  </si>
  <si>
    <t>NUR ATIKA BT MOHD NOOR</t>
  </si>
  <si>
    <t>NO 8 LORONG SERI DAMAI PERDANA 33 BATU 6 JALAN GAMBANG 25150 KUANTAN, PAHANG  Kuantan Pahang - my 25150</t>
  </si>
  <si>
    <t>NVMY34535000007909</t>
  </si>
  <si>
    <t>AINI BT SARIAT</t>
  </si>
  <si>
    <t>NO 35 , LORONG PINGGIRAN PUTRA 3/122 , PINGGIRAN PUTRA 3 , 26060 , KUANTAN , PAHANG DARUL MAKMUR   Kuantan Pahang - my 26060</t>
  </si>
  <si>
    <t>NVMY34535000007900</t>
  </si>
  <si>
    <t>NUR AMIERA</t>
  </si>
  <si>
    <t>LOT B65-01,LORONG TAMAN INDAH PERMAI 25,KOMPLEKS KEDIAMAN PERSEKUTUAN INDAH PERMAI,JALAN SEPANGGAR 88450 KOTA KINABALU SABAH  Kota Kinabalu Sabah - my 88450</t>
  </si>
  <si>
    <t>SBH-SBH</t>
  </si>
  <si>
    <t>NVMY34535000007943</t>
  </si>
  <si>
    <t>NIK NORMI</t>
  </si>
  <si>
    <t>LOT 730, JLN PERDANA RESORT, PANTAI CAHAYA BULAN 15350 KOTA BHARU, KELANTAN  Kota Bharu Kelantan - my 15350</t>
  </si>
  <si>
    <t>NVMY34535000007933</t>
  </si>
  <si>
    <t>ROZDIAWATI ZAINAL</t>
  </si>
  <si>
    <t>No 50 Jalan eco majestic 7/1d Mellowood 43500 Semenyih Selangor  Shah Alam Selangor - my 43500</t>
  </si>
  <si>
    <t>NVMY34535000007944</t>
  </si>
  <si>
    <t>SUHAILA YUSOF</t>
  </si>
  <si>
    <t>2828 KG AUR CENDERING 21080 KUALA TERENGGANU, TERENGGANU  Kuala Terengganu Terengganu - my 21080</t>
  </si>
  <si>
    <t>NVMY34535000007906</t>
  </si>
  <si>
    <t>SINO MALAY THAI FORWARDING AGENT</t>
  </si>
  <si>
    <t>NO 10 JALAN SINGGAHSANA, 02100 PADANG BESAR PERLIS  Padang Besar Perlis - my 02100</t>
  </si>
  <si>
    <t>NVMY34535000007917</t>
  </si>
  <si>
    <t>ROSMALINI BINTI AB KADIR</t>
  </si>
  <si>
    <t>NO 20, JALAN ELEKTRON U16/89 DENAI ALAM SEKSYEN U16, 40160 SHAH ALAM SELANGOR  Shah Alam Selangor - my 40160</t>
  </si>
  <si>
    <t>NVMY34535000007941</t>
  </si>
  <si>
    <t>NORALIN NORDIN</t>
  </si>
  <si>
    <t>22A JALAN TIJANI 2/A TAMAN TIJANI UKAY AMPANG, 68000 SELANGOR  Ampang Selangor - my 68000</t>
  </si>
  <si>
    <t>NVMY34535000007955</t>
  </si>
  <si>
    <t>HASIMAH AB RAHMAN</t>
  </si>
  <si>
    <t>LOT 978 KG KUNDUR KUBANG SEPAT 17030 PASIR MAS, KELANTAN  Pasir Mas Kelantan - my 17030</t>
  </si>
  <si>
    <t>NVMY34535000007937</t>
  </si>
  <si>
    <t>Mohd salleh</t>
  </si>
  <si>
    <t>Blok g 4275  Jln merdeka 2 pintu 2 Kem perdana sg besi 57000 Kuala Lumpur  Kuala Lumpur Kuala Lumpur - my 57000</t>
  </si>
  <si>
    <t>NVMY34535000007913</t>
  </si>
  <si>
    <t>NORAMITA BT MD AMIR</t>
  </si>
  <si>
    <t>KLINIK DESA BANGKAULU 73400 GEMAS NEGERI SEMBILAN  Gemas Negeri Sembilan - my 73400</t>
  </si>
  <si>
    <t>C4-GMS-28-92</t>
  </si>
  <si>
    <t>NVMY34535000007928</t>
  </si>
  <si>
    <t>Noor Azlina Bt Mohd din</t>
  </si>
  <si>
    <t>No 37 Jalan persiaran utama Taman purnama 1 86200  Simpang renggam Johor  Simpang Rengam Johor - my 86200</t>
  </si>
  <si>
    <t>NVMY34535000007947</t>
  </si>
  <si>
    <t>JENNY LAPON</t>
  </si>
  <si>
    <t>SMK KENINGAU PETI SURAT 272 89008 KENINGAU SABAH  Keningau Sabah - my 89008</t>
  </si>
  <si>
    <t>NVMY34535000007965</t>
  </si>
  <si>
    <t>ABDUL MUIZ</t>
  </si>
  <si>
    <t>B1, PAKR CERANG GUTING, JALAN KUALA BERANG 21040 MARANG, TERENGGANU  Kuala Terengganu Terengganu - my 21040</t>
  </si>
  <si>
    <t>A2-AJL-25-13</t>
  </si>
  <si>
    <t>NVMY34535000007962</t>
  </si>
  <si>
    <t>Mohd Khushairi bin Mohd Isa(Ziha Alkhor Qatar)</t>
  </si>
  <si>
    <t>No 16 Nilam Terrace  Bukit Puchong 2 47120 Puchong Selangor  Puchong Selangor - my 47120</t>
  </si>
  <si>
    <t>NVMY34535000007973</t>
  </si>
  <si>
    <t>HARIMAU GADGET</t>
  </si>
  <si>
    <t>NO 11 JLN PU 8/2D TAMAN PUCHONG UTAMA 47100 PUCHONG, SELANGOR  Telok Panglima Garang Selangor - my 47100</t>
  </si>
  <si>
    <t>NVMY34535000007963</t>
  </si>
  <si>
    <t>WAN RAZANA WAN MUSA</t>
  </si>
  <si>
    <t>NO 3 JALAN DM 2 DESA MOCCIS 47000 SG BULOH SELANGOR   Kuala Lumpur Kuala Lumpur - my 47000</t>
  </si>
  <si>
    <t>NVMY34535000007954</t>
  </si>
  <si>
    <t>SITI NOR</t>
  </si>
  <si>
    <t>UCSI HOSPITAL (PHYSIOTHERAPY) 2, AVENUE 3, PERSIARAN SPRINGHILL 71010 PORT DICKSON, NEGERI SEMBILAN  Port Dickson Negeri Sembilan - my 71010</t>
  </si>
  <si>
    <t>NVMY34535000007948</t>
  </si>
  <si>
    <t>ROSLAN BIN ISMAIL</t>
  </si>
  <si>
    <t>A-02-10 PANGSAPURI BAYU TIARA, JLN KG BUKIT 11900 BAYAN LEPAS, PULAU PINANG  Bayan Lepas Pulau Pinang - my 11900</t>
  </si>
  <si>
    <t>NVMY34535000007972</t>
  </si>
  <si>
    <t>IDAH DAMIA</t>
  </si>
  <si>
    <t>NO 10, JALAN MAHLIGAI 1C/KU2, BANDAR BUKIT RAJA 41050 KLANG, SELANGOR  Klang Selangor - my 41050</t>
  </si>
  <si>
    <t>NVMY34535000007961</t>
  </si>
  <si>
    <t>HQ OFFICE</t>
  </si>
  <si>
    <t>BBGM DEVELOPMENT SDN BHD 3-40, 3RD FLOOR, PV 128, JALAN GENTING KLANG 53300 SETAPAK KUALA LUMPUR  Kuala Lumpur Kuala Lumpur - my 53300</t>
  </si>
  <si>
    <t>NVMY34535000007920</t>
  </si>
  <si>
    <t>MOHD FAWWAZ BIN ABDUL JAMIL</t>
  </si>
  <si>
    <t>BALAI BOMBA DAN PENYELAMAT KUALA KANGSAR JALAN TAIPING 33000 KUALA KANGSAR, PERAK  Kuala Kangsar Perak - my 33000</t>
  </si>
  <si>
    <t>NVMY34535000007953</t>
  </si>
  <si>
    <t>AHLIA FITRI</t>
  </si>
  <si>
    <t>NO 371, JALAN PALMA JAYA 11, TAMAN PJ PERDANA 70400 SEREMBAN NEGERI SEMBILAN  Seremban Negeri Sembilan - my 70400</t>
  </si>
  <si>
    <t>NVMY34535000007959</t>
  </si>
  <si>
    <t>WAN NURUL AINI</t>
  </si>
  <si>
    <t>BLOCK A, 23-07 CASA SUBANG APARTMENT JALAN SUBANG 1, SUBANG LIGHT INDUSTRIAL PARK 47500 SUBANG JAYA SELANGOR  Subang Jaya Selangor - my 47500</t>
  </si>
  <si>
    <t>NVMY34535000007960</t>
  </si>
  <si>
    <t>FIZEE, ZAKI &amp; OSMAN</t>
  </si>
  <si>
    <t>LOT 644 (4U) TINGKAT 1 JALAN ISMAIL OFF BULATAN TUAN PADANG 15000 KOTA BHARU, KELANTAN  Kota Bharu Kelantan - my 15000</t>
  </si>
  <si>
    <t>NVMY34535000007930</t>
  </si>
  <si>
    <t>NIANG SHAFIE</t>
  </si>
  <si>
    <t>NO 14 JALAN PERMAI 4 TAMAN KERIAN PERMAI, 34200 PARIT BUNTAR, PERAK  Parit Buntar Perak - my 34200</t>
  </si>
  <si>
    <t>NVMY34535000007952</t>
  </si>
  <si>
    <t>WAN MUHAMMAD HARIS FATHI BIN WAN HAMKA</t>
  </si>
  <si>
    <t>BLOK D12 PENGKALAN TLDM LUMUT PERAK 32200 LUMUT MANJUNG, PERAK  Lumut Perak - my 32200</t>
  </si>
  <si>
    <t>NVMY34535000007964</t>
  </si>
  <si>
    <t>FAWWAZ RAMADONA BIN CHE WIL</t>
  </si>
  <si>
    <t>LOT 110328, KG PAYA KEMUDI, JLN BUKIT BESI-CHE LIJAH, 23000 DUNGUN, TERENGGANU  Dungun Terengganu - my 23000</t>
  </si>
  <si>
    <t>NVMY34535000007841</t>
  </si>
  <si>
    <t>NVMY34535000007938</t>
  </si>
  <si>
    <t>BANK MUAMALAT MALAYSIA BERHAD</t>
  </si>
  <si>
    <t>NO 21, LOT 88, JALAN PERDANA HEIGHTS 2/2, PERDANA HEIGHTS, 08000 SUNGAI PETANI, KEDAH  Sungai Petani Kedah - my 08000</t>
  </si>
  <si>
    <t>NVMY34535000007970</t>
  </si>
  <si>
    <t>MOHD RIZLAN BIN MOHAMMAD</t>
  </si>
  <si>
    <t>PANGSAPURI TARATAK MUHIBBAH 1, A-02-08 JALAN DESA BAHAGIA TAMAN DESA 58100 KUALA LUMPUR  Kuala Lumpur Kuala Lumpur - my 58100</t>
  </si>
  <si>
    <t>D2-DSA-20-109</t>
  </si>
  <si>
    <t>NVMY34535000007929</t>
  </si>
  <si>
    <t>NORHAYATI DOGOL</t>
  </si>
  <si>
    <t>NO 9 JALAN TBC 29 TMN BUKIT CHENG 75250 MELAKA  Melaka Melaka - my 75250</t>
  </si>
  <si>
    <t>NVMY34535000007968</t>
  </si>
  <si>
    <t>CHE ROSNANI BINTI CHE HENG</t>
  </si>
  <si>
    <t>NO 99 RAKR MENGKABANG LEKAR, 21020 KUALA TERENGGANU, TERENGGANU  Kuala Terengganu Terengganu - my 21020</t>
  </si>
  <si>
    <t>NVMY34535000007957</t>
  </si>
  <si>
    <t>QIQIN</t>
  </si>
  <si>
    <t>30, JALAN SIREH PINANG B, TAMAN SUNGAI SIREH 42000 KLANG, SELANGOR  Pelabuhan Klang Selangor - my 42000</t>
  </si>
  <si>
    <t>D5-PKL-2-146</t>
  </si>
  <si>
    <t>NVMY34535000007946</t>
  </si>
  <si>
    <t>NORHASLIZA BINTI CHE PIN</t>
  </si>
  <si>
    <t>NO 69 JLN 4, TAMAN DESA JAYA INDAH, 08800 GUAR CHEMPEDAK, KEDAH  Gurun Kedah - my 08800</t>
  </si>
  <si>
    <t>NVMY34535000007927</t>
  </si>
  <si>
    <t>Izzati Adibah</t>
  </si>
  <si>
    <t>D-5-12, Pangsapuri Pertam Jaya Idaman, Jln. PJ19A, Tmn. Pertam Jaya, 75050 Semabok, Melaka  Melaka Melaka - my 75050</t>
  </si>
  <si>
    <t>NVMY34535000007967</t>
  </si>
  <si>
    <t>ZAA EXCLUSIVE</t>
  </si>
  <si>
    <t>11789 NO 5 JALAN ALOR ARA KG KETAPANG 26600 PAHANG  Pekan Pahang - my 26600</t>
  </si>
  <si>
    <t>NVMY34535000007949</t>
  </si>
  <si>
    <t>rosniati</t>
  </si>
  <si>
    <t>no 69 japan sheikh mohd nor kg sungai chincin 53100 gombak sel  Kuala Lumpur Hulu Langat Kuala Lumpur - my 53100</t>
  </si>
  <si>
    <t>NVMY34535000007966</t>
  </si>
  <si>
    <t>ROSFAZIZI JAAFFAR</t>
  </si>
  <si>
    <t>LOT 15, JALAN PERMAI SATU, SELAYANG PERMAI 68100 SELAYANG, SELANGOR  Batu Caves Selangor - my 68100</t>
  </si>
  <si>
    <t>NVMY34535000007988</t>
  </si>
  <si>
    <t>Shaila</t>
  </si>
  <si>
    <t>NVMY34535000007922</t>
  </si>
  <si>
    <t>MUHAMMAD HAIQAL SYAFIQ BIN MOHD DARUSAMI</t>
  </si>
  <si>
    <t>LOT 2866, MILEA RESIDENCES PHASE 2, PARKCITY EASTWOOD, 98000 MIRI, SARAWAK  Miri Sarawak - my 98000</t>
  </si>
  <si>
    <t>NVMY34535000008003</t>
  </si>
  <si>
    <t>AINI AMIRAH</t>
  </si>
  <si>
    <t>KAMPUS UITM RAUB, UNIVERSITI TEKNOLOGI MARA (UITM), CAWANGAN PAHANG KAMPUS, FELDA KRAU RAUB 27600 RAUB PAHANG MALAYSIA   Raub Pahang - my 27600</t>
  </si>
  <si>
    <t>NVMY34535000008009</t>
  </si>
  <si>
    <t>WAN NORAZAI</t>
  </si>
  <si>
    <t>PT 20546 K TAMAN PERMINT PERDANA SEBERANG TAKIR 21300 KUALA TERENGGANU  Kuala Terengganu Terengganu - my 21300</t>
  </si>
  <si>
    <t>NVMY34535000007958</t>
  </si>
  <si>
    <t>NIK NUR HANIF BIN NIK HUSSIN</t>
  </si>
  <si>
    <t>EMHART GLASS SDN BHD 20 JALAN MAHIR 5, TAMAN PERINDUSTRIAN CEMERLANG, 81800 ULU TIRAM, JOHOR  Ulu Tiram Johor - my 81800</t>
  </si>
  <si>
    <t>C1-TRM-7-71</t>
  </si>
  <si>
    <t>NVMY34535000007974</t>
  </si>
  <si>
    <t>NVMY34535000007984</t>
  </si>
  <si>
    <t>MOHD HAFIZ BIN LUKMAN</t>
  </si>
  <si>
    <t>NO 67 , SMK GAJAH BERANG , JALAN GAJAH BERANG , 75200 MELAKA   Melaka Melaka - my 75200</t>
  </si>
  <si>
    <t>NVMY34535000007990</t>
  </si>
  <si>
    <t>RAIHAN ASMONU</t>
  </si>
  <si>
    <t>NO 10, LORONG IM2/85, BANDAR INDERA MAHKOTA 2, 25200 KUANTAN, PAHANG  Kuantan Pahang - my 25200</t>
  </si>
  <si>
    <t>NVMY34535000008008</t>
  </si>
  <si>
    <t>NOR SUHADA BT IBRAHIM</t>
  </si>
  <si>
    <t>PT 804 PANTAI GETING D'GETING BEACH RESORT 16080 TUMPAT, KELANTAN  Tumpat Kelantan - my 16080</t>
  </si>
  <si>
    <t>NVMY34535000007956</t>
  </si>
  <si>
    <t>Queensya nur hanina</t>
  </si>
  <si>
    <t>No19 lorong AM1 taman aor mesra 34000 taiping perak  Taiping Perak - my 34000</t>
  </si>
  <si>
    <t>B3-TPG-11-59</t>
  </si>
  <si>
    <t>NVMY34535000007991</t>
  </si>
  <si>
    <t>NVMY34535000007985</t>
  </si>
  <si>
    <t>ZULKIFLI BIN KASSIM</t>
  </si>
  <si>
    <t>LOT 2894, JALAN KAMPUNG TENGAH 8, KG TENGAH KERTEH, 24300 KEMAMAN, TERENGGANU  Kerteh Terengganu - my 24300</t>
  </si>
  <si>
    <t>NVMY34535000007993</t>
  </si>
  <si>
    <t>ZAKIAH IBRAHIM</t>
  </si>
  <si>
    <t>LOT PT 79 LORONG KADA BELAKANG MASJID SLOW MACHANG 17000 PASIR MAS, KELANTAN  Pasir Mas Kelantan - my 17000</t>
  </si>
  <si>
    <t>A1-PAS-27-5</t>
  </si>
  <si>
    <t>NVMY34535000007982</t>
  </si>
  <si>
    <t>KAMARUZAMAN IBRAHIM</t>
  </si>
  <si>
    <t>KAMPUNG SEJUK KUALA ATOK SEGA 27660 RAUB, PAHANG  Raub Pahang - my 27600</t>
  </si>
  <si>
    <t>NVMY34535000007919</t>
  </si>
  <si>
    <t>SYAH RIZAL SYARIFAH BAIDURI</t>
  </si>
  <si>
    <t>1238 LORONG JUARA 2C TAMAN SUKMA JLN SULTAN TENGAH 93050, PETRA JAYA KUCHING, SARAWAK  Kuching Sarawak - my 93050</t>
  </si>
  <si>
    <t>NVMY34535000008010</t>
  </si>
  <si>
    <t>ROSMAH BT JAMAL</t>
  </si>
  <si>
    <t>BLOK C T03-U08 PRESINT 14 (SUB 14/7) 62050 PUTRAJAYA  Putrajaya Putrajaya - my 62050</t>
  </si>
  <si>
    <t>D5-BGI-4-140</t>
  </si>
  <si>
    <t>NVMY34535000007980</t>
  </si>
  <si>
    <t>NVMY34535000007976</t>
  </si>
  <si>
    <t>NUR LIYANA BT AMIR</t>
  </si>
  <si>
    <t>BLOK G4/1/5, KEM PGA BRIGED TENGAH, 43200 CHERAS, SELANGOR  Kuala Lumpur Kuala Lumpur - my 43200</t>
  </si>
  <si>
    <t>NVMY34535000007992</t>
  </si>
  <si>
    <t>36 A SIMPANG 3 KG JEREK DALAM 18300 GUA MUSANG, KELANTAN  Gua Musang Kelantan - my 18300</t>
  </si>
  <si>
    <t>NVMY34535000007971</t>
  </si>
  <si>
    <t>IKHWAN</t>
  </si>
  <si>
    <t>5, JALAN SUNGAI DUA UTAMA 1, TAMAN SUNGAI DUA UTAMA 13800 BUTTERWORTH, PULAU PINANG  Butterworth Pulau Pinang - my 13800</t>
  </si>
  <si>
    <t>NVMY34535000007989</t>
  </si>
  <si>
    <t>AIN NADIA</t>
  </si>
  <si>
    <t>LOT 2606, KG BARU RHU MUDA, 21600 MARANG, TERENGGANU  Marang Terengganu - my 21600</t>
  </si>
  <si>
    <t>NVMY34535000007978</t>
  </si>
  <si>
    <t>AIDA AZWEEN MD YAHYA</t>
  </si>
  <si>
    <t>NO 2 , JALAN SJ1 , TAMAN SIJANGKANG JAYA , TELOK PANGLIMA GARANG , KUALA LANGAT , SELANGOR   Telok Panglima Garang Selangor - my 42500</t>
  </si>
  <si>
    <t>NVMY34535000007999</t>
  </si>
  <si>
    <t>KAMARUL HISAN</t>
  </si>
  <si>
    <t>3, JALAN KESUMBA 3A/7, BANDAR BUKIT BERUNTUNG 48300 RAWANG, SELANGOR  Rawang Selangor - my 48300</t>
  </si>
  <si>
    <t>NVMY34535000007998</t>
  </si>
  <si>
    <t>SYAFIQ DHAMRAN BIN ISMAIL</t>
  </si>
  <si>
    <t>LOT 558, KG SUNGAI 16300 BACHOK, KELANTAN  Bachok Kelantan - my 16300</t>
  </si>
  <si>
    <t>NVMY34535000008002</t>
  </si>
  <si>
    <t>KENVUE LOT 3&amp;5 JALAN TANDANG 46050 PETALING JAYA, SELANGOR  Petaling Jaya Selangor - my 46050</t>
  </si>
  <si>
    <t>NVMY34535000007979</t>
  </si>
  <si>
    <t>NOR AZAWATI BT ABDULLAH</t>
  </si>
  <si>
    <t>NO 38 KAMPUNG BECHAH KELUBI , CHETOK , 17060 PASIR MAS KELANTAN   Pasir Mas Kelantan - my 17060</t>
  </si>
  <si>
    <t>NVMY34535000007969</t>
  </si>
  <si>
    <t>ALIA FARISYA</t>
  </si>
  <si>
    <t>NO.10, PPRT KEDA BUKIT ULAR, 06300 KUALA NERANG, KEDAH  Kuala Nerang Kedah - my 06300</t>
  </si>
  <si>
    <t>NVMY34535000008005</t>
  </si>
  <si>
    <t>Ahmad Rashidi Bin Abdullah</t>
  </si>
  <si>
    <t>No. TF-G-12, Pangsapuri Seri Tanjung, Sek BS 2, Bukit Sentosa, Rawang 48300, Selangor  Rawang Selangor - my 48300</t>
  </si>
  <si>
    <t>NVMY34535000007986</t>
  </si>
  <si>
    <t>Natasha Halid</t>
  </si>
  <si>
    <t>19 Jalan Isora 4 Nilai Impian 71800 Nilai Negeri Sembilan  Labu Negeri Sembilan - my 71800</t>
  </si>
  <si>
    <t>NVMY34535000008000</t>
  </si>
  <si>
    <t>TAMAN HENG LONG NO 53 91308 SEMPORNA  SABAH  Semporna Sabah - my 91308</t>
  </si>
  <si>
    <t>NVMY34535000008022</t>
  </si>
  <si>
    <t>NOOR AIZA BINTI ZAINUDDIN</t>
  </si>
  <si>
    <t>NO 3A, TINGKAT 1, BLOK A, MESRA VILLA APARTMENT, JALAN IKAN EMAS 68000 AMPANG, SELANGOR  Ampang Selangor - my 68000</t>
  </si>
  <si>
    <t>NVMY34535000008004</t>
  </si>
  <si>
    <t>Mohd Iqbal Muhammady Bin Jalaluddin</t>
  </si>
  <si>
    <t>20-2-12 Apartment 1C Pinang,Jalan Klang Lama,Taman Sri Sentosa,W.P Kuala Lumpur,58000  Kuala Lumpur Kuala Lumpur - my 58000</t>
  </si>
  <si>
    <t>NVMY34535000008016</t>
  </si>
  <si>
    <t>MOHD NORHAFIZIE CHE HASHIM</t>
  </si>
  <si>
    <t>BAHAGIAN PENCEGAHAN JENAYAH DAN KESELAMATAN KOMUNITI IBU PEJABAT POLIS DAERAH RAUB 27600 RAUB PAHANG  Raub Pahang - my 27600</t>
  </si>
  <si>
    <t>NVMY34535000007997</t>
  </si>
  <si>
    <t>NORMALA MOHAMAD</t>
  </si>
  <si>
    <t>50, LORONG TELUK AIR TAWAR 1, TAMAN AIR TAWAR INDAH 13050 BUTTERWORTH, PULAU PINANG  Butterworth Pulau Pinang - my 13050</t>
  </si>
  <si>
    <t>NVMY34535000008036</t>
  </si>
  <si>
    <t>MAISARAH HAMZAH</t>
  </si>
  <si>
    <t>KUWAIT FINANCE HOUSE (MALAYSIA) BERHAD FINANCING OPERATIONS LEVEL 7, MENARA PRESTIGE NO 1 JALAN PINANG 50450 KUALA LUMPUR  Kuala Lumpur Kuala Lumpur - my 50450</t>
  </si>
  <si>
    <t>NVMY34535000008014</t>
  </si>
  <si>
    <t>MUHAMMAD AMIRUL</t>
  </si>
  <si>
    <t>5, JALAN 1/3 SERI BUDIMAN TAMAN SERI BUDIMAN BANDAR MAHKOTA CHERAS 43100 SELANGOR  Hulu Langat Selangor - my 43100</t>
  </si>
  <si>
    <t>NVMY34535000007981</t>
  </si>
  <si>
    <t>ZAKI ZULKAFLE</t>
  </si>
  <si>
    <t>NO 13 JALAN NILA ASPIRA 2 TAMAN NILA ASPIRA 71000 PORT DICKSON, NEGERI SEMBILAN  Port Dickson Negeri Sembilan - my 71000</t>
  </si>
  <si>
    <t>NVMY34535000008001</t>
  </si>
  <si>
    <t>NUR ALYA QISTINA</t>
  </si>
  <si>
    <t>KG SG BERLIAN 5, BATU 9 1/2, JALAN LABIS 83700 YONG PENG, JOHOR  Yong Peng Johor - my 83700</t>
  </si>
  <si>
    <t>NVMY34535000008035</t>
  </si>
  <si>
    <t>ROSNAN BINTI SAARI</t>
  </si>
  <si>
    <t>LOT 6002A, JLN BUKIT LANGSAT KAMPUNG AIR HITAM DARAT 78300 MASJID TANAH MELAKA  Masjid Tanah Melaka - my 78300</t>
  </si>
  <si>
    <t>NVMY34535000008021</t>
  </si>
  <si>
    <t>SULFA</t>
  </si>
  <si>
    <t>443P, TAMAN SERI BUDI, PADANG MIDIN 21400 KUALA TERENGGANU, TERENGGANU  Bukit Payong Terengganu - my 21400</t>
  </si>
  <si>
    <t>NVMY34535000008040</t>
  </si>
  <si>
    <t>NORASYIKIN</t>
  </si>
  <si>
    <t>PT 7960 AKASIA 10 BANDAR BARU BUKIT MENTOK 24000 KEMAMAN, TERENGGANU  Ayer Puteh Terengganu - my 24000</t>
  </si>
  <si>
    <t>NVMY34535000008037</t>
  </si>
  <si>
    <t>ALVIN</t>
  </si>
  <si>
    <t>NO 23 JALAN PULAU ANGSA U10/41A, SUNWAY ALAM SURIA 40170 SHAH ALAM SELANGOR  Shah Alam Selangor - my 40170</t>
  </si>
  <si>
    <t>NVMY34535000007977</t>
  </si>
  <si>
    <t>MOHAMED AL ASHRAF</t>
  </si>
  <si>
    <t>4425 JALAN INDAH 6 DESA SERI ISKANDAR, BANDAR SERI ISKANDAR 32610 PERAK  Bandar Seri Iskandar Perak - my 32610</t>
  </si>
  <si>
    <t>NVMY34535000008031</t>
  </si>
  <si>
    <t>ROZILAWATI BINTI ABDUL AZIZ</t>
  </si>
  <si>
    <t>NO 14, JALAN DAMAI 9, TAMAN DAMAI UTAMA 44000 KUALA KUBU BHARU SELANGOR  , - , Kuala Lumpur , Kuala Lumpur Kuala Lumpur Kuala Lumpur - MY 44000</t>
  </si>
  <si>
    <t>NVMY34535000008025</t>
  </si>
  <si>
    <t>MUHAMMAD AMZAR HAKIM BIN MOHD AZAHAR</t>
  </si>
  <si>
    <t>5 LORONG AIR PUTIH 7 TAMAN BERSERAH 25300 KUANTAN, PAHANG  Kuantan Pahang - my 25300</t>
  </si>
  <si>
    <t>NVMY34535000008030</t>
  </si>
  <si>
    <t>NORNI RAHAYU BT IBRAHIM</t>
  </si>
  <si>
    <t>KLINIK KESIHATAN PEMULIHAN, MENARA SELATAN, TINGKAT 1 PUSAT PERUBATAN UNIVERSITI MALAYA 59000 LEMBAH PANTAI KUALA LUMPUR  , - , Kuala Lumpur , Kuala Lumpur Kuala Lumpur Kuala Lumpur - MY 59000</t>
  </si>
  <si>
    <t>NVMY34535000007975</t>
  </si>
  <si>
    <t>AZLIANA ALI</t>
  </si>
  <si>
    <t>LOT 34/505, KAMPUNG AMAN POKOK ASSAM, ASAM KUMBANG 34000 TAIPING, PERAK  Taiping Perak - my 34000</t>
  </si>
  <si>
    <t>NVMY34535000007987</t>
  </si>
  <si>
    <t>Siti Juliana</t>
  </si>
  <si>
    <t>No 16, Jalan Todak 3, Pusat Bandar Seberang Jaya , 13600 Seberang Jaya , Pulau Pinang  Perai Pulau Pinang - my 13600</t>
  </si>
  <si>
    <t>NVMY34535000007994</t>
  </si>
  <si>
    <t>AZLEN SUBOH</t>
  </si>
  <si>
    <t>1382 JLN NUSA INTAN 1/7 TAMAN NUSA INTAN 70400 SEREMBAN, NEGERI SEMBILAN  Seremban Negeri Sembilan - my 70400</t>
  </si>
  <si>
    <t>NVMY34535000008023</t>
  </si>
  <si>
    <t>NORMALA BT SHAMSUDIN</t>
  </si>
  <si>
    <t>LOT 407 KG JERAM B, 16800 PASIR PUTEH KELANTAN  Pasir Puteh Kelantan - my 16800</t>
  </si>
  <si>
    <t>NVMY34535000008029</t>
  </si>
  <si>
    <t>AFEEYA GROUP (RETURN&amp;EXCHANGE)</t>
  </si>
  <si>
    <t>9-1 JALAN BPP 5/2, PUSAT BANDAR PUTRA PERMAI SERI KEMBANGAN 43300 SELANGOR  Seri Kembangan Selangor - my 43300</t>
  </si>
  <si>
    <t>NVMY34535000007996</t>
  </si>
  <si>
    <t>NUR HIDAYAH BINTI RUSDI</t>
  </si>
  <si>
    <t>NO 46/1, MEDAN NIAGA TASIK DAMAI, JALAN TASIK UTAMA 5, 57000 SUNGAI BESI WP KUALA LUMPUR  Kuala Lumpur Kuala Lumpur Kuala Lumpur - my 57000</t>
  </si>
  <si>
    <t>NVMY34535000008019</t>
  </si>
  <si>
    <t>CHOIZES CONCEPT STORE SDN BHD</t>
  </si>
  <si>
    <t>UNIT NO D6-3A-17 BANGUNAN PERDAGANGAN D6, SENTUL RAYA, 801 JLN SENTUL 51100 KUALA LUMPUR  Kuala Lumpur Kuala Lumpur - my 51100</t>
  </si>
  <si>
    <t>NVMY34535000008020</t>
  </si>
  <si>
    <t>RIDDUWAN MOHAMED ZAWAWI</t>
  </si>
  <si>
    <t>KEMAMAN YONGTAUFOO CHINESE STYLE LOT 20115 TINGKAT BAWAH CHUKAI GYM BANDAR BARU BUKIT MENTOK JLN SIANTAN 1 CHUKAI 24000 KEMAMAN TERENGGANU  Ayer Puteh Terengganu - my 24000</t>
  </si>
  <si>
    <t>NVMY34535000008038</t>
  </si>
  <si>
    <t>NUR AIN</t>
  </si>
  <si>
    <t>NO 1684 JLN WARISAN PUTERI A57, PRECINT 6, 70400 SEREMBAN, NEGER SEMBILAN  Seremban Negeri Sembilan - my 70400</t>
  </si>
  <si>
    <t>C4-SBN-28-91</t>
  </si>
  <si>
    <t>NVMY34535000007983</t>
  </si>
  <si>
    <t>SITI HASANAH BINTI SAFIAN</t>
  </si>
  <si>
    <t>NO 9, SOLOK ILMU 1 TAMAN ILMU 14300 NIBONG TEBAL, PULAU PINANG  Nibong Tebal Pulau Pinang - my 14300</t>
  </si>
  <si>
    <t>NVMY34535000008011</t>
  </si>
  <si>
    <t>Vanitha</t>
  </si>
  <si>
    <t xml:space="preserve"> 77-03-26, Bandar Baru Sentul, Kuala Lumpur 51000, W.Persekutuan (KL)  Kuala Lumpur Kuala Lumpur - my 51000</t>
  </si>
  <si>
    <t>NVMY34535000008007</t>
  </si>
  <si>
    <t>Ahmad Bukhari bin Mohamad</t>
  </si>
  <si>
    <t>66 Jalan Bagan Kurnia 8, Taman Bagan Kurnia, 71960 Port Dickson, Negeri Sembilan  Port Dickson Negeri Sembilan - my 71960</t>
  </si>
  <si>
    <t>NVMY34535000007995</t>
  </si>
  <si>
    <t>ZALINDA RAHMAT</t>
  </si>
  <si>
    <t>NO 4, JLN SEKUNTUM 20 TAMAN BUKIT DAHLIA 81700 PASIR GUDANG, JOHOR  Pasir Gudang Johor - my 81700</t>
  </si>
  <si>
    <t>C1-PSG-9-68</t>
  </si>
  <si>
    <t>NVMY34535000008015</t>
  </si>
  <si>
    <t>RAINIZA ADNAN</t>
  </si>
  <si>
    <t>10-10 PANGSAPURI BERINGIN JALAN GP1, TAMAN GOMBAK PERMAI 68100 BATU CAVES SEALNGOR  Batu Caves Selangor - my 68100</t>
  </si>
  <si>
    <t>NVMY34535000008028</t>
  </si>
  <si>
    <t>LENNY</t>
  </si>
  <si>
    <t>LOT 405 NO 21, BT6 1/4, KAMPUNG KERDAS 5, 53100 GOMBAK SELANGOR  Hulu Langat Kuala Lumpur - my 53100</t>
  </si>
  <si>
    <t>NVMY34535000008050</t>
  </si>
  <si>
    <t>MUHAMAD AL QAMAR BIN ZAINUDDIN</t>
  </si>
  <si>
    <t>LOT 1379 TAMAN SRI AMAN 1, 16800 PASIR PUTEH, KELANTAN  Pasir Puteh Kelantan - my 16800</t>
  </si>
  <si>
    <t>NVMY34535000008052</t>
  </si>
  <si>
    <t>Syafikah Ab Rahman</t>
  </si>
  <si>
    <t xml:space="preserve"> Pt 6424, Taman Sri Serdang Baru, Jalan Telong, 16310, Bachok, Kelantan  Bachok Kelantan - my 16310</t>
  </si>
  <si>
    <t>NVMY34535000008032</t>
  </si>
  <si>
    <t>VIVIEN</t>
  </si>
  <si>
    <t>NO 5 JALAN MELATI AIR HITAM 86100 AYER HITAM JOHOR  Ayer Hitam Johor - my 86100</t>
  </si>
  <si>
    <t>NVMY34535000008027</t>
  </si>
  <si>
    <t>AIN BASYIRAH</t>
  </si>
  <si>
    <t>NO 113-1 , JALAN 15 DESA JATI , PUTRA NILAI 71800 NILAI NEGERI SEMBILAN   Labu Negeri Sembilan - my 71800</t>
  </si>
  <si>
    <t>NVMY34535000008042</t>
  </si>
  <si>
    <t xml:space="preserve"> 2206 kampung gong kiat,20050 kuala terengganu  Kuala Terengganu Terengganu - my 20050</t>
  </si>
  <si>
    <t>NVMY34535000008013</t>
  </si>
  <si>
    <t>Nor</t>
  </si>
  <si>
    <t>Ms.read sdn.bhd Lot G03 ground floor, Aeon mall Tebrau city No 1 jalan desa tebrau, Taman desa tebrau  81100 Johor Bahru  Kulai Johor - my 81000</t>
  </si>
  <si>
    <t>NVMY34535000008051</t>
  </si>
  <si>
    <t>Nor Rasedah Binti Mohd Noor</t>
  </si>
  <si>
    <t>NO C13 Kampung Hijrah Simpang Sepayang, 26800 Kuala Rompin, Pahang  Kuala Rompin Pahang - my 26800</t>
  </si>
  <si>
    <t>NVMY34535000008055</t>
  </si>
  <si>
    <t>NOR DALILAH BINTI MOHD BAHARI</t>
  </si>
  <si>
    <t>NO 13, LORONG CHENOR IMPIAN 3, TAMAN CHENOR IMPIAN 28100 CHENOR, PAHANG  Chenor Pahang - my 28100</t>
  </si>
  <si>
    <t>NVMY34535000008024</t>
  </si>
  <si>
    <t>AMIRUL</t>
  </si>
  <si>
    <t>20, JALAN MELAWIS 1 TAMAN MELAWIS, HANG TUAH JAYA 75450 AYER KEROH, MELAKA  Ayer Keroh Melaka - my 75450</t>
  </si>
  <si>
    <t>NVMY34535000008012</t>
  </si>
  <si>
    <t>ROSMARINI</t>
  </si>
  <si>
    <t>LOT 1400, GENTING HIGHLANDS PREMIUM OUTLETS, KM 13 AUSTIN REED BENTONG 69000 PAHANG  Pahang Genting Highlands Pahang - my 69000</t>
  </si>
  <si>
    <t>D1-GEN-24-100</t>
  </si>
  <si>
    <t>NVMY34535000008033</t>
  </si>
  <si>
    <t>NVMY34535000008060</t>
  </si>
  <si>
    <t>HISHAM BIN ABDULLAH</t>
  </si>
  <si>
    <t>B358 FLAT LAMA BUKIT KECIL 21100 KUALA TERENGGANU  Kuala Terengganu Terengganu - my 21100</t>
  </si>
  <si>
    <t>NVMY34535000008026</t>
  </si>
  <si>
    <t>WAN SRI DINI BT WAN KAMARUDIN</t>
  </si>
  <si>
    <t>EMERALD RESIDENCE SDN  BHD, D-03-02, PANGSAPURI EMERALD BUKIT BERUANG 75450 MELAKA  Ayer Keroh Melaka - my 75450</t>
  </si>
  <si>
    <t>NVMY34535000008068</t>
  </si>
  <si>
    <t>Hasmawati Hasan</t>
  </si>
  <si>
    <t>No 27 Jln TM 9 Tmn Temerloh Makmur 28000 Temerloh Phg  Temerloh Pahang - my 28000</t>
  </si>
  <si>
    <t>NVMY34535000008041</t>
  </si>
  <si>
    <t>ATTN PUAN MAZRINI</t>
  </si>
  <si>
    <t>D-12-3 THE HEIGHT RESIDENCE PUNCAK MUZAFFAR AYER KEROH, 75450 MELAKA  Ayer Keroh Melaka - my 75450</t>
  </si>
  <si>
    <t>MKZ-MKZ</t>
  </si>
  <si>
    <t>NVMY34535000008061</t>
  </si>
  <si>
    <t>MOHD ZULHAFIZ BIN ABDULLAH</t>
  </si>
  <si>
    <t>LOT 2577 DEPAN PONDOK POLIS KAMPUNG TELEKONG 18000 KUALA KRAI KELANTAN  Kuala Krai Kelantan - my 18000</t>
  </si>
  <si>
    <t>NVMY34535000008034</t>
  </si>
  <si>
    <t>SITI AMINAH BINTI MOHD AKHIR</t>
  </si>
  <si>
    <t>LOT 11 KG BUKIT SIDAM KANAN 09400 PADANG JERAI KEDAH  Padang Serai Kedah - my 09400</t>
  </si>
  <si>
    <t>NVMY34535000008039</t>
  </si>
  <si>
    <t>ALIM</t>
  </si>
  <si>
    <t>25, JALAN BETIK 6, TAMAN KOTA MASAI PASIR GUDANG 81700 JOHOR BAHRU, JOHOR  Pasir Gudang Johor - my 81700</t>
  </si>
  <si>
    <t>NVMY34535000008058</t>
  </si>
  <si>
    <t>MARYANI BT OTHMAN</t>
  </si>
  <si>
    <t>3C-04-03 BLOK C D PALMA APT,JALAN WAWASAN 4/12 PUSAT BANDAR PUCHONG 47100 PUCHONG SELANGOR  Telok Panglima Garang Selangor - my 47100</t>
  </si>
  <si>
    <t>NVMY34535000008006</t>
  </si>
  <si>
    <t>Puteri</t>
  </si>
  <si>
    <t>No 15, Taman Dayang , Jalan Ayer Hangat , 07000 Langkawi, Kedah Darul Aman  Langkawi Kedah - my 07000</t>
  </si>
  <si>
    <t>NVMY34535000008046</t>
  </si>
  <si>
    <t>ROSLAN</t>
  </si>
  <si>
    <t>NO 27 LOT 2501 JALAN 8 KG TENGAH TAMBAHAN KM 10 GOMBAK 53100 KUALA LUMPUR  Hulu Langat Kuala Lumpur - my 53100</t>
  </si>
  <si>
    <t>NVMY34535000008069</t>
  </si>
  <si>
    <t>MINAZIMINI</t>
  </si>
  <si>
    <t>15-A KG SANTONG 21300 PAKA TERENGGANU  Kuala Terengganu Terengganu - my 21300</t>
  </si>
  <si>
    <t>NVMY34535000008043</t>
  </si>
  <si>
    <t>LUVLA.MY</t>
  </si>
  <si>
    <t>NO 17, JLN P4/8, SEKSYEN 4, BANDAR TEKNOLOGI KAJANG 43500 SEMENYIH, SELANGOR  Shah Alam Selangor - my 43500</t>
  </si>
  <si>
    <t>NVMY34535000008064</t>
  </si>
  <si>
    <t>SHIDA MAT</t>
  </si>
  <si>
    <t>BLOK A 17-03 KUARTERS INTEGRASI HOSPITAL SUNGAI BULOH 47000 SUNGAI BULOH, SELANGOR  Kuala Lumpur Kuala Lumpur - my 47000</t>
  </si>
  <si>
    <t>NVMY34535000008049</t>
  </si>
  <si>
    <t>MOHAMAD FAKRULLAH BIN IBRAHIM</t>
  </si>
  <si>
    <t>LOT 3, BATU 13, SIMPANG BALAK, KAJANG 43000 BALAKONG, SIMPANG BALAK ULU LANGAT SELANGOR  Kajang Selangor - my 43000</t>
  </si>
  <si>
    <t>NVMY34535000008017</t>
  </si>
  <si>
    <t>THUWAIBAH HASSAN</t>
  </si>
  <si>
    <t>NO 11-A JLN BELAKANG SK ZAINAB 2, 15150 TELIPOT KORA BHARU KELANTAN  Kota Bharu Kelantan - my 15150</t>
  </si>
  <si>
    <t>NVMY34535000008075</t>
  </si>
  <si>
    <t>MIERA</t>
  </si>
  <si>
    <t>(JAJJA  CHINTA SDN BHD) LOT 60 JALAN SULTAN ZAINAL ABIDIN KUALA TERENGGANU 20000 TERENGGANU  Kuala Terengganu Terengganu - my 20000</t>
  </si>
  <si>
    <t>A2-GBK-25-11</t>
  </si>
  <si>
    <t>NVMY34535000008070</t>
  </si>
  <si>
    <t>MISS SIEW</t>
  </si>
  <si>
    <t>BTK INTEGRATED TRANSPORT SDN.BHD. LOT 1030 &amp;1070 JALAN KUALA KANGSAR 34700 SIMPANG TAIPING  Simpang Perak - my 34700</t>
  </si>
  <si>
    <t>NVMY34535000008045</t>
  </si>
  <si>
    <t>AIN SHAHRIZAN</t>
  </si>
  <si>
    <t>67 A KAMPUNG MENGKUANG LAYAR BARAT SIMPANG AMPAT PERLIS (RUMAH DEPAN EZY KUSYEN) 02700 SIMPANG AMPAT, PERLIS  Simpang Ampat Perlis - my 02700</t>
  </si>
  <si>
    <t>NVMY34535000008086</t>
  </si>
  <si>
    <t>RINA ALI</t>
  </si>
  <si>
    <t>C03-07 VISTA MILLENIUM CONDO, TAMAN DESA MILLENIA JALAN DM 1, 47150 PUCHONG, SELANGOR  Puchong Selangor - my 47150</t>
  </si>
  <si>
    <t>NVMY34535000008081</t>
  </si>
  <si>
    <t>SARAH SALEHUDDIN</t>
  </si>
  <si>
    <t>NO 16, MYDIVA HOMES, JALAN SRI TASIK TIMUR 8D, PERDANA LAKEVIEW EAST 63000 CYBERJAYA SELANGOR  Shah Alam Selangor - my 63000</t>
  </si>
  <si>
    <t>NVMY34535000008057</t>
  </si>
  <si>
    <t>AZLAN AHMAD</t>
  </si>
  <si>
    <t>43, JALAN NONG CHIK 80100 JOHOR BAHRU, JOHOR  Johor Bahru Johor - my 80100</t>
  </si>
  <si>
    <t>NVMY34535000008056</t>
  </si>
  <si>
    <t>QISTINA NURALYSSA MARIA</t>
  </si>
  <si>
    <t>3A-9-12, THE TAMARIND JALAN SERI TANJUNG PINANG 1, SERI TANJUNG PINANG 10470 TANJUNG TOKONG PULAU PINANG  Pulau Pinang Pulau Pinang - my 10470</t>
  </si>
  <si>
    <t>NVMY34535000008074</t>
  </si>
  <si>
    <t>YAYA</t>
  </si>
  <si>
    <t>Kampung Kubang Panjang 84 kampung kubang panjang 21400 KUALA TERENGGANU  Bukit Payong Terengganu - my 21400</t>
  </si>
  <si>
    <t>NVMY34535000008089</t>
  </si>
  <si>
    <t>Nurul Ain</t>
  </si>
  <si>
    <t>FF-2-14 Puchong Utama Court 2, Jalan Puchong Utama, 47140, Puchong, Selangor  Puchong Selangor - my 47140</t>
  </si>
  <si>
    <t>NVMY34535000008066</t>
  </si>
  <si>
    <t>Maimunah maawal</t>
  </si>
  <si>
    <t>Sekolah rendah felda bukit jalor.gemencheh 73200.negeri sembilan  Gemencheh Negeri Sembilan - my 73200</t>
  </si>
  <si>
    <t>NVMY34535000008065</t>
  </si>
  <si>
    <t>NVMY34535000008044</t>
  </si>
  <si>
    <t>ISMARIAM</t>
  </si>
  <si>
    <t>NO 40 JALAN BAHAGIA TAMAN BUNGA PADI 01000 KANGAR PERLIS  Kangar Perlis - my 01000</t>
  </si>
  <si>
    <t>NVMY34535000008063</t>
  </si>
  <si>
    <t>AKIMY ISMAIL</t>
  </si>
  <si>
    <t>A2-2-03 TAMAN PAUH INDAH 13500 PERMATANG PAUH, PULAU PINANG  Permatang Pauh Pulau Pinang - my 13500</t>
  </si>
  <si>
    <t>NVMY34535000008080</t>
  </si>
  <si>
    <t>BALQIS</t>
  </si>
  <si>
    <t>NO 114, MANAL JAYA 2, TANAH MERAH 17500 KELANTAN  Tanah Merah Kelantan - my 17500</t>
  </si>
  <si>
    <t>NVMY34535000008072</t>
  </si>
  <si>
    <t>NIK HASBULLAH</t>
  </si>
  <si>
    <t>NIK IKAN BAKAR NO 1 MEDAN SELERA MASJID KAYANGAN BRINCHANG 39100 CAMERON HIGHLANDS PAHANG   Pahang my 39100</t>
  </si>
  <si>
    <t>NVMY34535000008059</t>
  </si>
  <si>
    <t>SHINE SHINE CARWASH (SYAMI)</t>
  </si>
  <si>
    <t>LOT CP01 GIANT HYPERMARKET BAYAN BARU, LINTANG BAYAN,BAYAN BARU BARAT DAYA PULAU PINANG  Bayan Lepas Pulau Pinang - my 11900</t>
  </si>
  <si>
    <t>NVMY34535000008085</t>
  </si>
  <si>
    <t>NUR FAZLINA MARIATY MD ALI</t>
  </si>
  <si>
    <t>NO 31 JALAN SR1/1D SAUJANA RAWANG 48000 RAWANG, SELANGOR  Kuala Lumpur Kuala Lumpur - my 48000</t>
  </si>
  <si>
    <t>D4-RWG-6-134</t>
  </si>
  <si>
    <t>NVMY34535000008077</t>
  </si>
  <si>
    <t>NOR ASHIKIN AHMAD</t>
  </si>
  <si>
    <t>LOT 1550 KAMPUNG PULAU SERAI, JALAN BENTAN 26600 PEKAN, PAHANG  Pekan Pahang - my 26600</t>
  </si>
  <si>
    <t>NVMY34535000008048</t>
  </si>
  <si>
    <t>NUR NATASYA</t>
  </si>
  <si>
    <t>INSTITUT KEMAHIRAN BELIA NEGARA SRI ISKANDAR JALAN PARIT 32610 PERAK TENGAH, PERAK  Bandar Seri Iskandar Perak - my 32610</t>
  </si>
  <si>
    <t>NVMY34535000008078</t>
  </si>
  <si>
    <t>Norashidah bt Saidin</t>
  </si>
  <si>
    <t>45, Jacaranda , Jalan GR 3/3 Garden Residence  62300 Cyberjaya  Putrajaya Putrajaya - my 62300</t>
  </si>
  <si>
    <t>NVMY34535000008047</t>
  </si>
  <si>
    <t>NORIAH BINTI SHAFIEE</t>
  </si>
  <si>
    <t>GF-03, PEJABAT PENGURUSAN KVRA, KETAPANG VILLA APARTMENT, TAMAN NIRWANA 68000 AMPANG, SELANGOR  Ampang Selangor - my 68000</t>
  </si>
  <si>
    <t>NVMY34535000008073</t>
  </si>
  <si>
    <t>LILY SHAMILA BAHMAN</t>
  </si>
  <si>
    <t>JALEN SDN BHD,PTD 64406,JALAN KEMPAS LAMA,KG SINARAN BARU,81300 JOHOR BAHRU JOHOR  Johor Bahru Johor - my 81300</t>
  </si>
  <si>
    <t>NVMY34535000008067</t>
  </si>
  <si>
    <t>Nurul fatin nabilah bt radzuan</t>
  </si>
  <si>
    <t>Zon 6 no 5 kg pering padang sera 06100 kodiang kedah  Kodiang Kedah - my 06100</t>
  </si>
  <si>
    <t>NVMY34535000008062</t>
  </si>
  <si>
    <t>MOHD HAFIS BIN MAHADZIR</t>
  </si>
  <si>
    <t>KAMPUNG GENTING PALAS (BUKIT MALI), MUKIM BELIMBING KANAN, 06300 KUALA NERANG, KEDAH  Kuala Nerang Kedah - my 06300</t>
  </si>
  <si>
    <t>A3-PSN-23-20</t>
  </si>
  <si>
    <t>NVMY34535000008071</t>
  </si>
  <si>
    <t>FARAH HAZIZI BT MAS</t>
  </si>
  <si>
    <t>DINKARGO RECYCLE SDN BHD LOT 915,BLOK 4,SENTAH-SEGU LAND DISTRICT,14TH MILE,KUCHING-SERIAN ROAD,93250 KUCHING SARAWAK  Kuching Sarawak - my 93250</t>
  </si>
  <si>
    <t>NVMY34535000008083</t>
  </si>
  <si>
    <t>NUR KARIYAH</t>
  </si>
  <si>
    <t>12, LORONG BUKIT MINYAK PERMAI 8, TAMAN BUKIT MINYAK PERMAI 14000 BUKIT MERTAJAM, PULAU PINANG  Bukit Mertajam Pulau Pinang - my 14000</t>
  </si>
  <si>
    <t>NVMY34535000008018</t>
  </si>
  <si>
    <t>RIANNA ANAK USIT</t>
  </si>
  <si>
    <t>47, LOR UNI GARDEN 12K4, KOTA SAMARAHAN 94300 KOTA SAMARAHAN KUCHING SARAWAK  Kota Samarahan Sarawak - my 94300</t>
  </si>
  <si>
    <t>NVMY34535000008076</t>
  </si>
  <si>
    <t>ANA PAZILAH BT LAZIM</t>
  </si>
  <si>
    <t>K31 KG KEPAYANG FAIR PARK 31400 IPOH, PERAK  Ipoh Perak - my 31400</t>
  </si>
  <si>
    <t>NVMY34535000008087</t>
  </si>
  <si>
    <t>WAN NUR KARINA BT WAN KHAIRUL ANUAR</t>
  </si>
  <si>
    <t>KLINIK KESIHATAN TEMANGAN 18400 MACHANG, KELANTAN  Temangan Kelantan - my 18400</t>
  </si>
  <si>
    <t>NVMY34535000008092</t>
  </si>
  <si>
    <t>LYNDA S GALLERY</t>
  </si>
  <si>
    <t>Kiosk ( K3-12 ) Aras 3 Angsana Jb Mall , Pusat bandar tampoi 81200, Johor Bahru JOHOR.  Johor Bahru Johor - my 81200</t>
  </si>
  <si>
    <t>NVMY34535000008053</t>
  </si>
  <si>
    <t>Nur Azmeera</t>
  </si>
  <si>
    <t>3-17,Blok D ,Pangsapuri Pauh Damai Jalan Pauh 1,Permatang pauh 13500 pulau pinang  Permatang Pauh Pulau Pinang - my 13500</t>
  </si>
  <si>
    <t>NVMY34535000008079</t>
  </si>
  <si>
    <t>NURUL HUDA BINTI ABDULLAH</t>
  </si>
  <si>
    <t>BJ COURT CONDOMINIUM, BLOCK 3B-06-06, JALAN RUMBIA, BAYAN LEPAS 11900 MUKIM 12 (BAYAN LEPAS)  Bayan Lepas Pulau Pinang - my 11900</t>
  </si>
  <si>
    <t>NVMY34535000008107</t>
  </si>
  <si>
    <t>WAN NURFARAHANA BINTI WAN MOHD NASIR</t>
  </si>
  <si>
    <t>MM-Bulky</t>
  </si>
  <si>
    <t>NO 9 JALAN ST 11 TAMAN SAUJANA TEHEL, 77200 MELAKA  Bemban Melaka - my 77200</t>
  </si>
  <si>
    <t>NVMY34535000008100</t>
  </si>
  <si>
    <t>Ibrahim Bin Abd Rahman</t>
  </si>
  <si>
    <t>B24 Felda Ulu Jempol Bandar Pusat Jengka Pahang 26400  Bandar Pusat Jengka Pahang - my 26400</t>
  </si>
  <si>
    <t>NVMY34535000008109</t>
  </si>
  <si>
    <t>Khadeeja Adra</t>
  </si>
  <si>
    <t>LOT 1548,TAMAN YAKOB SAMBA,WAKAF LANAS,16800 PASIR PUTEH,KELANTAN  Pasir Puteh Kelantan - my 16800</t>
  </si>
  <si>
    <t>NVMY34535000008093</t>
  </si>
  <si>
    <t>Madia bt musa</t>
  </si>
  <si>
    <t>3620 perkedaian pelagat 3 seberang jerteh 22000 jerteh terengganu  Jerteh Terengganu - my 22000</t>
  </si>
  <si>
    <t>A1-JTH-27-9</t>
  </si>
  <si>
    <t>NVMY34535000008113</t>
  </si>
  <si>
    <t>Nur harizatul najua binti ahmad termizi</t>
  </si>
  <si>
    <t xml:space="preserve"> No 18 jln kinta baru 8 taman kinta baru 31600 gopeng perak  Gopeng Perak - my 31600</t>
  </si>
  <si>
    <t>NVMY34535000008097</t>
  </si>
  <si>
    <t>Fatimah Binti Mat Amin</t>
  </si>
  <si>
    <t>142 Kg Gondang Binjai Rendah, 21400 Marang, Terengganu  Bukit Payong Terengganu - my 21400</t>
  </si>
  <si>
    <t>NVMY34535000008103</t>
  </si>
  <si>
    <t>YAACOB BIN MAT AIL</t>
  </si>
  <si>
    <t>KAMPUNG KELEWEK BATU GAJAH, 17510 TANAH MERAH, KELANTAN   Tanah Merah Kelantan - my 17510</t>
  </si>
  <si>
    <t>NVMY34535000008094</t>
  </si>
  <si>
    <t>NUR ATIKAH BINTI ROSIDI</t>
  </si>
  <si>
    <t>20 TAMAN SERI JITRA 06000 KEDAH DARULAMAN  Jitra Kedah - my 06000</t>
  </si>
  <si>
    <t>NVMY34535000008054</t>
  </si>
  <si>
    <t>NVMY34535000008105</t>
  </si>
  <si>
    <t>AFIQ HAIZAT</t>
  </si>
  <si>
    <t>5151 TAMAN D WANGZA KAMPUNG GONG KEPAS DALAM 22200 KAMPUNG RAJA BESUT  Kampung Raja Terengganu - my 22200</t>
  </si>
  <si>
    <t>NVMY34535000008098</t>
  </si>
  <si>
    <t>Ahmad Syahidan</t>
  </si>
  <si>
    <t>01111672766 (CALL) , Lot 4879, Jalan Batu Tumbuh, Kampung Gong Kepas Dalam, 22200, Besut, Terengganu  Kampung Raja Terengganu - my 22200</t>
  </si>
  <si>
    <t>NVMY34535000008102</t>
  </si>
  <si>
    <t>Saodah binti Saat</t>
  </si>
  <si>
    <t>No 9274 Lahar Yooi, 13300 Tasek Gelugor, pulau pinang  Tasek Gelugor Pulau Pinang - my 13300</t>
  </si>
  <si>
    <t>NVMY34535000008101</t>
  </si>
  <si>
    <t>Siti Aisyah</t>
  </si>
  <si>
    <t>No.55 Kampung Pachakan, 22300 Kuala Besut, Terengganu  Kuala Besut Terengganu - my 22300</t>
  </si>
  <si>
    <t>NVMY34535000008095</t>
  </si>
  <si>
    <t>INTAN ZAMRI</t>
  </si>
  <si>
    <t>NO 216 (C), JALAN SAUJANA 3/1, TAMAN SAUJANA 81750 JOHOR BAHRU, JOHOR  Masai Johor - my 81750</t>
  </si>
  <si>
    <t>NVMY34535000008108</t>
  </si>
  <si>
    <t>EDWIN</t>
  </si>
  <si>
    <t>NO 30, JALAN NOVELIS U1/88A, LAMAN GLENMARIE, 40150 SHAH ALAM, SELANGOR  Shah Alam Selangor - my 40150</t>
  </si>
  <si>
    <t>NVMY34535000008090</t>
  </si>
  <si>
    <t>Rosnah binti ibrahim</t>
  </si>
  <si>
    <t>No.24 jalan hijau 6/9, Green Valley Park, Bandar Tasik Puteri, 48020 Rawang, Selangor Darul Ehsan  Rawang Selangor - my 48020</t>
  </si>
  <si>
    <t>NVMY34535000008088</t>
  </si>
  <si>
    <t>MUHAMMAD ZAIRRI BIN SENIK</t>
  </si>
  <si>
    <t>SEK KEB KAMPUNG IDAMAN JALAN IDAMAN 17, 42000 PELABUHAN KLANG, SELANGOR  Pelabuhan Klang Selangor - my 42000</t>
  </si>
  <si>
    <t>NVMY34535000008116</t>
  </si>
  <si>
    <t>FARIDAH YASMIN</t>
  </si>
  <si>
    <t>NO 2A-1, AWANA SERI MEWAH, JLN 2/6C, TAMAN SERI MEWAH, 43000 KAJANG, SELANGOR  Kajang Selangor - my 43000</t>
  </si>
  <si>
    <t>NVMY34535000008091</t>
  </si>
  <si>
    <t>NOOR SYUHADA</t>
  </si>
  <si>
    <t>A - 21 - 06 , THE HERITAGE JALAN SB DAGANG THE MINES RESORT CITY 43300 SERI KEMBANGAN SELANGOR  Seri Kembangan Selangor - my 43300</t>
  </si>
  <si>
    <t>NVMY34535000008106</t>
  </si>
  <si>
    <t>HAEL HAIDHAR</t>
  </si>
  <si>
    <t>105 BLOK CENGAL PANGSAPURI PKNS JALAN RAYA 7/1 TAMAN SERDANG JAYA 43300 SERI KEMBANGAN, SELANGOR  Seri Kembangan Selangor - my 43300</t>
  </si>
  <si>
    <t>NVMY34535000008099</t>
  </si>
  <si>
    <t>Nanaaa</t>
  </si>
  <si>
    <t>31 Persiaran Empat Arena Kepayang Putra, 31400 Ipoh, Perak  Ipoh Perak - my 31400</t>
  </si>
  <si>
    <t>NVMY34535000008082</t>
  </si>
  <si>
    <t>E-COMM</t>
  </si>
  <si>
    <t>TDST SDN BHD, LOT 1897A, JALAN KPB 9, KAWASAN PERINDUSTRIAN KG BARU BALAKONG, OFF JALAN BALAKONG SERI KEMBANGAN, 43300 SELANGOR  Seri Kembangan Selangor - my 43300</t>
  </si>
  <si>
    <t>D2-CHE-18-111</t>
  </si>
  <si>
    <t>NVMY34535000008120</t>
  </si>
  <si>
    <t>FARIHA ADAM</t>
  </si>
  <si>
    <t>HEROMARKET, LG05-08 FESTIVAL PUTRAJAYA, JALAN P3C, PRESINT 3  Putrajaya Putrajaya - my 62602</t>
  </si>
  <si>
    <t>NVMY34535000008111</t>
  </si>
  <si>
    <t>AZRINA ABDUL GHANI</t>
  </si>
  <si>
    <t>NO 28, JLN CECAWI 6/9 SEKSYEN 6, KOTA DAMANSARA 47810 PETALING JAYA, SELANGOR  Petaling Jaya Selangor - my 47810</t>
  </si>
  <si>
    <t>NVMY34535000008112</t>
  </si>
  <si>
    <t>SHARIFAH BINTI AHMAD SUHAIMI</t>
  </si>
  <si>
    <t>NO 32, JALAN SG 9/10 TAMAN SRI GOMBAK 68100 BATU CAVES, SELANGOR  Batu Caves Selangor - my 68100</t>
  </si>
  <si>
    <t>NVMY34535000008096</t>
  </si>
  <si>
    <t>Nur Damia Afrina Binti Mohd Azmi</t>
  </si>
  <si>
    <t>Lot 1092 Kg Galok Chetok,17060 Pasir Mas,Kelantan (Sebelah perpustakaan desa, Rumah tengah warna kelabu)   Pasir Mas Kelantan - my 17060</t>
  </si>
  <si>
    <t>NVMY34535000008115</t>
  </si>
  <si>
    <t>SITI FATIMAH MD HAMZAH</t>
  </si>
  <si>
    <t>NO 2899 LORONG LAGENDA 16/5 TAMAN LAGENDA 09400 PADANG SERAI KEDAH  Padang Serai Kedah - my 09400</t>
  </si>
  <si>
    <t>NVMY34535000008123</t>
  </si>
  <si>
    <t>SHITAH AMAY</t>
  </si>
  <si>
    <t>B9-14-21 DESA MENTARI 2 JALAN PJS 2B/1, 46000 PETALING JAYA SELANGOR  Petaling Jaya Selangor - my 46000</t>
  </si>
  <si>
    <t>NVMY34535000008127</t>
  </si>
  <si>
    <t>Puan Nicol David Jannati</t>
  </si>
  <si>
    <t>No. 41 Jalan DB9 Taman Desiran Bayu 47120 Puchong Selangor  Puchong Selangor - my 47120</t>
  </si>
  <si>
    <t>NVMY34535000008134</t>
  </si>
  <si>
    <t>SITI AISYAH BT ROSLI</t>
  </si>
  <si>
    <t xml:space="preserve"> NO 1,  LORONG BUKIT SETONGKOL MAJU 47, TAMAN BUKIT SETONGKOL, 25200 KUANTAN, PAHANG DARUL MAKMUR  Kuantan Pahang - my 25200</t>
  </si>
  <si>
    <t>NVMY34535000008132</t>
  </si>
  <si>
    <t>Fati</t>
  </si>
  <si>
    <t>pt 982 depan balai polis melor 16400 kota bharu kelantan   Melor Kelantan - my 16400</t>
  </si>
  <si>
    <t>NVMY34535000008157</t>
  </si>
  <si>
    <t>MARK JU</t>
  </si>
  <si>
    <t>MADRASAH AD DINIAH AL-ISMAILIYYAH KG LEMBAH GONDANG/SUNGAI SERAI 21400 MARANG, TERENGGANU  Bukit Payong Terengganu - my 21400</t>
  </si>
  <si>
    <t>NVMY34535000008151</t>
  </si>
  <si>
    <t>NVMY34535000008140</t>
  </si>
  <si>
    <t>Norli bte Miskon</t>
  </si>
  <si>
    <t>No.1, Lorong Nangka Kanan, Jalan Cempaka, Kanchong Darat, 42700 Banting,  Selangor  Telok Panglima Garang Selangor - my 42700</t>
  </si>
  <si>
    <t>NVMY34535000008118</t>
  </si>
  <si>
    <t>NURUL HUDA BT MAT ALI</t>
  </si>
  <si>
    <t>LOT 122 KPG TALAK CHABANG EMPAT 16210 TUMPAT KELANTAN  Tumpat Kelantan - my 16210</t>
  </si>
  <si>
    <t>NVMY34535000008137</t>
  </si>
  <si>
    <t>Haslinda Binti Mohd mukhid</t>
  </si>
  <si>
    <t>Lot 577,jalan cempaka,kanchong darat 42700 Banting  Selangor   Telok Panglima Garang Selangor - my 42700</t>
  </si>
  <si>
    <t>NVMY34535000008136</t>
  </si>
  <si>
    <t>NVMY34535000008114</t>
  </si>
  <si>
    <t>zahira farhana</t>
  </si>
  <si>
    <t>Lot 170, Tj Mart, Lot 5035, bt. 17 1/2, Jalan Air Hitam, Saleng, 81400 Senai, Johor  Senai Johor - my 81400</t>
  </si>
  <si>
    <t>NVMY34535000008155</t>
  </si>
  <si>
    <t>WAN MAT BIN WAN ISA</t>
  </si>
  <si>
    <t>LOT 199 KG TUALANG TINGGI 16810 SELISING PASIR PUTEH KELANTAN  Selising Kelantan - my 16810</t>
  </si>
  <si>
    <t>NVMY34535000008121</t>
  </si>
  <si>
    <t>EN FAIRUS</t>
  </si>
  <si>
    <t>NO 19 AR-RAHNU, NO 19, LORONG PUTIH 9, TAMAN RAKYAT MERGONG, 05150 ALOR SETAR, KEDAH  Alor Setar Kedah - my 05150</t>
  </si>
  <si>
    <t>NVMY34535000008154</t>
  </si>
  <si>
    <t>RAHIMAH</t>
  </si>
  <si>
    <t>NO 1 M JALAN LIMA TAMAN SERI 43300 BATANG KALI, SELANGOR  Batang Kali Selangor - my 44300</t>
  </si>
  <si>
    <t>NVMY34535000008148</t>
  </si>
  <si>
    <t>PUAN ASIAH</t>
  </si>
  <si>
    <t>SEK MEN KEB TOK JANGGUT 16800 PASIR PUTEH KELANTAN  Pasir Puteh Kelantan - my 16800</t>
  </si>
  <si>
    <t>NVMY34535000008119</t>
  </si>
  <si>
    <t>MOHD SOFIAN BIN SALLEH</t>
  </si>
  <si>
    <t>NO 8 JALAN GELIGA BANDAR MAS KOTA TINGGI 81930 JOHOR  Bandar Penawar Johor - my 81930</t>
  </si>
  <si>
    <t>NVMY34535000008126</t>
  </si>
  <si>
    <t>FATIN NADHIRAH</t>
  </si>
  <si>
    <t>LOT 60381 KAMPUNG  BARU BATU 13 HULU BESUT 22010 BESUT TERENGGANU  Jerteh Terengganu - my 22010</t>
  </si>
  <si>
    <t>NVMY34535000008104</t>
  </si>
  <si>
    <t>AINIKAMARO</t>
  </si>
  <si>
    <t>NO 2-3-3 KELOMPOK JERIJIT A JALAN 18/56 AU3 KERAMAT WANGSA 54200 KUALA LUMPUR   Kuala Lumpur Kuala Lumpur - my 54200</t>
  </si>
  <si>
    <t>NVMY34535000008156</t>
  </si>
  <si>
    <t>MUHAMAD FIRDAUS</t>
  </si>
  <si>
    <t>DARUL ULOOM AL-ISLAMIAH SUNGAI SALAN, 27050 JERANTUT, PAHANG  Jerantut Pahang - my 27050</t>
  </si>
  <si>
    <t>NVMY34535000008084</t>
  </si>
  <si>
    <t>LOT 2898 LORONG MERBAU 5A RAMPANGI FASA 2, 93050 KUCHING, SARAWAK  Kuching Sarawak - my 93050</t>
  </si>
  <si>
    <t>E3-KCH-1-168</t>
  </si>
  <si>
    <t>NVMY34535000008146</t>
  </si>
  <si>
    <t>FATIMAH</t>
  </si>
  <si>
    <t>NO 223 TINGKAT 1 BLOK 13 JALAN TUPAI 20/16 SEKSYEN 20, 40300 SHAH ALAM SELANGOR  Shah Alam Selangor - my 40300</t>
  </si>
  <si>
    <t>NVMY34535000008176</t>
  </si>
  <si>
    <t>NVMY34535000008160</t>
  </si>
  <si>
    <t>EYMAH</t>
  </si>
  <si>
    <t>D/A KEDAI MAHIZAN IKAN BAKAR NO 89, JALAN SUNGAI JAWI TAMAN SUNGAI JAWI 14200 SUNGAI JAWI PULAU PINANG  Sungai Jawi Pulau Pinang - my 14200</t>
  </si>
  <si>
    <t>NVMY34535000008125</t>
  </si>
  <si>
    <t>MISS SHARIFAH (FIK)</t>
  </si>
  <si>
    <t>TICKLE ME PINK MALAYSIA, 4, LORONG SS1/20A, KG TUNGKU 47300 PETALING JAYA, SELANGOR  Petaling Jaya Selangor - my 47300</t>
  </si>
  <si>
    <t>NVMY34535000008162</t>
  </si>
  <si>
    <t>AIEZ AZFA</t>
  </si>
  <si>
    <t>NO 14, JALAN MAHAGONI 5A/2, PUNCAK TAMU HILL. BATANG KALI HULU SELANGOR 44300  Batang Kali Selangor - my 44300</t>
  </si>
  <si>
    <t>NVMY34535000008152</t>
  </si>
  <si>
    <t>PASARAYA BILLION SEBERANG JAYA</t>
  </si>
  <si>
    <t>PASARAYA BILLION SEBERANG JAYA JALAN TODAK 3, PUSAT 13700 SEBERANG JAYA, PULAU PINANG  Perai Pulau Pinang - my 13700</t>
  </si>
  <si>
    <t>NVMY34535000008142</t>
  </si>
  <si>
    <t>Laili ghazali</t>
  </si>
  <si>
    <t>Blok a.4.11 flat sri perantau 42000 pelabuhan klang  Pelabuhan Klang Selangor - my 42000</t>
  </si>
  <si>
    <t>NVMY34535000008130</t>
  </si>
  <si>
    <t>Aishu</t>
  </si>
  <si>
    <t>25,jln hang tuah9, tmn muhibbah 86000 kluang johor  Kluang Johor - my 86000</t>
  </si>
  <si>
    <t>NVMY34535000008128</t>
  </si>
  <si>
    <t>Syazwanaa Rahman</t>
  </si>
  <si>
    <t>No11A, Jalan Ria 6 Taman Ria Sri Lalang 86000 Kluang Johor  Kluang Johor - my 86000</t>
  </si>
  <si>
    <t>NVMY34535000008164</t>
  </si>
  <si>
    <t>NVMY34535000008149</t>
  </si>
  <si>
    <t>TF VALUE-MART SDN BHD-SUNGAI LALANG NO 49, JLN DATARAN SETIA 3, 08100 BEDONG , KEDAH  Bedong Kedah - my 08100</t>
  </si>
  <si>
    <t>NVMY34535000008153</t>
  </si>
  <si>
    <t>PN AIDA NASRIN BINTI NASARUDIN</t>
  </si>
  <si>
    <t>LOT 2020, JALAN AIR PA'ABAS 78000 ALOR GAJAH, MELAKA  Alor Gajah Melaka - my 78000</t>
  </si>
  <si>
    <t>C3-AGH-3-83</t>
  </si>
  <si>
    <t>NVMY34535000008150</t>
  </si>
  <si>
    <t>ATTN SYAI</t>
  </si>
  <si>
    <t>PARKSON CORPORATION SDN BHD-PETANI PARADE TAMAN SEJATI INDAH 08000 SUNGAI PETANI, KEDAH  Sungai Petani Kedah - my 08000</t>
  </si>
  <si>
    <t>NVMY34535000008144</t>
  </si>
  <si>
    <t>NURUL SHARIZA BINTI AHMAD</t>
  </si>
  <si>
    <t>FLAT SEMARAK 12-G-6 JLN TS TMN SEMARAK 71800 NILAI NEGERI SEMBILAN   Labu Negeri Sembilan - my 71800</t>
  </si>
  <si>
    <t>NVMY34535000008159</t>
  </si>
  <si>
    <t>IZWANA SHANNE</t>
  </si>
  <si>
    <t>NOA80, JLN SERI PERMAI 9, TAMAN SERI PRMAI FASA 2 05460 ALOR SETAR, KEDAH  Alor Setar Kedah - my 05460</t>
  </si>
  <si>
    <t>NVMY34535000008129</t>
  </si>
  <si>
    <t>atika</t>
  </si>
  <si>
    <t xml:space="preserve"> no 133 jln macalister 10400 george town pulau pinang  Pulau Pinang Pulau Pinang - my 10400</t>
  </si>
  <si>
    <t>NVMY34535000008431</t>
  </si>
  <si>
    <t>WAN ANIS / CINDY</t>
  </si>
  <si>
    <t>JALAN U1/19 HICOM-GLENMARIE INDUSTRIAL PARK , 40150 SHAH ALAM , SELANGOR   Shah Alam Selangor - my 40150</t>
  </si>
  <si>
    <t>NVMY34535000008421</t>
  </si>
  <si>
    <t>Wan nurfarahana binti wan mohd nasir</t>
  </si>
  <si>
    <t>No 9 Jalan st 11, Taman Saujana Tehel, 77200 Melaka  Bemban Melaka - my 77200</t>
  </si>
  <si>
    <t>C3-JAS-3-85</t>
  </si>
  <si>
    <t>NVMY34535000008405</t>
  </si>
  <si>
    <t>Kamadduin bin azli</t>
  </si>
  <si>
    <t>No 70 PERUMAHAN TERATAI KAMPUNG MARHUM 26600 PEKAN PAHANG  Pekan Pahang - my 26600</t>
  </si>
  <si>
    <t>B1-PKN-17-36</t>
  </si>
  <si>
    <t>NVMY34535000008435</t>
  </si>
  <si>
    <t>AISYAH HAURA</t>
  </si>
  <si>
    <t>NO 74 JALAN SEMARAK 1A BANDAR UTAMA BATANG KALI 44300 SELANGOR DARUL EHSAN  Batang Kali Selangor - my 44300</t>
  </si>
  <si>
    <t>NVMY34535000008425</t>
  </si>
  <si>
    <t>HAJJAH FAZAH BT BABA</t>
  </si>
  <si>
    <t>Lot 6203 jln permata kanan batu 36 kg.bkt Changgang 42700 banting k.langat sel   Telok Panglima Garang Selangor - my 42700</t>
  </si>
  <si>
    <t>NVMY34535000008402</t>
  </si>
  <si>
    <t>AIDIL</t>
  </si>
  <si>
    <t>LOT 957 LORONG HJ IBRAHIM JALAN HJ MANAH BATU BATU 9 TANGGA BATU 76400 TG KLING MELAKA   Tanjong Kling Melaka - my 76400</t>
  </si>
  <si>
    <t>NVMY34535000008406</t>
  </si>
  <si>
    <t>SITI RUZITA BINTI MUHAZERR</t>
  </si>
  <si>
    <t>ST 1114, TAMAN BIDARA JAYA 78300 MASJID TANAH, MELAKA  Masjid Tanah Melaka - my 78300</t>
  </si>
  <si>
    <t>NVMY34535000008422</t>
  </si>
  <si>
    <t>Ammar idham</t>
  </si>
  <si>
    <t>19,fasa 2 taman sireh ,bukit pinang ,kepala batas , alor setar , kedah 06200  Kepala Batas Kedah - my 06200</t>
  </si>
  <si>
    <t>A3-JIT-21-24</t>
  </si>
  <si>
    <t>NVMY34535000008411</t>
  </si>
  <si>
    <t>MUHAMMAD SHAMIL BIN HAMZAH</t>
  </si>
  <si>
    <t>NO 48, JALAN SELASIH 16, TAMAN SELASIH FASA 2, 68100 BATU CAVES, SELANGOR  Batu Caves Selangor - my 68100</t>
  </si>
  <si>
    <t>NVMY34535000008433</t>
  </si>
  <si>
    <t>YM EDU GROUP</t>
  </si>
  <si>
    <t>NO 1-2 , JALAN PUTRA 3 , TAMAN PUTRA KAJANG 43000 KAJANG SELANGOR DARUL EHSAN   Kajang Selangor - my 43000</t>
  </si>
  <si>
    <t>NVMY34535000008409</t>
  </si>
  <si>
    <t>NVMY34535000008434</t>
  </si>
  <si>
    <t>NUR SYAFIQAH BINTI MAZLAN</t>
  </si>
  <si>
    <t>LOT 6479 , B-13 , TAMAN MUHIBBAH JAYA , KG CHAT RIMAU , 17500 TANAH MERAH KELANTAN   Tanah Merah Kelantan - my 17500</t>
  </si>
  <si>
    <t>NVMY34535000008424</t>
  </si>
  <si>
    <t>SITI RAHMATIA</t>
  </si>
  <si>
    <t>2-514 JLN MATAHARI U5/117 SEKSYEN U5 , 40150 SHAH ALAM , SELANGOR  Shah Alam Selangor - my 40150</t>
  </si>
  <si>
    <t>NVMY34535000008432</t>
  </si>
  <si>
    <t>NVMY34535000008413</t>
  </si>
  <si>
    <t>NUREDHAYATI BINTI PUAT</t>
  </si>
  <si>
    <t>NO 62 JALAN BUKIT GALENA 2, BUKIT GALENA 70200 SEREMBAN, NEGERI SEMBILAN  Seremban Negeri Sembilan - my 70200</t>
  </si>
  <si>
    <t>NVMY34535000008399</t>
  </si>
  <si>
    <t>NORNASAHANA BINTI NORIDIN</t>
  </si>
  <si>
    <t>NO 19 KAMPUNG BARU SUNGAI RUAL 17600 JELI, KELANTAN  Jeli Kelantan - my 17600</t>
  </si>
  <si>
    <t>NVMY34535000008437</t>
  </si>
  <si>
    <t>SITI FATIMAH BT ABDULLAH</t>
  </si>
  <si>
    <t>NO 116 JALAN T/C2 TAMAN CAHAYA 27200 KUALA LIPIS PAHANG  Kuala Lipis Pahang - my 27200</t>
  </si>
  <si>
    <t>NVMY34535000008414</t>
  </si>
  <si>
    <t>AISYAH</t>
  </si>
  <si>
    <t>NO 8 JALAN BARLI 1/9 BANDAR BARU UDA 81200 JOHOR BAHRU, JOHOR  Johor Bahru Johor - my 81200</t>
  </si>
  <si>
    <t>NVMY34535000008387</t>
  </si>
  <si>
    <t>Nadiah Mohd Safian</t>
  </si>
  <si>
    <t>No 203 Jalan Mati Perumahan Felda Ciku 2 18300 Gua Musang Kelantan  Gua Musang Kelantan - my 18300</t>
  </si>
  <si>
    <t>NVMY34535000008415</t>
  </si>
  <si>
    <t>JUNAIDI SAMIT</t>
  </si>
  <si>
    <t>A-15-12 PPR JALAN BUKIT BELIMBING 26/28 KG BARU HICOM SEKSYEN 26, 40400 SHAH ALAM, SELANGOR  Shah Alam Selangor - my 40400</t>
  </si>
  <si>
    <t>NVMY34535000008408</t>
  </si>
  <si>
    <t>NVMY34535000008407</t>
  </si>
  <si>
    <t>MOHAMMAD FIRDAUS BIN MOHD ROSLI</t>
  </si>
  <si>
    <t>NO 9 JALAN NUSARIA 2/10 TAMAN NUSANTARA 81550 GELANG PATANG, JOHOR  Gelang Patah Johor - my 81550</t>
  </si>
  <si>
    <t>NVMY34535000008403</t>
  </si>
  <si>
    <t>DANIA HISHAM</t>
  </si>
  <si>
    <t>B-13-12 , URBAN 360 , JALAN MAKMUR , TAMAN SRI GOMBAK , 68100 BATU CAVES SELANGOR  Batu Caves Selangor - my 68100</t>
  </si>
  <si>
    <t>NVMY34535000008438</t>
  </si>
  <si>
    <t>NUR ASHIKIN BT MOHD ABDUL LATIF</t>
  </si>
  <si>
    <t>A-11-12 RESIDENSI TASIKMAS NO 10 JALAN 9/118B DESA TUN RAZAK 56000 CHERAS KUALA LUMPUR  Kuala Lumpur Kuala Lumpur - my 56000</t>
  </si>
  <si>
    <t>NVMY34535000008398</t>
  </si>
  <si>
    <t>NORIAH BTE HASHIM</t>
  </si>
  <si>
    <t>Y&amp;L MARKETING 89107 KOTA MARUDU, SABAH  Kota Marudu Sabah - my 89107</t>
  </si>
  <si>
    <t>NVMY34535000008404</t>
  </si>
  <si>
    <t>EWAN JADE</t>
  </si>
  <si>
    <t>20-01, MH PLATINUM RESIDENCE, JALAN GOMBAK, TAMAN TAI ONN, 53100 KUALA LUMPUR  Hulu Langat Kuala Lumpur - my 53100</t>
  </si>
  <si>
    <t>NVMY34535000008430</t>
  </si>
  <si>
    <t>EN. AMIRUDDIN BIN ZAKARIA</t>
  </si>
  <si>
    <t>LOT 2104 BATU 9 KG MEDAN 42500 TELOK PANGLIMA GARANG SELANGOR  Telok Panglima Garang Selangor - my 42500</t>
  </si>
  <si>
    <t>NVMY34535000008441</t>
  </si>
  <si>
    <t>NORDIANA BINTI ADI YANTO</t>
  </si>
  <si>
    <t>NO 105 JALAN SIMPANG LIMA, KAMPUNG PARIT OTHMAN (RUMAH SEWA TEPI JALAN) 83500 PARIT SULONG BATU PAHAT JOHOR  Parit Sulong Johor - my 83500</t>
  </si>
  <si>
    <t>NVMY34535000008450</t>
  </si>
  <si>
    <t>MULIANI AZAMI</t>
  </si>
  <si>
    <t>L1-02-22 JLN PENGHULU, SEKSYEN 2, BANDAR MAHKOTA CHERAS 43200 CHERAS, SELANGOR  Kuala Lumpur Kuala Lumpur - my 43200</t>
  </si>
  <si>
    <t>NVMY34535000008448</t>
  </si>
  <si>
    <t>ISMAN</t>
  </si>
  <si>
    <t>NO 27 JALAN SUNGAI CHANDONG 3, BANDAR ARMADA PUTRA KLANG, SELANGOR  Pulau Indah Selangor - my 42920</t>
  </si>
  <si>
    <t>NVMY34535000008445</t>
  </si>
  <si>
    <t>Suriati Abd Rahman</t>
  </si>
  <si>
    <t>126 Kampung tasek masjid, bukit payong, 21400 marang, trg  Bukit Payong Terengganu - my 21400</t>
  </si>
  <si>
    <t>NVMY34535000008412</t>
  </si>
  <si>
    <t>ATTN MS LIM BEE CHING</t>
  </si>
  <si>
    <t>ORIX RISK MANAGEMENT SDN BHD LEVEL 11 E-H, MENARA ZENITH JALAN PUTRA SQUARE 6, 25200 KUANTAN PAHANG  Kuantan Pahang - my 25200</t>
  </si>
  <si>
    <t>NVMY34535000008436</t>
  </si>
  <si>
    <t>INSP NAJIHAH</t>
  </si>
  <si>
    <t>BLOCK DE-06-03, KUARTERS IPD SERI ALAM 81750 MASAI JOHOR  Masai Johor - my 81750</t>
  </si>
  <si>
    <t>NVMY34535000008453</t>
  </si>
  <si>
    <t>SITI NUR FATIHAH</t>
  </si>
  <si>
    <t>NO 272 JALAN MASJID KAMPUNG MANEK URAI ( LAMA ) 18050 KUALA KRAI KELANTAN   Kuala Krai Kelantan - my 18050</t>
  </si>
  <si>
    <t>NVMY34535000008451</t>
  </si>
  <si>
    <t>NVMY34535000008410</t>
  </si>
  <si>
    <t>THE DENTAL LAB</t>
  </si>
  <si>
    <t>DENTAL LAB NETWORKS SDN BHD, NO 28-D, 3RD FLOOR, JALAN BRP 6/11, BUKIT RAHMAN PUTRA, SUNGAI BULOH 47000 SUNGAI BULOH, SELANGOR  Kuala Lumpur Kuala Lumpur - my 47000</t>
  </si>
  <si>
    <t>NVMY34535000008426</t>
  </si>
  <si>
    <t>HASZALI</t>
  </si>
  <si>
    <t>NO 4 TANJUNG BELUNGKAR KOTA TINGGI JOHOR BANDAR PENAWAR KOTA TINGGI 81930 JOHOR  Bandar Penawar Johor - my 81930</t>
  </si>
  <si>
    <t>NVMY34535000008443</t>
  </si>
  <si>
    <t>NUR ADILA BINTI ISMAIL</t>
  </si>
  <si>
    <t>LOT 45792 JALAN HAJI YUSUF, KAMPUNG SUNGAI MERAB LUAR 43000 KAJANG SELANGOR  Kajang Selangor - my 43000</t>
  </si>
  <si>
    <t>NVMY34535000008401</t>
  </si>
  <si>
    <t>MASTURA BINTI RAMLI</t>
  </si>
  <si>
    <t>NO 45 TAMAN KEMAJUAN 27600 RAUB, PAHANG  Raub Pahang - my 27600</t>
  </si>
  <si>
    <t>NVMY34535000008439</t>
  </si>
  <si>
    <t>HALISAH</t>
  </si>
  <si>
    <t>NO 325 JALAN KG TOK SIAK DALAM 80250 JOHOR BAHRU, JOHOR  Johor Bahru Johor - my 80250</t>
  </si>
  <si>
    <t>NVMY34535000008440</t>
  </si>
  <si>
    <t>AINI</t>
  </si>
  <si>
    <t>31 JALAN PERMATANG 5 KEMPAS PERMATANG  81200 JOHOR BAHRU  Johor Bahru Johor - my 81200</t>
  </si>
  <si>
    <t>NVMY34535000008447</t>
  </si>
  <si>
    <t>MISS IRYANTI</t>
  </si>
  <si>
    <t>IZZRINA MANAGEMENT &amp; ENGINEERING, NO 1283-1, WISMA SELAMAT ZAINI, BATU 3 1/4, JALAN SEMABOK 75050 MELAKA  Melaka Melaka - my 75050</t>
  </si>
  <si>
    <t>NVMY34535000008455</t>
  </si>
  <si>
    <t>MOHAMMAD NABIL</t>
  </si>
  <si>
    <t>LOT 2087 JLN KENANGAN 2 KG PARIT MAHANG 45800 JERAM SELANGOR  Jeram Selangor - my 45800</t>
  </si>
  <si>
    <t>NVMY34535000008456</t>
  </si>
  <si>
    <t>NURUL NAJIHAH BT YUSOF</t>
  </si>
  <si>
    <t>LOT 8510-C, LORONG TEPI MASJID, KG BUKIT BERANGAN 21030 TEPOH KUALA TERENGGANU  Kuala Terengganu Terengganu - my 21030</t>
  </si>
  <si>
    <t>NVMY34535000008428</t>
  </si>
  <si>
    <t>ZULKIFLI BIN LATIP</t>
  </si>
  <si>
    <t>Labuan</t>
  </si>
  <si>
    <t>NO 1912 KAMPUNG GERSIK 87000 WILAYAH PERSEKETUAN LABUAN  Labuan Labuan - my 87000</t>
  </si>
  <si>
    <t>NVMY34535000008452</t>
  </si>
  <si>
    <t>ANILAH BTE ABDULLAH</t>
  </si>
  <si>
    <t>32 JALAN PULAI PERDANA 6/1 TAMAN SRI PULAI PERDANA 81300 SKUDAI JOHOR   Johor Bahru Johor - my 81300</t>
  </si>
  <si>
    <t>NVMY34535000008446</t>
  </si>
  <si>
    <t>Shida</t>
  </si>
  <si>
    <t>26 jln kinding hijauan 3 Tmn kinding hijauan 31250 Chemor Perak  Tanjong Rambutan Perak - my 31250</t>
  </si>
  <si>
    <t>NVMY34535000008388</t>
  </si>
  <si>
    <t>FAA</t>
  </si>
  <si>
    <t>NO 10 JALAN SCI 1/1 SUNWAY CITY, 31150 ULU KINTAN, PERAK  Ulu Kinta Perak - my 31150</t>
  </si>
  <si>
    <t>NVMY34535000008442</t>
  </si>
  <si>
    <t>NORLIYANA BINTI YAACOB</t>
  </si>
  <si>
    <t>32 LORONG SG DUA UTAMA 3, TAMAN SG DUA UTAMA 13800 BUTTER WORTH PULAU PINANG  Butterworth Pulau Pinang - my 13800</t>
  </si>
  <si>
    <t>NVMY34535000008444</t>
  </si>
  <si>
    <t>RAMLAN MANAGEMENT AND SERVICES</t>
  </si>
  <si>
    <t>32A JALAN CEMPAKA 1 TAMAN SERI CEMPAKA 75400 PERINGGIT MELAKA  Melaka Melaka - my 75400</t>
  </si>
  <si>
    <t>NVMY34535000008468</t>
  </si>
  <si>
    <t>NOORZATUL AKMA</t>
  </si>
  <si>
    <t>NO 23 LORONG PERAMU MAJU 12, 26060 KUANTAN PAHANG  Kuantan Pahang - my 26060</t>
  </si>
  <si>
    <t>NVMY34535000008475</t>
  </si>
  <si>
    <t>NORLIZA ABU BAKAR</t>
  </si>
  <si>
    <t>NO 10 JALAN AMBAR TIGA 7/16C SEKSYEN 7, 40000 SHAH ALAM, SELANGOR  Shah Alam Selangor - my 40000</t>
  </si>
  <si>
    <t>NVMY34535000008458</t>
  </si>
  <si>
    <t>NVMY34535000008462</t>
  </si>
  <si>
    <t>NURUL HIDAYU</t>
  </si>
  <si>
    <t>NO 20 KAMPUNG BATU PUTEH KEMAMAN 24300 TERENGGANU  Kerteh Terengganu - my 24300</t>
  </si>
  <si>
    <t>NVMY34535000008463</t>
  </si>
  <si>
    <t>VIVI</t>
  </si>
  <si>
    <t>NO 7 JALAN SAWI 14, TAMAN DESA JENJAROM 42600 JENJAROM SELANGOR  Jenjarom Selangor - my 42600</t>
  </si>
  <si>
    <t>NVMY34535000008477</t>
  </si>
  <si>
    <t>NORAZREEN SUHIR</t>
  </si>
  <si>
    <t>2-10-11 , RESIDENSI ALAMI , JALAN TINJU 13/50 , 40100 SHAH ALAM SELANGOR   Shah Alam Selangor - my 40100</t>
  </si>
  <si>
    <t>NVMY34535000008457</t>
  </si>
  <si>
    <t>NVMY34535000008478</t>
  </si>
  <si>
    <t>TIRA LEGACY HQ</t>
  </si>
  <si>
    <t>( ATAS HENGTON ) PT 1428-T1 , JALAN KUALA KRAI BT 4 , 15150 KOTA BHARU KELANTAN   Kota Bharu Kelantan - my 15150</t>
  </si>
  <si>
    <t>NVMY34535000008429</t>
  </si>
  <si>
    <t>HAZRI</t>
  </si>
  <si>
    <t>78 JLN SUNGAI KERAMAT 12 TAMAN KLANG UTAMA 42100 KLANG SELANGOR  Klang Selangor - my 42100</t>
  </si>
  <si>
    <t>NVMY34535000008472</t>
  </si>
  <si>
    <t>HASLINA HASHNAN</t>
  </si>
  <si>
    <t>2 JALAN 4/9W SECTION 4 43650 BANDAR BARU BANGI SELANGOR   Bandar Baru Bangi Selangor - my 43650</t>
  </si>
  <si>
    <t>NVMY34535000008486</t>
  </si>
  <si>
    <t>TENGKU RADEN</t>
  </si>
  <si>
    <t>NO 4, LORONG ALOR ARA DAHLIA 1, TAMAN ALOR ARA DAHLIA 26600 PEKAMN PAHANG  Pekan Pahang - my 26600</t>
  </si>
  <si>
    <t>NVMY34535000008427</t>
  </si>
  <si>
    <t>MUHD MUSA BIN SALIM</t>
  </si>
  <si>
    <t>BATU 6 KG SUNGAI GULANG GULANG 45000 TANJONG KARANG SELANGOR  Selangor Tanjong Karang Selangor - my 45500</t>
  </si>
  <si>
    <t>D3-KSR-14-119</t>
  </si>
  <si>
    <t>NVMY34535000008471</t>
  </si>
  <si>
    <t>AINAKAMARUDIN</t>
  </si>
  <si>
    <t>PT15435, KG MAK CHILI PAYA JALAN BUKIT TAKAL 24000 CHUKAI, KEMAMAN TERENGGANU  Ayer Puteh Terengganu - my 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</si>
</sst>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6" borderId="0" xfId="0" applyFill="1"/>
    <xf numFmtId="22" fontId="0" fillId="0" borderId="0" xfId="0" applyNumberFormat="1"/>
    <xf numFmtId="14" fontId="0" fillId="0" borderId="0" xfId="0" applyNumberFormat="1"/>
    <xf numFmtId="43" fontId="4" fillId="4" borderId="0" xfId="0" applyNumberFormat="1" applyFont="1" applyFill="1"/>
    <xf numFmtId="43" fontId="0" fillId="7" borderId="0" xfId="0" applyNumberFormat="1" applyFill="1"/>
    <xf numFmtId="43" fontId="0" fillId="8" borderId="0" xfId="1" applyFont="1" applyFill="1" applyBorder="1" applyAlignment="1" applyProtection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4D89-E7A8-4BDC-A1B1-3B8A42457338}">
  <dimension ref="A1:AH620"/>
  <sheetViews>
    <sheetView tabSelected="1" workbookViewId="0">
      <selection sqref="A1:AH618"/>
    </sheetView>
  </sheetViews>
  <sheetFormatPr defaultRowHeight="14.5" x14ac:dyDescent="0.35"/>
  <cols>
    <col min="1" max="34" width="9.08984375" customWidth="1"/>
  </cols>
  <sheetData>
    <row r="1" spans="1:34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</row>
    <row r="2" spans="1:34" ht="15" customHeight="1" x14ac:dyDescent="0.35">
      <c r="A2">
        <v>7547676</v>
      </c>
      <c r="B2">
        <v>690929</v>
      </c>
      <c r="C2" t="s">
        <v>34</v>
      </c>
      <c r="D2" t="s">
        <v>35</v>
      </c>
      <c r="E2" s="6" t="s">
        <v>34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>
        <v>2</v>
      </c>
      <c r="L2" t="s">
        <v>41</v>
      </c>
      <c r="M2" t="s">
        <v>42</v>
      </c>
      <c r="N2" t="s">
        <v>43</v>
      </c>
      <c r="O2" s="7">
        <v>5</v>
      </c>
      <c r="P2" s="8">
        <v>45271.84003472222</v>
      </c>
      <c r="Q2" s="9">
        <v>45274</v>
      </c>
      <c r="R2" t="s">
        <v>37</v>
      </c>
      <c r="S2" t="s">
        <v>44</v>
      </c>
      <c r="T2" t="s">
        <v>45</v>
      </c>
      <c r="U2" t="s">
        <v>46</v>
      </c>
      <c r="V2" t="s">
        <v>47</v>
      </c>
      <c r="W2">
        <v>83010</v>
      </c>
      <c r="X2" t="s">
        <v>44</v>
      </c>
      <c r="Y2" t="s">
        <v>48</v>
      </c>
      <c r="Z2" t="s">
        <v>49</v>
      </c>
      <c r="AA2" s="10">
        <f>IF(O2&lt;=1,7,7+0.8*ROUNDUP(O2-1,0))</f>
        <v>10.199999999999999</v>
      </c>
      <c r="AB2" s="11">
        <v>0</v>
      </c>
      <c r="AC2" s="11">
        <v>0</v>
      </c>
      <c r="AD2" s="11">
        <v>0</v>
      </c>
      <c r="AE2" s="11">
        <v>0</v>
      </c>
      <c r="AF2" s="11">
        <f t="shared" ref="AF2:AF65" si="0">(AA2+AC2+AE2)*6%</f>
        <v>0.61199999999999999</v>
      </c>
      <c r="AG2" s="11">
        <f t="shared" ref="AG2:AG65" si="1">AA2+AC2+AE2+AF2</f>
        <v>10.811999999999999</v>
      </c>
      <c r="AH2" t="s">
        <v>44</v>
      </c>
    </row>
    <row r="3" spans="1:34" ht="15" customHeight="1" x14ac:dyDescent="0.35">
      <c r="A3">
        <v>7547676</v>
      </c>
      <c r="B3">
        <v>690929</v>
      </c>
      <c r="C3" t="s">
        <v>34</v>
      </c>
      <c r="D3" t="s">
        <v>35</v>
      </c>
      <c r="E3" s="6" t="s">
        <v>34</v>
      </c>
      <c r="F3" t="s">
        <v>50</v>
      </c>
      <c r="G3" t="s">
        <v>37</v>
      </c>
      <c r="H3" t="s">
        <v>38</v>
      </c>
      <c r="I3" t="s">
        <v>51</v>
      </c>
      <c r="J3" t="s">
        <v>40</v>
      </c>
      <c r="K3">
        <v>2</v>
      </c>
      <c r="L3" t="s">
        <v>41</v>
      </c>
      <c r="M3" t="s">
        <v>42</v>
      </c>
      <c r="N3" t="s">
        <v>43</v>
      </c>
      <c r="O3" s="7">
        <v>1</v>
      </c>
      <c r="P3" s="8">
        <v>45271.840046296296</v>
      </c>
      <c r="Q3" s="9">
        <v>45274</v>
      </c>
      <c r="R3" t="s">
        <v>37</v>
      </c>
      <c r="S3" t="s">
        <v>44</v>
      </c>
      <c r="T3" t="s">
        <v>52</v>
      </c>
      <c r="U3" t="s">
        <v>53</v>
      </c>
      <c r="V3" t="s">
        <v>54</v>
      </c>
      <c r="W3">
        <v>54200</v>
      </c>
      <c r="X3" t="s">
        <v>44</v>
      </c>
      <c r="Y3" t="s">
        <v>55</v>
      </c>
      <c r="Z3" t="s">
        <v>49</v>
      </c>
      <c r="AA3" s="10">
        <f>IF(O3&lt;=1,7,7+0.8*ROUNDUP(O3-1,0))</f>
        <v>7</v>
      </c>
      <c r="AB3" s="11">
        <v>0</v>
      </c>
      <c r="AC3" s="11">
        <v>0</v>
      </c>
      <c r="AD3" s="11">
        <v>0</v>
      </c>
      <c r="AE3" s="11">
        <v>0</v>
      </c>
      <c r="AF3" s="11">
        <f t="shared" si="0"/>
        <v>0.42</v>
      </c>
      <c r="AG3" s="11">
        <f t="shared" si="1"/>
        <v>7.42</v>
      </c>
      <c r="AH3" t="s">
        <v>44</v>
      </c>
    </row>
    <row r="4" spans="1:34" ht="15" customHeight="1" x14ac:dyDescent="0.35">
      <c r="A4">
        <v>7547676</v>
      </c>
      <c r="B4">
        <v>690929</v>
      </c>
      <c r="C4" t="s">
        <v>34</v>
      </c>
      <c r="D4" t="s">
        <v>35</v>
      </c>
      <c r="E4" s="6" t="s">
        <v>34</v>
      </c>
      <c r="F4" t="s">
        <v>56</v>
      </c>
      <c r="G4" t="s">
        <v>37</v>
      </c>
      <c r="H4" t="s">
        <v>38</v>
      </c>
      <c r="I4" t="s">
        <v>57</v>
      </c>
      <c r="J4" t="s">
        <v>40</v>
      </c>
      <c r="K4">
        <v>2</v>
      </c>
      <c r="L4" t="s">
        <v>41</v>
      </c>
      <c r="M4" t="s">
        <v>42</v>
      </c>
      <c r="N4" t="s">
        <v>43</v>
      </c>
      <c r="O4" s="7">
        <v>1</v>
      </c>
      <c r="P4" s="8">
        <v>45271.789479166669</v>
      </c>
      <c r="Q4" s="9">
        <v>45274</v>
      </c>
      <c r="R4" t="s">
        <v>37</v>
      </c>
      <c r="S4" t="s">
        <v>44</v>
      </c>
      <c r="T4" t="s">
        <v>45</v>
      </c>
      <c r="U4" t="s">
        <v>58</v>
      </c>
      <c r="V4" t="s">
        <v>59</v>
      </c>
      <c r="W4">
        <v>6900</v>
      </c>
      <c r="X4" t="s">
        <v>44</v>
      </c>
      <c r="Y4" t="s">
        <v>60</v>
      </c>
      <c r="Z4" t="s">
        <v>49</v>
      </c>
      <c r="AA4" s="10">
        <f>IF(O4&lt;=1,7,7+0.8*ROUNDUP(O4-1,0))</f>
        <v>7</v>
      </c>
      <c r="AB4" s="11">
        <v>0</v>
      </c>
      <c r="AC4" s="11">
        <v>0</v>
      </c>
      <c r="AD4" s="11">
        <v>0</v>
      </c>
      <c r="AE4" s="11">
        <v>0</v>
      </c>
      <c r="AF4" s="11">
        <f t="shared" si="0"/>
        <v>0.42</v>
      </c>
      <c r="AG4" s="11">
        <f t="shared" si="1"/>
        <v>7.42</v>
      </c>
      <c r="AH4" t="s">
        <v>44</v>
      </c>
    </row>
    <row r="5" spans="1:34" ht="15" customHeight="1" x14ac:dyDescent="0.35">
      <c r="A5">
        <v>7547676</v>
      </c>
      <c r="B5">
        <v>690929</v>
      </c>
      <c r="C5" t="s">
        <v>34</v>
      </c>
      <c r="D5" t="s">
        <v>35</v>
      </c>
      <c r="E5" s="6" t="s">
        <v>34</v>
      </c>
      <c r="F5" t="s">
        <v>61</v>
      </c>
      <c r="G5" t="s">
        <v>37</v>
      </c>
      <c r="H5" t="s">
        <v>38</v>
      </c>
      <c r="I5" t="s">
        <v>62</v>
      </c>
      <c r="J5" t="s">
        <v>40</v>
      </c>
      <c r="K5">
        <v>2</v>
      </c>
      <c r="L5" t="s">
        <v>41</v>
      </c>
      <c r="M5" t="s">
        <v>42</v>
      </c>
      <c r="N5" t="s">
        <v>43</v>
      </c>
      <c r="O5" s="7">
        <v>1</v>
      </c>
      <c r="P5" s="8">
        <v>45272.731006944443</v>
      </c>
      <c r="Q5" s="9">
        <v>45274</v>
      </c>
      <c r="R5" t="s">
        <v>37</v>
      </c>
      <c r="S5" t="s">
        <v>44</v>
      </c>
      <c r="T5" t="s">
        <v>45</v>
      </c>
      <c r="U5" t="s">
        <v>63</v>
      </c>
      <c r="V5" t="s">
        <v>64</v>
      </c>
      <c r="W5">
        <v>75260</v>
      </c>
      <c r="X5" t="s">
        <v>44</v>
      </c>
      <c r="Y5" t="s">
        <v>65</v>
      </c>
      <c r="Z5" t="s">
        <v>49</v>
      </c>
      <c r="AA5" s="10">
        <f>IF(O5&lt;=1,7,7+0.8*ROUNDUP(O5-1,0))</f>
        <v>7</v>
      </c>
      <c r="AB5" s="11">
        <v>0</v>
      </c>
      <c r="AC5" s="11">
        <v>0</v>
      </c>
      <c r="AD5" s="11">
        <v>0</v>
      </c>
      <c r="AE5" s="11">
        <v>0</v>
      </c>
      <c r="AF5" s="11">
        <f t="shared" si="0"/>
        <v>0.42</v>
      </c>
      <c r="AG5" s="11">
        <f t="shared" si="1"/>
        <v>7.42</v>
      </c>
      <c r="AH5" t="s">
        <v>44</v>
      </c>
    </row>
    <row r="6" spans="1:34" ht="15" customHeight="1" x14ac:dyDescent="0.35">
      <c r="A6">
        <v>7547676</v>
      </c>
      <c r="B6">
        <v>690929</v>
      </c>
      <c r="C6" t="s">
        <v>34</v>
      </c>
      <c r="D6" t="s">
        <v>35</v>
      </c>
      <c r="E6" s="6" t="s">
        <v>34</v>
      </c>
      <c r="F6" t="s">
        <v>66</v>
      </c>
      <c r="G6" t="s">
        <v>37</v>
      </c>
      <c r="H6" t="s">
        <v>38</v>
      </c>
      <c r="I6" t="s">
        <v>67</v>
      </c>
      <c r="J6" t="s">
        <v>40</v>
      </c>
      <c r="K6">
        <v>2</v>
      </c>
      <c r="L6" t="s">
        <v>41</v>
      </c>
      <c r="M6" t="s">
        <v>42</v>
      </c>
      <c r="N6" t="s">
        <v>43</v>
      </c>
      <c r="O6" s="7">
        <v>1</v>
      </c>
      <c r="P6" s="8">
        <v>45272.732581018521</v>
      </c>
      <c r="Q6" s="9">
        <v>45274</v>
      </c>
      <c r="R6" t="s">
        <v>37</v>
      </c>
      <c r="S6" t="s">
        <v>44</v>
      </c>
      <c r="T6" t="s">
        <v>45</v>
      </c>
      <c r="U6" t="s">
        <v>68</v>
      </c>
      <c r="V6" t="s">
        <v>69</v>
      </c>
      <c r="W6">
        <v>43900</v>
      </c>
      <c r="X6" t="s">
        <v>44</v>
      </c>
      <c r="Y6" t="s">
        <v>70</v>
      </c>
      <c r="Z6" t="s">
        <v>49</v>
      </c>
      <c r="AA6" s="10">
        <f>IF(O6&lt;=1,7,7+0.8*ROUNDUP(O6-1,0))</f>
        <v>7</v>
      </c>
      <c r="AB6" s="11">
        <v>0</v>
      </c>
      <c r="AC6" s="11">
        <v>0</v>
      </c>
      <c r="AD6" s="11">
        <v>0</v>
      </c>
      <c r="AE6" s="11">
        <v>0</v>
      </c>
      <c r="AF6" s="11">
        <f t="shared" si="0"/>
        <v>0.42</v>
      </c>
      <c r="AG6" s="11">
        <f t="shared" si="1"/>
        <v>7.42</v>
      </c>
      <c r="AH6" t="s">
        <v>44</v>
      </c>
    </row>
    <row r="7" spans="1:34" ht="15" customHeight="1" x14ac:dyDescent="0.35">
      <c r="A7">
        <v>7547676</v>
      </c>
      <c r="B7">
        <v>690929</v>
      </c>
      <c r="C7" t="s">
        <v>34</v>
      </c>
      <c r="D7" t="s">
        <v>35</v>
      </c>
      <c r="E7" s="6" t="s">
        <v>34</v>
      </c>
      <c r="F7" t="s">
        <v>71</v>
      </c>
      <c r="G7" t="s">
        <v>37</v>
      </c>
      <c r="H7" t="s">
        <v>38</v>
      </c>
      <c r="I7" t="s">
        <v>72</v>
      </c>
      <c r="J7" t="s">
        <v>40</v>
      </c>
      <c r="K7">
        <v>2</v>
      </c>
      <c r="L7" t="s">
        <v>41</v>
      </c>
      <c r="M7" t="s">
        <v>42</v>
      </c>
      <c r="N7" t="s">
        <v>43</v>
      </c>
      <c r="O7" s="7">
        <v>1</v>
      </c>
      <c r="P7" s="8">
        <v>45271.789490740739</v>
      </c>
      <c r="Q7" s="9">
        <v>45274</v>
      </c>
      <c r="R7" t="s">
        <v>37</v>
      </c>
      <c r="S7" t="s">
        <v>44</v>
      </c>
      <c r="T7" t="s">
        <v>45</v>
      </c>
      <c r="U7" t="s">
        <v>58</v>
      </c>
      <c r="V7" t="s">
        <v>73</v>
      </c>
      <c r="W7">
        <v>8100</v>
      </c>
      <c r="X7" t="s">
        <v>44</v>
      </c>
      <c r="Y7" t="s">
        <v>60</v>
      </c>
      <c r="Z7" t="s">
        <v>49</v>
      </c>
      <c r="AA7" s="10">
        <f>IF(O7&lt;=1,7,7+0.8*ROUNDUP(O7-1,0))</f>
        <v>7</v>
      </c>
      <c r="AB7" s="11">
        <v>0</v>
      </c>
      <c r="AC7" s="11">
        <v>0</v>
      </c>
      <c r="AD7" s="11">
        <v>0</v>
      </c>
      <c r="AE7" s="11">
        <v>0</v>
      </c>
      <c r="AF7" s="11">
        <f t="shared" si="0"/>
        <v>0.42</v>
      </c>
      <c r="AG7" s="11">
        <f t="shared" si="1"/>
        <v>7.42</v>
      </c>
      <c r="AH7" t="s">
        <v>44</v>
      </c>
    </row>
    <row r="8" spans="1:34" ht="15" customHeight="1" x14ac:dyDescent="0.35">
      <c r="A8">
        <v>7547676</v>
      </c>
      <c r="B8">
        <v>690929</v>
      </c>
      <c r="C8" t="s">
        <v>34</v>
      </c>
      <c r="D8" t="s">
        <v>35</v>
      </c>
      <c r="E8" s="6" t="s">
        <v>34</v>
      </c>
      <c r="F8" t="s">
        <v>74</v>
      </c>
      <c r="G8" t="s">
        <v>37</v>
      </c>
      <c r="H8" t="s">
        <v>38</v>
      </c>
      <c r="I8" t="s">
        <v>75</v>
      </c>
      <c r="J8" t="s">
        <v>40</v>
      </c>
      <c r="K8">
        <v>2</v>
      </c>
      <c r="L8" t="s">
        <v>41</v>
      </c>
      <c r="M8" t="s">
        <v>42</v>
      </c>
      <c r="N8" t="s">
        <v>43</v>
      </c>
      <c r="O8" s="7">
        <v>1</v>
      </c>
      <c r="P8" s="8">
        <v>45273.393125000002</v>
      </c>
      <c r="Q8" s="9">
        <v>45274</v>
      </c>
      <c r="R8" t="s">
        <v>37</v>
      </c>
      <c r="S8" t="s">
        <v>44</v>
      </c>
      <c r="T8" t="s">
        <v>76</v>
      </c>
      <c r="U8" t="s">
        <v>77</v>
      </c>
      <c r="V8" t="s">
        <v>78</v>
      </c>
      <c r="W8">
        <v>26820</v>
      </c>
      <c r="X8" t="s">
        <v>44</v>
      </c>
      <c r="Y8" t="s">
        <v>79</v>
      </c>
      <c r="Z8" t="s">
        <v>49</v>
      </c>
      <c r="AA8" s="10">
        <f>IF(O8&lt;=1,7,7+0.8*ROUNDUP(O8-1,0))</f>
        <v>7</v>
      </c>
      <c r="AB8" s="11">
        <v>0</v>
      </c>
      <c r="AC8" s="11">
        <v>0</v>
      </c>
      <c r="AD8" s="11">
        <v>0</v>
      </c>
      <c r="AE8" s="11">
        <v>0</v>
      </c>
      <c r="AF8" s="11">
        <f t="shared" si="0"/>
        <v>0.42</v>
      </c>
      <c r="AG8" s="11">
        <f t="shared" si="1"/>
        <v>7.42</v>
      </c>
      <c r="AH8" t="s">
        <v>44</v>
      </c>
    </row>
    <row r="9" spans="1:34" ht="15" customHeight="1" x14ac:dyDescent="0.35">
      <c r="A9">
        <v>7547676</v>
      </c>
      <c r="B9">
        <v>690929</v>
      </c>
      <c r="C9" t="s">
        <v>34</v>
      </c>
      <c r="D9" t="s">
        <v>35</v>
      </c>
      <c r="E9" s="6" t="s">
        <v>34</v>
      </c>
      <c r="F9" t="s">
        <v>80</v>
      </c>
      <c r="G9" t="s">
        <v>37</v>
      </c>
      <c r="H9" t="s">
        <v>38</v>
      </c>
      <c r="I9" t="s">
        <v>81</v>
      </c>
      <c r="J9" t="s">
        <v>40</v>
      </c>
      <c r="K9">
        <v>2</v>
      </c>
      <c r="L9" t="s">
        <v>41</v>
      </c>
      <c r="M9" t="s">
        <v>42</v>
      </c>
      <c r="N9" t="s">
        <v>43</v>
      </c>
      <c r="O9" s="7">
        <v>5.0999999999999996</v>
      </c>
      <c r="P9" s="8">
        <v>45271.840046296296</v>
      </c>
      <c r="Q9" s="9">
        <v>45274</v>
      </c>
      <c r="R9" t="s">
        <v>37</v>
      </c>
      <c r="S9" t="s">
        <v>44</v>
      </c>
      <c r="T9" t="s">
        <v>45</v>
      </c>
      <c r="U9" t="s">
        <v>82</v>
      </c>
      <c r="V9" t="s">
        <v>83</v>
      </c>
      <c r="W9">
        <v>71800</v>
      </c>
      <c r="X9" t="s">
        <v>44</v>
      </c>
      <c r="Y9" t="s">
        <v>84</v>
      </c>
      <c r="Z9" t="s">
        <v>49</v>
      </c>
      <c r="AA9" s="10">
        <f>IF(O9&lt;=1,7,7+0.8*ROUNDUP(O9-1,0))</f>
        <v>11</v>
      </c>
      <c r="AB9" s="11">
        <v>0</v>
      </c>
      <c r="AC9" s="11">
        <v>0</v>
      </c>
      <c r="AD9" s="11">
        <v>0</v>
      </c>
      <c r="AE9" s="11">
        <v>0</v>
      </c>
      <c r="AF9" s="11">
        <f t="shared" si="0"/>
        <v>0.65999999999999992</v>
      </c>
      <c r="AG9" s="11">
        <f t="shared" si="1"/>
        <v>11.66</v>
      </c>
      <c r="AH9" t="s">
        <v>44</v>
      </c>
    </row>
    <row r="10" spans="1:34" ht="15" customHeight="1" x14ac:dyDescent="0.35">
      <c r="A10">
        <v>7547676</v>
      </c>
      <c r="B10">
        <v>690929</v>
      </c>
      <c r="C10" t="s">
        <v>34</v>
      </c>
      <c r="D10" t="s">
        <v>35</v>
      </c>
      <c r="E10" s="6" t="s">
        <v>34</v>
      </c>
      <c r="F10" t="s">
        <v>85</v>
      </c>
      <c r="G10" t="s">
        <v>37</v>
      </c>
      <c r="H10" t="s">
        <v>38</v>
      </c>
      <c r="I10" t="s">
        <v>86</v>
      </c>
      <c r="J10" t="s">
        <v>40</v>
      </c>
      <c r="K10">
        <v>2</v>
      </c>
      <c r="L10" t="s">
        <v>41</v>
      </c>
      <c r="M10" t="s">
        <v>42</v>
      </c>
      <c r="N10" t="s">
        <v>43</v>
      </c>
      <c r="O10" s="7">
        <v>7</v>
      </c>
      <c r="P10" s="8">
        <v>45271.840046296296</v>
      </c>
      <c r="Q10" s="9">
        <v>45274</v>
      </c>
      <c r="R10" t="s">
        <v>37</v>
      </c>
      <c r="S10" t="s">
        <v>44</v>
      </c>
      <c r="T10" t="s">
        <v>45</v>
      </c>
      <c r="U10" t="s">
        <v>68</v>
      </c>
      <c r="V10" t="s">
        <v>87</v>
      </c>
      <c r="W10">
        <v>43800</v>
      </c>
      <c r="X10" t="s">
        <v>44</v>
      </c>
      <c r="Y10" t="s">
        <v>88</v>
      </c>
      <c r="Z10" t="s">
        <v>49</v>
      </c>
      <c r="AA10" s="10">
        <f>IF(O10&lt;=1,7,7+0.8*ROUNDUP(O10-1,0))</f>
        <v>11.8</v>
      </c>
      <c r="AB10" s="11">
        <v>0</v>
      </c>
      <c r="AC10" s="11">
        <v>0</v>
      </c>
      <c r="AD10" s="11">
        <v>0</v>
      </c>
      <c r="AE10" s="11">
        <v>0</v>
      </c>
      <c r="AF10" s="11">
        <f t="shared" si="0"/>
        <v>0.70799999999999996</v>
      </c>
      <c r="AG10" s="11">
        <f t="shared" si="1"/>
        <v>12.508000000000001</v>
      </c>
      <c r="AH10" t="s">
        <v>44</v>
      </c>
    </row>
    <row r="11" spans="1:34" ht="15" customHeight="1" x14ac:dyDescent="0.35">
      <c r="A11">
        <v>7547676</v>
      </c>
      <c r="B11">
        <v>690929</v>
      </c>
      <c r="C11" t="s">
        <v>34</v>
      </c>
      <c r="D11" t="s">
        <v>35</v>
      </c>
      <c r="E11" s="6" t="s">
        <v>34</v>
      </c>
      <c r="F11" t="s">
        <v>89</v>
      </c>
      <c r="G11" t="s">
        <v>37</v>
      </c>
      <c r="H11" t="s">
        <v>38</v>
      </c>
      <c r="I11" t="s">
        <v>90</v>
      </c>
      <c r="J11" t="s">
        <v>40</v>
      </c>
      <c r="K11">
        <v>2</v>
      </c>
      <c r="L11" t="s">
        <v>41</v>
      </c>
      <c r="M11" t="s">
        <v>42</v>
      </c>
      <c r="N11" t="s">
        <v>43</v>
      </c>
      <c r="O11" s="7">
        <v>1</v>
      </c>
      <c r="P11" s="8">
        <v>45271.507650462961</v>
      </c>
      <c r="Q11" s="9">
        <v>45274</v>
      </c>
      <c r="R11" t="s">
        <v>37</v>
      </c>
      <c r="S11" t="s">
        <v>44</v>
      </c>
      <c r="T11" t="s">
        <v>45</v>
      </c>
      <c r="U11" t="s">
        <v>53</v>
      </c>
      <c r="V11" t="s">
        <v>91</v>
      </c>
      <c r="W11">
        <v>53000</v>
      </c>
      <c r="X11" t="s">
        <v>44</v>
      </c>
      <c r="Y11" t="s">
        <v>52</v>
      </c>
      <c r="Z11" t="s">
        <v>49</v>
      </c>
      <c r="AA11" s="10">
        <f>IF(O11&lt;=1,7,7+0.8*ROUNDUP(O11-1,0))</f>
        <v>7</v>
      </c>
      <c r="AB11" s="11">
        <v>0</v>
      </c>
      <c r="AC11" s="11">
        <v>0</v>
      </c>
      <c r="AD11" s="11">
        <v>0</v>
      </c>
      <c r="AE11" s="11">
        <v>0</v>
      </c>
      <c r="AF11" s="11">
        <f t="shared" si="0"/>
        <v>0.42</v>
      </c>
      <c r="AG11" s="11">
        <f t="shared" si="1"/>
        <v>7.42</v>
      </c>
      <c r="AH11" t="s">
        <v>44</v>
      </c>
    </row>
    <row r="12" spans="1:34" ht="15" customHeight="1" x14ac:dyDescent="0.35">
      <c r="A12">
        <v>7547676</v>
      </c>
      <c r="B12">
        <v>690929</v>
      </c>
      <c r="C12" t="s">
        <v>34</v>
      </c>
      <c r="D12" t="s">
        <v>35</v>
      </c>
      <c r="E12" s="6" t="s">
        <v>34</v>
      </c>
      <c r="F12" t="s">
        <v>92</v>
      </c>
      <c r="G12" t="s">
        <v>37</v>
      </c>
      <c r="H12" t="s">
        <v>38</v>
      </c>
      <c r="I12" t="s">
        <v>93</v>
      </c>
      <c r="J12" t="s">
        <v>40</v>
      </c>
      <c r="K12">
        <v>2</v>
      </c>
      <c r="L12" t="s">
        <v>41</v>
      </c>
      <c r="M12" t="s">
        <v>42</v>
      </c>
      <c r="N12" t="s">
        <v>43</v>
      </c>
      <c r="O12" s="7">
        <v>1</v>
      </c>
      <c r="P12" s="8">
        <v>45271.789479166669</v>
      </c>
      <c r="Q12" s="9">
        <v>45274</v>
      </c>
      <c r="R12" t="s">
        <v>37</v>
      </c>
      <c r="S12" t="s">
        <v>44</v>
      </c>
      <c r="T12" t="s">
        <v>45</v>
      </c>
      <c r="U12" t="s">
        <v>94</v>
      </c>
      <c r="V12" t="s">
        <v>95</v>
      </c>
      <c r="W12">
        <v>13110</v>
      </c>
      <c r="X12" t="s">
        <v>44</v>
      </c>
      <c r="Y12" t="s">
        <v>96</v>
      </c>
      <c r="Z12" t="s">
        <v>49</v>
      </c>
      <c r="AA12" s="10">
        <f>IF(O12&lt;=1,7,7+0.8*ROUNDUP(O12-1,0))</f>
        <v>7</v>
      </c>
      <c r="AB12" s="11">
        <v>0</v>
      </c>
      <c r="AC12" s="11">
        <v>0</v>
      </c>
      <c r="AD12" s="11">
        <v>0</v>
      </c>
      <c r="AE12" s="11">
        <v>0</v>
      </c>
      <c r="AF12" s="11">
        <f t="shared" si="0"/>
        <v>0.42</v>
      </c>
      <c r="AG12" s="11">
        <f t="shared" si="1"/>
        <v>7.42</v>
      </c>
      <c r="AH12" t="s">
        <v>44</v>
      </c>
    </row>
    <row r="13" spans="1:34" ht="15" customHeight="1" x14ac:dyDescent="0.35">
      <c r="A13">
        <v>7547676</v>
      </c>
      <c r="B13">
        <v>690929</v>
      </c>
      <c r="C13" t="s">
        <v>34</v>
      </c>
      <c r="D13" t="s">
        <v>35</v>
      </c>
      <c r="E13" s="6" t="s">
        <v>34</v>
      </c>
      <c r="F13" t="s">
        <v>97</v>
      </c>
      <c r="G13" t="s">
        <v>37</v>
      </c>
      <c r="H13" t="s">
        <v>38</v>
      </c>
      <c r="I13" t="s">
        <v>98</v>
      </c>
      <c r="J13" t="s">
        <v>40</v>
      </c>
      <c r="K13">
        <v>2</v>
      </c>
      <c r="L13" t="s">
        <v>41</v>
      </c>
      <c r="M13" t="s">
        <v>42</v>
      </c>
      <c r="N13" t="s">
        <v>43</v>
      </c>
      <c r="O13" s="7">
        <v>1</v>
      </c>
      <c r="P13" s="8">
        <v>45273.547893518517</v>
      </c>
      <c r="Q13" s="9">
        <v>45275</v>
      </c>
      <c r="R13" t="s">
        <v>37</v>
      </c>
      <c r="S13" t="s">
        <v>44</v>
      </c>
      <c r="T13" t="s">
        <v>52</v>
      </c>
      <c r="U13" t="s">
        <v>68</v>
      </c>
      <c r="V13" t="s">
        <v>99</v>
      </c>
      <c r="W13">
        <v>40170</v>
      </c>
      <c r="X13" t="s">
        <v>44</v>
      </c>
      <c r="Y13" t="s">
        <v>100</v>
      </c>
      <c r="Z13" t="s">
        <v>49</v>
      </c>
      <c r="AA13" s="10">
        <f>IF(O13&lt;=1,7,7+0.8*ROUNDUP(O13-1,0))</f>
        <v>7</v>
      </c>
      <c r="AB13" s="11">
        <v>0</v>
      </c>
      <c r="AC13" s="11">
        <v>0</v>
      </c>
      <c r="AD13" s="11">
        <v>0</v>
      </c>
      <c r="AE13" s="11">
        <v>0</v>
      </c>
      <c r="AF13" s="11">
        <f t="shared" si="0"/>
        <v>0.42</v>
      </c>
      <c r="AG13" s="11">
        <f t="shared" si="1"/>
        <v>7.42</v>
      </c>
      <c r="AH13" t="s">
        <v>44</v>
      </c>
    </row>
    <row r="14" spans="1:34" ht="15" customHeight="1" x14ac:dyDescent="0.35">
      <c r="A14">
        <v>7547676</v>
      </c>
      <c r="B14">
        <v>690929</v>
      </c>
      <c r="C14" t="s">
        <v>34</v>
      </c>
      <c r="D14" t="s">
        <v>35</v>
      </c>
      <c r="E14" s="6" t="s">
        <v>34</v>
      </c>
      <c r="F14" t="s">
        <v>101</v>
      </c>
      <c r="G14" t="s">
        <v>37</v>
      </c>
      <c r="H14" t="s">
        <v>38</v>
      </c>
      <c r="I14" t="s">
        <v>102</v>
      </c>
      <c r="J14" t="s">
        <v>40</v>
      </c>
      <c r="K14">
        <v>2</v>
      </c>
      <c r="L14" t="s">
        <v>41</v>
      </c>
      <c r="M14" t="s">
        <v>42</v>
      </c>
      <c r="N14" t="s">
        <v>43</v>
      </c>
      <c r="O14" s="7">
        <v>1</v>
      </c>
      <c r="P14" s="8">
        <v>45271.730185185188</v>
      </c>
      <c r="Q14" s="9">
        <v>45275</v>
      </c>
      <c r="R14" t="s">
        <v>37</v>
      </c>
      <c r="S14" t="s">
        <v>44</v>
      </c>
      <c r="T14" t="s">
        <v>52</v>
      </c>
      <c r="U14" t="s">
        <v>68</v>
      </c>
      <c r="V14" t="s">
        <v>103</v>
      </c>
      <c r="W14">
        <v>42500</v>
      </c>
      <c r="X14" t="s">
        <v>44</v>
      </c>
      <c r="Y14" t="s">
        <v>104</v>
      </c>
      <c r="Z14" t="s">
        <v>49</v>
      </c>
      <c r="AA14" s="10">
        <f>IF(O14&lt;=1,7,7+0.8*ROUNDUP(O14-1,0))</f>
        <v>7</v>
      </c>
      <c r="AB14" s="11">
        <v>0</v>
      </c>
      <c r="AC14" s="11">
        <v>0</v>
      </c>
      <c r="AD14" s="11">
        <v>0</v>
      </c>
      <c r="AE14" s="11">
        <v>0</v>
      </c>
      <c r="AF14" s="11">
        <f t="shared" si="0"/>
        <v>0.42</v>
      </c>
      <c r="AG14" s="11">
        <f t="shared" si="1"/>
        <v>7.42</v>
      </c>
      <c r="AH14" t="s">
        <v>44</v>
      </c>
    </row>
    <row r="15" spans="1:34" ht="15" customHeight="1" x14ac:dyDescent="0.35">
      <c r="A15">
        <v>7547676</v>
      </c>
      <c r="B15">
        <v>690929</v>
      </c>
      <c r="C15" t="s">
        <v>34</v>
      </c>
      <c r="D15" t="s">
        <v>35</v>
      </c>
      <c r="E15" s="6" t="s">
        <v>34</v>
      </c>
      <c r="F15" t="s">
        <v>105</v>
      </c>
      <c r="G15" t="s">
        <v>37</v>
      </c>
      <c r="H15" t="s">
        <v>38</v>
      </c>
      <c r="I15" t="s">
        <v>106</v>
      </c>
      <c r="J15" t="s">
        <v>40</v>
      </c>
      <c r="K15">
        <v>2</v>
      </c>
      <c r="L15" t="s">
        <v>41</v>
      </c>
      <c r="M15" t="s">
        <v>42</v>
      </c>
      <c r="N15" t="s">
        <v>43</v>
      </c>
      <c r="O15" s="7">
        <v>1</v>
      </c>
      <c r="P15" s="8">
        <v>45273.788969907408</v>
      </c>
      <c r="Q15" s="9">
        <v>45275</v>
      </c>
      <c r="R15" t="s">
        <v>37</v>
      </c>
      <c r="S15" t="s">
        <v>44</v>
      </c>
      <c r="T15" t="s">
        <v>76</v>
      </c>
      <c r="U15" t="s">
        <v>68</v>
      </c>
      <c r="V15" t="s">
        <v>107</v>
      </c>
      <c r="W15">
        <v>40400</v>
      </c>
      <c r="X15" t="s">
        <v>44</v>
      </c>
      <c r="Y15" t="s">
        <v>108</v>
      </c>
      <c r="Z15" t="s">
        <v>49</v>
      </c>
      <c r="AA15" s="10">
        <f>IF(O15&lt;=1,7,7+0.8*ROUNDUP(O15-1,0))</f>
        <v>7</v>
      </c>
      <c r="AB15" s="11">
        <v>0</v>
      </c>
      <c r="AC15" s="11">
        <v>0</v>
      </c>
      <c r="AD15" s="11">
        <v>0</v>
      </c>
      <c r="AE15" s="11">
        <v>0</v>
      </c>
      <c r="AF15" s="11">
        <f t="shared" si="0"/>
        <v>0.42</v>
      </c>
      <c r="AG15" s="11">
        <f t="shared" si="1"/>
        <v>7.42</v>
      </c>
      <c r="AH15" t="s">
        <v>44</v>
      </c>
    </row>
    <row r="16" spans="1:34" ht="15" customHeight="1" x14ac:dyDescent="0.35">
      <c r="A16">
        <v>7547676</v>
      </c>
      <c r="B16">
        <v>690929</v>
      </c>
      <c r="C16" t="s">
        <v>34</v>
      </c>
      <c r="D16" t="s">
        <v>35</v>
      </c>
      <c r="E16" s="6" t="s">
        <v>34</v>
      </c>
      <c r="F16" t="s">
        <v>109</v>
      </c>
      <c r="G16" t="s">
        <v>37</v>
      </c>
      <c r="H16" t="s">
        <v>38</v>
      </c>
      <c r="I16" t="s">
        <v>110</v>
      </c>
      <c r="J16" t="s">
        <v>40</v>
      </c>
      <c r="K16">
        <v>2</v>
      </c>
      <c r="L16" t="s">
        <v>41</v>
      </c>
      <c r="M16" t="s">
        <v>42</v>
      </c>
      <c r="N16" t="s">
        <v>43</v>
      </c>
      <c r="O16" s="7">
        <v>1</v>
      </c>
      <c r="P16" s="8">
        <v>45273.661469907405</v>
      </c>
      <c r="Q16" s="9">
        <v>45275</v>
      </c>
      <c r="R16" t="s">
        <v>37</v>
      </c>
      <c r="S16" t="s">
        <v>44</v>
      </c>
      <c r="T16" t="s">
        <v>52</v>
      </c>
      <c r="U16" t="s">
        <v>77</v>
      </c>
      <c r="V16" t="s">
        <v>111</v>
      </c>
      <c r="W16">
        <v>27200</v>
      </c>
      <c r="X16" t="s">
        <v>44</v>
      </c>
      <c r="Y16" t="s">
        <v>112</v>
      </c>
      <c r="Z16" t="s">
        <v>49</v>
      </c>
      <c r="AA16" s="10">
        <f>IF(O16&lt;=1,7,7+0.8*ROUNDUP(O16-1,0))</f>
        <v>7</v>
      </c>
      <c r="AB16" s="11">
        <v>0</v>
      </c>
      <c r="AC16" s="11">
        <v>0</v>
      </c>
      <c r="AD16" s="11">
        <v>0</v>
      </c>
      <c r="AE16" s="11">
        <v>0</v>
      </c>
      <c r="AF16" s="11">
        <f t="shared" si="0"/>
        <v>0.42</v>
      </c>
      <c r="AG16" s="11">
        <f t="shared" si="1"/>
        <v>7.42</v>
      </c>
      <c r="AH16" t="s">
        <v>44</v>
      </c>
    </row>
    <row r="17" spans="1:34" ht="15" customHeight="1" x14ac:dyDescent="0.35">
      <c r="A17">
        <v>7547676</v>
      </c>
      <c r="B17">
        <v>690929</v>
      </c>
      <c r="C17" t="s">
        <v>34</v>
      </c>
      <c r="D17" t="s">
        <v>35</v>
      </c>
      <c r="E17" s="6" t="s">
        <v>34</v>
      </c>
      <c r="F17" t="s">
        <v>113</v>
      </c>
      <c r="G17" t="s">
        <v>37</v>
      </c>
      <c r="H17" t="s">
        <v>38</v>
      </c>
      <c r="I17" t="s">
        <v>114</v>
      </c>
      <c r="J17" t="s">
        <v>40</v>
      </c>
      <c r="K17">
        <v>2</v>
      </c>
      <c r="L17" t="s">
        <v>41</v>
      </c>
      <c r="M17" t="s">
        <v>42</v>
      </c>
      <c r="N17" t="s">
        <v>43</v>
      </c>
      <c r="O17" s="7">
        <v>2</v>
      </c>
      <c r="P17" s="8">
        <v>45274.684062499997</v>
      </c>
      <c r="Q17" s="9">
        <v>45275</v>
      </c>
      <c r="R17" t="s">
        <v>37</v>
      </c>
      <c r="S17" t="s">
        <v>44</v>
      </c>
      <c r="T17" t="s">
        <v>45</v>
      </c>
      <c r="U17" t="s">
        <v>115</v>
      </c>
      <c r="V17" t="s">
        <v>116</v>
      </c>
      <c r="W17">
        <v>16800</v>
      </c>
      <c r="X17" t="s">
        <v>44</v>
      </c>
      <c r="Y17" t="s">
        <v>76</v>
      </c>
      <c r="Z17" t="s">
        <v>49</v>
      </c>
      <c r="AA17" s="10">
        <f>IF(O17&lt;=1,7,7+0.8*ROUNDUP(O17-1,0))</f>
        <v>7.8</v>
      </c>
      <c r="AB17" s="11">
        <v>0</v>
      </c>
      <c r="AC17" s="11">
        <v>0</v>
      </c>
      <c r="AD17" s="11">
        <v>0</v>
      </c>
      <c r="AE17" s="11">
        <v>0</v>
      </c>
      <c r="AF17" s="11">
        <f t="shared" si="0"/>
        <v>0.46799999999999997</v>
      </c>
      <c r="AG17" s="11">
        <f t="shared" si="1"/>
        <v>8.2680000000000007</v>
      </c>
      <c r="AH17" t="s">
        <v>44</v>
      </c>
    </row>
    <row r="18" spans="1:34" ht="15" customHeight="1" x14ac:dyDescent="0.35">
      <c r="A18">
        <v>7547676</v>
      </c>
      <c r="B18">
        <v>690929</v>
      </c>
      <c r="C18" t="s">
        <v>34</v>
      </c>
      <c r="D18" t="s">
        <v>35</v>
      </c>
      <c r="E18" s="6" t="s">
        <v>34</v>
      </c>
      <c r="F18" t="s">
        <v>117</v>
      </c>
      <c r="G18" t="s">
        <v>37</v>
      </c>
      <c r="H18" t="s">
        <v>38</v>
      </c>
      <c r="I18" t="s">
        <v>118</v>
      </c>
      <c r="J18" t="s">
        <v>40</v>
      </c>
      <c r="K18">
        <v>2</v>
      </c>
      <c r="L18" t="s">
        <v>41</v>
      </c>
      <c r="M18" t="s">
        <v>42</v>
      </c>
      <c r="N18" t="s">
        <v>43</v>
      </c>
      <c r="O18" s="7">
        <v>1</v>
      </c>
      <c r="P18" s="8">
        <v>45273.653090277781</v>
      </c>
      <c r="Q18" s="9">
        <v>45275</v>
      </c>
      <c r="R18" t="s">
        <v>37</v>
      </c>
      <c r="S18" t="s">
        <v>44</v>
      </c>
      <c r="T18" t="s">
        <v>76</v>
      </c>
      <c r="U18" t="s">
        <v>94</v>
      </c>
      <c r="V18" t="s">
        <v>119</v>
      </c>
      <c r="W18">
        <v>14000</v>
      </c>
      <c r="X18" t="s">
        <v>44</v>
      </c>
      <c r="Y18" t="s">
        <v>52</v>
      </c>
      <c r="Z18" t="s">
        <v>49</v>
      </c>
      <c r="AA18" s="10">
        <f>IF(O18&lt;=1,7,7+0.8*ROUNDUP(O18-1,0))</f>
        <v>7</v>
      </c>
      <c r="AB18" s="11">
        <v>0</v>
      </c>
      <c r="AC18" s="11">
        <v>0</v>
      </c>
      <c r="AD18" s="11">
        <v>0</v>
      </c>
      <c r="AE18" s="11">
        <v>0</v>
      </c>
      <c r="AF18" s="11">
        <f t="shared" si="0"/>
        <v>0.42</v>
      </c>
      <c r="AG18" s="11">
        <f t="shared" si="1"/>
        <v>7.42</v>
      </c>
      <c r="AH18" t="s">
        <v>44</v>
      </c>
    </row>
    <row r="19" spans="1:34" ht="15" customHeight="1" x14ac:dyDescent="0.35">
      <c r="A19">
        <v>7547676</v>
      </c>
      <c r="B19">
        <v>690929</v>
      </c>
      <c r="C19" t="s">
        <v>34</v>
      </c>
      <c r="D19" t="s">
        <v>35</v>
      </c>
      <c r="E19" s="6" t="s">
        <v>34</v>
      </c>
      <c r="F19" t="s">
        <v>120</v>
      </c>
      <c r="G19" t="s">
        <v>37</v>
      </c>
      <c r="H19" t="s">
        <v>38</v>
      </c>
      <c r="I19" t="s">
        <v>121</v>
      </c>
      <c r="J19" t="s">
        <v>40</v>
      </c>
      <c r="K19">
        <v>2</v>
      </c>
      <c r="L19" t="s">
        <v>41</v>
      </c>
      <c r="M19" t="s">
        <v>42</v>
      </c>
      <c r="N19" t="s">
        <v>43</v>
      </c>
      <c r="O19" s="7">
        <v>2</v>
      </c>
      <c r="P19" s="8">
        <v>45274.676655092589</v>
      </c>
      <c r="Q19" s="9">
        <v>45275</v>
      </c>
      <c r="R19" t="s">
        <v>37</v>
      </c>
      <c r="S19" t="s">
        <v>44</v>
      </c>
      <c r="T19" t="s">
        <v>45</v>
      </c>
      <c r="U19" t="s">
        <v>115</v>
      </c>
      <c r="V19" t="s">
        <v>122</v>
      </c>
      <c r="W19">
        <v>18300</v>
      </c>
      <c r="X19" t="s">
        <v>44</v>
      </c>
      <c r="Y19" t="s">
        <v>123</v>
      </c>
      <c r="Z19" t="s">
        <v>49</v>
      </c>
      <c r="AA19" s="10">
        <f>IF(O19&lt;=1,7,7+0.8*ROUNDUP(O19-1,0))</f>
        <v>7.8</v>
      </c>
      <c r="AB19" s="11">
        <v>0</v>
      </c>
      <c r="AC19" s="11">
        <v>0</v>
      </c>
      <c r="AD19" s="11">
        <v>0</v>
      </c>
      <c r="AE19" s="11">
        <v>0</v>
      </c>
      <c r="AF19" s="11">
        <f t="shared" si="0"/>
        <v>0.46799999999999997</v>
      </c>
      <c r="AG19" s="11">
        <f t="shared" si="1"/>
        <v>8.2680000000000007</v>
      </c>
      <c r="AH19" t="s">
        <v>44</v>
      </c>
    </row>
    <row r="20" spans="1:34" ht="15" customHeight="1" x14ac:dyDescent="0.35">
      <c r="A20">
        <v>7547676</v>
      </c>
      <c r="B20">
        <v>690929</v>
      </c>
      <c r="C20" t="s">
        <v>34</v>
      </c>
      <c r="D20" t="s">
        <v>35</v>
      </c>
      <c r="E20" s="6" t="s">
        <v>34</v>
      </c>
      <c r="F20" t="s">
        <v>124</v>
      </c>
      <c r="G20" t="s">
        <v>37</v>
      </c>
      <c r="H20" t="s">
        <v>38</v>
      </c>
      <c r="I20" t="s">
        <v>125</v>
      </c>
      <c r="J20" t="s">
        <v>40</v>
      </c>
      <c r="K20">
        <v>2</v>
      </c>
      <c r="L20" t="s">
        <v>41</v>
      </c>
      <c r="M20" t="s">
        <v>42</v>
      </c>
      <c r="N20" t="s">
        <v>43</v>
      </c>
      <c r="O20" s="7">
        <v>1</v>
      </c>
      <c r="P20" s="8">
        <v>45273.775775462964</v>
      </c>
      <c r="Q20" s="9">
        <v>45275</v>
      </c>
      <c r="R20" t="s">
        <v>37</v>
      </c>
      <c r="S20" t="s">
        <v>44</v>
      </c>
      <c r="T20" t="s">
        <v>76</v>
      </c>
      <c r="U20" t="s">
        <v>68</v>
      </c>
      <c r="V20" t="s">
        <v>126</v>
      </c>
      <c r="W20">
        <v>52100</v>
      </c>
      <c r="X20" t="s">
        <v>44</v>
      </c>
      <c r="Y20" t="s">
        <v>127</v>
      </c>
      <c r="Z20" t="s">
        <v>49</v>
      </c>
      <c r="AA20" s="10">
        <f>IF(O20&lt;=1,7,7+0.8*ROUNDUP(O20-1,0))</f>
        <v>7</v>
      </c>
      <c r="AB20" s="11">
        <v>0</v>
      </c>
      <c r="AC20" s="11">
        <v>0</v>
      </c>
      <c r="AD20" s="11">
        <v>0</v>
      </c>
      <c r="AE20" s="11">
        <v>0</v>
      </c>
      <c r="AF20" s="11">
        <f t="shared" si="0"/>
        <v>0.42</v>
      </c>
      <c r="AG20" s="11">
        <f t="shared" si="1"/>
        <v>7.42</v>
      </c>
      <c r="AH20" t="s">
        <v>44</v>
      </c>
    </row>
    <row r="21" spans="1:34" ht="15" customHeight="1" x14ac:dyDescent="0.35">
      <c r="A21">
        <v>7547676</v>
      </c>
      <c r="B21">
        <v>690929</v>
      </c>
      <c r="C21" t="s">
        <v>34</v>
      </c>
      <c r="D21" t="s">
        <v>35</v>
      </c>
      <c r="E21" s="6" t="s">
        <v>34</v>
      </c>
      <c r="F21" t="s">
        <v>128</v>
      </c>
      <c r="G21" t="s">
        <v>37</v>
      </c>
      <c r="H21" t="s">
        <v>38</v>
      </c>
      <c r="I21" t="s">
        <v>129</v>
      </c>
      <c r="J21" t="s">
        <v>40</v>
      </c>
      <c r="K21">
        <v>2</v>
      </c>
      <c r="L21" t="s">
        <v>41</v>
      </c>
      <c r="M21" t="s">
        <v>42</v>
      </c>
      <c r="N21" t="s">
        <v>43</v>
      </c>
      <c r="O21" s="7">
        <v>1</v>
      </c>
      <c r="P21" s="8">
        <v>45273.775775462964</v>
      </c>
      <c r="Q21" s="9">
        <v>45275</v>
      </c>
      <c r="R21" t="s">
        <v>37</v>
      </c>
      <c r="S21" t="s">
        <v>44</v>
      </c>
      <c r="T21" t="s">
        <v>76</v>
      </c>
      <c r="U21" t="s">
        <v>68</v>
      </c>
      <c r="V21" t="s">
        <v>130</v>
      </c>
      <c r="W21">
        <v>42200</v>
      </c>
      <c r="X21" t="s">
        <v>44</v>
      </c>
      <c r="Y21" t="s">
        <v>131</v>
      </c>
      <c r="Z21" t="s">
        <v>49</v>
      </c>
      <c r="AA21" s="10">
        <f>IF(O21&lt;=1,7,7+0.8*ROUNDUP(O21-1,0))</f>
        <v>7</v>
      </c>
      <c r="AB21" s="11">
        <v>0</v>
      </c>
      <c r="AC21" s="11">
        <v>0</v>
      </c>
      <c r="AD21" s="11">
        <v>0</v>
      </c>
      <c r="AE21" s="11">
        <v>0</v>
      </c>
      <c r="AF21" s="11">
        <f t="shared" si="0"/>
        <v>0.42</v>
      </c>
      <c r="AG21" s="11">
        <f t="shared" si="1"/>
        <v>7.42</v>
      </c>
      <c r="AH21" t="s">
        <v>44</v>
      </c>
    </row>
    <row r="22" spans="1:34" ht="15" customHeight="1" x14ac:dyDescent="0.35">
      <c r="A22">
        <v>7547676</v>
      </c>
      <c r="B22">
        <v>690929</v>
      </c>
      <c r="C22" t="s">
        <v>34</v>
      </c>
      <c r="D22" t="s">
        <v>35</v>
      </c>
      <c r="E22" s="6" t="s">
        <v>34</v>
      </c>
      <c r="F22" t="s">
        <v>132</v>
      </c>
      <c r="G22" t="s">
        <v>37</v>
      </c>
      <c r="H22" t="s">
        <v>38</v>
      </c>
      <c r="I22" t="s">
        <v>133</v>
      </c>
      <c r="J22" t="s">
        <v>40</v>
      </c>
      <c r="K22">
        <v>2</v>
      </c>
      <c r="L22" t="s">
        <v>41</v>
      </c>
      <c r="M22" t="s">
        <v>42</v>
      </c>
      <c r="N22" t="s">
        <v>43</v>
      </c>
      <c r="O22" s="7">
        <v>1</v>
      </c>
      <c r="P22" s="8">
        <v>45274.73201388889</v>
      </c>
      <c r="Q22" s="9">
        <v>45275</v>
      </c>
      <c r="R22" t="s">
        <v>37</v>
      </c>
      <c r="S22" t="s">
        <v>44</v>
      </c>
      <c r="T22" t="s">
        <v>45</v>
      </c>
      <c r="U22" t="s">
        <v>77</v>
      </c>
      <c r="V22" t="s">
        <v>134</v>
      </c>
      <c r="W22">
        <v>28000</v>
      </c>
      <c r="X22" t="s">
        <v>44</v>
      </c>
      <c r="Y22" t="s">
        <v>45</v>
      </c>
      <c r="Z22" t="s">
        <v>49</v>
      </c>
      <c r="AA22" s="10">
        <f>IF(O22&lt;=1,7,7+0.8*ROUNDUP(O22-1,0))</f>
        <v>7</v>
      </c>
      <c r="AB22" s="11">
        <v>0</v>
      </c>
      <c r="AC22" s="11">
        <v>0</v>
      </c>
      <c r="AD22" s="11">
        <v>0</v>
      </c>
      <c r="AE22" s="11">
        <v>0</v>
      </c>
      <c r="AF22" s="11">
        <f t="shared" si="0"/>
        <v>0.42</v>
      </c>
      <c r="AG22" s="11">
        <f t="shared" si="1"/>
        <v>7.42</v>
      </c>
      <c r="AH22" t="s">
        <v>44</v>
      </c>
    </row>
    <row r="23" spans="1:34" ht="15" customHeight="1" x14ac:dyDescent="0.35">
      <c r="A23">
        <v>7547676</v>
      </c>
      <c r="B23">
        <v>690929</v>
      </c>
      <c r="C23" t="s">
        <v>34</v>
      </c>
      <c r="D23" t="s">
        <v>35</v>
      </c>
      <c r="E23" s="6" t="s">
        <v>34</v>
      </c>
      <c r="F23" t="s">
        <v>135</v>
      </c>
      <c r="G23" t="s">
        <v>37</v>
      </c>
      <c r="H23" t="s">
        <v>38</v>
      </c>
      <c r="I23" t="s">
        <v>136</v>
      </c>
      <c r="J23" t="s">
        <v>40</v>
      </c>
      <c r="K23">
        <v>2</v>
      </c>
      <c r="L23" t="s">
        <v>41</v>
      </c>
      <c r="M23" t="s">
        <v>42</v>
      </c>
      <c r="N23" t="s">
        <v>43</v>
      </c>
      <c r="O23" s="7">
        <v>2</v>
      </c>
      <c r="P23" s="8">
        <v>45273.775775462964</v>
      </c>
      <c r="Q23" s="9">
        <v>45275</v>
      </c>
      <c r="R23" t="s">
        <v>37</v>
      </c>
      <c r="S23" t="s">
        <v>44</v>
      </c>
      <c r="T23" t="s">
        <v>76</v>
      </c>
      <c r="U23" t="s">
        <v>94</v>
      </c>
      <c r="V23" t="s">
        <v>137</v>
      </c>
      <c r="W23">
        <v>11700</v>
      </c>
      <c r="X23" t="s">
        <v>44</v>
      </c>
      <c r="Y23" t="s">
        <v>138</v>
      </c>
      <c r="Z23" t="s">
        <v>49</v>
      </c>
      <c r="AA23" s="10">
        <f>IF(O23&lt;=1,7,7+0.8*ROUNDUP(O23-1,0))</f>
        <v>7.8</v>
      </c>
      <c r="AB23" s="11">
        <v>0</v>
      </c>
      <c r="AC23" s="11">
        <v>0</v>
      </c>
      <c r="AD23" s="11">
        <v>0</v>
      </c>
      <c r="AE23" s="11">
        <v>0</v>
      </c>
      <c r="AF23" s="11">
        <f t="shared" si="0"/>
        <v>0.46799999999999997</v>
      </c>
      <c r="AG23" s="11">
        <f t="shared" si="1"/>
        <v>8.2680000000000007</v>
      </c>
      <c r="AH23" t="s">
        <v>44</v>
      </c>
    </row>
    <row r="24" spans="1:34" ht="15" customHeight="1" x14ac:dyDescent="0.35">
      <c r="A24">
        <v>7547676</v>
      </c>
      <c r="B24">
        <v>690929</v>
      </c>
      <c r="C24" t="s">
        <v>34</v>
      </c>
      <c r="D24" t="s">
        <v>35</v>
      </c>
      <c r="E24" s="6" t="s">
        <v>34</v>
      </c>
      <c r="F24" t="s">
        <v>139</v>
      </c>
      <c r="G24" t="s">
        <v>37</v>
      </c>
      <c r="H24" t="s">
        <v>38</v>
      </c>
      <c r="I24" t="s">
        <v>140</v>
      </c>
      <c r="J24" t="s">
        <v>40</v>
      </c>
      <c r="K24">
        <v>2</v>
      </c>
      <c r="L24" t="s">
        <v>41</v>
      </c>
      <c r="M24" t="s">
        <v>42</v>
      </c>
      <c r="N24" t="s">
        <v>43</v>
      </c>
      <c r="O24" s="7">
        <v>1</v>
      </c>
      <c r="P24" s="8">
        <v>45273.775775462964</v>
      </c>
      <c r="Q24" s="9">
        <v>45275</v>
      </c>
      <c r="R24" t="s">
        <v>37</v>
      </c>
      <c r="S24" t="s">
        <v>44</v>
      </c>
      <c r="T24" t="s">
        <v>76</v>
      </c>
      <c r="U24" t="s">
        <v>68</v>
      </c>
      <c r="V24" t="s">
        <v>141</v>
      </c>
      <c r="W24">
        <v>43000</v>
      </c>
      <c r="X24" t="s">
        <v>44</v>
      </c>
      <c r="Y24" t="s">
        <v>142</v>
      </c>
      <c r="Z24" t="s">
        <v>49</v>
      </c>
      <c r="AA24" s="10">
        <f>IF(O24&lt;=1,7,7+0.8*ROUNDUP(O24-1,0))</f>
        <v>7</v>
      </c>
      <c r="AB24" s="11">
        <v>0</v>
      </c>
      <c r="AC24" s="11">
        <v>0</v>
      </c>
      <c r="AD24" s="11">
        <v>0</v>
      </c>
      <c r="AE24" s="11">
        <v>0</v>
      </c>
      <c r="AF24" s="11">
        <f t="shared" si="0"/>
        <v>0.42</v>
      </c>
      <c r="AG24" s="11">
        <f t="shared" si="1"/>
        <v>7.42</v>
      </c>
      <c r="AH24" t="s">
        <v>44</v>
      </c>
    </row>
    <row r="25" spans="1:34" ht="15" customHeight="1" x14ac:dyDescent="0.35">
      <c r="A25">
        <v>7547676</v>
      </c>
      <c r="B25">
        <v>690929</v>
      </c>
      <c r="C25" t="s">
        <v>34</v>
      </c>
      <c r="D25" t="s">
        <v>35</v>
      </c>
      <c r="E25" s="6" t="s">
        <v>34</v>
      </c>
      <c r="F25" t="s">
        <v>143</v>
      </c>
      <c r="G25" t="s">
        <v>37</v>
      </c>
      <c r="H25" t="s">
        <v>38</v>
      </c>
      <c r="I25" t="s">
        <v>144</v>
      </c>
      <c r="J25" t="s">
        <v>40</v>
      </c>
      <c r="K25">
        <v>2</v>
      </c>
      <c r="L25" t="s">
        <v>41</v>
      </c>
      <c r="M25" t="s">
        <v>42</v>
      </c>
      <c r="N25" t="s">
        <v>43</v>
      </c>
      <c r="O25" s="7">
        <v>2</v>
      </c>
      <c r="P25" s="8">
        <v>45274.684062499997</v>
      </c>
      <c r="Q25" s="9">
        <v>45275</v>
      </c>
      <c r="R25" t="s">
        <v>37</v>
      </c>
      <c r="S25" t="s">
        <v>44</v>
      </c>
      <c r="T25" t="s">
        <v>45</v>
      </c>
      <c r="U25" t="s">
        <v>115</v>
      </c>
      <c r="V25" t="s">
        <v>145</v>
      </c>
      <c r="W25">
        <v>16300</v>
      </c>
      <c r="X25" t="s">
        <v>44</v>
      </c>
      <c r="Y25" t="s">
        <v>76</v>
      </c>
      <c r="Z25" t="s">
        <v>49</v>
      </c>
      <c r="AA25" s="10">
        <f>IF(O25&lt;=1,7,7+0.8*ROUNDUP(O25-1,0))</f>
        <v>7.8</v>
      </c>
      <c r="AB25" s="11">
        <v>0</v>
      </c>
      <c r="AC25" s="11">
        <v>0</v>
      </c>
      <c r="AD25" s="11">
        <v>0</v>
      </c>
      <c r="AE25" s="11">
        <v>0</v>
      </c>
      <c r="AF25" s="11">
        <f t="shared" si="0"/>
        <v>0.46799999999999997</v>
      </c>
      <c r="AG25" s="11">
        <f t="shared" si="1"/>
        <v>8.2680000000000007</v>
      </c>
      <c r="AH25" t="s">
        <v>44</v>
      </c>
    </row>
    <row r="26" spans="1:34" ht="15" customHeight="1" x14ac:dyDescent="0.35">
      <c r="A26">
        <v>7547676</v>
      </c>
      <c r="B26">
        <v>690929</v>
      </c>
      <c r="C26" t="s">
        <v>34</v>
      </c>
      <c r="D26" t="s">
        <v>35</v>
      </c>
      <c r="E26" s="6" t="s">
        <v>34</v>
      </c>
      <c r="F26" t="s">
        <v>146</v>
      </c>
      <c r="G26" t="s">
        <v>37</v>
      </c>
      <c r="H26" t="s">
        <v>38</v>
      </c>
      <c r="I26" t="s">
        <v>147</v>
      </c>
      <c r="J26" t="s">
        <v>40</v>
      </c>
      <c r="K26">
        <v>2</v>
      </c>
      <c r="L26" t="s">
        <v>41</v>
      </c>
      <c r="M26" t="s">
        <v>42</v>
      </c>
      <c r="N26" t="s">
        <v>43</v>
      </c>
      <c r="O26" s="7">
        <v>6</v>
      </c>
      <c r="P26" s="8">
        <v>45273.683252314811</v>
      </c>
      <c r="Q26" s="9">
        <v>45276</v>
      </c>
      <c r="R26" t="s">
        <v>37</v>
      </c>
      <c r="S26" t="s">
        <v>44</v>
      </c>
      <c r="T26" t="s">
        <v>45</v>
      </c>
      <c r="U26" t="s">
        <v>77</v>
      </c>
      <c r="V26" t="s">
        <v>148</v>
      </c>
      <c r="W26">
        <v>39100</v>
      </c>
      <c r="X26" t="s">
        <v>44</v>
      </c>
      <c r="Y26" t="s">
        <v>149</v>
      </c>
      <c r="Z26" t="s">
        <v>49</v>
      </c>
      <c r="AA26" s="10">
        <f>IF(O26&lt;=1,7,7+0.8*ROUNDUP(O26-1,0))</f>
        <v>11</v>
      </c>
      <c r="AB26" s="11">
        <v>0</v>
      </c>
      <c r="AC26" s="11">
        <v>0</v>
      </c>
      <c r="AD26" s="11">
        <v>0</v>
      </c>
      <c r="AE26" s="11">
        <v>0</v>
      </c>
      <c r="AF26" s="11">
        <f t="shared" si="0"/>
        <v>0.65999999999999992</v>
      </c>
      <c r="AG26" s="11">
        <f t="shared" si="1"/>
        <v>11.66</v>
      </c>
      <c r="AH26" t="s">
        <v>44</v>
      </c>
    </row>
    <row r="27" spans="1:34" ht="15" customHeight="1" x14ac:dyDescent="0.35">
      <c r="A27">
        <v>7547676</v>
      </c>
      <c r="B27">
        <v>690929</v>
      </c>
      <c r="C27" t="s">
        <v>34</v>
      </c>
      <c r="D27" t="s">
        <v>35</v>
      </c>
      <c r="E27" s="6" t="s">
        <v>34</v>
      </c>
      <c r="F27" t="s">
        <v>150</v>
      </c>
      <c r="G27" t="s">
        <v>37</v>
      </c>
      <c r="H27" t="s">
        <v>38</v>
      </c>
      <c r="I27" t="s">
        <v>147</v>
      </c>
      <c r="J27" t="s">
        <v>40</v>
      </c>
      <c r="K27">
        <v>2</v>
      </c>
      <c r="L27" t="s">
        <v>41</v>
      </c>
      <c r="M27" t="s">
        <v>42</v>
      </c>
      <c r="N27" t="s">
        <v>43</v>
      </c>
      <c r="O27" s="7">
        <v>5</v>
      </c>
      <c r="P27" s="8">
        <v>45273.683252314811</v>
      </c>
      <c r="Q27" s="9">
        <v>45276</v>
      </c>
      <c r="R27" t="s">
        <v>37</v>
      </c>
      <c r="S27" t="s">
        <v>44</v>
      </c>
      <c r="T27" t="s">
        <v>45</v>
      </c>
      <c r="U27" t="s">
        <v>77</v>
      </c>
      <c r="V27" t="s">
        <v>148</v>
      </c>
      <c r="W27">
        <v>39100</v>
      </c>
      <c r="X27" t="s">
        <v>44</v>
      </c>
      <c r="Y27" t="s">
        <v>149</v>
      </c>
      <c r="Z27" t="s">
        <v>49</v>
      </c>
      <c r="AA27" s="10">
        <f>IF(O27&lt;=1,7,7+0.8*ROUNDUP(O27-1,0))</f>
        <v>10.199999999999999</v>
      </c>
      <c r="AB27" s="11">
        <v>0</v>
      </c>
      <c r="AC27" s="11">
        <v>0</v>
      </c>
      <c r="AD27" s="11">
        <v>0</v>
      </c>
      <c r="AE27" s="11">
        <v>0</v>
      </c>
      <c r="AF27" s="11">
        <f t="shared" si="0"/>
        <v>0.61199999999999999</v>
      </c>
      <c r="AG27" s="11">
        <f t="shared" si="1"/>
        <v>10.811999999999999</v>
      </c>
      <c r="AH27" t="s">
        <v>44</v>
      </c>
    </row>
    <row r="28" spans="1:34" ht="15" customHeight="1" x14ac:dyDescent="0.35">
      <c r="A28">
        <v>7547676</v>
      </c>
      <c r="B28">
        <v>690929</v>
      </c>
      <c r="C28" t="s">
        <v>34</v>
      </c>
      <c r="D28" t="s">
        <v>35</v>
      </c>
      <c r="E28" s="6" t="s">
        <v>34</v>
      </c>
      <c r="F28" t="s">
        <v>151</v>
      </c>
      <c r="G28" t="s">
        <v>37</v>
      </c>
      <c r="H28" t="s">
        <v>38</v>
      </c>
      <c r="I28" t="s">
        <v>152</v>
      </c>
      <c r="J28" t="s">
        <v>40</v>
      </c>
      <c r="K28">
        <v>2</v>
      </c>
      <c r="L28" t="s">
        <v>41</v>
      </c>
      <c r="M28" t="s">
        <v>42</v>
      </c>
      <c r="N28" t="s">
        <v>43</v>
      </c>
      <c r="O28" s="7">
        <v>1</v>
      </c>
      <c r="P28" s="8">
        <v>45274.664733796293</v>
      </c>
      <c r="Q28" s="9">
        <v>45276</v>
      </c>
      <c r="R28" t="s">
        <v>37</v>
      </c>
      <c r="S28" t="s">
        <v>44</v>
      </c>
      <c r="T28" t="s">
        <v>52</v>
      </c>
      <c r="U28" t="s">
        <v>68</v>
      </c>
      <c r="V28" t="s">
        <v>153</v>
      </c>
      <c r="W28">
        <v>42500</v>
      </c>
      <c r="X28" t="s">
        <v>44</v>
      </c>
      <c r="Y28" t="s">
        <v>104</v>
      </c>
      <c r="Z28" t="s">
        <v>49</v>
      </c>
      <c r="AA28" s="10">
        <f>IF(O28&lt;=1,7,7+0.8*ROUNDUP(O28-1,0))</f>
        <v>7</v>
      </c>
      <c r="AB28" s="11">
        <v>0</v>
      </c>
      <c r="AC28" s="11">
        <v>0</v>
      </c>
      <c r="AD28" s="11">
        <v>0</v>
      </c>
      <c r="AE28" s="11">
        <v>0</v>
      </c>
      <c r="AF28" s="11">
        <f t="shared" si="0"/>
        <v>0.42</v>
      </c>
      <c r="AG28" s="11">
        <f t="shared" si="1"/>
        <v>7.42</v>
      </c>
      <c r="AH28" t="s">
        <v>44</v>
      </c>
    </row>
    <row r="29" spans="1:34" ht="15" customHeight="1" x14ac:dyDescent="0.35">
      <c r="A29">
        <v>7547676</v>
      </c>
      <c r="B29">
        <v>690929</v>
      </c>
      <c r="C29" t="s">
        <v>34</v>
      </c>
      <c r="D29" t="s">
        <v>35</v>
      </c>
      <c r="E29" s="6" t="s">
        <v>34</v>
      </c>
      <c r="F29" t="s">
        <v>154</v>
      </c>
      <c r="G29" t="s">
        <v>37</v>
      </c>
      <c r="H29" t="s">
        <v>38</v>
      </c>
      <c r="I29" t="s">
        <v>155</v>
      </c>
      <c r="J29" t="s">
        <v>40</v>
      </c>
      <c r="K29">
        <v>2</v>
      </c>
      <c r="L29" t="s">
        <v>41</v>
      </c>
      <c r="M29" t="s">
        <v>42</v>
      </c>
      <c r="N29" t="s">
        <v>43</v>
      </c>
      <c r="O29" s="7">
        <v>1</v>
      </c>
      <c r="P29" s="8">
        <v>45274.514803240738</v>
      </c>
      <c r="Q29" s="9">
        <v>45276</v>
      </c>
      <c r="R29" t="s">
        <v>37</v>
      </c>
      <c r="S29" t="s">
        <v>44</v>
      </c>
      <c r="T29" t="s">
        <v>52</v>
      </c>
      <c r="U29" t="s">
        <v>63</v>
      </c>
      <c r="V29" t="s">
        <v>156</v>
      </c>
      <c r="W29">
        <v>76300</v>
      </c>
      <c r="X29" t="s">
        <v>44</v>
      </c>
      <c r="Y29" t="s">
        <v>65</v>
      </c>
      <c r="Z29" t="s">
        <v>49</v>
      </c>
      <c r="AA29" s="10">
        <f>IF(O29&lt;=1,7,7+0.8*ROUNDUP(O29-1,0))</f>
        <v>7</v>
      </c>
      <c r="AB29" s="11">
        <v>0</v>
      </c>
      <c r="AC29" s="11">
        <v>0</v>
      </c>
      <c r="AD29" s="11">
        <v>0</v>
      </c>
      <c r="AE29" s="11">
        <v>0</v>
      </c>
      <c r="AF29" s="11">
        <f t="shared" si="0"/>
        <v>0.42</v>
      </c>
      <c r="AG29" s="11">
        <f t="shared" si="1"/>
        <v>7.42</v>
      </c>
      <c r="AH29" t="s">
        <v>44</v>
      </c>
    </row>
    <row r="30" spans="1:34" ht="15" customHeight="1" x14ac:dyDescent="0.35">
      <c r="A30">
        <v>7547676</v>
      </c>
      <c r="B30">
        <v>690929</v>
      </c>
      <c r="C30" t="s">
        <v>34</v>
      </c>
      <c r="D30" t="s">
        <v>35</v>
      </c>
      <c r="E30" s="6" t="s">
        <v>34</v>
      </c>
      <c r="F30" t="s">
        <v>157</v>
      </c>
      <c r="G30" t="s">
        <v>37</v>
      </c>
      <c r="H30" t="s">
        <v>38</v>
      </c>
      <c r="I30" t="s">
        <v>158</v>
      </c>
      <c r="J30" t="s">
        <v>40</v>
      </c>
      <c r="K30">
        <v>2</v>
      </c>
      <c r="L30" t="s">
        <v>41</v>
      </c>
      <c r="M30" t="s">
        <v>42</v>
      </c>
      <c r="N30" t="s">
        <v>43</v>
      </c>
      <c r="O30" s="7">
        <v>1</v>
      </c>
      <c r="P30" s="8">
        <v>45274.640347222223</v>
      </c>
      <c r="Q30" s="9">
        <v>45276</v>
      </c>
      <c r="R30" t="s">
        <v>37</v>
      </c>
      <c r="S30" t="s">
        <v>44</v>
      </c>
      <c r="T30" t="s">
        <v>52</v>
      </c>
      <c r="U30" t="s">
        <v>159</v>
      </c>
      <c r="V30" t="s">
        <v>160</v>
      </c>
      <c r="W30">
        <v>31550</v>
      </c>
      <c r="X30" t="s">
        <v>44</v>
      </c>
      <c r="Y30" t="s">
        <v>161</v>
      </c>
      <c r="Z30" t="s">
        <v>49</v>
      </c>
      <c r="AA30" s="10">
        <f>IF(O30&lt;=1,7,7+0.8*ROUNDUP(O30-1,0))</f>
        <v>7</v>
      </c>
      <c r="AB30" s="11">
        <v>0</v>
      </c>
      <c r="AC30" s="11">
        <v>0</v>
      </c>
      <c r="AD30" s="11">
        <v>0</v>
      </c>
      <c r="AE30" s="11">
        <v>0</v>
      </c>
      <c r="AF30" s="11">
        <f t="shared" si="0"/>
        <v>0.42</v>
      </c>
      <c r="AG30" s="11">
        <f t="shared" si="1"/>
        <v>7.42</v>
      </c>
      <c r="AH30" t="s">
        <v>44</v>
      </c>
    </row>
    <row r="31" spans="1:34" ht="15" customHeight="1" x14ac:dyDescent="0.35">
      <c r="A31">
        <v>7547676</v>
      </c>
      <c r="B31">
        <v>690929</v>
      </c>
      <c r="C31" t="s">
        <v>34</v>
      </c>
      <c r="D31" t="s">
        <v>35</v>
      </c>
      <c r="E31" s="6" t="s">
        <v>34</v>
      </c>
      <c r="F31" t="s">
        <v>162</v>
      </c>
      <c r="G31" t="s">
        <v>37</v>
      </c>
      <c r="H31" t="s">
        <v>38</v>
      </c>
      <c r="I31" t="s">
        <v>163</v>
      </c>
      <c r="J31" t="s">
        <v>40</v>
      </c>
      <c r="K31">
        <v>2</v>
      </c>
      <c r="L31" t="s">
        <v>41</v>
      </c>
      <c r="M31" t="s">
        <v>42</v>
      </c>
      <c r="N31" t="s">
        <v>43</v>
      </c>
      <c r="O31" s="7">
        <v>1</v>
      </c>
      <c r="P31" s="8">
        <v>45273.70040509259</v>
      </c>
      <c r="Q31" s="9">
        <v>45276</v>
      </c>
      <c r="R31" t="s">
        <v>37</v>
      </c>
      <c r="S31" t="s">
        <v>44</v>
      </c>
      <c r="T31" t="s">
        <v>76</v>
      </c>
      <c r="U31" t="s">
        <v>68</v>
      </c>
      <c r="V31" t="s">
        <v>164</v>
      </c>
      <c r="W31">
        <v>47000</v>
      </c>
      <c r="X31" t="s">
        <v>44</v>
      </c>
      <c r="Y31" t="s">
        <v>165</v>
      </c>
      <c r="Z31" t="s">
        <v>49</v>
      </c>
      <c r="AA31" s="10">
        <f>IF(O31&lt;=1,7,7+0.8*ROUNDUP(O31-1,0))</f>
        <v>7</v>
      </c>
      <c r="AB31" s="11">
        <v>0</v>
      </c>
      <c r="AC31" s="11">
        <v>0</v>
      </c>
      <c r="AD31" s="11">
        <v>0</v>
      </c>
      <c r="AE31" s="11">
        <v>0</v>
      </c>
      <c r="AF31" s="11">
        <f t="shared" si="0"/>
        <v>0.42</v>
      </c>
      <c r="AG31" s="11">
        <f t="shared" si="1"/>
        <v>7.42</v>
      </c>
      <c r="AH31" t="s">
        <v>44</v>
      </c>
    </row>
    <row r="32" spans="1:34" ht="15" customHeight="1" x14ac:dyDescent="0.35">
      <c r="A32">
        <v>7547676</v>
      </c>
      <c r="B32">
        <v>690929</v>
      </c>
      <c r="C32" t="s">
        <v>34</v>
      </c>
      <c r="D32" t="s">
        <v>35</v>
      </c>
      <c r="E32" s="6" t="s">
        <v>34</v>
      </c>
      <c r="F32" t="s">
        <v>166</v>
      </c>
      <c r="G32" t="s">
        <v>37</v>
      </c>
      <c r="H32" t="s">
        <v>38</v>
      </c>
      <c r="I32" t="s">
        <v>167</v>
      </c>
      <c r="J32" t="s">
        <v>40</v>
      </c>
      <c r="K32">
        <v>2</v>
      </c>
      <c r="L32" t="s">
        <v>41</v>
      </c>
      <c r="M32" t="s">
        <v>42</v>
      </c>
      <c r="N32" t="s">
        <v>43</v>
      </c>
      <c r="O32" s="7">
        <v>1</v>
      </c>
      <c r="P32" s="8">
        <v>45274.553310185183</v>
      </c>
      <c r="Q32" s="9">
        <v>45276</v>
      </c>
      <c r="R32" t="s">
        <v>37</v>
      </c>
      <c r="S32" t="s">
        <v>44</v>
      </c>
      <c r="T32" t="s">
        <v>52</v>
      </c>
      <c r="U32" t="s">
        <v>115</v>
      </c>
      <c r="V32" t="s">
        <v>168</v>
      </c>
      <c r="W32">
        <v>18500</v>
      </c>
      <c r="X32" t="s">
        <v>44</v>
      </c>
      <c r="Y32" t="s">
        <v>169</v>
      </c>
      <c r="Z32" t="s">
        <v>49</v>
      </c>
      <c r="AA32" s="10">
        <f>IF(O32&lt;=1,7,7+0.8*ROUNDUP(O32-1,0))</f>
        <v>7</v>
      </c>
      <c r="AB32" s="11">
        <v>0</v>
      </c>
      <c r="AC32" s="11">
        <v>0</v>
      </c>
      <c r="AD32" s="11">
        <v>0</v>
      </c>
      <c r="AE32" s="11">
        <v>0</v>
      </c>
      <c r="AF32" s="11">
        <f t="shared" si="0"/>
        <v>0.42</v>
      </c>
      <c r="AG32" s="11">
        <f t="shared" si="1"/>
        <v>7.42</v>
      </c>
      <c r="AH32" t="s">
        <v>44</v>
      </c>
    </row>
    <row r="33" spans="1:34" ht="15" customHeight="1" x14ac:dyDescent="0.35">
      <c r="A33">
        <v>7547676</v>
      </c>
      <c r="B33">
        <v>690929</v>
      </c>
      <c r="C33" t="s">
        <v>34</v>
      </c>
      <c r="D33" t="s">
        <v>35</v>
      </c>
      <c r="E33" s="6" t="s">
        <v>34</v>
      </c>
      <c r="F33" t="s">
        <v>170</v>
      </c>
      <c r="G33" t="s">
        <v>37</v>
      </c>
      <c r="H33" t="s">
        <v>38</v>
      </c>
      <c r="I33" t="s">
        <v>171</v>
      </c>
      <c r="J33" t="s">
        <v>40</v>
      </c>
      <c r="K33">
        <v>2</v>
      </c>
      <c r="L33" t="s">
        <v>41</v>
      </c>
      <c r="M33" t="s">
        <v>42</v>
      </c>
      <c r="N33" t="s">
        <v>43</v>
      </c>
      <c r="O33" s="7">
        <v>1</v>
      </c>
      <c r="P33" s="8">
        <v>45274.600104166668</v>
      </c>
      <c r="Q33" s="9">
        <v>45276</v>
      </c>
      <c r="R33" t="s">
        <v>37</v>
      </c>
      <c r="S33" t="s">
        <v>44</v>
      </c>
      <c r="T33" t="s">
        <v>52</v>
      </c>
      <c r="U33" t="s">
        <v>68</v>
      </c>
      <c r="V33" t="s">
        <v>172</v>
      </c>
      <c r="W33">
        <v>40000</v>
      </c>
      <c r="X33" t="s">
        <v>44</v>
      </c>
      <c r="Y33" t="s">
        <v>173</v>
      </c>
      <c r="Z33" t="s">
        <v>49</v>
      </c>
      <c r="AA33" s="10">
        <f>IF(O33&lt;=1,7,7+0.8*ROUNDUP(O33-1,0))</f>
        <v>7</v>
      </c>
      <c r="AB33" s="11">
        <v>0</v>
      </c>
      <c r="AC33" s="11">
        <v>0</v>
      </c>
      <c r="AD33" s="11">
        <v>0</v>
      </c>
      <c r="AE33" s="11">
        <v>0</v>
      </c>
      <c r="AF33" s="11">
        <f t="shared" si="0"/>
        <v>0.42</v>
      </c>
      <c r="AG33" s="11">
        <f t="shared" si="1"/>
        <v>7.42</v>
      </c>
      <c r="AH33" t="s">
        <v>44</v>
      </c>
    </row>
    <row r="34" spans="1:34" ht="15" customHeight="1" x14ac:dyDescent="0.35">
      <c r="A34">
        <v>7547676</v>
      </c>
      <c r="B34">
        <v>690929</v>
      </c>
      <c r="C34" t="s">
        <v>34</v>
      </c>
      <c r="D34" t="s">
        <v>35</v>
      </c>
      <c r="E34" s="6" t="s">
        <v>34</v>
      </c>
      <c r="F34" t="s">
        <v>174</v>
      </c>
      <c r="G34" t="s">
        <v>37</v>
      </c>
      <c r="H34" t="s">
        <v>38</v>
      </c>
      <c r="I34" t="s">
        <v>175</v>
      </c>
      <c r="J34" t="s">
        <v>40</v>
      </c>
      <c r="K34">
        <v>2</v>
      </c>
      <c r="L34" t="s">
        <v>41</v>
      </c>
      <c r="M34" t="s">
        <v>42</v>
      </c>
      <c r="N34" t="s">
        <v>43</v>
      </c>
      <c r="O34" s="7">
        <v>5</v>
      </c>
      <c r="P34" s="8">
        <v>45274.598425925928</v>
      </c>
      <c r="Q34" s="9">
        <v>45276</v>
      </c>
      <c r="R34" t="s">
        <v>37</v>
      </c>
      <c r="S34" t="s">
        <v>44</v>
      </c>
      <c r="T34" t="s">
        <v>45</v>
      </c>
      <c r="U34" t="s">
        <v>68</v>
      </c>
      <c r="V34" t="s">
        <v>176</v>
      </c>
      <c r="W34">
        <v>53100</v>
      </c>
      <c r="X34" t="s">
        <v>44</v>
      </c>
      <c r="Y34" t="s">
        <v>55</v>
      </c>
      <c r="Z34" t="s">
        <v>49</v>
      </c>
      <c r="AA34" s="10">
        <f>IF(O34&lt;=1,7,7+0.8*ROUNDUP(O34-1,0))</f>
        <v>10.199999999999999</v>
      </c>
      <c r="AB34" s="11">
        <v>0</v>
      </c>
      <c r="AC34" s="11">
        <v>0</v>
      </c>
      <c r="AD34" s="11">
        <v>0</v>
      </c>
      <c r="AE34" s="11">
        <v>0</v>
      </c>
      <c r="AF34" s="11">
        <f t="shared" si="0"/>
        <v>0.61199999999999999</v>
      </c>
      <c r="AG34" s="11">
        <f t="shared" si="1"/>
        <v>10.811999999999999</v>
      </c>
      <c r="AH34" t="s">
        <v>44</v>
      </c>
    </row>
    <row r="35" spans="1:34" ht="15" customHeight="1" x14ac:dyDescent="0.35">
      <c r="A35">
        <v>7547676</v>
      </c>
      <c r="B35">
        <v>690929</v>
      </c>
      <c r="C35" t="s">
        <v>34</v>
      </c>
      <c r="D35" t="s">
        <v>35</v>
      </c>
      <c r="E35" s="6" t="s">
        <v>34</v>
      </c>
      <c r="F35" t="s">
        <v>177</v>
      </c>
      <c r="G35" t="s">
        <v>37</v>
      </c>
      <c r="H35" t="s">
        <v>38</v>
      </c>
      <c r="I35" t="s">
        <v>178</v>
      </c>
      <c r="J35" t="s">
        <v>40</v>
      </c>
      <c r="K35">
        <v>2</v>
      </c>
      <c r="L35" t="s">
        <v>41</v>
      </c>
      <c r="M35" t="s">
        <v>42</v>
      </c>
      <c r="N35" t="s">
        <v>43</v>
      </c>
      <c r="O35" s="7">
        <v>10</v>
      </c>
      <c r="P35" s="8">
        <v>45274.512372685182</v>
      </c>
      <c r="Q35" s="9">
        <v>45276</v>
      </c>
      <c r="R35" t="s">
        <v>37</v>
      </c>
      <c r="S35" t="s">
        <v>44</v>
      </c>
      <c r="T35" t="s">
        <v>45</v>
      </c>
      <c r="U35" t="s">
        <v>68</v>
      </c>
      <c r="V35" t="s">
        <v>179</v>
      </c>
      <c r="W35">
        <v>48050</v>
      </c>
      <c r="X35" t="s">
        <v>44</v>
      </c>
      <c r="Y35" t="s">
        <v>165</v>
      </c>
      <c r="Z35" t="s">
        <v>49</v>
      </c>
      <c r="AA35" s="10">
        <f>IF(O35&lt;=1,7,7+0.8*ROUNDUP(O35-1,0))</f>
        <v>14.2</v>
      </c>
      <c r="AB35" s="11">
        <v>0</v>
      </c>
      <c r="AC35" s="11">
        <v>0</v>
      </c>
      <c r="AD35" s="11">
        <v>0</v>
      </c>
      <c r="AE35" s="11">
        <v>0</v>
      </c>
      <c r="AF35" s="11">
        <f t="shared" si="0"/>
        <v>0.85199999999999998</v>
      </c>
      <c r="AG35" s="11">
        <f t="shared" si="1"/>
        <v>15.052</v>
      </c>
      <c r="AH35" t="s">
        <v>44</v>
      </c>
    </row>
    <row r="36" spans="1:34" ht="15" customHeight="1" x14ac:dyDescent="0.35">
      <c r="A36">
        <v>7547676</v>
      </c>
      <c r="B36">
        <v>690929</v>
      </c>
      <c r="C36" t="s">
        <v>34</v>
      </c>
      <c r="D36" t="s">
        <v>35</v>
      </c>
      <c r="E36" s="6" t="s">
        <v>34</v>
      </c>
      <c r="F36" t="s">
        <v>180</v>
      </c>
      <c r="G36" t="s">
        <v>37</v>
      </c>
      <c r="H36" t="s">
        <v>38</v>
      </c>
      <c r="I36" t="s">
        <v>181</v>
      </c>
      <c r="J36" t="s">
        <v>40</v>
      </c>
      <c r="K36">
        <v>2</v>
      </c>
      <c r="L36" t="s">
        <v>41</v>
      </c>
      <c r="M36" t="s">
        <v>42</v>
      </c>
      <c r="N36" t="s">
        <v>43</v>
      </c>
      <c r="O36" s="7">
        <v>1</v>
      </c>
      <c r="P36" s="8">
        <v>45274.716157407405</v>
      </c>
      <c r="Q36" s="9">
        <v>45276</v>
      </c>
      <c r="R36" t="s">
        <v>37</v>
      </c>
      <c r="S36" t="s">
        <v>44</v>
      </c>
      <c r="T36" t="s">
        <v>52</v>
      </c>
      <c r="U36" t="s">
        <v>115</v>
      </c>
      <c r="V36" t="s">
        <v>182</v>
      </c>
      <c r="W36">
        <v>18300</v>
      </c>
      <c r="X36" t="s">
        <v>44</v>
      </c>
      <c r="Y36" t="s">
        <v>123</v>
      </c>
      <c r="Z36" t="s">
        <v>49</v>
      </c>
      <c r="AA36" s="10">
        <f>IF(O36&lt;=1,7,7+0.8*ROUNDUP(O36-1,0))</f>
        <v>7</v>
      </c>
      <c r="AB36" s="11">
        <v>0</v>
      </c>
      <c r="AC36" s="11">
        <v>0</v>
      </c>
      <c r="AD36" s="11">
        <v>0</v>
      </c>
      <c r="AE36" s="11">
        <v>0</v>
      </c>
      <c r="AF36" s="11">
        <f t="shared" si="0"/>
        <v>0.42</v>
      </c>
      <c r="AG36" s="11">
        <f t="shared" si="1"/>
        <v>7.42</v>
      </c>
      <c r="AH36" t="s">
        <v>44</v>
      </c>
    </row>
    <row r="37" spans="1:34" ht="15" customHeight="1" x14ac:dyDescent="0.35">
      <c r="A37">
        <v>7547676</v>
      </c>
      <c r="B37">
        <v>690929</v>
      </c>
      <c r="C37" t="s">
        <v>34</v>
      </c>
      <c r="D37" t="s">
        <v>35</v>
      </c>
      <c r="E37" s="6" t="s">
        <v>34</v>
      </c>
      <c r="F37" t="s">
        <v>183</v>
      </c>
      <c r="G37" t="s">
        <v>37</v>
      </c>
      <c r="H37" t="s">
        <v>38</v>
      </c>
      <c r="I37" t="s">
        <v>184</v>
      </c>
      <c r="J37" t="s">
        <v>40</v>
      </c>
      <c r="K37">
        <v>2</v>
      </c>
      <c r="L37" t="s">
        <v>41</v>
      </c>
      <c r="M37" t="s">
        <v>42</v>
      </c>
      <c r="N37" t="s">
        <v>43</v>
      </c>
      <c r="O37" s="7">
        <v>1</v>
      </c>
      <c r="P37" s="8">
        <v>45273.788969907408</v>
      </c>
      <c r="Q37" s="9">
        <v>45276</v>
      </c>
      <c r="R37" t="s">
        <v>37</v>
      </c>
      <c r="S37" t="s">
        <v>44</v>
      </c>
      <c r="T37" t="s">
        <v>76</v>
      </c>
      <c r="U37" t="s">
        <v>53</v>
      </c>
      <c r="V37" t="s">
        <v>185</v>
      </c>
      <c r="W37">
        <v>46100</v>
      </c>
      <c r="X37" t="s">
        <v>44</v>
      </c>
      <c r="Y37" t="s">
        <v>186</v>
      </c>
      <c r="Z37" t="s">
        <v>49</v>
      </c>
      <c r="AA37" s="10">
        <f>IF(O37&lt;=1,7,7+0.8*ROUNDUP(O37-1,0))</f>
        <v>7</v>
      </c>
      <c r="AB37" s="11">
        <v>0</v>
      </c>
      <c r="AC37" s="11">
        <v>0</v>
      </c>
      <c r="AD37" s="11">
        <v>0</v>
      </c>
      <c r="AE37" s="11">
        <v>0</v>
      </c>
      <c r="AF37" s="11">
        <f t="shared" si="0"/>
        <v>0.42</v>
      </c>
      <c r="AG37" s="11">
        <f t="shared" si="1"/>
        <v>7.42</v>
      </c>
      <c r="AH37" t="s">
        <v>44</v>
      </c>
    </row>
    <row r="38" spans="1:34" ht="15" customHeight="1" x14ac:dyDescent="0.35">
      <c r="A38">
        <v>7547676</v>
      </c>
      <c r="B38">
        <v>690929</v>
      </c>
      <c r="C38" t="s">
        <v>34</v>
      </c>
      <c r="D38" t="s">
        <v>35</v>
      </c>
      <c r="E38" s="6" t="s">
        <v>34</v>
      </c>
      <c r="F38" t="s">
        <v>187</v>
      </c>
      <c r="G38" t="s">
        <v>37</v>
      </c>
      <c r="H38" t="s">
        <v>38</v>
      </c>
      <c r="I38" t="s">
        <v>188</v>
      </c>
      <c r="J38" t="s">
        <v>40</v>
      </c>
      <c r="K38">
        <v>2</v>
      </c>
      <c r="L38" t="s">
        <v>41</v>
      </c>
      <c r="M38" t="s">
        <v>42</v>
      </c>
      <c r="N38" t="s">
        <v>43</v>
      </c>
      <c r="O38" s="7">
        <v>1</v>
      </c>
      <c r="P38" s="8">
        <v>45274.587881944448</v>
      </c>
      <c r="Q38" s="9">
        <v>45276</v>
      </c>
      <c r="R38" t="s">
        <v>37</v>
      </c>
      <c r="S38" t="s">
        <v>44</v>
      </c>
      <c r="T38" t="s">
        <v>52</v>
      </c>
      <c r="U38" t="s">
        <v>46</v>
      </c>
      <c r="V38" t="s">
        <v>189</v>
      </c>
      <c r="W38">
        <v>81200</v>
      </c>
      <c r="X38" t="s">
        <v>44</v>
      </c>
      <c r="Y38" t="s">
        <v>190</v>
      </c>
      <c r="Z38" t="s">
        <v>49</v>
      </c>
      <c r="AA38" s="10">
        <f>IF(O38&lt;=1,7,7+0.8*ROUNDUP(O38-1,0))</f>
        <v>7</v>
      </c>
      <c r="AB38" s="11">
        <v>0</v>
      </c>
      <c r="AC38" s="11">
        <v>0</v>
      </c>
      <c r="AD38" s="11">
        <v>0</v>
      </c>
      <c r="AE38" s="11">
        <v>0</v>
      </c>
      <c r="AF38" s="11">
        <f t="shared" si="0"/>
        <v>0.42</v>
      </c>
      <c r="AG38" s="11">
        <f t="shared" si="1"/>
        <v>7.42</v>
      </c>
      <c r="AH38" t="s">
        <v>44</v>
      </c>
    </row>
    <row r="39" spans="1:34" ht="15" customHeight="1" x14ac:dyDescent="0.35">
      <c r="A39">
        <v>7547676</v>
      </c>
      <c r="B39">
        <v>690929</v>
      </c>
      <c r="C39" t="s">
        <v>34</v>
      </c>
      <c r="D39" t="s">
        <v>35</v>
      </c>
      <c r="E39" s="6" t="s">
        <v>34</v>
      </c>
      <c r="F39" t="s">
        <v>191</v>
      </c>
      <c r="G39" t="s">
        <v>37</v>
      </c>
      <c r="H39" t="s">
        <v>38</v>
      </c>
      <c r="I39" t="s">
        <v>192</v>
      </c>
      <c r="J39" t="s">
        <v>40</v>
      </c>
      <c r="K39">
        <v>2</v>
      </c>
      <c r="L39" t="s">
        <v>41</v>
      </c>
      <c r="M39" t="s">
        <v>42</v>
      </c>
      <c r="N39" t="s">
        <v>43</v>
      </c>
      <c r="O39" s="7">
        <v>2</v>
      </c>
      <c r="P39" s="8">
        <v>45274.669212962966</v>
      </c>
      <c r="Q39" s="9">
        <v>45276</v>
      </c>
      <c r="R39" t="s">
        <v>37</v>
      </c>
      <c r="S39" t="s">
        <v>44</v>
      </c>
      <c r="T39" t="s">
        <v>52</v>
      </c>
      <c r="U39" t="s">
        <v>68</v>
      </c>
      <c r="V39" t="s">
        <v>193</v>
      </c>
      <c r="W39">
        <v>47000</v>
      </c>
      <c r="X39" t="s">
        <v>44</v>
      </c>
      <c r="Y39" t="s">
        <v>165</v>
      </c>
      <c r="Z39" t="s">
        <v>49</v>
      </c>
      <c r="AA39" s="10">
        <f>IF(O39&lt;=1,7,7+0.8*ROUNDUP(O39-1,0))</f>
        <v>7.8</v>
      </c>
      <c r="AB39" s="11">
        <v>0</v>
      </c>
      <c r="AC39" s="11">
        <v>0</v>
      </c>
      <c r="AD39" s="11">
        <v>0</v>
      </c>
      <c r="AE39" s="11">
        <v>0</v>
      </c>
      <c r="AF39" s="11">
        <f t="shared" si="0"/>
        <v>0.46799999999999997</v>
      </c>
      <c r="AG39" s="11">
        <f t="shared" si="1"/>
        <v>8.2680000000000007</v>
      </c>
      <c r="AH39" t="s">
        <v>44</v>
      </c>
    </row>
    <row r="40" spans="1:34" ht="15" customHeight="1" x14ac:dyDescent="0.35">
      <c r="A40">
        <v>7547676</v>
      </c>
      <c r="B40">
        <v>690929</v>
      </c>
      <c r="C40" t="s">
        <v>34</v>
      </c>
      <c r="D40" t="s">
        <v>35</v>
      </c>
      <c r="E40" s="6" t="s">
        <v>34</v>
      </c>
      <c r="F40" t="s">
        <v>194</v>
      </c>
      <c r="G40" t="s">
        <v>37</v>
      </c>
      <c r="H40" t="s">
        <v>38</v>
      </c>
      <c r="I40" t="s">
        <v>195</v>
      </c>
      <c r="J40" t="s">
        <v>40</v>
      </c>
      <c r="K40">
        <v>2</v>
      </c>
      <c r="L40" t="s">
        <v>41</v>
      </c>
      <c r="M40" t="s">
        <v>42</v>
      </c>
      <c r="N40" t="s">
        <v>43</v>
      </c>
      <c r="O40" s="7">
        <v>1</v>
      </c>
      <c r="P40" s="8">
        <v>45274.757418981484</v>
      </c>
      <c r="Q40" s="9">
        <v>45276</v>
      </c>
      <c r="R40" t="s">
        <v>37</v>
      </c>
      <c r="S40" t="s">
        <v>44</v>
      </c>
      <c r="T40" t="s">
        <v>45</v>
      </c>
      <c r="U40" t="s">
        <v>46</v>
      </c>
      <c r="V40" t="s">
        <v>196</v>
      </c>
      <c r="W40">
        <v>81110</v>
      </c>
      <c r="X40" t="s">
        <v>44</v>
      </c>
      <c r="Y40" t="s">
        <v>197</v>
      </c>
      <c r="Z40" t="s">
        <v>49</v>
      </c>
      <c r="AA40" s="10">
        <f>IF(O40&lt;=1,7,7+0.8*ROUNDUP(O40-1,0))</f>
        <v>7</v>
      </c>
      <c r="AB40" s="11">
        <v>0</v>
      </c>
      <c r="AC40" s="11">
        <v>0</v>
      </c>
      <c r="AD40" s="11">
        <v>0</v>
      </c>
      <c r="AE40" s="11">
        <v>0</v>
      </c>
      <c r="AF40" s="11">
        <f t="shared" si="0"/>
        <v>0.42</v>
      </c>
      <c r="AG40" s="11">
        <f t="shared" si="1"/>
        <v>7.42</v>
      </c>
      <c r="AH40" t="s">
        <v>44</v>
      </c>
    </row>
    <row r="41" spans="1:34" ht="15" customHeight="1" x14ac:dyDescent="0.35">
      <c r="A41">
        <v>7547676</v>
      </c>
      <c r="B41">
        <v>690929</v>
      </c>
      <c r="C41" t="s">
        <v>34</v>
      </c>
      <c r="D41" t="s">
        <v>35</v>
      </c>
      <c r="E41" s="6" t="s">
        <v>34</v>
      </c>
      <c r="F41" t="s">
        <v>198</v>
      </c>
      <c r="G41" t="s">
        <v>37</v>
      </c>
      <c r="H41" t="s">
        <v>38</v>
      </c>
      <c r="I41" t="s">
        <v>199</v>
      </c>
      <c r="J41" t="s">
        <v>40</v>
      </c>
      <c r="K41">
        <v>2</v>
      </c>
      <c r="L41" t="s">
        <v>41</v>
      </c>
      <c r="M41" t="s">
        <v>42</v>
      </c>
      <c r="N41" t="s">
        <v>43</v>
      </c>
      <c r="O41" s="7">
        <v>1</v>
      </c>
      <c r="P41" s="8">
        <v>45274.487118055556</v>
      </c>
      <c r="Q41" s="9">
        <v>45276</v>
      </c>
      <c r="R41" t="s">
        <v>37</v>
      </c>
      <c r="S41" t="s">
        <v>44</v>
      </c>
      <c r="T41" t="s">
        <v>52</v>
      </c>
      <c r="U41" t="s">
        <v>68</v>
      </c>
      <c r="V41" t="s">
        <v>200</v>
      </c>
      <c r="W41">
        <v>52100</v>
      </c>
      <c r="X41" t="s">
        <v>44</v>
      </c>
      <c r="Y41" t="s">
        <v>201</v>
      </c>
      <c r="Z41" t="s">
        <v>49</v>
      </c>
      <c r="AA41" s="10">
        <f>IF(O41&lt;=1,7,7+0.8*ROUNDUP(O41-1,0))</f>
        <v>7</v>
      </c>
      <c r="AB41" s="11">
        <v>0</v>
      </c>
      <c r="AC41" s="11">
        <v>0</v>
      </c>
      <c r="AD41" s="11">
        <v>0</v>
      </c>
      <c r="AE41" s="11">
        <v>0</v>
      </c>
      <c r="AF41" s="11">
        <f t="shared" si="0"/>
        <v>0.42</v>
      </c>
      <c r="AG41" s="11">
        <f t="shared" si="1"/>
        <v>7.42</v>
      </c>
      <c r="AH41" t="s">
        <v>44</v>
      </c>
    </row>
    <row r="42" spans="1:34" ht="15" customHeight="1" x14ac:dyDescent="0.35">
      <c r="A42">
        <v>7547676</v>
      </c>
      <c r="B42">
        <v>690929</v>
      </c>
      <c r="C42" t="s">
        <v>34</v>
      </c>
      <c r="D42" t="s">
        <v>35</v>
      </c>
      <c r="E42" s="6" t="s">
        <v>34</v>
      </c>
      <c r="F42" t="s">
        <v>202</v>
      </c>
      <c r="G42" t="s">
        <v>37</v>
      </c>
      <c r="H42" t="s">
        <v>38</v>
      </c>
      <c r="I42" t="s">
        <v>203</v>
      </c>
      <c r="J42" t="s">
        <v>40</v>
      </c>
      <c r="K42">
        <v>2</v>
      </c>
      <c r="L42" t="s">
        <v>41</v>
      </c>
      <c r="M42" t="s">
        <v>42</v>
      </c>
      <c r="N42" t="s">
        <v>43</v>
      </c>
      <c r="O42" s="7">
        <v>1</v>
      </c>
      <c r="P42" s="8">
        <v>45274.716157407405</v>
      </c>
      <c r="Q42" s="9">
        <v>45276</v>
      </c>
      <c r="R42" t="s">
        <v>37</v>
      </c>
      <c r="S42" t="s">
        <v>44</v>
      </c>
      <c r="T42" t="s">
        <v>52</v>
      </c>
      <c r="U42" t="s">
        <v>46</v>
      </c>
      <c r="V42" t="s">
        <v>204</v>
      </c>
      <c r="W42">
        <v>81700</v>
      </c>
      <c r="X42" t="s">
        <v>44</v>
      </c>
      <c r="Y42" t="s">
        <v>205</v>
      </c>
      <c r="Z42" t="s">
        <v>49</v>
      </c>
      <c r="AA42" s="10">
        <f>IF(O42&lt;=1,7,7+0.8*ROUNDUP(O42-1,0))</f>
        <v>7</v>
      </c>
      <c r="AB42" s="11">
        <v>0</v>
      </c>
      <c r="AC42" s="11">
        <v>0</v>
      </c>
      <c r="AD42" s="11">
        <v>0</v>
      </c>
      <c r="AE42" s="11">
        <v>0</v>
      </c>
      <c r="AF42" s="11">
        <f t="shared" si="0"/>
        <v>0.42</v>
      </c>
      <c r="AG42" s="11">
        <f t="shared" si="1"/>
        <v>7.42</v>
      </c>
      <c r="AH42" t="s">
        <v>44</v>
      </c>
    </row>
    <row r="43" spans="1:34" ht="15" customHeight="1" x14ac:dyDescent="0.35">
      <c r="A43">
        <v>7547676</v>
      </c>
      <c r="B43">
        <v>690929</v>
      </c>
      <c r="C43" t="s">
        <v>34</v>
      </c>
      <c r="D43" t="s">
        <v>35</v>
      </c>
      <c r="E43" s="6" t="s">
        <v>34</v>
      </c>
      <c r="F43" t="s">
        <v>206</v>
      </c>
      <c r="G43" t="s">
        <v>37</v>
      </c>
      <c r="H43" t="s">
        <v>38</v>
      </c>
      <c r="I43" t="s">
        <v>207</v>
      </c>
      <c r="J43" t="s">
        <v>40</v>
      </c>
      <c r="K43">
        <v>2</v>
      </c>
      <c r="L43" t="s">
        <v>41</v>
      </c>
      <c r="M43" t="s">
        <v>42</v>
      </c>
      <c r="N43" t="s">
        <v>43</v>
      </c>
      <c r="O43" s="7">
        <v>5</v>
      </c>
      <c r="P43" s="8">
        <v>45274.62054398148</v>
      </c>
      <c r="Q43" s="9">
        <v>45276</v>
      </c>
      <c r="R43" t="s">
        <v>37</v>
      </c>
      <c r="S43" t="s">
        <v>44</v>
      </c>
      <c r="T43" t="s">
        <v>52</v>
      </c>
      <c r="U43" t="s">
        <v>77</v>
      </c>
      <c r="V43" t="s">
        <v>208</v>
      </c>
      <c r="W43">
        <v>26600</v>
      </c>
      <c r="X43" t="s">
        <v>44</v>
      </c>
      <c r="Y43" t="s">
        <v>52</v>
      </c>
      <c r="Z43" t="s">
        <v>49</v>
      </c>
      <c r="AA43" s="10">
        <f>IF(O43&lt;=1,7,7+0.8*ROUNDUP(O43-1,0))</f>
        <v>10.199999999999999</v>
      </c>
      <c r="AB43" s="11">
        <v>0</v>
      </c>
      <c r="AC43" s="11">
        <v>0</v>
      </c>
      <c r="AD43" s="11">
        <v>0</v>
      </c>
      <c r="AE43" s="11">
        <v>0</v>
      </c>
      <c r="AF43" s="11">
        <f t="shared" si="0"/>
        <v>0.61199999999999999</v>
      </c>
      <c r="AG43" s="11">
        <f t="shared" si="1"/>
        <v>10.811999999999999</v>
      </c>
      <c r="AH43" t="s">
        <v>44</v>
      </c>
    </row>
    <row r="44" spans="1:34" ht="15" customHeight="1" x14ac:dyDescent="0.35">
      <c r="A44">
        <v>7547676</v>
      </c>
      <c r="B44">
        <v>690929</v>
      </c>
      <c r="C44" t="s">
        <v>34</v>
      </c>
      <c r="D44" t="s">
        <v>35</v>
      </c>
      <c r="E44" s="6" t="s">
        <v>34</v>
      </c>
      <c r="F44" t="s">
        <v>209</v>
      </c>
      <c r="G44" t="s">
        <v>37</v>
      </c>
      <c r="H44" t="s">
        <v>38</v>
      </c>
      <c r="I44" t="s">
        <v>210</v>
      </c>
      <c r="J44" t="s">
        <v>40</v>
      </c>
      <c r="K44">
        <v>2</v>
      </c>
      <c r="L44" t="s">
        <v>41</v>
      </c>
      <c r="M44" t="s">
        <v>42</v>
      </c>
      <c r="N44" t="s">
        <v>43</v>
      </c>
      <c r="O44" s="7">
        <v>1</v>
      </c>
      <c r="P44" s="8">
        <v>45273.77857638889</v>
      </c>
      <c r="Q44" s="9">
        <v>45276</v>
      </c>
      <c r="R44" t="s">
        <v>37</v>
      </c>
      <c r="S44" t="s">
        <v>44</v>
      </c>
      <c r="T44" t="s">
        <v>76</v>
      </c>
      <c r="U44" t="s">
        <v>46</v>
      </c>
      <c r="V44" t="s">
        <v>211</v>
      </c>
      <c r="W44">
        <v>80350</v>
      </c>
      <c r="X44" t="s">
        <v>44</v>
      </c>
      <c r="Y44" t="s">
        <v>212</v>
      </c>
      <c r="Z44" t="s">
        <v>49</v>
      </c>
      <c r="AA44" s="10">
        <f>IF(O44&lt;=1,7,7+0.8*ROUNDUP(O44-1,0))</f>
        <v>7</v>
      </c>
      <c r="AB44" s="11">
        <v>0</v>
      </c>
      <c r="AC44" s="11">
        <v>0</v>
      </c>
      <c r="AD44" s="11">
        <v>0</v>
      </c>
      <c r="AE44" s="11">
        <v>0</v>
      </c>
      <c r="AF44" s="11">
        <f t="shared" si="0"/>
        <v>0.42</v>
      </c>
      <c r="AG44" s="11">
        <f t="shared" si="1"/>
        <v>7.42</v>
      </c>
      <c r="AH44" t="s">
        <v>44</v>
      </c>
    </row>
    <row r="45" spans="1:34" ht="15" customHeight="1" x14ac:dyDescent="0.35">
      <c r="A45">
        <v>7547676</v>
      </c>
      <c r="B45">
        <v>690929</v>
      </c>
      <c r="C45" t="s">
        <v>34</v>
      </c>
      <c r="D45" t="s">
        <v>35</v>
      </c>
      <c r="E45" s="6" t="s">
        <v>34</v>
      </c>
      <c r="F45" t="s">
        <v>213</v>
      </c>
      <c r="G45" t="s">
        <v>37</v>
      </c>
      <c r="H45" t="s">
        <v>38</v>
      </c>
      <c r="I45" t="s">
        <v>214</v>
      </c>
      <c r="J45" t="s">
        <v>40</v>
      </c>
      <c r="K45">
        <v>2</v>
      </c>
      <c r="L45" t="s">
        <v>41</v>
      </c>
      <c r="M45" t="s">
        <v>42</v>
      </c>
      <c r="N45" t="s">
        <v>43</v>
      </c>
      <c r="O45" s="7">
        <v>1</v>
      </c>
      <c r="P45" s="8">
        <v>45275.441111111111</v>
      </c>
      <c r="Q45" s="9">
        <v>45276</v>
      </c>
      <c r="R45" t="s">
        <v>37</v>
      </c>
      <c r="S45" t="s">
        <v>44</v>
      </c>
      <c r="T45" t="s">
        <v>45</v>
      </c>
      <c r="U45" t="s">
        <v>115</v>
      </c>
      <c r="V45" t="s">
        <v>215</v>
      </c>
      <c r="W45">
        <v>16300</v>
      </c>
      <c r="X45" t="s">
        <v>44</v>
      </c>
      <c r="Y45" t="s">
        <v>76</v>
      </c>
      <c r="Z45" t="s">
        <v>49</v>
      </c>
      <c r="AA45" s="10">
        <f>IF(O45&lt;=1,7,7+0.8*ROUNDUP(O45-1,0))</f>
        <v>7</v>
      </c>
      <c r="AB45" s="11">
        <v>0</v>
      </c>
      <c r="AC45" s="11">
        <v>0</v>
      </c>
      <c r="AD45" s="11">
        <v>0</v>
      </c>
      <c r="AE45" s="11">
        <v>0</v>
      </c>
      <c r="AF45" s="11">
        <f t="shared" si="0"/>
        <v>0.42</v>
      </c>
      <c r="AG45" s="11">
        <f t="shared" si="1"/>
        <v>7.42</v>
      </c>
      <c r="AH45" t="s">
        <v>44</v>
      </c>
    </row>
    <row r="46" spans="1:34" ht="15" customHeight="1" x14ac:dyDescent="0.35">
      <c r="A46">
        <v>7547676</v>
      </c>
      <c r="B46">
        <v>690929</v>
      </c>
      <c r="C46" t="s">
        <v>34</v>
      </c>
      <c r="D46" t="s">
        <v>35</v>
      </c>
      <c r="E46" s="6" t="s">
        <v>34</v>
      </c>
      <c r="F46" t="s">
        <v>216</v>
      </c>
      <c r="G46" t="s">
        <v>37</v>
      </c>
      <c r="H46" t="s">
        <v>38</v>
      </c>
      <c r="I46" t="s">
        <v>217</v>
      </c>
      <c r="J46" t="s">
        <v>40</v>
      </c>
      <c r="K46">
        <v>2</v>
      </c>
      <c r="L46" t="s">
        <v>41</v>
      </c>
      <c r="M46" t="s">
        <v>42</v>
      </c>
      <c r="N46" t="s">
        <v>43</v>
      </c>
      <c r="O46" s="7">
        <v>1</v>
      </c>
      <c r="P46" s="8">
        <v>45274.587881944448</v>
      </c>
      <c r="Q46" s="9">
        <v>45276</v>
      </c>
      <c r="R46" t="s">
        <v>37</v>
      </c>
      <c r="S46" t="s">
        <v>44</v>
      </c>
      <c r="T46" t="s">
        <v>52</v>
      </c>
      <c r="U46" t="s">
        <v>115</v>
      </c>
      <c r="V46" t="s">
        <v>218</v>
      </c>
      <c r="W46">
        <v>16200</v>
      </c>
      <c r="X46" t="s">
        <v>44</v>
      </c>
      <c r="Y46" t="s">
        <v>52</v>
      </c>
      <c r="Z46" t="s">
        <v>49</v>
      </c>
      <c r="AA46" s="10">
        <f>IF(O46&lt;=1,7,7+0.8*ROUNDUP(O46-1,0))</f>
        <v>7</v>
      </c>
      <c r="AB46" s="11">
        <v>0</v>
      </c>
      <c r="AC46" s="11">
        <v>0</v>
      </c>
      <c r="AD46" s="11">
        <v>0</v>
      </c>
      <c r="AE46" s="11">
        <v>0</v>
      </c>
      <c r="AF46" s="11">
        <f t="shared" si="0"/>
        <v>0.42</v>
      </c>
      <c r="AG46" s="11">
        <f t="shared" si="1"/>
        <v>7.42</v>
      </c>
      <c r="AH46" t="s">
        <v>44</v>
      </c>
    </row>
    <row r="47" spans="1:34" ht="15" customHeight="1" x14ac:dyDescent="0.35">
      <c r="A47">
        <v>7547676</v>
      </c>
      <c r="B47">
        <v>690929</v>
      </c>
      <c r="C47" t="s">
        <v>34</v>
      </c>
      <c r="D47" t="s">
        <v>35</v>
      </c>
      <c r="E47" s="6" t="s">
        <v>34</v>
      </c>
      <c r="F47" t="s">
        <v>219</v>
      </c>
      <c r="G47" t="s">
        <v>37</v>
      </c>
      <c r="H47" t="s">
        <v>38</v>
      </c>
      <c r="I47" t="s">
        <v>220</v>
      </c>
      <c r="J47" t="s">
        <v>40</v>
      </c>
      <c r="K47">
        <v>2</v>
      </c>
      <c r="L47" t="s">
        <v>41</v>
      </c>
      <c r="M47" t="s">
        <v>42</v>
      </c>
      <c r="N47" t="s">
        <v>43</v>
      </c>
      <c r="O47" s="7">
        <v>2</v>
      </c>
      <c r="P47" s="8">
        <v>45274.684062499997</v>
      </c>
      <c r="Q47" s="9">
        <v>45276</v>
      </c>
      <c r="R47" t="s">
        <v>37</v>
      </c>
      <c r="S47" t="s">
        <v>44</v>
      </c>
      <c r="T47" t="s">
        <v>45</v>
      </c>
      <c r="U47" t="s">
        <v>46</v>
      </c>
      <c r="V47" t="s">
        <v>221</v>
      </c>
      <c r="W47">
        <v>81440</v>
      </c>
      <c r="X47" t="s">
        <v>44</v>
      </c>
      <c r="Y47" t="s">
        <v>222</v>
      </c>
      <c r="Z47" t="s">
        <v>49</v>
      </c>
      <c r="AA47" s="10">
        <f>IF(O47&lt;=1,7,7+0.8*ROUNDUP(O47-1,0))</f>
        <v>7.8</v>
      </c>
      <c r="AB47" s="11">
        <v>0</v>
      </c>
      <c r="AC47" s="11">
        <v>0</v>
      </c>
      <c r="AD47" s="11">
        <v>0</v>
      </c>
      <c r="AE47" s="11">
        <v>0</v>
      </c>
      <c r="AF47" s="11">
        <f t="shared" si="0"/>
        <v>0.46799999999999997</v>
      </c>
      <c r="AG47" s="11">
        <f t="shared" si="1"/>
        <v>8.2680000000000007</v>
      </c>
      <c r="AH47" t="s">
        <v>44</v>
      </c>
    </row>
    <row r="48" spans="1:34" ht="15" customHeight="1" x14ac:dyDescent="0.35">
      <c r="A48">
        <v>7547676</v>
      </c>
      <c r="B48">
        <v>690929</v>
      </c>
      <c r="C48" t="s">
        <v>34</v>
      </c>
      <c r="D48" t="s">
        <v>35</v>
      </c>
      <c r="E48" s="6" t="s">
        <v>34</v>
      </c>
      <c r="F48" t="s">
        <v>223</v>
      </c>
      <c r="G48" t="s">
        <v>37</v>
      </c>
      <c r="H48" t="s">
        <v>38</v>
      </c>
      <c r="I48" t="s">
        <v>224</v>
      </c>
      <c r="J48" t="s">
        <v>40</v>
      </c>
      <c r="K48">
        <v>2</v>
      </c>
      <c r="L48" t="s">
        <v>41</v>
      </c>
      <c r="M48" t="s">
        <v>42</v>
      </c>
      <c r="N48" t="s">
        <v>43</v>
      </c>
      <c r="O48" s="7">
        <v>2</v>
      </c>
      <c r="P48" s="8">
        <v>45274.746817129628</v>
      </c>
      <c r="Q48" s="9">
        <v>45276</v>
      </c>
      <c r="R48" t="s">
        <v>37</v>
      </c>
      <c r="S48" t="s">
        <v>44</v>
      </c>
      <c r="T48" t="s">
        <v>45</v>
      </c>
      <c r="U48" t="s">
        <v>94</v>
      </c>
      <c r="V48" t="s">
        <v>225</v>
      </c>
      <c r="W48">
        <v>14000</v>
      </c>
      <c r="X48" t="s">
        <v>44</v>
      </c>
      <c r="Y48" t="s">
        <v>226</v>
      </c>
      <c r="Z48" t="s">
        <v>49</v>
      </c>
      <c r="AA48" s="10">
        <f>IF(O48&lt;=1,7,7+0.8*ROUNDUP(O48-1,0))</f>
        <v>7.8</v>
      </c>
      <c r="AB48" s="11">
        <v>0</v>
      </c>
      <c r="AC48" s="11">
        <v>0</v>
      </c>
      <c r="AD48" s="11">
        <v>0</v>
      </c>
      <c r="AE48" s="11">
        <v>0</v>
      </c>
      <c r="AF48" s="11">
        <f t="shared" si="0"/>
        <v>0.46799999999999997</v>
      </c>
      <c r="AG48" s="11">
        <f t="shared" si="1"/>
        <v>8.2680000000000007</v>
      </c>
      <c r="AH48" t="s">
        <v>44</v>
      </c>
    </row>
    <row r="49" spans="1:34" ht="15" customHeight="1" x14ac:dyDescent="0.35">
      <c r="A49">
        <v>7547676</v>
      </c>
      <c r="B49">
        <v>690929</v>
      </c>
      <c r="C49" t="s">
        <v>34</v>
      </c>
      <c r="D49" t="s">
        <v>35</v>
      </c>
      <c r="E49" s="6" t="s">
        <v>34</v>
      </c>
      <c r="F49" t="s">
        <v>227</v>
      </c>
      <c r="G49" t="s">
        <v>37</v>
      </c>
      <c r="H49" t="s">
        <v>38</v>
      </c>
      <c r="I49" t="s">
        <v>228</v>
      </c>
      <c r="J49" t="s">
        <v>40</v>
      </c>
      <c r="K49">
        <v>2</v>
      </c>
      <c r="L49" t="s">
        <v>41</v>
      </c>
      <c r="M49" t="s">
        <v>42</v>
      </c>
      <c r="N49" t="s">
        <v>43</v>
      </c>
      <c r="O49" s="7">
        <v>1</v>
      </c>
      <c r="P49" s="8">
        <v>45274.623877314814</v>
      </c>
      <c r="Q49" s="9">
        <v>45276</v>
      </c>
      <c r="R49" t="s">
        <v>37</v>
      </c>
      <c r="S49" t="s">
        <v>44</v>
      </c>
      <c r="T49" t="s">
        <v>52</v>
      </c>
      <c r="U49" t="s">
        <v>58</v>
      </c>
      <c r="V49" t="s">
        <v>229</v>
      </c>
      <c r="W49">
        <v>6000</v>
      </c>
      <c r="X49" t="s">
        <v>44</v>
      </c>
      <c r="Y49" t="s">
        <v>52</v>
      </c>
      <c r="Z49" t="s">
        <v>49</v>
      </c>
      <c r="AA49" s="10">
        <f>IF(O49&lt;=1,7,7+0.8*ROUNDUP(O49-1,0))</f>
        <v>7</v>
      </c>
      <c r="AB49" s="11">
        <v>0</v>
      </c>
      <c r="AC49" s="11">
        <v>0</v>
      </c>
      <c r="AD49" s="11">
        <v>0</v>
      </c>
      <c r="AE49" s="11">
        <v>0</v>
      </c>
      <c r="AF49" s="11">
        <f t="shared" si="0"/>
        <v>0.42</v>
      </c>
      <c r="AG49" s="11">
        <f t="shared" si="1"/>
        <v>7.42</v>
      </c>
      <c r="AH49" t="s">
        <v>44</v>
      </c>
    </row>
    <row r="50" spans="1:34" ht="15" customHeight="1" x14ac:dyDescent="0.35">
      <c r="A50">
        <v>7547676</v>
      </c>
      <c r="B50">
        <v>690929</v>
      </c>
      <c r="C50" t="s">
        <v>34</v>
      </c>
      <c r="D50" t="s">
        <v>35</v>
      </c>
      <c r="E50" s="6" t="s">
        <v>34</v>
      </c>
      <c r="F50" t="s">
        <v>230</v>
      </c>
      <c r="G50" t="s">
        <v>37</v>
      </c>
      <c r="H50" t="s">
        <v>38</v>
      </c>
      <c r="I50" t="s">
        <v>231</v>
      </c>
      <c r="J50" t="s">
        <v>40</v>
      </c>
      <c r="K50">
        <v>2</v>
      </c>
      <c r="L50" t="s">
        <v>41</v>
      </c>
      <c r="M50" t="s">
        <v>42</v>
      </c>
      <c r="N50" t="s">
        <v>43</v>
      </c>
      <c r="O50" s="7">
        <v>2</v>
      </c>
      <c r="P50" s="8">
        <v>45274.746828703705</v>
      </c>
      <c r="Q50" s="9">
        <v>45276</v>
      </c>
      <c r="R50" t="s">
        <v>37</v>
      </c>
      <c r="S50" t="s">
        <v>44</v>
      </c>
      <c r="T50" t="s">
        <v>45</v>
      </c>
      <c r="U50" t="s">
        <v>46</v>
      </c>
      <c r="V50" t="s">
        <v>232</v>
      </c>
      <c r="W50">
        <v>81300</v>
      </c>
      <c r="X50" t="s">
        <v>44</v>
      </c>
      <c r="Y50" t="s">
        <v>233</v>
      </c>
      <c r="Z50" t="s">
        <v>49</v>
      </c>
      <c r="AA50" s="10">
        <f>IF(O50&lt;=1,7,7+0.8*ROUNDUP(O50-1,0))</f>
        <v>7.8</v>
      </c>
      <c r="AB50" s="11">
        <v>0</v>
      </c>
      <c r="AC50" s="11">
        <v>0</v>
      </c>
      <c r="AD50" s="11">
        <v>0</v>
      </c>
      <c r="AE50" s="11">
        <v>0</v>
      </c>
      <c r="AF50" s="11">
        <f t="shared" si="0"/>
        <v>0.46799999999999997</v>
      </c>
      <c r="AG50" s="11">
        <f t="shared" si="1"/>
        <v>8.2680000000000007</v>
      </c>
      <c r="AH50" t="s">
        <v>44</v>
      </c>
    </row>
    <row r="51" spans="1:34" ht="15" customHeight="1" x14ac:dyDescent="0.35">
      <c r="A51">
        <v>7547676</v>
      </c>
      <c r="B51">
        <v>690929</v>
      </c>
      <c r="C51" t="s">
        <v>34</v>
      </c>
      <c r="D51" t="s">
        <v>35</v>
      </c>
      <c r="E51" s="6" t="s">
        <v>34</v>
      </c>
      <c r="F51" t="s">
        <v>234</v>
      </c>
      <c r="G51" t="s">
        <v>37</v>
      </c>
      <c r="H51" t="s">
        <v>38</v>
      </c>
      <c r="I51" t="s">
        <v>235</v>
      </c>
      <c r="J51" t="s">
        <v>40</v>
      </c>
      <c r="K51">
        <v>2</v>
      </c>
      <c r="L51" t="s">
        <v>41</v>
      </c>
      <c r="M51" t="s">
        <v>42</v>
      </c>
      <c r="N51" t="s">
        <v>43</v>
      </c>
      <c r="O51" s="7">
        <v>1</v>
      </c>
      <c r="P51" s="8">
        <v>45274.605833333335</v>
      </c>
      <c r="Q51" s="9">
        <v>45276</v>
      </c>
      <c r="R51" t="s">
        <v>37</v>
      </c>
      <c r="S51" t="s">
        <v>44</v>
      </c>
      <c r="T51" t="s">
        <v>52</v>
      </c>
      <c r="U51" t="s">
        <v>159</v>
      </c>
      <c r="V51" t="s">
        <v>236</v>
      </c>
      <c r="W51">
        <v>35800</v>
      </c>
      <c r="X51" t="s">
        <v>44</v>
      </c>
      <c r="Y51" t="s">
        <v>237</v>
      </c>
      <c r="Z51" t="s">
        <v>49</v>
      </c>
      <c r="AA51" s="10">
        <f>IF(O51&lt;=1,7,7+0.8*ROUNDUP(O51-1,0))</f>
        <v>7</v>
      </c>
      <c r="AB51" s="11">
        <v>0</v>
      </c>
      <c r="AC51" s="11">
        <v>0</v>
      </c>
      <c r="AD51" s="11">
        <v>0</v>
      </c>
      <c r="AE51" s="11">
        <v>0</v>
      </c>
      <c r="AF51" s="11">
        <f t="shared" si="0"/>
        <v>0.42</v>
      </c>
      <c r="AG51" s="11">
        <f t="shared" si="1"/>
        <v>7.42</v>
      </c>
      <c r="AH51" t="s">
        <v>44</v>
      </c>
    </row>
    <row r="52" spans="1:34" ht="15" customHeight="1" x14ac:dyDescent="0.35">
      <c r="A52">
        <v>7547676</v>
      </c>
      <c r="B52">
        <v>690929</v>
      </c>
      <c r="C52" t="s">
        <v>34</v>
      </c>
      <c r="D52" t="s">
        <v>35</v>
      </c>
      <c r="E52" s="6" t="s">
        <v>34</v>
      </c>
      <c r="F52" t="s">
        <v>238</v>
      </c>
      <c r="G52" t="s">
        <v>37</v>
      </c>
      <c r="H52" t="s">
        <v>38</v>
      </c>
      <c r="I52" t="s">
        <v>239</v>
      </c>
      <c r="J52" t="s">
        <v>40</v>
      </c>
      <c r="K52">
        <v>2</v>
      </c>
      <c r="L52" t="s">
        <v>41</v>
      </c>
      <c r="M52" t="s">
        <v>42</v>
      </c>
      <c r="N52" t="s">
        <v>43</v>
      </c>
      <c r="O52" s="7">
        <v>2</v>
      </c>
      <c r="P52" s="8">
        <v>45272.510312500002</v>
      </c>
      <c r="Q52" s="9">
        <v>45276</v>
      </c>
      <c r="R52" t="s">
        <v>37</v>
      </c>
      <c r="S52" t="s">
        <v>44</v>
      </c>
      <c r="T52" t="s">
        <v>52</v>
      </c>
      <c r="U52" t="s">
        <v>240</v>
      </c>
      <c r="V52" t="s">
        <v>241</v>
      </c>
      <c r="W52">
        <v>98750</v>
      </c>
      <c r="X52" t="s">
        <v>242</v>
      </c>
      <c r="Y52" t="s">
        <v>52</v>
      </c>
      <c r="Z52" t="s">
        <v>49</v>
      </c>
      <c r="AA52" s="12">
        <f>IF(O52&lt;=1,13,IF(O52&lt;=2,23,IF(O52&lt;=3,35,IF(O52&lt;=4,43,IF(O52&lt;=5,53,IF(O52&lt;=6,63,IF(O52&lt;=7,71,IF(O52&lt;=8,79,IF(O52&lt;=9,87,IF(O52&lt;=10,95,IF(O52&lt;=11,105,IF(O52&lt;=12,114,IF(O52&lt;=13,119,IF(O52&lt;=14,127,IF(O52&lt;=15,135,IF(O52&lt;=16,143,IF(O52&lt;=17,153,IF(O52&lt;=18,163,IF(O52&lt;=19,171,IF(O52&lt;=20,185,IF(O52&lt;=21,193,IF(O52&lt;=22,201,IF(O52&lt;=23,210,IF(O52&lt;=24,220,IF(O52&lt;=25,230,IF(O52&lt;=26,240,IF(O52&lt;=27,250,IF(O52&lt;=28,260,IF(O52&lt;=29,270,IF(O52&lt;=30,280,280+10*ROUNDUP(O52-30,0)))))))))))))))))))))))))))))))</f>
        <v>23</v>
      </c>
      <c r="AB52" s="11">
        <v>0</v>
      </c>
      <c r="AC52" s="11">
        <v>0</v>
      </c>
      <c r="AD52" s="11">
        <v>0</v>
      </c>
      <c r="AE52" s="11">
        <v>0</v>
      </c>
      <c r="AF52" s="11">
        <f t="shared" si="0"/>
        <v>1.38</v>
      </c>
      <c r="AG52" s="11">
        <f t="shared" si="1"/>
        <v>24.38</v>
      </c>
      <c r="AH52" t="s">
        <v>242</v>
      </c>
    </row>
    <row r="53" spans="1:34" ht="15" customHeight="1" x14ac:dyDescent="0.35">
      <c r="A53">
        <v>7547676</v>
      </c>
      <c r="B53">
        <v>690929</v>
      </c>
      <c r="C53" t="s">
        <v>34</v>
      </c>
      <c r="D53" t="s">
        <v>35</v>
      </c>
      <c r="E53" s="6" t="s">
        <v>34</v>
      </c>
      <c r="F53" t="s">
        <v>243</v>
      </c>
      <c r="G53" t="s">
        <v>37</v>
      </c>
      <c r="H53" t="s">
        <v>38</v>
      </c>
      <c r="I53" t="s">
        <v>244</v>
      </c>
      <c r="J53" t="s">
        <v>40</v>
      </c>
      <c r="K53">
        <v>2</v>
      </c>
      <c r="L53" t="s">
        <v>41</v>
      </c>
      <c r="M53" t="s">
        <v>42</v>
      </c>
      <c r="N53" t="s">
        <v>43</v>
      </c>
      <c r="O53" s="7">
        <v>1</v>
      </c>
      <c r="P53" s="8">
        <v>45274.686956018515</v>
      </c>
      <c r="Q53" s="9">
        <v>45276</v>
      </c>
      <c r="R53" t="s">
        <v>37</v>
      </c>
      <c r="S53" t="s">
        <v>44</v>
      </c>
      <c r="T53" t="s">
        <v>52</v>
      </c>
      <c r="U53" t="s">
        <v>53</v>
      </c>
      <c r="V53" t="s">
        <v>245</v>
      </c>
      <c r="W53">
        <v>50614</v>
      </c>
      <c r="X53" t="s">
        <v>44</v>
      </c>
      <c r="Y53" t="s">
        <v>52</v>
      </c>
      <c r="Z53" t="s">
        <v>49</v>
      </c>
      <c r="AA53" s="10">
        <f>IF(O53&lt;=1,7,7+0.8*ROUNDUP(O53-1,0))</f>
        <v>7</v>
      </c>
      <c r="AB53" s="11">
        <v>0</v>
      </c>
      <c r="AC53" s="11">
        <v>0</v>
      </c>
      <c r="AD53" s="11">
        <v>0</v>
      </c>
      <c r="AE53" s="11">
        <v>0</v>
      </c>
      <c r="AF53" s="11">
        <f t="shared" si="0"/>
        <v>0.42</v>
      </c>
      <c r="AG53" s="11">
        <f t="shared" si="1"/>
        <v>7.42</v>
      </c>
      <c r="AH53" t="s">
        <v>44</v>
      </c>
    </row>
    <row r="54" spans="1:34" ht="15" customHeight="1" x14ac:dyDescent="0.35">
      <c r="A54">
        <v>7547676</v>
      </c>
      <c r="B54">
        <v>690929</v>
      </c>
      <c r="C54" t="s">
        <v>34</v>
      </c>
      <c r="D54" t="s">
        <v>35</v>
      </c>
      <c r="E54" s="6" t="s">
        <v>34</v>
      </c>
      <c r="F54" t="s">
        <v>246</v>
      </c>
      <c r="G54" t="s">
        <v>37</v>
      </c>
      <c r="H54" t="s">
        <v>38</v>
      </c>
      <c r="I54" t="s">
        <v>247</v>
      </c>
      <c r="J54" t="s">
        <v>40</v>
      </c>
      <c r="K54">
        <v>2</v>
      </c>
      <c r="L54" t="s">
        <v>41</v>
      </c>
      <c r="M54" t="s">
        <v>42</v>
      </c>
      <c r="N54" t="s">
        <v>43</v>
      </c>
      <c r="O54" s="7">
        <v>1</v>
      </c>
      <c r="P54" s="8">
        <v>45274.527037037034</v>
      </c>
      <c r="Q54" s="9">
        <v>45276</v>
      </c>
      <c r="R54" t="s">
        <v>37</v>
      </c>
      <c r="S54" t="s">
        <v>44</v>
      </c>
      <c r="T54" t="s">
        <v>52</v>
      </c>
      <c r="U54" t="s">
        <v>53</v>
      </c>
      <c r="V54" t="s">
        <v>248</v>
      </c>
      <c r="W54">
        <v>57000</v>
      </c>
      <c r="X54" t="s">
        <v>44</v>
      </c>
      <c r="Y54" t="s">
        <v>249</v>
      </c>
      <c r="Z54" t="s">
        <v>49</v>
      </c>
      <c r="AA54" s="10">
        <f>IF(O54&lt;=1,7,7+0.8*ROUNDUP(O54-1,0))</f>
        <v>7</v>
      </c>
      <c r="AB54" s="11">
        <v>0</v>
      </c>
      <c r="AC54" s="11">
        <v>0</v>
      </c>
      <c r="AD54" s="11">
        <v>0</v>
      </c>
      <c r="AE54" s="11">
        <v>0</v>
      </c>
      <c r="AF54" s="11">
        <f t="shared" si="0"/>
        <v>0.42</v>
      </c>
      <c r="AG54" s="11">
        <f t="shared" si="1"/>
        <v>7.42</v>
      </c>
      <c r="AH54" t="s">
        <v>44</v>
      </c>
    </row>
    <row r="55" spans="1:34" ht="15" customHeight="1" x14ac:dyDescent="0.35">
      <c r="A55">
        <v>7547676</v>
      </c>
      <c r="B55">
        <v>690929</v>
      </c>
      <c r="C55" t="s">
        <v>34</v>
      </c>
      <c r="D55" t="s">
        <v>35</v>
      </c>
      <c r="E55" s="6" t="s">
        <v>34</v>
      </c>
      <c r="F55" t="s">
        <v>250</v>
      </c>
      <c r="G55" t="s">
        <v>37</v>
      </c>
      <c r="H55" t="s">
        <v>38</v>
      </c>
      <c r="I55" t="s">
        <v>251</v>
      </c>
      <c r="J55" t="s">
        <v>40</v>
      </c>
      <c r="K55">
        <v>2</v>
      </c>
      <c r="L55" t="s">
        <v>41</v>
      </c>
      <c r="M55" t="s">
        <v>42</v>
      </c>
      <c r="N55" t="s">
        <v>43</v>
      </c>
      <c r="O55" s="7">
        <v>2</v>
      </c>
      <c r="P55" s="8">
        <v>45274.746828703705</v>
      </c>
      <c r="Q55" s="9">
        <v>45276</v>
      </c>
      <c r="R55" t="s">
        <v>37</v>
      </c>
      <c r="S55" t="s">
        <v>44</v>
      </c>
      <c r="T55" t="s">
        <v>45</v>
      </c>
      <c r="U55" t="s">
        <v>53</v>
      </c>
      <c r="V55" t="s">
        <v>252</v>
      </c>
      <c r="W55">
        <v>56000</v>
      </c>
      <c r="X55" t="s">
        <v>44</v>
      </c>
      <c r="Y55" t="s">
        <v>52</v>
      </c>
      <c r="Z55" t="s">
        <v>49</v>
      </c>
      <c r="AA55" s="10">
        <f>IF(O55&lt;=1,7,7+0.8*ROUNDUP(O55-1,0))</f>
        <v>7.8</v>
      </c>
      <c r="AB55" s="11">
        <v>0</v>
      </c>
      <c r="AC55" s="11">
        <v>0</v>
      </c>
      <c r="AD55" s="11">
        <v>0</v>
      </c>
      <c r="AE55" s="11">
        <v>0</v>
      </c>
      <c r="AF55" s="11">
        <f t="shared" si="0"/>
        <v>0.46799999999999997</v>
      </c>
      <c r="AG55" s="11">
        <f t="shared" si="1"/>
        <v>8.2680000000000007</v>
      </c>
      <c r="AH55" t="s">
        <v>44</v>
      </c>
    </row>
    <row r="56" spans="1:34" ht="15" customHeight="1" x14ac:dyDescent="0.35">
      <c r="A56">
        <v>7547676</v>
      </c>
      <c r="B56">
        <v>690929</v>
      </c>
      <c r="C56" t="s">
        <v>34</v>
      </c>
      <c r="D56" t="s">
        <v>35</v>
      </c>
      <c r="E56" s="6" t="s">
        <v>34</v>
      </c>
      <c r="F56" t="s">
        <v>253</v>
      </c>
      <c r="G56" t="s">
        <v>37</v>
      </c>
      <c r="H56" t="s">
        <v>38</v>
      </c>
      <c r="I56" t="s">
        <v>254</v>
      </c>
      <c r="J56" t="s">
        <v>40</v>
      </c>
      <c r="K56">
        <v>2</v>
      </c>
      <c r="L56" t="s">
        <v>41</v>
      </c>
      <c r="M56" t="s">
        <v>42</v>
      </c>
      <c r="N56" t="s">
        <v>43</v>
      </c>
      <c r="O56" s="7">
        <v>1</v>
      </c>
      <c r="P56" s="8">
        <v>45276.68304398148</v>
      </c>
      <c r="Q56" s="9">
        <v>45277</v>
      </c>
      <c r="R56" t="s">
        <v>37</v>
      </c>
      <c r="S56" t="s">
        <v>44</v>
      </c>
      <c r="T56" t="s">
        <v>45</v>
      </c>
      <c r="U56" t="s">
        <v>115</v>
      </c>
      <c r="V56" t="s">
        <v>255</v>
      </c>
      <c r="W56">
        <v>16300</v>
      </c>
      <c r="X56" t="s">
        <v>44</v>
      </c>
      <c r="Y56" t="s">
        <v>76</v>
      </c>
      <c r="Z56" t="s">
        <v>49</v>
      </c>
      <c r="AA56" s="10">
        <f>IF(O56&lt;=1,7,7+0.8*ROUNDUP(O56-1,0))</f>
        <v>7</v>
      </c>
      <c r="AB56" s="11">
        <v>0</v>
      </c>
      <c r="AC56" s="11">
        <v>0</v>
      </c>
      <c r="AD56" s="11">
        <v>0</v>
      </c>
      <c r="AE56" s="11">
        <v>0</v>
      </c>
      <c r="AF56" s="11">
        <f t="shared" si="0"/>
        <v>0.42</v>
      </c>
      <c r="AG56" s="11">
        <f t="shared" si="1"/>
        <v>7.42</v>
      </c>
      <c r="AH56" t="s">
        <v>44</v>
      </c>
    </row>
    <row r="57" spans="1:34" ht="15" customHeight="1" x14ac:dyDescent="0.35">
      <c r="A57">
        <v>7547676</v>
      </c>
      <c r="B57">
        <v>690929</v>
      </c>
      <c r="C57" t="s">
        <v>34</v>
      </c>
      <c r="D57" t="s">
        <v>35</v>
      </c>
      <c r="E57" s="6" t="s">
        <v>34</v>
      </c>
      <c r="F57" t="s">
        <v>256</v>
      </c>
      <c r="G57" t="s">
        <v>37</v>
      </c>
      <c r="H57" t="s">
        <v>38</v>
      </c>
      <c r="I57" t="s">
        <v>257</v>
      </c>
      <c r="J57" t="s">
        <v>40</v>
      </c>
      <c r="K57">
        <v>2</v>
      </c>
      <c r="L57" t="s">
        <v>41</v>
      </c>
      <c r="M57" t="s">
        <v>42</v>
      </c>
      <c r="N57" t="s">
        <v>43</v>
      </c>
      <c r="O57" s="7">
        <v>1</v>
      </c>
      <c r="P57" s="8">
        <v>45276.695185185185</v>
      </c>
      <c r="Q57" s="9">
        <v>45277</v>
      </c>
      <c r="R57" t="s">
        <v>37</v>
      </c>
      <c r="S57" t="s">
        <v>44</v>
      </c>
      <c r="T57" t="s">
        <v>45</v>
      </c>
      <c r="U57" t="s">
        <v>258</v>
      </c>
      <c r="V57" t="s">
        <v>259</v>
      </c>
      <c r="W57">
        <v>22000</v>
      </c>
      <c r="X57" t="s">
        <v>44</v>
      </c>
      <c r="Y57" t="s">
        <v>260</v>
      </c>
      <c r="Z57" t="s">
        <v>49</v>
      </c>
      <c r="AA57" s="10">
        <f>IF(O57&lt;=1,7,7+0.8*ROUNDUP(O57-1,0))</f>
        <v>7</v>
      </c>
      <c r="AB57" s="11">
        <v>0</v>
      </c>
      <c r="AC57" s="11">
        <v>0</v>
      </c>
      <c r="AD57" s="11">
        <v>0</v>
      </c>
      <c r="AE57" s="11">
        <v>0</v>
      </c>
      <c r="AF57" s="11">
        <f t="shared" si="0"/>
        <v>0.42</v>
      </c>
      <c r="AG57" s="11">
        <f t="shared" si="1"/>
        <v>7.42</v>
      </c>
      <c r="AH57" t="s">
        <v>44</v>
      </c>
    </row>
    <row r="58" spans="1:34" ht="15" customHeight="1" x14ac:dyDescent="0.35">
      <c r="A58">
        <v>7547676</v>
      </c>
      <c r="B58">
        <v>690929</v>
      </c>
      <c r="C58" t="s">
        <v>34</v>
      </c>
      <c r="D58" t="s">
        <v>35</v>
      </c>
      <c r="E58" s="6" t="s">
        <v>34</v>
      </c>
      <c r="F58" t="s">
        <v>261</v>
      </c>
      <c r="G58" t="s">
        <v>37</v>
      </c>
      <c r="H58" t="s">
        <v>38</v>
      </c>
      <c r="I58" t="s">
        <v>262</v>
      </c>
      <c r="J58" t="s">
        <v>40</v>
      </c>
      <c r="K58">
        <v>2</v>
      </c>
      <c r="L58" t="s">
        <v>41</v>
      </c>
      <c r="M58" t="s">
        <v>42</v>
      </c>
      <c r="N58" t="s">
        <v>43</v>
      </c>
      <c r="O58" s="7">
        <v>5</v>
      </c>
      <c r="P58" s="8">
        <v>45276.697152777779</v>
      </c>
      <c r="Q58" s="9">
        <v>45277</v>
      </c>
      <c r="R58" t="s">
        <v>37</v>
      </c>
      <c r="S58" t="s">
        <v>44</v>
      </c>
      <c r="T58" t="s">
        <v>45</v>
      </c>
      <c r="U58" t="s">
        <v>68</v>
      </c>
      <c r="V58" t="s">
        <v>263</v>
      </c>
      <c r="W58">
        <v>47100</v>
      </c>
      <c r="X58" t="s">
        <v>44</v>
      </c>
      <c r="Y58" t="s">
        <v>108</v>
      </c>
      <c r="Z58" t="s">
        <v>49</v>
      </c>
      <c r="AA58" s="10">
        <f>IF(O58&lt;=1,7,7+0.8*ROUNDUP(O58-1,0))</f>
        <v>10.199999999999999</v>
      </c>
      <c r="AB58" s="11">
        <v>0</v>
      </c>
      <c r="AC58" s="11">
        <v>0</v>
      </c>
      <c r="AD58" s="11">
        <v>0</v>
      </c>
      <c r="AE58" s="11">
        <v>0</v>
      </c>
      <c r="AF58" s="11">
        <f t="shared" si="0"/>
        <v>0.61199999999999999</v>
      </c>
      <c r="AG58" s="11">
        <f t="shared" si="1"/>
        <v>10.811999999999999</v>
      </c>
      <c r="AH58" t="s">
        <v>44</v>
      </c>
    </row>
    <row r="59" spans="1:34" ht="15" customHeight="1" x14ac:dyDescent="0.35">
      <c r="A59">
        <v>7547676</v>
      </c>
      <c r="B59">
        <v>690929</v>
      </c>
      <c r="C59" t="s">
        <v>34</v>
      </c>
      <c r="D59" t="s">
        <v>35</v>
      </c>
      <c r="E59" s="6" t="s">
        <v>34</v>
      </c>
      <c r="F59" t="s">
        <v>264</v>
      </c>
      <c r="G59" t="s">
        <v>37</v>
      </c>
      <c r="H59" t="s">
        <v>38</v>
      </c>
      <c r="I59" t="s">
        <v>265</v>
      </c>
      <c r="J59" t="s">
        <v>40</v>
      </c>
      <c r="K59">
        <v>2</v>
      </c>
      <c r="L59" t="s">
        <v>41</v>
      </c>
      <c r="M59" t="s">
        <v>42</v>
      </c>
      <c r="N59" t="s">
        <v>43</v>
      </c>
      <c r="O59" s="7">
        <v>2</v>
      </c>
      <c r="P59" s="8">
        <v>45274.684062499997</v>
      </c>
      <c r="Q59" s="9">
        <v>45277</v>
      </c>
      <c r="R59" t="s">
        <v>37</v>
      </c>
      <c r="S59" t="s">
        <v>44</v>
      </c>
      <c r="T59" t="s">
        <v>45</v>
      </c>
      <c r="U59" t="s">
        <v>94</v>
      </c>
      <c r="V59" t="s">
        <v>266</v>
      </c>
      <c r="W59">
        <v>10150</v>
      </c>
      <c r="X59" t="s">
        <v>44</v>
      </c>
      <c r="Y59" t="s">
        <v>267</v>
      </c>
      <c r="Z59" t="s">
        <v>49</v>
      </c>
      <c r="AA59" s="10">
        <f>IF(O59&lt;=1,7,7+0.8*ROUNDUP(O59-1,0))</f>
        <v>7.8</v>
      </c>
      <c r="AB59" s="11">
        <v>0</v>
      </c>
      <c r="AC59" s="11">
        <v>0</v>
      </c>
      <c r="AD59" s="11">
        <v>0</v>
      </c>
      <c r="AE59" s="11">
        <v>0</v>
      </c>
      <c r="AF59" s="11">
        <f t="shared" si="0"/>
        <v>0.46799999999999997</v>
      </c>
      <c r="AG59" s="11">
        <f t="shared" si="1"/>
        <v>8.2680000000000007</v>
      </c>
      <c r="AH59" t="s">
        <v>44</v>
      </c>
    </row>
    <row r="60" spans="1:34" ht="15" customHeight="1" x14ac:dyDescent="0.35">
      <c r="A60">
        <v>7547676</v>
      </c>
      <c r="B60">
        <v>690929</v>
      </c>
      <c r="C60" t="s">
        <v>34</v>
      </c>
      <c r="D60" t="s">
        <v>35</v>
      </c>
      <c r="E60" s="6" t="s">
        <v>34</v>
      </c>
      <c r="F60" t="s">
        <v>268</v>
      </c>
      <c r="G60" t="s">
        <v>37</v>
      </c>
      <c r="H60" t="s">
        <v>38</v>
      </c>
      <c r="I60" t="s">
        <v>269</v>
      </c>
      <c r="J60" t="s">
        <v>40</v>
      </c>
      <c r="K60">
        <v>2</v>
      </c>
      <c r="L60" t="s">
        <v>41</v>
      </c>
      <c r="M60" t="s">
        <v>42</v>
      </c>
      <c r="N60" t="s">
        <v>43</v>
      </c>
      <c r="O60" s="7">
        <v>1</v>
      </c>
      <c r="P60" s="8">
        <v>45275.437685185185</v>
      </c>
      <c r="Q60" s="9">
        <v>45277</v>
      </c>
      <c r="R60" t="s">
        <v>37</v>
      </c>
      <c r="S60" t="s">
        <v>44</v>
      </c>
      <c r="T60" t="s">
        <v>45</v>
      </c>
      <c r="U60" t="s">
        <v>258</v>
      </c>
      <c r="V60" t="s">
        <v>270</v>
      </c>
      <c r="W60">
        <v>23000</v>
      </c>
      <c r="X60" t="s">
        <v>44</v>
      </c>
      <c r="Y60" t="s">
        <v>260</v>
      </c>
      <c r="Z60" t="s">
        <v>49</v>
      </c>
      <c r="AA60" s="10">
        <f>IF(O60&lt;=1,7,7+0.8*ROUNDUP(O60-1,0))</f>
        <v>7</v>
      </c>
      <c r="AB60" s="11">
        <v>0</v>
      </c>
      <c r="AC60" s="11">
        <v>0</v>
      </c>
      <c r="AD60" s="11">
        <v>0</v>
      </c>
      <c r="AE60" s="11">
        <v>0</v>
      </c>
      <c r="AF60" s="11">
        <f t="shared" si="0"/>
        <v>0.42</v>
      </c>
      <c r="AG60" s="11">
        <f t="shared" si="1"/>
        <v>7.42</v>
      </c>
      <c r="AH60" t="s">
        <v>44</v>
      </c>
    </row>
    <row r="61" spans="1:34" ht="15" customHeight="1" x14ac:dyDescent="0.35">
      <c r="A61">
        <v>7547676</v>
      </c>
      <c r="B61">
        <v>690929</v>
      </c>
      <c r="C61" t="s">
        <v>34</v>
      </c>
      <c r="D61" t="s">
        <v>35</v>
      </c>
      <c r="E61" s="6" t="s">
        <v>34</v>
      </c>
      <c r="F61" t="s">
        <v>271</v>
      </c>
      <c r="G61" t="s">
        <v>37</v>
      </c>
      <c r="H61" t="s">
        <v>38</v>
      </c>
      <c r="I61" t="s">
        <v>272</v>
      </c>
      <c r="J61" t="s">
        <v>40</v>
      </c>
      <c r="K61">
        <v>2</v>
      </c>
      <c r="L61" t="s">
        <v>41</v>
      </c>
      <c r="M61" t="s">
        <v>42</v>
      </c>
      <c r="N61" t="s">
        <v>43</v>
      </c>
      <c r="O61" s="7">
        <v>3</v>
      </c>
      <c r="P61" s="8">
        <v>45274.669212962966</v>
      </c>
      <c r="Q61" s="9">
        <v>45277</v>
      </c>
      <c r="R61" t="s">
        <v>37</v>
      </c>
      <c r="S61" t="s">
        <v>44</v>
      </c>
      <c r="T61" t="s">
        <v>52</v>
      </c>
      <c r="U61" t="s">
        <v>68</v>
      </c>
      <c r="V61" t="s">
        <v>273</v>
      </c>
      <c r="W61">
        <v>52200</v>
      </c>
      <c r="X61" t="s">
        <v>44</v>
      </c>
      <c r="Y61" t="s">
        <v>52</v>
      </c>
      <c r="Z61" t="s">
        <v>49</v>
      </c>
      <c r="AA61" s="10">
        <f>IF(O61&lt;=1,7,7+0.8*ROUNDUP(O61-1,0))</f>
        <v>8.6</v>
      </c>
      <c r="AB61" s="11">
        <v>0</v>
      </c>
      <c r="AC61" s="11">
        <v>0</v>
      </c>
      <c r="AD61" s="11">
        <v>0</v>
      </c>
      <c r="AE61" s="11">
        <v>0</v>
      </c>
      <c r="AF61" s="11">
        <f t="shared" si="0"/>
        <v>0.51600000000000001</v>
      </c>
      <c r="AG61" s="11">
        <f t="shared" si="1"/>
        <v>9.1159999999999997</v>
      </c>
      <c r="AH61" t="s">
        <v>44</v>
      </c>
    </row>
    <row r="62" spans="1:34" ht="15" customHeight="1" x14ac:dyDescent="0.35">
      <c r="A62">
        <v>7547676</v>
      </c>
      <c r="B62">
        <v>690929</v>
      </c>
      <c r="C62" t="s">
        <v>34</v>
      </c>
      <c r="D62" t="s">
        <v>35</v>
      </c>
      <c r="E62" s="6" t="s">
        <v>34</v>
      </c>
      <c r="F62" t="s">
        <v>274</v>
      </c>
      <c r="G62" t="s">
        <v>37</v>
      </c>
      <c r="H62" t="s">
        <v>38</v>
      </c>
      <c r="I62" t="s">
        <v>275</v>
      </c>
      <c r="J62" t="s">
        <v>40</v>
      </c>
      <c r="K62">
        <v>2</v>
      </c>
      <c r="L62" t="s">
        <v>41</v>
      </c>
      <c r="M62" t="s">
        <v>42</v>
      </c>
      <c r="N62" t="s">
        <v>43</v>
      </c>
      <c r="O62" s="7">
        <v>1</v>
      </c>
      <c r="P62" s="8">
        <v>45276.68304398148</v>
      </c>
      <c r="Q62" s="9">
        <v>45277</v>
      </c>
      <c r="R62" t="s">
        <v>37</v>
      </c>
      <c r="S62" t="s">
        <v>44</v>
      </c>
      <c r="T62" t="s">
        <v>45</v>
      </c>
      <c r="U62" t="s">
        <v>258</v>
      </c>
      <c r="V62" t="s">
        <v>276</v>
      </c>
      <c r="W62">
        <v>22000</v>
      </c>
      <c r="X62" t="s">
        <v>44</v>
      </c>
      <c r="Y62" t="s">
        <v>76</v>
      </c>
      <c r="Z62" t="s">
        <v>49</v>
      </c>
      <c r="AA62" s="10">
        <f>IF(O62&lt;=1,7,7+0.8*ROUNDUP(O62-1,0))</f>
        <v>7</v>
      </c>
      <c r="AB62" s="11">
        <v>0</v>
      </c>
      <c r="AC62" s="11">
        <v>0</v>
      </c>
      <c r="AD62" s="11">
        <v>0</v>
      </c>
      <c r="AE62" s="11">
        <v>0</v>
      </c>
      <c r="AF62" s="11">
        <f t="shared" si="0"/>
        <v>0.42</v>
      </c>
      <c r="AG62" s="11">
        <f t="shared" si="1"/>
        <v>7.42</v>
      </c>
      <c r="AH62" t="s">
        <v>44</v>
      </c>
    </row>
    <row r="63" spans="1:34" ht="15" customHeight="1" x14ac:dyDescent="0.35">
      <c r="A63">
        <v>7547676</v>
      </c>
      <c r="B63">
        <v>690929</v>
      </c>
      <c r="C63" t="s">
        <v>34</v>
      </c>
      <c r="D63" t="s">
        <v>35</v>
      </c>
      <c r="E63" s="6" t="s">
        <v>34</v>
      </c>
      <c r="F63" t="s">
        <v>277</v>
      </c>
      <c r="G63" t="s">
        <v>37</v>
      </c>
      <c r="H63" t="s">
        <v>38</v>
      </c>
      <c r="I63" t="s">
        <v>278</v>
      </c>
      <c r="J63" t="s">
        <v>40</v>
      </c>
      <c r="K63">
        <v>2</v>
      </c>
      <c r="L63" t="s">
        <v>41</v>
      </c>
      <c r="M63" t="s">
        <v>42</v>
      </c>
      <c r="N63" t="s">
        <v>43</v>
      </c>
      <c r="O63" s="7">
        <v>12</v>
      </c>
      <c r="P63" s="8">
        <v>45275.51390046296</v>
      </c>
      <c r="Q63" s="9">
        <v>45278</v>
      </c>
      <c r="R63" t="s">
        <v>37</v>
      </c>
      <c r="S63" t="s">
        <v>44</v>
      </c>
      <c r="T63" t="s">
        <v>45</v>
      </c>
      <c r="U63" t="s">
        <v>279</v>
      </c>
      <c r="V63" t="s">
        <v>280</v>
      </c>
      <c r="W63">
        <v>91207</v>
      </c>
      <c r="X63" t="s">
        <v>242</v>
      </c>
      <c r="Y63" t="s">
        <v>281</v>
      </c>
      <c r="Z63" t="s">
        <v>49</v>
      </c>
      <c r="AA63" s="12">
        <f>IF(O63&lt;=1,13,IF(O63&lt;=2,23,IF(O63&lt;=3,35,IF(O63&lt;=4,43,IF(O63&lt;=5,53,IF(O63&lt;=6,63,IF(O63&lt;=7,71,IF(O63&lt;=8,79,IF(O63&lt;=9,87,IF(O63&lt;=10,95,IF(O63&lt;=11,105,IF(O63&lt;=12,114,IF(O63&lt;=13,119,IF(O63&lt;=14,127,IF(O63&lt;=15,135,IF(O63&lt;=16,143,IF(O63&lt;=17,153,IF(O63&lt;=18,163,IF(O63&lt;=19,171,IF(O63&lt;=20,185,IF(O63&lt;=21,193,IF(O63&lt;=22,201,IF(O63&lt;=23,210,IF(O63&lt;=24,220,IF(O63&lt;=25,230,IF(O63&lt;=26,240,IF(O63&lt;=27,250,IF(O63&lt;=28,260,IF(O63&lt;=29,270,IF(O63&lt;=30,280,280+10*ROUNDUP(O63-30,0)))))))))))))))))))))))))))))))</f>
        <v>114</v>
      </c>
      <c r="AB63" s="11">
        <v>0</v>
      </c>
      <c r="AC63" s="11">
        <v>0</v>
      </c>
      <c r="AD63" s="11">
        <v>0</v>
      </c>
      <c r="AE63" s="11">
        <v>0</v>
      </c>
      <c r="AF63" s="11">
        <f t="shared" si="0"/>
        <v>6.84</v>
      </c>
      <c r="AG63" s="11">
        <f t="shared" si="1"/>
        <v>120.84</v>
      </c>
      <c r="AH63" t="s">
        <v>242</v>
      </c>
    </row>
    <row r="64" spans="1:34" ht="15" customHeight="1" x14ac:dyDescent="0.35">
      <c r="A64">
        <v>7547676</v>
      </c>
      <c r="B64">
        <v>690929</v>
      </c>
      <c r="C64" t="s">
        <v>34</v>
      </c>
      <c r="D64" t="s">
        <v>35</v>
      </c>
      <c r="E64" s="6" t="s">
        <v>34</v>
      </c>
      <c r="F64" t="s">
        <v>282</v>
      </c>
      <c r="G64" t="s">
        <v>37</v>
      </c>
      <c r="H64" t="s">
        <v>38</v>
      </c>
      <c r="I64" t="s">
        <v>283</v>
      </c>
      <c r="J64" t="s">
        <v>40</v>
      </c>
      <c r="K64">
        <v>2</v>
      </c>
      <c r="L64" t="s">
        <v>41</v>
      </c>
      <c r="M64" t="s">
        <v>42</v>
      </c>
      <c r="N64" t="s">
        <v>43</v>
      </c>
      <c r="O64" s="7">
        <v>1</v>
      </c>
      <c r="P64" s="8">
        <v>45276.489236111112</v>
      </c>
      <c r="Q64" s="9">
        <v>45278</v>
      </c>
      <c r="R64" t="s">
        <v>37</v>
      </c>
      <c r="S64" t="s">
        <v>44</v>
      </c>
      <c r="T64" t="s">
        <v>45</v>
      </c>
      <c r="U64" t="s">
        <v>46</v>
      </c>
      <c r="V64" t="s">
        <v>284</v>
      </c>
      <c r="W64">
        <v>86400</v>
      </c>
      <c r="X64" t="s">
        <v>44</v>
      </c>
      <c r="Y64" t="s">
        <v>285</v>
      </c>
      <c r="Z64" t="s">
        <v>49</v>
      </c>
      <c r="AA64" s="10">
        <f>IF(O64&lt;=1,7,7+0.8*ROUNDUP(O64-1,0))</f>
        <v>7</v>
      </c>
      <c r="AB64" s="11">
        <v>0</v>
      </c>
      <c r="AC64" s="11">
        <v>0</v>
      </c>
      <c r="AD64" s="11">
        <v>0</v>
      </c>
      <c r="AE64" s="11">
        <v>0</v>
      </c>
      <c r="AF64" s="11">
        <f t="shared" si="0"/>
        <v>0.42</v>
      </c>
      <c r="AG64" s="11">
        <f t="shared" si="1"/>
        <v>7.42</v>
      </c>
      <c r="AH64" t="s">
        <v>44</v>
      </c>
    </row>
    <row r="65" spans="1:34" ht="15" customHeight="1" x14ac:dyDescent="0.35">
      <c r="A65">
        <v>7547676</v>
      </c>
      <c r="B65">
        <v>690929</v>
      </c>
      <c r="C65" t="s">
        <v>34</v>
      </c>
      <c r="D65" t="s">
        <v>35</v>
      </c>
      <c r="E65" s="6" t="s">
        <v>34</v>
      </c>
      <c r="F65" t="s">
        <v>286</v>
      </c>
      <c r="G65" t="s">
        <v>37</v>
      </c>
      <c r="H65" t="s">
        <v>38</v>
      </c>
      <c r="I65" t="s">
        <v>278</v>
      </c>
      <c r="J65" t="s">
        <v>40</v>
      </c>
      <c r="K65">
        <v>2</v>
      </c>
      <c r="L65" t="s">
        <v>41</v>
      </c>
      <c r="M65" t="s">
        <v>42</v>
      </c>
      <c r="N65" t="s">
        <v>43</v>
      </c>
      <c r="O65" s="7">
        <v>8</v>
      </c>
      <c r="P65" s="8">
        <v>45275.51390046296</v>
      </c>
      <c r="Q65" s="9">
        <v>45278</v>
      </c>
      <c r="R65" t="s">
        <v>37</v>
      </c>
      <c r="S65" t="s">
        <v>44</v>
      </c>
      <c r="T65" t="s">
        <v>45</v>
      </c>
      <c r="U65" t="s">
        <v>279</v>
      </c>
      <c r="V65" t="s">
        <v>280</v>
      </c>
      <c r="W65">
        <v>91207</v>
      </c>
      <c r="X65" t="s">
        <v>242</v>
      </c>
      <c r="Y65" t="s">
        <v>281</v>
      </c>
      <c r="Z65" t="s">
        <v>49</v>
      </c>
      <c r="AA65" s="12">
        <f>IF(O65&lt;=1,13,IF(O65&lt;=2,23,IF(O65&lt;=3,35,IF(O65&lt;=4,43,IF(O65&lt;=5,53,IF(O65&lt;=6,63,IF(O65&lt;=7,71,IF(O65&lt;=8,79,IF(O65&lt;=9,87,IF(O65&lt;=10,95,IF(O65&lt;=11,105,IF(O65&lt;=12,114,IF(O65&lt;=13,119,IF(O65&lt;=14,127,IF(O65&lt;=15,135,IF(O65&lt;=16,143,IF(O65&lt;=17,153,IF(O65&lt;=18,163,IF(O65&lt;=19,171,IF(O65&lt;=20,185,IF(O65&lt;=21,193,IF(O65&lt;=22,201,IF(O65&lt;=23,210,IF(O65&lt;=24,220,IF(O65&lt;=25,230,IF(O65&lt;=26,240,IF(O65&lt;=27,250,IF(O65&lt;=28,260,IF(O65&lt;=29,270,IF(O65&lt;=30,280,280+10*ROUNDUP(O65-30,0)))))))))))))))))))))))))))))))</f>
        <v>79</v>
      </c>
      <c r="AB65" s="11">
        <v>0</v>
      </c>
      <c r="AC65" s="11">
        <v>0</v>
      </c>
      <c r="AD65" s="11">
        <v>0</v>
      </c>
      <c r="AE65" s="11">
        <v>0</v>
      </c>
      <c r="AF65" s="11">
        <f t="shared" si="0"/>
        <v>4.74</v>
      </c>
      <c r="AG65" s="11">
        <f t="shared" si="1"/>
        <v>83.74</v>
      </c>
      <c r="AH65" t="s">
        <v>242</v>
      </c>
    </row>
    <row r="66" spans="1:34" ht="15" customHeight="1" x14ac:dyDescent="0.35">
      <c r="A66">
        <v>7547676</v>
      </c>
      <c r="B66">
        <v>690929</v>
      </c>
      <c r="C66" t="s">
        <v>34</v>
      </c>
      <c r="D66" t="s">
        <v>35</v>
      </c>
      <c r="E66" s="6" t="s">
        <v>34</v>
      </c>
      <c r="F66" t="s">
        <v>287</v>
      </c>
      <c r="G66" t="s">
        <v>37</v>
      </c>
      <c r="H66" t="s">
        <v>38</v>
      </c>
      <c r="I66" t="s">
        <v>288</v>
      </c>
      <c r="J66" t="s">
        <v>40</v>
      </c>
      <c r="K66">
        <v>2</v>
      </c>
      <c r="L66" t="s">
        <v>41</v>
      </c>
      <c r="M66" t="s">
        <v>42</v>
      </c>
      <c r="N66" t="s">
        <v>43</v>
      </c>
      <c r="O66" s="7">
        <v>1</v>
      </c>
      <c r="P66" s="8">
        <v>45277.704409722224</v>
      </c>
      <c r="Q66" s="9">
        <v>45278</v>
      </c>
      <c r="R66" t="s">
        <v>37</v>
      </c>
      <c r="S66" t="s">
        <v>44</v>
      </c>
      <c r="T66" t="s">
        <v>45</v>
      </c>
      <c r="U66" t="s">
        <v>53</v>
      </c>
      <c r="V66" t="s">
        <v>289</v>
      </c>
      <c r="W66">
        <v>50586</v>
      </c>
      <c r="X66" t="s">
        <v>44</v>
      </c>
      <c r="Y66" t="s">
        <v>290</v>
      </c>
      <c r="Z66" t="s">
        <v>49</v>
      </c>
      <c r="AA66" s="10">
        <f>IF(O66&lt;=1,7,7+0.8*ROUNDUP(O66-1,0))</f>
        <v>7</v>
      </c>
      <c r="AB66" s="11">
        <v>0</v>
      </c>
      <c r="AC66" s="11">
        <v>0</v>
      </c>
      <c r="AD66" s="11">
        <v>0</v>
      </c>
      <c r="AE66" s="11">
        <v>0</v>
      </c>
      <c r="AF66" s="11">
        <f t="shared" ref="AF66:AF129" si="2">(AA66+AC66+AE66)*6%</f>
        <v>0.42</v>
      </c>
      <c r="AG66" s="11">
        <f t="shared" ref="AG66:AG129" si="3">AA66+AC66+AE66+AF66</f>
        <v>7.42</v>
      </c>
      <c r="AH66" t="s">
        <v>44</v>
      </c>
    </row>
    <row r="67" spans="1:34" ht="15" customHeight="1" x14ac:dyDescent="0.35">
      <c r="A67">
        <v>7547676</v>
      </c>
      <c r="B67">
        <v>690929</v>
      </c>
      <c r="C67" t="s">
        <v>34</v>
      </c>
      <c r="D67" t="s">
        <v>35</v>
      </c>
      <c r="E67" s="6" t="s">
        <v>34</v>
      </c>
      <c r="F67" t="s">
        <v>291</v>
      </c>
      <c r="G67" t="s">
        <v>37</v>
      </c>
      <c r="H67" t="s">
        <v>38</v>
      </c>
      <c r="I67" t="s">
        <v>292</v>
      </c>
      <c r="J67" t="s">
        <v>40</v>
      </c>
      <c r="K67">
        <v>2</v>
      </c>
      <c r="L67" t="s">
        <v>41</v>
      </c>
      <c r="M67" t="s">
        <v>42</v>
      </c>
      <c r="N67" t="s">
        <v>43</v>
      </c>
      <c r="O67" s="7">
        <v>1</v>
      </c>
      <c r="P67" s="8">
        <v>45277.690300925926</v>
      </c>
      <c r="Q67" s="9">
        <v>45278</v>
      </c>
      <c r="R67" t="s">
        <v>37</v>
      </c>
      <c r="S67" t="s">
        <v>44</v>
      </c>
      <c r="T67" t="s">
        <v>45</v>
      </c>
      <c r="U67" t="s">
        <v>68</v>
      </c>
      <c r="V67" t="s">
        <v>293</v>
      </c>
      <c r="W67">
        <v>48050</v>
      </c>
      <c r="X67" t="s">
        <v>44</v>
      </c>
      <c r="Y67" t="s">
        <v>165</v>
      </c>
      <c r="Z67" t="s">
        <v>49</v>
      </c>
      <c r="AA67" s="10">
        <f>IF(O67&lt;=1,7,7+0.8*ROUNDUP(O67-1,0))</f>
        <v>7</v>
      </c>
      <c r="AB67" s="11">
        <v>0</v>
      </c>
      <c r="AC67" s="11">
        <v>0</v>
      </c>
      <c r="AD67" s="11">
        <v>0</v>
      </c>
      <c r="AE67" s="11">
        <v>0</v>
      </c>
      <c r="AF67" s="11">
        <f t="shared" si="2"/>
        <v>0.42</v>
      </c>
      <c r="AG67" s="11">
        <f t="shared" si="3"/>
        <v>7.42</v>
      </c>
      <c r="AH67" t="s">
        <v>44</v>
      </c>
    </row>
    <row r="68" spans="1:34" ht="15" customHeight="1" x14ac:dyDescent="0.35">
      <c r="A68">
        <v>7547676</v>
      </c>
      <c r="B68">
        <v>690929</v>
      </c>
      <c r="C68" t="s">
        <v>34</v>
      </c>
      <c r="D68" t="s">
        <v>35</v>
      </c>
      <c r="E68" s="6" t="s">
        <v>34</v>
      </c>
      <c r="F68" t="s">
        <v>294</v>
      </c>
      <c r="G68" t="s">
        <v>37</v>
      </c>
      <c r="H68" t="s">
        <v>38</v>
      </c>
      <c r="I68" t="s">
        <v>295</v>
      </c>
      <c r="J68" t="s">
        <v>40</v>
      </c>
      <c r="K68">
        <v>2</v>
      </c>
      <c r="L68" t="s">
        <v>41</v>
      </c>
      <c r="M68" t="s">
        <v>42</v>
      </c>
      <c r="N68" t="s">
        <v>43</v>
      </c>
      <c r="O68" s="7">
        <v>1</v>
      </c>
      <c r="P68" s="8">
        <v>45277.553368055553</v>
      </c>
      <c r="Q68" s="9">
        <v>45278</v>
      </c>
      <c r="R68" t="s">
        <v>37</v>
      </c>
      <c r="S68" t="s">
        <v>44</v>
      </c>
      <c r="T68" t="s">
        <v>45</v>
      </c>
      <c r="U68" t="s">
        <v>258</v>
      </c>
      <c r="V68" t="s">
        <v>296</v>
      </c>
      <c r="W68">
        <v>22200</v>
      </c>
      <c r="X68" t="s">
        <v>44</v>
      </c>
      <c r="Y68" t="s">
        <v>76</v>
      </c>
      <c r="Z68" t="s">
        <v>49</v>
      </c>
      <c r="AA68" s="10">
        <f>IF(O68&lt;=1,7,7+0.8*ROUNDUP(O68-1,0))</f>
        <v>7</v>
      </c>
      <c r="AB68" s="11">
        <v>0</v>
      </c>
      <c r="AC68" s="11">
        <v>0</v>
      </c>
      <c r="AD68" s="11">
        <v>0</v>
      </c>
      <c r="AE68" s="11">
        <v>0</v>
      </c>
      <c r="AF68" s="11">
        <f t="shared" si="2"/>
        <v>0.42</v>
      </c>
      <c r="AG68" s="11">
        <f t="shared" si="3"/>
        <v>7.42</v>
      </c>
      <c r="AH68" t="s">
        <v>44</v>
      </c>
    </row>
    <row r="69" spans="1:34" ht="15" customHeight="1" x14ac:dyDescent="0.35">
      <c r="A69">
        <v>7547676</v>
      </c>
      <c r="B69">
        <v>690929</v>
      </c>
      <c r="C69" t="s">
        <v>34</v>
      </c>
      <c r="D69" t="s">
        <v>35</v>
      </c>
      <c r="E69" s="6" t="s">
        <v>34</v>
      </c>
      <c r="F69" t="s">
        <v>297</v>
      </c>
      <c r="G69" t="s">
        <v>37</v>
      </c>
      <c r="H69" t="s">
        <v>38</v>
      </c>
      <c r="I69" t="s">
        <v>298</v>
      </c>
      <c r="J69" t="s">
        <v>40</v>
      </c>
      <c r="K69">
        <v>2</v>
      </c>
      <c r="L69" t="s">
        <v>41</v>
      </c>
      <c r="M69" t="s">
        <v>42</v>
      </c>
      <c r="N69" t="s">
        <v>43</v>
      </c>
      <c r="O69" s="7">
        <v>1</v>
      </c>
      <c r="P69" s="8">
        <v>45273.661469907405</v>
      </c>
      <c r="Q69" s="9">
        <v>45278</v>
      </c>
      <c r="R69" t="s">
        <v>37</v>
      </c>
      <c r="S69" t="s">
        <v>44</v>
      </c>
      <c r="T69" t="s">
        <v>76</v>
      </c>
      <c r="U69" t="s">
        <v>240</v>
      </c>
      <c r="V69" t="s">
        <v>299</v>
      </c>
      <c r="W69">
        <v>93050</v>
      </c>
      <c r="X69" t="s">
        <v>242</v>
      </c>
      <c r="Y69" t="s">
        <v>52</v>
      </c>
      <c r="Z69" t="s">
        <v>49</v>
      </c>
      <c r="AA69" s="12">
        <f>IF(O69&lt;=1,13,IF(O69&lt;=2,23,IF(O69&lt;=3,35,IF(O69&lt;=4,43,IF(O69&lt;=5,53,IF(O69&lt;=6,63,IF(O69&lt;=7,71,IF(O69&lt;=8,79,IF(O69&lt;=9,87,IF(O69&lt;=10,95,IF(O69&lt;=11,105,IF(O69&lt;=12,114,IF(O69&lt;=13,119,IF(O69&lt;=14,127,IF(O69&lt;=15,135,IF(O69&lt;=16,143,IF(O69&lt;=17,153,IF(O69&lt;=18,163,IF(O69&lt;=19,171,IF(O69&lt;=20,185,IF(O69&lt;=21,193,IF(O69&lt;=22,201,IF(O69&lt;=23,210,IF(O69&lt;=24,220,IF(O69&lt;=25,230,IF(O69&lt;=26,240,IF(O69&lt;=27,250,IF(O69&lt;=28,260,IF(O69&lt;=29,270,IF(O69&lt;=30,280,280+10*ROUNDUP(O69-30,0)))))))))))))))))))))))))))))))</f>
        <v>13</v>
      </c>
      <c r="AB69" s="11">
        <v>0</v>
      </c>
      <c r="AC69" s="11">
        <v>0</v>
      </c>
      <c r="AD69" s="11">
        <v>0</v>
      </c>
      <c r="AE69" s="11">
        <v>0</v>
      </c>
      <c r="AF69" s="11">
        <f t="shared" si="2"/>
        <v>0.78</v>
      </c>
      <c r="AG69" s="11">
        <f t="shared" si="3"/>
        <v>13.78</v>
      </c>
      <c r="AH69" t="s">
        <v>242</v>
      </c>
    </row>
    <row r="70" spans="1:34" ht="15" customHeight="1" x14ac:dyDescent="0.35">
      <c r="A70">
        <v>7547676</v>
      </c>
      <c r="B70">
        <v>690929</v>
      </c>
      <c r="C70" t="s">
        <v>34</v>
      </c>
      <c r="D70" t="s">
        <v>35</v>
      </c>
      <c r="E70" s="6" t="s">
        <v>34</v>
      </c>
      <c r="F70" t="s">
        <v>300</v>
      </c>
      <c r="G70" t="s">
        <v>37</v>
      </c>
      <c r="H70" t="s">
        <v>38</v>
      </c>
      <c r="I70" t="s">
        <v>301</v>
      </c>
      <c r="J70" t="s">
        <v>40</v>
      </c>
      <c r="K70">
        <v>2</v>
      </c>
      <c r="L70" t="s">
        <v>41</v>
      </c>
      <c r="M70" t="s">
        <v>42</v>
      </c>
      <c r="N70" t="s">
        <v>43</v>
      </c>
      <c r="O70" s="7">
        <v>1</v>
      </c>
      <c r="P70" s="8">
        <v>45277.45385416667</v>
      </c>
      <c r="Q70" s="9">
        <v>45278</v>
      </c>
      <c r="R70" t="s">
        <v>37</v>
      </c>
      <c r="S70" t="s">
        <v>44</v>
      </c>
      <c r="T70" t="s">
        <v>45</v>
      </c>
      <c r="U70" t="s">
        <v>115</v>
      </c>
      <c r="V70" t="s">
        <v>302</v>
      </c>
      <c r="W70">
        <v>15150</v>
      </c>
      <c r="X70" t="s">
        <v>44</v>
      </c>
      <c r="Y70" t="s">
        <v>76</v>
      </c>
      <c r="Z70" t="s">
        <v>49</v>
      </c>
      <c r="AA70" s="10">
        <f>IF(O70&lt;=1,7,7+0.8*ROUNDUP(O70-1,0))</f>
        <v>7</v>
      </c>
      <c r="AB70" s="11">
        <v>0</v>
      </c>
      <c r="AC70" s="11">
        <v>0</v>
      </c>
      <c r="AD70" s="11">
        <v>0</v>
      </c>
      <c r="AE70" s="11">
        <v>0</v>
      </c>
      <c r="AF70" s="11">
        <f t="shared" si="2"/>
        <v>0.42</v>
      </c>
      <c r="AG70" s="11">
        <f t="shared" si="3"/>
        <v>7.42</v>
      </c>
      <c r="AH70" t="s">
        <v>44</v>
      </c>
    </row>
    <row r="71" spans="1:34" ht="15" customHeight="1" x14ac:dyDescent="0.35">
      <c r="A71">
        <v>7547676</v>
      </c>
      <c r="B71">
        <v>690929</v>
      </c>
      <c r="C71" t="s">
        <v>34</v>
      </c>
      <c r="D71" t="s">
        <v>35</v>
      </c>
      <c r="E71" s="6" t="s">
        <v>34</v>
      </c>
      <c r="F71" t="s">
        <v>303</v>
      </c>
      <c r="G71" t="s">
        <v>37</v>
      </c>
      <c r="H71" t="s">
        <v>38</v>
      </c>
      <c r="I71" t="s">
        <v>304</v>
      </c>
      <c r="J71" t="s">
        <v>40</v>
      </c>
      <c r="K71">
        <v>2</v>
      </c>
      <c r="L71" t="s">
        <v>41</v>
      </c>
      <c r="M71" t="s">
        <v>42</v>
      </c>
      <c r="N71" t="s">
        <v>43</v>
      </c>
      <c r="O71" s="7">
        <v>1</v>
      </c>
      <c r="P71" s="8">
        <v>45276.804097222222</v>
      </c>
      <c r="Q71" s="9">
        <v>45278</v>
      </c>
      <c r="R71" t="s">
        <v>37</v>
      </c>
      <c r="S71" t="s">
        <v>44</v>
      </c>
      <c r="T71" t="s">
        <v>45</v>
      </c>
      <c r="U71" t="s">
        <v>115</v>
      </c>
      <c r="V71" t="s">
        <v>305</v>
      </c>
      <c r="W71">
        <v>16250</v>
      </c>
      <c r="X71" t="s">
        <v>44</v>
      </c>
      <c r="Y71" t="s">
        <v>76</v>
      </c>
      <c r="Z71" t="s">
        <v>49</v>
      </c>
      <c r="AA71" s="10">
        <f>IF(O71&lt;=1,7,7+0.8*ROUNDUP(O71-1,0))</f>
        <v>7</v>
      </c>
      <c r="AB71" s="11">
        <v>0</v>
      </c>
      <c r="AC71" s="11">
        <v>0</v>
      </c>
      <c r="AD71" s="11">
        <v>0</v>
      </c>
      <c r="AE71" s="11">
        <v>0</v>
      </c>
      <c r="AF71" s="11">
        <f t="shared" si="2"/>
        <v>0.42</v>
      </c>
      <c r="AG71" s="11">
        <f t="shared" si="3"/>
        <v>7.42</v>
      </c>
      <c r="AH71" t="s">
        <v>44</v>
      </c>
    </row>
    <row r="72" spans="1:34" ht="15" customHeight="1" x14ac:dyDescent="0.35">
      <c r="A72">
        <v>7547676</v>
      </c>
      <c r="B72">
        <v>690929</v>
      </c>
      <c r="C72" t="s">
        <v>34</v>
      </c>
      <c r="D72" t="s">
        <v>35</v>
      </c>
      <c r="E72" s="6" t="s">
        <v>34</v>
      </c>
      <c r="F72" t="s">
        <v>306</v>
      </c>
      <c r="G72" t="s">
        <v>37</v>
      </c>
      <c r="H72" t="s">
        <v>38</v>
      </c>
      <c r="I72" t="s">
        <v>307</v>
      </c>
      <c r="J72" t="s">
        <v>40</v>
      </c>
      <c r="K72">
        <v>2</v>
      </c>
      <c r="L72" t="s">
        <v>41</v>
      </c>
      <c r="M72" t="s">
        <v>42</v>
      </c>
      <c r="N72" t="s">
        <v>43</v>
      </c>
      <c r="O72" s="7">
        <v>3</v>
      </c>
      <c r="P72" s="8">
        <v>45275.435613425929</v>
      </c>
      <c r="Q72" s="9">
        <v>45278</v>
      </c>
      <c r="R72" t="s">
        <v>37</v>
      </c>
      <c r="S72" t="s">
        <v>44</v>
      </c>
      <c r="T72" t="s">
        <v>45</v>
      </c>
      <c r="U72" t="s">
        <v>68</v>
      </c>
      <c r="V72" t="s">
        <v>308</v>
      </c>
      <c r="W72">
        <v>44000</v>
      </c>
      <c r="X72" t="s">
        <v>44</v>
      </c>
      <c r="Y72" t="s">
        <v>309</v>
      </c>
      <c r="Z72" t="s">
        <v>49</v>
      </c>
      <c r="AA72" s="10">
        <f>IF(O72&lt;=1,7,7+0.8*ROUNDUP(O72-1,0))</f>
        <v>8.6</v>
      </c>
      <c r="AB72" s="11">
        <v>0</v>
      </c>
      <c r="AC72" s="11">
        <v>0</v>
      </c>
      <c r="AD72" s="11">
        <v>0</v>
      </c>
      <c r="AE72" s="11">
        <v>0</v>
      </c>
      <c r="AF72" s="11">
        <f t="shared" si="2"/>
        <v>0.51600000000000001</v>
      </c>
      <c r="AG72" s="11">
        <f t="shared" si="3"/>
        <v>9.1159999999999997</v>
      </c>
      <c r="AH72" t="s">
        <v>44</v>
      </c>
    </row>
    <row r="73" spans="1:34" ht="15" customHeight="1" x14ac:dyDescent="0.35">
      <c r="A73">
        <v>7547676</v>
      </c>
      <c r="B73">
        <v>690929</v>
      </c>
      <c r="C73" t="s">
        <v>34</v>
      </c>
      <c r="D73" t="s">
        <v>35</v>
      </c>
      <c r="E73" s="6" t="s">
        <v>34</v>
      </c>
      <c r="F73" t="s">
        <v>310</v>
      </c>
      <c r="G73" t="s">
        <v>37</v>
      </c>
      <c r="H73" t="s">
        <v>38</v>
      </c>
      <c r="I73" t="s">
        <v>311</v>
      </c>
      <c r="J73" t="s">
        <v>40</v>
      </c>
      <c r="K73">
        <v>2</v>
      </c>
      <c r="L73" t="s">
        <v>41</v>
      </c>
      <c r="M73" t="s">
        <v>42</v>
      </c>
      <c r="N73" t="s">
        <v>43</v>
      </c>
      <c r="O73" s="7">
        <v>5</v>
      </c>
      <c r="P73" s="8">
        <v>45276.762106481481</v>
      </c>
      <c r="Q73" s="9">
        <v>45278</v>
      </c>
      <c r="R73" t="s">
        <v>37</v>
      </c>
      <c r="S73" t="s">
        <v>44</v>
      </c>
      <c r="T73" t="s">
        <v>45</v>
      </c>
      <c r="U73" t="s">
        <v>68</v>
      </c>
      <c r="V73" t="s">
        <v>312</v>
      </c>
      <c r="W73">
        <v>43900</v>
      </c>
      <c r="X73" t="s">
        <v>44</v>
      </c>
      <c r="Y73" t="s">
        <v>70</v>
      </c>
      <c r="Z73" t="s">
        <v>49</v>
      </c>
      <c r="AA73" s="10">
        <f>IF(O73&lt;=1,7,7+0.8*ROUNDUP(O73-1,0))</f>
        <v>10.199999999999999</v>
      </c>
      <c r="AB73" s="11">
        <v>0</v>
      </c>
      <c r="AC73" s="11">
        <v>0</v>
      </c>
      <c r="AD73" s="11">
        <v>0</v>
      </c>
      <c r="AE73" s="11">
        <v>0</v>
      </c>
      <c r="AF73" s="11">
        <f t="shared" si="2"/>
        <v>0.61199999999999999</v>
      </c>
      <c r="AG73" s="11">
        <f t="shared" si="3"/>
        <v>10.811999999999999</v>
      </c>
      <c r="AH73" t="s">
        <v>44</v>
      </c>
    </row>
    <row r="74" spans="1:34" ht="15" customHeight="1" x14ac:dyDescent="0.35">
      <c r="A74">
        <v>7547676</v>
      </c>
      <c r="B74">
        <v>690929</v>
      </c>
      <c r="C74" t="s">
        <v>34</v>
      </c>
      <c r="D74" t="s">
        <v>35</v>
      </c>
      <c r="E74" s="6" t="s">
        <v>34</v>
      </c>
      <c r="F74" t="s">
        <v>313</v>
      </c>
      <c r="G74" t="s">
        <v>37</v>
      </c>
      <c r="H74" t="s">
        <v>38</v>
      </c>
      <c r="I74" t="s">
        <v>314</v>
      </c>
      <c r="J74" t="s">
        <v>40</v>
      </c>
      <c r="K74">
        <v>2</v>
      </c>
      <c r="L74" t="s">
        <v>41</v>
      </c>
      <c r="M74" t="s">
        <v>42</v>
      </c>
      <c r="N74" t="s">
        <v>43</v>
      </c>
      <c r="O74" s="7">
        <v>1</v>
      </c>
      <c r="P74" s="8">
        <v>45277.624537037038</v>
      </c>
      <c r="Q74" s="9">
        <v>45278</v>
      </c>
      <c r="R74" t="s">
        <v>37</v>
      </c>
      <c r="S74" t="s">
        <v>44</v>
      </c>
      <c r="T74" t="s">
        <v>45</v>
      </c>
      <c r="U74" t="s">
        <v>68</v>
      </c>
      <c r="V74" t="s">
        <v>315</v>
      </c>
      <c r="W74">
        <v>40000</v>
      </c>
      <c r="X74" t="s">
        <v>44</v>
      </c>
      <c r="Y74" t="s">
        <v>52</v>
      </c>
      <c r="Z74" t="s">
        <v>49</v>
      </c>
      <c r="AA74" s="10">
        <f>IF(O74&lt;=1,7,7+0.8*ROUNDUP(O74-1,0))</f>
        <v>7</v>
      </c>
      <c r="AB74" s="11">
        <v>0</v>
      </c>
      <c r="AC74" s="11">
        <v>0</v>
      </c>
      <c r="AD74" s="11">
        <v>0</v>
      </c>
      <c r="AE74" s="11">
        <v>0</v>
      </c>
      <c r="AF74" s="11">
        <f t="shared" si="2"/>
        <v>0.42</v>
      </c>
      <c r="AG74" s="11">
        <f t="shared" si="3"/>
        <v>7.42</v>
      </c>
      <c r="AH74" t="s">
        <v>44</v>
      </c>
    </row>
    <row r="75" spans="1:34" ht="15" customHeight="1" x14ac:dyDescent="0.35">
      <c r="A75">
        <v>7547676</v>
      </c>
      <c r="B75">
        <v>690929</v>
      </c>
      <c r="C75" t="s">
        <v>34</v>
      </c>
      <c r="D75" t="s">
        <v>35</v>
      </c>
      <c r="E75" s="6" t="s">
        <v>34</v>
      </c>
      <c r="F75" t="s">
        <v>316</v>
      </c>
      <c r="G75" t="s">
        <v>37</v>
      </c>
      <c r="H75" t="s">
        <v>38</v>
      </c>
      <c r="I75" t="s">
        <v>317</v>
      </c>
      <c r="J75" t="s">
        <v>40</v>
      </c>
      <c r="K75">
        <v>2</v>
      </c>
      <c r="L75" t="s">
        <v>41</v>
      </c>
      <c r="M75" t="s">
        <v>42</v>
      </c>
      <c r="N75" t="s">
        <v>43</v>
      </c>
      <c r="O75" s="7">
        <v>1</v>
      </c>
      <c r="P75" s="8">
        <v>45277.583182870374</v>
      </c>
      <c r="Q75" s="9">
        <v>45278</v>
      </c>
      <c r="R75" t="s">
        <v>37</v>
      </c>
      <c r="S75" t="s">
        <v>44</v>
      </c>
      <c r="T75" t="s">
        <v>45</v>
      </c>
      <c r="U75" t="s">
        <v>68</v>
      </c>
      <c r="V75" t="s">
        <v>318</v>
      </c>
      <c r="W75">
        <v>41050</v>
      </c>
      <c r="X75" t="s">
        <v>44</v>
      </c>
      <c r="Y75" t="s">
        <v>100</v>
      </c>
      <c r="Z75" t="s">
        <v>49</v>
      </c>
      <c r="AA75" s="10">
        <f>IF(O75&lt;=1,7,7+0.8*ROUNDUP(O75-1,0))</f>
        <v>7</v>
      </c>
      <c r="AB75" s="11">
        <v>0</v>
      </c>
      <c r="AC75" s="11">
        <v>0</v>
      </c>
      <c r="AD75" s="11">
        <v>0</v>
      </c>
      <c r="AE75" s="11">
        <v>0</v>
      </c>
      <c r="AF75" s="11">
        <f t="shared" si="2"/>
        <v>0.42</v>
      </c>
      <c r="AG75" s="11">
        <f t="shared" si="3"/>
        <v>7.42</v>
      </c>
      <c r="AH75" t="s">
        <v>44</v>
      </c>
    </row>
    <row r="76" spans="1:34" ht="15" customHeight="1" x14ac:dyDescent="0.35">
      <c r="A76">
        <v>7547676</v>
      </c>
      <c r="B76">
        <v>690929</v>
      </c>
      <c r="C76" t="s">
        <v>34</v>
      </c>
      <c r="D76" t="s">
        <v>35</v>
      </c>
      <c r="E76" s="6" t="s">
        <v>34</v>
      </c>
      <c r="F76" t="s">
        <v>319</v>
      </c>
      <c r="G76" t="s">
        <v>37</v>
      </c>
      <c r="H76" t="s">
        <v>38</v>
      </c>
      <c r="I76" t="s">
        <v>320</v>
      </c>
      <c r="J76" t="s">
        <v>40</v>
      </c>
      <c r="K76">
        <v>2</v>
      </c>
      <c r="L76" t="s">
        <v>41</v>
      </c>
      <c r="M76" t="s">
        <v>42</v>
      </c>
      <c r="N76" t="s">
        <v>43</v>
      </c>
      <c r="O76" s="7">
        <v>1</v>
      </c>
      <c r="P76" s="8">
        <v>45274.484803240739</v>
      </c>
      <c r="Q76" s="9">
        <v>45278</v>
      </c>
      <c r="R76" t="s">
        <v>37</v>
      </c>
      <c r="S76" t="s">
        <v>44</v>
      </c>
      <c r="T76" t="s">
        <v>52</v>
      </c>
      <c r="U76" t="s">
        <v>68</v>
      </c>
      <c r="V76" t="s">
        <v>321</v>
      </c>
      <c r="W76">
        <v>46300</v>
      </c>
      <c r="X76" t="s">
        <v>44</v>
      </c>
      <c r="Y76" t="s">
        <v>52</v>
      </c>
      <c r="Z76" t="s">
        <v>49</v>
      </c>
      <c r="AA76" s="10">
        <f>IF(O76&lt;=1,7,7+0.8*ROUNDUP(O76-1,0))</f>
        <v>7</v>
      </c>
      <c r="AB76" s="11">
        <v>0</v>
      </c>
      <c r="AC76" s="11">
        <v>0</v>
      </c>
      <c r="AD76" s="11">
        <v>0</v>
      </c>
      <c r="AE76" s="11">
        <v>0</v>
      </c>
      <c r="AF76" s="11">
        <f t="shared" si="2"/>
        <v>0.42</v>
      </c>
      <c r="AG76" s="11">
        <f t="shared" si="3"/>
        <v>7.42</v>
      </c>
      <c r="AH76" t="s">
        <v>44</v>
      </c>
    </row>
    <row r="77" spans="1:34" ht="15" customHeight="1" x14ac:dyDescent="0.35">
      <c r="A77">
        <v>7547676</v>
      </c>
      <c r="B77">
        <v>690929</v>
      </c>
      <c r="C77" t="s">
        <v>34</v>
      </c>
      <c r="D77" t="s">
        <v>35</v>
      </c>
      <c r="E77" s="6" t="s">
        <v>34</v>
      </c>
      <c r="F77" t="s">
        <v>322</v>
      </c>
      <c r="G77" t="s">
        <v>37</v>
      </c>
      <c r="H77" t="s">
        <v>323</v>
      </c>
      <c r="I77" t="s">
        <v>324</v>
      </c>
      <c r="J77" t="s">
        <v>40</v>
      </c>
      <c r="K77">
        <v>2</v>
      </c>
      <c r="L77" t="s">
        <v>41</v>
      </c>
      <c r="M77" t="s">
        <v>42</v>
      </c>
      <c r="N77" t="s">
        <v>43</v>
      </c>
      <c r="O77" s="7">
        <v>1</v>
      </c>
      <c r="P77" s="8">
        <v>45273.77857638889</v>
      </c>
      <c r="Q77" s="9">
        <v>45278</v>
      </c>
      <c r="R77" t="s">
        <v>37</v>
      </c>
      <c r="S77" t="s">
        <v>44</v>
      </c>
      <c r="T77" t="s">
        <v>76</v>
      </c>
      <c r="U77" t="s">
        <v>279</v>
      </c>
      <c r="V77" t="s">
        <v>325</v>
      </c>
      <c r="W77">
        <v>91308</v>
      </c>
      <c r="X77" t="s">
        <v>242</v>
      </c>
      <c r="Y77" t="s">
        <v>326</v>
      </c>
      <c r="Z77" t="s">
        <v>49</v>
      </c>
      <c r="AA77" s="12">
        <f>IF(O77&lt;=1,13,IF(O77&lt;=2,23,IF(O77&lt;=3,35,IF(O77&lt;=4,43,IF(O77&lt;=5,53,IF(O77&lt;=6,63,IF(O77&lt;=7,71,IF(O77&lt;=8,79,IF(O77&lt;=9,87,IF(O77&lt;=10,95,IF(O77&lt;=11,105,IF(O77&lt;=12,114,IF(O77&lt;=13,119,IF(O77&lt;=14,127,IF(O77&lt;=15,135,IF(O77&lt;=16,143,IF(O77&lt;=17,153,IF(O77&lt;=18,163,IF(O77&lt;=19,171,IF(O77&lt;=20,185,IF(O77&lt;=21,193,IF(O77&lt;=22,201,IF(O77&lt;=23,210,IF(O77&lt;=24,220,IF(O77&lt;=25,230,IF(O77&lt;=26,240,IF(O77&lt;=27,250,IF(O77&lt;=28,260,IF(O77&lt;=29,270,IF(O77&lt;=30,280,280+10*ROUNDUP(O77-30,0)))))))))))))))))))))))))))))))</f>
        <v>13</v>
      </c>
      <c r="AB77" s="11">
        <v>0</v>
      </c>
      <c r="AC77" s="11">
        <v>0</v>
      </c>
      <c r="AD77" s="11">
        <v>0</v>
      </c>
      <c r="AE77" s="11">
        <v>0</v>
      </c>
      <c r="AF77" s="11">
        <f t="shared" si="2"/>
        <v>0.78</v>
      </c>
      <c r="AG77" s="11">
        <f t="shared" si="3"/>
        <v>13.78</v>
      </c>
      <c r="AH77" t="s">
        <v>242</v>
      </c>
    </row>
    <row r="78" spans="1:34" ht="15" customHeight="1" x14ac:dyDescent="0.35">
      <c r="A78">
        <v>7547676</v>
      </c>
      <c r="B78">
        <v>690929</v>
      </c>
      <c r="C78" t="s">
        <v>34</v>
      </c>
      <c r="D78" t="s">
        <v>35</v>
      </c>
      <c r="E78" s="6" t="s">
        <v>34</v>
      </c>
      <c r="F78" t="s">
        <v>327</v>
      </c>
      <c r="G78" t="s">
        <v>37</v>
      </c>
      <c r="H78" t="s">
        <v>38</v>
      </c>
      <c r="I78" t="s">
        <v>328</v>
      </c>
      <c r="J78" t="s">
        <v>40</v>
      </c>
      <c r="K78">
        <v>2</v>
      </c>
      <c r="L78" t="s">
        <v>41</v>
      </c>
      <c r="M78" t="s">
        <v>42</v>
      </c>
      <c r="N78" t="s">
        <v>43</v>
      </c>
      <c r="O78" s="7">
        <v>1</v>
      </c>
      <c r="P78" s="8">
        <v>45275.443541666667</v>
      </c>
      <c r="Q78" s="9">
        <v>45278</v>
      </c>
      <c r="R78" t="s">
        <v>37</v>
      </c>
      <c r="S78" t="s">
        <v>44</v>
      </c>
      <c r="T78" t="s">
        <v>45</v>
      </c>
      <c r="U78" t="s">
        <v>258</v>
      </c>
      <c r="V78" t="s">
        <v>329</v>
      </c>
      <c r="W78">
        <v>21600</v>
      </c>
      <c r="X78" t="s">
        <v>44</v>
      </c>
      <c r="Y78" t="s">
        <v>260</v>
      </c>
      <c r="Z78" t="s">
        <v>49</v>
      </c>
      <c r="AA78" s="10">
        <f>IF(O78&lt;=1,7,7+0.8*ROUNDUP(O78-1,0))</f>
        <v>7</v>
      </c>
      <c r="AB78" s="11">
        <v>0</v>
      </c>
      <c r="AC78" s="11">
        <v>0</v>
      </c>
      <c r="AD78" s="11">
        <v>0</v>
      </c>
      <c r="AE78" s="11">
        <v>0</v>
      </c>
      <c r="AF78" s="11">
        <f t="shared" si="2"/>
        <v>0.42</v>
      </c>
      <c r="AG78" s="11">
        <f t="shared" si="3"/>
        <v>7.42</v>
      </c>
      <c r="AH78" t="s">
        <v>44</v>
      </c>
    </row>
    <row r="79" spans="1:34" ht="15" customHeight="1" x14ac:dyDescent="0.35">
      <c r="A79">
        <v>7547676</v>
      </c>
      <c r="B79">
        <v>690929</v>
      </c>
      <c r="C79" t="s">
        <v>34</v>
      </c>
      <c r="D79" t="s">
        <v>35</v>
      </c>
      <c r="E79" s="6" t="s">
        <v>34</v>
      </c>
      <c r="F79" t="s">
        <v>330</v>
      </c>
      <c r="G79" t="s">
        <v>37</v>
      </c>
      <c r="H79" t="s">
        <v>38</v>
      </c>
      <c r="I79" t="s">
        <v>147</v>
      </c>
      <c r="J79" t="s">
        <v>40</v>
      </c>
      <c r="K79">
        <v>2</v>
      </c>
      <c r="L79" t="s">
        <v>41</v>
      </c>
      <c r="M79" t="s">
        <v>42</v>
      </c>
      <c r="N79" t="s">
        <v>43</v>
      </c>
      <c r="O79" s="7">
        <v>4</v>
      </c>
      <c r="P79" s="8">
        <v>45276.746412037035</v>
      </c>
      <c r="Q79" s="9">
        <v>45278</v>
      </c>
      <c r="R79" t="s">
        <v>37</v>
      </c>
      <c r="S79" t="s">
        <v>44</v>
      </c>
      <c r="T79" t="s">
        <v>45</v>
      </c>
      <c r="U79" t="s">
        <v>77</v>
      </c>
      <c r="V79" t="s">
        <v>148</v>
      </c>
      <c r="W79">
        <v>39100</v>
      </c>
      <c r="X79" t="s">
        <v>44</v>
      </c>
      <c r="Y79" t="s">
        <v>149</v>
      </c>
      <c r="Z79" t="s">
        <v>49</v>
      </c>
      <c r="AA79" s="10">
        <f>IF(O79&lt;=1,7,7+0.8*ROUNDUP(O79-1,0))</f>
        <v>9.4</v>
      </c>
      <c r="AB79" s="11">
        <v>0</v>
      </c>
      <c r="AC79" s="11">
        <v>0</v>
      </c>
      <c r="AD79" s="11">
        <v>0</v>
      </c>
      <c r="AE79" s="11">
        <v>0</v>
      </c>
      <c r="AF79" s="11">
        <f t="shared" si="2"/>
        <v>0.56399999999999995</v>
      </c>
      <c r="AG79" s="11">
        <f t="shared" si="3"/>
        <v>9.9640000000000004</v>
      </c>
      <c r="AH79" t="s">
        <v>44</v>
      </c>
    </row>
    <row r="80" spans="1:34" ht="15" customHeight="1" x14ac:dyDescent="0.35">
      <c r="A80">
        <v>7547676</v>
      </c>
      <c r="B80">
        <v>690929</v>
      </c>
      <c r="C80" t="s">
        <v>34</v>
      </c>
      <c r="D80" t="s">
        <v>35</v>
      </c>
      <c r="E80" s="6" t="s">
        <v>34</v>
      </c>
      <c r="F80" t="s">
        <v>331</v>
      </c>
      <c r="G80" t="s">
        <v>37</v>
      </c>
      <c r="H80" t="s">
        <v>38</v>
      </c>
      <c r="I80" t="s">
        <v>332</v>
      </c>
      <c r="J80" t="s">
        <v>40</v>
      </c>
      <c r="K80">
        <v>2</v>
      </c>
      <c r="L80" t="s">
        <v>41</v>
      </c>
      <c r="M80" t="s">
        <v>42</v>
      </c>
      <c r="N80" t="s">
        <v>43</v>
      </c>
      <c r="O80" s="7">
        <v>5</v>
      </c>
      <c r="P80" s="8">
        <v>45276.804097222222</v>
      </c>
      <c r="Q80" s="9">
        <v>45278</v>
      </c>
      <c r="R80" t="s">
        <v>37</v>
      </c>
      <c r="S80" t="s">
        <v>44</v>
      </c>
      <c r="T80" t="s">
        <v>45</v>
      </c>
      <c r="U80" t="s">
        <v>68</v>
      </c>
      <c r="V80" t="s">
        <v>333</v>
      </c>
      <c r="W80">
        <v>47180</v>
      </c>
      <c r="X80" t="s">
        <v>44</v>
      </c>
      <c r="Y80" t="s">
        <v>249</v>
      </c>
      <c r="Z80" t="s">
        <v>49</v>
      </c>
      <c r="AA80" s="10">
        <f>IF(O80&lt;=1,7,7+0.8*ROUNDUP(O80-1,0))</f>
        <v>10.199999999999999</v>
      </c>
      <c r="AB80" s="11">
        <v>0</v>
      </c>
      <c r="AC80" s="11">
        <v>0</v>
      </c>
      <c r="AD80" s="11">
        <v>0</v>
      </c>
      <c r="AE80" s="11">
        <v>0</v>
      </c>
      <c r="AF80" s="11">
        <f t="shared" si="2"/>
        <v>0.61199999999999999</v>
      </c>
      <c r="AG80" s="11">
        <f t="shared" si="3"/>
        <v>10.811999999999999</v>
      </c>
      <c r="AH80" t="s">
        <v>44</v>
      </c>
    </row>
    <row r="81" spans="1:34" ht="15" customHeight="1" x14ac:dyDescent="0.35">
      <c r="A81">
        <v>7547676</v>
      </c>
      <c r="B81">
        <v>690929</v>
      </c>
      <c r="C81" t="s">
        <v>34</v>
      </c>
      <c r="D81" t="s">
        <v>35</v>
      </c>
      <c r="E81" s="6" t="s">
        <v>34</v>
      </c>
      <c r="F81" t="s">
        <v>334</v>
      </c>
      <c r="G81" t="s">
        <v>37</v>
      </c>
      <c r="H81" t="s">
        <v>38</v>
      </c>
      <c r="I81" t="s">
        <v>335</v>
      </c>
      <c r="J81" t="s">
        <v>40</v>
      </c>
      <c r="K81">
        <v>2</v>
      </c>
      <c r="L81" t="s">
        <v>41</v>
      </c>
      <c r="M81" t="s">
        <v>42</v>
      </c>
      <c r="N81" t="s">
        <v>43</v>
      </c>
      <c r="O81" s="7">
        <v>1</v>
      </c>
      <c r="P81" s="8">
        <v>45276.684398148151</v>
      </c>
      <c r="Q81" s="9">
        <v>45278</v>
      </c>
      <c r="R81" t="s">
        <v>37</v>
      </c>
      <c r="S81" t="s">
        <v>44</v>
      </c>
      <c r="T81" t="s">
        <v>45</v>
      </c>
      <c r="U81" t="s">
        <v>94</v>
      </c>
      <c r="V81" t="s">
        <v>336</v>
      </c>
      <c r="W81">
        <v>11900</v>
      </c>
      <c r="X81" t="s">
        <v>44</v>
      </c>
      <c r="Y81" t="s">
        <v>337</v>
      </c>
      <c r="Z81" t="s">
        <v>49</v>
      </c>
      <c r="AA81" s="10">
        <f>IF(O81&lt;=1,7,7+0.8*ROUNDUP(O81-1,0))</f>
        <v>7</v>
      </c>
      <c r="AB81" s="11">
        <v>0</v>
      </c>
      <c r="AC81" s="11">
        <v>0</v>
      </c>
      <c r="AD81" s="11">
        <v>0</v>
      </c>
      <c r="AE81" s="11">
        <v>0</v>
      </c>
      <c r="AF81" s="11">
        <f t="shared" si="2"/>
        <v>0.42</v>
      </c>
      <c r="AG81" s="11">
        <f t="shared" si="3"/>
        <v>7.42</v>
      </c>
      <c r="AH81" t="s">
        <v>44</v>
      </c>
    </row>
    <row r="82" spans="1:34" ht="15" customHeight="1" x14ac:dyDescent="0.35">
      <c r="A82">
        <v>7547676</v>
      </c>
      <c r="B82">
        <v>690929</v>
      </c>
      <c r="C82" t="s">
        <v>34</v>
      </c>
      <c r="D82" t="s">
        <v>35</v>
      </c>
      <c r="E82" s="6" t="s">
        <v>34</v>
      </c>
      <c r="F82" t="s">
        <v>338</v>
      </c>
      <c r="G82" t="s">
        <v>37</v>
      </c>
      <c r="H82" t="s">
        <v>38</v>
      </c>
      <c r="I82" t="s">
        <v>339</v>
      </c>
      <c r="J82" t="s">
        <v>40</v>
      </c>
      <c r="K82">
        <v>2</v>
      </c>
      <c r="L82" t="s">
        <v>41</v>
      </c>
      <c r="M82" t="s">
        <v>42</v>
      </c>
      <c r="N82" t="s">
        <v>43</v>
      </c>
      <c r="O82" s="7">
        <v>1</v>
      </c>
      <c r="P82" s="8">
        <v>45274.652175925927</v>
      </c>
      <c r="Q82" s="9">
        <v>45278</v>
      </c>
      <c r="R82" t="s">
        <v>37</v>
      </c>
      <c r="S82" t="s">
        <v>44</v>
      </c>
      <c r="T82" t="s">
        <v>52</v>
      </c>
      <c r="U82" t="s">
        <v>240</v>
      </c>
      <c r="V82" t="s">
        <v>340</v>
      </c>
      <c r="W82">
        <v>96100</v>
      </c>
      <c r="X82" t="s">
        <v>242</v>
      </c>
      <c r="Y82" t="s">
        <v>52</v>
      </c>
      <c r="Z82" t="s">
        <v>49</v>
      </c>
      <c r="AA82" s="12">
        <f>IF(O82&lt;=1,13,IF(O82&lt;=2,23,IF(O82&lt;=3,35,IF(O82&lt;=4,43,IF(O82&lt;=5,53,IF(O82&lt;=6,63,IF(O82&lt;=7,71,IF(O82&lt;=8,79,IF(O82&lt;=9,87,IF(O82&lt;=10,95,IF(O82&lt;=11,105,IF(O82&lt;=12,114,IF(O82&lt;=13,119,IF(O82&lt;=14,127,IF(O82&lt;=15,135,IF(O82&lt;=16,143,IF(O82&lt;=17,153,IF(O82&lt;=18,163,IF(O82&lt;=19,171,IF(O82&lt;=20,185,IF(O82&lt;=21,193,IF(O82&lt;=22,201,IF(O82&lt;=23,210,IF(O82&lt;=24,220,IF(O82&lt;=25,230,IF(O82&lt;=26,240,IF(O82&lt;=27,250,IF(O82&lt;=28,260,IF(O82&lt;=29,270,IF(O82&lt;=30,280,280+10*ROUNDUP(O82-30,0)))))))))))))))))))))))))))))))</f>
        <v>13</v>
      </c>
      <c r="AB82" s="11">
        <v>0</v>
      </c>
      <c r="AC82" s="11">
        <v>0</v>
      </c>
      <c r="AD82" s="11">
        <v>0</v>
      </c>
      <c r="AE82" s="11">
        <v>0</v>
      </c>
      <c r="AF82" s="11">
        <f t="shared" si="2"/>
        <v>0.78</v>
      </c>
      <c r="AG82" s="11">
        <f t="shared" si="3"/>
        <v>13.78</v>
      </c>
      <c r="AH82" t="s">
        <v>242</v>
      </c>
    </row>
    <row r="83" spans="1:34" ht="15" customHeight="1" x14ac:dyDescent="0.35">
      <c r="A83">
        <v>7547676</v>
      </c>
      <c r="B83">
        <v>690929</v>
      </c>
      <c r="C83" t="s">
        <v>34</v>
      </c>
      <c r="D83" t="s">
        <v>35</v>
      </c>
      <c r="E83" s="6" t="s">
        <v>34</v>
      </c>
      <c r="F83" t="s">
        <v>341</v>
      </c>
      <c r="G83" t="s">
        <v>37</v>
      </c>
      <c r="H83" t="s">
        <v>38</v>
      </c>
      <c r="I83" t="s">
        <v>342</v>
      </c>
      <c r="J83" t="s">
        <v>40</v>
      </c>
      <c r="K83">
        <v>2</v>
      </c>
      <c r="L83" t="s">
        <v>41</v>
      </c>
      <c r="M83" t="s">
        <v>42</v>
      </c>
      <c r="N83" t="s">
        <v>43</v>
      </c>
      <c r="O83" s="7">
        <v>2</v>
      </c>
      <c r="P83" s="8">
        <v>45274.746828703705</v>
      </c>
      <c r="Q83" s="9">
        <v>45278</v>
      </c>
      <c r="R83" t="s">
        <v>37</v>
      </c>
      <c r="S83" t="s">
        <v>44</v>
      </c>
      <c r="T83" t="s">
        <v>45</v>
      </c>
      <c r="U83" t="s">
        <v>53</v>
      </c>
      <c r="V83" t="s">
        <v>343</v>
      </c>
      <c r="W83">
        <v>46050</v>
      </c>
      <c r="X83" t="s">
        <v>44</v>
      </c>
      <c r="Y83" t="s">
        <v>186</v>
      </c>
      <c r="Z83" t="s">
        <v>49</v>
      </c>
      <c r="AA83" s="10">
        <f>IF(O83&lt;=1,7,7+0.8*ROUNDUP(O83-1,0))</f>
        <v>7.8</v>
      </c>
      <c r="AB83" s="11">
        <v>0</v>
      </c>
      <c r="AC83" s="11">
        <v>0</v>
      </c>
      <c r="AD83" s="11">
        <v>0</v>
      </c>
      <c r="AE83" s="11">
        <v>0</v>
      </c>
      <c r="AF83" s="11">
        <f t="shared" si="2"/>
        <v>0.46799999999999997</v>
      </c>
      <c r="AG83" s="11">
        <f t="shared" si="3"/>
        <v>8.2680000000000007</v>
      </c>
      <c r="AH83" t="s">
        <v>44</v>
      </c>
    </row>
    <row r="84" spans="1:34" ht="15" customHeight="1" x14ac:dyDescent="0.35">
      <c r="A84">
        <v>7547676</v>
      </c>
      <c r="B84">
        <v>690929</v>
      </c>
      <c r="C84" t="s">
        <v>34</v>
      </c>
      <c r="D84" t="s">
        <v>35</v>
      </c>
      <c r="E84" s="6" t="s">
        <v>34</v>
      </c>
      <c r="F84" t="s">
        <v>344</v>
      </c>
      <c r="G84" t="s">
        <v>37</v>
      </c>
      <c r="H84" t="s">
        <v>323</v>
      </c>
      <c r="I84" t="s">
        <v>345</v>
      </c>
      <c r="J84" t="s">
        <v>40</v>
      </c>
      <c r="K84">
        <v>2</v>
      </c>
      <c r="L84" t="s">
        <v>41</v>
      </c>
      <c r="M84" t="s">
        <v>42</v>
      </c>
      <c r="N84" t="s">
        <v>43</v>
      </c>
      <c r="O84" s="7">
        <v>7</v>
      </c>
      <c r="P84" s="8">
        <v>45271.730185185188</v>
      </c>
      <c r="Q84" s="9">
        <v>45278</v>
      </c>
      <c r="R84" t="s">
        <v>37</v>
      </c>
      <c r="S84" t="s">
        <v>44</v>
      </c>
      <c r="T84" t="s">
        <v>45</v>
      </c>
      <c r="U84" t="s">
        <v>240</v>
      </c>
      <c r="V84" t="s">
        <v>346</v>
      </c>
      <c r="W84">
        <v>93050</v>
      </c>
      <c r="X84" t="s">
        <v>242</v>
      </c>
      <c r="Y84" t="s">
        <v>52</v>
      </c>
      <c r="Z84" t="s">
        <v>49</v>
      </c>
      <c r="AA84" s="12">
        <f>IF(O84&lt;=1,13,IF(O84&lt;=2,23,IF(O84&lt;=3,35,IF(O84&lt;=4,43,IF(O84&lt;=5,53,IF(O84&lt;=6,63,IF(O84&lt;=7,71,IF(O84&lt;=8,79,IF(O84&lt;=9,87,IF(O84&lt;=10,95,IF(O84&lt;=11,105,IF(O84&lt;=12,114,IF(O84&lt;=13,119,IF(O84&lt;=14,127,IF(O84&lt;=15,135,IF(O84&lt;=16,143,IF(O84&lt;=17,153,IF(O84&lt;=18,163,IF(O84&lt;=19,171,IF(O84&lt;=20,185,IF(O84&lt;=21,193,IF(O84&lt;=22,201,IF(O84&lt;=23,210,IF(O84&lt;=24,220,IF(O84&lt;=25,230,IF(O84&lt;=26,240,IF(O84&lt;=27,250,IF(O84&lt;=28,260,IF(O84&lt;=29,270,IF(O84&lt;=30,280,280+10*ROUNDUP(O84-30,0)))))))))))))))))))))))))))))))</f>
        <v>71</v>
      </c>
      <c r="AB84" s="11">
        <v>0</v>
      </c>
      <c r="AC84" s="11">
        <v>0</v>
      </c>
      <c r="AD84" s="11">
        <v>0</v>
      </c>
      <c r="AE84" s="11">
        <v>0</v>
      </c>
      <c r="AF84" s="11">
        <f t="shared" si="2"/>
        <v>4.26</v>
      </c>
      <c r="AG84" s="11">
        <f t="shared" si="3"/>
        <v>75.260000000000005</v>
      </c>
      <c r="AH84" t="s">
        <v>242</v>
      </c>
    </row>
    <row r="85" spans="1:34" ht="15" customHeight="1" x14ac:dyDescent="0.35">
      <c r="A85">
        <v>7547676</v>
      </c>
      <c r="B85">
        <v>690929</v>
      </c>
      <c r="C85" t="s">
        <v>34</v>
      </c>
      <c r="D85" t="s">
        <v>35</v>
      </c>
      <c r="E85" s="6" t="s">
        <v>34</v>
      </c>
      <c r="F85" t="s">
        <v>347</v>
      </c>
      <c r="G85" t="s">
        <v>37</v>
      </c>
      <c r="H85" t="s">
        <v>38</v>
      </c>
      <c r="I85" t="s">
        <v>348</v>
      </c>
      <c r="J85" t="s">
        <v>40</v>
      </c>
      <c r="K85">
        <v>2</v>
      </c>
      <c r="L85" t="s">
        <v>41</v>
      </c>
      <c r="M85" t="s">
        <v>42</v>
      </c>
      <c r="N85" t="s">
        <v>43</v>
      </c>
      <c r="O85" s="7">
        <v>1</v>
      </c>
      <c r="P85" s="8">
        <v>45276.718344907407</v>
      </c>
      <c r="Q85" s="9">
        <v>45278</v>
      </c>
      <c r="R85" t="s">
        <v>37</v>
      </c>
      <c r="S85" t="s">
        <v>44</v>
      </c>
      <c r="T85" t="s">
        <v>45</v>
      </c>
      <c r="U85" t="s">
        <v>53</v>
      </c>
      <c r="V85" t="s">
        <v>349</v>
      </c>
      <c r="W85">
        <v>57000</v>
      </c>
      <c r="X85" t="s">
        <v>44</v>
      </c>
      <c r="Y85" t="s">
        <v>350</v>
      </c>
      <c r="Z85" t="s">
        <v>49</v>
      </c>
      <c r="AA85" s="10">
        <f>IF(O85&lt;=1,7,7+0.8*ROUNDUP(O85-1,0))</f>
        <v>7</v>
      </c>
      <c r="AB85" s="11">
        <v>0</v>
      </c>
      <c r="AC85" s="11">
        <v>0</v>
      </c>
      <c r="AD85" s="11">
        <v>0</v>
      </c>
      <c r="AE85" s="11">
        <v>0</v>
      </c>
      <c r="AF85" s="11">
        <f t="shared" si="2"/>
        <v>0.42</v>
      </c>
      <c r="AG85" s="11">
        <f t="shared" si="3"/>
        <v>7.42</v>
      </c>
      <c r="AH85" t="s">
        <v>44</v>
      </c>
    </row>
    <row r="86" spans="1:34" ht="15" customHeight="1" x14ac:dyDescent="0.35">
      <c r="A86">
        <v>7547676</v>
      </c>
      <c r="B86">
        <v>690929</v>
      </c>
      <c r="C86" t="s">
        <v>34</v>
      </c>
      <c r="D86" t="s">
        <v>35</v>
      </c>
      <c r="E86" s="6" t="s">
        <v>34</v>
      </c>
      <c r="F86" t="s">
        <v>351</v>
      </c>
      <c r="G86" t="s">
        <v>37</v>
      </c>
      <c r="H86" t="s">
        <v>38</v>
      </c>
      <c r="I86" t="s">
        <v>352</v>
      </c>
      <c r="J86" t="s">
        <v>40</v>
      </c>
      <c r="K86">
        <v>2</v>
      </c>
      <c r="L86" t="s">
        <v>41</v>
      </c>
      <c r="M86" t="s">
        <v>42</v>
      </c>
      <c r="N86" t="s">
        <v>43</v>
      </c>
      <c r="O86" s="7">
        <v>2</v>
      </c>
      <c r="P86" s="8">
        <v>45274.684062499997</v>
      </c>
      <c r="Q86" s="9">
        <v>45278</v>
      </c>
      <c r="R86" t="s">
        <v>37</v>
      </c>
      <c r="S86" t="s">
        <v>44</v>
      </c>
      <c r="T86" t="s">
        <v>45</v>
      </c>
      <c r="U86" t="s">
        <v>68</v>
      </c>
      <c r="V86" t="s">
        <v>353</v>
      </c>
      <c r="W86">
        <v>42200</v>
      </c>
      <c r="X86" t="s">
        <v>44</v>
      </c>
      <c r="Y86" t="s">
        <v>131</v>
      </c>
      <c r="Z86" t="s">
        <v>49</v>
      </c>
      <c r="AA86" s="10">
        <f>IF(O86&lt;=1,7,7+0.8*ROUNDUP(O86-1,0))</f>
        <v>7.8</v>
      </c>
      <c r="AB86" s="11">
        <v>0</v>
      </c>
      <c r="AC86" s="11">
        <v>0</v>
      </c>
      <c r="AD86" s="11">
        <v>0</v>
      </c>
      <c r="AE86" s="11">
        <v>0</v>
      </c>
      <c r="AF86" s="11">
        <f t="shared" si="2"/>
        <v>0.46799999999999997</v>
      </c>
      <c r="AG86" s="11">
        <f t="shared" si="3"/>
        <v>8.2680000000000007</v>
      </c>
      <c r="AH86" t="s">
        <v>44</v>
      </c>
    </row>
    <row r="87" spans="1:34" ht="15" customHeight="1" x14ac:dyDescent="0.35">
      <c r="A87">
        <v>7547676</v>
      </c>
      <c r="B87">
        <v>690929</v>
      </c>
      <c r="C87" t="s">
        <v>34</v>
      </c>
      <c r="D87" t="s">
        <v>35</v>
      </c>
      <c r="E87" s="6" t="s">
        <v>34</v>
      </c>
      <c r="F87" t="s">
        <v>354</v>
      </c>
      <c r="G87" t="s">
        <v>37</v>
      </c>
      <c r="H87" t="s">
        <v>38</v>
      </c>
      <c r="I87" t="s">
        <v>355</v>
      </c>
      <c r="J87" t="s">
        <v>40</v>
      </c>
      <c r="K87">
        <v>2</v>
      </c>
      <c r="L87" t="s">
        <v>41</v>
      </c>
      <c r="M87" t="s">
        <v>42</v>
      </c>
      <c r="N87" t="s">
        <v>43</v>
      </c>
      <c r="O87" s="7">
        <v>2</v>
      </c>
      <c r="P87" s="8">
        <v>45277.477141203701</v>
      </c>
      <c r="Q87" s="9">
        <v>45279</v>
      </c>
      <c r="R87" t="s">
        <v>37</v>
      </c>
      <c r="S87" t="s">
        <v>44</v>
      </c>
      <c r="T87" t="s">
        <v>45</v>
      </c>
      <c r="U87" t="s">
        <v>159</v>
      </c>
      <c r="V87" t="s">
        <v>356</v>
      </c>
      <c r="W87">
        <v>31350</v>
      </c>
      <c r="X87" t="s">
        <v>44</v>
      </c>
      <c r="Y87" t="s">
        <v>52</v>
      </c>
      <c r="Z87" t="s">
        <v>49</v>
      </c>
      <c r="AA87" s="10">
        <f>IF(O87&lt;=1,7,7+0.8*ROUNDUP(O87-1,0))</f>
        <v>7.8</v>
      </c>
      <c r="AB87" s="11">
        <v>0</v>
      </c>
      <c r="AC87" s="11">
        <v>0</v>
      </c>
      <c r="AD87" s="11">
        <v>0</v>
      </c>
      <c r="AE87" s="11">
        <v>0</v>
      </c>
      <c r="AF87" s="11">
        <f t="shared" si="2"/>
        <v>0.46799999999999997</v>
      </c>
      <c r="AG87" s="11">
        <f t="shared" si="3"/>
        <v>8.2680000000000007</v>
      </c>
      <c r="AH87" t="s">
        <v>44</v>
      </c>
    </row>
    <row r="88" spans="1:34" ht="15" customHeight="1" x14ac:dyDescent="0.35">
      <c r="A88">
        <v>7547676</v>
      </c>
      <c r="B88">
        <v>690929</v>
      </c>
      <c r="C88" t="s">
        <v>34</v>
      </c>
      <c r="D88" t="s">
        <v>35</v>
      </c>
      <c r="E88" s="6" t="s">
        <v>34</v>
      </c>
      <c r="F88" t="s">
        <v>357</v>
      </c>
      <c r="G88" t="s">
        <v>37</v>
      </c>
      <c r="H88" t="s">
        <v>38</v>
      </c>
      <c r="I88" t="s">
        <v>358</v>
      </c>
      <c r="J88" t="s">
        <v>40</v>
      </c>
      <c r="K88">
        <v>2</v>
      </c>
      <c r="L88" t="s">
        <v>41</v>
      </c>
      <c r="M88" t="s">
        <v>42</v>
      </c>
      <c r="N88" t="s">
        <v>43</v>
      </c>
      <c r="O88" s="7">
        <v>2</v>
      </c>
      <c r="P88" s="8">
        <v>45277.527407407404</v>
      </c>
      <c r="Q88" s="9">
        <v>45279</v>
      </c>
      <c r="R88" t="s">
        <v>37</v>
      </c>
      <c r="S88" t="s">
        <v>44</v>
      </c>
      <c r="T88" t="s">
        <v>45</v>
      </c>
      <c r="U88" t="s">
        <v>94</v>
      </c>
      <c r="V88" t="s">
        <v>359</v>
      </c>
      <c r="W88">
        <v>13600</v>
      </c>
      <c r="X88" t="s">
        <v>44</v>
      </c>
      <c r="Y88" t="s">
        <v>52</v>
      </c>
      <c r="Z88" t="s">
        <v>49</v>
      </c>
      <c r="AA88" s="10">
        <f>IF(O88&lt;=1,7,7+0.8*ROUNDUP(O88-1,0))</f>
        <v>7.8</v>
      </c>
      <c r="AB88" s="11">
        <v>0</v>
      </c>
      <c r="AC88" s="11">
        <v>0</v>
      </c>
      <c r="AD88" s="11">
        <v>0</v>
      </c>
      <c r="AE88" s="11">
        <v>0</v>
      </c>
      <c r="AF88" s="11">
        <f t="shared" si="2"/>
        <v>0.46799999999999997</v>
      </c>
      <c r="AG88" s="11">
        <f t="shared" si="3"/>
        <v>8.2680000000000007</v>
      </c>
      <c r="AH88" t="s">
        <v>44</v>
      </c>
    </row>
    <row r="89" spans="1:34" ht="15" customHeight="1" x14ac:dyDescent="0.35">
      <c r="A89">
        <v>7547676</v>
      </c>
      <c r="B89">
        <v>690929</v>
      </c>
      <c r="C89" t="s">
        <v>34</v>
      </c>
      <c r="D89" t="s">
        <v>35</v>
      </c>
      <c r="E89" s="6" t="s">
        <v>34</v>
      </c>
      <c r="F89" t="s">
        <v>360</v>
      </c>
      <c r="G89" t="s">
        <v>37</v>
      </c>
      <c r="H89" t="s">
        <v>38</v>
      </c>
      <c r="I89" t="s">
        <v>361</v>
      </c>
      <c r="J89" t="s">
        <v>40</v>
      </c>
      <c r="K89">
        <v>2</v>
      </c>
      <c r="L89" t="s">
        <v>41</v>
      </c>
      <c r="M89" t="s">
        <v>42</v>
      </c>
      <c r="N89" t="s">
        <v>43</v>
      </c>
      <c r="O89" s="7">
        <v>1</v>
      </c>
      <c r="P89" s="8">
        <v>45276.804097222222</v>
      </c>
      <c r="Q89" s="9">
        <v>45279</v>
      </c>
      <c r="R89" t="s">
        <v>37</v>
      </c>
      <c r="S89" t="s">
        <v>44</v>
      </c>
      <c r="T89" t="s">
        <v>45</v>
      </c>
      <c r="U89" t="s">
        <v>159</v>
      </c>
      <c r="V89" t="s">
        <v>362</v>
      </c>
      <c r="W89">
        <v>31300</v>
      </c>
      <c r="X89" t="s">
        <v>44</v>
      </c>
      <c r="Y89" t="s">
        <v>363</v>
      </c>
      <c r="Z89" t="s">
        <v>49</v>
      </c>
      <c r="AA89" s="10">
        <f>IF(O89&lt;=1,7,7+0.8*ROUNDUP(O89-1,0))</f>
        <v>7</v>
      </c>
      <c r="AB89" s="11">
        <v>0</v>
      </c>
      <c r="AC89" s="11">
        <v>0</v>
      </c>
      <c r="AD89" s="11">
        <v>0</v>
      </c>
      <c r="AE89" s="11">
        <v>0</v>
      </c>
      <c r="AF89" s="11">
        <f t="shared" si="2"/>
        <v>0.42</v>
      </c>
      <c r="AG89" s="11">
        <f t="shared" si="3"/>
        <v>7.42</v>
      </c>
      <c r="AH89" t="s">
        <v>44</v>
      </c>
    </row>
    <row r="90" spans="1:34" ht="15" customHeight="1" x14ac:dyDescent="0.35">
      <c r="A90">
        <v>7547676</v>
      </c>
      <c r="B90">
        <v>690929</v>
      </c>
      <c r="C90" t="s">
        <v>34</v>
      </c>
      <c r="D90" t="s">
        <v>35</v>
      </c>
      <c r="E90" s="6" t="s">
        <v>34</v>
      </c>
      <c r="F90" t="s">
        <v>364</v>
      </c>
      <c r="G90" t="s">
        <v>37</v>
      </c>
      <c r="H90" t="s">
        <v>38</v>
      </c>
      <c r="I90" t="s">
        <v>365</v>
      </c>
      <c r="J90" t="s">
        <v>40</v>
      </c>
      <c r="K90">
        <v>2</v>
      </c>
      <c r="L90" t="s">
        <v>41</v>
      </c>
      <c r="M90" t="s">
        <v>42</v>
      </c>
      <c r="N90" t="s">
        <v>43</v>
      </c>
      <c r="O90" s="7">
        <v>2</v>
      </c>
      <c r="P90" s="8">
        <v>45278.710034722222</v>
      </c>
      <c r="Q90" s="9">
        <v>45279</v>
      </c>
      <c r="R90" t="s">
        <v>37</v>
      </c>
      <c r="S90" t="s">
        <v>44</v>
      </c>
      <c r="T90" t="s">
        <v>45</v>
      </c>
      <c r="U90" t="s">
        <v>77</v>
      </c>
      <c r="V90" t="s">
        <v>366</v>
      </c>
      <c r="W90">
        <v>26300</v>
      </c>
      <c r="X90" t="s">
        <v>44</v>
      </c>
      <c r="Y90" t="s">
        <v>45</v>
      </c>
      <c r="Z90" t="s">
        <v>49</v>
      </c>
      <c r="AA90" s="10">
        <f>IF(O90&lt;=1,7,7+0.8*ROUNDUP(O90-1,0))</f>
        <v>7.8</v>
      </c>
      <c r="AB90" s="11">
        <v>0</v>
      </c>
      <c r="AC90" s="11">
        <v>0</v>
      </c>
      <c r="AD90" s="11">
        <v>0</v>
      </c>
      <c r="AE90" s="11">
        <v>0</v>
      </c>
      <c r="AF90" s="11">
        <f t="shared" si="2"/>
        <v>0.46799999999999997</v>
      </c>
      <c r="AG90" s="11">
        <f t="shared" si="3"/>
        <v>8.2680000000000007</v>
      </c>
      <c r="AH90" t="s">
        <v>44</v>
      </c>
    </row>
    <row r="91" spans="1:34" ht="15" customHeight="1" x14ac:dyDescent="0.35">
      <c r="A91">
        <v>7547676</v>
      </c>
      <c r="B91">
        <v>690929</v>
      </c>
      <c r="C91" t="s">
        <v>34</v>
      </c>
      <c r="D91" t="s">
        <v>35</v>
      </c>
      <c r="E91" s="6" t="s">
        <v>34</v>
      </c>
      <c r="F91" t="s">
        <v>367</v>
      </c>
      <c r="G91" t="s">
        <v>37</v>
      </c>
      <c r="H91" t="s">
        <v>38</v>
      </c>
      <c r="I91" t="s">
        <v>368</v>
      </c>
      <c r="J91" t="s">
        <v>40</v>
      </c>
      <c r="K91">
        <v>2</v>
      </c>
      <c r="L91" t="s">
        <v>41</v>
      </c>
      <c r="M91" t="s">
        <v>42</v>
      </c>
      <c r="N91" t="s">
        <v>43</v>
      </c>
      <c r="O91" s="7">
        <v>2</v>
      </c>
      <c r="P91" s="8">
        <v>45276.4606712963</v>
      </c>
      <c r="Q91" s="9">
        <v>45279</v>
      </c>
      <c r="R91" t="s">
        <v>37</v>
      </c>
      <c r="S91" t="s">
        <v>44</v>
      </c>
      <c r="T91" t="s">
        <v>45</v>
      </c>
      <c r="U91" t="s">
        <v>46</v>
      </c>
      <c r="V91" t="s">
        <v>369</v>
      </c>
      <c r="W91">
        <v>84000</v>
      </c>
      <c r="X91" t="s">
        <v>44</v>
      </c>
      <c r="Y91" t="s">
        <v>52</v>
      </c>
      <c r="Z91" t="s">
        <v>49</v>
      </c>
      <c r="AA91" s="10">
        <f>IF(O91&lt;=1,7,7+0.8*ROUNDUP(O91-1,0))</f>
        <v>7.8</v>
      </c>
      <c r="AB91" s="11">
        <v>0</v>
      </c>
      <c r="AC91" s="11">
        <v>0</v>
      </c>
      <c r="AD91" s="11">
        <v>0</v>
      </c>
      <c r="AE91" s="11">
        <v>0</v>
      </c>
      <c r="AF91" s="11">
        <f t="shared" si="2"/>
        <v>0.46799999999999997</v>
      </c>
      <c r="AG91" s="11">
        <f t="shared" si="3"/>
        <v>8.2680000000000007</v>
      </c>
      <c r="AH91" t="s">
        <v>44</v>
      </c>
    </row>
    <row r="92" spans="1:34" ht="15" customHeight="1" x14ac:dyDescent="0.35">
      <c r="A92">
        <v>7547676</v>
      </c>
      <c r="B92">
        <v>690929</v>
      </c>
      <c r="C92" t="s">
        <v>34</v>
      </c>
      <c r="D92" t="s">
        <v>35</v>
      </c>
      <c r="E92" s="6" t="s">
        <v>34</v>
      </c>
      <c r="F92" t="s">
        <v>370</v>
      </c>
      <c r="G92" t="s">
        <v>37</v>
      </c>
      <c r="H92" t="s">
        <v>38</v>
      </c>
      <c r="I92" t="s">
        <v>371</v>
      </c>
      <c r="J92" t="s">
        <v>40</v>
      </c>
      <c r="K92">
        <v>2</v>
      </c>
      <c r="L92" t="s">
        <v>41</v>
      </c>
      <c r="M92" t="s">
        <v>42</v>
      </c>
      <c r="N92" t="s">
        <v>43</v>
      </c>
      <c r="O92" s="7">
        <v>8</v>
      </c>
      <c r="P92" s="8">
        <v>45278.420358796298</v>
      </c>
      <c r="Q92" s="9">
        <v>45279</v>
      </c>
      <c r="R92" t="s">
        <v>37</v>
      </c>
      <c r="S92" t="s">
        <v>44</v>
      </c>
      <c r="T92" t="s">
        <v>45</v>
      </c>
      <c r="U92" t="s">
        <v>77</v>
      </c>
      <c r="V92" t="s">
        <v>372</v>
      </c>
      <c r="W92">
        <v>25150</v>
      </c>
      <c r="X92" t="s">
        <v>44</v>
      </c>
      <c r="Y92" t="s">
        <v>373</v>
      </c>
      <c r="Z92" t="s">
        <v>49</v>
      </c>
      <c r="AA92" s="10">
        <f>IF(O92&lt;=1,7,7+0.8*ROUNDUP(O92-1,0))</f>
        <v>12.600000000000001</v>
      </c>
      <c r="AB92" s="11">
        <v>0</v>
      </c>
      <c r="AC92" s="11">
        <v>0</v>
      </c>
      <c r="AD92" s="11">
        <v>0</v>
      </c>
      <c r="AE92" s="11">
        <v>0</v>
      </c>
      <c r="AF92" s="11">
        <f t="shared" si="2"/>
        <v>0.75600000000000001</v>
      </c>
      <c r="AG92" s="11">
        <f t="shared" si="3"/>
        <v>13.356000000000002</v>
      </c>
      <c r="AH92" t="s">
        <v>44</v>
      </c>
    </row>
    <row r="93" spans="1:34" ht="15" customHeight="1" x14ac:dyDescent="0.35">
      <c r="A93">
        <v>7547676</v>
      </c>
      <c r="B93">
        <v>690929</v>
      </c>
      <c r="C93" t="s">
        <v>34</v>
      </c>
      <c r="D93" t="s">
        <v>35</v>
      </c>
      <c r="E93" s="6" t="s">
        <v>34</v>
      </c>
      <c r="F93" t="s">
        <v>374</v>
      </c>
      <c r="G93" t="s">
        <v>37</v>
      </c>
      <c r="H93" t="s">
        <v>38</v>
      </c>
      <c r="I93" t="s">
        <v>375</v>
      </c>
      <c r="J93" t="s">
        <v>40</v>
      </c>
      <c r="K93">
        <v>2</v>
      </c>
      <c r="L93" t="s">
        <v>41</v>
      </c>
      <c r="M93" t="s">
        <v>42</v>
      </c>
      <c r="N93" t="s">
        <v>43</v>
      </c>
      <c r="O93" s="7">
        <v>3</v>
      </c>
      <c r="P93" s="8">
        <v>45276.804097222222</v>
      </c>
      <c r="Q93" s="9">
        <v>45279</v>
      </c>
      <c r="R93" t="s">
        <v>37</v>
      </c>
      <c r="S93" t="s">
        <v>44</v>
      </c>
      <c r="T93" t="s">
        <v>45</v>
      </c>
      <c r="U93" t="s">
        <v>46</v>
      </c>
      <c r="V93" t="s">
        <v>376</v>
      </c>
      <c r="W93">
        <v>86600</v>
      </c>
      <c r="X93" t="s">
        <v>44</v>
      </c>
      <c r="Y93" t="s">
        <v>377</v>
      </c>
      <c r="Z93" t="s">
        <v>49</v>
      </c>
      <c r="AA93" s="10">
        <f>IF(O93&lt;=1,7,7+0.8*ROUNDUP(O93-1,0))</f>
        <v>8.6</v>
      </c>
      <c r="AB93" s="11">
        <v>0</v>
      </c>
      <c r="AC93" s="11">
        <v>0</v>
      </c>
      <c r="AD93" s="11">
        <v>0</v>
      </c>
      <c r="AE93" s="11">
        <v>0</v>
      </c>
      <c r="AF93" s="11">
        <f t="shared" si="2"/>
        <v>0.51600000000000001</v>
      </c>
      <c r="AG93" s="11">
        <f t="shared" si="3"/>
        <v>9.1159999999999997</v>
      </c>
      <c r="AH93" t="s">
        <v>44</v>
      </c>
    </row>
    <row r="94" spans="1:34" ht="15" customHeight="1" x14ac:dyDescent="0.35">
      <c r="A94">
        <v>7547676</v>
      </c>
      <c r="B94">
        <v>690929</v>
      </c>
      <c r="C94" t="s">
        <v>34</v>
      </c>
      <c r="D94" t="s">
        <v>35</v>
      </c>
      <c r="E94" s="6" t="s">
        <v>34</v>
      </c>
      <c r="F94" t="s">
        <v>378</v>
      </c>
      <c r="G94" t="s">
        <v>37</v>
      </c>
      <c r="H94" t="s">
        <v>38</v>
      </c>
      <c r="I94" t="s">
        <v>379</v>
      </c>
      <c r="J94" t="s">
        <v>40</v>
      </c>
      <c r="K94">
        <v>2</v>
      </c>
      <c r="L94" t="s">
        <v>41</v>
      </c>
      <c r="M94" t="s">
        <v>42</v>
      </c>
      <c r="N94" t="s">
        <v>43</v>
      </c>
      <c r="O94" s="7">
        <v>3</v>
      </c>
      <c r="P94" s="8">
        <v>45271.840046296296</v>
      </c>
      <c r="Q94" s="9">
        <v>45279</v>
      </c>
      <c r="R94" t="s">
        <v>37</v>
      </c>
      <c r="S94" t="s">
        <v>44</v>
      </c>
      <c r="T94" t="s">
        <v>45</v>
      </c>
      <c r="U94" t="s">
        <v>46</v>
      </c>
      <c r="V94" t="s">
        <v>380</v>
      </c>
      <c r="W94">
        <v>82300</v>
      </c>
      <c r="X94" t="s">
        <v>44</v>
      </c>
      <c r="Y94" t="s">
        <v>381</v>
      </c>
      <c r="Z94" t="s">
        <v>49</v>
      </c>
      <c r="AA94" s="10">
        <f>IF(O94&lt;=1,7,7+0.8*ROUNDUP(O94-1,0))</f>
        <v>8.6</v>
      </c>
      <c r="AB94" s="11">
        <v>0</v>
      </c>
      <c r="AC94" s="11">
        <v>0</v>
      </c>
      <c r="AD94" s="11">
        <v>0</v>
      </c>
      <c r="AE94" s="11">
        <v>0</v>
      </c>
      <c r="AF94" s="11">
        <f t="shared" si="2"/>
        <v>0.51600000000000001</v>
      </c>
      <c r="AG94" s="11">
        <f t="shared" si="3"/>
        <v>9.1159999999999997</v>
      </c>
      <c r="AH94" t="s">
        <v>44</v>
      </c>
    </row>
    <row r="95" spans="1:34" ht="15" customHeight="1" x14ac:dyDescent="0.35">
      <c r="A95">
        <v>7547676</v>
      </c>
      <c r="B95">
        <v>690929</v>
      </c>
      <c r="C95" t="s">
        <v>34</v>
      </c>
      <c r="D95" t="s">
        <v>35</v>
      </c>
      <c r="E95" s="6" t="s">
        <v>34</v>
      </c>
      <c r="F95" t="s">
        <v>382</v>
      </c>
      <c r="G95" t="s">
        <v>37</v>
      </c>
      <c r="H95" t="s">
        <v>38</v>
      </c>
      <c r="I95" t="s">
        <v>383</v>
      </c>
      <c r="J95" t="s">
        <v>40</v>
      </c>
      <c r="K95">
        <v>2</v>
      </c>
      <c r="L95" t="s">
        <v>41</v>
      </c>
      <c r="M95" t="s">
        <v>42</v>
      </c>
      <c r="N95" t="s">
        <v>43</v>
      </c>
      <c r="O95" s="7">
        <v>1</v>
      </c>
      <c r="P95" s="8">
        <v>45278.496064814812</v>
      </c>
      <c r="Q95" s="9">
        <v>45279</v>
      </c>
      <c r="R95" t="s">
        <v>37</v>
      </c>
      <c r="S95" t="s">
        <v>44</v>
      </c>
      <c r="T95" t="s">
        <v>45</v>
      </c>
      <c r="U95" t="s">
        <v>68</v>
      </c>
      <c r="V95" t="s">
        <v>384</v>
      </c>
      <c r="W95">
        <v>47830</v>
      </c>
      <c r="X95" t="s">
        <v>44</v>
      </c>
      <c r="Y95" t="s">
        <v>201</v>
      </c>
      <c r="Z95" t="s">
        <v>49</v>
      </c>
      <c r="AA95" s="10">
        <f>IF(O95&lt;=1,7,7+0.8*ROUNDUP(O95-1,0))</f>
        <v>7</v>
      </c>
      <c r="AB95" s="11">
        <v>0</v>
      </c>
      <c r="AC95" s="11">
        <v>0</v>
      </c>
      <c r="AD95" s="11">
        <v>0</v>
      </c>
      <c r="AE95" s="11">
        <v>0</v>
      </c>
      <c r="AF95" s="11">
        <f t="shared" si="2"/>
        <v>0.42</v>
      </c>
      <c r="AG95" s="11">
        <f t="shared" si="3"/>
        <v>7.42</v>
      </c>
      <c r="AH95" t="s">
        <v>44</v>
      </c>
    </row>
    <row r="96" spans="1:34" ht="15" customHeight="1" x14ac:dyDescent="0.35">
      <c r="A96">
        <v>7547676</v>
      </c>
      <c r="B96">
        <v>690929</v>
      </c>
      <c r="C96" t="s">
        <v>34</v>
      </c>
      <c r="D96" t="s">
        <v>35</v>
      </c>
      <c r="E96" s="6" t="s">
        <v>34</v>
      </c>
      <c r="F96" t="s">
        <v>385</v>
      </c>
      <c r="G96" t="s">
        <v>37</v>
      </c>
      <c r="H96" t="s">
        <v>38</v>
      </c>
      <c r="I96" t="s">
        <v>386</v>
      </c>
      <c r="J96" t="s">
        <v>40</v>
      </c>
      <c r="K96">
        <v>2</v>
      </c>
      <c r="L96" t="s">
        <v>41</v>
      </c>
      <c r="M96" t="s">
        <v>42</v>
      </c>
      <c r="N96" t="s">
        <v>43</v>
      </c>
      <c r="O96" s="7">
        <v>1</v>
      </c>
      <c r="P96" s="8">
        <v>45276.809224537035</v>
      </c>
      <c r="Q96" s="9">
        <v>45279</v>
      </c>
      <c r="R96" t="s">
        <v>37</v>
      </c>
      <c r="S96" t="s">
        <v>44</v>
      </c>
      <c r="T96" t="s">
        <v>45</v>
      </c>
      <c r="U96" t="s">
        <v>94</v>
      </c>
      <c r="V96" t="s">
        <v>387</v>
      </c>
      <c r="W96">
        <v>11920</v>
      </c>
      <c r="X96" t="s">
        <v>44</v>
      </c>
      <c r="Y96" t="s">
        <v>52</v>
      </c>
      <c r="Z96" t="s">
        <v>49</v>
      </c>
      <c r="AA96" s="10">
        <f>IF(O96&lt;=1,7,7+0.8*ROUNDUP(O96-1,0))</f>
        <v>7</v>
      </c>
      <c r="AB96" s="11">
        <v>0</v>
      </c>
      <c r="AC96" s="11">
        <v>0</v>
      </c>
      <c r="AD96" s="11">
        <v>0</v>
      </c>
      <c r="AE96" s="11">
        <v>0</v>
      </c>
      <c r="AF96" s="11">
        <f t="shared" si="2"/>
        <v>0.42</v>
      </c>
      <c r="AG96" s="11">
        <f t="shared" si="3"/>
        <v>7.42</v>
      </c>
      <c r="AH96" t="s">
        <v>44</v>
      </c>
    </row>
    <row r="97" spans="1:34" ht="15" customHeight="1" x14ac:dyDescent="0.35">
      <c r="A97">
        <v>7547676</v>
      </c>
      <c r="B97">
        <v>690929</v>
      </c>
      <c r="C97" t="s">
        <v>34</v>
      </c>
      <c r="D97" t="s">
        <v>35</v>
      </c>
      <c r="E97" s="6" t="s">
        <v>34</v>
      </c>
      <c r="F97" t="s">
        <v>388</v>
      </c>
      <c r="G97" t="s">
        <v>37</v>
      </c>
      <c r="H97" t="s">
        <v>38</v>
      </c>
      <c r="I97" t="s">
        <v>389</v>
      </c>
      <c r="J97" t="s">
        <v>40</v>
      </c>
      <c r="K97">
        <v>2</v>
      </c>
      <c r="L97" t="s">
        <v>41</v>
      </c>
      <c r="M97" t="s">
        <v>42</v>
      </c>
      <c r="N97" t="s">
        <v>43</v>
      </c>
      <c r="O97" s="7">
        <v>1</v>
      </c>
      <c r="P97" s="8">
        <v>45277.794444444444</v>
      </c>
      <c r="Q97" s="9">
        <v>45279</v>
      </c>
      <c r="R97" t="s">
        <v>37</v>
      </c>
      <c r="S97" t="s">
        <v>44</v>
      </c>
      <c r="T97" t="s">
        <v>45</v>
      </c>
      <c r="U97" t="s">
        <v>77</v>
      </c>
      <c r="V97" t="s">
        <v>390</v>
      </c>
      <c r="W97">
        <v>27200</v>
      </c>
      <c r="X97" t="s">
        <v>44</v>
      </c>
      <c r="Y97" t="s">
        <v>45</v>
      </c>
      <c r="Z97" t="s">
        <v>49</v>
      </c>
      <c r="AA97" s="10">
        <f>IF(O97&lt;=1,7,7+0.8*ROUNDUP(O97-1,0))</f>
        <v>7</v>
      </c>
      <c r="AB97" s="11">
        <v>0</v>
      </c>
      <c r="AC97" s="11">
        <v>0</v>
      </c>
      <c r="AD97" s="11">
        <v>0</v>
      </c>
      <c r="AE97" s="11">
        <v>0</v>
      </c>
      <c r="AF97" s="11">
        <f t="shared" si="2"/>
        <v>0.42</v>
      </c>
      <c r="AG97" s="11">
        <f t="shared" si="3"/>
        <v>7.42</v>
      </c>
      <c r="AH97" t="s">
        <v>44</v>
      </c>
    </row>
    <row r="98" spans="1:34" ht="15" customHeight="1" x14ac:dyDescent="0.35">
      <c r="A98">
        <v>7547676</v>
      </c>
      <c r="B98">
        <v>690929</v>
      </c>
      <c r="C98" t="s">
        <v>34</v>
      </c>
      <c r="D98" t="s">
        <v>35</v>
      </c>
      <c r="E98" s="6" t="s">
        <v>34</v>
      </c>
      <c r="F98" t="s">
        <v>391</v>
      </c>
      <c r="G98" t="s">
        <v>37</v>
      </c>
      <c r="H98" t="s">
        <v>38</v>
      </c>
      <c r="I98" t="s">
        <v>392</v>
      </c>
      <c r="J98" t="s">
        <v>40</v>
      </c>
      <c r="K98">
        <v>2</v>
      </c>
      <c r="L98" t="s">
        <v>41</v>
      </c>
      <c r="M98" t="s">
        <v>42</v>
      </c>
      <c r="N98" t="s">
        <v>43</v>
      </c>
      <c r="O98" s="7">
        <v>1</v>
      </c>
      <c r="P98" s="8">
        <v>45277.650833333333</v>
      </c>
      <c r="Q98" s="9">
        <v>45279</v>
      </c>
      <c r="R98" t="s">
        <v>37</v>
      </c>
      <c r="S98" t="s">
        <v>44</v>
      </c>
      <c r="T98" t="s">
        <v>45</v>
      </c>
      <c r="U98" t="s">
        <v>58</v>
      </c>
      <c r="V98" t="s">
        <v>393</v>
      </c>
      <c r="W98">
        <v>34950</v>
      </c>
      <c r="X98" t="s">
        <v>44</v>
      </c>
      <c r="Y98" t="s">
        <v>394</v>
      </c>
      <c r="Z98" t="s">
        <v>49</v>
      </c>
      <c r="AA98" s="10">
        <f>IF(O98&lt;=1,7,7+0.8*ROUNDUP(O98-1,0))</f>
        <v>7</v>
      </c>
      <c r="AB98" s="11">
        <v>0</v>
      </c>
      <c r="AC98" s="11">
        <v>0</v>
      </c>
      <c r="AD98" s="11">
        <v>0</v>
      </c>
      <c r="AE98" s="11">
        <v>0</v>
      </c>
      <c r="AF98" s="11">
        <f t="shared" si="2"/>
        <v>0.42</v>
      </c>
      <c r="AG98" s="11">
        <f t="shared" si="3"/>
        <v>7.42</v>
      </c>
      <c r="AH98" t="s">
        <v>44</v>
      </c>
    </row>
    <row r="99" spans="1:34" ht="15" customHeight="1" x14ac:dyDescent="0.35">
      <c r="A99">
        <v>7547676</v>
      </c>
      <c r="B99">
        <v>690929</v>
      </c>
      <c r="C99" t="s">
        <v>34</v>
      </c>
      <c r="D99" t="s">
        <v>35</v>
      </c>
      <c r="E99" s="6" t="s">
        <v>34</v>
      </c>
      <c r="F99" t="s">
        <v>395</v>
      </c>
      <c r="G99" t="s">
        <v>37</v>
      </c>
      <c r="H99" t="s">
        <v>38</v>
      </c>
      <c r="I99" t="s">
        <v>396</v>
      </c>
      <c r="J99" t="s">
        <v>40</v>
      </c>
      <c r="K99">
        <v>2</v>
      </c>
      <c r="L99" t="s">
        <v>41</v>
      </c>
      <c r="M99" t="s">
        <v>42</v>
      </c>
      <c r="N99" t="s">
        <v>43</v>
      </c>
      <c r="O99" s="7">
        <v>2</v>
      </c>
      <c r="P99" s="8">
        <v>45278.706064814818</v>
      </c>
      <c r="Q99" s="9">
        <v>45279</v>
      </c>
      <c r="R99" t="s">
        <v>37</v>
      </c>
      <c r="S99" t="s">
        <v>44</v>
      </c>
      <c r="T99" t="s">
        <v>45</v>
      </c>
      <c r="U99" t="s">
        <v>68</v>
      </c>
      <c r="V99" t="s">
        <v>397</v>
      </c>
      <c r="W99">
        <v>47810</v>
      </c>
      <c r="X99" t="s">
        <v>44</v>
      </c>
      <c r="Y99" t="s">
        <v>398</v>
      </c>
      <c r="Z99" t="s">
        <v>49</v>
      </c>
      <c r="AA99" s="10">
        <f>IF(O99&lt;=1,7,7+0.8*ROUNDUP(O99-1,0))</f>
        <v>7.8</v>
      </c>
      <c r="AB99" s="11">
        <v>0</v>
      </c>
      <c r="AC99" s="11">
        <v>0</v>
      </c>
      <c r="AD99" s="11">
        <v>0</v>
      </c>
      <c r="AE99" s="11">
        <v>0</v>
      </c>
      <c r="AF99" s="11">
        <f t="shared" si="2"/>
        <v>0.46799999999999997</v>
      </c>
      <c r="AG99" s="11">
        <f t="shared" si="3"/>
        <v>8.2680000000000007</v>
      </c>
      <c r="AH99" t="s">
        <v>44</v>
      </c>
    </row>
    <row r="100" spans="1:34" ht="15" customHeight="1" x14ac:dyDescent="0.35">
      <c r="A100">
        <v>7547676</v>
      </c>
      <c r="B100">
        <v>690929</v>
      </c>
      <c r="C100" t="s">
        <v>34</v>
      </c>
      <c r="D100" t="s">
        <v>35</v>
      </c>
      <c r="E100" s="6" t="s">
        <v>34</v>
      </c>
      <c r="F100" t="s">
        <v>399</v>
      </c>
      <c r="G100" t="s">
        <v>37</v>
      </c>
      <c r="H100" t="s">
        <v>38</v>
      </c>
      <c r="I100" t="s">
        <v>400</v>
      </c>
      <c r="J100" t="s">
        <v>40</v>
      </c>
      <c r="K100">
        <v>2</v>
      </c>
      <c r="L100" t="s">
        <v>41</v>
      </c>
      <c r="M100" t="s">
        <v>42</v>
      </c>
      <c r="N100" t="s">
        <v>43</v>
      </c>
      <c r="O100" s="7">
        <v>3</v>
      </c>
      <c r="P100" s="8">
        <v>45277.607546296298</v>
      </c>
      <c r="Q100" s="9">
        <v>45279</v>
      </c>
      <c r="R100" t="s">
        <v>37</v>
      </c>
      <c r="S100" t="s">
        <v>44</v>
      </c>
      <c r="T100" t="s">
        <v>45</v>
      </c>
      <c r="U100" t="s">
        <v>258</v>
      </c>
      <c r="V100" t="s">
        <v>401</v>
      </c>
      <c r="W100">
        <v>24000</v>
      </c>
      <c r="X100" t="s">
        <v>44</v>
      </c>
      <c r="Y100" t="s">
        <v>402</v>
      </c>
      <c r="Z100" t="s">
        <v>49</v>
      </c>
      <c r="AA100" s="10">
        <f>IF(O100&lt;=1,7,7+0.8*ROUNDUP(O100-1,0))</f>
        <v>8.6</v>
      </c>
      <c r="AB100" s="11">
        <v>0</v>
      </c>
      <c r="AC100" s="11">
        <v>0</v>
      </c>
      <c r="AD100" s="11">
        <v>0</v>
      </c>
      <c r="AE100" s="11">
        <v>0</v>
      </c>
      <c r="AF100" s="11">
        <f t="shared" si="2"/>
        <v>0.51600000000000001</v>
      </c>
      <c r="AG100" s="11">
        <f t="shared" si="3"/>
        <v>9.1159999999999997</v>
      </c>
      <c r="AH100" t="s">
        <v>44</v>
      </c>
    </row>
    <row r="101" spans="1:34" ht="15" customHeight="1" x14ac:dyDescent="0.35">
      <c r="A101">
        <v>7547676</v>
      </c>
      <c r="B101">
        <v>690929</v>
      </c>
      <c r="C101" t="s">
        <v>34</v>
      </c>
      <c r="D101" t="s">
        <v>35</v>
      </c>
      <c r="E101" s="6" t="s">
        <v>34</v>
      </c>
      <c r="F101" t="s">
        <v>403</v>
      </c>
      <c r="G101" t="s">
        <v>37</v>
      </c>
      <c r="H101" t="s">
        <v>38</v>
      </c>
      <c r="I101" t="s">
        <v>404</v>
      </c>
      <c r="J101" t="s">
        <v>40</v>
      </c>
      <c r="K101">
        <v>2</v>
      </c>
      <c r="L101" t="s">
        <v>41</v>
      </c>
      <c r="M101" t="s">
        <v>42</v>
      </c>
      <c r="N101" t="s">
        <v>43</v>
      </c>
      <c r="O101" s="7">
        <v>1</v>
      </c>
      <c r="P101" s="8">
        <v>45276.809224537035</v>
      </c>
      <c r="Q101" s="9">
        <v>45279</v>
      </c>
      <c r="R101" t="s">
        <v>37</v>
      </c>
      <c r="S101" t="s">
        <v>44</v>
      </c>
      <c r="T101" t="s">
        <v>45</v>
      </c>
      <c r="U101" t="s">
        <v>82</v>
      </c>
      <c r="V101" t="s">
        <v>405</v>
      </c>
      <c r="W101">
        <v>70450</v>
      </c>
      <c r="X101" t="s">
        <v>44</v>
      </c>
      <c r="Y101" t="s">
        <v>52</v>
      </c>
      <c r="Z101" t="s">
        <v>49</v>
      </c>
      <c r="AA101" s="10">
        <f>IF(O101&lt;=1,7,7+0.8*ROUNDUP(O101-1,0))</f>
        <v>7</v>
      </c>
      <c r="AB101" s="11">
        <v>0</v>
      </c>
      <c r="AC101" s="11">
        <v>0</v>
      </c>
      <c r="AD101" s="11">
        <v>0</v>
      </c>
      <c r="AE101" s="11">
        <v>0</v>
      </c>
      <c r="AF101" s="11">
        <f t="shared" si="2"/>
        <v>0.42</v>
      </c>
      <c r="AG101" s="11">
        <f t="shared" si="3"/>
        <v>7.42</v>
      </c>
      <c r="AH101" t="s">
        <v>44</v>
      </c>
    </row>
    <row r="102" spans="1:34" ht="15" customHeight="1" x14ac:dyDescent="0.35">
      <c r="A102">
        <v>7547676</v>
      </c>
      <c r="B102">
        <v>690929</v>
      </c>
      <c r="C102" t="s">
        <v>34</v>
      </c>
      <c r="D102" t="s">
        <v>35</v>
      </c>
      <c r="E102" s="6" t="s">
        <v>34</v>
      </c>
      <c r="F102" t="s">
        <v>406</v>
      </c>
      <c r="G102" t="s">
        <v>37</v>
      </c>
      <c r="H102" t="s">
        <v>38</v>
      </c>
      <c r="I102" t="s">
        <v>407</v>
      </c>
      <c r="J102" t="s">
        <v>40</v>
      </c>
      <c r="K102">
        <v>2</v>
      </c>
      <c r="L102" t="s">
        <v>41</v>
      </c>
      <c r="M102" t="s">
        <v>42</v>
      </c>
      <c r="N102" t="s">
        <v>43</v>
      </c>
      <c r="O102" s="7">
        <v>1</v>
      </c>
      <c r="P102" s="8">
        <v>45276.809224537035</v>
      </c>
      <c r="Q102" s="9">
        <v>45279</v>
      </c>
      <c r="R102" t="s">
        <v>37</v>
      </c>
      <c r="S102" t="s">
        <v>44</v>
      </c>
      <c r="T102" t="s">
        <v>45</v>
      </c>
      <c r="U102" t="s">
        <v>46</v>
      </c>
      <c r="V102" t="s">
        <v>408</v>
      </c>
      <c r="W102">
        <v>81400</v>
      </c>
      <c r="X102" t="s">
        <v>44</v>
      </c>
      <c r="Y102" t="s">
        <v>197</v>
      </c>
      <c r="Z102" t="s">
        <v>49</v>
      </c>
      <c r="AA102" s="10">
        <f>IF(O102&lt;=1,7,7+0.8*ROUNDUP(O102-1,0))</f>
        <v>7</v>
      </c>
      <c r="AB102" s="11">
        <v>0</v>
      </c>
      <c r="AC102" s="11">
        <v>0</v>
      </c>
      <c r="AD102" s="11">
        <v>0</v>
      </c>
      <c r="AE102" s="11">
        <v>0</v>
      </c>
      <c r="AF102" s="11">
        <f t="shared" si="2"/>
        <v>0.42</v>
      </c>
      <c r="AG102" s="11">
        <f t="shared" si="3"/>
        <v>7.42</v>
      </c>
      <c r="AH102" t="s">
        <v>44</v>
      </c>
    </row>
    <row r="103" spans="1:34" ht="15" customHeight="1" x14ac:dyDescent="0.35">
      <c r="A103">
        <v>7547676</v>
      </c>
      <c r="B103">
        <v>690929</v>
      </c>
      <c r="C103" t="s">
        <v>34</v>
      </c>
      <c r="D103" t="s">
        <v>35</v>
      </c>
      <c r="E103" s="6" t="s">
        <v>34</v>
      </c>
      <c r="F103" t="s">
        <v>409</v>
      </c>
      <c r="G103" t="s">
        <v>37</v>
      </c>
      <c r="H103" t="s">
        <v>38</v>
      </c>
      <c r="I103" t="s">
        <v>410</v>
      </c>
      <c r="J103" t="s">
        <v>40</v>
      </c>
      <c r="K103">
        <v>2</v>
      </c>
      <c r="L103" t="s">
        <v>41</v>
      </c>
      <c r="M103" t="s">
        <v>42</v>
      </c>
      <c r="N103" t="s">
        <v>43</v>
      </c>
      <c r="O103" s="7">
        <v>1</v>
      </c>
      <c r="P103" s="8">
        <v>45278.695902777778</v>
      </c>
      <c r="Q103" s="9">
        <v>45279</v>
      </c>
      <c r="R103" t="s">
        <v>37</v>
      </c>
      <c r="S103" t="s">
        <v>44</v>
      </c>
      <c r="T103" t="s">
        <v>45</v>
      </c>
      <c r="U103" t="s">
        <v>68</v>
      </c>
      <c r="V103" t="s">
        <v>411</v>
      </c>
      <c r="W103">
        <v>43500</v>
      </c>
      <c r="X103" t="s">
        <v>44</v>
      </c>
      <c r="Y103" t="s">
        <v>52</v>
      </c>
      <c r="Z103" t="s">
        <v>49</v>
      </c>
      <c r="AA103" s="10">
        <f>IF(O103&lt;=1,7,7+0.8*ROUNDUP(O103-1,0))</f>
        <v>7</v>
      </c>
      <c r="AB103" s="11">
        <v>0</v>
      </c>
      <c r="AC103" s="11">
        <v>0</v>
      </c>
      <c r="AD103" s="11">
        <v>0</v>
      </c>
      <c r="AE103" s="11">
        <v>0</v>
      </c>
      <c r="AF103" s="11">
        <f t="shared" si="2"/>
        <v>0.42</v>
      </c>
      <c r="AG103" s="11">
        <f t="shared" si="3"/>
        <v>7.42</v>
      </c>
      <c r="AH103" t="s">
        <v>44</v>
      </c>
    </row>
    <row r="104" spans="1:34" ht="15" customHeight="1" x14ac:dyDescent="0.35">
      <c r="A104">
        <v>7547676</v>
      </c>
      <c r="B104">
        <v>690929</v>
      </c>
      <c r="C104" t="s">
        <v>34</v>
      </c>
      <c r="D104" t="s">
        <v>35</v>
      </c>
      <c r="E104" s="6" t="s">
        <v>34</v>
      </c>
      <c r="F104" t="s">
        <v>412</v>
      </c>
      <c r="G104" t="s">
        <v>37</v>
      </c>
      <c r="H104" t="s">
        <v>38</v>
      </c>
      <c r="I104" t="s">
        <v>413</v>
      </c>
      <c r="J104" t="s">
        <v>40</v>
      </c>
      <c r="K104">
        <v>2</v>
      </c>
      <c r="L104" t="s">
        <v>41</v>
      </c>
      <c r="M104" t="s">
        <v>42</v>
      </c>
      <c r="N104" t="s">
        <v>43</v>
      </c>
      <c r="O104" s="7">
        <v>1</v>
      </c>
      <c r="P104" s="8">
        <v>45277.444305555553</v>
      </c>
      <c r="Q104" s="9">
        <v>45279</v>
      </c>
      <c r="R104" t="s">
        <v>37</v>
      </c>
      <c r="S104" t="s">
        <v>44</v>
      </c>
      <c r="T104" t="s">
        <v>45</v>
      </c>
      <c r="U104" t="s">
        <v>77</v>
      </c>
      <c r="V104" t="s">
        <v>414</v>
      </c>
      <c r="W104">
        <v>69000</v>
      </c>
      <c r="X104" t="s">
        <v>44</v>
      </c>
      <c r="Y104" t="s">
        <v>52</v>
      </c>
      <c r="Z104" t="s">
        <v>49</v>
      </c>
      <c r="AA104" s="10">
        <f>IF(O104&lt;=1,7,7+0.8*ROUNDUP(O104-1,0))</f>
        <v>7</v>
      </c>
      <c r="AB104" s="11">
        <v>0</v>
      </c>
      <c r="AC104" s="11">
        <v>0</v>
      </c>
      <c r="AD104" s="11">
        <v>0</v>
      </c>
      <c r="AE104" s="11">
        <v>0</v>
      </c>
      <c r="AF104" s="11">
        <f t="shared" si="2"/>
        <v>0.42</v>
      </c>
      <c r="AG104" s="11">
        <f t="shared" si="3"/>
        <v>7.42</v>
      </c>
      <c r="AH104" t="s">
        <v>44</v>
      </c>
    </row>
    <row r="105" spans="1:34" ht="15" customHeight="1" x14ac:dyDescent="0.35">
      <c r="A105">
        <v>7547676</v>
      </c>
      <c r="B105">
        <v>690929</v>
      </c>
      <c r="C105" t="s">
        <v>34</v>
      </c>
      <c r="D105" t="s">
        <v>35</v>
      </c>
      <c r="E105" s="6" t="s">
        <v>34</v>
      </c>
      <c r="F105" t="s">
        <v>415</v>
      </c>
      <c r="G105" t="s">
        <v>37</v>
      </c>
      <c r="H105" t="s">
        <v>38</v>
      </c>
      <c r="I105" t="s">
        <v>416</v>
      </c>
      <c r="J105" t="s">
        <v>40</v>
      </c>
      <c r="K105">
        <v>2</v>
      </c>
      <c r="L105" t="s">
        <v>41</v>
      </c>
      <c r="M105" t="s">
        <v>42</v>
      </c>
      <c r="N105" t="s">
        <v>43</v>
      </c>
      <c r="O105" s="7">
        <v>1</v>
      </c>
      <c r="P105" s="8">
        <v>45278.695902777778</v>
      </c>
      <c r="Q105" s="9">
        <v>45279</v>
      </c>
      <c r="R105" t="s">
        <v>37</v>
      </c>
      <c r="S105" t="s">
        <v>44</v>
      </c>
      <c r="T105" t="s">
        <v>45</v>
      </c>
      <c r="U105" t="s">
        <v>115</v>
      </c>
      <c r="V105" t="s">
        <v>417</v>
      </c>
      <c r="W105">
        <v>16200</v>
      </c>
      <c r="X105" t="s">
        <v>44</v>
      </c>
      <c r="Y105" t="s">
        <v>76</v>
      </c>
      <c r="Z105" t="s">
        <v>49</v>
      </c>
      <c r="AA105" s="10">
        <f>IF(O105&lt;=1,7,7+0.8*ROUNDUP(O105-1,0))</f>
        <v>7</v>
      </c>
      <c r="AB105" s="11">
        <v>0</v>
      </c>
      <c r="AC105" s="11">
        <v>0</v>
      </c>
      <c r="AD105" s="11">
        <v>0</v>
      </c>
      <c r="AE105" s="11">
        <v>0</v>
      </c>
      <c r="AF105" s="11">
        <f t="shared" si="2"/>
        <v>0.42</v>
      </c>
      <c r="AG105" s="11">
        <f t="shared" si="3"/>
        <v>7.42</v>
      </c>
      <c r="AH105" t="s">
        <v>44</v>
      </c>
    </row>
    <row r="106" spans="1:34" ht="15" customHeight="1" x14ac:dyDescent="0.35">
      <c r="A106">
        <v>7547676</v>
      </c>
      <c r="B106">
        <v>690929</v>
      </c>
      <c r="C106" t="s">
        <v>34</v>
      </c>
      <c r="D106" t="s">
        <v>35</v>
      </c>
      <c r="E106" s="6" t="s">
        <v>34</v>
      </c>
      <c r="F106" t="s">
        <v>418</v>
      </c>
      <c r="G106" t="s">
        <v>37</v>
      </c>
      <c r="H106" t="s">
        <v>38</v>
      </c>
      <c r="I106" t="s">
        <v>419</v>
      </c>
      <c r="J106" t="s">
        <v>40</v>
      </c>
      <c r="K106">
        <v>2</v>
      </c>
      <c r="L106" t="s">
        <v>41</v>
      </c>
      <c r="M106" t="s">
        <v>42</v>
      </c>
      <c r="N106" t="s">
        <v>43</v>
      </c>
      <c r="O106" s="7">
        <v>1</v>
      </c>
      <c r="P106" s="8">
        <v>45277.794444444444</v>
      </c>
      <c r="Q106" s="9">
        <v>45279</v>
      </c>
      <c r="R106" t="s">
        <v>37</v>
      </c>
      <c r="S106" t="s">
        <v>44</v>
      </c>
      <c r="T106" t="s">
        <v>45</v>
      </c>
      <c r="U106" t="s">
        <v>68</v>
      </c>
      <c r="V106" t="s">
        <v>420</v>
      </c>
      <c r="W106">
        <v>54200</v>
      </c>
      <c r="X106" t="s">
        <v>44</v>
      </c>
      <c r="Y106" t="s">
        <v>55</v>
      </c>
      <c r="Z106" t="s">
        <v>49</v>
      </c>
      <c r="AA106" s="10">
        <f>IF(O106&lt;=1,7,7+0.8*ROUNDUP(O106-1,0))</f>
        <v>7</v>
      </c>
      <c r="AB106" s="11">
        <v>0</v>
      </c>
      <c r="AC106" s="11">
        <v>0</v>
      </c>
      <c r="AD106" s="11">
        <v>0</v>
      </c>
      <c r="AE106" s="11">
        <v>0</v>
      </c>
      <c r="AF106" s="11">
        <f t="shared" si="2"/>
        <v>0.42</v>
      </c>
      <c r="AG106" s="11">
        <f t="shared" si="3"/>
        <v>7.42</v>
      </c>
      <c r="AH106" t="s">
        <v>44</v>
      </c>
    </row>
    <row r="107" spans="1:34" ht="15" customHeight="1" x14ac:dyDescent="0.35">
      <c r="A107">
        <v>7547676</v>
      </c>
      <c r="B107">
        <v>690929</v>
      </c>
      <c r="C107" t="s">
        <v>34</v>
      </c>
      <c r="D107" t="s">
        <v>35</v>
      </c>
      <c r="E107" s="6" t="s">
        <v>34</v>
      </c>
      <c r="F107" t="s">
        <v>421</v>
      </c>
      <c r="G107" t="s">
        <v>37</v>
      </c>
      <c r="H107" t="s">
        <v>38</v>
      </c>
      <c r="I107" t="s">
        <v>422</v>
      </c>
      <c r="J107" t="s">
        <v>40</v>
      </c>
      <c r="K107">
        <v>2</v>
      </c>
      <c r="L107" t="s">
        <v>41</v>
      </c>
      <c r="M107" t="s">
        <v>42</v>
      </c>
      <c r="N107" t="s">
        <v>43</v>
      </c>
      <c r="O107" s="7">
        <v>6</v>
      </c>
      <c r="P107" s="8">
        <v>45277.599699074075</v>
      </c>
      <c r="Q107" s="9">
        <v>45279</v>
      </c>
      <c r="R107" t="s">
        <v>37</v>
      </c>
      <c r="S107" t="s">
        <v>44</v>
      </c>
      <c r="T107" t="s">
        <v>45</v>
      </c>
      <c r="U107" t="s">
        <v>46</v>
      </c>
      <c r="V107" t="s">
        <v>423</v>
      </c>
      <c r="W107">
        <v>81000</v>
      </c>
      <c r="X107" t="s">
        <v>44</v>
      </c>
      <c r="Y107" t="s">
        <v>222</v>
      </c>
      <c r="Z107" t="s">
        <v>49</v>
      </c>
      <c r="AA107" s="10">
        <f>IF(O107&lt;=1,7,7+0.8*ROUNDUP(O107-1,0))</f>
        <v>11</v>
      </c>
      <c r="AB107" s="11">
        <v>0</v>
      </c>
      <c r="AC107" s="11">
        <v>0</v>
      </c>
      <c r="AD107" s="11">
        <v>0</v>
      </c>
      <c r="AE107" s="11">
        <v>0</v>
      </c>
      <c r="AF107" s="11">
        <f t="shared" si="2"/>
        <v>0.65999999999999992</v>
      </c>
      <c r="AG107" s="11">
        <f t="shared" si="3"/>
        <v>11.66</v>
      </c>
      <c r="AH107" t="s">
        <v>44</v>
      </c>
    </row>
    <row r="108" spans="1:34" ht="15" customHeight="1" x14ac:dyDescent="0.35">
      <c r="A108">
        <v>7547676</v>
      </c>
      <c r="B108">
        <v>690929</v>
      </c>
      <c r="C108" t="s">
        <v>34</v>
      </c>
      <c r="D108" t="s">
        <v>35</v>
      </c>
      <c r="E108" s="6" t="s">
        <v>34</v>
      </c>
      <c r="F108" t="s">
        <v>424</v>
      </c>
      <c r="G108" t="s">
        <v>37</v>
      </c>
      <c r="H108" t="s">
        <v>38</v>
      </c>
      <c r="I108" t="s">
        <v>425</v>
      </c>
      <c r="J108" t="s">
        <v>40</v>
      </c>
      <c r="K108">
        <v>2</v>
      </c>
      <c r="L108" t="s">
        <v>41</v>
      </c>
      <c r="M108" t="s">
        <v>42</v>
      </c>
      <c r="N108" t="s">
        <v>43</v>
      </c>
      <c r="O108" s="7">
        <v>1</v>
      </c>
      <c r="P108" s="8">
        <v>45279.710023148145</v>
      </c>
      <c r="Q108" s="9">
        <v>45280</v>
      </c>
      <c r="R108" t="s">
        <v>37</v>
      </c>
      <c r="S108" t="s">
        <v>44</v>
      </c>
      <c r="T108" t="s">
        <v>45</v>
      </c>
      <c r="U108" t="s">
        <v>68</v>
      </c>
      <c r="V108" t="s">
        <v>426</v>
      </c>
      <c r="W108">
        <v>40300</v>
      </c>
      <c r="X108" t="s">
        <v>44</v>
      </c>
      <c r="Y108" t="s">
        <v>427</v>
      </c>
      <c r="Z108" t="s">
        <v>49</v>
      </c>
      <c r="AA108" s="10">
        <f>IF(O108&lt;=1,7,7+0.8*ROUNDUP(O108-1,0))</f>
        <v>7</v>
      </c>
      <c r="AB108" s="11">
        <v>0</v>
      </c>
      <c r="AC108" s="11">
        <v>0</v>
      </c>
      <c r="AD108" s="11">
        <v>0</v>
      </c>
      <c r="AE108" s="11">
        <v>0</v>
      </c>
      <c r="AF108" s="11">
        <f t="shared" si="2"/>
        <v>0.42</v>
      </c>
      <c r="AG108" s="11">
        <f t="shared" si="3"/>
        <v>7.42</v>
      </c>
      <c r="AH108" t="s">
        <v>44</v>
      </c>
    </row>
    <row r="109" spans="1:34" ht="15" customHeight="1" x14ac:dyDescent="0.35">
      <c r="A109">
        <v>7547676</v>
      </c>
      <c r="B109">
        <v>690929</v>
      </c>
      <c r="C109" t="s">
        <v>34</v>
      </c>
      <c r="D109" t="s">
        <v>35</v>
      </c>
      <c r="E109" s="6" t="s">
        <v>34</v>
      </c>
      <c r="F109" t="s">
        <v>428</v>
      </c>
      <c r="G109" t="s">
        <v>37</v>
      </c>
      <c r="H109" t="s">
        <v>38</v>
      </c>
      <c r="I109" t="s">
        <v>429</v>
      </c>
      <c r="J109" t="s">
        <v>40</v>
      </c>
      <c r="K109">
        <v>2</v>
      </c>
      <c r="L109" t="s">
        <v>41</v>
      </c>
      <c r="M109" t="s">
        <v>42</v>
      </c>
      <c r="N109" t="s">
        <v>43</v>
      </c>
      <c r="O109" s="7">
        <v>1</v>
      </c>
      <c r="P109" s="8">
        <v>45277.794444444444</v>
      </c>
      <c r="Q109" s="9">
        <v>45280</v>
      </c>
      <c r="R109" t="s">
        <v>37</v>
      </c>
      <c r="S109" t="s">
        <v>44</v>
      </c>
      <c r="T109" t="s">
        <v>45</v>
      </c>
      <c r="U109" t="s">
        <v>46</v>
      </c>
      <c r="V109" t="s">
        <v>430</v>
      </c>
      <c r="W109">
        <v>86400</v>
      </c>
      <c r="X109" t="s">
        <v>44</v>
      </c>
      <c r="Y109" t="s">
        <v>285</v>
      </c>
      <c r="Z109" t="s">
        <v>49</v>
      </c>
      <c r="AA109" s="10">
        <f>IF(O109&lt;=1,7,7+0.8*ROUNDUP(O109-1,0))</f>
        <v>7</v>
      </c>
      <c r="AB109" s="11">
        <v>0</v>
      </c>
      <c r="AC109" s="11">
        <v>0</v>
      </c>
      <c r="AD109" s="11">
        <v>0</v>
      </c>
      <c r="AE109" s="11">
        <v>0</v>
      </c>
      <c r="AF109" s="11">
        <f t="shared" si="2"/>
        <v>0.42</v>
      </c>
      <c r="AG109" s="11">
        <f t="shared" si="3"/>
        <v>7.42</v>
      </c>
      <c r="AH109" t="s">
        <v>44</v>
      </c>
    </row>
    <row r="110" spans="1:34" ht="15" customHeight="1" x14ac:dyDescent="0.35">
      <c r="A110">
        <v>7547676</v>
      </c>
      <c r="B110">
        <v>690929</v>
      </c>
      <c r="C110" t="s">
        <v>34</v>
      </c>
      <c r="D110" t="s">
        <v>35</v>
      </c>
      <c r="E110" s="6" t="s">
        <v>34</v>
      </c>
      <c r="F110" t="s">
        <v>431</v>
      </c>
      <c r="G110" t="s">
        <v>37</v>
      </c>
      <c r="H110" t="s">
        <v>38</v>
      </c>
      <c r="I110" t="s">
        <v>432</v>
      </c>
      <c r="J110" t="s">
        <v>40</v>
      </c>
      <c r="K110">
        <v>2</v>
      </c>
      <c r="L110" t="s">
        <v>41</v>
      </c>
      <c r="M110" t="s">
        <v>42</v>
      </c>
      <c r="N110" t="s">
        <v>43</v>
      </c>
      <c r="O110" s="7">
        <v>2</v>
      </c>
      <c r="P110" s="8">
        <v>45279.672199074077</v>
      </c>
      <c r="Q110" s="9">
        <v>45280</v>
      </c>
      <c r="R110" t="s">
        <v>37</v>
      </c>
      <c r="S110" t="s">
        <v>44</v>
      </c>
      <c r="T110" t="s">
        <v>45</v>
      </c>
      <c r="U110" t="s">
        <v>77</v>
      </c>
      <c r="V110" t="s">
        <v>433</v>
      </c>
      <c r="W110">
        <v>26300</v>
      </c>
      <c r="X110" t="s">
        <v>44</v>
      </c>
      <c r="Y110" t="s">
        <v>45</v>
      </c>
      <c r="Z110" t="s">
        <v>49</v>
      </c>
      <c r="AA110" s="10">
        <f>IF(O110&lt;=1,7,7+0.8*ROUNDUP(O110-1,0))</f>
        <v>7.8</v>
      </c>
      <c r="AB110" s="11">
        <v>0</v>
      </c>
      <c r="AC110" s="11">
        <v>0</v>
      </c>
      <c r="AD110" s="11">
        <v>0</v>
      </c>
      <c r="AE110" s="11">
        <v>0</v>
      </c>
      <c r="AF110" s="11">
        <f t="shared" si="2"/>
        <v>0.46799999999999997</v>
      </c>
      <c r="AG110" s="11">
        <f t="shared" si="3"/>
        <v>8.2680000000000007</v>
      </c>
      <c r="AH110" t="s">
        <v>44</v>
      </c>
    </row>
    <row r="111" spans="1:34" ht="15" customHeight="1" x14ac:dyDescent="0.35">
      <c r="A111">
        <v>7547676</v>
      </c>
      <c r="B111">
        <v>690929</v>
      </c>
      <c r="C111" t="s">
        <v>34</v>
      </c>
      <c r="D111" t="s">
        <v>35</v>
      </c>
      <c r="E111" s="6" t="s">
        <v>34</v>
      </c>
      <c r="F111" t="s">
        <v>434</v>
      </c>
      <c r="G111" t="s">
        <v>37</v>
      </c>
      <c r="H111" t="s">
        <v>38</v>
      </c>
      <c r="I111" t="s">
        <v>435</v>
      </c>
      <c r="J111" t="s">
        <v>40</v>
      </c>
      <c r="K111">
        <v>2</v>
      </c>
      <c r="L111" t="s">
        <v>41</v>
      </c>
      <c r="M111" t="s">
        <v>42</v>
      </c>
      <c r="N111" t="s">
        <v>43</v>
      </c>
      <c r="O111" s="7">
        <v>1</v>
      </c>
      <c r="P111" s="8">
        <v>45278.697430555556</v>
      </c>
      <c r="Q111" s="9">
        <v>45280</v>
      </c>
      <c r="R111" t="s">
        <v>37</v>
      </c>
      <c r="S111" t="s">
        <v>44</v>
      </c>
      <c r="T111" t="s">
        <v>45</v>
      </c>
      <c r="U111" t="s">
        <v>46</v>
      </c>
      <c r="V111" t="s">
        <v>436</v>
      </c>
      <c r="W111">
        <v>84000</v>
      </c>
      <c r="X111" t="s">
        <v>44</v>
      </c>
      <c r="Y111" t="s">
        <v>52</v>
      </c>
      <c r="Z111" t="s">
        <v>49</v>
      </c>
      <c r="AA111" s="10">
        <f>IF(O111&lt;=1,7,7+0.8*ROUNDUP(O111-1,0))</f>
        <v>7</v>
      </c>
      <c r="AB111" s="11">
        <v>0</v>
      </c>
      <c r="AC111" s="11">
        <v>0</v>
      </c>
      <c r="AD111" s="11">
        <v>0</v>
      </c>
      <c r="AE111" s="11">
        <v>0</v>
      </c>
      <c r="AF111" s="11">
        <f t="shared" si="2"/>
        <v>0.42</v>
      </c>
      <c r="AG111" s="11">
        <f t="shared" si="3"/>
        <v>7.42</v>
      </c>
      <c r="AH111" t="s">
        <v>44</v>
      </c>
    </row>
    <row r="112" spans="1:34" ht="15" customHeight="1" x14ac:dyDescent="0.35">
      <c r="A112">
        <v>7547676</v>
      </c>
      <c r="B112">
        <v>690929</v>
      </c>
      <c r="C112" t="s">
        <v>34</v>
      </c>
      <c r="D112" t="s">
        <v>35</v>
      </c>
      <c r="E112" s="6" t="s">
        <v>34</v>
      </c>
      <c r="F112" t="s">
        <v>437</v>
      </c>
      <c r="G112" t="s">
        <v>37</v>
      </c>
      <c r="H112" t="s">
        <v>38</v>
      </c>
      <c r="I112" t="s">
        <v>438</v>
      </c>
      <c r="J112" t="s">
        <v>40</v>
      </c>
      <c r="K112">
        <v>2</v>
      </c>
      <c r="L112" t="s">
        <v>41</v>
      </c>
      <c r="M112" t="s">
        <v>42</v>
      </c>
      <c r="N112" t="s">
        <v>43</v>
      </c>
      <c r="O112" s="7">
        <v>2</v>
      </c>
      <c r="P112" s="8">
        <v>45278.768912037034</v>
      </c>
      <c r="Q112" s="9">
        <v>45280</v>
      </c>
      <c r="R112" t="s">
        <v>37</v>
      </c>
      <c r="S112" t="s">
        <v>44</v>
      </c>
      <c r="T112" t="s">
        <v>45</v>
      </c>
      <c r="U112" t="s">
        <v>77</v>
      </c>
      <c r="V112" t="s">
        <v>439</v>
      </c>
      <c r="W112">
        <v>25200</v>
      </c>
      <c r="X112" t="s">
        <v>44</v>
      </c>
      <c r="Y112" t="s">
        <v>45</v>
      </c>
      <c r="Z112" t="s">
        <v>49</v>
      </c>
      <c r="AA112" s="10">
        <f>IF(O112&lt;=1,7,7+0.8*ROUNDUP(O112-1,0))</f>
        <v>7.8</v>
      </c>
      <c r="AB112" s="11">
        <v>0</v>
      </c>
      <c r="AC112" s="11">
        <v>0</v>
      </c>
      <c r="AD112" s="11">
        <v>0</v>
      </c>
      <c r="AE112" s="11">
        <v>0</v>
      </c>
      <c r="AF112" s="11">
        <f t="shared" si="2"/>
        <v>0.46799999999999997</v>
      </c>
      <c r="AG112" s="11">
        <f t="shared" si="3"/>
        <v>8.2680000000000007</v>
      </c>
      <c r="AH112" t="s">
        <v>44</v>
      </c>
    </row>
    <row r="113" spans="1:34" ht="15" customHeight="1" x14ac:dyDescent="0.35">
      <c r="A113">
        <v>7547676</v>
      </c>
      <c r="B113">
        <v>690929</v>
      </c>
      <c r="C113" t="s">
        <v>34</v>
      </c>
      <c r="D113" t="s">
        <v>35</v>
      </c>
      <c r="E113" s="6" t="s">
        <v>34</v>
      </c>
      <c r="F113" t="s">
        <v>440</v>
      </c>
      <c r="G113" t="s">
        <v>37</v>
      </c>
      <c r="H113" t="s">
        <v>38</v>
      </c>
      <c r="I113" t="s">
        <v>441</v>
      </c>
      <c r="J113" t="s">
        <v>40</v>
      </c>
      <c r="K113">
        <v>2</v>
      </c>
      <c r="L113" t="s">
        <v>41</v>
      </c>
      <c r="M113" t="s">
        <v>42</v>
      </c>
      <c r="N113" t="s">
        <v>43</v>
      </c>
      <c r="O113" s="7">
        <v>1</v>
      </c>
      <c r="P113" s="8">
        <v>45278.695902777778</v>
      </c>
      <c r="Q113" s="9">
        <v>45280</v>
      </c>
      <c r="R113" t="s">
        <v>37</v>
      </c>
      <c r="S113" t="s">
        <v>44</v>
      </c>
      <c r="T113" t="s">
        <v>45</v>
      </c>
      <c r="U113" t="s">
        <v>46</v>
      </c>
      <c r="V113" t="s">
        <v>442</v>
      </c>
      <c r="W113">
        <v>81300</v>
      </c>
      <c r="X113" t="s">
        <v>44</v>
      </c>
      <c r="Y113" t="s">
        <v>52</v>
      </c>
      <c r="Z113" t="s">
        <v>49</v>
      </c>
      <c r="AA113" s="10">
        <f>IF(O113&lt;=1,7,7+0.8*ROUNDUP(O113-1,0))</f>
        <v>7</v>
      </c>
      <c r="AB113" s="11">
        <v>0</v>
      </c>
      <c r="AC113" s="11">
        <v>0</v>
      </c>
      <c r="AD113" s="11">
        <v>0</v>
      </c>
      <c r="AE113" s="11">
        <v>0</v>
      </c>
      <c r="AF113" s="11">
        <f t="shared" si="2"/>
        <v>0.42</v>
      </c>
      <c r="AG113" s="11">
        <f t="shared" si="3"/>
        <v>7.42</v>
      </c>
      <c r="AH113" t="s">
        <v>44</v>
      </c>
    </row>
    <row r="114" spans="1:34" ht="15" customHeight="1" x14ac:dyDescent="0.35">
      <c r="A114">
        <v>7547676</v>
      </c>
      <c r="B114">
        <v>690929</v>
      </c>
      <c r="C114" t="s">
        <v>34</v>
      </c>
      <c r="D114" t="s">
        <v>35</v>
      </c>
      <c r="E114" s="6" t="s">
        <v>34</v>
      </c>
      <c r="F114" t="s">
        <v>443</v>
      </c>
      <c r="G114" t="s">
        <v>37</v>
      </c>
      <c r="H114" t="s">
        <v>38</v>
      </c>
      <c r="I114" t="s">
        <v>444</v>
      </c>
      <c r="J114" t="s">
        <v>40</v>
      </c>
      <c r="K114">
        <v>2</v>
      </c>
      <c r="L114" t="s">
        <v>41</v>
      </c>
      <c r="M114" t="s">
        <v>42</v>
      </c>
      <c r="N114" t="s">
        <v>43</v>
      </c>
      <c r="O114" s="7">
        <v>1</v>
      </c>
      <c r="P114" s="8">
        <v>45279.49832175926</v>
      </c>
      <c r="Q114" s="9">
        <v>45280</v>
      </c>
      <c r="R114" t="s">
        <v>37</v>
      </c>
      <c r="S114" t="s">
        <v>44</v>
      </c>
      <c r="T114" t="s">
        <v>45</v>
      </c>
      <c r="U114" t="s">
        <v>258</v>
      </c>
      <c r="V114" t="s">
        <v>445</v>
      </c>
      <c r="W114">
        <v>21100</v>
      </c>
      <c r="X114" t="s">
        <v>44</v>
      </c>
      <c r="Y114" t="s">
        <v>260</v>
      </c>
      <c r="Z114" t="s">
        <v>49</v>
      </c>
      <c r="AA114" s="10">
        <f>IF(O114&lt;=1,7,7+0.8*ROUNDUP(O114-1,0))</f>
        <v>7</v>
      </c>
      <c r="AB114" s="11">
        <v>0</v>
      </c>
      <c r="AC114" s="11">
        <v>0</v>
      </c>
      <c r="AD114" s="11">
        <v>0</v>
      </c>
      <c r="AE114" s="11">
        <v>0</v>
      </c>
      <c r="AF114" s="11">
        <f t="shared" si="2"/>
        <v>0.42</v>
      </c>
      <c r="AG114" s="11">
        <f t="shared" si="3"/>
        <v>7.42</v>
      </c>
      <c r="AH114" t="s">
        <v>44</v>
      </c>
    </row>
    <row r="115" spans="1:34" ht="15" customHeight="1" x14ac:dyDescent="0.35">
      <c r="A115">
        <v>7547676</v>
      </c>
      <c r="B115">
        <v>690929</v>
      </c>
      <c r="C115" t="s">
        <v>34</v>
      </c>
      <c r="D115" t="s">
        <v>35</v>
      </c>
      <c r="E115" s="6" t="s">
        <v>34</v>
      </c>
      <c r="F115" t="s">
        <v>446</v>
      </c>
      <c r="G115" t="s">
        <v>37</v>
      </c>
      <c r="H115" t="s">
        <v>38</v>
      </c>
      <c r="I115" t="s">
        <v>447</v>
      </c>
      <c r="J115" t="s">
        <v>40</v>
      </c>
      <c r="K115">
        <v>2</v>
      </c>
      <c r="L115" t="s">
        <v>41</v>
      </c>
      <c r="M115" t="s">
        <v>42</v>
      </c>
      <c r="N115" t="s">
        <v>43</v>
      </c>
      <c r="O115" s="7">
        <v>1</v>
      </c>
      <c r="P115" s="8">
        <v>45278.706064814818</v>
      </c>
      <c r="Q115" s="9">
        <v>45280</v>
      </c>
      <c r="R115" t="s">
        <v>37</v>
      </c>
      <c r="S115" t="s">
        <v>44</v>
      </c>
      <c r="T115" t="s">
        <v>45</v>
      </c>
      <c r="U115" t="s">
        <v>46</v>
      </c>
      <c r="V115" t="s">
        <v>448</v>
      </c>
      <c r="W115">
        <v>84000</v>
      </c>
      <c r="X115" t="s">
        <v>44</v>
      </c>
      <c r="Y115" t="s">
        <v>449</v>
      </c>
      <c r="Z115" t="s">
        <v>49</v>
      </c>
      <c r="AA115" s="10">
        <f>IF(O115&lt;=1,7,7+0.8*ROUNDUP(O115-1,0))</f>
        <v>7</v>
      </c>
      <c r="AB115" s="11">
        <v>0</v>
      </c>
      <c r="AC115" s="11">
        <v>0</v>
      </c>
      <c r="AD115" s="11">
        <v>0</v>
      </c>
      <c r="AE115" s="11">
        <v>0</v>
      </c>
      <c r="AF115" s="11">
        <f t="shared" si="2"/>
        <v>0.42</v>
      </c>
      <c r="AG115" s="11">
        <f t="shared" si="3"/>
        <v>7.42</v>
      </c>
      <c r="AH115" t="s">
        <v>44</v>
      </c>
    </row>
    <row r="116" spans="1:34" ht="15" customHeight="1" x14ac:dyDescent="0.35">
      <c r="A116">
        <v>7547676</v>
      </c>
      <c r="B116">
        <v>690929</v>
      </c>
      <c r="C116" t="s">
        <v>34</v>
      </c>
      <c r="D116" t="s">
        <v>35</v>
      </c>
      <c r="E116" s="6" t="s">
        <v>34</v>
      </c>
      <c r="F116" t="s">
        <v>450</v>
      </c>
      <c r="G116" t="s">
        <v>37</v>
      </c>
      <c r="H116" t="s">
        <v>38</v>
      </c>
      <c r="I116" t="s">
        <v>451</v>
      </c>
      <c r="J116" t="s">
        <v>40</v>
      </c>
      <c r="K116">
        <v>2</v>
      </c>
      <c r="L116" t="s">
        <v>41</v>
      </c>
      <c r="M116" t="s">
        <v>42</v>
      </c>
      <c r="N116" t="s">
        <v>43</v>
      </c>
      <c r="O116" s="7">
        <v>3</v>
      </c>
      <c r="P116" s="8">
        <v>45278.449282407404</v>
      </c>
      <c r="Q116" s="9">
        <v>45280</v>
      </c>
      <c r="R116" t="s">
        <v>37</v>
      </c>
      <c r="S116" t="s">
        <v>44</v>
      </c>
      <c r="T116" t="s">
        <v>45</v>
      </c>
      <c r="U116" t="s">
        <v>159</v>
      </c>
      <c r="V116" t="s">
        <v>452</v>
      </c>
      <c r="W116">
        <v>34600</v>
      </c>
      <c r="X116" t="s">
        <v>44</v>
      </c>
      <c r="Y116" t="s">
        <v>52</v>
      </c>
      <c r="Z116" t="s">
        <v>49</v>
      </c>
      <c r="AA116" s="10">
        <f>IF(O116&lt;=1,7,7+0.8*ROUNDUP(O116-1,0))</f>
        <v>8.6</v>
      </c>
      <c r="AB116" s="11">
        <v>0</v>
      </c>
      <c r="AC116" s="11">
        <v>0</v>
      </c>
      <c r="AD116" s="11">
        <v>0</v>
      </c>
      <c r="AE116" s="11">
        <v>0</v>
      </c>
      <c r="AF116" s="11">
        <f t="shared" si="2"/>
        <v>0.51600000000000001</v>
      </c>
      <c r="AG116" s="11">
        <f t="shared" si="3"/>
        <v>9.1159999999999997</v>
      </c>
      <c r="AH116" t="s">
        <v>44</v>
      </c>
    </row>
    <row r="117" spans="1:34" ht="15" customHeight="1" x14ac:dyDescent="0.35">
      <c r="A117">
        <v>7547676</v>
      </c>
      <c r="B117">
        <v>690929</v>
      </c>
      <c r="C117" t="s">
        <v>34</v>
      </c>
      <c r="D117" t="s">
        <v>35</v>
      </c>
      <c r="E117" s="6" t="s">
        <v>34</v>
      </c>
      <c r="F117" t="s">
        <v>453</v>
      </c>
      <c r="G117" t="s">
        <v>37</v>
      </c>
      <c r="H117" t="s">
        <v>38</v>
      </c>
      <c r="I117" t="s">
        <v>454</v>
      </c>
      <c r="J117" t="s">
        <v>40</v>
      </c>
      <c r="K117">
        <v>2</v>
      </c>
      <c r="L117" t="s">
        <v>41</v>
      </c>
      <c r="M117" t="s">
        <v>42</v>
      </c>
      <c r="N117" t="s">
        <v>43</v>
      </c>
      <c r="O117" s="7">
        <v>2</v>
      </c>
      <c r="P117" s="8">
        <v>45278.768900462965</v>
      </c>
      <c r="Q117" s="9">
        <v>45280</v>
      </c>
      <c r="R117" t="s">
        <v>37</v>
      </c>
      <c r="S117" t="s">
        <v>44</v>
      </c>
      <c r="T117" t="s">
        <v>45</v>
      </c>
      <c r="U117" t="s">
        <v>68</v>
      </c>
      <c r="V117" t="s">
        <v>455</v>
      </c>
      <c r="W117">
        <v>47000</v>
      </c>
      <c r="X117" t="s">
        <v>44</v>
      </c>
      <c r="Y117" t="s">
        <v>165</v>
      </c>
      <c r="Z117" t="s">
        <v>49</v>
      </c>
      <c r="AA117" s="10">
        <f>IF(O117&lt;=1,7,7+0.8*ROUNDUP(O117-1,0))</f>
        <v>7.8</v>
      </c>
      <c r="AB117" s="11">
        <v>0</v>
      </c>
      <c r="AC117" s="11">
        <v>0</v>
      </c>
      <c r="AD117" s="11">
        <v>0</v>
      </c>
      <c r="AE117" s="11">
        <v>0</v>
      </c>
      <c r="AF117" s="11">
        <f t="shared" si="2"/>
        <v>0.46799999999999997</v>
      </c>
      <c r="AG117" s="11">
        <f t="shared" si="3"/>
        <v>8.2680000000000007</v>
      </c>
      <c r="AH117" t="s">
        <v>44</v>
      </c>
    </row>
    <row r="118" spans="1:34" ht="15" customHeight="1" x14ac:dyDescent="0.35">
      <c r="A118">
        <v>7547676</v>
      </c>
      <c r="B118">
        <v>690929</v>
      </c>
      <c r="C118" t="s">
        <v>34</v>
      </c>
      <c r="D118" t="s">
        <v>35</v>
      </c>
      <c r="E118" s="6" t="s">
        <v>34</v>
      </c>
      <c r="F118" t="s">
        <v>456</v>
      </c>
      <c r="G118" t="s">
        <v>37</v>
      </c>
      <c r="H118" t="s">
        <v>38</v>
      </c>
      <c r="I118" t="s">
        <v>457</v>
      </c>
      <c r="J118" t="s">
        <v>40</v>
      </c>
      <c r="K118">
        <v>2</v>
      </c>
      <c r="L118" t="s">
        <v>41</v>
      </c>
      <c r="M118" t="s">
        <v>42</v>
      </c>
      <c r="N118" t="s">
        <v>43</v>
      </c>
      <c r="O118" s="7">
        <v>2</v>
      </c>
      <c r="P118" s="8">
        <v>45277.726087962961</v>
      </c>
      <c r="Q118" s="9">
        <v>45280</v>
      </c>
      <c r="R118" t="s">
        <v>37</v>
      </c>
      <c r="S118" t="s">
        <v>44</v>
      </c>
      <c r="T118" t="s">
        <v>45</v>
      </c>
      <c r="U118" t="s">
        <v>68</v>
      </c>
      <c r="V118" t="s">
        <v>458</v>
      </c>
      <c r="W118">
        <v>52100</v>
      </c>
      <c r="X118" t="s">
        <v>44</v>
      </c>
      <c r="Y118" t="s">
        <v>127</v>
      </c>
      <c r="Z118" t="s">
        <v>49</v>
      </c>
      <c r="AA118" s="10">
        <f>IF(O118&lt;=1,7,7+0.8*ROUNDUP(O118-1,0))</f>
        <v>7.8</v>
      </c>
      <c r="AB118" s="11">
        <v>0</v>
      </c>
      <c r="AC118" s="11">
        <v>0</v>
      </c>
      <c r="AD118" s="11">
        <v>0</v>
      </c>
      <c r="AE118" s="11">
        <v>0</v>
      </c>
      <c r="AF118" s="11">
        <f t="shared" si="2"/>
        <v>0.46799999999999997</v>
      </c>
      <c r="AG118" s="11">
        <f t="shared" si="3"/>
        <v>8.2680000000000007</v>
      </c>
      <c r="AH118" t="s">
        <v>44</v>
      </c>
    </row>
    <row r="119" spans="1:34" ht="15" customHeight="1" x14ac:dyDescent="0.35">
      <c r="A119">
        <v>7547676</v>
      </c>
      <c r="B119">
        <v>690929</v>
      </c>
      <c r="C119" t="s">
        <v>34</v>
      </c>
      <c r="D119" t="s">
        <v>35</v>
      </c>
      <c r="E119" s="6" t="s">
        <v>34</v>
      </c>
      <c r="F119" t="s">
        <v>459</v>
      </c>
      <c r="G119" t="s">
        <v>37</v>
      </c>
      <c r="H119" t="s">
        <v>38</v>
      </c>
      <c r="I119" t="s">
        <v>460</v>
      </c>
      <c r="J119" t="s">
        <v>40</v>
      </c>
      <c r="K119">
        <v>2</v>
      </c>
      <c r="L119" t="s">
        <v>41</v>
      </c>
      <c r="M119" t="s">
        <v>42</v>
      </c>
      <c r="N119" t="s">
        <v>43</v>
      </c>
      <c r="O119" s="7">
        <v>3</v>
      </c>
      <c r="P119" s="8">
        <v>45278.449282407404</v>
      </c>
      <c r="Q119" s="9">
        <v>45280</v>
      </c>
      <c r="R119" t="s">
        <v>37</v>
      </c>
      <c r="S119" t="s">
        <v>44</v>
      </c>
      <c r="T119" t="s">
        <v>45</v>
      </c>
      <c r="U119" t="s">
        <v>82</v>
      </c>
      <c r="V119" t="s">
        <v>461</v>
      </c>
      <c r="W119">
        <v>71050</v>
      </c>
      <c r="X119" t="s">
        <v>44</v>
      </c>
      <c r="Y119" t="s">
        <v>462</v>
      </c>
      <c r="Z119" t="s">
        <v>49</v>
      </c>
      <c r="AA119" s="10">
        <f>IF(O119&lt;=1,7,7+0.8*ROUNDUP(O119-1,0))</f>
        <v>8.6</v>
      </c>
      <c r="AB119" s="11">
        <v>0</v>
      </c>
      <c r="AC119" s="11">
        <v>0</v>
      </c>
      <c r="AD119" s="11">
        <v>0</v>
      </c>
      <c r="AE119" s="11">
        <v>0</v>
      </c>
      <c r="AF119" s="11">
        <f t="shared" si="2"/>
        <v>0.51600000000000001</v>
      </c>
      <c r="AG119" s="11">
        <f t="shared" si="3"/>
        <v>9.1159999999999997</v>
      </c>
      <c r="AH119" t="s">
        <v>44</v>
      </c>
    </row>
    <row r="120" spans="1:34" ht="15" customHeight="1" x14ac:dyDescent="0.35">
      <c r="A120">
        <v>7547676</v>
      </c>
      <c r="B120">
        <v>690929</v>
      </c>
      <c r="C120" t="s">
        <v>34</v>
      </c>
      <c r="D120" t="s">
        <v>35</v>
      </c>
      <c r="E120" s="6" t="s">
        <v>34</v>
      </c>
      <c r="F120" t="s">
        <v>463</v>
      </c>
      <c r="G120" t="s">
        <v>37</v>
      </c>
      <c r="H120" t="s">
        <v>38</v>
      </c>
      <c r="I120" t="s">
        <v>464</v>
      </c>
      <c r="J120" t="s">
        <v>40</v>
      </c>
      <c r="K120">
        <v>2</v>
      </c>
      <c r="L120" t="s">
        <v>41</v>
      </c>
      <c r="M120" t="s">
        <v>42</v>
      </c>
      <c r="N120" t="s">
        <v>43</v>
      </c>
      <c r="O120" s="7">
        <v>1</v>
      </c>
      <c r="P120" s="8">
        <v>45277.681875000002</v>
      </c>
      <c r="Q120" s="9">
        <v>45280</v>
      </c>
      <c r="R120" t="s">
        <v>37</v>
      </c>
      <c r="S120" t="s">
        <v>44</v>
      </c>
      <c r="T120" t="s">
        <v>45</v>
      </c>
      <c r="U120" t="s">
        <v>159</v>
      </c>
      <c r="V120" t="s">
        <v>465</v>
      </c>
      <c r="W120">
        <v>31350</v>
      </c>
      <c r="X120" t="s">
        <v>44</v>
      </c>
      <c r="Y120" t="s">
        <v>52</v>
      </c>
      <c r="Z120" t="s">
        <v>49</v>
      </c>
      <c r="AA120" s="10">
        <f>IF(O120&lt;=1,7,7+0.8*ROUNDUP(O120-1,0))</f>
        <v>7</v>
      </c>
      <c r="AB120" s="11">
        <v>0</v>
      </c>
      <c r="AC120" s="11">
        <v>0</v>
      </c>
      <c r="AD120" s="11">
        <v>0</v>
      </c>
      <c r="AE120" s="11">
        <v>0</v>
      </c>
      <c r="AF120" s="11">
        <f t="shared" si="2"/>
        <v>0.42</v>
      </c>
      <c r="AG120" s="11">
        <f t="shared" si="3"/>
        <v>7.42</v>
      </c>
      <c r="AH120" t="s">
        <v>44</v>
      </c>
    </row>
    <row r="121" spans="1:34" ht="15" customHeight="1" x14ac:dyDescent="0.35">
      <c r="A121">
        <v>7547676</v>
      </c>
      <c r="B121">
        <v>690929</v>
      </c>
      <c r="C121" t="s">
        <v>34</v>
      </c>
      <c r="D121" t="s">
        <v>35</v>
      </c>
      <c r="E121" s="6" t="s">
        <v>34</v>
      </c>
      <c r="F121" t="s">
        <v>466</v>
      </c>
      <c r="G121" t="s">
        <v>37</v>
      </c>
      <c r="H121" t="s">
        <v>38</v>
      </c>
      <c r="I121" t="s">
        <v>467</v>
      </c>
      <c r="J121" t="s">
        <v>40</v>
      </c>
      <c r="K121">
        <v>2</v>
      </c>
      <c r="L121" t="s">
        <v>41</v>
      </c>
      <c r="M121" t="s">
        <v>42</v>
      </c>
      <c r="N121" t="s">
        <v>43</v>
      </c>
      <c r="O121" s="7">
        <v>2</v>
      </c>
      <c r="P121" s="8">
        <v>45278.768900462965</v>
      </c>
      <c r="Q121" s="9">
        <v>45280</v>
      </c>
      <c r="R121" t="s">
        <v>37</v>
      </c>
      <c r="S121" t="s">
        <v>44</v>
      </c>
      <c r="T121" t="s">
        <v>45</v>
      </c>
      <c r="U121" t="s">
        <v>53</v>
      </c>
      <c r="V121" t="s">
        <v>468</v>
      </c>
      <c r="W121">
        <v>53300</v>
      </c>
      <c r="X121" t="s">
        <v>44</v>
      </c>
      <c r="Y121" t="s">
        <v>469</v>
      </c>
      <c r="Z121" t="s">
        <v>49</v>
      </c>
      <c r="AA121" s="10">
        <f>IF(O121&lt;=1,7,7+0.8*ROUNDUP(O121-1,0))</f>
        <v>7.8</v>
      </c>
      <c r="AB121" s="11">
        <v>0</v>
      </c>
      <c r="AC121" s="11">
        <v>0</v>
      </c>
      <c r="AD121" s="11">
        <v>0</v>
      </c>
      <c r="AE121" s="11">
        <v>0</v>
      </c>
      <c r="AF121" s="11">
        <f t="shared" si="2"/>
        <v>0.46799999999999997</v>
      </c>
      <c r="AG121" s="11">
        <f t="shared" si="3"/>
        <v>8.2680000000000007</v>
      </c>
      <c r="AH121" t="s">
        <v>44</v>
      </c>
    </row>
    <row r="122" spans="1:34" ht="15" customHeight="1" x14ac:dyDescent="0.35">
      <c r="A122">
        <v>7547676</v>
      </c>
      <c r="B122">
        <v>690929</v>
      </c>
      <c r="C122" t="s">
        <v>34</v>
      </c>
      <c r="D122" t="s">
        <v>35</v>
      </c>
      <c r="E122" s="6" t="s">
        <v>34</v>
      </c>
      <c r="F122" t="s">
        <v>470</v>
      </c>
      <c r="G122" t="s">
        <v>37</v>
      </c>
      <c r="H122" t="s">
        <v>323</v>
      </c>
      <c r="I122" t="s">
        <v>471</v>
      </c>
      <c r="J122" t="s">
        <v>40</v>
      </c>
      <c r="K122">
        <v>2</v>
      </c>
      <c r="L122" t="s">
        <v>41</v>
      </c>
      <c r="M122" t="s">
        <v>42</v>
      </c>
      <c r="N122" t="s">
        <v>43</v>
      </c>
      <c r="O122" s="7">
        <v>1</v>
      </c>
      <c r="P122" s="8">
        <v>45270.727453703701</v>
      </c>
      <c r="Q122" s="9">
        <v>45280</v>
      </c>
      <c r="R122" t="s">
        <v>37</v>
      </c>
      <c r="S122" t="s">
        <v>44</v>
      </c>
      <c r="T122" t="s">
        <v>52</v>
      </c>
      <c r="U122" t="s">
        <v>115</v>
      </c>
      <c r="V122" t="s">
        <v>472</v>
      </c>
      <c r="W122">
        <v>18300</v>
      </c>
      <c r="X122" t="s">
        <v>44</v>
      </c>
      <c r="Y122" t="s">
        <v>123</v>
      </c>
      <c r="Z122" t="s">
        <v>49</v>
      </c>
      <c r="AA122" s="10">
        <f>IF(O122&lt;=1,7,7+0.8*ROUNDUP(O122-1,0))</f>
        <v>7</v>
      </c>
      <c r="AB122" s="11">
        <v>0</v>
      </c>
      <c r="AC122" s="11">
        <v>0</v>
      </c>
      <c r="AD122" s="11">
        <v>0</v>
      </c>
      <c r="AE122" s="11">
        <v>0</v>
      </c>
      <c r="AF122" s="11">
        <f t="shared" si="2"/>
        <v>0.42</v>
      </c>
      <c r="AG122" s="11">
        <f t="shared" si="3"/>
        <v>7.42</v>
      </c>
      <c r="AH122" t="s">
        <v>44</v>
      </c>
    </row>
    <row r="123" spans="1:34" ht="15" customHeight="1" x14ac:dyDescent="0.35">
      <c r="A123">
        <v>7547676</v>
      </c>
      <c r="B123">
        <v>690929</v>
      </c>
      <c r="C123" t="s">
        <v>34</v>
      </c>
      <c r="D123" t="s">
        <v>35</v>
      </c>
      <c r="E123" s="6" t="s">
        <v>34</v>
      </c>
      <c r="F123" t="s">
        <v>473</v>
      </c>
      <c r="G123" t="s">
        <v>37</v>
      </c>
      <c r="H123" t="s">
        <v>38</v>
      </c>
      <c r="I123" t="s">
        <v>474</v>
      </c>
      <c r="J123" t="s">
        <v>40</v>
      </c>
      <c r="K123">
        <v>2</v>
      </c>
      <c r="L123" t="s">
        <v>41</v>
      </c>
      <c r="M123" t="s">
        <v>42</v>
      </c>
      <c r="N123" t="s">
        <v>43</v>
      </c>
      <c r="O123" s="7">
        <v>1</v>
      </c>
      <c r="P123" s="8">
        <v>45279.49832175926</v>
      </c>
      <c r="Q123" s="9">
        <v>45280</v>
      </c>
      <c r="R123" t="s">
        <v>37</v>
      </c>
      <c r="S123" t="s">
        <v>44</v>
      </c>
      <c r="T123" t="s">
        <v>45</v>
      </c>
      <c r="U123" t="s">
        <v>258</v>
      </c>
      <c r="V123" t="s">
        <v>475</v>
      </c>
      <c r="W123">
        <v>21080</v>
      </c>
      <c r="X123" t="s">
        <v>44</v>
      </c>
      <c r="Y123" t="s">
        <v>260</v>
      </c>
      <c r="Z123" t="s">
        <v>49</v>
      </c>
      <c r="AA123" s="10">
        <f>IF(O123&lt;=1,7,7+0.8*ROUNDUP(O123-1,0))</f>
        <v>7</v>
      </c>
      <c r="AB123" s="11">
        <v>0</v>
      </c>
      <c r="AC123" s="11">
        <v>0</v>
      </c>
      <c r="AD123" s="11">
        <v>0</v>
      </c>
      <c r="AE123" s="11">
        <v>0</v>
      </c>
      <c r="AF123" s="11">
        <f t="shared" si="2"/>
        <v>0.42</v>
      </c>
      <c r="AG123" s="11">
        <f t="shared" si="3"/>
        <v>7.42</v>
      </c>
      <c r="AH123" t="s">
        <v>44</v>
      </c>
    </row>
    <row r="124" spans="1:34" ht="15" customHeight="1" x14ac:dyDescent="0.35">
      <c r="A124">
        <v>7547676</v>
      </c>
      <c r="B124">
        <v>690929</v>
      </c>
      <c r="C124" t="s">
        <v>34</v>
      </c>
      <c r="D124" t="s">
        <v>35</v>
      </c>
      <c r="E124" s="6" t="s">
        <v>34</v>
      </c>
      <c r="F124" t="s">
        <v>476</v>
      </c>
      <c r="G124" t="s">
        <v>37</v>
      </c>
      <c r="H124" t="s">
        <v>38</v>
      </c>
      <c r="I124" t="s">
        <v>477</v>
      </c>
      <c r="J124" t="s">
        <v>40</v>
      </c>
      <c r="K124">
        <v>2</v>
      </c>
      <c r="L124" t="s">
        <v>41</v>
      </c>
      <c r="M124" t="s">
        <v>42</v>
      </c>
      <c r="N124" t="s">
        <v>43</v>
      </c>
      <c r="O124" s="7">
        <v>3</v>
      </c>
      <c r="P124" s="8">
        <v>45279.674849537034</v>
      </c>
      <c r="Q124" s="9">
        <v>45280</v>
      </c>
      <c r="R124" t="s">
        <v>37</v>
      </c>
      <c r="S124" t="s">
        <v>44</v>
      </c>
      <c r="T124" t="s">
        <v>45</v>
      </c>
      <c r="U124" t="s">
        <v>258</v>
      </c>
      <c r="V124" t="s">
        <v>478</v>
      </c>
      <c r="W124">
        <v>21600</v>
      </c>
      <c r="X124" t="s">
        <v>44</v>
      </c>
      <c r="Y124" t="s">
        <v>260</v>
      </c>
      <c r="Z124" t="s">
        <v>49</v>
      </c>
      <c r="AA124" s="10">
        <f>IF(O124&lt;=1,7,7+0.8*ROUNDUP(O124-1,0))</f>
        <v>8.6</v>
      </c>
      <c r="AB124" s="11">
        <v>0</v>
      </c>
      <c r="AC124" s="11">
        <v>0</v>
      </c>
      <c r="AD124" s="11">
        <v>0</v>
      </c>
      <c r="AE124" s="11">
        <v>0</v>
      </c>
      <c r="AF124" s="11">
        <f t="shared" si="2"/>
        <v>0.51600000000000001</v>
      </c>
      <c r="AG124" s="11">
        <f t="shared" si="3"/>
        <v>9.1159999999999997</v>
      </c>
      <c r="AH124" t="s">
        <v>44</v>
      </c>
    </row>
    <row r="125" spans="1:34" ht="15" customHeight="1" x14ac:dyDescent="0.35">
      <c r="A125">
        <v>7547676</v>
      </c>
      <c r="B125">
        <v>690929</v>
      </c>
      <c r="C125" t="s">
        <v>34</v>
      </c>
      <c r="D125" t="s">
        <v>35</v>
      </c>
      <c r="E125" s="6" t="s">
        <v>34</v>
      </c>
      <c r="F125" t="s">
        <v>479</v>
      </c>
      <c r="G125" t="s">
        <v>37</v>
      </c>
      <c r="H125" t="s">
        <v>38</v>
      </c>
      <c r="I125" t="s">
        <v>480</v>
      </c>
      <c r="J125" t="s">
        <v>40</v>
      </c>
      <c r="K125">
        <v>2</v>
      </c>
      <c r="L125" t="s">
        <v>41</v>
      </c>
      <c r="M125" t="s">
        <v>42</v>
      </c>
      <c r="N125" t="s">
        <v>43</v>
      </c>
      <c r="O125" s="7">
        <v>1</v>
      </c>
      <c r="P125" s="8">
        <v>45277.794444444444</v>
      </c>
      <c r="Q125" s="9">
        <v>45280</v>
      </c>
      <c r="R125" t="s">
        <v>37</v>
      </c>
      <c r="S125" t="s">
        <v>44</v>
      </c>
      <c r="T125" t="s">
        <v>45</v>
      </c>
      <c r="U125" t="s">
        <v>53</v>
      </c>
      <c r="V125" t="s">
        <v>481</v>
      </c>
      <c r="W125">
        <v>60000</v>
      </c>
      <c r="X125" t="s">
        <v>44</v>
      </c>
      <c r="Y125" t="s">
        <v>52</v>
      </c>
      <c r="Z125" t="s">
        <v>49</v>
      </c>
      <c r="AA125" s="10">
        <f>IF(O125&lt;=1,7,7+0.8*ROUNDUP(O125-1,0))</f>
        <v>7</v>
      </c>
      <c r="AB125" s="11">
        <v>0</v>
      </c>
      <c r="AC125" s="11">
        <v>0</v>
      </c>
      <c r="AD125" s="11">
        <v>0</v>
      </c>
      <c r="AE125" s="11">
        <v>0</v>
      </c>
      <c r="AF125" s="11">
        <f t="shared" si="2"/>
        <v>0.42</v>
      </c>
      <c r="AG125" s="11">
        <f t="shared" si="3"/>
        <v>7.42</v>
      </c>
      <c r="AH125" t="s">
        <v>44</v>
      </c>
    </row>
    <row r="126" spans="1:34" ht="15" customHeight="1" x14ac:dyDescent="0.35">
      <c r="A126">
        <v>7547676</v>
      </c>
      <c r="B126">
        <v>690929</v>
      </c>
      <c r="C126" t="s">
        <v>34</v>
      </c>
      <c r="D126" t="s">
        <v>35</v>
      </c>
      <c r="E126" s="6" t="s">
        <v>34</v>
      </c>
      <c r="F126" t="s">
        <v>482</v>
      </c>
      <c r="G126" t="s">
        <v>37</v>
      </c>
      <c r="H126" t="s">
        <v>38</v>
      </c>
      <c r="I126" t="s">
        <v>483</v>
      </c>
      <c r="J126" t="s">
        <v>40</v>
      </c>
      <c r="K126">
        <v>2</v>
      </c>
      <c r="L126" t="s">
        <v>41</v>
      </c>
      <c r="M126" t="s">
        <v>42</v>
      </c>
      <c r="N126" t="s">
        <v>43</v>
      </c>
      <c r="O126" s="7">
        <v>1</v>
      </c>
      <c r="P126" s="8">
        <v>45277.794444444444</v>
      </c>
      <c r="Q126" s="9">
        <v>45280</v>
      </c>
      <c r="R126" t="s">
        <v>37</v>
      </c>
      <c r="S126" t="s">
        <v>44</v>
      </c>
      <c r="T126" t="s">
        <v>45</v>
      </c>
      <c r="U126" t="s">
        <v>258</v>
      </c>
      <c r="V126" t="s">
        <v>484</v>
      </c>
      <c r="W126">
        <v>24000</v>
      </c>
      <c r="X126" t="s">
        <v>44</v>
      </c>
      <c r="Y126" t="s">
        <v>45</v>
      </c>
      <c r="Z126" t="s">
        <v>49</v>
      </c>
      <c r="AA126" s="10">
        <f>IF(O126&lt;=1,7,7+0.8*ROUNDUP(O126-1,0))</f>
        <v>7</v>
      </c>
      <c r="AB126" s="11">
        <v>0</v>
      </c>
      <c r="AC126" s="11">
        <v>0</v>
      </c>
      <c r="AD126" s="11">
        <v>0</v>
      </c>
      <c r="AE126" s="11">
        <v>0</v>
      </c>
      <c r="AF126" s="11">
        <f t="shared" si="2"/>
        <v>0.42</v>
      </c>
      <c r="AG126" s="11">
        <f t="shared" si="3"/>
        <v>7.42</v>
      </c>
      <c r="AH126" t="s">
        <v>44</v>
      </c>
    </row>
    <row r="127" spans="1:34" ht="15" customHeight="1" x14ac:dyDescent="0.35">
      <c r="A127">
        <v>7547676</v>
      </c>
      <c r="B127">
        <v>690929</v>
      </c>
      <c r="C127" t="s">
        <v>34</v>
      </c>
      <c r="D127" t="s">
        <v>35</v>
      </c>
      <c r="E127" s="6" t="s">
        <v>34</v>
      </c>
      <c r="F127" t="s">
        <v>485</v>
      </c>
      <c r="G127" t="s">
        <v>37</v>
      </c>
      <c r="H127" t="s">
        <v>38</v>
      </c>
      <c r="I127" t="s">
        <v>486</v>
      </c>
      <c r="J127" t="s">
        <v>40</v>
      </c>
      <c r="K127">
        <v>2</v>
      </c>
      <c r="L127" t="s">
        <v>41</v>
      </c>
      <c r="M127" t="s">
        <v>42</v>
      </c>
      <c r="N127" t="s">
        <v>43</v>
      </c>
      <c r="O127" s="7">
        <v>1</v>
      </c>
      <c r="P127" s="8">
        <v>45278.574918981481</v>
      </c>
      <c r="Q127" s="9">
        <v>45280</v>
      </c>
      <c r="R127" t="s">
        <v>37</v>
      </c>
      <c r="S127" t="s">
        <v>44</v>
      </c>
      <c r="T127" t="s">
        <v>45</v>
      </c>
      <c r="U127" t="s">
        <v>258</v>
      </c>
      <c r="V127" t="s">
        <v>487</v>
      </c>
      <c r="W127">
        <v>24000</v>
      </c>
      <c r="X127" t="s">
        <v>44</v>
      </c>
      <c r="Y127" t="s">
        <v>45</v>
      </c>
      <c r="Z127" t="s">
        <v>49</v>
      </c>
      <c r="AA127" s="10">
        <f>IF(O127&lt;=1,7,7+0.8*ROUNDUP(O127-1,0))</f>
        <v>7</v>
      </c>
      <c r="AB127" s="11">
        <v>0</v>
      </c>
      <c r="AC127" s="11">
        <v>0</v>
      </c>
      <c r="AD127" s="11">
        <v>0</v>
      </c>
      <c r="AE127" s="11">
        <v>0</v>
      </c>
      <c r="AF127" s="11">
        <f t="shared" si="2"/>
        <v>0.42</v>
      </c>
      <c r="AG127" s="11">
        <f t="shared" si="3"/>
        <v>7.42</v>
      </c>
      <c r="AH127" t="s">
        <v>44</v>
      </c>
    </row>
    <row r="128" spans="1:34" ht="15" customHeight="1" x14ac:dyDescent="0.35">
      <c r="A128">
        <v>7547676</v>
      </c>
      <c r="B128">
        <v>690929</v>
      </c>
      <c r="C128" t="s">
        <v>34</v>
      </c>
      <c r="D128" t="s">
        <v>35</v>
      </c>
      <c r="E128" s="6" t="s">
        <v>34</v>
      </c>
      <c r="F128" t="s">
        <v>488</v>
      </c>
      <c r="G128" t="s">
        <v>37</v>
      </c>
      <c r="H128" t="s">
        <v>38</v>
      </c>
      <c r="I128" t="s">
        <v>489</v>
      </c>
      <c r="J128" t="s">
        <v>40</v>
      </c>
      <c r="K128">
        <v>2</v>
      </c>
      <c r="L128" t="s">
        <v>41</v>
      </c>
      <c r="M128" t="s">
        <v>42</v>
      </c>
      <c r="N128" t="s">
        <v>43</v>
      </c>
      <c r="O128" s="7">
        <v>1</v>
      </c>
      <c r="P128" s="8">
        <v>45279.610243055555</v>
      </c>
      <c r="Q128" s="9">
        <v>45280</v>
      </c>
      <c r="R128" t="s">
        <v>37</v>
      </c>
      <c r="S128" t="s">
        <v>44</v>
      </c>
      <c r="T128" t="s">
        <v>45</v>
      </c>
      <c r="U128" t="s">
        <v>68</v>
      </c>
      <c r="V128" t="s">
        <v>490</v>
      </c>
      <c r="W128">
        <v>47000</v>
      </c>
      <c r="X128" t="s">
        <v>44</v>
      </c>
      <c r="Y128" t="s">
        <v>165</v>
      </c>
      <c r="Z128" t="s">
        <v>49</v>
      </c>
      <c r="AA128" s="10">
        <f>IF(O128&lt;=1,7,7+0.8*ROUNDUP(O128-1,0))</f>
        <v>7</v>
      </c>
      <c r="AB128" s="11">
        <v>0</v>
      </c>
      <c r="AC128" s="11">
        <v>0</v>
      </c>
      <c r="AD128" s="11">
        <v>0</v>
      </c>
      <c r="AE128" s="11">
        <v>0</v>
      </c>
      <c r="AF128" s="11">
        <f t="shared" si="2"/>
        <v>0.42</v>
      </c>
      <c r="AG128" s="11">
        <f t="shared" si="3"/>
        <v>7.42</v>
      </c>
      <c r="AH128" t="s">
        <v>44</v>
      </c>
    </row>
    <row r="129" spans="1:34" ht="15" customHeight="1" x14ac:dyDescent="0.35">
      <c r="A129">
        <v>7547676</v>
      </c>
      <c r="B129">
        <v>690929</v>
      </c>
      <c r="C129" t="s">
        <v>34</v>
      </c>
      <c r="D129" t="s">
        <v>35</v>
      </c>
      <c r="E129" s="6" t="s">
        <v>34</v>
      </c>
      <c r="F129" t="s">
        <v>491</v>
      </c>
      <c r="G129" t="s">
        <v>37</v>
      </c>
      <c r="H129" t="s">
        <v>38</v>
      </c>
      <c r="I129" t="s">
        <v>492</v>
      </c>
      <c r="J129" t="s">
        <v>40</v>
      </c>
      <c r="K129">
        <v>2</v>
      </c>
      <c r="L129" t="s">
        <v>41</v>
      </c>
      <c r="M129" t="s">
        <v>42</v>
      </c>
      <c r="N129" t="s">
        <v>43</v>
      </c>
      <c r="O129" s="7">
        <v>2</v>
      </c>
      <c r="P129" s="8">
        <v>45279.58861111111</v>
      </c>
      <c r="Q129" s="9">
        <v>45280</v>
      </c>
      <c r="R129" t="s">
        <v>37</v>
      </c>
      <c r="S129" t="s">
        <v>44</v>
      </c>
      <c r="T129" t="s">
        <v>45</v>
      </c>
      <c r="U129" t="s">
        <v>68</v>
      </c>
      <c r="V129" t="s">
        <v>493</v>
      </c>
      <c r="W129">
        <v>68100</v>
      </c>
      <c r="X129" t="s">
        <v>44</v>
      </c>
      <c r="Y129" t="s">
        <v>494</v>
      </c>
      <c r="Z129" t="s">
        <v>49</v>
      </c>
      <c r="AA129" s="10">
        <f>IF(O129&lt;=1,7,7+0.8*ROUNDUP(O129-1,0))</f>
        <v>7.8</v>
      </c>
      <c r="AB129" s="11">
        <v>0</v>
      </c>
      <c r="AC129" s="11">
        <v>0</v>
      </c>
      <c r="AD129" s="11">
        <v>0</v>
      </c>
      <c r="AE129" s="11">
        <v>0</v>
      </c>
      <c r="AF129" s="11">
        <f t="shared" si="2"/>
        <v>0.46799999999999997</v>
      </c>
      <c r="AG129" s="11">
        <f t="shared" si="3"/>
        <v>8.2680000000000007</v>
      </c>
      <c r="AH129" t="s">
        <v>44</v>
      </c>
    </row>
    <row r="130" spans="1:34" ht="15" customHeight="1" x14ac:dyDescent="0.35">
      <c r="A130">
        <v>7547676</v>
      </c>
      <c r="B130">
        <v>690929</v>
      </c>
      <c r="C130" t="s">
        <v>34</v>
      </c>
      <c r="D130" t="s">
        <v>35</v>
      </c>
      <c r="E130" s="6" t="s">
        <v>34</v>
      </c>
      <c r="F130" t="s">
        <v>495</v>
      </c>
      <c r="G130" t="s">
        <v>37</v>
      </c>
      <c r="H130" t="s">
        <v>38</v>
      </c>
      <c r="I130" t="s">
        <v>496</v>
      </c>
      <c r="J130" t="s">
        <v>40</v>
      </c>
      <c r="K130">
        <v>2</v>
      </c>
      <c r="L130" t="s">
        <v>41</v>
      </c>
      <c r="M130" t="s">
        <v>42</v>
      </c>
      <c r="N130" t="s">
        <v>43</v>
      </c>
      <c r="O130" s="7">
        <v>6</v>
      </c>
      <c r="P130" s="8">
        <v>45279.462997685187</v>
      </c>
      <c r="Q130" s="9">
        <v>45280</v>
      </c>
      <c r="R130" t="s">
        <v>37</v>
      </c>
      <c r="S130" t="s">
        <v>44</v>
      </c>
      <c r="T130" t="s">
        <v>45</v>
      </c>
      <c r="U130" t="s">
        <v>68</v>
      </c>
      <c r="V130" t="s">
        <v>497</v>
      </c>
      <c r="W130">
        <v>43700</v>
      </c>
      <c r="X130" t="s">
        <v>44</v>
      </c>
      <c r="Y130" t="s">
        <v>498</v>
      </c>
      <c r="Z130" t="s">
        <v>49</v>
      </c>
      <c r="AA130" s="10">
        <f>IF(O130&lt;=1,7,7+0.8*ROUNDUP(O130-1,0))</f>
        <v>11</v>
      </c>
      <c r="AB130" s="11">
        <v>0</v>
      </c>
      <c r="AC130" s="11">
        <v>0</v>
      </c>
      <c r="AD130" s="11">
        <v>0</v>
      </c>
      <c r="AE130" s="11">
        <v>0</v>
      </c>
      <c r="AF130" s="11">
        <f t="shared" ref="AF130:AF193" si="4">(AA130+AC130+AE130)*6%</f>
        <v>0.65999999999999992</v>
      </c>
      <c r="AG130" s="11">
        <f t="shared" ref="AG130:AG193" si="5">AA130+AC130+AE130+AF130</f>
        <v>11.66</v>
      </c>
      <c r="AH130" t="s">
        <v>44</v>
      </c>
    </row>
    <row r="131" spans="1:34" ht="15" customHeight="1" x14ac:dyDescent="0.35">
      <c r="A131">
        <v>7547676</v>
      </c>
      <c r="B131">
        <v>690929</v>
      </c>
      <c r="C131" t="s">
        <v>34</v>
      </c>
      <c r="D131" t="s">
        <v>35</v>
      </c>
      <c r="E131" s="6" t="s">
        <v>34</v>
      </c>
      <c r="F131" t="s">
        <v>499</v>
      </c>
      <c r="G131" t="s">
        <v>37</v>
      </c>
      <c r="H131" t="s">
        <v>38</v>
      </c>
      <c r="I131" t="s">
        <v>500</v>
      </c>
      <c r="J131" t="s">
        <v>40</v>
      </c>
      <c r="K131">
        <v>2</v>
      </c>
      <c r="L131" t="s">
        <v>41</v>
      </c>
      <c r="M131" t="s">
        <v>42</v>
      </c>
      <c r="N131" t="s">
        <v>43</v>
      </c>
      <c r="O131" s="7">
        <v>5</v>
      </c>
      <c r="P131" s="8">
        <v>45279.569039351853</v>
      </c>
      <c r="Q131" s="9">
        <v>45281</v>
      </c>
      <c r="R131" t="s">
        <v>37</v>
      </c>
      <c r="S131" t="s">
        <v>44</v>
      </c>
      <c r="T131" t="s">
        <v>45</v>
      </c>
      <c r="U131" t="s">
        <v>501</v>
      </c>
      <c r="V131" t="s">
        <v>502</v>
      </c>
      <c r="W131">
        <v>2400</v>
      </c>
      <c r="X131" t="s">
        <v>44</v>
      </c>
      <c r="Y131" t="s">
        <v>503</v>
      </c>
      <c r="Z131" t="s">
        <v>49</v>
      </c>
      <c r="AA131" s="10">
        <f>IF(O131&lt;=1,7,7+0.8*ROUNDUP(O131-1,0))</f>
        <v>10.199999999999999</v>
      </c>
      <c r="AB131" s="11">
        <v>0</v>
      </c>
      <c r="AC131" s="11">
        <v>0</v>
      </c>
      <c r="AD131" s="11">
        <v>0</v>
      </c>
      <c r="AE131" s="11">
        <v>0</v>
      </c>
      <c r="AF131" s="11">
        <f t="shared" si="4"/>
        <v>0.61199999999999999</v>
      </c>
      <c r="AG131" s="11">
        <f t="shared" si="5"/>
        <v>10.811999999999999</v>
      </c>
      <c r="AH131" t="s">
        <v>44</v>
      </c>
    </row>
    <row r="132" spans="1:34" ht="15" customHeight="1" x14ac:dyDescent="0.35">
      <c r="A132">
        <v>7547676</v>
      </c>
      <c r="B132">
        <v>690929</v>
      </c>
      <c r="C132" t="s">
        <v>34</v>
      </c>
      <c r="D132" t="s">
        <v>35</v>
      </c>
      <c r="E132" s="6" t="s">
        <v>34</v>
      </c>
      <c r="F132" t="s">
        <v>504</v>
      </c>
      <c r="G132" t="s">
        <v>37</v>
      </c>
      <c r="H132" t="s">
        <v>38</v>
      </c>
      <c r="I132" t="s">
        <v>505</v>
      </c>
      <c r="J132" t="s">
        <v>40</v>
      </c>
      <c r="K132">
        <v>2</v>
      </c>
      <c r="L132" t="s">
        <v>41</v>
      </c>
      <c r="M132" t="s">
        <v>42</v>
      </c>
      <c r="N132" t="s">
        <v>43</v>
      </c>
      <c r="O132" s="7">
        <v>12</v>
      </c>
      <c r="P132" s="8">
        <v>45279.757395833331</v>
      </c>
      <c r="Q132" s="9">
        <v>45281</v>
      </c>
      <c r="R132" t="s">
        <v>37</v>
      </c>
      <c r="S132" t="s">
        <v>44</v>
      </c>
      <c r="T132" t="s">
        <v>45</v>
      </c>
      <c r="U132" t="s">
        <v>53</v>
      </c>
      <c r="V132" t="s">
        <v>506</v>
      </c>
      <c r="W132">
        <v>57000</v>
      </c>
      <c r="X132" t="s">
        <v>44</v>
      </c>
      <c r="Y132" t="s">
        <v>507</v>
      </c>
      <c r="Z132" t="s">
        <v>49</v>
      </c>
      <c r="AA132" s="10">
        <f>IF(O132&lt;=1,7,7+0.8*ROUNDUP(O132-1,0))</f>
        <v>15.8</v>
      </c>
      <c r="AB132" s="11">
        <v>0</v>
      </c>
      <c r="AC132" s="11">
        <v>0</v>
      </c>
      <c r="AD132" s="11">
        <v>0</v>
      </c>
      <c r="AE132" s="11">
        <v>0</v>
      </c>
      <c r="AF132" s="11">
        <f t="shared" si="4"/>
        <v>0.94799999999999995</v>
      </c>
      <c r="AG132" s="11">
        <f t="shared" si="5"/>
        <v>16.748000000000001</v>
      </c>
      <c r="AH132" t="s">
        <v>44</v>
      </c>
    </row>
    <row r="133" spans="1:34" ht="15" customHeight="1" x14ac:dyDescent="0.35">
      <c r="A133">
        <v>7547676</v>
      </c>
      <c r="B133">
        <v>690929</v>
      </c>
      <c r="C133" t="s">
        <v>34</v>
      </c>
      <c r="D133" t="s">
        <v>35</v>
      </c>
      <c r="E133" s="6" t="s">
        <v>34</v>
      </c>
      <c r="F133" t="s">
        <v>508</v>
      </c>
      <c r="G133" t="s">
        <v>37</v>
      </c>
      <c r="H133" t="s">
        <v>38</v>
      </c>
      <c r="I133" t="s">
        <v>509</v>
      </c>
      <c r="J133" t="s">
        <v>40</v>
      </c>
      <c r="K133">
        <v>2</v>
      </c>
      <c r="L133" t="s">
        <v>41</v>
      </c>
      <c r="M133" t="s">
        <v>42</v>
      </c>
      <c r="N133" t="s">
        <v>43</v>
      </c>
      <c r="O133" s="7">
        <v>6</v>
      </c>
      <c r="P133" s="8">
        <v>45279.757395833331</v>
      </c>
      <c r="Q133" s="9">
        <v>45281</v>
      </c>
      <c r="R133" t="s">
        <v>37</v>
      </c>
      <c r="S133" t="s">
        <v>44</v>
      </c>
      <c r="T133" t="s">
        <v>45</v>
      </c>
      <c r="U133" t="s">
        <v>68</v>
      </c>
      <c r="V133" t="s">
        <v>510</v>
      </c>
      <c r="W133">
        <v>46000</v>
      </c>
      <c r="X133" t="s">
        <v>44</v>
      </c>
      <c r="Y133" t="s">
        <v>511</v>
      </c>
      <c r="Z133" t="s">
        <v>49</v>
      </c>
      <c r="AA133" s="10">
        <f>IF(O133&lt;=1,7,7+0.8*ROUNDUP(O133-1,0))</f>
        <v>11</v>
      </c>
      <c r="AB133" s="11">
        <v>0</v>
      </c>
      <c r="AC133" s="11">
        <v>0</v>
      </c>
      <c r="AD133" s="11">
        <v>0</v>
      </c>
      <c r="AE133" s="11">
        <v>0</v>
      </c>
      <c r="AF133" s="11">
        <f t="shared" si="4"/>
        <v>0.65999999999999992</v>
      </c>
      <c r="AG133" s="11">
        <f t="shared" si="5"/>
        <v>11.66</v>
      </c>
      <c r="AH133" t="s">
        <v>44</v>
      </c>
    </row>
    <row r="134" spans="1:34" ht="15" customHeight="1" x14ac:dyDescent="0.35">
      <c r="A134">
        <v>7547676</v>
      </c>
      <c r="B134">
        <v>690929</v>
      </c>
      <c r="C134" t="s">
        <v>34</v>
      </c>
      <c r="D134" t="s">
        <v>35</v>
      </c>
      <c r="E134" s="6" t="s">
        <v>34</v>
      </c>
      <c r="F134" t="s">
        <v>512</v>
      </c>
      <c r="G134" t="s">
        <v>37</v>
      </c>
      <c r="H134" t="s">
        <v>38</v>
      </c>
      <c r="I134" t="s">
        <v>505</v>
      </c>
      <c r="J134" t="s">
        <v>40</v>
      </c>
      <c r="K134">
        <v>2</v>
      </c>
      <c r="L134" t="s">
        <v>41</v>
      </c>
      <c r="M134" t="s">
        <v>42</v>
      </c>
      <c r="N134" t="s">
        <v>43</v>
      </c>
      <c r="O134" s="7">
        <v>16</v>
      </c>
      <c r="P134" s="8">
        <v>45279.757395833331</v>
      </c>
      <c r="Q134" s="9">
        <v>45281</v>
      </c>
      <c r="R134" t="s">
        <v>37</v>
      </c>
      <c r="S134" t="s">
        <v>44</v>
      </c>
      <c r="T134" t="s">
        <v>45</v>
      </c>
      <c r="U134" t="s">
        <v>53</v>
      </c>
      <c r="V134" t="s">
        <v>513</v>
      </c>
      <c r="W134">
        <v>57000</v>
      </c>
      <c r="X134" t="s">
        <v>44</v>
      </c>
      <c r="Y134" t="s">
        <v>507</v>
      </c>
      <c r="Z134" t="s">
        <v>49</v>
      </c>
      <c r="AA134" s="10">
        <f>IF(O134&lt;=1,7,7+0.8*ROUNDUP(O134-1,0))</f>
        <v>19</v>
      </c>
      <c r="AB134" s="11">
        <v>0</v>
      </c>
      <c r="AC134" s="11">
        <v>0</v>
      </c>
      <c r="AD134" s="11">
        <v>0</v>
      </c>
      <c r="AE134" s="11">
        <v>0</v>
      </c>
      <c r="AF134" s="11">
        <f t="shared" si="4"/>
        <v>1.1399999999999999</v>
      </c>
      <c r="AG134" s="11">
        <f t="shared" si="5"/>
        <v>20.14</v>
      </c>
      <c r="AH134" t="s">
        <v>44</v>
      </c>
    </row>
    <row r="135" spans="1:34" ht="15" customHeight="1" x14ac:dyDescent="0.35">
      <c r="A135">
        <v>7547676</v>
      </c>
      <c r="B135">
        <v>690929</v>
      </c>
      <c r="C135" t="s">
        <v>34</v>
      </c>
      <c r="D135" t="s">
        <v>35</v>
      </c>
      <c r="E135" s="6" t="s">
        <v>34</v>
      </c>
      <c r="F135" t="s">
        <v>514</v>
      </c>
      <c r="G135" t="s">
        <v>37</v>
      </c>
      <c r="H135" t="s">
        <v>38</v>
      </c>
      <c r="I135" t="s">
        <v>515</v>
      </c>
      <c r="J135" t="s">
        <v>40</v>
      </c>
      <c r="K135">
        <v>2</v>
      </c>
      <c r="L135" t="s">
        <v>41</v>
      </c>
      <c r="M135" t="s">
        <v>42</v>
      </c>
      <c r="N135" t="s">
        <v>43</v>
      </c>
      <c r="O135" s="7">
        <v>5</v>
      </c>
      <c r="P135" s="8">
        <v>45278.739560185182</v>
      </c>
      <c r="Q135" s="9">
        <v>45281</v>
      </c>
      <c r="R135" t="s">
        <v>37</v>
      </c>
      <c r="S135" t="s">
        <v>44</v>
      </c>
      <c r="T135" t="s">
        <v>45</v>
      </c>
      <c r="U135" t="s">
        <v>159</v>
      </c>
      <c r="V135" t="s">
        <v>516</v>
      </c>
      <c r="W135">
        <v>35800</v>
      </c>
      <c r="X135" t="s">
        <v>44</v>
      </c>
      <c r="Y135" t="s">
        <v>237</v>
      </c>
      <c r="Z135" t="s">
        <v>49</v>
      </c>
      <c r="AA135" s="10">
        <f>IF(O135&lt;=1,7,7+0.8*ROUNDUP(O135-1,0))</f>
        <v>10.199999999999999</v>
      </c>
      <c r="AB135" s="11">
        <v>0</v>
      </c>
      <c r="AC135" s="11">
        <v>0</v>
      </c>
      <c r="AD135" s="11">
        <v>0</v>
      </c>
      <c r="AE135" s="11">
        <v>0</v>
      </c>
      <c r="AF135" s="11">
        <f t="shared" si="4"/>
        <v>0.61199999999999999</v>
      </c>
      <c r="AG135" s="11">
        <f t="shared" si="5"/>
        <v>10.811999999999999</v>
      </c>
      <c r="AH135" t="s">
        <v>44</v>
      </c>
    </row>
    <row r="136" spans="1:34" ht="15" customHeight="1" x14ac:dyDescent="0.35">
      <c r="A136">
        <v>7547676</v>
      </c>
      <c r="B136">
        <v>690929</v>
      </c>
      <c r="C136" t="s">
        <v>34</v>
      </c>
      <c r="D136" t="s">
        <v>35</v>
      </c>
      <c r="E136" s="6" t="s">
        <v>34</v>
      </c>
      <c r="F136" t="s">
        <v>517</v>
      </c>
      <c r="G136" t="s">
        <v>37</v>
      </c>
      <c r="H136" t="s">
        <v>38</v>
      </c>
      <c r="I136" t="s">
        <v>518</v>
      </c>
      <c r="J136" t="s">
        <v>40</v>
      </c>
      <c r="K136">
        <v>2</v>
      </c>
      <c r="L136" t="s">
        <v>41</v>
      </c>
      <c r="M136" t="s">
        <v>42</v>
      </c>
      <c r="N136" t="s">
        <v>43</v>
      </c>
      <c r="O136" s="7">
        <v>1</v>
      </c>
      <c r="P136" s="8">
        <v>45279.723321759258</v>
      </c>
      <c r="Q136" s="9">
        <v>45281</v>
      </c>
      <c r="R136" t="s">
        <v>37</v>
      </c>
      <c r="S136" t="s">
        <v>44</v>
      </c>
      <c r="T136" t="s">
        <v>45</v>
      </c>
      <c r="U136" t="s">
        <v>58</v>
      </c>
      <c r="V136" t="s">
        <v>519</v>
      </c>
      <c r="W136">
        <v>8000</v>
      </c>
      <c r="X136" t="s">
        <v>44</v>
      </c>
      <c r="Y136" t="s">
        <v>520</v>
      </c>
      <c r="Z136" t="s">
        <v>49</v>
      </c>
      <c r="AA136" s="10">
        <f>IF(O136&lt;=1,7,7+0.8*ROUNDUP(O136-1,0))</f>
        <v>7</v>
      </c>
      <c r="AB136" s="11">
        <v>0</v>
      </c>
      <c r="AC136" s="11">
        <v>0</v>
      </c>
      <c r="AD136" s="11">
        <v>0</v>
      </c>
      <c r="AE136" s="11">
        <v>0</v>
      </c>
      <c r="AF136" s="11">
        <f t="shared" si="4"/>
        <v>0.42</v>
      </c>
      <c r="AG136" s="11">
        <f t="shared" si="5"/>
        <v>7.42</v>
      </c>
      <c r="AH136" t="s">
        <v>44</v>
      </c>
    </row>
    <row r="137" spans="1:34" ht="15" customHeight="1" x14ac:dyDescent="0.35">
      <c r="A137">
        <v>7547676</v>
      </c>
      <c r="B137">
        <v>690929</v>
      </c>
      <c r="C137" t="s">
        <v>34</v>
      </c>
      <c r="D137" t="s">
        <v>35</v>
      </c>
      <c r="E137" s="6" t="s">
        <v>34</v>
      </c>
      <c r="F137" t="s">
        <v>521</v>
      </c>
      <c r="G137" t="s">
        <v>37</v>
      </c>
      <c r="H137" t="s">
        <v>38</v>
      </c>
      <c r="I137" t="s">
        <v>522</v>
      </c>
      <c r="J137" t="s">
        <v>40</v>
      </c>
      <c r="K137">
        <v>2</v>
      </c>
      <c r="L137" t="s">
        <v>41</v>
      </c>
      <c r="M137" t="s">
        <v>42</v>
      </c>
      <c r="N137" t="s">
        <v>43</v>
      </c>
      <c r="O137" s="7">
        <v>1</v>
      </c>
      <c r="P137" s="8">
        <v>45279.657233796293</v>
      </c>
      <c r="Q137" s="9">
        <v>45281</v>
      </c>
      <c r="R137" t="s">
        <v>37</v>
      </c>
      <c r="S137" t="s">
        <v>44</v>
      </c>
      <c r="T137" t="s">
        <v>45</v>
      </c>
      <c r="U137" t="s">
        <v>159</v>
      </c>
      <c r="V137" t="s">
        <v>523</v>
      </c>
      <c r="W137">
        <v>33000</v>
      </c>
      <c r="X137" t="s">
        <v>44</v>
      </c>
      <c r="Y137" t="s">
        <v>524</v>
      </c>
      <c r="Z137" t="s">
        <v>49</v>
      </c>
      <c r="AA137" s="10">
        <f>IF(O137&lt;=1,7,7+0.8*ROUNDUP(O137-1,0))</f>
        <v>7</v>
      </c>
      <c r="AB137" s="11">
        <v>0</v>
      </c>
      <c r="AC137" s="11">
        <v>0</v>
      </c>
      <c r="AD137" s="11">
        <v>0</v>
      </c>
      <c r="AE137" s="11">
        <v>0</v>
      </c>
      <c r="AF137" s="11">
        <f t="shared" si="4"/>
        <v>0.42</v>
      </c>
      <c r="AG137" s="11">
        <f t="shared" si="5"/>
        <v>7.42</v>
      </c>
      <c r="AH137" t="s">
        <v>44</v>
      </c>
    </row>
    <row r="138" spans="1:34" ht="15" customHeight="1" x14ac:dyDescent="0.35">
      <c r="A138">
        <v>7547676</v>
      </c>
      <c r="B138">
        <v>690929</v>
      </c>
      <c r="C138" t="s">
        <v>34</v>
      </c>
      <c r="D138" t="s">
        <v>35</v>
      </c>
      <c r="E138" s="6" t="s">
        <v>34</v>
      </c>
      <c r="F138" t="s">
        <v>525</v>
      </c>
      <c r="G138" t="s">
        <v>37</v>
      </c>
      <c r="H138" t="s">
        <v>38</v>
      </c>
      <c r="I138" t="s">
        <v>526</v>
      </c>
      <c r="J138" t="s">
        <v>40</v>
      </c>
      <c r="K138">
        <v>2</v>
      </c>
      <c r="L138" t="s">
        <v>41</v>
      </c>
      <c r="M138" t="s">
        <v>42</v>
      </c>
      <c r="N138" t="s">
        <v>43</v>
      </c>
      <c r="O138" s="7">
        <v>1</v>
      </c>
      <c r="P138" s="8">
        <v>45279.595729166664</v>
      </c>
      <c r="Q138" s="9">
        <v>45281</v>
      </c>
      <c r="R138" t="s">
        <v>37</v>
      </c>
      <c r="S138" t="s">
        <v>44</v>
      </c>
      <c r="T138" t="s">
        <v>45</v>
      </c>
      <c r="U138" t="s">
        <v>279</v>
      </c>
      <c r="V138" t="s">
        <v>527</v>
      </c>
      <c r="W138">
        <v>91111</v>
      </c>
      <c r="X138" t="s">
        <v>242</v>
      </c>
      <c r="Y138" t="s">
        <v>52</v>
      </c>
      <c r="Z138" t="s">
        <v>49</v>
      </c>
      <c r="AA138" s="12">
        <f>IF(O138&lt;=1,13,IF(O138&lt;=2,23,IF(O138&lt;=3,35,IF(O138&lt;=4,43,IF(O138&lt;=5,53,IF(O138&lt;=6,63,IF(O138&lt;=7,71,IF(O138&lt;=8,79,IF(O138&lt;=9,87,IF(O138&lt;=10,95,IF(O138&lt;=11,105,IF(O138&lt;=12,114,IF(O138&lt;=13,119,IF(O138&lt;=14,127,IF(O138&lt;=15,135,IF(O138&lt;=16,143,IF(O138&lt;=17,153,IF(O138&lt;=18,163,IF(O138&lt;=19,171,IF(O138&lt;=20,185,IF(O138&lt;=21,193,IF(O138&lt;=22,201,IF(O138&lt;=23,210,IF(O138&lt;=24,220,IF(O138&lt;=25,230,IF(O138&lt;=26,240,IF(O138&lt;=27,250,IF(O138&lt;=28,260,IF(O138&lt;=29,270,IF(O138&lt;=30,280,280+10*ROUNDUP(O138-30,0)))))))))))))))))))))))))))))))</f>
        <v>13</v>
      </c>
      <c r="AB138" s="11">
        <v>0</v>
      </c>
      <c r="AC138" s="11">
        <v>0</v>
      </c>
      <c r="AD138" s="11">
        <v>0</v>
      </c>
      <c r="AE138" s="11">
        <v>0</v>
      </c>
      <c r="AF138" s="11">
        <f t="shared" si="4"/>
        <v>0.78</v>
      </c>
      <c r="AG138" s="11">
        <f t="shared" si="5"/>
        <v>13.78</v>
      </c>
      <c r="AH138" t="s">
        <v>242</v>
      </c>
    </row>
    <row r="139" spans="1:34" ht="15" customHeight="1" x14ac:dyDescent="0.35">
      <c r="A139">
        <v>7547676</v>
      </c>
      <c r="B139">
        <v>690929</v>
      </c>
      <c r="C139" t="s">
        <v>34</v>
      </c>
      <c r="D139" t="s">
        <v>35</v>
      </c>
      <c r="E139" s="6" t="s">
        <v>34</v>
      </c>
      <c r="F139" t="s">
        <v>528</v>
      </c>
      <c r="G139" t="s">
        <v>37</v>
      </c>
      <c r="H139" t="s">
        <v>38</v>
      </c>
      <c r="I139" t="s">
        <v>529</v>
      </c>
      <c r="J139" t="s">
        <v>40</v>
      </c>
      <c r="K139">
        <v>2</v>
      </c>
      <c r="L139" t="s">
        <v>41</v>
      </c>
      <c r="M139" t="s">
        <v>42</v>
      </c>
      <c r="N139" t="s">
        <v>43</v>
      </c>
      <c r="O139" s="7">
        <v>3</v>
      </c>
      <c r="P139" s="8">
        <v>45279.458333333336</v>
      </c>
      <c r="Q139" s="9">
        <v>45281</v>
      </c>
      <c r="R139" t="s">
        <v>37</v>
      </c>
      <c r="S139" t="s">
        <v>44</v>
      </c>
      <c r="T139" t="s">
        <v>45</v>
      </c>
      <c r="U139" t="s">
        <v>46</v>
      </c>
      <c r="V139" t="s">
        <v>530</v>
      </c>
      <c r="W139">
        <v>80100</v>
      </c>
      <c r="X139" t="s">
        <v>44</v>
      </c>
      <c r="Y139" t="s">
        <v>212</v>
      </c>
      <c r="Z139" t="s">
        <v>49</v>
      </c>
      <c r="AA139" s="10">
        <f>IF(O139&lt;=1,7,7+0.8*ROUNDUP(O139-1,0))</f>
        <v>8.6</v>
      </c>
      <c r="AB139" s="11">
        <v>0</v>
      </c>
      <c r="AC139" s="11">
        <v>0</v>
      </c>
      <c r="AD139" s="11">
        <v>0</v>
      </c>
      <c r="AE139" s="11">
        <v>0</v>
      </c>
      <c r="AF139" s="11">
        <f t="shared" si="4"/>
        <v>0.51600000000000001</v>
      </c>
      <c r="AG139" s="11">
        <f t="shared" si="5"/>
        <v>9.1159999999999997</v>
      </c>
      <c r="AH139" t="s">
        <v>44</v>
      </c>
    </row>
    <row r="140" spans="1:34" ht="15" customHeight="1" x14ac:dyDescent="0.35">
      <c r="A140">
        <v>7547676</v>
      </c>
      <c r="B140">
        <v>690929</v>
      </c>
      <c r="C140" t="s">
        <v>34</v>
      </c>
      <c r="D140" t="s">
        <v>35</v>
      </c>
      <c r="E140" s="6" t="s">
        <v>34</v>
      </c>
      <c r="F140" t="s">
        <v>531</v>
      </c>
      <c r="G140" t="s">
        <v>37</v>
      </c>
      <c r="H140" t="s">
        <v>38</v>
      </c>
      <c r="I140" t="s">
        <v>532</v>
      </c>
      <c r="J140" t="s">
        <v>40</v>
      </c>
      <c r="K140">
        <v>2</v>
      </c>
      <c r="L140" t="s">
        <v>41</v>
      </c>
      <c r="M140" t="s">
        <v>42</v>
      </c>
      <c r="N140" t="s">
        <v>43</v>
      </c>
      <c r="O140" s="7">
        <v>2</v>
      </c>
      <c r="P140" s="8">
        <v>45278.768912037034</v>
      </c>
      <c r="Q140" s="9">
        <v>45281</v>
      </c>
      <c r="R140" t="s">
        <v>37</v>
      </c>
      <c r="S140" t="s">
        <v>44</v>
      </c>
      <c r="T140" t="s">
        <v>45</v>
      </c>
      <c r="U140" t="s">
        <v>94</v>
      </c>
      <c r="V140" t="s">
        <v>533</v>
      </c>
      <c r="W140">
        <v>13500</v>
      </c>
      <c r="X140" t="s">
        <v>44</v>
      </c>
      <c r="Y140" t="s">
        <v>534</v>
      </c>
      <c r="Z140" t="s">
        <v>49</v>
      </c>
      <c r="AA140" s="10">
        <f>IF(O140&lt;=1,7,7+0.8*ROUNDUP(O140-1,0))</f>
        <v>7.8</v>
      </c>
      <c r="AB140" s="11">
        <v>0</v>
      </c>
      <c r="AC140" s="11">
        <v>0</v>
      </c>
      <c r="AD140" s="11">
        <v>0</v>
      </c>
      <c r="AE140" s="11">
        <v>0</v>
      </c>
      <c r="AF140" s="11">
        <f t="shared" si="4"/>
        <v>0.46799999999999997</v>
      </c>
      <c r="AG140" s="11">
        <f t="shared" si="5"/>
        <v>8.2680000000000007</v>
      </c>
      <c r="AH140" t="s">
        <v>44</v>
      </c>
    </row>
    <row r="141" spans="1:34" ht="15" customHeight="1" x14ac:dyDescent="0.35">
      <c r="A141">
        <v>7547676</v>
      </c>
      <c r="B141">
        <v>690929</v>
      </c>
      <c r="C141" t="s">
        <v>34</v>
      </c>
      <c r="D141" t="s">
        <v>35</v>
      </c>
      <c r="E141" s="6" t="s">
        <v>34</v>
      </c>
      <c r="F141" t="s">
        <v>535</v>
      </c>
      <c r="G141" t="s">
        <v>37</v>
      </c>
      <c r="H141" t="s">
        <v>38</v>
      </c>
      <c r="I141" t="s">
        <v>536</v>
      </c>
      <c r="J141" t="s">
        <v>40</v>
      </c>
      <c r="K141">
        <v>2</v>
      </c>
      <c r="L141" t="s">
        <v>41</v>
      </c>
      <c r="M141" t="s">
        <v>42</v>
      </c>
      <c r="N141" t="s">
        <v>43</v>
      </c>
      <c r="O141" s="7">
        <v>9</v>
      </c>
      <c r="P141" s="8">
        <v>45278.699780092589</v>
      </c>
      <c r="Q141" s="9">
        <v>45281</v>
      </c>
      <c r="R141" t="s">
        <v>37</v>
      </c>
      <c r="S141" t="s">
        <v>44</v>
      </c>
      <c r="T141" t="s">
        <v>45</v>
      </c>
      <c r="U141" t="s">
        <v>258</v>
      </c>
      <c r="V141" t="s">
        <v>537</v>
      </c>
      <c r="W141">
        <v>24000</v>
      </c>
      <c r="X141" t="s">
        <v>44</v>
      </c>
      <c r="Y141" t="s">
        <v>402</v>
      </c>
      <c r="Z141" t="s">
        <v>49</v>
      </c>
      <c r="AA141" s="10">
        <f>IF(O141&lt;=1,7,7+0.8*ROUNDUP(O141-1,0))</f>
        <v>13.4</v>
      </c>
      <c r="AB141" s="11">
        <v>0</v>
      </c>
      <c r="AC141" s="11">
        <v>0</v>
      </c>
      <c r="AD141" s="11">
        <v>0</v>
      </c>
      <c r="AE141" s="11">
        <v>0</v>
      </c>
      <c r="AF141" s="11">
        <f t="shared" si="4"/>
        <v>0.80399999999999994</v>
      </c>
      <c r="AG141" s="11">
        <f t="shared" si="5"/>
        <v>14.204000000000001</v>
      </c>
      <c r="AH141" t="s">
        <v>44</v>
      </c>
    </row>
    <row r="142" spans="1:34" ht="15" customHeight="1" x14ac:dyDescent="0.35">
      <c r="A142">
        <v>7547676</v>
      </c>
      <c r="B142">
        <v>690929</v>
      </c>
      <c r="C142" t="s">
        <v>34</v>
      </c>
      <c r="D142" t="s">
        <v>35</v>
      </c>
      <c r="E142" s="6" t="s">
        <v>34</v>
      </c>
      <c r="F142" t="s">
        <v>538</v>
      </c>
      <c r="G142" t="s">
        <v>37</v>
      </c>
      <c r="H142" t="s">
        <v>38</v>
      </c>
      <c r="I142" t="s">
        <v>539</v>
      </c>
      <c r="J142" t="s">
        <v>40</v>
      </c>
      <c r="K142">
        <v>2</v>
      </c>
      <c r="L142" t="s">
        <v>41</v>
      </c>
      <c r="M142" t="s">
        <v>42</v>
      </c>
      <c r="N142" t="s">
        <v>43</v>
      </c>
      <c r="O142" s="7">
        <v>2</v>
      </c>
      <c r="P142" s="8">
        <v>45279.723310185182</v>
      </c>
      <c r="Q142" s="9">
        <v>45281</v>
      </c>
      <c r="R142" t="s">
        <v>37</v>
      </c>
      <c r="S142" t="s">
        <v>44</v>
      </c>
      <c r="T142" t="s">
        <v>45</v>
      </c>
      <c r="U142" t="s">
        <v>46</v>
      </c>
      <c r="V142" t="s">
        <v>540</v>
      </c>
      <c r="W142">
        <v>81110</v>
      </c>
      <c r="X142" t="s">
        <v>44</v>
      </c>
      <c r="Y142" t="s">
        <v>541</v>
      </c>
      <c r="Z142" t="s">
        <v>49</v>
      </c>
      <c r="AA142" s="10">
        <f>IF(O142&lt;=1,7,7+0.8*ROUNDUP(O142-1,0))</f>
        <v>7.8</v>
      </c>
      <c r="AB142" s="11">
        <v>0</v>
      </c>
      <c r="AC142" s="11">
        <v>0</v>
      </c>
      <c r="AD142" s="11">
        <v>0</v>
      </c>
      <c r="AE142" s="11">
        <v>0</v>
      </c>
      <c r="AF142" s="11">
        <f t="shared" si="4"/>
        <v>0.46799999999999997</v>
      </c>
      <c r="AG142" s="11">
        <f t="shared" si="5"/>
        <v>8.2680000000000007</v>
      </c>
      <c r="AH142" t="s">
        <v>44</v>
      </c>
    </row>
    <row r="143" spans="1:34" ht="15" customHeight="1" x14ac:dyDescent="0.35">
      <c r="A143">
        <v>7547676</v>
      </c>
      <c r="B143">
        <v>690929</v>
      </c>
      <c r="C143" t="s">
        <v>34</v>
      </c>
      <c r="D143" t="s">
        <v>35</v>
      </c>
      <c r="E143" s="6" t="s">
        <v>34</v>
      </c>
      <c r="F143" t="s">
        <v>542</v>
      </c>
      <c r="G143" t="s">
        <v>37</v>
      </c>
      <c r="H143" t="s">
        <v>38</v>
      </c>
      <c r="I143" t="s">
        <v>543</v>
      </c>
      <c r="J143" t="s">
        <v>40</v>
      </c>
      <c r="K143">
        <v>2</v>
      </c>
      <c r="L143" t="s">
        <v>41</v>
      </c>
      <c r="M143" t="s">
        <v>42</v>
      </c>
      <c r="N143" t="s">
        <v>43</v>
      </c>
      <c r="O143" s="7">
        <v>1</v>
      </c>
      <c r="P143" s="8">
        <v>45279.844768518517</v>
      </c>
      <c r="Q143" s="9">
        <v>45281</v>
      </c>
      <c r="R143" t="s">
        <v>37</v>
      </c>
      <c r="S143" t="s">
        <v>44</v>
      </c>
      <c r="T143" t="s">
        <v>45</v>
      </c>
      <c r="U143" t="s">
        <v>68</v>
      </c>
      <c r="V143" t="s">
        <v>544</v>
      </c>
      <c r="W143">
        <v>68100</v>
      </c>
      <c r="X143" t="s">
        <v>44</v>
      </c>
      <c r="Y143" t="s">
        <v>494</v>
      </c>
      <c r="Z143" t="s">
        <v>49</v>
      </c>
      <c r="AA143" s="10">
        <f>IF(O143&lt;=1,7,7+0.8*ROUNDUP(O143-1,0))</f>
        <v>7</v>
      </c>
      <c r="AB143" s="11">
        <v>0</v>
      </c>
      <c r="AC143" s="11">
        <v>0</v>
      </c>
      <c r="AD143" s="11">
        <v>0</v>
      </c>
      <c r="AE143" s="11">
        <v>0</v>
      </c>
      <c r="AF143" s="11">
        <f t="shared" si="4"/>
        <v>0.42</v>
      </c>
      <c r="AG143" s="11">
        <f t="shared" si="5"/>
        <v>7.42</v>
      </c>
      <c r="AH143" t="s">
        <v>44</v>
      </c>
    </row>
    <row r="144" spans="1:34" ht="15" customHeight="1" x14ac:dyDescent="0.35">
      <c r="A144">
        <v>7547676</v>
      </c>
      <c r="B144">
        <v>690929</v>
      </c>
      <c r="C144" t="s">
        <v>34</v>
      </c>
      <c r="D144" t="s">
        <v>35</v>
      </c>
      <c r="E144" s="6" t="s">
        <v>34</v>
      </c>
      <c r="F144" t="s">
        <v>545</v>
      </c>
      <c r="G144" t="s">
        <v>37</v>
      </c>
      <c r="H144" t="s">
        <v>38</v>
      </c>
      <c r="I144" t="s">
        <v>546</v>
      </c>
      <c r="J144" t="s">
        <v>40</v>
      </c>
      <c r="K144">
        <v>2</v>
      </c>
      <c r="L144" t="s">
        <v>41</v>
      </c>
      <c r="M144" t="s">
        <v>42</v>
      </c>
      <c r="N144" t="s">
        <v>43</v>
      </c>
      <c r="O144" s="7">
        <v>2</v>
      </c>
      <c r="P144" s="8">
        <v>45279.458333333336</v>
      </c>
      <c r="Q144" s="9">
        <v>45281</v>
      </c>
      <c r="R144" t="s">
        <v>37</v>
      </c>
      <c r="S144" t="s">
        <v>44</v>
      </c>
      <c r="T144" t="s">
        <v>45</v>
      </c>
      <c r="U144" t="s">
        <v>46</v>
      </c>
      <c r="V144" t="s">
        <v>547</v>
      </c>
      <c r="W144">
        <v>79250</v>
      </c>
      <c r="X144" t="s">
        <v>44</v>
      </c>
      <c r="Y144" t="s">
        <v>541</v>
      </c>
      <c r="Z144" t="s">
        <v>49</v>
      </c>
      <c r="AA144" s="10">
        <f>IF(O144&lt;=1,7,7+0.8*ROUNDUP(O144-1,0))</f>
        <v>7.8</v>
      </c>
      <c r="AB144" s="11">
        <v>0</v>
      </c>
      <c r="AC144" s="11">
        <v>0</v>
      </c>
      <c r="AD144" s="11">
        <v>0</v>
      </c>
      <c r="AE144" s="11">
        <v>0</v>
      </c>
      <c r="AF144" s="11">
        <f t="shared" si="4"/>
        <v>0.46799999999999997</v>
      </c>
      <c r="AG144" s="11">
        <f t="shared" si="5"/>
        <v>8.2680000000000007</v>
      </c>
      <c r="AH144" t="s">
        <v>44</v>
      </c>
    </row>
    <row r="145" spans="1:34" ht="15" customHeight="1" x14ac:dyDescent="0.35">
      <c r="A145">
        <v>7547676</v>
      </c>
      <c r="B145">
        <v>690929</v>
      </c>
      <c r="C145" t="s">
        <v>34</v>
      </c>
      <c r="D145" t="s">
        <v>35</v>
      </c>
      <c r="E145" s="6" t="s">
        <v>34</v>
      </c>
      <c r="F145" t="s">
        <v>548</v>
      </c>
      <c r="G145" t="s">
        <v>37</v>
      </c>
      <c r="H145" t="s">
        <v>38</v>
      </c>
      <c r="I145" t="s">
        <v>549</v>
      </c>
      <c r="J145" t="s">
        <v>40</v>
      </c>
      <c r="K145">
        <v>2</v>
      </c>
      <c r="L145" t="s">
        <v>41</v>
      </c>
      <c r="M145" t="s">
        <v>42</v>
      </c>
      <c r="N145" t="s">
        <v>43</v>
      </c>
      <c r="O145" s="7">
        <v>4</v>
      </c>
      <c r="P145" s="8">
        <v>45279.757395833331</v>
      </c>
      <c r="Q145" s="9">
        <v>45281</v>
      </c>
      <c r="R145" t="s">
        <v>37</v>
      </c>
      <c r="S145" t="s">
        <v>44</v>
      </c>
      <c r="T145" t="s">
        <v>45</v>
      </c>
      <c r="U145" t="s">
        <v>68</v>
      </c>
      <c r="V145" t="s">
        <v>550</v>
      </c>
      <c r="W145">
        <v>68000</v>
      </c>
      <c r="X145" t="s">
        <v>44</v>
      </c>
      <c r="Y145" t="s">
        <v>551</v>
      </c>
      <c r="Z145" t="s">
        <v>49</v>
      </c>
      <c r="AA145" s="10">
        <f>IF(O145&lt;=1,7,7+0.8*ROUNDUP(O145-1,0))</f>
        <v>9.4</v>
      </c>
      <c r="AB145" s="11">
        <v>0</v>
      </c>
      <c r="AC145" s="11">
        <v>0</v>
      </c>
      <c r="AD145" s="11">
        <v>0</v>
      </c>
      <c r="AE145" s="11">
        <v>0</v>
      </c>
      <c r="AF145" s="11">
        <f t="shared" si="4"/>
        <v>0.56399999999999995</v>
      </c>
      <c r="AG145" s="11">
        <f t="shared" si="5"/>
        <v>9.9640000000000004</v>
      </c>
      <c r="AH145" t="s">
        <v>44</v>
      </c>
    </row>
    <row r="146" spans="1:34" ht="15" customHeight="1" x14ac:dyDescent="0.35">
      <c r="A146">
        <v>7547676</v>
      </c>
      <c r="B146">
        <v>690929</v>
      </c>
      <c r="C146" t="s">
        <v>34</v>
      </c>
      <c r="D146" t="s">
        <v>35</v>
      </c>
      <c r="E146" s="6" t="s">
        <v>34</v>
      </c>
      <c r="F146" t="s">
        <v>552</v>
      </c>
      <c r="G146" t="s">
        <v>37</v>
      </c>
      <c r="H146" t="s">
        <v>38</v>
      </c>
      <c r="I146" t="s">
        <v>553</v>
      </c>
      <c r="J146" t="s">
        <v>40</v>
      </c>
      <c r="K146">
        <v>2</v>
      </c>
      <c r="L146" t="s">
        <v>41</v>
      </c>
      <c r="M146" t="s">
        <v>42</v>
      </c>
      <c r="N146" t="s">
        <v>43</v>
      </c>
      <c r="O146" s="7">
        <v>5</v>
      </c>
      <c r="P146" s="8">
        <v>45279.534097222226</v>
      </c>
      <c r="Q146" s="9">
        <v>45281</v>
      </c>
      <c r="R146" t="s">
        <v>37</v>
      </c>
      <c r="S146" t="s">
        <v>44</v>
      </c>
      <c r="T146" t="s">
        <v>45</v>
      </c>
      <c r="U146" t="s">
        <v>58</v>
      </c>
      <c r="V146" t="s">
        <v>554</v>
      </c>
      <c r="W146">
        <v>8300</v>
      </c>
      <c r="X146" t="s">
        <v>44</v>
      </c>
      <c r="Y146" t="s">
        <v>60</v>
      </c>
      <c r="Z146" t="s">
        <v>49</v>
      </c>
      <c r="AA146" s="10">
        <f>IF(O146&lt;=1,7,7+0.8*ROUNDUP(O146-1,0))</f>
        <v>10.199999999999999</v>
      </c>
      <c r="AB146" s="11">
        <v>0</v>
      </c>
      <c r="AC146" s="11">
        <v>0</v>
      </c>
      <c r="AD146" s="11">
        <v>0</v>
      </c>
      <c r="AE146" s="11">
        <v>0</v>
      </c>
      <c r="AF146" s="11">
        <f t="shared" si="4"/>
        <v>0.61199999999999999</v>
      </c>
      <c r="AG146" s="11">
        <f t="shared" si="5"/>
        <v>10.811999999999999</v>
      </c>
      <c r="AH146" t="s">
        <v>44</v>
      </c>
    </row>
    <row r="147" spans="1:34" ht="15" customHeight="1" x14ac:dyDescent="0.35">
      <c r="A147">
        <v>7547676</v>
      </c>
      <c r="B147">
        <v>690929</v>
      </c>
      <c r="C147" t="s">
        <v>34</v>
      </c>
      <c r="D147" t="s">
        <v>35</v>
      </c>
      <c r="E147" s="6" t="s">
        <v>34</v>
      </c>
      <c r="F147" t="s">
        <v>555</v>
      </c>
      <c r="G147" t="s">
        <v>37</v>
      </c>
      <c r="H147" t="s">
        <v>38</v>
      </c>
      <c r="I147" t="s">
        <v>556</v>
      </c>
      <c r="J147" t="s">
        <v>40</v>
      </c>
      <c r="K147">
        <v>2</v>
      </c>
      <c r="L147" t="s">
        <v>41</v>
      </c>
      <c r="M147" t="s">
        <v>42</v>
      </c>
      <c r="N147" t="s">
        <v>43</v>
      </c>
      <c r="O147" s="7">
        <v>4</v>
      </c>
      <c r="P147" s="8">
        <v>45279.757395833331</v>
      </c>
      <c r="Q147" s="9">
        <v>45281</v>
      </c>
      <c r="R147" t="s">
        <v>37</v>
      </c>
      <c r="S147" t="s">
        <v>44</v>
      </c>
      <c r="T147" t="s">
        <v>45</v>
      </c>
      <c r="U147" t="s">
        <v>115</v>
      </c>
      <c r="V147" t="s">
        <v>557</v>
      </c>
      <c r="W147">
        <v>18300</v>
      </c>
      <c r="X147" t="s">
        <v>44</v>
      </c>
      <c r="Y147" t="s">
        <v>123</v>
      </c>
      <c r="Z147" t="s">
        <v>49</v>
      </c>
      <c r="AA147" s="10">
        <f>IF(O147&lt;=1,7,7+0.8*ROUNDUP(O147-1,0))</f>
        <v>9.4</v>
      </c>
      <c r="AB147" s="11">
        <v>0</v>
      </c>
      <c r="AC147" s="11">
        <v>0</v>
      </c>
      <c r="AD147" s="11">
        <v>0</v>
      </c>
      <c r="AE147" s="11">
        <v>0</v>
      </c>
      <c r="AF147" s="11">
        <f t="shared" si="4"/>
        <v>0.56399999999999995</v>
      </c>
      <c r="AG147" s="11">
        <f t="shared" si="5"/>
        <v>9.9640000000000004</v>
      </c>
      <c r="AH147" t="s">
        <v>44</v>
      </c>
    </row>
    <row r="148" spans="1:34" ht="15" customHeight="1" x14ac:dyDescent="0.35">
      <c r="A148">
        <v>7547676</v>
      </c>
      <c r="B148">
        <v>690929</v>
      </c>
      <c r="C148" t="s">
        <v>34</v>
      </c>
      <c r="D148" t="s">
        <v>35</v>
      </c>
      <c r="E148" s="6" t="s">
        <v>34</v>
      </c>
      <c r="F148" t="s">
        <v>558</v>
      </c>
      <c r="G148" t="s">
        <v>37</v>
      </c>
      <c r="H148" t="s">
        <v>38</v>
      </c>
      <c r="I148" t="s">
        <v>559</v>
      </c>
      <c r="J148" t="s">
        <v>40</v>
      </c>
      <c r="K148">
        <v>2</v>
      </c>
      <c r="L148" t="s">
        <v>41</v>
      </c>
      <c r="M148" t="s">
        <v>42</v>
      </c>
      <c r="N148" t="s">
        <v>43</v>
      </c>
      <c r="O148" s="7">
        <v>1</v>
      </c>
      <c r="P148" s="8">
        <v>45277.723414351851</v>
      </c>
      <c r="Q148" s="9">
        <v>45281</v>
      </c>
      <c r="R148" t="s">
        <v>37</v>
      </c>
      <c r="S148" t="s">
        <v>44</v>
      </c>
      <c r="T148" t="s">
        <v>45</v>
      </c>
      <c r="U148" t="s">
        <v>77</v>
      </c>
      <c r="V148" t="s">
        <v>560</v>
      </c>
      <c r="W148">
        <v>28750</v>
      </c>
      <c r="X148" t="s">
        <v>44</v>
      </c>
      <c r="Y148" t="s">
        <v>45</v>
      </c>
      <c r="Z148" t="s">
        <v>49</v>
      </c>
      <c r="AA148" s="10">
        <f>IF(O148&lt;=1,7,7+0.8*ROUNDUP(O148-1,0))</f>
        <v>7</v>
      </c>
      <c r="AB148" s="11">
        <v>0</v>
      </c>
      <c r="AC148" s="11">
        <v>0</v>
      </c>
      <c r="AD148" s="11">
        <v>0</v>
      </c>
      <c r="AE148" s="11">
        <v>0</v>
      </c>
      <c r="AF148" s="11">
        <f t="shared" si="4"/>
        <v>0.42</v>
      </c>
      <c r="AG148" s="11">
        <f t="shared" si="5"/>
        <v>7.42</v>
      </c>
      <c r="AH148" t="s">
        <v>44</v>
      </c>
    </row>
    <row r="149" spans="1:34" ht="15" customHeight="1" x14ac:dyDescent="0.35">
      <c r="A149">
        <v>7547676</v>
      </c>
      <c r="B149">
        <v>690929</v>
      </c>
      <c r="C149" t="s">
        <v>34</v>
      </c>
      <c r="D149" t="s">
        <v>35</v>
      </c>
      <c r="E149" s="6" t="s">
        <v>34</v>
      </c>
      <c r="F149" t="s">
        <v>561</v>
      </c>
      <c r="G149" t="s">
        <v>37</v>
      </c>
      <c r="H149" t="s">
        <v>38</v>
      </c>
      <c r="I149" t="s">
        <v>562</v>
      </c>
      <c r="J149" t="s">
        <v>40</v>
      </c>
      <c r="K149">
        <v>2</v>
      </c>
      <c r="L149" t="s">
        <v>41</v>
      </c>
      <c r="M149" t="s">
        <v>42</v>
      </c>
      <c r="N149" t="s">
        <v>43</v>
      </c>
      <c r="O149" s="7">
        <v>1</v>
      </c>
      <c r="P149" s="8">
        <v>45279.58861111111</v>
      </c>
      <c r="Q149" s="9">
        <v>45281</v>
      </c>
      <c r="R149" t="s">
        <v>37</v>
      </c>
      <c r="S149" t="s">
        <v>44</v>
      </c>
      <c r="T149" t="s">
        <v>45</v>
      </c>
      <c r="U149" t="s">
        <v>159</v>
      </c>
      <c r="V149" t="s">
        <v>563</v>
      </c>
      <c r="W149">
        <v>30020</v>
      </c>
      <c r="X149" t="s">
        <v>44</v>
      </c>
      <c r="Y149" t="s">
        <v>564</v>
      </c>
      <c r="Z149" t="s">
        <v>49</v>
      </c>
      <c r="AA149" s="10">
        <f>IF(O149&lt;=1,7,7+0.8*ROUNDUP(O149-1,0))</f>
        <v>7</v>
      </c>
      <c r="AB149" s="11">
        <v>0</v>
      </c>
      <c r="AC149" s="11">
        <v>0</v>
      </c>
      <c r="AD149" s="11">
        <v>0</v>
      </c>
      <c r="AE149" s="11">
        <v>0</v>
      </c>
      <c r="AF149" s="11">
        <f t="shared" si="4"/>
        <v>0.42</v>
      </c>
      <c r="AG149" s="11">
        <f t="shared" si="5"/>
        <v>7.42</v>
      </c>
      <c r="AH149" t="s">
        <v>44</v>
      </c>
    </row>
    <row r="150" spans="1:34" ht="15" customHeight="1" x14ac:dyDescent="0.35">
      <c r="A150">
        <v>7547676</v>
      </c>
      <c r="B150">
        <v>690929</v>
      </c>
      <c r="C150" t="s">
        <v>34</v>
      </c>
      <c r="D150" t="s">
        <v>35</v>
      </c>
      <c r="E150" s="6" t="s">
        <v>34</v>
      </c>
      <c r="F150" t="s">
        <v>565</v>
      </c>
      <c r="G150" t="s">
        <v>37</v>
      </c>
      <c r="H150" t="s">
        <v>38</v>
      </c>
      <c r="I150" t="s">
        <v>566</v>
      </c>
      <c r="J150" t="s">
        <v>40</v>
      </c>
      <c r="K150">
        <v>2</v>
      </c>
      <c r="L150" t="s">
        <v>41</v>
      </c>
      <c r="M150" t="s">
        <v>42</v>
      </c>
      <c r="N150" t="s">
        <v>43</v>
      </c>
      <c r="O150" s="7">
        <v>1</v>
      </c>
      <c r="P150" s="8">
        <v>45279.579259259262</v>
      </c>
      <c r="Q150" s="9">
        <v>45281</v>
      </c>
      <c r="R150" t="s">
        <v>37</v>
      </c>
      <c r="S150" t="s">
        <v>44</v>
      </c>
      <c r="T150" t="s">
        <v>45</v>
      </c>
      <c r="U150" t="s">
        <v>46</v>
      </c>
      <c r="V150" t="s">
        <v>567</v>
      </c>
      <c r="W150">
        <v>81900</v>
      </c>
      <c r="X150" t="s">
        <v>44</v>
      </c>
      <c r="Y150" t="s">
        <v>222</v>
      </c>
      <c r="Z150" t="s">
        <v>49</v>
      </c>
      <c r="AA150" s="10">
        <f>IF(O150&lt;=1,7,7+0.8*ROUNDUP(O150-1,0))</f>
        <v>7</v>
      </c>
      <c r="AB150" s="11">
        <v>0</v>
      </c>
      <c r="AC150" s="11">
        <v>0</v>
      </c>
      <c r="AD150" s="11">
        <v>0</v>
      </c>
      <c r="AE150" s="11">
        <v>0</v>
      </c>
      <c r="AF150" s="11">
        <f t="shared" si="4"/>
        <v>0.42</v>
      </c>
      <c r="AG150" s="11">
        <f t="shared" si="5"/>
        <v>7.42</v>
      </c>
      <c r="AH150" t="s">
        <v>44</v>
      </c>
    </row>
    <row r="151" spans="1:34" ht="15" customHeight="1" x14ac:dyDescent="0.35">
      <c r="A151">
        <v>7547676</v>
      </c>
      <c r="B151">
        <v>690929</v>
      </c>
      <c r="C151" t="s">
        <v>34</v>
      </c>
      <c r="D151" t="s">
        <v>35</v>
      </c>
      <c r="E151" s="6" t="s">
        <v>34</v>
      </c>
      <c r="F151" t="s">
        <v>568</v>
      </c>
      <c r="G151" t="s">
        <v>37</v>
      </c>
      <c r="H151" t="s">
        <v>38</v>
      </c>
      <c r="I151" t="s">
        <v>102</v>
      </c>
      <c r="J151" t="s">
        <v>40</v>
      </c>
      <c r="K151">
        <v>2</v>
      </c>
      <c r="L151" t="s">
        <v>41</v>
      </c>
      <c r="M151" t="s">
        <v>42</v>
      </c>
      <c r="N151" t="s">
        <v>43</v>
      </c>
      <c r="O151" s="7">
        <v>2</v>
      </c>
      <c r="P151" s="8">
        <v>45278.768900462965</v>
      </c>
      <c r="Q151" s="9">
        <v>45281</v>
      </c>
      <c r="R151" t="s">
        <v>37</v>
      </c>
      <c r="S151" t="s">
        <v>44</v>
      </c>
      <c r="T151" t="s">
        <v>45</v>
      </c>
      <c r="U151" t="s">
        <v>68</v>
      </c>
      <c r="V151" t="s">
        <v>103</v>
      </c>
      <c r="W151">
        <v>42500</v>
      </c>
      <c r="X151" t="s">
        <v>44</v>
      </c>
      <c r="Y151" t="s">
        <v>104</v>
      </c>
      <c r="Z151" t="s">
        <v>49</v>
      </c>
      <c r="AA151" s="10">
        <f>IF(O151&lt;=1,7,7+0.8*ROUNDUP(O151-1,0))</f>
        <v>7.8</v>
      </c>
      <c r="AB151" s="11">
        <v>0</v>
      </c>
      <c r="AC151" s="11">
        <v>0</v>
      </c>
      <c r="AD151" s="11">
        <v>0</v>
      </c>
      <c r="AE151" s="11">
        <v>0</v>
      </c>
      <c r="AF151" s="11">
        <f t="shared" si="4"/>
        <v>0.46799999999999997</v>
      </c>
      <c r="AG151" s="11">
        <f t="shared" si="5"/>
        <v>8.2680000000000007</v>
      </c>
      <c r="AH151" t="s">
        <v>44</v>
      </c>
    </row>
    <row r="152" spans="1:34" ht="15" customHeight="1" x14ac:dyDescent="0.35">
      <c r="A152">
        <v>7547676</v>
      </c>
      <c r="B152">
        <v>690929</v>
      </c>
      <c r="C152" t="s">
        <v>34</v>
      </c>
      <c r="D152" t="s">
        <v>35</v>
      </c>
      <c r="E152" s="6" t="s">
        <v>34</v>
      </c>
      <c r="F152" t="s">
        <v>569</v>
      </c>
      <c r="G152" t="s">
        <v>37</v>
      </c>
      <c r="H152" t="s">
        <v>38</v>
      </c>
      <c r="I152" t="s">
        <v>570</v>
      </c>
      <c r="J152" t="s">
        <v>40</v>
      </c>
      <c r="K152">
        <v>2</v>
      </c>
      <c r="L152" t="s">
        <v>41</v>
      </c>
      <c r="M152" t="s">
        <v>42</v>
      </c>
      <c r="N152" t="s">
        <v>43</v>
      </c>
      <c r="O152" s="7">
        <v>8</v>
      </c>
      <c r="P152" s="8">
        <v>45280.665706018517</v>
      </c>
      <c r="Q152" s="9">
        <v>45281</v>
      </c>
      <c r="R152" t="s">
        <v>37</v>
      </c>
      <c r="S152" t="s">
        <v>44</v>
      </c>
      <c r="T152" t="s">
        <v>45</v>
      </c>
      <c r="U152" t="s">
        <v>68</v>
      </c>
      <c r="V152" t="s">
        <v>571</v>
      </c>
      <c r="W152">
        <v>41200</v>
      </c>
      <c r="X152" t="s">
        <v>44</v>
      </c>
      <c r="Y152" t="s">
        <v>572</v>
      </c>
      <c r="Z152" t="s">
        <v>49</v>
      </c>
      <c r="AA152" s="10">
        <f>IF(O152&lt;=1,7,7+0.8*ROUNDUP(O152-1,0))</f>
        <v>12.600000000000001</v>
      </c>
      <c r="AB152" s="11">
        <v>0</v>
      </c>
      <c r="AC152" s="11">
        <v>0</v>
      </c>
      <c r="AD152" s="11">
        <v>0</v>
      </c>
      <c r="AE152" s="11">
        <v>0</v>
      </c>
      <c r="AF152" s="11">
        <f t="shared" si="4"/>
        <v>0.75600000000000001</v>
      </c>
      <c r="AG152" s="11">
        <f t="shared" si="5"/>
        <v>13.356000000000002</v>
      </c>
      <c r="AH152" t="s">
        <v>44</v>
      </c>
    </row>
    <row r="153" spans="1:34" ht="15" customHeight="1" x14ac:dyDescent="0.35">
      <c r="A153">
        <v>7547676</v>
      </c>
      <c r="B153">
        <v>690929</v>
      </c>
      <c r="C153" t="s">
        <v>34</v>
      </c>
      <c r="D153" t="s">
        <v>35</v>
      </c>
      <c r="E153" s="6" t="s">
        <v>34</v>
      </c>
      <c r="F153" t="s">
        <v>573</v>
      </c>
      <c r="G153" t="s">
        <v>37</v>
      </c>
      <c r="H153" t="s">
        <v>38</v>
      </c>
      <c r="I153" t="s">
        <v>574</v>
      </c>
      <c r="J153" t="s">
        <v>40</v>
      </c>
      <c r="K153">
        <v>2</v>
      </c>
      <c r="L153" t="s">
        <v>41</v>
      </c>
      <c r="M153" t="s">
        <v>42</v>
      </c>
      <c r="N153" t="s">
        <v>43</v>
      </c>
      <c r="O153" s="7">
        <v>1</v>
      </c>
      <c r="P153" s="8">
        <v>45278.695902777778</v>
      </c>
      <c r="Q153" s="9">
        <v>45281</v>
      </c>
      <c r="R153" t="s">
        <v>37</v>
      </c>
      <c r="S153" t="s">
        <v>44</v>
      </c>
      <c r="T153" t="s">
        <v>45</v>
      </c>
      <c r="U153" t="s">
        <v>159</v>
      </c>
      <c r="V153" t="s">
        <v>575</v>
      </c>
      <c r="W153">
        <v>31500</v>
      </c>
      <c r="X153" t="s">
        <v>44</v>
      </c>
      <c r="Y153" t="s">
        <v>52</v>
      </c>
      <c r="Z153" t="s">
        <v>49</v>
      </c>
      <c r="AA153" s="10">
        <f>IF(O153&lt;=1,7,7+0.8*ROUNDUP(O153-1,0))</f>
        <v>7</v>
      </c>
      <c r="AB153" s="11">
        <v>0</v>
      </c>
      <c r="AC153" s="11">
        <v>0</v>
      </c>
      <c r="AD153" s="11">
        <v>0</v>
      </c>
      <c r="AE153" s="11">
        <v>0</v>
      </c>
      <c r="AF153" s="11">
        <f t="shared" si="4"/>
        <v>0.42</v>
      </c>
      <c r="AG153" s="11">
        <f t="shared" si="5"/>
        <v>7.42</v>
      </c>
      <c r="AH153" t="s">
        <v>44</v>
      </c>
    </row>
    <row r="154" spans="1:34" ht="15" customHeight="1" x14ac:dyDescent="0.35">
      <c r="A154">
        <v>7547676</v>
      </c>
      <c r="B154">
        <v>690929</v>
      </c>
      <c r="C154" t="s">
        <v>34</v>
      </c>
      <c r="D154" t="s">
        <v>35</v>
      </c>
      <c r="E154" s="6" t="s">
        <v>34</v>
      </c>
      <c r="F154" t="s">
        <v>576</v>
      </c>
      <c r="G154" t="s">
        <v>37</v>
      </c>
      <c r="H154" t="s">
        <v>38</v>
      </c>
      <c r="I154" t="s">
        <v>577</v>
      </c>
      <c r="J154" t="s">
        <v>40</v>
      </c>
      <c r="K154">
        <v>2</v>
      </c>
      <c r="L154" t="s">
        <v>41</v>
      </c>
      <c r="M154" t="s">
        <v>42</v>
      </c>
      <c r="N154" t="s">
        <v>43</v>
      </c>
      <c r="O154" s="7">
        <v>1</v>
      </c>
      <c r="P154" s="8">
        <v>45279.844768518517</v>
      </c>
      <c r="Q154" s="9">
        <v>45281</v>
      </c>
      <c r="R154" t="s">
        <v>37</v>
      </c>
      <c r="S154" t="s">
        <v>44</v>
      </c>
      <c r="T154" t="s">
        <v>45</v>
      </c>
      <c r="U154" t="s">
        <v>258</v>
      </c>
      <c r="V154" t="s">
        <v>578</v>
      </c>
      <c r="W154">
        <v>22200</v>
      </c>
      <c r="X154" t="s">
        <v>44</v>
      </c>
      <c r="Y154" t="s">
        <v>76</v>
      </c>
      <c r="Z154" t="s">
        <v>49</v>
      </c>
      <c r="AA154" s="10">
        <f>IF(O154&lt;=1,7,7+0.8*ROUNDUP(O154-1,0))</f>
        <v>7</v>
      </c>
      <c r="AB154" s="11">
        <v>0</v>
      </c>
      <c r="AC154" s="11">
        <v>0</v>
      </c>
      <c r="AD154" s="11">
        <v>0</v>
      </c>
      <c r="AE154" s="11">
        <v>0</v>
      </c>
      <c r="AF154" s="11">
        <f t="shared" si="4"/>
        <v>0.42</v>
      </c>
      <c r="AG154" s="11">
        <f t="shared" si="5"/>
        <v>7.42</v>
      </c>
      <c r="AH154" t="s">
        <v>44</v>
      </c>
    </row>
    <row r="155" spans="1:34" ht="15" customHeight="1" x14ac:dyDescent="0.35">
      <c r="A155">
        <v>7547676</v>
      </c>
      <c r="B155">
        <v>690929</v>
      </c>
      <c r="C155" t="s">
        <v>34</v>
      </c>
      <c r="D155" t="s">
        <v>35</v>
      </c>
      <c r="E155" s="6" t="s">
        <v>34</v>
      </c>
      <c r="F155" t="s">
        <v>579</v>
      </c>
      <c r="G155" t="s">
        <v>37</v>
      </c>
      <c r="H155" t="s">
        <v>38</v>
      </c>
      <c r="I155" t="s">
        <v>580</v>
      </c>
      <c r="J155" t="s">
        <v>40</v>
      </c>
      <c r="K155">
        <v>2</v>
      </c>
      <c r="L155" t="s">
        <v>41</v>
      </c>
      <c r="M155" t="s">
        <v>42</v>
      </c>
      <c r="N155" t="s">
        <v>43</v>
      </c>
      <c r="O155" s="7">
        <v>1</v>
      </c>
      <c r="P155" s="8">
        <v>45278.536782407406</v>
      </c>
      <c r="Q155" s="9">
        <v>45281</v>
      </c>
      <c r="R155" t="s">
        <v>37</v>
      </c>
      <c r="S155" t="s">
        <v>44</v>
      </c>
      <c r="T155" t="s">
        <v>45</v>
      </c>
      <c r="U155" t="s">
        <v>46</v>
      </c>
      <c r="V155" t="s">
        <v>581</v>
      </c>
      <c r="W155">
        <v>80250</v>
      </c>
      <c r="X155" t="s">
        <v>44</v>
      </c>
      <c r="Y155" t="s">
        <v>212</v>
      </c>
      <c r="Z155" t="s">
        <v>49</v>
      </c>
      <c r="AA155" s="10">
        <f>IF(O155&lt;=1,7,7+0.8*ROUNDUP(O155-1,0))</f>
        <v>7</v>
      </c>
      <c r="AB155" s="11">
        <v>0</v>
      </c>
      <c r="AC155" s="11">
        <v>0</v>
      </c>
      <c r="AD155" s="11">
        <v>0</v>
      </c>
      <c r="AE155" s="11">
        <v>0</v>
      </c>
      <c r="AF155" s="11">
        <f t="shared" si="4"/>
        <v>0.42</v>
      </c>
      <c r="AG155" s="11">
        <f t="shared" si="5"/>
        <v>7.42</v>
      </c>
      <c r="AH155" t="s">
        <v>44</v>
      </c>
    </row>
    <row r="156" spans="1:34" ht="15" customHeight="1" x14ac:dyDescent="0.35">
      <c r="A156">
        <v>7547676</v>
      </c>
      <c r="B156">
        <v>690929</v>
      </c>
      <c r="C156" t="s">
        <v>34</v>
      </c>
      <c r="D156" t="s">
        <v>35</v>
      </c>
      <c r="E156" s="6" t="s">
        <v>34</v>
      </c>
      <c r="F156" t="s">
        <v>582</v>
      </c>
      <c r="G156" t="s">
        <v>37</v>
      </c>
      <c r="H156" t="s">
        <v>38</v>
      </c>
      <c r="I156" t="s">
        <v>583</v>
      </c>
      <c r="J156" t="s">
        <v>40</v>
      </c>
      <c r="K156">
        <v>2</v>
      </c>
      <c r="L156" t="s">
        <v>41</v>
      </c>
      <c r="M156" t="s">
        <v>42</v>
      </c>
      <c r="N156" t="s">
        <v>43</v>
      </c>
      <c r="O156" s="7">
        <v>3</v>
      </c>
      <c r="P156" s="8">
        <v>45279.729317129626</v>
      </c>
      <c r="Q156" s="9">
        <v>45281</v>
      </c>
      <c r="R156" t="s">
        <v>37</v>
      </c>
      <c r="S156" t="s">
        <v>44</v>
      </c>
      <c r="T156" t="s">
        <v>45</v>
      </c>
      <c r="U156" t="s">
        <v>258</v>
      </c>
      <c r="V156" t="s">
        <v>584</v>
      </c>
      <c r="W156">
        <v>21100</v>
      </c>
      <c r="X156" t="s">
        <v>44</v>
      </c>
      <c r="Y156" t="s">
        <v>585</v>
      </c>
      <c r="Z156" t="s">
        <v>49</v>
      </c>
      <c r="AA156" s="10">
        <f>IF(O156&lt;=1,7,7+0.8*ROUNDUP(O156-1,0))</f>
        <v>8.6</v>
      </c>
      <c r="AB156" s="11">
        <v>0</v>
      </c>
      <c r="AC156" s="11">
        <v>0</v>
      </c>
      <c r="AD156" s="11">
        <v>0</v>
      </c>
      <c r="AE156" s="11">
        <v>0</v>
      </c>
      <c r="AF156" s="11">
        <f t="shared" si="4"/>
        <v>0.51600000000000001</v>
      </c>
      <c r="AG156" s="11">
        <f t="shared" si="5"/>
        <v>9.1159999999999997</v>
      </c>
      <c r="AH156" t="s">
        <v>44</v>
      </c>
    </row>
    <row r="157" spans="1:34" ht="15" customHeight="1" x14ac:dyDescent="0.35">
      <c r="A157">
        <v>7547676</v>
      </c>
      <c r="B157">
        <v>690929</v>
      </c>
      <c r="C157" t="s">
        <v>34</v>
      </c>
      <c r="D157" t="s">
        <v>35</v>
      </c>
      <c r="E157" s="6" t="s">
        <v>34</v>
      </c>
      <c r="F157" t="s">
        <v>586</v>
      </c>
      <c r="G157" t="s">
        <v>37</v>
      </c>
      <c r="H157" t="s">
        <v>38</v>
      </c>
      <c r="I157" t="s">
        <v>587</v>
      </c>
      <c r="J157" t="s">
        <v>40</v>
      </c>
      <c r="K157">
        <v>2</v>
      </c>
      <c r="L157" t="s">
        <v>41</v>
      </c>
      <c r="M157" t="s">
        <v>42</v>
      </c>
      <c r="N157" t="s">
        <v>43</v>
      </c>
      <c r="O157" s="7">
        <v>6</v>
      </c>
      <c r="P157" s="8">
        <v>45279.729317129626</v>
      </c>
      <c r="Q157" s="9">
        <v>45281</v>
      </c>
      <c r="R157" t="s">
        <v>37</v>
      </c>
      <c r="S157" t="s">
        <v>44</v>
      </c>
      <c r="T157" t="s">
        <v>45</v>
      </c>
      <c r="U157" t="s">
        <v>258</v>
      </c>
      <c r="V157" t="s">
        <v>588</v>
      </c>
      <c r="W157">
        <v>21100</v>
      </c>
      <c r="X157" t="s">
        <v>44</v>
      </c>
      <c r="Y157" t="s">
        <v>585</v>
      </c>
      <c r="Z157" t="s">
        <v>49</v>
      </c>
      <c r="AA157" s="10">
        <f>IF(O157&lt;=1,7,7+0.8*ROUNDUP(O157-1,0))</f>
        <v>11</v>
      </c>
      <c r="AB157" s="11">
        <v>0</v>
      </c>
      <c r="AC157" s="11">
        <v>0</v>
      </c>
      <c r="AD157" s="11">
        <v>0</v>
      </c>
      <c r="AE157" s="11">
        <v>0</v>
      </c>
      <c r="AF157" s="11">
        <f t="shared" si="4"/>
        <v>0.65999999999999992</v>
      </c>
      <c r="AG157" s="11">
        <f t="shared" si="5"/>
        <v>11.66</v>
      </c>
      <c r="AH157" t="s">
        <v>44</v>
      </c>
    </row>
    <row r="158" spans="1:34" ht="15" customHeight="1" x14ac:dyDescent="0.35">
      <c r="A158">
        <v>7547676</v>
      </c>
      <c r="B158">
        <v>690929</v>
      </c>
      <c r="C158" t="s">
        <v>34</v>
      </c>
      <c r="D158" t="s">
        <v>35</v>
      </c>
      <c r="E158" s="6" t="s">
        <v>34</v>
      </c>
      <c r="F158" t="s">
        <v>589</v>
      </c>
      <c r="G158" t="s">
        <v>37</v>
      </c>
      <c r="H158" t="s">
        <v>38</v>
      </c>
      <c r="I158" t="s">
        <v>583</v>
      </c>
      <c r="J158" t="s">
        <v>40</v>
      </c>
      <c r="K158">
        <v>2</v>
      </c>
      <c r="L158" t="s">
        <v>41</v>
      </c>
      <c r="M158" t="s">
        <v>42</v>
      </c>
      <c r="N158" t="s">
        <v>43</v>
      </c>
      <c r="O158" s="7">
        <v>2</v>
      </c>
      <c r="P158" s="8">
        <v>45279.729328703703</v>
      </c>
      <c r="Q158" s="9">
        <v>45281</v>
      </c>
      <c r="R158" t="s">
        <v>37</v>
      </c>
      <c r="S158" t="s">
        <v>44</v>
      </c>
      <c r="T158" t="s">
        <v>45</v>
      </c>
      <c r="U158" t="s">
        <v>258</v>
      </c>
      <c r="V158" t="s">
        <v>584</v>
      </c>
      <c r="W158">
        <v>21100</v>
      </c>
      <c r="X158" t="s">
        <v>44</v>
      </c>
      <c r="Y158" t="s">
        <v>585</v>
      </c>
      <c r="Z158" t="s">
        <v>49</v>
      </c>
      <c r="AA158" s="10">
        <f>IF(O158&lt;=1,7,7+0.8*ROUNDUP(O158-1,0))</f>
        <v>7.8</v>
      </c>
      <c r="AB158" s="11">
        <v>0</v>
      </c>
      <c r="AC158" s="11">
        <v>0</v>
      </c>
      <c r="AD158" s="11">
        <v>0</v>
      </c>
      <c r="AE158" s="11">
        <v>0</v>
      </c>
      <c r="AF158" s="11">
        <f t="shared" si="4"/>
        <v>0.46799999999999997</v>
      </c>
      <c r="AG158" s="11">
        <f t="shared" si="5"/>
        <v>8.2680000000000007</v>
      </c>
      <c r="AH158" t="s">
        <v>44</v>
      </c>
    </row>
    <row r="159" spans="1:34" ht="15" customHeight="1" x14ac:dyDescent="0.35">
      <c r="A159">
        <v>7547676</v>
      </c>
      <c r="B159">
        <v>690929</v>
      </c>
      <c r="C159" t="s">
        <v>34</v>
      </c>
      <c r="D159" t="s">
        <v>35</v>
      </c>
      <c r="E159" s="6" t="s">
        <v>34</v>
      </c>
      <c r="F159" t="s">
        <v>590</v>
      </c>
      <c r="G159" t="s">
        <v>37</v>
      </c>
      <c r="H159" t="s">
        <v>38</v>
      </c>
      <c r="I159" t="s">
        <v>591</v>
      </c>
      <c r="J159" t="s">
        <v>40</v>
      </c>
      <c r="K159">
        <v>2</v>
      </c>
      <c r="L159" t="s">
        <v>41</v>
      </c>
      <c r="M159" t="s">
        <v>42</v>
      </c>
      <c r="N159" t="s">
        <v>43</v>
      </c>
      <c r="O159" s="7">
        <v>2</v>
      </c>
      <c r="P159" s="8">
        <v>45279.49832175926</v>
      </c>
      <c r="Q159" s="9">
        <v>45282</v>
      </c>
      <c r="R159" t="s">
        <v>37</v>
      </c>
      <c r="S159" t="s">
        <v>44</v>
      </c>
      <c r="T159" t="s">
        <v>45</v>
      </c>
      <c r="U159" t="s">
        <v>279</v>
      </c>
      <c r="V159" t="s">
        <v>592</v>
      </c>
      <c r="W159">
        <v>91308</v>
      </c>
      <c r="X159" t="s">
        <v>242</v>
      </c>
      <c r="Y159" t="s">
        <v>52</v>
      </c>
      <c r="Z159" t="s">
        <v>49</v>
      </c>
      <c r="AA159" s="12">
        <f>IF(O159&lt;=1,13,IF(O159&lt;=2,23,IF(O159&lt;=3,35,IF(O159&lt;=4,43,IF(O159&lt;=5,53,IF(O159&lt;=6,63,IF(O159&lt;=7,71,IF(O159&lt;=8,79,IF(O159&lt;=9,87,IF(O159&lt;=10,95,IF(O159&lt;=11,105,IF(O159&lt;=12,114,IF(O159&lt;=13,119,IF(O159&lt;=14,127,IF(O159&lt;=15,135,IF(O159&lt;=16,143,IF(O159&lt;=17,153,IF(O159&lt;=18,163,IF(O159&lt;=19,171,IF(O159&lt;=20,185,IF(O159&lt;=21,193,IF(O159&lt;=22,201,IF(O159&lt;=23,210,IF(O159&lt;=24,220,IF(O159&lt;=25,230,IF(O159&lt;=26,240,IF(O159&lt;=27,250,IF(O159&lt;=28,260,IF(O159&lt;=29,270,IF(O159&lt;=30,280,280+10*ROUNDUP(O159-30,0)))))))))))))))))))))))))))))))</f>
        <v>23</v>
      </c>
      <c r="AB159" s="11">
        <v>0</v>
      </c>
      <c r="AC159" s="11">
        <v>0</v>
      </c>
      <c r="AD159" s="11">
        <v>0</v>
      </c>
      <c r="AE159" s="11">
        <v>0</v>
      </c>
      <c r="AF159" s="11">
        <f t="shared" si="4"/>
        <v>1.38</v>
      </c>
      <c r="AG159" s="11">
        <f t="shared" si="5"/>
        <v>24.38</v>
      </c>
      <c r="AH159" t="s">
        <v>242</v>
      </c>
    </row>
    <row r="160" spans="1:34" ht="15" customHeight="1" x14ac:dyDescent="0.35">
      <c r="A160">
        <v>7547676</v>
      </c>
      <c r="B160">
        <v>690929</v>
      </c>
      <c r="C160" t="s">
        <v>34</v>
      </c>
      <c r="D160" t="s">
        <v>35</v>
      </c>
      <c r="E160" s="6" t="s">
        <v>34</v>
      </c>
      <c r="F160" t="s">
        <v>593</v>
      </c>
      <c r="G160" t="s">
        <v>37</v>
      </c>
      <c r="H160" t="s">
        <v>38</v>
      </c>
      <c r="I160" t="s">
        <v>594</v>
      </c>
      <c r="J160" t="s">
        <v>40</v>
      </c>
      <c r="K160">
        <v>2</v>
      </c>
      <c r="L160" t="s">
        <v>41</v>
      </c>
      <c r="M160" t="s">
        <v>42</v>
      </c>
      <c r="N160" t="s">
        <v>43</v>
      </c>
      <c r="O160" s="7">
        <v>1</v>
      </c>
      <c r="P160" s="8">
        <v>45281.665312500001</v>
      </c>
      <c r="Q160" s="9">
        <v>45282</v>
      </c>
      <c r="R160" t="s">
        <v>37</v>
      </c>
      <c r="S160" t="s">
        <v>44</v>
      </c>
      <c r="T160" t="s">
        <v>45</v>
      </c>
      <c r="U160" t="s">
        <v>53</v>
      </c>
      <c r="V160" t="s">
        <v>595</v>
      </c>
      <c r="W160">
        <v>51100</v>
      </c>
      <c r="X160" t="s">
        <v>44</v>
      </c>
      <c r="Y160" t="s">
        <v>494</v>
      </c>
      <c r="Z160" t="s">
        <v>49</v>
      </c>
      <c r="AA160" s="10">
        <f>IF(O160&lt;=1,7,7+0.8*ROUNDUP(O160-1,0))</f>
        <v>7</v>
      </c>
      <c r="AB160" s="11">
        <v>0</v>
      </c>
      <c r="AC160" s="11">
        <v>0</v>
      </c>
      <c r="AD160" s="11">
        <v>0</v>
      </c>
      <c r="AE160" s="11">
        <v>0</v>
      </c>
      <c r="AF160" s="11">
        <f t="shared" si="4"/>
        <v>0.42</v>
      </c>
      <c r="AG160" s="11">
        <f t="shared" si="5"/>
        <v>7.42</v>
      </c>
      <c r="AH160" t="s">
        <v>44</v>
      </c>
    </row>
    <row r="161" spans="1:34" ht="15" customHeight="1" x14ac:dyDescent="0.35">
      <c r="A161">
        <v>7547676</v>
      </c>
      <c r="B161">
        <v>690929</v>
      </c>
      <c r="C161" t="s">
        <v>34</v>
      </c>
      <c r="D161" t="s">
        <v>35</v>
      </c>
      <c r="E161" s="6" t="s">
        <v>34</v>
      </c>
      <c r="F161" t="s">
        <v>596</v>
      </c>
      <c r="G161" t="s">
        <v>37</v>
      </c>
      <c r="H161" t="s">
        <v>38</v>
      </c>
      <c r="I161" t="s">
        <v>597</v>
      </c>
      <c r="J161" t="s">
        <v>40</v>
      </c>
      <c r="K161">
        <v>2</v>
      </c>
      <c r="L161" t="s">
        <v>41</v>
      </c>
      <c r="M161" t="s">
        <v>42</v>
      </c>
      <c r="N161" t="s">
        <v>43</v>
      </c>
      <c r="O161" s="7">
        <v>4</v>
      </c>
      <c r="P161" s="8">
        <v>45281.702546296299</v>
      </c>
      <c r="Q161" s="9">
        <v>45282</v>
      </c>
      <c r="R161" t="s">
        <v>37</v>
      </c>
      <c r="S161" t="s">
        <v>44</v>
      </c>
      <c r="T161" t="s">
        <v>45</v>
      </c>
      <c r="U161" t="s">
        <v>68</v>
      </c>
      <c r="V161" t="s">
        <v>598</v>
      </c>
      <c r="W161">
        <v>68000</v>
      </c>
      <c r="X161" t="s">
        <v>44</v>
      </c>
      <c r="Y161" t="s">
        <v>551</v>
      </c>
      <c r="Z161" t="s">
        <v>49</v>
      </c>
      <c r="AA161" s="10">
        <f>IF(O161&lt;=1,7,7+0.8*ROUNDUP(O161-1,0))</f>
        <v>9.4</v>
      </c>
      <c r="AB161" s="11">
        <v>0</v>
      </c>
      <c r="AC161" s="11">
        <v>0</v>
      </c>
      <c r="AD161" s="11">
        <v>0</v>
      </c>
      <c r="AE161" s="11">
        <v>0</v>
      </c>
      <c r="AF161" s="11">
        <f t="shared" si="4"/>
        <v>0.56399999999999995</v>
      </c>
      <c r="AG161" s="11">
        <f t="shared" si="5"/>
        <v>9.9640000000000004</v>
      </c>
      <c r="AH161" t="s">
        <v>44</v>
      </c>
    </row>
    <row r="162" spans="1:34" ht="15" customHeight="1" x14ac:dyDescent="0.35">
      <c r="A162">
        <v>7547676</v>
      </c>
      <c r="B162">
        <v>690929</v>
      </c>
      <c r="C162" t="s">
        <v>34</v>
      </c>
      <c r="D162" t="s">
        <v>35</v>
      </c>
      <c r="E162" s="6" t="s">
        <v>34</v>
      </c>
      <c r="F162" t="s">
        <v>599</v>
      </c>
      <c r="G162" t="s">
        <v>37</v>
      </c>
      <c r="H162" t="s">
        <v>38</v>
      </c>
      <c r="I162" t="s">
        <v>600</v>
      </c>
      <c r="J162" t="s">
        <v>40</v>
      </c>
      <c r="K162">
        <v>2</v>
      </c>
      <c r="L162" t="s">
        <v>41</v>
      </c>
      <c r="M162" t="s">
        <v>42</v>
      </c>
      <c r="N162" t="s">
        <v>43</v>
      </c>
      <c r="O162" s="7">
        <v>1</v>
      </c>
      <c r="P162" s="8">
        <v>45280.779780092591</v>
      </c>
      <c r="Q162" s="9">
        <v>45282</v>
      </c>
      <c r="R162" t="s">
        <v>37</v>
      </c>
      <c r="S162" t="s">
        <v>44</v>
      </c>
      <c r="T162" t="s">
        <v>45</v>
      </c>
      <c r="U162" t="s">
        <v>68</v>
      </c>
      <c r="V162" t="s">
        <v>601</v>
      </c>
      <c r="W162">
        <v>40150</v>
      </c>
      <c r="X162" t="s">
        <v>44</v>
      </c>
      <c r="Y162" t="s">
        <v>602</v>
      </c>
      <c r="Z162" t="s">
        <v>49</v>
      </c>
      <c r="AA162" s="10">
        <f>IF(O162&lt;=1,7,7+0.8*ROUNDUP(O162-1,0))</f>
        <v>7</v>
      </c>
      <c r="AB162" s="11">
        <v>0</v>
      </c>
      <c r="AC162" s="11">
        <v>0</v>
      </c>
      <c r="AD162" s="11">
        <v>0</v>
      </c>
      <c r="AE162" s="11">
        <v>0</v>
      </c>
      <c r="AF162" s="11">
        <f t="shared" si="4"/>
        <v>0.42</v>
      </c>
      <c r="AG162" s="11">
        <f t="shared" si="5"/>
        <v>7.42</v>
      </c>
      <c r="AH162" t="s">
        <v>44</v>
      </c>
    </row>
    <row r="163" spans="1:34" ht="15" customHeight="1" x14ac:dyDescent="0.35">
      <c r="A163">
        <v>7547676</v>
      </c>
      <c r="B163">
        <v>690929</v>
      </c>
      <c r="C163" t="s">
        <v>34</v>
      </c>
      <c r="D163" t="s">
        <v>35</v>
      </c>
      <c r="E163" s="6" t="s">
        <v>34</v>
      </c>
      <c r="F163" t="s">
        <v>603</v>
      </c>
      <c r="G163" t="s">
        <v>37</v>
      </c>
      <c r="H163" t="s">
        <v>38</v>
      </c>
      <c r="I163" t="s">
        <v>597</v>
      </c>
      <c r="J163" t="s">
        <v>40</v>
      </c>
      <c r="K163">
        <v>2</v>
      </c>
      <c r="L163" t="s">
        <v>41</v>
      </c>
      <c r="M163" t="s">
        <v>42</v>
      </c>
      <c r="N163" t="s">
        <v>43</v>
      </c>
      <c r="O163" s="7">
        <v>8</v>
      </c>
      <c r="P163" s="8">
        <v>45281.702546296299</v>
      </c>
      <c r="Q163" s="9">
        <v>45282</v>
      </c>
      <c r="R163" t="s">
        <v>37</v>
      </c>
      <c r="S163" t="s">
        <v>44</v>
      </c>
      <c r="T163" t="s">
        <v>45</v>
      </c>
      <c r="U163" t="s">
        <v>68</v>
      </c>
      <c r="V163" t="s">
        <v>604</v>
      </c>
      <c r="W163">
        <v>68000</v>
      </c>
      <c r="X163" t="s">
        <v>44</v>
      </c>
      <c r="Y163" t="s">
        <v>551</v>
      </c>
      <c r="Z163" t="s">
        <v>49</v>
      </c>
      <c r="AA163" s="10">
        <f>IF(O163&lt;=1,7,7+0.8*ROUNDUP(O163-1,0))</f>
        <v>12.600000000000001</v>
      </c>
      <c r="AB163" s="11">
        <v>0</v>
      </c>
      <c r="AC163" s="11">
        <v>0</v>
      </c>
      <c r="AD163" s="11">
        <v>0</v>
      </c>
      <c r="AE163" s="11">
        <v>0</v>
      </c>
      <c r="AF163" s="11">
        <f t="shared" si="4"/>
        <v>0.75600000000000001</v>
      </c>
      <c r="AG163" s="11">
        <f t="shared" si="5"/>
        <v>13.356000000000002</v>
      </c>
      <c r="AH163" t="s">
        <v>44</v>
      </c>
    </row>
    <row r="164" spans="1:34" ht="15" customHeight="1" x14ac:dyDescent="0.35">
      <c r="A164">
        <v>7547676</v>
      </c>
      <c r="B164">
        <v>690929</v>
      </c>
      <c r="C164" t="s">
        <v>34</v>
      </c>
      <c r="D164" t="s">
        <v>35</v>
      </c>
      <c r="E164" s="6" t="s">
        <v>34</v>
      </c>
      <c r="F164" t="s">
        <v>605</v>
      </c>
      <c r="G164" t="s">
        <v>37</v>
      </c>
      <c r="H164" t="s">
        <v>38</v>
      </c>
      <c r="I164" t="s">
        <v>606</v>
      </c>
      <c r="J164" t="s">
        <v>40</v>
      </c>
      <c r="K164">
        <v>2</v>
      </c>
      <c r="L164" t="s">
        <v>41</v>
      </c>
      <c r="M164" t="s">
        <v>42</v>
      </c>
      <c r="N164" t="s">
        <v>43</v>
      </c>
      <c r="O164" s="7">
        <v>1</v>
      </c>
      <c r="P164" s="8">
        <v>45279.612129629626</v>
      </c>
      <c r="Q164" s="9">
        <v>45282</v>
      </c>
      <c r="R164" t="s">
        <v>37</v>
      </c>
      <c r="S164" t="s">
        <v>44</v>
      </c>
      <c r="T164" t="s">
        <v>45</v>
      </c>
      <c r="U164" t="s">
        <v>82</v>
      </c>
      <c r="V164" t="s">
        <v>607</v>
      </c>
      <c r="W164">
        <v>71400</v>
      </c>
      <c r="X164" t="s">
        <v>44</v>
      </c>
      <c r="Y164" t="s">
        <v>52</v>
      </c>
      <c r="Z164" t="s">
        <v>49</v>
      </c>
      <c r="AA164" s="10">
        <f>IF(O164&lt;=1,7,7+0.8*ROUNDUP(O164-1,0))</f>
        <v>7</v>
      </c>
      <c r="AB164" s="11">
        <v>0</v>
      </c>
      <c r="AC164" s="11">
        <v>0</v>
      </c>
      <c r="AD164" s="11">
        <v>0</v>
      </c>
      <c r="AE164" s="11">
        <v>0</v>
      </c>
      <c r="AF164" s="11">
        <f t="shared" si="4"/>
        <v>0.42</v>
      </c>
      <c r="AG164" s="11">
        <f t="shared" si="5"/>
        <v>7.42</v>
      </c>
      <c r="AH164" t="s">
        <v>44</v>
      </c>
    </row>
    <row r="165" spans="1:34" ht="15" customHeight="1" x14ac:dyDescent="0.35">
      <c r="A165">
        <v>7547676</v>
      </c>
      <c r="B165">
        <v>690929</v>
      </c>
      <c r="C165" t="s">
        <v>34</v>
      </c>
      <c r="D165" t="s">
        <v>35</v>
      </c>
      <c r="E165" s="6" t="s">
        <v>34</v>
      </c>
      <c r="F165" t="s">
        <v>608</v>
      </c>
      <c r="G165" t="s">
        <v>37</v>
      </c>
      <c r="H165" t="s">
        <v>38</v>
      </c>
      <c r="I165" t="s">
        <v>147</v>
      </c>
      <c r="J165" t="s">
        <v>40</v>
      </c>
      <c r="K165">
        <v>2</v>
      </c>
      <c r="L165" t="s">
        <v>41</v>
      </c>
      <c r="M165" t="s">
        <v>42</v>
      </c>
      <c r="N165" t="s">
        <v>43</v>
      </c>
      <c r="O165" s="7">
        <v>4</v>
      </c>
      <c r="P165" s="8">
        <v>45280.744363425925</v>
      </c>
      <c r="Q165" s="9">
        <v>45282</v>
      </c>
      <c r="R165" t="s">
        <v>37</v>
      </c>
      <c r="S165" t="s">
        <v>44</v>
      </c>
      <c r="T165" t="s">
        <v>45</v>
      </c>
      <c r="U165" t="s">
        <v>77</v>
      </c>
      <c r="V165" t="s">
        <v>148</v>
      </c>
      <c r="W165">
        <v>39100</v>
      </c>
      <c r="X165" t="s">
        <v>44</v>
      </c>
      <c r="Y165" t="s">
        <v>149</v>
      </c>
      <c r="Z165" t="s">
        <v>49</v>
      </c>
      <c r="AA165" s="10">
        <f>IF(O165&lt;=1,7,7+0.8*ROUNDUP(O165-1,0))</f>
        <v>9.4</v>
      </c>
      <c r="AB165" s="11">
        <v>0</v>
      </c>
      <c r="AC165" s="11">
        <v>0</v>
      </c>
      <c r="AD165" s="11">
        <v>0</v>
      </c>
      <c r="AE165" s="11">
        <v>0</v>
      </c>
      <c r="AF165" s="11">
        <f t="shared" si="4"/>
        <v>0.56399999999999995</v>
      </c>
      <c r="AG165" s="11">
        <f t="shared" si="5"/>
        <v>9.9640000000000004</v>
      </c>
      <c r="AH165" t="s">
        <v>44</v>
      </c>
    </row>
    <row r="166" spans="1:34" ht="15" customHeight="1" x14ac:dyDescent="0.35">
      <c r="A166">
        <v>7547676</v>
      </c>
      <c r="B166">
        <v>690929</v>
      </c>
      <c r="C166" t="s">
        <v>34</v>
      </c>
      <c r="D166" t="s">
        <v>35</v>
      </c>
      <c r="E166" s="6" t="s">
        <v>34</v>
      </c>
      <c r="F166" t="s">
        <v>609</v>
      </c>
      <c r="G166" t="s">
        <v>37</v>
      </c>
      <c r="H166" t="s">
        <v>38</v>
      </c>
      <c r="I166" t="s">
        <v>610</v>
      </c>
      <c r="J166" t="s">
        <v>40</v>
      </c>
      <c r="K166">
        <v>2</v>
      </c>
      <c r="L166" t="s">
        <v>41</v>
      </c>
      <c r="M166" t="s">
        <v>42</v>
      </c>
      <c r="N166" t="s">
        <v>43</v>
      </c>
      <c r="O166" s="7">
        <v>1</v>
      </c>
      <c r="P166" s="8">
        <v>45280.740983796299</v>
      </c>
      <c r="Q166" s="9">
        <v>45282</v>
      </c>
      <c r="R166" t="s">
        <v>37</v>
      </c>
      <c r="S166" t="s">
        <v>44</v>
      </c>
      <c r="T166" t="s">
        <v>45</v>
      </c>
      <c r="U166" t="s">
        <v>46</v>
      </c>
      <c r="V166" t="s">
        <v>611</v>
      </c>
      <c r="W166">
        <v>83000</v>
      </c>
      <c r="X166" t="s">
        <v>44</v>
      </c>
      <c r="Y166" t="s">
        <v>612</v>
      </c>
      <c r="Z166" t="s">
        <v>49</v>
      </c>
      <c r="AA166" s="10">
        <f>IF(O166&lt;=1,7,7+0.8*ROUNDUP(O166-1,0))</f>
        <v>7</v>
      </c>
      <c r="AB166" s="11">
        <v>0</v>
      </c>
      <c r="AC166" s="11">
        <v>0</v>
      </c>
      <c r="AD166" s="11">
        <v>0</v>
      </c>
      <c r="AE166" s="11">
        <v>0</v>
      </c>
      <c r="AF166" s="11">
        <f t="shared" si="4"/>
        <v>0.42</v>
      </c>
      <c r="AG166" s="11">
        <f t="shared" si="5"/>
        <v>7.42</v>
      </c>
      <c r="AH166" t="s">
        <v>44</v>
      </c>
    </row>
    <row r="167" spans="1:34" ht="15" customHeight="1" x14ac:dyDescent="0.35">
      <c r="A167">
        <v>7547676</v>
      </c>
      <c r="B167">
        <v>690929</v>
      </c>
      <c r="C167" t="s">
        <v>34</v>
      </c>
      <c r="D167" t="s">
        <v>35</v>
      </c>
      <c r="E167" s="6" t="s">
        <v>34</v>
      </c>
      <c r="F167" t="s">
        <v>613</v>
      </c>
      <c r="G167" t="s">
        <v>37</v>
      </c>
      <c r="H167" t="s">
        <v>38</v>
      </c>
      <c r="I167" t="s">
        <v>147</v>
      </c>
      <c r="J167" t="s">
        <v>40</v>
      </c>
      <c r="K167">
        <v>2</v>
      </c>
      <c r="L167" t="s">
        <v>41</v>
      </c>
      <c r="M167" t="s">
        <v>42</v>
      </c>
      <c r="N167" t="s">
        <v>43</v>
      </c>
      <c r="O167" s="7">
        <v>4</v>
      </c>
      <c r="P167" s="8">
        <v>45280.744363425925</v>
      </c>
      <c r="Q167" s="9">
        <v>45282</v>
      </c>
      <c r="R167" t="s">
        <v>37</v>
      </c>
      <c r="S167" t="s">
        <v>44</v>
      </c>
      <c r="T167" t="s">
        <v>45</v>
      </c>
      <c r="U167" t="s">
        <v>77</v>
      </c>
      <c r="V167" t="s">
        <v>148</v>
      </c>
      <c r="W167">
        <v>39100</v>
      </c>
      <c r="X167" t="s">
        <v>44</v>
      </c>
      <c r="Y167" t="s">
        <v>149</v>
      </c>
      <c r="Z167" t="s">
        <v>49</v>
      </c>
      <c r="AA167" s="10">
        <f>IF(O167&lt;=1,7,7+0.8*ROUNDUP(O167-1,0))</f>
        <v>9.4</v>
      </c>
      <c r="AB167" s="11">
        <v>0</v>
      </c>
      <c r="AC167" s="11">
        <v>0</v>
      </c>
      <c r="AD167" s="11">
        <v>0</v>
      </c>
      <c r="AE167" s="11">
        <v>0</v>
      </c>
      <c r="AF167" s="11">
        <f t="shared" si="4"/>
        <v>0.56399999999999995</v>
      </c>
      <c r="AG167" s="11">
        <f t="shared" si="5"/>
        <v>9.9640000000000004</v>
      </c>
      <c r="AH167" t="s">
        <v>44</v>
      </c>
    </row>
    <row r="168" spans="1:34" ht="15" customHeight="1" x14ac:dyDescent="0.35">
      <c r="A168">
        <v>7547676</v>
      </c>
      <c r="B168">
        <v>690929</v>
      </c>
      <c r="C168" t="s">
        <v>34</v>
      </c>
      <c r="D168" t="s">
        <v>35</v>
      </c>
      <c r="E168" s="6" t="s">
        <v>34</v>
      </c>
      <c r="F168" t="s">
        <v>614</v>
      </c>
      <c r="G168" t="s">
        <v>37</v>
      </c>
      <c r="H168" t="s">
        <v>38</v>
      </c>
      <c r="I168" t="s">
        <v>615</v>
      </c>
      <c r="J168" t="s">
        <v>40</v>
      </c>
      <c r="K168">
        <v>2</v>
      </c>
      <c r="L168" t="s">
        <v>41</v>
      </c>
      <c r="M168" t="s">
        <v>42</v>
      </c>
      <c r="N168" t="s">
        <v>43</v>
      </c>
      <c r="O168" s="7">
        <v>1</v>
      </c>
      <c r="P168" s="8">
        <v>45281.705104166664</v>
      </c>
      <c r="Q168" s="9">
        <v>45282</v>
      </c>
      <c r="R168" t="s">
        <v>37</v>
      </c>
      <c r="S168" t="s">
        <v>44</v>
      </c>
      <c r="T168" t="s">
        <v>45</v>
      </c>
      <c r="U168" t="s">
        <v>53</v>
      </c>
      <c r="V168" t="s">
        <v>616</v>
      </c>
      <c r="W168">
        <v>50100</v>
      </c>
      <c r="X168" t="s">
        <v>44</v>
      </c>
      <c r="Y168" t="s">
        <v>290</v>
      </c>
      <c r="Z168" t="s">
        <v>49</v>
      </c>
      <c r="AA168" s="10">
        <f>IF(O168&lt;=1,7,7+0.8*ROUNDUP(O168-1,0))</f>
        <v>7</v>
      </c>
      <c r="AB168" s="11">
        <v>0</v>
      </c>
      <c r="AC168" s="11">
        <v>0</v>
      </c>
      <c r="AD168" s="11">
        <v>0</v>
      </c>
      <c r="AE168" s="11">
        <v>0</v>
      </c>
      <c r="AF168" s="11">
        <f t="shared" si="4"/>
        <v>0.42</v>
      </c>
      <c r="AG168" s="11">
        <f t="shared" si="5"/>
        <v>7.42</v>
      </c>
      <c r="AH168" t="s">
        <v>44</v>
      </c>
    </row>
    <row r="169" spans="1:34" ht="15" customHeight="1" x14ac:dyDescent="0.35">
      <c r="A169">
        <v>7547676</v>
      </c>
      <c r="B169">
        <v>690929</v>
      </c>
      <c r="C169" t="s">
        <v>34</v>
      </c>
      <c r="D169" t="s">
        <v>35</v>
      </c>
      <c r="E169" s="6" t="s">
        <v>34</v>
      </c>
      <c r="F169" t="s">
        <v>617</v>
      </c>
      <c r="G169" t="s">
        <v>37</v>
      </c>
      <c r="H169" t="s">
        <v>38</v>
      </c>
      <c r="I169" t="s">
        <v>618</v>
      </c>
      <c r="J169" t="s">
        <v>40</v>
      </c>
      <c r="K169">
        <v>2</v>
      </c>
      <c r="L169" t="s">
        <v>41</v>
      </c>
      <c r="M169" t="s">
        <v>42</v>
      </c>
      <c r="N169" t="s">
        <v>43</v>
      </c>
      <c r="O169" s="7">
        <v>1</v>
      </c>
      <c r="P169" s="8">
        <v>45281.690983796296</v>
      </c>
      <c r="Q169" s="9">
        <v>45282</v>
      </c>
      <c r="R169" t="s">
        <v>37</v>
      </c>
      <c r="S169" t="s">
        <v>44</v>
      </c>
      <c r="T169" t="s">
        <v>52</v>
      </c>
      <c r="U169" t="s">
        <v>68</v>
      </c>
      <c r="V169" t="s">
        <v>619</v>
      </c>
      <c r="W169">
        <v>43000</v>
      </c>
      <c r="X169" t="s">
        <v>44</v>
      </c>
      <c r="Y169" t="s">
        <v>620</v>
      </c>
      <c r="Z169" t="s">
        <v>49</v>
      </c>
      <c r="AA169" s="10">
        <f>IF(O169&lt;=1,7,7+0.8*ROUNDUP(O169-1,0))</f>
        <v>7</v>
      </c>
      <c r="AB169" s="11">
        <v>0</v>
      </c>
      <c r="AC169" s="11">
        <v>0</v>
      </c>
      <c r="AD169" s="11">
        <v>0</v>
      </c>
      <c r="AE169" s="11">
        <v>0</v>
      </c>
      <c r="AF169" s="11">
        <f t="shared" si="4"/>
        <v>0.42</v>
      </c>
      <c r="AG169" s="11">
        <f t="shared" si="5"/>
        <v>7.42</v>
      </c>
      <c r="AH169" t="s">
        <v>44</v>
      </c>
    </row>
    <row r="170" spans="1:34" ht="15" customHeight="1" x14ac:dyDescent="0.35">
      <c r="A170">
        <v>7547676</v>
      </c>
      <c r="B170">
        <v>690929</v>
      </c>
      <c r="C170" t="s">
        <v>34</v>
      </c>
      <c r="D170" t="s">
        <v>35</v>
      </c>
      <c r="E170" s="6" t="s">
        <v>34</v>
      </c>
      <c r="F170" t="s">
        <v>621</v>
      </c>
      <c r="G170" t="s">
        <v>37</v>
      </c>
      <c r="H170" t="s">
        <v>38</v>
      </c>
      <c r="I170" t="s">
        <v>622</v>
      </c>
      <c r="J170" t="s">
        <v>40</v>
      </c>
      <c r="K170">
        <v>2</v>
      </c>
      <c r="L170" t="s">
        <v>41</v>
      </c>
      <c r="M170" t="s">
        <v>42</v>
      </c>
      <c r="N170" t="s">
        <v>43</v>
      </c>
      <c r="O170" s="7">
        <v>1</v>
      </c>
      <c r="P170" s="8">
        <v>45281.686898148146</v>
      </c>
      <c r="Q170" s="9">
        <v>45282</v>
      </c>
      <c r="R170" t="s">
        <v>37</v>
      </c>
      <c r="S170" t="s">
        <v>44</v>
      </c>
      <c r="T170" t="s">
        <v>45</v>
      </c>
      <c r="U170" t="s">
        <v>68</v>
      </c>
      <c r="V170" t="s">
        <v>623</v>
      </c>
      <c r="W170">
        <v>52200</v>
      </c>
      <c r="X170" t="s">
        <v>44</v>
      </c>
      <c r="Y170" t="s">
        <v>201</v>
      </c>
      <c r="Z170" t="s">
        <v>49</v>
      </c>
      <c r="AA170" s="10">
        <f>IF(O170&lt;=1,7,7+0.8*ROUNDUP(O170-1,0))</f>
        <v>7</v>
      </c>
      <c r="AB170" s="11">
        <v>0</v>
      </c>
      <c r="AC170" s="11">
        <v>0</v>
      </c>
      <c r="AD170" s="11">
        <v>0</v>
      </c>
      <c r="AE170" s="11">
        <v>0</v>
      </c>
      <c r="AF170" s="11">
        <f t="shared" si="4"/>
        <v>0.42</v>
      </c>
      <c r="AG170" s="11">
        <f t="shared" si="5"/>
        <v>7.42</v>
      </c>
      <c r="AH170" t="s">
        <v>44</v>
      </c>
    </row>
    <row r="171" spans="1:34" ht="15" customHeight="1" x14ac:dyDescent="0.35">
      <c r="A171">
        <v>7547676</v>
      </c>
      <c r="B171">
        <v>690929</v>
      </c>
      <c r="C171" t="s">
        <v>34</v>
      </c>
      <c r="D171" t="s">
        <v>35</v>
      </c>
      <c r="E171" s="6" t="s">
        <v>34</v>
      </c>
      <c r="F171" t="s">
        <v>624</v>
      </c>
      <c r="G171" t="s">
        <v>37</v>
      </c>
      <c r="H171" t="s">
        <v>38</v>
      </c>
      <c r="I171" t="s">
        <v>625</v>
      </c>
      <c r="J171" t="s">
        <v>40</v>
      </c>
      <c r="K171">
        <v>2</v>
      </c>
      <c r="L171" t="s">
        <v>41</v>
      </c>
      <c r="M171" t="s">
        <v>42</v>
      </c>
      <c r="N171" t="s">
        <v>43</v>
      </c>
      <c r="O171" s="7">
        <v>1</v>
      </c>
      <c r="P171" s="8">
        <v>45278.777650462966</v>
      </c>
      <c r="Q171" s="9">
        <v>45282</v>
      </c>
      <c r="R171" t="s">
        <v>37</v>
      </c>
      <c r="S171" t="s">
        <v>44</v>
      </c>
      <c r="T171" t="s">
        <v>45</v>
      </c>
      <c r="U171" t="s">
        <v>82</v>
      </c>
      <c r="V171" t="s">
        <v>626</v>
      </c>
      <c r="W171">
        <v>71650</v>
      </c>
      <c r="X171" t="s">
        <v>44</v>
      </c>
      <c r="Y171" t="s">
        <v>52</v>
      </c>
      <c r="Z171" t="s">
        <v>49</v>
      </c>
      <c r="AA171" s="10">
        <f>IF(O171&lt;=1,7,7+0.8*ROUNDUP(O171-1,0))</f>
        <v>7</v>
      </c>
      <c r="AB171" s="11">
        <v>0</v>
      </c>
      <c r="AC171" s="11">
        <v>0</v>
      </c>
      <c r="AD171" s="11">
        <v>0</v>
      </c>
      <c r="AE171" s="11">
        <v>0</v>
      </c>
      <c r="AF171" s="11">
        <f t="shared" si="4"/>
        <v>0.42</v>
      </c>
      <c r="AG171" s="11">
        <f t="shared" si="5"/>
        <v>7.42</v>
      </c>
      <c r="AH171" t="s">
        <v>44</v>
      </c>
    </row>
    <row r="172" spans="1:34" ht="15" customHeight="1" x14ac:dyDescent="0.35">
      <c r="A172">
        <v>7547676</v>
      </c>
      <c r="B172">
        <v>690929</v>
      </c>
      <c r="C172" t="s">
        <v>34</v>
      </c>
      <c r="D172" t="s">
        <v>35</v>
      </c>
      <c r="E172" s="6" t="s">
        <v>34</v>
      </c>
      <c r="F172" t="s">
        <v>627</v>
      </c>
      <c r="G172" t="s">
        <v>37</v>
      </c>
      <c r="H172" t="s">
        <v>38</v>
      </c>
      <c r="I172" t="s">
        <v>628</v>
      </c>
      <c r="J172" t="s">
        <v>40</v>
      </c>
      <c r="K172">
        <v>2</v>
      </c>
      <c r="L172" t="s">
        <v>41</v>
      </c>
      <c r="M172" t="s">
        <v>42</v>
      </c>
      <c r="N172" t="s">
        <v>43</v>
      </c>
      <c r="O172" s="7">
        <v>10</v>
      </c>
      <c r="P172" s="8">
        <v>45281.423449074071</v>
      </c>
      <c r="Q172" s="9">
        <v>45282</v>
      </c>
      <c r="R172" t="s">
        <v>37</v>
      </c>
      <c r="S172" t="s">
        <v>44</v>
      </c>
      <c r="T172" t="s">
        <v>45</v>
      </c>
      <c r="U172" t="s">
        <v>77</v>
      </c>
      <c r="V172" t="s">
        <v>629</v>
      </c>
      <c r="W172">
        <v>28100</v>
      </c>
      <c r="X172" t="s">
        <v>44</v>
      </c>
      <c r="Y172" t="s">
        <v>630</v>
      </c>
      <c r="Z172" t="s">
        <v>49</v>
      </c>
      <c r="AA172" s="10">
        <f>IF(O172&lt;=1,7,7+0.8*ROUNDUP(O172-1,0))</f>
        <v>14.2</v>
      </c>
      <c r="AB172" s="11">
        <v>0</v>
      </c>
      <c r="AC172" s="11">
        <v>0</v>
      </c>
      <c r="AD172" s="11">
        <v>0</v>
      </c>
      <c r="AE172" s="11">
        <v>0</v>
      </c>
      <c r="AF172" s="11">
        <f t="shared" si="4"/>
        <v>0.85199999999999998</v>
      </c>
      <c r="AG172" s="11">
        <f t="shared" si="5"/>
        <v>15.052</v>
      </c>
      <c r="AH172" t="s">
        <v>44</v>
      </c>
    </row>
    <row r="173" spans="1:34" ht="15" customHeight="1" x14ac:dyDescent="0.35">
      <c r="A173">
        <v>7547676</v>
      </c>
      <c r="B173">
        <v>690929</v>
      </c>
      <c r="C173" t="s">
        <v>34</v>
      </c>
      <c r="D173" t="s">
        <v>35</v>
      </c>
      <c r="E173" s="6" t="s">
        <v>34</v>
      </c>
      <c r="F173" t="s">
        <v>631</v>
      </c>
      <c r="G173" t="s">
        <v>37</v>
      </c>
      <c r="H173" t="s">
        <v>38</v>
      </c>
      <c r="I173" t="s">
        <v>632</v>
      </c>
      <c r="J173" t="s">
        <v>40</v>
      </c>
      <c r="K173">
        <v>2</v>
      </c>
      <c r="L173" t="s">
        <v>41</v>
      </c>
      <c r="M173" t="s">
        <v>42</v>
      </c>
      <c r="N173" t="s">
        <v>43</v>
      </c>
      <c r="O173" s="7">
        <v>1</v>
      </c>
      <c r="P173" s="8">
        <v>45281.52076388889</v>
      </c>
      <c r="Q173" s="9">
        <v>45282</v>
      </c>
      <c r="R173" t="s">
        <v>37</v>
      </c>
      <c r="S173" t="s">
        <v>44</v>
      </c>
      <c r="T173" t="s">
        <v>52</v>
      </c>
      <c r="U173" t="s">
        <v>68</v>
      </c>
      <c r="V173" t="s">
        <v>633</v>
      </c>
      <c r="W173">
        <v>47100</v>
      </c>
      <c r="X173" t="s">
        <v>44</v>
      </c>
      <c r="Y173" t="s">
        <v>249</v>
      </c>
      <c r="Z173" t="s">
        <v>49</v>
      </c>
      <c r="AA173" s="10">
        <f>IF(O173&lt;=1,7,7+0.8*ROUNDUP(O173-1,0))</f>
        <v>7</v>
      </c>
      <c r="AB173" s="11">
        <v>0</v>
      </c>
      <c r="AC173" s="11">
        <v>0</v>
      </c>
      <c r="AD173" s="11">
        <v>0</v>
      </c>
      <c r="AE173" s="11">
        <v>0</v>
      </c>
      <c r="AF173" s="11">
        <f t="shared" si="4"/>
        <v>0.42</v>
      </c>
      <c r="AG173" s="11">
        <f t="shared" si="5"/>
        <v>7.42</v>
      </c>
      <c r="AH173" t="s">
        <v>44</v>
      </c>
    </row>
    <row r="174" spans="1:34" ht="15" customHeight="1" x14ac:dyDescent="0.35">
      <c r="A174">
        <v>7547676</v>
      </c>
      <c r="B174">
        <v>690929</v>
      </c>
      <c r="C174" t="s">
        <v>34</v>
      </c>
      <c r="D174" t="s">
        <v>35</v>
      </c>
      <c r="E174" s="6" t="s">
        <v>34</v>
      </c>
      <c r="F174" t="s">
        <v>634</v>
      </c>
      <c r="G174" t="s">
        <v>37</v>
      </c>
      <c r="H174" t="s">
        <v>38</v>
      </c>
      <c r="I174" t="s">
        <v>635</v>
      </c>
      <c r="J174" t="s">
        <v>40</v>
      </c>
      <c r="K174">
        <v>2</v>
      </c>
      <c r="L174" t="s">
        <v>41</v>
      </c>
      <c r="M174" t="s">
        <v>42</v>
      </c>
      <c r="N174" t="s">
        <v>43</v>
      </c>
      <c r="O174" s="7">
        <v>1</v>
      </c>
      <c r="P174" s="8">
        <v>45280.725219907406</v>
      </c>
      <c r="Q174" s="9">
        <v>45282</v>
      </c>
      <c r="R174" t="s">
        <v>37</v>
      </c>
      <c r="S174" t="s">
        <v>44</v>
      </c>
      <c r="T174" t="s">
        <v>45</v>
      </c>
      <c r="U174" t="s">
        <v>46</v>
      </c>
      <c r="V174" t="s">
        <v>636</v>
      </c>
      <c r="W174">
        <v>81200</v>
      </c>
      <c r="X174" t="s">
        <v>44</v>
      </c>
      <c r="Y174" t="s">
        <v>233</v>
      </c>
      <c r="Z174" t="s">
        <v>49</v>
      </c>
      <c r="AA174" s="10">
        <f>IF(O174&lt;=1,7,7+0.8*ROUNDUP(O174-1,0))</f>
        <v>7</v>
      </c>
      <c r="AB174" s="11">
        <v>0</v>
      </c>
      <c r="AC174" s="11">
        <v>0</v>
      </c>
      <c r="AD174" s="11">
        <v>0</v>
      </c>
      <c r="AE174" s="11">
        <v>0</v>
      </c>
      <c r="AF174" s="11">
        <f t="shared" si="4"/>
        <v>0.42</v>
      </c>
      <c r="AG174" s="11">
        <f t="shared" si="5"/>
        <v>7.42</v>
      </c>
      <c r="AH174" t="s">
        <v>44</v>
      </c>
    </row>
    <row r="175" spans="1:34" ht="15" customHeight="1" x14ac:dyDescent="0.35">
      <c r="A175">
        <v>7547676</v>
      </c>
      <c r="B175">
        <v>690929</v>
      </c>
      <c r="C175" t="s">
        <v>34</v>
      </c>
      <c r="D175" t="s">
        <v>35</v>
      </c>
      <c r="E175" s="6" t="s">
        <v>34</v>
      </c>
      <c r="F175" t="s">
        <v>637</v>
      </c>
      <c r="G175" t="s">
        <v>37</v>
      </c>
      <c r="H175" t="s">
        <v>38</v>
      </c>
      <c r="I175" t="s">
        <v>638</v>
      </c>
      <c r="J175" t="s">
        <v>40</v>
      </c>
      <c r="K175">
        <v>2</v>
      </c>
      <c r="L175" t="s">
        <v>41</v>
      </c>
      <c r="M175" t="s">
        <v>42</v>
      </c>
      <c r="N175" t="s">
        <v>43</v>
      </c>
      <c r="O175" s="7">
        <v>2</v>
      </c>
      <c r="P175" s="8">
        <v>45279.844768518517</v>
      </c>
      <c r="Q175" s="9">
        <v>45282</v>
      </c>
      <c r="R175" t="s">
        <v>37</v>
      </c>
      <c r="S175" t="s">
        <v>44</v>
      </c>
      <c r="T175" t="s">
        <v>45</v>
      </c>
      <c r="U175" t="s">
        <v>501</v>
      </c>
      <c r="V175" t="s">
        <v>639</v>
      </c>
      <c r="W175">
        <v>2600</v>
      </c>
      <c r="X175" t="s">
        <v>44</v>
      </c>
      <c r="Y175" t="s">
        <v>640</v>
      </c>
      <c r="Z175" t="s">
        <v>49</v>
      </c>
      <c r="AA175" s="10">
        <f>IF(O175&lt;=1,7,7+0.8*ROUNDUP(O175-1,0))</f>
        <v>7.8</v>
      </c>
      <c r="AB175" s="11">
        <v>0</v>
      </c>
      <c r="AC175" s="11">
        <v>0</v>
      </c>
      <c r="AD175" s="11">
        <v>0</v>
      </c>
      <c r="AE175" s="11">
        <v>0</v>
      </c>
      <c r="AF175" s="11">
        <f t="shared" si="4"/>
        <v>0.46799999999999997</v>
      </c>
      <c r="AG175" s="11">
        <f t="shared" si="5"/>
        <v>8.2680000000000007</v>
      </c>
      <c r="AH175" t="s">
        <v>44</v>
      </c>
    </row>
    <row r="176" spans="1:34" ht="15" customHeight="1" x14ac:dyDescent="0.35">
      <c r="A176">
        <v>7547676</v>
      </c>
      <c r="B176">
        <v>690929</v>
      </c>
      <c r="C176" t="s">
        <v>34</v>
      </c>
      <c r="D176" t="s">
        <v>35</v>
      </c>
      <c r="E176" s="6" t="s">
        <v>34</v>
      </c>
      <c r="F176" t="s">
        <v>641</v>
      </c>
      <c r="G176" t="s">
        <v>37</v>
      </c>
      <c r="H176" t="s">
        <v>38</v>
      </c>
      <c r="I176" t="s">
        <v>642</v>
      </c>
      <c r="J176" t="s">
        <v>40</v>
      </c>
      <c r="K176">
        <v>2</v>
      </c>
      <c r="L176" t="s">
        <v>41</v>
      </c>
      <c r="M176" t="s">
        <v>42</v>
      </c>
      <c r="N176" t="s">
        <v>43</v>
      </c>
      <c r="O176" s="7">
        <v>1</v>
      </c>
      <c r="P176" s="8">
        <v>45281.665312500001</v>
      </c>
      <c r="Q176" s="9">
        <v>45282</v>
      </c>
      <c r="R176" t="s">
        <v>37</v>
      </c>
      <c r="S176" t="s">
        <v>44</v>
      </c>
      <c r="T176" t="s">
        <v>45</v>
      </c>
      <c r="U176" t="s">
        <v>258</v>
      </c>
      <c r="V176" t="s">
        <v>643</v>
      </c>
      <c r="W176">
        <v>20400</v>
      </c>
      <c r="X176" t="s">
        <v>44</v>
      </c>
      <c r="Y176" t="s">
        <v>260</v>
      </c>
      <c r="Z176" t="s">
        <v>49</v>
      </c>
      <c r="AA176" s="10">
        <f>IF(O176&lt;=1,7,7+0.8*ROUNDUP(O176-1,0))</f>
        <v>7</v>
      </c>
      <c r="AB176" s="11">
        <v>0</v>
      </c>
      <c r="AC176" s="11">
        <v>0</v>
      </c>
      <c r="AD176" s="11">
        <v>0</v>
      </c>
      <c r="AE176" s="11">
        <v>0</v>
      </c>
      <c r="AF176" s="11">
        <f t="shared" si="4"/>
        <v>0.42</v>
      </c>
      <c r="AG176" s="11">
        <f t="shared" si="5"/>
        <v>7.42</v>
      </c>
      <c r="AH176" t="s">
        <v>44</v>
      </c>
    </row>
    <row r="177" spans="1:34" ht="15" customHeight="1" x14ac:dyDescent="0.35">
      <c r="A177">
        <v>7547676</v>
      </c>
      <c r="B177">
        <v>690929</v>
      </c>
      <c r="C177" t="s">
        <v>34</v>
      </c>
      <c r="D177" t="s">
        <v>35</v>
      </c>
      <c r="E177" s="6" t="s">
        <v>34</v>
      </c>
      <c r="F177" t="s">
        <v>644</v>
      </c>
      <c r="G177" t="s">
        <v>37</v>
      </c>
      <c r="H177" t="s">
        <v>38</v>
      </c>
      <c r="I177" t="s">
        <v>645</v>
      </c>
      <c r="J177" t="s">
        <v>40</v>
      </c>
      <c r="K177">
        <v>2</v>
      </c>
      <c r="L177" t="s">
        <v>41</v>
      </c>
      <c r="M177" t="s">
        <v>42</v>
      </c>
      <c r="N177" t="s">
        <v>43</v>
      </c>
      <c r="O177" s="7">
        <v>1</v>
      </c>
      <c r="P177" s="8">
        <v>45279.402662037035</v>
      </c>
      <c r="Q177" s="9">
        <v>45282</v>
      </c>
      <c r="R177" t="s">
        <v>37</v>
      </c>
      <c r="S177" t="s">
        <v>44</v>
      </c>
      <c r="T177" t="s">
        <v>45</v>
      </c>
      <c r="U177" t="s">
        <v>240</v>
      </c>
      <c r="V177" t="s">
        <v>646</v>
      </c>
      <c r="W177">
        <v>96400</v>
      </c>
      <c r="X177" t="s">
        <v>242</v>
      </c>
      <c r="Y177" t="s">
        <v>52</v>
      </c>
      <c r="Z177" t="s">
        <v>49</v>
      </c>
      <c r="AA177" s="12">
        <f>IF(O177&lt;=1,13,IF(O177&lt;=2,23,IF(O177&lt;=3,35,IF(O177&lt;=4,43,IF(O177&lt;=5,53,IF(O177&lt;=6,63,IF(O177&lt;=7,71,IF(O177&lt;=8,79,IF(O177&lt;=9,87,IF(O177&lt;=10,95,IF(O177&lt;=11,105,IF(O177&lt;=12,114,IF(O177&lt;=13,119,IF(O177&lt;=14,127,IF(O177&lt;=15,135,IF(O177&lt;=16,143,IF(O177&lt;=17,153,IF(O177&lt;=18,163,IF(O177&lt;=19,171,IF(O177&lt;=20,185,IF(O177&lt;=21,193,IF(O177&lt;=22,201,IF(O177&lt;=23,210,IF(O177&lt;=24,220,IF(O177&lt;=25,230,IF(O177&lt;=26,240,IF(O177&lt;=27,250,IF(O177&lt;=28,260,IF(O177&lt;=29,270,IF(O177&lt;=30,280,280+10*ROUNDUP(O177-30,0)))))))))))))))))))))))))))))))</f>
        <v>13</v>
      </c>
      <c r="AB177" s="11">
        <v>0</v>
      </c>
      <c r="AC177" s="11">
        <v>0</v>
      </c>
      <c r="AD177" s="11">
        <v>0</v>
      </c>
      <c r="AE177" s="11">
        <v>0</v>
      </c>
      <c r="AF177" s="11">
        <f t="shared" si="4"/>
        <v>0.78</v>
      </c>
      <c r="AG177" s="11">
        <f t="shared" si="5"/>
        <v>13.78</v>
      </c>
      <c r="AH177" t="s">
        <v>242</v>
      </c>
    </row>
    <row r="178" spans="1:34" ht="15" customHeight="1" x14ac:dyDescent="0.35">
      <c r="A178">
        <v>7547676</v>
      </c>
      <c r="B178">
        <v>690929</v>
      </c>
      <c r="C178" t="s">
        <v>34</v>
      </c>
      <c r="D178" t="s">
        <v>35</v>
      </c>
      <c r="E178" s="6" t="s">
        <v>34</v>
      </c>
      <c r="F178" t="s">
        <v>647</v>
      </c>
      <c r="G178" t="s">
        <v>37</v>
      </c>
      <c r="H178" t="s">
        <v>38</v>
      </c>
      <c r="I178" t="s">
        <v>648</v>
      </c>
      <c r="J178" t="s">
        <v>40</v>
      </c>
      <c r="K178">
        <v>2</v>
      </c>
      <c r="L178" t="s">
        <v>41</v>
      </c>
      <c r="M178" t="s">
        <v>42</v>
      </c>
      <c r="N178" t="s">
        <v>43</v>
      </c>
      <c r="O178" s="7">
        <v>1</v>
      </c>
      <c r="P178" s="8">
        <v>45281.556770833333</v>
      </c>
      <c r="Q178" s="9">
        <v>45282</v>
      </c>
      <c r="R178" t="s">
        <v>37</v>
      </c>
      <c r="S178" t="s">
        <v>44</v>
      </c>
      <c r="T178" t="s">
        <v>52</v>
      </c>
      <c r="U178" t="s">
        <v>68</v>
      </c>
      <c r="V178" t="s">
        <v>649</v>
      </c>
      <c r="W178">
        <v>41200</v>
      </c>
      <c r="X178" t="s">
        <v>44</v>
      </c>
      <c r="Y178" t="s">
        <v>52</v>
      </c>
      <c r="Z178" t="s">
        <v>49</v>
      </c>
      <c r="AA178" s="10">
        <f>IF(O178&lt;=1,7,7+0.8*ROUNDUP(O178-1,0))</f>
        <v>7</v>
      </c>
      <c r="AB178" s="11">
        <v>0</v>
      </c>
      <c r="AC178" s="11">
        <v>0</v>
      </c>
      <c r="AD178" s="11">
        <v>0</v>
      </c>
      <c r="AE178" s="11">
        <v>0</v>
      </c>
      <c r="AF178" s="11">
        <f t="shared" si="4"/>
        <v>0.42</v>
      </c>
      <c r="AG178" s="11">
        <f t="shared" si="5"/>
        <v>7.42</v>
      </c>
      <c r="AH178" t="s">
        <v>44</v>
      </c>
    </row>
    <row r="179" spans="1:34" ht="15" customHeight="1" x14ac:dyDescent="0.35">
      <c r="A179">
        <v>7547676</v>
      </c>
      <c r="B179">
        <v>690929</v>
      </c>
      <c r="C179" t="s">
        <v>34</v>
      </c>
      <c r="D179" t="s">
        <v>35</v>
      </c>
      <c r="E179" s="6" t="s">
        <v>34</v>
      </c>
      <c r="F179" t="s">
        <v>650</v>
      </c>
      <c r="G179" t="s">
        <v>37</v>
      </c>
      <c r="H179" t="s">
        <v>38</v>
      </c>
      <c r="I179" t="s">
        <v>651</v>
      </c>
      <c r="J179" t="s">
        <v>40</v>
      </c>
      <c r="K179">
        <v>2</v>
      </c>
      <c r="L179" t="s">
        <v>41</v>
      </c>
      <c r="M179" t="s">
        <v>42</v>
      </c>
      <c r="N179" t="s">
        <v>43</v>
      </c>
      <c r="O179" s="7">
        <v>2</v>
      </c>
      <c r="P179" s="8">
        <v>45279.58861111111</v>
      </c>
      <c r="Q179" s="9">
        <v>45282</v>
      </c>
      <c r="R179" t="s">
        <v>37</v>
      </c>
      <c r="S179" t="s">
        <v>44</v>
      </c>
      <c r="T179" t="s">
        <v>45</v>
      </c>
      <c r="U179" t="s">
        <v>94</v>
      </c>
      <c r="V179" t="s">
        <v>652</v>
      </c>
      <c r="W179">
        <v>13110</v>
      </c>
      <c r="X179" t="s">
        <v>44</v>
      </c>
      <c r="Y179" t="s">
        <v>96</v>
      </c>
      <c r="Z179" t="s">
        <v>49</v>
      </c>
      <c r="AA179" s="10">
        <f>IF(O179&lt;=1,7,7+0.8*ROUNDUP(O179-1,0))</f>
        <v>7.8</v>
      </c>
      <c r="AB179" s="11">
        <v>0</v>
      </c>
      <c r="AC179" s="11">
        <v>0</v>
      </c>
      <c r="AD179" s="11">
        <v>0</v>
      </c>
      <c r="AE179" s="11">
        <v>0</v>
      </c>
      <c r="AF179" s="11">
        <f t="shared" si="4"/>
        <v>0.46799999999999997</v>
      </c>
      <c r="AG179" s="11">
        <f t="shared" si="5"/>
        <v>8.2680000000000007</v>
      </c>
      <c r="AH179" t="s">
        <v>44</v>
      </c>
    </row>
    <row r="180" spans="1:34" ht="15" customHeight="1" x14ac:dyDescent="0.35">
      <c r="A180">
        <v>7547676</v>
      </c>
      <c r="B180">
        <v>690929</v>
      </c>
      <c r="C180" t="s">
        <v>34</v>
      </c>
      <c r="D180" t="s">
        <v>35</v>
      </c>
      <c r="E180" s="6" t="s">
        <v>34</v>
      </c>
      <c r="F180" t="s">
        <v>653</v>
      </c>
      <c r="G180" t="s">
        <v>37</v>
      </c>
      <c r="H180" t="s">
        <v>38</v>
      </c>
      <c r="I180" t="s">
        <v>654</v>
      </c>
      <c r="J180" t="s">
        <v>40</v>
      </c>
      <c r="K180">
        <v>2</v>
      </c>
      <c r="L180" t="s">
        <v>41</v>
      </c>
      <c r="M180" t="s">
        <v>42</v>
      </c>
      <c r="N180" t="s">
        <v>43</v>
      </c>
      <c r="O180" s="7">
        <v>12.1</v>
      </c>
      <c r="P180" s="8">
        <v>45279.529548611114</v>
      </c>
      <c r="Q180" s="9">
        <v>45282</v>
      </c>
      <c r="R180" t="s">
        <v>37</v>
      </c>
      <c r="S180" t="s">
        <v>44</v>
      </c>
      <c r="T180" t="s">
        <v>45</v>
      </c>
      <c r="U180" t="s">
        <v>46</v>
      </c>
      <c r="V180" t="s">
        <v>655</v>
      </c>
      <c r="W180">
        <v>81300</v>
      </c>
      <c r="X180" t="s">
        <v>44</v>
      </c>
      <c r="Y180" t="s">
        <v>233</v>
      </c>
      <c r="Z180" t="s">
        <v>49</v>
      </c>
      <c r="AA180" s="10">
        <f>IF(O180&lt;=1,7,7+0.8*ROUNDUP(O180-1,0))</f>
        <v>16.600000000000001</v>
      </c>
      <c r="AB180" s="11">
        <v>0</v>
      </c>
      <c r="AC180" s="11">
        <v>0</v>
      </c>
      <c r="AD180" s="11">
        <v>0</v>
      </c>
      <c r="AE180" s="11">
        <v>0</v>
      </c>
      <c r="AF180" s="11">
        <f t="shared" si="4"/>
        <v>0.996</v>
      </c>
      <c r="AG180" s="11">
        <f t="shared" si="5"/>
        <v>17.596</v>
      </c>
      <c r="AH180" t="s">
        <v>44</v>
      </c>
    </row>
    <row r="181" spans="1:34" ht="15" customHeight="1" x14ac:dyDescent="0.35">
      <c r="A181">
        <v>7547676</v>
      </c>
      <c r="B181">
        <v>690929</v>
      </c>
      <c r="C181" t="s">
        <v>34</v>
      </c>
      <c r="D181" t="s">
        <v>35</v>
      </c>
      <c r="E181" s="6" t="s">
        <v>34</v>
      </c>
      <c r="F181" t="s">
        <v>656</v>
      </c>
      <c r="G181" t="s">
        <v>37</v>
      </c>
      <c r="H181" t="s">
        <v>38</v>
      </c>
      <c r="I181" t="s">
        <v>657</v>
      </c>
      <c r="J181" t="s">
        <v>40</v>
      </c>
      <c r="K181">
        <v>2</v>
      </c>
      <c r="L181" t="s">
        <v>41</v>
      </c>
      <c r="M181" t="s">
        <v>42</v>
      </c>
      <c r="N181" t="s">
        <v>43</v>
      </c>
      <c r="O181" s="7">
        <v>6</v>
      </c>
      <c r="P181" s="8">
        <v>45278.768912037034</v>
      </c>
      <c r="Q181" s="9">
        <v>45282</v>
      </c>
      <c r="R181" t="s">
        <v>37</v>
      </c>
      <c r="S181" t="s">
        <v>44</v>
      </c>
      <c r="T181" t="s">
        <v>45</v>
      </c>
      <c r="U181" t="s">
        <v>240</v>
      </c>
      <c r="V181" t="s">
        <v>658</v>
      </c>
      <c r="W181">
        <v>93050</v>
      </c>
      <c r="X181" t="s">
        <v>242</v>
      </c>
      <c r="Y181" t="s">
        <v>52</v>
      </c>
      <c r="Z181" t="s">
        <v>49</v>
      </c>
      <c r="AA181" s="12">
        <f>IF(O181&lt;=1,13,IF(O181&lt;=2,23,IF(O181&lt;=3,35,IF(O181&lt;=4,43,IF(O181&lt;=5,53,IF(O181&lt;=6,63,IF(O181&lt;=7,71,IF(O181&lt;=8,79,IF(O181&lt;=9,87,IF(O181&lt;=10,95,IF(O181&lt;=11,105,IF(O181&lt;=12,114,IF(O181&lt;=13,119,IF(O181&lt;=14,127,IF(O181&lt;=15,135,IF(O181&lt;=16,143,IF(O181&lt;=17,153,IF(O181&lt;=18,163,IF(O181&lt;=19,171,IF(O181&lt;=20,185,IF(O181&lt;=21,193,IF(O181&lt;=22,201,IF(O181&lt;=23,210,IF(O181&lt;=24,220,IF(O181&lt;=25,230,IF(O181&lt;=26,240,IF(O181&lt;=27,250,IF(O181&lt;=28,260,IF(O181&lt;=29,270,IF(O181&lt;=30,280,280+10*ROUNDUP(O181-30,0)))))))))))))))))))))))))))))))</f>
        <v>63</v>
      </c>
      <c r="AB181" s="11">
        <v>0</v>
      </c>
      <c r="AC181" s="11">
        <v>0</v>
      </c>
      <c r="AD181" s="11">
        <v>0</v>
      </c>
      <c r="AE181" s="11">
        <v>0</v>
      </c>
      <c r="AF181" s="11">
        <f t="shared" si="4"/>
        <v>3.78</v>
      </c>
      <c r="AG181" s="11">
        <f t="shared" si="5"/>
        <v>66.78</v>
      </c>
      <c r="AH181" t="s">
        <v>242</v>
      </c>
    </row>
    <row r="182" spans="1:34" ht="15" customHeight="1" x14ac:dyDescent="0.35">
      <c r="A182">
        <v>7547676</v>
      </c>
      <c r="B182">
        <v>690929</v>
      </c>
      <c r="C182" t="s">
        <v>34</v>
      </c>
      <c r="D182" t="s">
        <v>35</v>
      </c>
      <c r="E182" s="6" t="s">
        <v>34</v>
      </c>
      <c r="F182" t="s">
        <v>659</v>
      </c>
      <c r="G182" t="s">
        <v>37</v>
      </c>
      <c r="H182" t="s">
        <v>38</v>
      </c>
      <c r="I182" t="s">
        <v>660</v>
      </c>
      <c r="J182" t="s">
        <v>40</v>
      </c>
      <c r="K182">
        <v>2</v>
      </c>
      <c r="L182" t="s">
        <v>41</v>
      </c>
      <c r="M182" t="s">
        <v>42</v>
      </c>
      <c r="N182" t="s">
        <v>43</v>
      </c>
      <c r="O182" s="7">
        <v>4</v>
      </c>
      <c r="P182" s="8">
        <v>45279.757395833331</v>
      </c>
      <c r="Q182" s="9">
        <v>45282</v>
      </c>
      <c r="R182" t="s">
        <v>37</v>
      </c>
      <c r="S182" t="s">
        <v>44</v>
      </c>
      <c r="T182" t="s">
        <v>45</v>
      </c>
      <c r="U182" t="s">
        <v>58</v>
      </c>
      <c r="V182" t="s">
        <v>661</v>
      </c>
      <c r="W182">
        <v>8300</v>
      </c>
      <c r="X182" t="s">
        <v>44</v>
      </c>
      <c r="Y182" t="s">
        <v>60</v>
      </c>
      <c r="Z182" t="s">
        <v>49</v>
      </c>
      <c r="AA182" s="10">
        <f>IF(O182&lt;=1,7,7+0.8*ROUNDUP(O182-1,0))</f>
        <v>9.4</v>
      </c>
      <c r="AB182" s="11">
        <v>0</v>
      </c>
      <c r="AC182" s="11">
        <v>0</v>
      </c>
      <c r="AD182" s="11">
        <v>0</v>
      </c>
      <c r="AE182" s="11">
        <v>0</v>
      </c>
      <c r="AF182" s="11">
        <f t="shared" si="4"/>
        <v>0.56399999999999995</v>
      </c>
      <c r="AG182" s="11">
        <f t="shared" si="5"/>
        <v>9.9640000000000004</v>
      </c>
      <c r="AH182" t="s">
        <v>44</v>
      </c>
    </row>
    <row r="183" spans="1:34" ht="15" customHeight="1" x14ac:dyDescent="0.35">
      <c r="A183">
        <v>7547676</v>
      </c>
      <c r="B183">
        <v>690929</v>
      </c>
      <c r="C183" t="s">
        <v>34</v>
      </c>
      <c r="D183" t="s">
        <v>35</v>
      </c>
      <c r="E183" s="6" t="s">
        <v>34</v>
      </c>
      <c r="F183" t="s">
        <v>662</v>
      </c>
      <c r="G183" t="s">
        <v>37</v>
      </c>
      <c r="H183" t="s">
        <v>38</v>
      </c>
      <c r="I183" t="s">
        <v>663</v>
      </c>
      <c r="J183" t="s">
        <v>40</v>
      </c>
      <c r="K183">
        <v>2</v>
      </c>
      <c r="L183" t="s">
        <v>41</v>
      </c>
      <c r="M183" t="s">
        <v>42</v>
      </c>
      <c r="N183" t="s">
        <v>43</v>
      </c>
      <c r="O183" s="7">
        <v>1</v>
      </c>
      <c r="P183" s="8">
        <v>45280.779780092591</v>
      </c>
      <c r="Q183" s="9">
        <v>45283</v>
      </c>
      <c r="R183" t="s">
        <v>37</v>
      </c>
      <c r="S183" t="s">
        <v>44</v>
      </c>
      <c r="T183" t="s">
        <v>45</v>
      </c>
      <c r="U183" t="s">
        <v>82</v>
      </c>
      <c r="V183" t="s">
        <v>664</v>
      </c>
      <c r="W183">
        <v>70450</v>
      </c>
      <c r="X183" t="s">
        <v>44</v>
      </c>
      <c r="Y183" t="s">
        <v>52</v>
      </c>
      <c r="Z183" t="s">
        <v>49</v>
      </c>
      <c r="AA183" s="10">
        <f>IF(O183&lt;=1,7,7+0.8*ROUNDUP(O183-1,0))</f>
        <v>7</v>
      </c>
      <c r="AB183" s="11">
        <v>0</v>
      </c>
      <c r="AC183" s="11">
        <v>0</v>
      </c>
      <c r="AD183" s="11">
        <v>0</v>
      </c>
      <c r="AE183" s="11">
        <v>0</v>
      </c>
      <c r="AF183" s="11">
        <f t="shared" si="4"/>
        <v>0.42</v>
      </c>
      <c r="AG183" s="11">
        <f t="shared" si="5"/>
        <v>7.42</v>
      </c>
      <c r="AH183" t="s">
        <v>44</v>
      </c>
    </row>
    <row r="184" spans="1:34" ht="15" customHeight="1" x14ac:dyDescent="0.35">
      <c r="A184">
        <v>7547676</v>
      </c>
      <c r="B184">
        <v>690929</v>
      </c>
      <c r="C184" t="s">
        <v>34</v>
      </c>
      <c r="D184" t="s">
        <v>35</v>
      </c>
      <c r="E184" s="6" t="s">
        <v>34</v>
      </c>
      <c r="F184" t="s">
        <v>665</v>
      </c>
      <c r="G184" t="s">
        <v>37</v>
      </c>
      <c r="H184" t="s">
        <v>38</v>
      </c>
      <c r="I184" t="s">
        <v>666</v>
      </c>
      <c r="J184" t="s">
        <v>40</v>
      </c>
      <c r="K184">
        <v>2</v>
      </c>
      <c r="L184" t="s">
        <v>41</v>
      </c>
      <c r="M184" t="s">
        <v>42</v>
      </c>
      <c r="N184" t="s">
        <v>43</v>
      </c>
      <c r="O184" s="7">
        <v>1</v>
      </c>
      <c r="P184" s="8">
        <v>45281.665312500001</v>
      </c>
      <c r="Q184" s="9">
        <v>45283</v>
      </c>
      <c r="R184" t="s">
        <v>37</v>
      </c>
      <c r="S184" t="s">
        <v>44</v>
      </c>
      <c r="T184" t="s">
        <v>45</v>
      </c>
      <c r="U184" t="s">
        <v>68</v>
      </c>
      <c r="V184" t="s">
        <v>667</v>
      </c>
      <c r="W184">
        <v>43000</v>
      </c>
      <c r="X184" t="s">
        <v>44</v>
      </c>
      <c r="Y184" t="s">
        <v>52</v>
      </c>
      <c r="Z184" t="s">
        <v>49</v>
      </c>
      <c r="AA184" s="10">
        <f>IF(O184&lt;=1,7,7+0.8*ROUNDUP(O184-1,0))</f>
        <v>7</v>
      </c>
      <c r="AB184" s="11">
        <v>0</v>
      </c>
      <c r="AC184" s="11">
        <v>0</v>
      </c>
      <c r="AD184" s="11">
        <v>0</v>
      </c>
      <c r="AE184" s="11">
        <v>0</v>
      </c>
      <c r="AF184" s="11">
        <f t="shared" si="4"/>
        <v>0.42</v>
      </c>
      <c r="AG184" s="11">
        <f t="shared" si="5"/>
        <v>7.42</v>
      </c>
      <c r="AH184" t="s">
        <v>44</v>
      </c>
    </row>
    <row r="185" spans="1:34" ht="15" customHeight="1" x14ac:dyDescent="0.35">
      <c r="A185">
        <v>7547676</v>
      </c>
      <c r="B185">
        <v>690929</v>
      </c>
      <c r="C185" t="s">
        <v>34</v>
      </c>
      <c r="D185" t="s">
        <v>35</v>
      </c>
      <c r="E185" s="6" t="s">
        <v>34</v>
      </c>
      <c r="F185" t="s">
        <v>668</v>
      </c>
      <c r="G185" t="s">
        <v>37</v>
      </c>
      <c r="H185" t="s">
        <v>38</v>
      </c>
      <c r="I185" t="s">
        <v>669</v>
      </c>
      <c r="J185" t="s">
        <v>40</v>
      </c>
      <c r="K185">
        <v>2</v>
      </c>
      <c r="L185" t="s">
        <v>41</v>
      </c>
      <c r="M185" t="s">
        <v>42</v>
      </c>
      <c r="N185" t="s">
        <v>43</v>
      </c>
      <c r="O185" s="7">
        <v>4</v>
      </c>
      <c r="P185" s="8">
        <v>45281.802210648151</v>
      </c>
      <c r="Q185" s="9">
        <v>45283</v>
      </c>
      <c r="R185" t="s">
        <v>37</v>
      </c>
      <c r="S185" t="s">
        <v>44</v>
      </c>
      <c r="T185" t="s">
        <v>76</v>
      </c>
      <c r="U185" t="s">
        <v>77</v>
      </c>
      <c r="V185" t="s">
        <v>670</v>
      </c>
      <c r="W185">
        <v>26100</v>
      </c>
      <c r="X185" t="s">
        <v>44</v>
      </c>
      <c r="Y185" t="s">
        <v>671</v>
      </c>
      <c r="Z185" t="s">
        <v>49</v>
      </c>
      <c r="AA185" s="10">
        <f>IF(O185&lt;=1,7,7+0.8*ROUNDUP(O185-1,0))</f>
        <v>9.4</v>
      </c>
      <c r="AB185" s="11">
        <v>0</v>
      </c>
      <c r="AC185" s="11">
        <v>0</v>
      </c>
      <c r="AD185" s="11">
        <v>0</v>
      </c>
      <c r="AE185" s="11">
        <v>0</v>
      </c>
      <c r="AF185" s="11">
        <f t="shared" si="4"/>
        <v>0.56399999999999995</v>
      </c>
      <c r="AG185" s="11">
        <f t="shared" si="5"/>
        <v>9.9640000000000004</v>
      </c>
      <c r="AH185" t="s">
        <v>44</v>
      </c>
    </row>
    <row r="186" spans="1:34" ht="15" customHeight="1" x14ac:dyDescent="0.35">
      <c r="A186">
        <v>7547676</v>
      </c>
      <c r="B186">
        <v>690929</v>
      </c>
      <c r="C186" t="s">
        <v>34</v>
      </c>
      <c r="D186" t="s">
        <v>35</v>
      </c>
      <c r="E186" s="6" t="s">
        <v>34</v>
      </c>
      <c r="F186" t="s">
        <v>672</v>
      </c>
      <c r="G186" t="s">
        <v>37</v>
      </c>
      <c r="H186" t="s">
        <v>38</v>
      </c>
      <c r="I186" t="s">
        <v>171</v>
      </c>
      <c r="J186" t="s">
        <v>40</v>
      </c>
      <c r="K186">
        <v>2</v>
      </c>
      <c r="L186" t="s">
        <v>41</v>
      </c>
      <c r="M186" t="s">
        <v>42</v>
      </c>
      <c r="N186" t="s">
        <v>43</v>
      </c>
      <c r="O186" s="7">
        <v>1</v>
      </c>
      <c r="P186" s="8">
        <v>45281.707997685182</v>
      </c>
      <c r="Q186" s="9">
        <v>45283</v>
      </c>
      <c r="R186" t="s">
        <v>37</v>
      </c>
      <c r="S186" t="s">
        <v>44</v>
      </c>
      <c r="T186" t="s">
        <v>76</v>
      </c>
      <c r="U186" t="s">
        <v>68</v>
      </c>
      <c r="V186" t="s">
        <v>172</v>
      </c>
      <c r="W186">
        <v>40000</v>
      </c>
      <c r="X186" t="s">
        <v>44</v>
      </c>
      <c r="Y186" t="s">
        <v>52</v>
      </c>
      <c r="Z186" t="s">
        <v>49</v>
      </c>
      <c r="AA186" s="10">
        <f>IF(O186&lt;=1,7,7+0.8*ROUNDUP(O186-1,0))</f>
        <v>7</v>
      </c>
      <c r="AB186" s="11">
        <v>0</v>
      </c>
      <c r="AC186" s="11">
        <v>0</v>
      </c>
      <c r="AD186" s="11">
        <v>0</v>
      </c>
      <c r="AE186" s="11">
        <v>0</v>
      </c>
      <c r="AF186" s="11">
        <f t="shared" si="4"/>
        <v>0.42</v>
      </c>
      <c r="AG186" s="11">
        <f t="shared" si="5"/>
        <v>7.42</v>
      </c>
      <c r="AH186" t="s">
        <v>44</v>
      </c>
    </row>
    <row r="187" spans="1:34" ht="15" customHeight="1" x14ac:dyDescent="0.35">
      <c r="A187">
        <v>7547676</v>
      </c>
      <c r="B187">
        <v>690929</v>
      </c>
      <c r="C187" t="s">
        <v>34</v>
      </c>
      <c r="D187" t="s">
        <v>35</v>
      </c>
      <c r="E187" s="6" t="s">
        <v>34</v>
      </c>
      <c r="F187" t="s">
        <v>673</v>
      </c>
      <c r="G187" t="s">
        <v>37</v>
      </c>
      <c r="H187" t="s">
        <v>38</v>
      </c>
      <c r="I187" t="s">
        <v>674</v>
      </c>
      <c r="J187" t="s">
        <v>40</v>
      </c>
      <c r="K187">
        <v>2</v>
      </c>
      <c r="L187" t="s">
        <v>41</v>
      </c>
      <c r="M187" t="s">
        <v>42</v>
      </c>
      <c r="N187" t="s">
        <v>43</v>
      </c>
      <c r="O187" s="7">
        <v>2</v>
      </c>
      <c r="P187" s="8">
        <v>45280.779780092591</v>
      </c>
      <c r="Q187" s="9">
        <v>45283</v>
      </c>
      <c r="R187" t="s">
        <v>37</v>
      </c>
      <c r="S187" t="s">
        <v>44</v>
      </c>
      <c r="T187" t="s">
        <v>45</v>
      </c>
      <c r="U187" t="s">
        <v>501</v>
      </c>
      <c r="V187" t="s">
        <v>675</v>
      </c>
      <c r="W187">
        <v>1000</v>
      </c>
      <c r="X187" t="s">
        <v>44</v>
      </c>
      <c r="Y187" t="s">
        <v>52</v>
      </c>
      <c r="Z187" t="s">
        <v>49</v>
      </c>
      <c r="AA187" s="10">
        <f>IF(O187&lt;=1,7,7+0.8*ROUNDUP(O187-1,0))</f>
        <v>7.8</v>
      </c>
      <c r="AB187" s="11">
        <v>0</v>
      </c>
      <c r="AC187" s="11">
        <v>0</v>
      </c>
      <c r="AD187" s="11">
        <v>0</v>
      </c>
      <c r="AE187" s="11">
        <v>0</v>
      </c>
      <c r="AF187" s="11">
        <f t="shared" si="4"/>
        <v>0.46799999999999997</v>
      </c>
      <c r="AG187" s="11">
        <f t="shared" si="5"/>
        <v>8.2680000000000007</v>
      </c>
      <c r="AH187" t="s">
        <v>44</v>
      </c>
    </row>
    <row r="188" spans="1:34" ht="15" customHeight="1" x14ac:dyDescent="0.35">
      <c r="A188">
        <v>7547676</v>
      </c>
      <c r="B188">
        <v>690929</v>
      </c>
      <c r="C188" t="s">
        <v>34</v>
      </c>
      <c r="D188" t="s">
        <v>35</v>
      </c>
      <c r="E188" s="6" t="s">
        <v>34</v>
      </c>
      <c r="F188" t="s">
        <v>676</v>
      </c>
      <c r="G188" t="s">
        <v>37</v>
      </c>
      <c r="H188" t="s">
        <v>38</v>
      </c>
      <c r="I188" t="s">
        <v>677</v>
      </c>
      <c r="J188" t="s">
        <v>40</v>
      </c>
      <c r="K188">
        <v>2</v>
      </c>
      <c r="L188" t="s">
        <v>41</v>
      </c>
      <c r="M188" t="s">
        <v>42</v>
      </c>
      <c r="N188" t="s">
        <v>43</v>
      </c>
      <c r="O188" s="7">
        <v>2</v>
      </c>
      <c r="P188" s="8">
        <v>45280.607141203705</v>
      </c>
      <c r="Q188" s="9">
        <v>45283</v>
      </c>
      <c r="R188" t="s">
        <v>37</v>
      </c>
      <c r="S188" t="s">
        <v>44</v>
      </c>
      <c r="T188" t="s">
        <v>45</v>
      </c>
      <c r="U188" t="s">
        <v>68</v>
      </c>
      <c r="V188" t="s">
        <v>678</v>
      </c>
      <c r="W188">
        <v>43200</v>
      </c>
      <c r="X188" t="s">
        <v>44</v>
      </c>
      <c r="Y188" t="s">
        <v>131</v>
      </c>
      <c r="Z188" t="s">
        <v>49</v>
      </c>
      <c r="AA188" s="10">
        <f>IF(O188&lt;=1,7,7+0.8*ROUNDUP(O188-1,0))</f>
        <v>7.8</v>
      </c>
      <c r="AB188" s="11">
        <v>0</v>
      </c>
      <c r="AC188" s="11">
        <v>0</v>
      </c>
      <c r="AD188" s="11">
        <v>0</v>
      </c>
      <c r="AE188" s="11">
        <v>0</v>
      </c>
      <c r="AF188" s="11">
        <f t="shared" si="4"/>
        <v>0.46799999999999997</v>
      </c>
      <c r="AG188" s="11">
        <f t="shared" si="5"/>
        <v>8.2680000000000007</v>
      </c>
      <c r="AH188" t="s">
        <v>44</v>
      </c>
    </row>
    <row r="189" spans="1:34" ht="15" customHeight="1" x14ac:dyDescent="0.35">
      <c r="A189">
        <v>7547676</v>
      </c>
      <c r="B189">
        <v>690929</v>
      </c>
      <c r="C189" t="s">
        <v>34</v>
      </c>
      <c r="D189" t="s">
        <v>35</v>
      </c>
      <c r="E189" s="6" t="s">
        <v>34</v>
      </c>
      <c r="F189" t="s">
        <v>679</v>
      </c>
      <c r="G189" t="s">
        <v>37</v>
      </c>
      <c r="H189" t="s">
        <v>38</v>
      </c>
      <c r="I189" t="s">
        <v>680</v>
      </c>
      <c r="J189" t="s">
        <v>40</v>
      </c>
      <c r="K189">
        <v>2</v>
      </c>
      <c r="L189" t="s">
        <v>41</v>
      </c>
      <c r="M189" t="s">
        <v>42</v>
      </c>
      <c r="N189" t="s">
        <v>43</v>
      </c>
      <c r="O189" s="7">
        <v>1</v>
      </c>
      <c r="P189" s="8">
        <v>45281.560428240744</v>
      </c>
      <c r="Q189" s="9">
        <v>45283</v>
      </c>
      <c r="R189" t="s">
        <v>37</v>
      </c>
      <c r="S189" t="s">
        <v>44</v>
      </c>
      <c r="T189" t="s">
        <v>52</v>
      </c>
      <c r="U189" t="s">
        <v>94</v>
      </c>
      <c r="V189" t="s">
        <v>681</v>
      </c>
      <c r="W189">
        <v>14200</v>
      </c>
      <c r="X189" t="s">
        <v>44</v>
      </c>
      <c r="Y189" t="s">
        <v>682</v>
      </c>
      <c r="Z189" t="s">
        <v>49</v>
      </c>
      <c r="AA189" s="10">
        <f>IF(O189&lt;=1,7,7+0.8*ROUNDUP(O189-1,0))</f>
        <v>7</v>
      </c>
      <c r="AB189" s="11">
        <v>0</v>
      </c>
      <c r="AC189" s="11">
        <v>0</v>
      </c>
      <c r="AD189" s="11">
        <v>0</v>
      </c>
      <c r="AE189" s="11">
        <v>0</v>
      </c>
      <c r="AF189" s="11">
        <f t="shared" si="4"/>
        <v>0.42</v>
      </c>
      <c r="AG189" s="11">
        <f t="shared" si="5"/>
        <v>7.42</v>
      </c>
      <c r="AH189" t="s">
        <v>44</v>
      </c>
    </row>
    <row r="190" spans="1:34" ht="15" customHeight="1" x14ac:dyDescent="0.35">
      <c r="A190">
        <v>7547676</v>
      </c>
      <c r="B190">
        <v>690929</v>
      </c>
      <c r="C190" t="s">
        <v>34</v>
      </c>
      <c r="D190" t="s">
        <v>35</v>
      </c>
      <c r="E190" s="6" t="s">
        <v>34</v>
      </c>
      <c r="F190" t="s">
        <v>683</v>
      </c>
      <c r="G190" t="s">
        <v>37</v>
      </c>
      <c r="H190" t="s">
        <v>38</v>
      </c>
      <c r="I190" t="s">
        <v>684</v>
      </c>
      <c r="J190" t="s">
        <v>40</v>
      </c>
      <c r="K190">
        <v>2</v>
      </c>
      <c r="L190" t="s">
        <v>41</v>
      </c>
      <c r="M190" t="s">
        <v>42</v>
      </c>
      <c r="N190" t="s">
        <v>43</v>
      </c>
      <c r="O190" s="7">
        <v>1</v>
      </c>
      <c r="P190" s="8">
        <v>45282.445324074077</v>
      </c>
      <c r="Q190" s="9">
        <v>45283</v>
      </c>
      <c r="R190" t="s">
        <v>37</v>
      </c>
      <c r="S190" t="s">
        <v>44</v>
      </c>
      <c r="T190" t="s">
        <v>76</v>
      </c>
      <c r="U190" t="s">
        <v>68</v>
      </c>
      <c r="V190" t="s">
        <v>685</v>
      </c>
      <c r="W190">
        <v>41050</v>
      </c>
      <c r="X190" t="s">
        <v>44</v>
      </c>
      <c r="Y190" t="s">
        <v>100</v>
      </c>
      <c r="Z190" t="s">
        <v>49</v>
      </c>
      <c r="AA190" s="10">
        <f>IF(O190&lt;=1,7,7+0.8*ROUNDUP(O190-1,0))</f>
        <v>7</v>
      </c>
      <c r="AB190" s="11">
        <v>0</v>
      </c>
      <c r="AC190" s="11">
        <v>0</v>
      </c>
      <c r="AD190" s="11">
        <v>0</v>
      </c>
      <c r="AE190" s="11">
        <v>0</v>
      </c>
      <c r="AF190" s="11">
        <f t="shared" si="4"/>
        <v>0.42</v>
      </c>
      <c r="AG190" s="11">
        <f t="shared" si="5"/>
        <v>7.42</v>
      </c>
      <c r="AH190" t="s">
        <v>44</v>
      </c>
    </row>
    <row r="191" spans="1:34" ht="15" customHeight="1" x14ac:dyDescent="0.35">
      <c r="A191">
        <v>7547676</v>
      </c>
      <c r="B191">
        <v>690929</v>
      </c>
      <c r="C191" t="s">
        <v>34</v>
      </c>
      <c r="D191" t="s">
        <v>35</v>
      </c>
      <c r="E191" s="6" t="s">
        <v>34</v>
      </c>
      <c r="F191" t="s">
        <v>686</v>
      </c>
      <c r="G191" t="s">
        <v>37</v>
      </c>
      <c r="H191" t="s">
        <v>38</v>
      </c>
      <c r="I191" t="s">
        <v>687</v>
      </c>
      <c r="J191" t="s">
        <v>40</v>
      </c>
      <c r="K191">
        <v>2</v>
      </c>
      <c r="L191" t="s">
        <v>41</v>
      </c>
      <c r="M191" t="s">
        <v>42</v>
      </c>
      <c r="N191" t="s">
        <v>43</v>
      </c>
      <c r="O191" s="7">
        <v>1</v>
      </c>
      <c r="P191" s="8">
        <v>45281.665312500001</v>
      </c>
      <c r="Q191" s="9">
        <v>45283</v>
      </c>
      <c r="R191" t="s">
        <v>37</v>
      </c>
      <c r="S191" t="s">
        <v>44</v>
      </c>
      <c r="T191" t="s">
        <v>45</v>
      </c>
      <c r="U191" t="s">
        <v>46</v>
      </c>
      <c r="V191" t="s">
        <v>688</v>
      </c>
      <c r="W191">
        <v>85000</v>
      </c>
      <c r="X191" t="s">
        <v>44</v>
      </c>
      <c r="Y191" t="s">
        <v>689</v>
      </c>
      <c r="Z191" t="s">
        <v>49</v>
      </c>
      <c r="AA191" s="10">
        <f>IF(O191&lt;=1,7,7+0.8*ROUNDUP(O191-1,0))</f>
        <v>7</v>
      </c>
      <c r="AB191" s="11">
        <v>0</v>
      </c>
      <c r="AC191" s="11">
        <v>0</v>
      </c>
      <c r="AD191" s="11">
        <v>0</v>
      </c>
      <c r="AE191" s="11">
        <v>0</v>
      </c>
      <c r="AF191" s="11">
        <f t="shared" si="4"/>
        <v>0.42</v>
      </c>
      <c r="AG191" s="11">
        <f t="shared" si="5"/>
        <v>7.42</v>
      </c>
      <c r="AH191" t="s">
        <v>44</v>
      </c>
    </row>
    <row r="192" spans="1:34" ht="15" customHeight="1" x14ac:dyDescent="0.35">
      <c r="A192">
        <v>7547676</v>
      </c>
      <c r="B192">
        <v>690929</v>
      </c>
      <c r="C192" t="s">
        <v>34</v>
      </c>
      <c r="D192" t="s">
        <v>35</v>
      </c>
      <c r="E192" s="6" t="s">
        <v>34</v>
      </c>
      <c r="F192" t="s">
        <v>690</v>
      </c>
      <c r="G192" t="s">
        <v>37</v>
      </c>
      <c r="H192" t="s">
        <v>38</v>
      </c>
      <c r="I192" t="s">
        <v>691</v>
      </c>
      <c r="J192" t="s">
        <v>40</v>
      </c>
      <c r="K192">
        <v>2</v>
      </c>
      <c r="L192" t="s">
        <v>41</v>
      </c>
      <c r="M192" t="s">
        <v>42</v>
      </c>
      <c r="N192" t="s">
        <v>43</v>
      </c>
      <c r="O192" s="7">
        <v>3</v>
      </c>
      <c r="P192" s="8">
        <v>45281.686898148146</v>
      </c>
      <c r="Q192" s="9">
        <v>45283</v>
      </c>
      <c r="R192" t="s">
        <v>37</v>
      </c>
      <c r="S192" t="s">
        <v>44</v>
      </c>
      <c r="T192" t="s">
        <v>45</v>
      </c>
      <c r="U192" t="s">
        <v>159</v>
      </c>
      <c r="V192" t="s">
        <v>692</v>
      </c>
      <c r="W192">
        <v>31300</v>
      </c>
      <c r="X192" t="s">
        <v>44</v>
      </c>
      <c r="Y192" t="s">
        <v>363</v>
      </c>
      <c r="Z192" t="s">
        <v>49</v>
      </c>
      <c r="AA192" s="10">
        <f>IF(O192&lt;=1,7,7+0.8*ROUNDUP(O192-1,0))</f>
        <v>8.6</v>
      </c>
      <c r="AB192" s="11">
        <v>0</v>
      </c>
      <c r="AC192" s="11">
        <v>0</v>
      </c>
      <c r="AD192" s="11">
        <v>0</v>
      </c>
      <c r="AE192" s="11">
        <v>0</v>
      </c>
      <c r="AF192" s="11">
        <f t="shared" si="4"/>
        <v>0.51600000000000001</v>
      </c>
      <c r="AG192" s="11">
        <f t="shared" si="5"/>
        <v>9.1159999999999997</v>
      </c>
      <c r="AH192" t="s">
        <v>44</v>
      </c>
    </row>
    <row r="193" spans="1:34" ht="15" customHeight="1" x14ac:dyDescent="0.35">
      <c r="A193">
        <v>7547676</v>
      </c>
      <c r="B193">
        <v>690929</v>
      </c>
      <c r="C193" t="s">
        <v>34</v>
      </c>
      <c r="D193" t="s">
        <v>35</v>
      </c>
      <c r="E193" s="6" t="s">
        <v>34</v>
      </c>
      <c r="F193" t="s">
        <v>693</v>
      </c>
      <c r="G193" t="s">
        <v>37</v>
      </c>
      <c r="H193" t="s">
        <v>38</v>
      </c>
      <c r="I193" t="s">
        <v>694</v>
      </c>
      <c r="J193" t="s">
        <v>40</v>
      </c>
      <c r="K193">
        <v>2</v>
      </c>
      <c r="L193" t="s">
        <v>41</v>
      </c>
      <c r="M193" t="s">
        <v>42</v>
      </c>
      <c r="N193" t="s">
        <v>43</v>
      </c>
      <c r="O193" s="7">
        <v>1</v>
      </c>
      <c r="P193" s="8">
        <v>45281.802210648151</v>
      </c>
      <c r="Q193" s="9">
        <v>45283</v>
      </c>
      <c r="R193" t="s">
        <v>37</v>
      </c>
      <c r="S193" t="s">
        <v>44</v>
      </c>
      <c r="T193" t="s">
        <v>76</v>
      </c>
      <c r="U193" t="s">
        <v>63</v>
      </c>
      <c r="V193" t="s">
        <v>695</v>
      </c>
      <c r="W193">
        <v>75300</v>
      </c>
      <c r="X193" t="s">
        <v>44</v>
      </c>
      <c r="Y193" t="s">
        <v>696</v>
      </c>
      <c r="Z193" t="s">
        <v>49</v>
      </c>
      <c r="AA193" s="10">
        <f>IF(O193&lt;=1,7,7+0.8*ROUNDUP(O193-1,0))</f>
        <v>7</v>
      </c>
      <c r="AB193" s="11">
        <v>0</v>
      </c>
      <c r="AC193" s="11">
        <v>0</v>
      </c>
      <c r="AD193" s="11">
        <v>0</v>
      </c>
      <c r="AE193" s="11">
        <v>0</v>
      </c>
      <c r="AF193" s="11">
        <f t="shared" si="4"/>
        <v>0.42</v>
      </c>
      <c r="AG193" s="11">
        <f t="shared" si="5"/>
        <v>7.42</v>
      </c>
      <c r="AH193" t="s">
        <v>44</v>
      </c>
    </row>
    <row r="194" spans="1:34" ht="15" customHeight="1" x14ac:dyDescent="0.35">
      <c r="A194">
        <v>7547676</v>
      </c>
      <c r="B194">
        <v>690929</v>
      </c>
      <c r="C194" t="s">
        <v>34</v>
      </c>
      <c r="D194" t="s">
        <v>35</v>
      </c>
      <c r="E194" s="6" t="s">
        <v>34</v>
      </c>
      <c r="F194" t="s">
        <v>697</v>
      </c>
      <c r="G194" t="s">
        <v>37</v>
      </c>
      <c r="H194" t="s">
        <v>38</v>
      </c>
      <c r="I194" t="s">
        <v>698</v>
      </c>
      <c r="J194" t="s">
        <v>40</v>
      </c>
      <c r="K194">
        <v>2</v>
      </c>
      <c r="L194" t="s">
        <v>41</v>
      </c>
      <c r="M194" t="s">
        <v>42</v>
      </c>
      <c r="N194" t="s">
        <v>43</v>
      </c>
      <c r="O194" s="7">
        <v>1</v>
      </c>
      <c r="P194" s="8">
        <v>45281.592534722222</v>
      </c>
      <c r="Q194" s="9">
        <v>45283</v>
      </c>
      <c r="R194" t="s">
        <v>37</v>
      </c>
      <c r="S194" t="s">
        <v>44</v>
      </c>
      <c r="T194" t="s">
        <v>45</v>
      </c>
      <c r="U194" t="s">
        <v>159</v>
      </c>
      <c r="V194" t="s">
        <v>699</v>
      </c>
      <c r="W194">
        <v>34700</v>
      </c>
      <c r="X194" t="s">
        <v>44</v>
      </c>
      <c r="Y194" t="s">
        <v>52</v>
      </c>
      <c r="Z194" t="s">
        <v>49</v>
      </c>
      <c r="AA194" s="10">
        <f>IF(O194&lt;=1,7,7+0.8*ROUNDUP(O194-1,0))</f>
        <v>7</v>
      </c>
      <c r="AB194" s="11">
        <v>0</v>
      </c>
      <c r="AC194" s="11">
        <v>0</v>
      </c>
      <c r="AD194" s="11">
        <v>0</v>
      </c>
      <c r="AE194" s="11">
        <v>0</v>
      </c>
      <c r="AF194" s="11">
        <f t="shared" ref="AF194:AF257" si="6">(AA194+AC194+AE194)*6%</f>
        <v>0.42</v>
      </c>
      <c r="AG194" s="11">
        <f t="shared" ref="AG194:AG257" si="7">AA194+AC194+AE194+AF194</f>
        <v>7.42</v>
      </c>
      <c r="AH194" t="s">
        <v>44</v>
      </c>
    </row>
    <row r="195" spans="1:34" ht="15" customHeight="1" x14ac:dyDescent="0.35">
      <c r="A195">
        <v>7547676</v>
      </c>
      <c r="B195">
        <v>690929</v>
      </c>
      <c r="C195" t="s">
        <v>34</v>
      </c>
      <c r="D195" t="s">
        <v>35</v>
      </c>
      <c r="E195" s="6" t="s">
        <v>34</v>
      </c>
      <c r="F195" t="s">
        <v>700</v>
      </c>
      <c r="G195" t="s">
        <v>37</v>
      </c>
      <c r="H195" t="s">
        <v>38</v>
      </c>
      <c r="I195" t="s">
        <v>701</v>
      </c>
      <c r="J195" t="s">
        <v>40</v>
      </c>
      <c r="K195">
        <v>2</v>
      </c>
      <c r="L195" t="s">
        <v>41</v>
      </c>
      <c r="M195" t="s">
        <v>42</v>
      </c>
      <c r="N195" t="s">
        <v>43</v>
      </c>
      <c r="O195" s="7">
        <v>4</v>
      </c>
      <c r="P195" s="8">
        <v>45281.775092592594</v>
      </c>
      <c r="Q195" s="9">
        <v>45283</v>
      </c>
      <c r="R195" t="s">
        <v>37</v>
      </c>
      <c r="S195" t="s">
        <v>44</v>
      </c>
      <c r="T195" t="s">
        <v>76</v>
      </c>
      <c r="U195" t="s">
        <v>68</v>
      </c>
      <c r="V195" t="s">
        <v>702</v>
      </c>
      <c r="W195">
        <v>52100</v>
      </c>
      <c r="X195" t="s">
        <v>44</v>
      </c>
      <c r="Y195" t="s">
        <v>127</v>
      </c>
      <c r="Z195" t="s">
        <v>49</v>
      </c>
      <c r="AA195" s="10">
        <f>IF(O195&lt;=1,7,7+0.8*ROUNDUP(O195-1,0))</f>
        <v>9.4</v>
      </c>
      <c r="AB195" s="11">
        <v>0</v>
      </c>
      <c r="AC195" s="11">
        <v>0</v>
      </c>
      <c r="AD195" s="11">
        <v>0</v>
      </c>
      <c r="AE195" s="11">
        <v>0</v>
      </c>
      <c r="AF195" s="11">
        <f t="shared" si="6"/>
        <v>0.56399999999999995</v>
      </c>
      <c r="AG195" s="11">
        <f t="shared" si="7"/>
        <v>9.9640000000000004</v>
      </c>
      <c r="AH195" t="s">
        <v>44</v>
      </c>
    </row>
    <row r="196" spans="1:34" ht="15" customHeight="1" x14ac:dyDescent="0.35">
      <c r="A196">
        <v>7547676</v>
      </c>
      <c r="B196">
        <v>690929</v>
      </c>
      <c r="C196" t="s">
        <v>34</v>
      </c>
      <c r="D196" t="s">
        <v>35</v>
      </c>
      <c r="E196" s="6" t="s">
        <v>34</v>
      </c>
      <c r="F196" t="s">
        <v>703</v>
      </c>
      <c r="G196" t="s">
        <v>37</v>
      </c>
      <c r="H196" t="s">
        <v>38</v>
      </c>
      <c r="I196" t="s">
        <v>704</v>
      </c>
      <c r="J196" t="s">
        <v>40</v>
      </c>
      <c r="K196">
        <v>2</v>
      </c>
      <c r="L196" t="s">
        <v>41</v>
      </c>
      <c r="M196" t="s">
        <v>42</v>
      </c>
      <c r="N196" t="s">
        <v>43</v>
      </c>
      <c r="O196" s="7">
        <v>7</v>
      </c>
      <c r="P196" s="8">
        <v>45281.672013888892</v>
      </c>
      <c r="Q196" s="9">
        <v>45283</v>
      </c>
      <c r="R196" t="s">
        <v>37</v>
      </c>
      <c r="S196" t="s">
        <v>44</v>
      </c>
      <c r="T196" t="s">
        <v>45</v>
      </c>
      <c r="U196" t="s">
        <v>258</v>
      </c>
      <c r="V196" t="s">
        <v>705</v>
      </c>
      <c r="W196">
        <v>24000</v>
      </c>
      <c r="X196" t="s">
        <v>44</v>
      </c>
      <c r="Y196" t="s">
        <v>402</v>
      </c>
      <c r="Z196" t="s">
        <v>49</v>
      </c>
      <c r="AA196" s="10">
        <f>IF(O196&lt;=1,7,7+0.8*ROUNDUP(O196-1,0))</f>
        <v>11.8</v>
      </c>
      <c r="AB196" s="11">
        <v>0</v>
      </c>
      <c r="AC196" s="11">
        <v>0</v>
      </c>
      <c r="AD196" s="11">
        <v>0</v>
      </c>
      <c r="AE196" s="11">
        <v>0</v>
      </c>
      <c r="AF196" s="11">
        <f t="shared" si="6"/>
        <v>0.70799999999999996</v>
      </c>
      <c r="AG196" s="11">
        <f t="shared" si="7"/>
        <v>12.508000000000001</v>
      </c>
      <c r="AH196" t="s">
        <v>44</v>
      </c>
    </row>
    <row r="197" spans="1:34" ht="15" customHeight="1" x14ac:dyDescent="0.35">
      <c r="A197">
        <v>7547676</v>
      </c>
      <c r="B197">
        <v>690929</v>
      </c>
      <c r="C197" t="s">
        <v>34</v>
      </c>
      <c r="D197" t="s">
        <v>35</v>
      </c>
      <c r="E197" s="6" t="s">
        <v>34</v>
      </c>
      <c r="F197" t="s">
        <v>706</v>
      </c>
      <c r="G197" t="s">
        <v>37</v>
      </c>
      <c r="H197" t="s">
        <v>38</v>
      </c>
      <c r="I197" t="s">
        <v>345</v>
      </c>
      <c r="J197" t="s">
        <v>40</v>
      </c>
      <c r="K197">
        <v>2</v>
      </c>
      <c r="L197" t="s">
        <v>41</v>
      </c>
      <c r="M197" t="s">
        <v>42</v>
      </c>
      <c r="N197" t="s">
        <v>43</v>
      </c>
      <c r="O197" s="7">
        <v>6</v>
      </c>
      <c r="P197" s="8">
        <v>45279.844768518517</v>
      </c>
      <c r="Q197" s="9">
        <v>45283</v>
      </c>
      <c r="R197" t="s">
        <v>37</v>
      </c>
      <c r="S197" t="s">
        <v>44</v>
      </c>
      <c r="T197" t="s">
        <v>45</v>
      </c>
      <c r="U197" t="s">
        <v>240</v>
      </c>
      <c r="V197" t="s">
        <v>707</v>
      </c>
      <c r="W197">
        <v>93050</v>
      </c>
      <c r="X197" t="s">
        <v>242</v>
      </c>
      <c r="Y197" t="s">
        <v>52</v>
      </c>
      <c r="Z197" t="s">
        <v>49</v>
      </c>
      <c r="AA197" s="12">
        <f>IF(O197&lt;=1,13,IF(O197&lt;=2,23,IF(O197&lt;=3,35,IF(O197&lt;=4,43,IF(O197&lt;=5,53,IF(O197&lt;=6,63,IF(O197&lt;=7,71,IF(O197&lt;=8,79,IF(O197&lt;=9,87,IF(O197&lt;=10,95,IF(O197&lt;=11,105,IF(O197&lt;=12,114,IF(O197&lt;=13,119,IF(O197&lt;=14,127,IF(O197&lt;=15,135,IF(O197&lt;=16,143,IF(O197&lt;=17,153,IF(O197&lt;=18,163,IF(O197&lt;=19,171,IF(O197&lt;=20,185,IF(O197&lt;=21,193,IF(O197&lt;=22,201,IF(O197&lt;=23,210,IF(O197&lt;=24,220,IF(O197&lt;=25,230,IF(O197&lt;=26,240,IF(O197&lt;=27,250,IF(O197&lt;=28,260,IF(O197&lt;=29,270,IF(O197&lt;=30,280,280+10*ROUNDUP(O197-30,0)))))))))))))))))))))))))))))))</f>
        <v>63</v>
      </c>
      <c r="AB197" s="11">
        <v>0</v>
      </c>
      <c r="AC197" s="11">
        <v>0</v>
      </c>
      <c r="AD197" s="11">
        <v>0</v>
      </c>
      <c r="AE197" s="11">
        <v>0</v>
      </c>
      <c r="AF197" s="11">
        <f t="shared" si="6"/>
        <v>3.78</v>
      </c>
      <c r="AG197" s="11">
        <f t="shared" si="7"/>
        <v>66.78</v>
      </c>
      <c r="AH197" t="s">
        <v>242</v>
      </c>
    </row>
    <row r="198" spans="1:34" ht="15" customHeight="1" x14ac:dyDescent="0.35">
      <c r="A198">
        <v>7547676</v>
      </c>
      <c r="B198">
        <v>690929</v>
      </c>
      <c r="C198" t="s">
        <v>34</v>
      </c>
      <c r="D198" t="s">
        <v>35</v>
      </c>
      <c r="E198" s="6" t="s">
        <v>34</v>
      </c>
      <c r="F198" t="s">
        <v>708</v>
      </c>
      <c r="G198" t="s">
        <v>37</v>
      </c>
      <c r="H198" t="s">
        <v>38</v>
      </c>
      <c r="I198" t="s">
        <v>709</v>
      </c>
      <c r="J198" t="s">
        <v>40</v>
      </c>
      <c r="K198">
        <v>2</v>
      </c>
      <c r="L198" t="s">
        <v>41</v>
      </c>
      <c r="M198" t="s">
        <v>42</v>
      </c>
      <c r="N198" t="s">
        <v>43</v>
      </c>
      <c r="O198" s="7">
        <v>3</v>
      </c>
      <c r="P198" s="8">
        <v>45281.543796296297</v>
      </c>
      <c r="Q198" s="9">
        <v>45283</v>
      </c>
      <c r="R198" t="s">
        <v>37</v>
      </c>
      <c r="S198" t="s">
        <v>44</v>
      </c>
      <c r="T198" t="s">
        <v>45</v>
      </c>
      <c r="U198" t="s">
        <v>82</v>
      </c>
      <c r="V198" t="s">
        <v>710</v>
      </c>
      <c r="W198">
        <v>72120</v>
      </c>
      <c r="X198" t="s">
        <v>44</v>
      </c>
      <c r="Y198" t="s">
        <v>711</v>
      </c>
      <c r="Z198" t="s">
        <v>49</v>
      </c>
      <c r="AA198" s="10">
        <f>IF(O198&lt;=1,7,7+0.8*ROUNDUP(O198-1,0))</f>
        <v>8.6</v>
      </c>
      <c r="AB198" s="11">
        <v>0</v>
      </c>
      <c r="AC198" s="11">
        <v>0</v>
      </c>
      <c r="AD198" s="11">
        <v>0</v>
      </c>
      <c r="AE198" s="11">
        <v>0</v>
      </c>
      <c r="AF198" s="11">
        <f t="shared" si="6"/>
        <v>0.51600000000000001</v>
      </c>
      <c r="AG198" s="11">
        <f t="shared" si="7"/>
        <v>9.1159999999999997</v>
      </c>
      <c r="AH198" t="s">
        <v>44</v>
      </c>
    </row>
    <row r="199" spans="1:34" ht="15" customHeight="1" x14ac:dyDescent="0.35">
      <c r="A199">
        <v>7547676</v>
      </c>
      <c r="B199">
        <v>690929</v>
      </c>
      <c r="C199" t="s">
        <v>34</v>
      </c>
      <c r="D199" t="s">
        <v>35</v>
      </c>
      <c r="E199" s="6" t="s">
        <v>34</v>
      </c>
      <c r="F199" t="s">
        <v>712</v>
      </c>
      <c r="G199" t="s">
        <v>37</v>
      </c>
      <c r="H199" t="s">
        <v>38</v>
      </c>
      <c r="I199" t="s">
        <v>713</v>
      </c>
      <c r="J199" t="s">
        <v>40</v>
      </c>
      <c r="K199">
        <v>2</v>
      </c>
      <c r="L199" t="s">
        <v>41</v>
      </c>
      <c r="M199" t="s">
        <v>42</v>
      </c>
      <c r="N199" t="s">
        <v>43</v>
      </c>
      <c r="O199" s="7">
        <v>6</v>
      </c>
      <c r="P199" s="8">
        <v>45281.585810185185</v>
      </c>
      <c r="Q199" s="9">
        <v>45283</v>
      </c>
      <c r="R199" t="s">
        <v>37</v>
      </c>
      <c r="S199" t="s">
        <v>44</v>
      </c>
      <c r="T199" t="s">
        <v>45</v>
      </c>
      <c r="U199" t="s">
        <v>46</v>
      </c>
      <c r="V199" t="s">
        <v>714</v>
      </c>
      <c r="W199">
        <v>81100</v>
      </c>
      <c r="X199" t="s">
        <v>44</v>
      </c>
      <c r="Y199" t="s">
        <v>715</v>
      </c>
      <c r="Z199" t="s">
        <v>49</v>
      </c>
      <c r="AA199" s="10">
        <f>IF(O199&lt;=1,7,7+0.8*ROUNDUP(O199-1,0))</f>
        <v>11</v>
      </c>
      <c r="AB199" s="11">
        <v>0</v>
      </c>
      <c r="AC199" s="11">
        <v>0</v>
      </c>
      <c r="AD199" s="11">
        <v>0</v>
      </c>
      <c r="AE199" s="11">
        <v>0</v>
      </c>
      <c r="AF199" s="11">
        <f t="shared" si="6"/>
        <v>0.65999999999999992</v>
      </c>
      <c r="AG199" s="11">
        <f t="shared" si="7"/>
        <v>11.66</v>
      </c>
      <c r="AH199" t="s">
        <v>44</v>
      </c>
    </row>
    <row r="200" spans="1:34" ht="15" customHeight="1" x14ac:dyDescent="0.35">
      <c r="A200">
        <v>7547676</v>
      </c>
      <c r="B200">
        <v>690929</v>
      </c>
      <c r="C200" t="s">
        <v>34</v>
      </c>
      <c r="D200" t="s">
        <v>35</v>
      </c>
      <c r="E200" s="6" t="s">
        <v>34</v>
      </c>
      <c r="F200" t="s">
        <v>716</v>
      </c>
      <c r="G200" t="s">
        <v>37</v>
      </c>
      <c r="H200" t="s">
        <v>38</v>
      </c>
      <c r="I200" t="s">
        <v>717</v>
      </c>
      <c r="J200" t="s">
        <v>40</v>
      </c>
      <c r="K200">
        <v>2</v>
      </c>
      <c r="L200" t="s">
        <v>41</v>
      </c>
      <c r="M200" t="s">
        <v>42</v>
      </c>
      <c r="N200" t="s">
        <v>43</v>
      </c>
      <c r="O200" s="7">
        <v>2</v>
      </c>
      <c r="P200" s="8">
        <v>45281.681944444441</v>
      </c>
      <c r="Q200" s="9">
        <v>45283</v>
      </c>
      <c r="R200" t="s">
        <v>37</v>
      </c>
      <c r="S200" t="s">
        <v>44</v>
      </c>
      <c r="T200" t="s">
        <v>52</v>
      </c>
      <c r="U200" t="s">
        <v>501</v>
      </c>
      <c r="V200" t="s">
        <v>718</v>
      </c>
      <c r="W200">
        <v>2500</v>
      </c>
      <c r="X200" t="s">
        <v>44</v>
      </c>
      <c r="Y200" t="s">
        <v>503</v>
      </c>
      <c r="Z200" t="s">
        <v>49</v>
      </c>
      <c r="AA200" s="10">
        <f>IF(O200&lt;=1,7,7+0.8*ROUNDUP(O200-1,0))</f>
        <v>7.8</v>
      </c>
      <c r="AB200" s="11">
        <v>0</v>
      </c>
      <c r="AC200" s="11">
        <v>0</v>
      </c>
      <c r="AD200" s="11">
        <v>0</v>
      </c>
      <c r="AE200" s="11">
        <v>0</v>
      </c>
      <c r="AF200" s="11">
        <f t="shared" si="6"/>
        <v>0.46799999999999997</v>
      </c>
      <c r="AG200" s="11">
        <f t="shared" si="7"/>
        <v>8.2680000000000007</v>
      </c>
      <c r="AH200" t="s">
        <v>44</v>
      </c>
    </row>
    <row r="201" spans="1:34" ht="15" customHeight="1" x14ac:dyDescent="0.35">
      <c r="A201">
        <v>7547676</v>
      </c>
      <c r="B201">
        <v>690929</v>
      </c>
      <c r="C201" t="s">
        <v>34</v>
      </c>
      <c r="D201" t="s">
        <v>35</v>
      </c>
      <c r="E201" s="6" t="s">
        <v>34</v>
      </c>
      <c r="F201" t="s">
        <v>719</v>
      </c>
      <c r="G201" t="s">
        <v>37</v>
      </c>
      <c r="H201" t="s">
        <v>38</v>
      </c>
      <c r="I201" t="s">
        <v>720</v>
      </c>
      <c r="J201" t="s">
        <v>40</v>
      </c>
      <c r="K201">
        <v>2</v>
      </c>
      <c r="L201" t="s">
        <v>41</v>
      </c>
      <c r="M201" t="s">
        <v>42</v>
      </c>
      <c r="N201" t="s">
        <v>43</v>
      </c>
      <c r="O201" s="7">
        <v>4</v>
      </c>
      <c r="P201" s="8">
        <v>45281.762465277781</v>
      </c>
      <c r="Q201" s="9">
        <v>45283</v>
      </c>
      <c r="R201" t="s">
        <v>37</v>
      </c>
      <c r="S201" t="s">
        <v>44</v>
      </c>
      <c r="T201" t="s">
        <v>76</v>
      </c>
      <c r="U201" t="s">
        <v>115</v>
      </c>
      <c r="V201" t="s">
        <v>721</v>
      </c>
      <c r="W201">
        <v>16050</v>
      </c>
      <c r="X201" t="s">
        <v>44</v>
      </c>
      <c r="Y201" t="s">
        <v>76</v>
      </c>
      <c r="Z201" t="s">
        <v>49</v>
      </c>
      <c r="AA201" s="10">
        <f>IF(O201&lt;=1,7,7+0.8*ROUNDUP(O201-1,0))</f>
        <v>9.4</v>
      </c>
      <c r="AB201" s="11">
        <v>0</v>
      </c>
      <c r="AC201" s="11">
        <v>0</v>
      </c>
      <c r="AD201" s="11">
        <v>0</v>
      </c>
      <c r="AE201" s="11">
        <v>0</v>
      </c>
      <c r="AF201" s="11">
        <f t="shared" si="6"/>
        <v>0.56399999999999995</v>
      </c>
      <c r="AG201" s="11">
        <f t="shared" si="7"/>
        <v>9.9640000000000004</v>
      </c>
      <c r="AH201" t="s">
        <v>44</v>
      </c>
    </row>
    <row r="202" spans="1:34" ht="15" customHeight="1" x14ac:dyDescent="0.35">
      <c r="A202">
        <v>7547676</v>
      </c>
      <c r="B202">
        <v>690929</v>
      </c>
      <c r="C202" t="s">
        <v>34</v>
      </c>
      <c r="D202" t="s">
        <v>35</v>
      </c>
      <c r="E202" s="6" t="s">
        <v>34</v>
      </c>
      <c r="F202" t="s">
        <v>722</v>
      </c>
      <c r="G202" t="s">
        <v>37</v>
      </c>
      <c r="H202" t="s">
        <v>38</v>
      </c>
      <c r="I202" t="s">
        <v>723</v>
      </c>
      <c r="J202" t="s">
        <v>40</v>
      </c>
      <c r="K202">
        <v>2</v>
      </c>
      <c r="L202" t="s">
        <v>41</v>
      </c>
      <c r="M202" t="s">
        <v>42</v>
      </c>
      <c r="N202" t="s">
        <v>43</v>
      </c>
      <c r="O202" s="7">
        <v>4</v>
      </c>
      <c r="P202" s="8">
        <v>45281.802210648151</v>
      </c>
      <c r="Q202" s="9">
        <v>45284</v>
      </c>
      <c r="R202" t="s">
        <v>37</v>
      </c>
      <c r="S202" t="s">
        <v>44</v>
      </c>
      <c r="T202" t="s">
        <v>76</v>
      </c>
      <c r="U202" t="s">
        <v>258</v>
      </c>
      <c r="V202" t="s">
        <v>724</v>
      </c>
      <c r="W202">
        <v>20050</v>
      </c>
      <c r="X202" t="s">
        <v>44</v>
      </c>
      <c r="Y202" t="s">
        <v>585</v>
      </c>
      <c r="Z202" t="s">
        <v>49</v>
      </c>
      <c r="AA202" s="10">
        <f>IF(O202&lt;=1,7,7+0.8*ROUNDUP(O202-1,0))</f>
        <v>9.4</v>
      </c>
      <c r="AB202" s="11">
        <v>0</v>
      </c>
      <c r="AC202" s="11">
        <v>0</v>
      </c>
      <c r="AD202" s="11">
        <v>0</v>
      </c>
      <c r="AE202" s="11">
        <v>0</v>
      </c>
      <c r="AF202" s="11">
        <f t="shared" si="6"/>
        <v>0.56399999999999995</v>
      </c>
      <c r="AG202" s="11">
        <f t="shared" si="7"/>
        <v>9.9640000000000004</v>
      </c>
      <c r="AH202" t="s">
        <v>44</v>
      </c>
    </row>
    <row r="203" spans="1:34" ht="15" customHeight="1" x14ac:dyDescent="0.35">
      <c r="A203">
        <v>7547676</v>
      </c>
      <c r="B203">
        <v>690929</v>
      </c>
      <c r="C203" t="s">
        <v>34</v>
      </c>
      <c r="D203" t="s">
        <v>35</v>
      </c>
      <c r="E203" s="6" t="s">
        <v>34</v>
      </c>
      <c r="F203" t="s">
        <v>725</v>
      </c>
      <c r="G203" t="s">
        <v>37</v>
      </c>
      <c r="H203" t="s">
        <v>38</v>
      </c>
      <c r="I203" t="s">
        <v>726</v>
      </c>
      <c r="J203" t="s">
        <v>40</v>
      </c>
      <c r="K203">
        <v>2</v>
      </c>
      <c r="L203" t="s">
        <v>41</v>
      </c>
      <c r="M203" t="s">
        <v>42</v>
      </c>
      <c r="N203" t="s">
        <v>43</v>
      </c>
      <c r="O203" s="7">
        <v>1</v>
      </c>
      <c r="P203" s="8">
        <v>45280.574108796296</v>
      </c>
      <c r="Q203" s="9">
        <v>45284</v>
      </c>
      <c r="R203" t="s">
        <v>37</v>
      </c>
      <c r="S203" t="s">
        <v>44</v>
      </c>
      <c r="T203" t="s">
        <v>45</v>
      </c>
      <c r="U203" t="s">
        <v>258</v>
      </c>
      <c r="V203" t="s">
        <v>727</v>
      </c>
      <c r="W203">
        <v>24000</v>
      </c>
      <c r="X203" t="s">
        <v>44</v>
      </c>
      <c r="Y203" t="s">
        <v>45</v>
      </c>
      <c r="Z203" t="s">
        <v>49</v>
      </c>
      <c r="AA203" s="10">
        <f>IF(O203&lt;=1,7,7+0.8*ROUNDUP(O203-1,0))</f>
        <v>7</v>
      </c>
      <c r="AB203" s="11">
        <v>0</v>
      </c>
      <c r="AC203" s="11">
        <v>0</v>
      </c>
      <c r="AD203" s="11">
        <v>0</v>
      </c>
      <c r="AE203" s="11">
        <v>0</v>
      </c>
      <c r="AF203" s="11">
        <f t="shared" si="6"/>
        <v>0.42</v>
      </c>
      <c r="AG203" s="11">
        <f t="shared" si="7"/>
        <v>7.42</v>
      </c>
      <c r="AH203" t="s">
        <v>44</v>
      </c>
    </row>
    <row r="204" spans="1:34" ht="15" customHeight="1" x14ac:dyDescent="0.35">
      <c r="A204">
        <v>7547676</v>
      </c>
      <c r="B204">
        <v>690929</v>
      </c>
      <c r="C204" t="s">
        <v>34</v>
      </c>
      <c r="D204" t="s">
        <v>35</v>
      </c>
      <c r="E204" s="6" t="s">
        <v>34</v>
      </c>
      <c r="F204" t="s">
        <v>728</v>
      </c>
      <c r="G204" t="s">
        <v>37</v>
      </c>
      <c r="H204" t="s">
        <v>38</v>
      </c>
      <c r="I204" t="s">
        <v>729</v>
      </c>
      <c r="J204" t="s">
        <v>40</v>
      </c>
      <c r="K204">
        <v>2</v>
      </c>
      <c r="L204" t="s">
        <v>41</v>
      </c>
      <c r="M204" t="s">
        <v>42</v>
      </c>
      <c r="N204" t="s">
        <v>43</v>
      </c>
      <c r="O204" s="7">
        <v>2</v>
      </c>
      <c r="P204" s="8">
        <v>45283.533252314817</v>
      </c>
      <c r="Q204" s="9">
        <v>45284</v>
      </c>
      <c r="R204" t="s">
        <v>37</v>
      </c>
      <c r="S204" t="s">
        <v>44</v>
      </c>
      <c r="T204" t="s">
        <v>45</v>
      </c>
      <c r="U204" t="s">
        <v>77</v>
      </c>
      <c r="V204" t="s">
        <v>730</v>
      </c>
      <c r="W204">
        <v>28000</v>
      </c>
      <c r="X204" t="s">
        <v>44</v>
      </c>
      <c r="Y204" t="s">
        <v>45</v>
      </c>
      <c r="Z204" t="s">
        <v>49</v>
      </c>
      <c r="AA204" s="10">
        <f>IF(O204&lt;=1,7,7+0.8*ROUNDUP(O204-1,0))</f>
        <v>7.8</v>
      </c>
      <c r="AB204" s="11">
        <v>0</v>
      </c>
      <c r="AC204" s="11">
        <v>0</v>
      </c>
      <c r="AD204" s="11">
        <v>0</v>
      </c>
      <c r="AE204" s="11">
        <v>0</v>
      </c>
      <c r="AF204" s="11">
        <f t="shared" si="6"/>
        <v>0.46799999999999997</v>
      </c>
      <c r="AG204" s="11">
        <f t="shared" si="7"/>
        <v>8.2680000000000007</v>
      </c>
      <c r="AH204" t="s">
        <v>44</v>
      </c>
    </row>
    <row r="205" spans="1:34" ht="15" customHeight="1" x14ac:dyDescent="0.35">
      <c r="A205">
        <v>7547676</v>
      </c>
      <c r="B205">
        <v>690929</v>
      </c>
      <c r="C205" t="s">
        <v>34</v>
      </c>
      <c r="D205" t="s">
        <v>35</v>
      </c>
      <c r="E205" s="6" t="s">
        <v>34</v>
      </c>
      <c r="F205" t="s">
        <v>731</v>
      </c>
      <c r="G205" t="s">
        <v>37</v>
      </c>
      <c r="H205" t="s">
        <v>38</v>
      </c>
      <c r="I205" t="s">
        <v>732</v>
      </c>
      <c r="J205" t="s">
        <v>40</v>
      </c>
      <c r="K205">
        <v>2</v>
      </c>
      <c r="L205" t="s">
        <v>41</v>
      </c>
      <c r="M205" t="s">
        <v>42</v>
      </c>
      <c r="N205" t="s">
        <v>43</v>
      </c>
      <c r="O205" s="7">
        <v>1</v>
      </c>
      <c r="P205" s="8">
        <v>45281.722037037034</v>
      </c>
      <c r="Q205" s="9">
        <v>45284</v>
      </c>
      <c r="R205" t="s">
        <v>37</v>
      </c>
      <c r="S205" t="s">
        <v>44</v>
      </c>
      <c r="T205" t="s">
        <v>76</v>
      </c>
      <c r="U205" t="s">
        <v>58</v>
      </c>
      <c r="V205" t="s">
        <v>733</v>
      </c>
      <c r="W205">
        <v>6150</v>
      </c>
      <c r="X205" t="s">
        <v>44</v>
      </c>
      <c r="Y205" t="s">
        <v>52</v>
      </c>
      <c r="Z205" t="s">
        <v>49</v>
      </c>
      <c r="AA205" s="10">
        <f>IF(O205&lt;=1,7,7+0.8*ROUNDUP(O205-1,0))</f>
        <v>7</v>
      </c>
      <c r="AB205" s="11">
        <v>0</v>
      </c>
      <c r="AC205" s="11">
        <v>0</v>
      </c>
      <c r="AD205" s="11">
        <v>0</v>
      </c>
      <c r="AE205" s="11">
        <v>0</v>
      </c>
      <c r="AF205" s="11">
        <f t="shared" si="6"/>
        <v>0.42</v>
      </c>
      <c r="AG205" s="11">
        <f t="shared" si="7"/>
        <v>7.42</v>
      </c>
      <c r="AH205" t="s">
        <v>44</v>
      </c>
    </row>
    <row r="206" spans="1:34" ht="15" customHeight="1" x14ac:dyDescent="0.35">
      <c r="A206">
        <v>7547676</v>
      </c>
      <c r="B206">
        <v>690929</v>
      </c>
      <c r="C206" t="s">
        <v>34</v>
      </c>
      <c r="D206" t="s">
        <v>35</v>
      </c>
      <c r="E206" s="6" t="s">
        <v>34</v>
      </c>
      <c r="F206" t="s">
        <v>734</v>
      </c>
      <c r="G206" t="s">
        <v>37</v>
      </c>
      <c r="H206" t="s">
        <v>38</v>
      </c>
      <c r="I206" t="s">
        <v>735</v>
      </c>
      <c r="J206" t="s">
        <v>40</v>
      </c>
      <c r="K206">
        <v>2</v>
      </c>
      <c r="L206" t="s">
        <v>41</v>
      </c>
      <c r="M206" t="s">
        <v>42</v>
      </c>
      <c r="N206" t="s">
        <v>43</v>
      </c>
      <c r="O206" s="7">
        <v>1</v>
      </c>
      <c r="P206" s="8">
        <v>45283.668310185189</v>
      </c>
      <c r="Q206" s="9">
        <v>45284</v>
      </c>
      <c r="R206" t="s">
        <v>37</v>
      </c>
      <c r="S206" t="s">
        <v>44</v>
      </c>
      <c r="T206" t="s">
        <v>45</v>
      </c>
      <c r="U206" t="s">
        <v>68</v>
      </c>
      <c r="V206" t="s">
        <v>736</v>
      </c>
      <c r="W206">
        <v>56100</v>
      </c>
      <c r="X206" t="s">
        <v>44</v>
      </c>
      <c r="Y206" t="s">
        <v>737</v>
      </c>
      <c r="Z206" t="s">
        <v>49</v>
      </c>
      <c r="AA206" s="10">
        <f>IF(O206&lt;=1,7,7+0.8*ROUNDUP(O206-1,0))</f>
        <v>7</v>
      </c>
      <c r="AB206" s="11">
        <v>0</v>
      </c>
      <c r="AC206" s="11">
        <v>0</v>
      </c>
      <c r="AD206" s="11">
        <v>0</v>
      </c>
      <c r="AE206" s="11">
        <v>0</v>
      </c>
      <c r="AF206" s="11">
        <f t="shared" si="6"/>
        <v>0.42</v>
      </c>
      <c r="AG206" s="11">
        <f t="shared" si="7"/>
        <v>7.42</v>
      </c>
      <c r="AH206" t="s">
        <v>44</v>
      </c>
    </row>
    <row r="207" spans="1:34" ht="15" customHeight="1" x14ac:dyDescent="0.35">
      <c r="A207">
        <v>7547676</v>
      </c>
      <c r="B207">
        <v>690929</v>
      </c>
      <c r="C207" t="s">
        <v>34</v>
      </c>
      <c r="D207" t="s">
        <v>35</v>
      </c>
      <c r="E207" s="6" t="s">
        <v>34</v>
      </c>
      <c r="F207" t="s">
        <v>738</v>
      </c>
      <c r="G207" t="s">
        <v>37</v>
      </c>
      <c r="H207" t="s">
        <v>38</v>
      </c>
      <c r="I207" t="s">
        <v>739</v>
      </c>
      <c r="J207" t="s">
        <v>40</v>
      </c>
      <c r="K207">
        <v>2</v>
      </c>
      <c r="L207" t="s">
        <v>41</v>
      </c>
      <c r="M207" t="s">
        <v>42</v>
      </c>
      <c r="N207" t="s">
        <v>43</v>
      </c>
      <c r="O207" s="7">
        <v>3</v>
      </c>
      <c r="P207" s="8">
        <v>45283.479722222219</v>
      </c>
      <c r="Q207" s="9">
        <v>45284</v>
      </c>
      <c r="R207" t="s">
        <v>37</v>
      </c>
      <c r="S207" t="s">
        <v>44</v>
      </c>
      <c r="T207" t="s">
        <v>45</v>
      </c>
      <c r="U207" t="s">
        <v>258</v>
      </c>
      <c r="V207" t="s">
        <v>740</v>
      </c>
      <c r="W207">
        <v>24200</v>
      </c>
      <c r="X207" t="s">
        <v>44</v>
      </c>
      <c r="Y207" t="s">
        <v>741</v>
      </c>
      <c r="Z207" t="s">
        <v>49</v>
      </c>
      <c r="AA207" s="10">
        <f>IF(O207&lt;=1,7,7+0.8*ROUNDUP(O207-1,0))</f>
        <v>8.6</v>
      </c>
      <c r="AB207" s="11">
        <v>0</v>
      </c>
      <c r="AC207" s="11">
        <v>0</v>
      </c>
      <c r="AD207" s="11">
        <v>0</v>
      </c>
      <c r="AE207" s="11">
        <v>0</v>
      </c>
      <c r="AF207" s="11">
        <f t="shared" si="6"/>
        <v>0.51600000000000001</v>
      </c>
      <c r="AG207" s="11">
        <f t="shared" si="7"/>
        <v>9.1159999999999997</v>
      </c>
      <c r="AH207" t="s">
        <v>44</v>
      </c>
    </row>
    <row r="208" spans="1:34" ht="15" customHeight="1" x14ac:dyDescent="0.35">
      <c r="A208">
        <v>7547676</v>
      </c>
      <c r="B208">
        <v>690929</v>
      </c>
      <c r="C208" t="s">
        <v>34</v>
      </c>
      <c r="D208" t="s">
        <v>35</v>
      </c>
      <c r="E208" s="6" t="s">
        <v>34</v>
      </c>
      <c r="F208" t="s">
        <v>742</v>
      </c>
      <c r="G208" t="s">
        <v>37</v>
      </c>
      <c r="H208" t="s">
        <v>38</v>
      </c>
      <c r="I208" t="s">
        <v>743</v>
      </c>
      <c r="J208" t="s">
        <v>40</v>
      </c>
      <c r="K208">
        <v>2</v>
      </c>
      <c r="L208" t="s">
        <v>41</v>
      </c>
      <c r="M208" t="s">
        <v>42</v>
      </c>
      <c r="N208" t="s">
        <v>43</v>
      </c>
      <c r="O208" s="7">
        <v>1</v>
      </c>
      <c r="P208" s="8">
        <v>45281.665312500001</v>
      </c>
      <c r="Q208" s="9">
        <v>45284</v>
      </c>
      <c r="R208" t="s">
        <v>37</v>
      </c>
      <c r="S208" t="s">
        <v>44</v>
      </c>
      <c r="T208" t="s">
        <v>45</v>
      </c>
      <c r="U208" t="s">
        <v>46</v>
      </c>
      <c r="V208" t="s">
        <v>744</v>
      </c>
      <c r="W208">
        <v>83100</v>
      </c>
      <c r="X208" t="s">
        <v>44</v>
      </c>
      <c r="Y208" t="s">
        <v>52</v>
      </c>
      <c r="Z208" t="s">
        <v>49</v>
      </c>
      <c r="AA208" s="10">
        <f>IF(O208&lt;=1,7,7+0.8*ROUNDUP(O208-1,0))</f>
        <v>7</v>
      </c>
      <c r="AB208" s="11">
        <v>0</v>
      </c>
      <c r="AC208" s="11">
        <v>0</v>
      </c>
      <c r="AD208" s="11">
        <v>0</v>
      </c>
      <c r="AE208" s="11">
        <v>0</v>
      </c>
      <c r="AF208" s="11">
        <f t="shared" si="6"/>
        <v>0.42</v>
      </c>
      <c r="AG208" s="11">
        <f t="shared" si="7"/>
        <v>7.42</v>
      </c>
      <c r="AH208" t="s">
        <v>44</v>
      </c>
    </row>
    <row r="209" spans="1:34" ht="15" customHeight="1" x14ac:dyDescent="0.35">
      <c r="A209">
        <v>7547676</v>
      </c>
      <c r="B209">
        <v>690929</v>
      </c>
      <c r="C209" t="s">
        <v>34</v>
      </c>
      <c r="D209" t="s">
        <v>35</v>
      </c>
      <c r="E209" s="6" t="s">
        <v>34</v>
      </c>
      <c r="F209" t="s">
        <v>745</v>
      </c>
      <c r="G209" t="s">
        <v>37</v>
      </c>
      <c r="H209" t="s">
        <v>38</v>
      </c>
      <c r="I209" t="s">
        <v>746</v>
      </c>
      <c r="J209" t="s">
        <v>40</v>
      </c>
      <c r="K209">
        <v>2</v>
      </c>
      <c r="L209" t="s">
        <v>41</v>
      </c>
      <c r="M209" t="s">
        <v>42</v>
      </c>
      <c r="N209" t="s">
        <v>43</v>
      </c>
      <c r="O209" s="7">
        <v>1</v>
      </c>
      <c r="P209" s="8">
        <v>45281.698206018518</v>
      </c>
      <c r="Q209" s="9">
        <v>45285</v>
      </c>
      <c r="R209" t="s">
        <v>37</v>
      </c>
      <c r="S209" t="s">
        <v>44</v>
      </c>
      <c r="T209" t="s">
        <v>45</v>
      </c>
      <c r="U209" t="s">
        <v>258</v>
      </c>
      <c r="V209" t="s">
        <v>747</v>
      </c>
      <c r="W209">
        <v>24000</v>
      </c>
      <c r="X209" t="s">
        <v>44</v>
      </c>
      <c r="Y209" t="s">
        <v>45</v>
      </c>
      <c r="Z209" t="s">
        <v>49</v>
      </c>
      <c r="AA209" s="10">
        <f>IF(O209&lt;=1,7,7+0.8*ROUNDUP(O209-1,0))</f>
        <v>7</v>
      </c>
      <c r="AB209" s="11">
        <v>0</v>
      </c>
      <c r="AC209" s="11">
        <v>0</v>
      </c>
      <c r="AD209" s="11">
        <v>0</v>
      </c>
      <c r="AE209" s="11">
        <v>0</v>
      </c>
      <c r="AF209" s="11">
        <f t="shared" si="6"/>
        <v>0.42</v>
      </c>
      <c r="AG209" s="11">
        <f t="shared" si="7"/>
        <v>7.42</v>
      </c>
      <c r="AH209" t="s">
        <v>44</v>
      </c>
    </row>
    <row r="210" spans="1:34" ht="15" customHeight="1" x14ac:dyDescent="0.35">
      <c r="A210">
        <v>7547676</v>
      </c>
      <c r="B210">
        <v>690929</v>
      </c>
      <c r="C210" t="s">
        <v>34</v>
      </c>
      <c r="D210" t="s">
        <v>35</v>
      </c>
      <c r="E210" s="6" t="s">
        <v>34</v>
      </c>
      <c r="F210" t="s">
        <v>748</v>
      </c>
      <c r="G210" t="s">
        <v>37</v>
      </c>
      <c r="H210" t="s">
        <v>38</v>
      </c>
      <c r="I210" t="s">
        <v>749</v>
      </c>
      <c r="J210" t="s">
        <v>40</v>
      </c>
      <c r="K210">
        <v>2</v>
      </c>
      <c r="L210" t="s">
        <v>41</v>
      </c>
      <c r="M210" t="s">
        <v>42</v>
      </c>
      <c r="N210" t="s">
        <v>43</v>
      </c>
      <c r="O210" s="7">
        <v>1</v>
      </c>
      <c r="P210" s="8">
        <v>45284.693136574075</v>
      </c>
      <c r="Q210" s="9">
        <v>45286</v>
      </c>
      <c r="R210" t="s">
        <v>37</v>
      </c>
      <c r="S210" t="s">
        <v>44</v>
      </c>
      <c r="T210" t="s">
        <v>45</v>
      </c>
      <c r="U210" t="s">
        <v>94</v>
      </c>
      <c r="V210" t="s">
        <v>750</v>
      </c>
      <c r="W210">
        <v>14100</v>
      </c>
      <c r="X210" t="s">
        <v>44</v>
      </c>
      <c r="Y210" t="s">
        <v>52</v>
      </c>
      <c r="Z210" t="s">
        <v>49</v>
      </c>
      <c r="AA210" s="10">
        <f>IF(O210&lt;=1,7,7+0.8*ROUNDUP(O210-1,0))</f>
        <v>7</v>
      </c>
      <c r="AB210" s="11">
        <v>0</v>
      </c>
      <c r="AC210" s="11">
        <v>0</v>
      </c>
      <c r="AD210" s="11">
        <v>0</v>
      </c>
      <c r="AE210" s="11">
        <v>0</v>
      </c>
      <c r="AF210" s="11">
        <f t="shared" si="6"/>
        <v>0.42</v>
      </c>
      <c r="AG210" s="11">
        <f t="shared" si="7"/>
        <v>7.42</v>
      </c>
      <c r="AH210" t="s">
        <v>44</v>
      </c>
    </row>
    <row r="211" spans="1:34" ht="15" customHeight="1" x14ac:dyDescent="0.35">
      <c r="A211">
        <v>7547676</v>
      </c>
      <c r="B211">
        <v>690929</v>
      </c>
      <c r="C211" t="s">
        <v>34</v>
      </c>
      <c r="D211" t="s">
        <v>35</v>
      </c>
      <c r="E211" s="6" t="s">
        <v>34</v>
      </c>
      <c r="F211" t="s">
        <v>751</v>
      </c>
      <c r="G211" t="s">
        <v>37</v>
      </c>
      <c r="H211" t="s">
        <v>38</v>
      </c>
      <c r="I211" t="s">
        <v>752</v>
      </c>
      <c r="J211" t="s">
        <v>40</v>
      </c>
      <c r="K211">
        <v>2</v>
      </c>
      <c r="L211" t="s">
        <v>41</v>
      </c>
      <c r="M211" t="s">
        <v>42</v>
      </c>
      <c r="N211" t="s">
        <v>43</v>
      </c>
      <c r="O211" s="7">
        <v>1</v>
      </c>
      <c r="P211" s="8">
        <v>45282.723854166667</v>
      </c>
      <c r="Q211" s="9">
        <v>45286</v>
      </c>
      <c r="R211" t="s">
        <v>37</v>
      </c>
      <c r="S211" t="s">
        <v>44</v>
      </c>
      <c r="T211" t="s">
        <v>45</v>
      </c>
      <c r="U211" t="s">
        <v>68</v>
      </c>
      <c r="V211" t="s">
        <v>753</v>
      </c>
      <c r="W211">
        <v>43500</v>
      </c>
      <c r="X211" t="s">
        <v>44</v>
      </c>
      <c r="Y211" t="s">
        <v>498</v>
      </c>
      <c r="Z211" t="s">
        <v>49</v>
      </c>
      <c r="AA211" s="10">
        <f>IF(O211&lt;=1,7,7+0.8*ROUNDUP(O211-1,0))</f>
        <v>7</v>
      </c>
      <c r="AB211" s="11">
        <v>0</v>
      </c>
      <c r="AC211" s="11">
        <v>0</v>
      </c>
      <c r="AD211" s="11">
        <v>0</v>
      </c>
      <c r="AE211" s="11">
        <v>0</v>
      </c>
      <c r="AF211" s="11">
        <f t="shared" si="6"/>
        <v>0.42</v>
      </c>
      <c r="AG211" s="11">
        <f t="shared" si="7"/>
        <v>7.42</v>
      </c>
      <c r="AH211" t="s">
        <v>44</v>
      </c>
    </row>
    <row r="212" spans="1:34" ht="15" customHeight="1" x14ac:dyDescent="0.35">
      <c r="A212">
        <v>7547676</v>
      </c>
      <c r="B212">
        <v>690929</v>
      </c>
      <c r="C212" t="s">
        <v>34</v>
      </c>
      <c r="D212" t="s">
        <v>35</v>
      </c>
      <c r="E212" s="6" t="s">
        <v>34</v>
      </c>
      <c r="F212" t="s">
        <v>754</v>
      </c>
      <c r="G212" t="s">
        <v>37</v>
      </c>
      <c r="H212" t="s">
        <v>38</v>
      </c>
      <c r="I212" t="s">
        <v>755</v>
      </c>
      <c r="J212" t="s">
        <v>40</v>
      </c>
      <c r="K212">
        <v>2</v>
      </c>
      <c r="L212" t="s">
        <v>41</v>
      </c>
      <c r="M212" t="s">
        <v>42</v>
      </c>
      <c r="N212" t="s">
        <v>43</v>
      </c>
      <c r="O212" s="7">
        <v>1</v>
      </c>
      <c r="P212" s="8">
        <v>45284.742511574077</v>
      </c>
      <c r="Q212" s="9">
        <v>45286</v>
      </c>
      <c r="R212" t="s">
        <v>37</v>
      </c>
      <c r="S212" t="s">
        <v>44</v>
      </c>
      <c r="T212" t="s">
        <v>45</v>
      </c>
      <c r="U212" t="s">
        <v>68</v>
      </c>
      <c r="V212" t="s">
        <v>756</v>
      </c>
      <c r="W212">
        <v>47650</v>
      </c>
      <c r="X212" t="s">
        <v>44</v>
      </c>
      <c r="Y212" t="s">
        <v>108</v>
      </c>
      <c r="Z212" t="s">
        <v>49</v>
      </c>
      <c r="AA212" s="10">
        <f>IF(O212&lt;=1,7,7+0.8*ROUNDUP(O212-1,0))</f>
        <v>7</v>
      </c>
      <c r="AB212" s="11">
        <v>0</v>
      </c>
      <c r="AC212" s="11">
        <v>0</v>
      </c>
      <c r="AD212" s="11">
        <v>0</v>
      </c>
      <c r="AE212" s="11">
        <v>0</v>
      </c>
      <c r="AF212" s="11">
        <f t="shared" si="6"/>
        <v>0.42</v>
      </c>
      <c r="AG212" s="11">
        <f t="shared" si="7"/>
        <v>7.42</v>
      </c>
      <c r="AH212" t="s">
        <v>44</v>
      </c>
    </row>
    <row r="213" spans="1:34" ht="15" customHeight="1" x14ac:dyDescent="0.35">
      <c r="A213">
        <v>7547676</v>
      </c>
      <c r="B213">
        <v>690929</v>
      </c>
      <c r="C213" t="s">
        <v>34</v>
      </c>
      <c r="D213" t="s">
        <v>35</v>
      </c>
      <c r="E213" s="6" t="s">
        <v>34</v>
      </c>
      <c r="F213" t="s">
        <v>757</v>
      </c>
      <c r="G213" t="s">
        <v>37</v>
      </c>
      <c r="H213" t="s">
        <v>38</v>
      </c>
      <c r="I213" t="s">
        <v>758</v>
      </c>
      <c r="J213" t="s">
        <v>40</v>
      </c>
      <c r="K213">
        <v>2</v>
      </c>
      <c r="L213" t="s">
        <v>41</v>
      </c>
      <c r="M213" t="s">
        <v>42</v>
      </c>
      <c r="N213" t="s">
        <v>43</v>
      </c>
      <c r="O213" s="7">
        <v>4</v>
      </c>
      <c r="P213" s="8">
        <v>45284.719710648147</v>
      </c>
      <c r="Q213" s="9">
        <v>45286</v>
      </c>
      <c r="R213" t="s">
        <v>37</v>
      </c>
      <c r="S213" t="s">
        <v>44</v>
      </c>
      <c r="T213" t="s">
        <v>45</v>
      </c>
      <c r="U213" t="s">
        <v>68</v>
      </c>
      <c r="V213" t="s">
        <v>759</v>
      </c>
      <c r="W213">
        <v>40150</v>
      </c>
      <c r="X213" t="s">
        <v>44</v>
      </c>
      <c r="Y213" t="s">
        <v>52</v>
      </c>
      <c r="Z213" t="s">
        <v>49</v>
      </c>
      <c r="AA213" s="10">
        <f>IF(O213&lt;=1,7,7+0.8*ROUNDUP(O213-1,0))</f>
        <v>9.4</v>
      </c>
      <c r="AB213" s="11">
        <v>0</v>
      </c>
      <c r="AC213" s="11">
        <v>0</v>
      </c>
      <c r="AD213" s="11">
        <v>0</v>
      </c>
      <c r="AE213" s="11">
        <v>0</v>
      </c>
      <c r="AF213" s="11">
        <f t="shared" si="6"/>
        <v>0.56399999999999995</v>
      </c>
      <c r="AG213" s="11">
        <f t="shared" si="7"/>
        <v>9.9640000000000004</v>
      </c>
      <c r="AH213" t="s">
        <v>44</v>
      </c>
    </row>
    <row r="214" spans="1:34" ht="15" customHeight="1" x14ac:dyDescent="0.35">
      <c r="A214">
        <v>7547676</v>
      </c>
      <c r="B214">
        <v>690929</v>
      </c>
      <c r="C214" t="s">
        <v>34</v>
      </c>
      <c r="D214" t="s">
        <v>35</v>
      </c>
      <c r="E214" s="6" t="s">
        <v>34</v>
      </c>
      <c r="F214" t="s">
        <v>760</v>
      </c>
      <c r="G214" t="s">
        <v>37</v>
      </c>
      <c r="H214" t="s">
        <v>38</v>
      </c>
      <c r="I214" t="s">
        <v>761</v>
      </c>
      <c r="J214" t="s">
        <v>40</v>
      </c>
      <c r="K214">
        <v>2</v>
      </c>
      <c r="L214" t="s">
        <v>41</v>
      </c>
      <c r="M214" t="s">
        <v>42</v>
      </c>
      <c r="N214" t="s">
        <v>43</v>
      </c>
      <c r="O214" s="7">
        <v>2</v>
      </c>
      <c r="P214" s="8">
        <v>45282.666886574072</v>
      </c>
      <c r="Q214" s="9">
        <v>45286</v>
      </c>
      <c r="R214" t="s">
        <v>37</v>
      </c>
      <c r="S214" t="s">
        <v>44</v>
      </c>
      <c r="T214" t="s">
        <v>45</v>
      </c>
      <c r="U214" t="s">
        <v>58</v>
      </c>
      <c r="V214" t="s">
        <v>762</v>
      </c>
      <c r="W214">
        <v>8100</v>
      </c>
      <c r="X214" t="s">
        <v>44</v>
      </c>
      <c r="Y214" t="s">
        <v>60</v>
      </c>
      <c r="Z214" t="s">
        <v>49</v>
      </c>
      <c r="AA214" s="10">
        <f>IF(O214&lt;=1,7,7+0.8*ROUNDUP(O214-1,0))</f>
        <v>7.8</v>
      </c>
      <c r="AB214" s="11">
        <v>0</v>
      </c>
      <c r="AC214" s="11">
        <v>0</v>
      </c>
      <c r="AD214" s="11">
        <v>0</v>
      </c>
      <c r="AE214" s="11">
        <v>0</v>
      </c>
      <c r="AF214" s="11">
        <f t="shared" si="6"/>
        <v>0.46799999999999997</v>
      </c>
      <c r="AG214" s="11">
        <f t="shared" si="7"/>
        <v>8.2680000000000007</v>
      </c>
      <c r="AH214" t="s">
        <v>44</v>
      </c>
    </row>
    <row r="215" spans="1:34" ht="15" customHeight="1" x14ac:dyDescent="0.35">
      <c r="A215">
        <v>7547676</v>
      </c>
      <c r="B215">
        <v>690929</v>
      </c>
      <c r="C215" t="s">
        <v>34</v>
      </c>
      <c r="D215" t="s">
        <v>35</v>
      </c>
      <c r="E215" s="6" t="s">
        <v>34</v>
      </c>
      <c r="F215" t="s">
        <v>763</v>
      </c>
      <c r="G215" t="s">
        <v>37</v>
      </c>
      <c r="H215" t="s">
        <v>38</v>
      </c>
      <c r="I215" t="s">
        <v>764</v>
      </c>
      <c r="J215" t="s">
        <v>40</v>
      </c>
      <c r="K215">
        <v>2</v>
      </c>
      <c r="L215" t="s">
        <v>41</v>
      </c>
      <c r="M215" t="s">
        <v>42</v>
      </c>
      <c r="N215" t="s">
        <v>43</v>
      </c>
      <c r="O215" s="7">
        <v>1</v>
      </c>
      <c r="P215" s="8">
        <v>45284.747453703705</v>
      </c>
      <c r="Q215" s="9">
        <v>45286</v>
      </c>
      <c r="R215" t="s">
        <v>37</v>
      </c>
      <c r="S215" t="s">
        <v>44</v>
      </c>
      <c r="T215" t="s">
        <v>45</v>
      </c>
      <c r="U215" t="s">
        <v>115</v>
      </c>
      <c r="V215" t="s">
        <v>765</v>
      </c>
      <c r="W215">
        <v>18200</v>
      </c>
      <c r="X215" t="s">
        <v>44</v>
      </c>
      <c r="Y215" t="s">
        <v>76</v>
      </c>
      <c r="Z215" t="s">
        <v>49</v>
      </c>
      <c r="AA215" s="10">
        <f>IF(O215&lt;=1,7,7+0.8*ROUNDUP(O215-1,0))</f>
        <v>7</v>
      </c>
      <c r="AB215" s="11">
        <v>0</v>
      </c>
      <c r="AC215" s="11">
        <v>0</v>
      </c>
      <c r="AD215" s="11">
        <v>0</v>
      </c>
      <c r="AE215" s="11">
        <v>0</v>
      </c>
      <c r="AF215" s="11">
        <f t="shared" si="6"/>
        <v>0.42</v>
      </c>
      <c r="AG215" s="11">
        <f t="shared" si="7"/>
        <v>7.42</v>
      </c>
      <c r="AH215" t="s">
        <v>44</v>
      </c>
    </row>
    <row r="216" spans="1:34" ht="15" customHeight="1" x14ac:dyDescent="0.35">
      <c r="A216">
        <v>7547676</v>
      </c>
      <c r="B216">
        <v>690929</v>
      </c>
      <c r="C216" t="s">
        <v>34</v>
      </c>
      <c r="D216" t="s">
        <v>35</v>
      </c>
      <c r="E216" s="6" t="s">
        <v>34</v>
      </c>
      <c r="F216" t="s">
        <v>766</v>
      </c>
      <c r="G216" t="s">
        <v>37</v>
      </c>
      <c r="H216" t="s">
        <v>38</v>
      </c>
      <c r="I216" t="s">
        <v>767</v>
      </c>
      <c r="J216" t="s">
        <v>40</v>
      </c>
      <c r="K216">
        <v>2</v>
      </c>
      <c r="L216" t="s">
        <v>41</v>
      </c>
      <c r="M216" t="s">
        <v>42</v>
      </c>
      <c r="N216" t="s">
        <v>43</v>
      </c>
      <c r="O216" s="7">
        <v>1</v>
      </c>
      <c r="P216" s="8">
        <v>45284.524918981479</v>
      </c>
      <c r="Q216" s="9">
        <v>45286</v>
      </c>
      <c r="R216" t="s">
        <v>37</v>
      </c>
      <c r="S216" t="s">
        <v>44</v>
      </c>
      <c r="T216" t="s">
        <v>45</v>
      </c>
      <c r="U216" t="s">
        <v>258</v>
      </c>
      <c r="V216" t="s">
        <v>768</v>
      </c>
      <c r="W216">
        <v>21300</v>
      </c>
      <c r="X216" t="s">
        <v>44</v>
      </c>
      <c r="Y216" t="s">
        <v>260</v>
      </c>
      <c r="Z216" t="s">
        <v>49</v>
      </c>
      <c r="AA216" s="10">
        <f>IF(O216&lt;=1,7,7+0.8*ROUNDUP(O216-1,0))</f>
        <v>7</v>
      </c>
      <c r="AB216" s="11">
        <v>0</v>
      </c>
      <c r="AC216" s="11">
        <v>0</v>
      </c>
      <c r="AD216" s="11">
        <v>0</v>
      </c>
      <c r="AE216" s="11">
        <v>0</v>
      </c>
      <c r="AF216" s="11">
        <f t="shared" si="6"/>
        <v>0.42</v>
      </c>
      <c r="AG216" s="11">
        <f t="shared" si="7"/>
        <v>7.42</v>
      </c>
      <c r="AH216" t="s">
        <v>44</v>
      </c>
    </row>
    <row r="217" spans="1:34" ht="15" customHeight="1" x14ac:dyDescent="0.35">
      <c r="A217">
        <v>7547676</v>
      </c>
      <c r="B217">
        <v>690929</v>
      </c>
      <c r="C217" t="s">
        <v>34</v>
      </c>
      <c r="D217" t="s">
        <v>35</v>
      </c>
      <c r="E217" s="6" t="s">
        <v>34</v>
      </c>
      <c r="F217" t="s">
        <v>769</v>
      </c>
      <c r="G217" t="s">
        <v>37</v>
      </c>
      <c r="H217" t="s">
        <v>38</v>
      </c>
      <c r="I217" t="s">
        <v>770</v>
      </c>
      <c r="J217" t="s">
        <v>40</v>
      </c>
      <c r="K217">
        <v>2</v>
      </c>
      <c r="L217" t="s">
        <v>41</v>
      </c>
      <c r="M217" t="s">
        <v>42</v>
      </c>
      <c r="N217" t="s">
        <v>43</v>
      </c>
      <c r="O217" s="7">
        <v>3</v>
      </c>
      <c r="P217" s="8">
        <v>45282.666886574072</v>
      </c>
      <c r="Q217" s="9">
        <v>45286</v>
      </c>
      <c r="R217" t="s">
        <v>37</v>
      </c>
      <c r="S217" t="s">
        <v>44</v>
      </c>
      <c r="T217" t="s">
        <v>45</v>
      </c>
      <c r="U217" t="s">
        <v>63</v>
      </c>
      <c r="V217" t="s">
        <v>771</v>
      </c>
      <c r="W217">
        <v>75260</v>
      </c>
      <c r="X217" t="s">
        <v>44</v>
      </c>
      <c r="Y217" t="s">
        <v>772</v>
      </c>
      <c r="Z217" t="s">
        <v>49</v>
      </c>
      <c r="AA217" s="10">
        <f>IF(O217&lt;=1,7,7+0.8*ROUNDUP(O217-1,0))</f>
        <v>8.6</v>
      </c>
      <c r="AB217" s="11">
        <v>0</v>
      </c>
      <c r="AC217" s="11">
        <v>0</v>
      </c>
      <c r="AD217" s="11">
        <v>0</v>
      </c>
      <c r="AE217" s="11">
        <v>0</v>
      </c>
      <c r="AF217" s="11">
        <f t="shared" si="6"/>
        <v>0.51600000000000001</v>
      </c>
      <c r="AG217" s="11">
        <f t="shared" si="7"/>
        <v>9.1159999999999997</v>
      </c>
      <c r="AH217" t="s">
        <v>44</v>
      </c>
    </row>
    <row r="218" spans="1:34" ht="15" customHeight="1" x14ac:dyDescent="0.35">
      <c r="A218">
        <v>7547676</v>
      </c>
      <c r="B218">
        <v>690929</v>
      </c>
      <c r="C218" t="s">
        <v>34</v>
      </c>
      <c r="D218" t="s">
        <v>35</v>
      </c>
      <c r="E218" s="6" t="s">
        <v>34</v>
      </c>
      <c r="F218" t="s">
        <v>773</v>
      </c>
      <c r="G218" t="s">
        <v>37</v>
      </c>
      <c r="H218" t="s">
        <v>38</v>
      </c>
      <c r="I218" t="s">
        <v>774</v>
      </c>
      <c r="J218" t="s">
        <v>40</v>
      </c>
      <c r="K218">
        <v>2</v>
      </c>
      <c r="L218" t="s">
        <v>41</v>
      </c>
      <c r="M218" t="s">
        <v>42</v>
      </c>
      <c r="N218" t="s">
        <v>43</v>
      </c>
      <c r="O218" s="7">
        <v>1</v>
      </c>
      <c r="P218" s="8">
        <v>45284.747453703705</v>
      </c>
      <c r="Q218" s="9">
        <v>45286</v>
      </c>
      <c r="R218" t="s">
        <v>37</v>
      </c>
      <c r="S218" t="s">
        <v>44</v>
      </c>
      <c r="T218" t="s">
        <v>45</v>
      </c>
      <c r="U218" t="s">
        <v>115</v>
      </c>
      <c r="V218" t="s">
        <v>775</v>
      </c>
      <c r="W218">
        <v>16800</v>
      </c>
      <c r="X218" t="s">
        <v>44</v>
      </c>
      <c r="Y218" t="s">
        <v>76</v>
      </c>
      <c r="Z218" t="s">
        <v>49</v>
      </c>
      <c r="AA218" s="10">
        <f>IF(O218&lt;=1,7,7+0.8*ROUNDUP(O218-1,0))</f>
        <v>7</v>
      </c>
      <c r="AB218" s="11">
        <v>0</v>
      </c>
      <c r="AC218" s="11">
        <v>0</v>
      </c>
      <c r="AD218" s="11">
        <v>0</v>
      </c>
      <c r="AE218" s="11">
        <v>0</v>
      </c>
      <c r="AF218" s="11">
        <f t="shared" si="6"/>
        <v>0.42</v>
      </c>
      <c r="AG218" s="11">
        <f t="shared" si="7"/>
        <v>7.42</v>
      </c>
      <c r="AH218" t="s">
        <v>44</v>
      </c>
    </row>
    <row r="219" spans="1:34" ht="15" customHeight="1" x14ac:dyDescent="0.35">
      <c r="A219">
        <v>7547676</v>
      </c>
      <c r="B219">
        <v>690929</v>
      </c>
      <c r="C219" t="s">
        <v>34</v>
      </c>
      <c r="D219" t="s">
        <v>35</v>
      </c>
      <c r="E219" s="6" t="s">
        <v>34</v>
      </c>
      <c r="F219" t="s">
        <v>776</v>
      </c>
      <c r="G219" t="s">
        <v>37</v>
      </c>
      <c r="H219" t="s">
        <v>38</v>
      </c>
      <c r="I219" t="s">
        <v>777</v>
      </c>
      <c r="J219" t="s">
        <v>40</v>
      </c>
      <c r="K219">
        <v>2</v>
      </c>
      <c r="L219" t="s">
        <v>41</v>
      </c>
      <c r="M219" t="s">
        <v>42</v>
      </c>
      <c r="N219" t="s">
        <v>43</v>
      </c>
      <c r="O219" s="7">
        <v>1</v>
      </c>
      <c r="P219" s="8">
        <v>45283.473553240743</v>
      </c>
      <c r="Q219" s="9">
        <v>45286</v>
      </c>
      <c r="R219" t="s">
        <v>37</v>
      </c>
      <c r="S219" t="s">
        <v>44</v>
      </c>
      <c r="T219" t="s">
        <v>45</v>
      </c>
      <c r="U219" t="s">
        <v>68</v>
      </c>
      <c r="V219" t="s">
        <v>778</v>
      </c>
      <c r="W219">
        <v>62100</v>
      </c>
      <c r="X219" t="s">
        <v>44</v>
      </c>
      <c r="Y219" t="s">
        <v>779</v>
      </c>
      <c r="Z219" t="s">
        <v>49</v>
      </c>
      <c r="AA219" s="10">
        <f>IF(O219&lt;=1,7,7+0.8*ROUNDUP(O219-1,0))</f>
        <v>7</v>
      </c>
      <c r="AB219" s="11">
        <v>0</v>
      </c>
      <c r="AC219" s="11">
        <v>0</v>
      </c>
      <c r="AD219" s="11">
        <v>0</v>
      </c>
      <c r="AE219" s="11">
        <v>0</v>
      </c>
      <c r="AF219" s="11">
        <f t="shared" si="6"/>
        <v>0.42</v>
      </c>
      <c r="AG219" s="11">
        <f t="shared" si="7"/>
        <v>7.42</v>
      </c>
      <c r="AH219" t="s">
        <v>44</v>
      </c>
    </row>
    <row r="220" spans="1:34" ht="15" customHeight="1" x14ac:dyDescent="0.35">
      <c r="A220">
        <v>7547676</v>
      </c>
      <c r="B220">
        <v>690929</v>
      </c>
      <c r="C220" t="s">
        <v>34</v>
      </c>
      <c r="D220" t="s">
        <v>35</v>
      </c>
      <c r="E220" s="6" t="s">
        <v>34</v>
      </c>
      <c r="F220" t="s">
        <v>780</v>
      </c>
      <c r="G220" t="s">
        <v>37</v>
      </c>
      <c r="H220" t="s">
        <v>38</v>
      </c>
      <c r="I220" t="s">
        <v>781</v>
      </c>
      <c r="J220" t="s">
        <v>40</v>
      </c>
      <c r="K220">
        <v>2</v>
      </c>
      <c r="L220" t="s">
        <v>41</v>
      </c>
      <c r="M220" t="s">
        <v>42</v>
      </c>
      <c r="N220" t="s">
        <v>43</v>
      </c>
      <c r="O220" s="7">
        <v>1</v>
      </c>
      <c r="P220" s="8">
        <v>45283.577870370369</v>
      </c>
      <c r="Q220" s="9">
        <v>45286</v>
      </c>
      <c r="R220" t="s">
        <v>37</v>
      </c>
      <c r="S220" t="s">
        <v>44</v>
      </c>
      <c r="T220" t="s">
        <v>45</v>
      </c>
      <c r="U220" t="s">
        <v>53</v>
      </c>
      <c r="V220" t="s">
        <v>782</v>
      </c>
      <c r="W220">
        <v>59000</v>
      </c>
      <c r="X220" t="s">
        <v>44</v>
      </c>
      <c r="Y220" t="s">
        <v>783</v>
      </c>
      <c r="Z220" t="s">
        <v>49</v>
      </c>
      <c r="AA220" s="10">
        <f>IF(O220&lt;=1,7,7+0.8*ROUNDUP(O220-1,0))</f>
        <v>7</v>
      </c>
      <c r="AB220" s="11">
        <v>0</v>
      </c>
      <c r="AC220" s="11">
        <v>0</v>
      </c>
      <c r="AD220" s="11">
        <v>0</v>
      </c>
      <c r="AE220" s="11">
        <v>0</v>
      </c>
      <c r="AF220" s="11">
        <f t="shared" si="6"/>
        <v>0.42</v>
      </c>
      <c r="AG220" s="11">
        <f t="shared" si="7"/>
        <v>7.42</v>
      </c>
      <c r="AH220" t="s">
        <v>44</v>
      </c>
    </row>
    <row r="221" spans="1:34" ht="15" customHeight="1" x14ac:dyDescent="0.35">
      <c r="A221">
        <v>7547676</v>
      </c>
      <c r="B221">
        <v>690929</v>
      </c>
      <c r="C221" t="s">
        <v>34</v>
      </c>
      <c r="D221" t="s">
        <v>35</v>
      </c>
      <c r="E221" s="6" t="s">
        <v>34</v>
      </c>
      <c r="F221" t="s">
        <v>784</v>
      </c>
      <c r="G221" t="s">
        <v>37</v>
      </c>
      <c r="H221" t="s">
        <v>38</v>
      </c>
      <c r="I221" t="s">
        <v>147</v>
      </c>
      <c r="J221" t="s">
        <v>40</v>
      </c>
      <c r="K221">
        <v>2</v>
      </c>
      <c r="L221" t="s">
        <v>41</v>
      </c>
      <c r="M221" t="s">
        <v>42</v>
      </c>
      <c r="N221" t="s">
        <v>43</v>
      </c>
      <c r="O221" s="7">
        <v>4</v>
      </c>
      <c r="P221" s="8">
        <v>45284.730115740742</v>
      </c>
      <c r="Q221" s="9">
        <v>45286</v>
      </c>
      <c r="R221" t="s">
        <v>37</v>
      </c>
      <c r="S221" t="s">
        <v>44</v>
      </c>
      <c r="T221" t="s">
        <v>45</v>
      </c>
      <c r="U221" t="s">
        <v>77</v>
      </c>
      <c r="V221" t="s">
        <v>148</v>
      </c>
      <c r="W221">
        <v>39100</v>
      </c>
      <c r="X221" t="s">
        <v>44</v>
      </c>
      <c r="Y221" t="s">
        <v>149</v>
      </c>
      <c r="Z221" t="s">
        <v>49</v>
      </c>
      <c r="AA221" s="10">
        <f>IF(O221&lt;=1,7,7+0.8*ROUNDUP(O221-1,0))</f>
        <v>9.4</v>
      </c>
      <c r="AB221" s="11">
        <v>0</v>
      </c>
      <c r="AC221" s="11">
        <v>0</v>
      </c>
      <c r="AD221" s="11">
        <v>0</v>
      </c>
      <c r="AE221" s="11">
        <v>0</v>
      </c>
      <c r="AF221" s="11">
        <f t="shared" si="6"/>
        <v>0.56399999999999995</v>
      </c>
      <c r="AG221" s="11">
        <f t="shared" si="7"/>
        <v>9.9640000000000004</v>
      </c>
      <c r="AH221" t="s">
        <v>44</v>
      </c>
    </row>
    <row r="222" spans="1:34" ht="15" customHeight="1" x14ac:dyDescent="0.35">
      <c r="A222">
        <v>7547676</v>
      </c>
      <c r="B222">
        <v>690929</v>
      </c>
      <c r="C222" t="s">
        <v>34</v>
      </c>
      <c r="D222" t="s">
        <v>35</v>
      </c>
      <c r="E222" s="6" t="s">
        <v>34</v>
      </c>
      <c r="F222" t="s">
        <v>785</v>
      </c>
      <c r="G222" t="s">
        <v>37</v>
      </c>
      <c r="H222" t="s">
        <v>38</v>
      </c>
      <c r="I222" t="s">
        <v>147</v>
      </c>
      <c r="J222" t="s">
        <v>40</v>
      </c>
      <c r="K222">
        <v>2</v>
      </c>
      <c r="L222" t="s">
        <v>41</v>
      </c>
      <c r="M222" t="s">
        <v>42</v>
      </c>
      <c r="N222" t="s">
        <v>43</v>
      </c>
      <c r="O222" s="7">
        <v>7</v>
      </c>
      <c r="P222" s="8">
        <v>45284.730115740742</v>
      </c>
      <c r="Q222" s="9">
        <v>45286</v>
      </c>
      <c r="R222" t="s">
        <v>37</v>
      </c>
      <c r="S222" t="s">
        <v>44</v>
      </c>
      <c r="T222" t="s">
        <v>45</v>
      </c>
      <c r="U222" t="s">
        <v>77</v>
      </c>
      <c r="V222" t="s">
        <v>148</v>
      </c>
      <c r="W222">
        <v>39100</v>
      </c>
      <c r="X222" t="s">
        <v>44</v>
      </c>
      <c r="Y222" t="s">
        <v>149</v>
      </c>
      <c r="Z222" t="s">
        <v>49</v>
      </c>
      <c r="AA222" s="10">
        <f>IF(O222&lt;=1,7,7+0.8*ROUNDUP(O222-1,0))</f>
        <v>11.8</v>
      </c>
      <c r="AB222" s="11">
        <v>0</v>
      </c>
      <c r="AC222" s="11">
        <v>0</v>
      </c>
      <c r="AD222" s="11">
        <v>0</v>
      </c>
      <c r="AE222" s="11">
        <v>0</v>
      </c>
      <c r="AF222" s="11">
        <f t="shared" si="6"/>
        <v>0.70799999999999996</v>
      </c>
      <c r="AG222" s="11">
        <f t="shared" si="7"/>
        <v>12.508000000000001</v>
      </c>
      <c r="AH222" t="s">
        <v>44</v>
      </c>
    </row>
    <row r="223" spans="1:34" ht="15" customHeight="1" x14ac:dyDescent="0.35">
      <c r="A223">
        <v>7547676</v>
      </c>
      <c r="B223">
        <v>690929</v>
      </c>
      <c r="C223" t="s">
        <v>34</v>
      </c>
      <c r="D223" t="s">
        <v>35</v>
      </c>
      <c r="E223" s="6" t="s">
        <v>34</v>
      </c>
      <c r="F223" t="s">
        <v>786</v>
      </c>
      <c r="G223" t="s">
        <v>37</v>
      </c>
      <c r="H223" t="s">
        <v>38</v>
      </c>
      <c r="I223" t="s">
        <v>787</v>
      </c>
      <c r="J223" t="s">
        <v>40</v>
      </c>
      <c r="K223">
        <v>2</v>
      </c>
      <c r="L223" t="s">
        <v>41</v>
      </c>
      <c r="M223" t="s">
        <v>42</v>
      </c>
      <c r="N223" t="s">
        <v>43</v>
      </c>
      <c r="O223" s="7">
        <v>1</v>
      </c>
      <c r="P223" s="8">
        <v>45284.719710648147</v>
      </c>
      <c r="Q223" s="9">
        <v>45286</v>
      </c>
      <c r="R223" t="s">
        <v>37</v>
      </c>
      <c r="S223" t="s">
        <v>44</v>
      </c>
      <c r="T223" t="s">
        <v>45</v>
      </c>
      <c r="U223" t="s">
        <v>68</v>
      </c>
      <c r="V223" t="s">
        <v>788</v>
      </c>
      <c r="W223">
        <v>40150</v>
      </c>
      <c r="X223" t="s">
        <v>44</v>
      </c>
      <c r="Y223" t="s">
        <v>602</v>
      </c>
      <c r="Z223" t="s">
        <v>49</v>
      </c>
      <c r="AA223" s="10">
        <f>IF(O223&lt;=1,7,7+0.8*ROUNDUP(O223-1,0))</f>
        <v>7</v>
      </c>
      <c r="AB223" s="11">
        <v>0</v>
      </c>
      <c r="AC223" s="11">
        <v>0</v>
      </c>
      <c r="AD223" s="11">
        <v>0</v>
      </c>
      <c r="AE223" s="11">
        <v>0</v>
      </c>
      <c r="AF223" s="11">
        <f t="shared" si="6"/>
        <v>0.42</v>
      </c>
      <c r="AG223" s="11">
        <f t="shared" si="7"/>
        <v>7.42</v>
      </c>
      <c r="AH223" t="s">
        <v>44</v>
      </c>
    </row>
    <row r="224" spans="1:34" ht="15" customHeight="1" x14ac:dyDescent="0.35">
      <c r="A224">
        <v>7547676</v>
      </c>
      <c r="B224">
        <v>690929</v>
      </c>
      <c r="C224" t="s">
        <v>34</v>
      </c>
      <c r="D224" t="s">
        <v>35</v>
      </c>
      <c r="E224" s="6" t="s">
        <v>34</v>
      </c>
      <c r="F224" t="s">
        <v>789</v>
      </c>
      <c r="G224" t="s">
        <v>37</v>
      </c>
      <c r="H224" t="s">
        <v>38</v>
      </c>
      <c r="I224" t="s">
        <v>790</v>
      </c>
      <c r="J224" t="s">
        <v>40</v>
      </c>
      <c r="K224">
        <v>2</v>
      </c>
      <c r="L224" t="s">
        <v>41</v>
      </c>
      <c r="M224" t="s">
        <v>42</v>
      </c>
      <c r="N224" t="s">
        <v>43</v>
      </c>
      <c r="O224" s="7">
        <v>1</v>
      </c>
      <c r="P224" s="8">
        <v>45284.708645833336</v>
      </c>
      <c r="Q224" s="9">
        <v>45286</v>
      </c>
      <c r="R224" t="s">
        <v>37</v>
      </c>
      <c r="S224" t="s">
        <v>44</v>
      </c>
      <c r="T224" t="s">
        <v>45</v>
      </c>
      <c r="U224" t="s">
        <v>258</v>
      </c>
      <c r="V224" t="s">
        <v>791</v>
      </c>
      <c r="W224">
        <v>23100</v>
      </c>
      <c r="X224" t="s">
        <v>44</v>
      </c>
      <c r="Y224" t="s">
        <v>260</v>
      </c>
      <c r="Z224" t="s">
        <v>49</v>
      </c>
      <c r="AA224" s="10">
        <f>IF(O224&lt;=1,7,7+0.8*ROUNDUP(O224-1,0))</f>
        <v>7</v>
      </c>
      <c r="AB224" s="11">
        <v>0</v>
      </c>
      <c r="AC224" s="11">
        <v>0</v>
      </c>
      <c r="AD224" s="11">
        <v>0</v>
      </c>
      <c r="AE224" s="11">
        <v>0</v>
      </c>
      <c r="AF224" s="11">
        <f t="shared" si="6"/>
        <v>0.42</v>
      </c>
      <c r="AG224" s="11">
        <f t="shared" si="7"/>
        <v>7.42</v>
      </c>
      <c r="AH224" t="s">
        <v>44</v>
      </c>
    </row>
    <row r="225" spans="1:34" ht="15" customHeight="1" x14ac:dyDescent="0.35">
      <c r="A225">
        <v>7547676</v>
      </c>
      <c r="B225">
        <v>690929</v>
      </c>
      <c r="C225" t="s">
        <v>34</v>
      </c>
      <c r="D225" t="s">
        <v>35</v>
      </c>
      <c r="E225" s="6" t="s">
        <v>34</v>
      </c>
      <c r="F225" t="s">
        <v>792</v>
      </c>
      <c r="G225" t="s">
        <v>37</v>
      </c>
      <c r="H225" t="s">
        <v>38</v>
      </c>
      <c r="I225" t="s">
        <v>793</v>
      </c>
      <c r="J225" t="s">
        <v>40</v>
      </c>
      <c r="K225">
        <v>2</v>
      </c>
      <c r="L225" t="s">
        <v>41</v>
      </c>
      <c r="M225" t="s">
        <v>42</v>
      </c>
      <c r="N225" t="s">
        <v>43</v>
      </c>
      <c r="O225" s="7">
        <v>1</v>
      </c>
      <c r="P225" s="8">
        <v>45284.577488425923</v>
      </c>
      <c r="Q225" s="9">
        <v>45286</v>
      </c>
      <c r="R225" t="s">
        <v>37</v>
      </c>
      <c r="S225" t="s">
        <v>44</v>
      </c>
      <c r="T225" t="s">
        <v>45</v>
      </c>
      <c r="U225" t="s">
        <v>68</v>
      </c>
      <c r="V225" t="s">
        <v>794</v>
      </c>
      <c r="W225">
        <v>43300</v>
      </c>
      <c r="X225" t="s">
        <v>44</v>
      </c>
      <c r="Y225" t="s">
        <v>795</v>
      </c>
      <c r="Z225" t="s">
        <v>49</v>
      </c>
      <c r="AA225" s="10">
        <f>IF(O225&lt;=1,7,7+0.8*ROUNDUP(O225-1,0))</f>
        <v>7</v>
      </c>
      <c r="AB225" s="11">
        <v>0</v>
      </c>
      <c r="AC225" s="11">
        <v>0</v>
      </c>
      <c r="AD225" s="11">
        <v>0</v>
      </c>
      <c r="AE225" s="11">
        <v>0</v>
      </c>
      <c r="AF225" s="11">
        <f t="shared" si="6"/>
        <v>0.42</v>
      </c>
      <c r="AG225" s="11">
        <f t="shared" si="7"/>
        <v>7.42</v>
      </c>
      <c r="AH225" t="s">
        <v>44</v>
      </c>
    </row>
    <row r="226" spans="1:34" ht="15" customHeight="1" x14ac:dyDescent="0.35">
      <c r="A226">
        <v>7547676</v>
      </c>
      <c r="B226">
        <v>690929</v>
      </c>
      <c r="C226" t="s">
        <v>34</v>
      </c>
      <c r="D226" t="s">
        <v>35</v>
      </c>
      <c r="E226" s="6" t="s">
        <v>34</v>
      </c>
      <c r="F226" t="s">
        <v>796</v>
      </c>
      <c r="G226" t="s">
        <v>37</v>
      </c>
      <c r="H226" t="s">
        <v>38</v>
      </c>
      <c r="I226" t="s">
        <v>797</v>
      </c>
      <c r="J226" t="s">
        <v>40</v>
      </c>
      <c r="K226">
        <v>2</v>
      </c>
      <c r="L226" t="s">
        <v>41</v>
      </c>
      <c r="M226" t="s">
        <v>42</v>
      </c>
      <c r="N226" t="s">
        <v>43</v>
      </c>
      <c r="O226" s="7">
        <v>1</v>
      </c>
      <c r="P226" s="8">
        <v>45281.668032407404</v>
      </c>
      <c r="Q226" s="9">
        <v>45286</v>
      </c>
      <c r="R226" t="s">
        <v>37</v>
      </c>
      <c r="S226" t="s">
        <v>44</v>
      </c>
      <c r="T226" t="s">
        <v>52</v>
      </c>
      <c r="U226" t="s">
        <v>240</v>
      </c>
      <c r="V226" t="s">
        <v>798</v>
      </c>
      <c r="W226">
        <v>97000</v>
      </c>
      <c r="X226" t="s">
        <v>242</v>
      </c>
      <c r="Y226" t="s">
        <v>52</v>
      </c>
      <c r="Z226" t="s">
        <v>49</v>
      </c>
      <c r="AA226" s="12">
        <f>IF(O226&lt;=1,13,IF(O226&lt;=2,23,IF(O226&lt;=3,35,IF(O226&lt;=4,43,IF(O226&lt;=5,53,IF(O226&lt;=6,63,IF(O226&lt;=7,71,IF(O226&lt;=8,79,IF(O226&lt;=9,87,IF(O226&lt;=10,95,IF(O226&lt;=11,105,IF(O226&lt;=12,114,IF(O226&lt;=13,119,IF(O226&lt;=14,127,IF(O226&lt;=15,135,IF(O226&lt;=16,143,IF(O226&lt;=17,153,IF(O226&lt;=18,163,IF(O226&lt;=19,171,IF(O226&lt;=20,185,IF(O226&lt;=21,193,IF(O226&lt;=22,201,IF(O226&lt;=23,210,IF(O226&lt;=24,220,IF(O226&lt;=25,230,IF(O226&lt;=26,240,IF(O226&lt;=27,250,IF(O226&lt;=28,260,IF(O226&lt;=29,270,IF(O226&lt;=30,280,280+10*ROUNDUP(O226-30,0)))))))))))))))))))))))))))))))</f>
        <v>13</v>
      </c>
      <c r="AB226" s="11">
        <v>0</v>
      </c>
      <c r="AC226" s="11">
        <v>0</v>
      </c>
      <c r="AD226" s="11">
        <v>0</v>
      </c>
      <c r="AE226" s="11">
        <v>0</v>
      </c>
      <c r="AF226" s="11">
        <f t="shared" si="6"/>
        <v>0.78</v>
      </c>
      <c r="AG226" s="11">
        <f t="shared" si="7"/>
        <v>13.78</v>
      </c>
      <c r="AH226" t="s">
        <v>242</v>
      </c>
    </row>
    <row r="227" spans="1:34" ht="15" customHeight="1" x14ac:dyDescent="0.35">
      <c r="A227">
        <v>7547676</v>
      </c>
      <c r="B227">
        <v>690929</v>
      </c>
      <c r="C227" t="s">
        <v>34</v>
      </c>
      <c r="D227" t="s">
        <v>35</v>
      </c>
      <c r="E227" s="6" t="s">
        <v>34</v>
      </c>
      <c r="F227" t="s">
        <v>799</v>
      </c>
      <c r="G227" t="s">
        <v>37</v>
      </c>
      <c r="H227" t="s">
        <v>38</v>
      </c>
      <c r="I227" t="s">
        <v>800</v>
      </c>
      <c r="J227" t="s">
        <v>40</v>
      </c>
      <c r="K227">
        <v>2</v>
      </c>
      <c r="L227" t="s">
        <v>41</v>
      </c>
      <c r="M227" t="s">
        <v>42</v>
      </c>
      <c r="N227" t="s">
        <v>43</v>
      </c>
      <c r="O227" s="7">
        <v>1</v>
      </c>
      <c r="P227" s="8">
        <v>45284.538206018522</v>
      </c>
      <c r="Q227" s="9">
        <v>45286</v>
      </c>
      <c r="R227" t="s">
        <v>37</v>
      </c>
      <c r="S227" t="s">
        <v>44</v>
      </c>
      <c r="T227" t="s">
        <v>45</v>
      </c>
      <c r="U227" t="s">
        <v>68</v>
      </c>
      <c r="V227" t="s">
        <v>801</v>
      </c>
      <c r="W227">
        <v>68000</v>
      </c>
      <c r="X227" t="s">
        <v>44</v>
      </c>
      <c r="Y227" t="s">
        <v>802</v>
      </c>
      <c r="Z227" t="s">
        <v>49</v>
      </c>
      <c r="AA227" s="10">
        <f>IF(O227&lt;=1,7,7+0.8*ROUNDUP(O227-1,0))</f>
        <v>7</v>
      </c>
      <c r="AB227" s="11">
        <v>0</v>
      </c>
      <c r="AC227" s="11">
        <v>0</v>
      </c>
      <c r="AD227" s="11">
        <v>0</v>
      </c>
      <c r="AE227" s="11">
        <v>0</v>
      </c>
      <c r="AF227" s="11">
        <f t="shared" si="6"/>
        <v>0.42</v>
      </c>
      <c r="AG227" s="11">
        <f t="shared" si="7"/>
        <v>7.42</v>
      </c>
      <c r="AH227" t="s">
        <v>44</v>
      </c>
    </row>
    <row r="228" spans="1:34" ht="15" customHeight="1" x14ac:dyDescent="0.35">
      <c r="A228">
        <v>7547676</v>
      </c>
      <c r="B228">
        <v>690929</v>
      </c>
      <c r="C228" t="s">
        <v>34</v>
      </c>
      <c r="D228" t="s">
        <v>35</v>
      </c>
      <c r="E228" s="6" t="s">
        <v>34</v>
      </c>
      <c r="F228" t="s">
        <v>803</v>
      </c>
      <c r="G228" t="s">
        <v>37</v>
      </c>
      <c r="H228" t="s">
        <v>38</v>
      </c>
      <c r="I228" t="s">
        <v>804</v>
      </c>
      <c r="J228" t="s">
        <v>40</v>
      </c>
      <c r="K228">
        <v>2</v>
      </c>
      <c r="L228" t="s">
        <v>41</v>
      </c>
      <c r="M228" t="s">
        <v>42</v>
      </c>
      <c r="N228" t="s">
        <v>43</v>
      </c>
      <c r="O228" s="7">
        <v>1</v>
      </c>
      <c r="P228" s="8">
        <v>45283.774097222224</v>
      </c>
      <c r="Q228" s="9">
        <v>45286</v>
      </c>
      <c r="R228" t="s">
        <v>37</v>
      </c>
      <c r="S228" t="s">
        <v>44</v>
      </c>
      <c r="T228" t="s">
        <v>45</v>
      </c>
      <c r="U228" t="s">
        <v>68</v>
      </c>
      <c r="V228" t="s">
        <v>805</v>
      </c>
      <c r="W228">
        <v>43900</v>
      </c>
      <c r="X228" t="s">
        <v>44</v>
      </c>
      <c r="Y228" t="s">
        <v>52</v>
      </c>
      <c r="Z228" t="s">
        <v>49</v>
      </c>
      <c r="AA228" s="10">
        <f>IF(O228&lt;=1,7,7+0.8*ROUNDUP(O228-1,0))</f>
        <v>7</v>
      </c>
      <c r="AB228" s="11">
        <v>0</v>
      </c>
      <c r="AC228" s="11">
        <v>0</v>
      </c>
      <c r="AD228" s="11">
        <v>0</v>
      </c>
      <c r="AE228" s="11">
        <v>0</v>
      </c>
      <c r="AF228" s="11">
        <f t="shared" si="6"/>
        <v>0.42</v>
      </c>
      <c r="AG228" s="11">
        <f t="shared" si="7"/>
        <v>7.42</v>
      </c>
      <c r="AH228" t="s">
        <v>44</v>
      </c>
    </row>
    <row r="229" spans="1:34" ht="15" customHeight="1" x14ac:dyDescent="0.35">
      <c r="A229">
        <v>7547676</v>
      </c>
      <c r="B229">
        <v>690929</v>
      </c>
      <c r="C229" t="s">
        <v>34</v>
      </c>
      <c r="D229" t="s">
        <v>35</v>
      </c>
      <c r="E229" s="6" t="s">
        <v>34</v>
      </c>
      <c r="F229" t="s">
        <v>806</v>
      </c>
      <c r="G229" t="s">
        <v>37</v>
      </c>
      <c r="H229" t="s">
        <v>38</v>
      </c>
      <c r="I229" t="s">
        <v>807</v>
      </c>
      <c r="J229" t="s">
        <v>40</v>
      </c>
      <c r="K229">
        <v>2</v>
      </c>
      <c r="L229" t="s">
        <v>41</v>
      </c>
      <c r="M229" t="s">
        <v>42</v>
      </c>
      <c r="N229" t="s">
        <v>43</v>
      </c>
      <c r="O229" s="7">
        <v>1</v>
      </c>
      <c r="P229" s="8">
        <v>45283.539918981478</v>
      </c>
      <c r="Q229" s="9">
        <v>45286</v>
      </c>
      <c r="R229" t="s">
        <v>37</v>
      </c>
      <c r="S229" t="s">
        <v>44</v>
      </c>
      <c r="T229" t="s">
        <v>45</v>
      </c>
      <c r="U229" t="s">
        <v>46</v>
      </c>
      <c r="V229" t="s">
        <v>808</v>
      </c>
      <c r="W229">
        <v>86800</v>
      </c>
      <c r="X229" t="s">
        <v>44</v>
      </c>
      <c r="Y229" t="s">
        <v>809</v>
      </c>
      <c r="Z229" t="s">
        <v>49</v>
      </c>
      <c r="AA229" s="10">
        <f>IF(O229&lt;=1,7,7+0.8*ROUNDUP(O229-1,0))</f>
        <v>7</v>
      </c>
      <c r="AB229" s="11">
        <v>0</v>
      </c>
      <c r="AC229" s="11">
        <v>0</v>
      </c>
      <c r="AD229" s="11">
        <v>0</v>
      </c>
      <c r="AE229" s="11">
        <v>0</v>
      </c>
      <c r="AF229" s="11">
        <f t="shared" si="6"/>
        <v>0.42</v>
      </c>
      <c r="AG229" s="11">
        <f t="shared" si="7"/>
        <v>7.42</v>
      </c>
      <c r="AH229" t="s">
        <v>44</v>
      </c>
    </row>
    <row r="230" spans="1:34" ht="15" customHeight="1" x14ac:dyDescent="0.35">
      <c r="A230">
        <v>7547676</v>
      </c>
      <c r="B230">
        <v>690929</v>
      </c>
      <c r="C230" t="s">
        <v>34</v>
      </c>
      <c r="D230" t="s">
        <v>35</v>
      </c>
      <c r="E230" s="6" t="s">
        <v>34</v>
      </c>
      <c r="F230" t="s">
        <v>810</v>
      </c>
      <c r="G230" t="s">
        <v>37</v>
      </c>
      <c r="H230" t="s">
        <v>38</v>
      </c>
      <c r="I230" t="s">
        <v>811</v>
      </c>
      <c r="J230" t="s">
        <v>40</v>
      </c>
      <c r="K230">
        <v>2</v>
      </c>
      <c r="L230" t="s">
        <v>41</v>
      </c>
      <c r="M230" t="s">
        <v>42</v>
      </c>
      <c r="N230" t="s">
        <v>43</v>
      </c>
      <c r="O230" s="7">
        <v>1</v>
      </c>
      <c r="P230" s="8">
        <v>45279.481053240743</v>
      </c>
      <c r="Q230" s="9">
        <v>45286</v>
      </c>
      <c r="R230" t="s">
        <v>37</v>
      </c>
      <c r="S230" t="s">
        <v>44</v>
      </c>
      <c r="T230" t="s">
        <v>45</v>
      </c>
      <c r="U230" t="s">
        <v>279</v>
      </c>
      <c r="V230" t="s">
        <v>812</v>
      </c>
      <c r="W230">
        <v>91308</v>
      </c>
      <c r="X230" t="s">
        <v>242</v>
      </c>
      <c r="Y230" t="s">
        <v>52</v>
      </c>
      <c r="Z230" t="s">
        <v>49</v>
      </c>
      <c r="AA230" s="12">
        <f>IF(O230&lt;=1,13,IF(O230&lt;=2,23,IF(O230&lt;=3,35,IF(O230&lt;=4,43,IF(O230&lt;=5,53,IF(O230&lt;=6,63,IF(O230&lt;=7,71,IF(O230&lt;=8,79,IF(O230&lt;=9,87,IF(O230&lt;=10,95,IF(O230&lt;=11,105,IF(O230&lt;=12,114,IF(O230&lt;=13,119,IF(O230&lt;=14,127,IF(O230&lt;=15,135,IF(O230&lt;=16,143,IF(O230&lt;=17,153,IF(O230&lt;=18,163,IF(O230&lt;=19,171,IF(O230&lt;=20,185,IF(O230&lt;=21,193,IF(O230&lt;=22,201,IF(O230&lt;=23,210,IF(O230&lt;=24,220,IF(O230&lt;=25,230,IF(O230&lt;=26,240,IF(O230&lt;=27,250,IF(O230&lt;=28,260,IF(O230&lt;=29,270,IF(O230&lt;=30,280,280+10*ROUNDUP(O230-30,0)))))))))))))))))))))))))))))))</f>
        <v>13</v>
      </c>
      <c r="AB230" s="11">
        <v>0</v>
      </c>
      <c r="AC230" s="11">
        <v>0</v>
      </c>
      <c r="AD230" s="11">
        <v>0</v>
      </c>
      <c r="AE230" s="11">
        <v>0</v>
      </c>
      <c r="AF230" s="11">
        <f t="shared" si="6"/>
        <v>0.78</v>
      </c>
      <c r="AG230" s="11">
        <f t="shared" si="7"/>
        <v>13.78</v>
      </c>
      <c r="AH230" t="s">
        <v>242</v>
      </c>
    </row>
    <row r="231" spans="1:34" ht="15" customHeight="1" x14ac:dyDescent="0.35">
      <c r="A231">
        <v>7547676</v>
      </c>
      <c r="B231">
        <v>690929</v>
      </c>
      <c r="C231" t="s">
        <v>34</v>
      </c>
      <c r="D231" t="s">
        <v>35</v>
      </c>
      <c r="E231" s="6" t="s">
        <v>34</v>
      </c>
      <c r="F231" t="s">
        <v>813</v>
      </c>
      <c r="G231" t="s">
        <v>37</v>
      </c>
      <c r="H231" t="s">
        <v>38</v>
      </c>
      <c r="I231" t="s">
        <v>814</v>
      </c>
      <c r="J231" t="s">
        <v>40</v>
      </c>
      <c r="K231">
        <v>2</v>
      </c>
      <c r="L231" t="s">
        <v>41</v>
      </c>
      <c r="M231" t="s">
        <v>42</v>
      </c>
      <c r="N231" t="s">
        <v>43</v>
      </c>
      <c r="O231" s="7">
        <v>6</v>
      </c>
      <c r="P231" s="8">
        <v>45284.633703703701</v>
      </c>
      <c r="Q231" s="9">
        <v>45286</v>
      </c>
      <c r="R231" t="s">
        <v>37</v>
      </c>
      <c r="S231" t="s">
        <v>44</v>
      </c>
      <c r="T231" t="s">
        <v>45</v>
      </c>
      <c r="U231" t="s">
        <v>82</v>
      </c>
      <c r="V231" t="s">
        <v>815</v>
      </c>
      <c r="W231">
        <v>70400</v>
      </c>
      <c r="X231" t="s">
        <v>44</v>
      </c>
      <c r="Y231" t="s">
        <v>816</v>
      </c>
      <c r="Z231" t="s">
        <v>49</v>
      </c>
      <c r="AA231" s="10">
        <f>IF(O231&lt;=1,7,7+0.8*ROUNDUP(O231-1,0))</f>
        <v>11</v>
      </c>
      <c r="AB231" s="11">
        <v>0</v>
      </c>
      <c r="AC231" s="11">
        <v>0</v>
      </c>
      <c r="AD231" s="11">
        <v>0</v>
      </c>
      <c r="AE231" s="11">
        <v>0</v>
      </c>
      <c r="AF231" s="11">
        <f t="shared" si="6"/>
        <v>0.65999999999999992</v>
      </c>
      <c r="AG231" s="11">
        <f t="shared" si="7"/>
        <v>11.66</v>
      </c>
      <c r="AH231" t="s">
        <v>44</v>
      </c>
    </row>
    <row r="232" spans="1:34" ht="15" customHeight="1" x14ac:dyDescent="0.35">
      <c r="A232">
        <v>7547676</v>
      </c>
      <c r="B232">
        <v>690929</v>
      </c>
      <c r="C232" t="s">
        <v>34</v>
      </c>
      <c r="D232" t="s">
        <v>35</v>
      </c>
      <c r="E232" s="6" t="s">
        <v>34</v>
      </c>
      <c r="F232" t="s">
        <v>817</v>
      </c>
      <c r="G232" t="s">
        <v>37</v>
      </c>
      <c r="H232" t="s">
        <v>38</v>
      </c>
      <c r="I232" t="s">
        <v>818</v>
      </c>
      <c r="J232" t="s">
        <v>40</v>
      </c>
      <c r="K232">
        <v>2</v>
      </c>
      <c r="L232" t="s">
        <v>41</v>
      </c>
      <c r="M232" t="s">
        <v>42</v>
      </c>
      <c r="N232" t="s">
        <v>43</v>
      </c>
      <c r="O232" s="7">
        <v>1</v>
      </c>
      <c r="P232" s="8">
        <v>45283.774097222224</v>
      </c>
      <c r="Q232" s="9">
        <v>45286</v>
      </c>
      <c r="R232" t="s">
        <v>37</v>
      </c>
      <c r="S232" t="s">
        <v>44</v>
      </c>
      <c r="T232" t="s">
        <v>45</v>
      </c>
      <c r="U232" t="s">
        <v>258</v>
      </c>
      <c r="V232" t="s">
        <v>819</v>
      </c>
      <c r="W232">
        <v>21600</v>
      </c>
      <c r="X232" t="s">
        <v>44</v>
      </c>
      <c r="Y232" t="s">
        <v>260</v>
      </c>
      <c r="Z232" t="s">
        <v>49</v>
      </c>
      <c r="AA232" s="10">
        <f>IF(O232&lt;=1,7,7+0.8*ROUNDUP(O232-1,0))</f>
        <v>7</v>
      </c>
      <c r="AB232" s="11">
        <v>0</v>
      </c>
      <c r="AC232" s="11">
        <v>0</v>
      </c>
      <c r="AD232" s="11">
        <v>0</v>
      </c>
      <c r="AE232" s="11">
        <v>0</v>
      </c>
      <c r="AF232" s="11">
        <f t="shared" si="6"/>
        <v>0.42</v>
      </c>
      <c r="AG232" s="11">
        <f t="shared" si="7"/>
        <v>7.42</v>
      </c>
      <c r="AH232" t="s">
        <v>44</v>
      </c>
    </row>
    <row r="233" spans="1:34" ht="15" customHeight="1" x14ac:dyDescent="0.35">
      <c r="A233">
        <v>7547676</v>
      </c>
      <c r="B233">
        <v>690929</v>
      </c>
      <c r="C233" t="s">
        <v>34</v>
      </c>
      <c r="D233" t="s">
        <v>35</v>
      </c>
      <c r="E233" s="6" t="s">
        <v>34</v>
      </c>
      <c r="F233" t="s">
        <v>820</v>
      </c>
      <c r="G233" t="s">
        <v>37</v>
      </c>
      <c r="H233" t="s">
        <v>38</v>
      </c>
      <c r="I233" t="s">
        <v>821</v>
      </c>
      <c r="J233" t="s">
        <v>40</v>
      </c>
      <c r="K233">
        <v>2</v>
      </c>
      <c r="L233" t="s">
        <v>41</v>
      </c>
      <c r="M233" t="s">
        <v>42</v>
      </c>
      <c r="N233" t="s">
        <v>43</v>
      </c>
      <c r="O233" s="7">
        <v>7</v>
      </c>
      <c r="P233" s="8">
        <v>45284.633703703701</v>
      </c>
      <c r="Q233" s="9">
        <v>45286</v>
      </c>
      <c r="R233" t="s">
        <v>37</v>
      </c>
      <c r="S233" t="s">
        <v>44</v>
      </c>
      <c r="T233" t="s">
        <v>45</v>
      </c>
      <c r="U233" t="s">
        <v>258</v>
      </c>
      <c r="V233" t="s">
        <v>822</v>
      </c>
      <c r="W233">
        <v>20050</v>
      </c>
      <c r="X233" t="s">
        <v>44</v>
      </c>
      <c r="Y233" t="s">
        <v>585</v>
      </c>
      <c r="Z233" t="s">
        <v>49</v>
      </c>
      <c r="AA233" s="10">
        <f>IF(O233&lt;=1,7,7+0.8*ROUNDUP(O233-1,0))</f>
        <v>11.8</v>
      </c>
      <c r="AB233" s="11">
        <v>0</v>
      </c>
      <c r="AC233" s="11">
        <v>0</v>
      </c>
      <c r="AD233" s="11">
        <v>0</v>
      </c>
      <c r="AE233" s="11">
        <v>0</v>
      </c>
      <c r="AF233" s="11">
        <f t="shared" si="6"/>
        <v>0.70799999999999996</v>
      </c>
      <c r="AG233" s="11">
        <f t="shared" si="7"/>
        <v>12.508000000000001</v>
      </c>
      <c r="AH233" t="s">
        <v>44</v>
      </c>
    </row>
    <row r="234" spans="1:34" ht="15" customHeight="1" x14ac:dyDescent="0.35">
      <c r="A234">
        <v>7547676</v>
      </c>
      <c r="B234">
        <v>690929</v>
      </c>
      <c r="C234" t="s">
        <v>34</v>
      </c>
      <c r="D234" t="s">
        <v>35</v>
      </c>
      <c r="E234" s="6" t="s">
        <v>34</v>
      </c>
      <c r="F234" t="s">
        <v>823</v>
      </c>
      <c r="G234" t="s">
        <v>37</v>
      </c>
      <c r="H234" t="s">
        <v>38</v>
      </c>
      <c r="I234" t="s">
        <v>824</v>
      </c>
      <c r="J234" t="s">
        <v>40</v>
      </c>
      <c r="K234">
        <v>2</v>
      </c>
      <c r="L234" t="s">
        <v>41</v>
      </c>
      <c r="M234" t="s">
        <v>42</v>
      </c>
      <c r="N234" t="s">
        <v>43</v>
      </c>
      <c r="O234" s="7">
        <v>1</v>
      </c>
      <c r="P234" s="8">
        <v>45284.708645833336</v>
      </c>
      <c r="Q234" s="9">
        <v>45286</v>
      </c>
      <c r="R234" t="s">
        <v>37</v>
      </c>
      <c r="S234" t="s">
        <v>44</v>
      </c>
      <c r="T234" t="s">
        <v>45</v>
      </c>
      <c r="U234" t="s">
        <v>258</v>
      </c>
      <c r="V234" t="s">
        <v>825</v>
      </c>
      <c r="W234">
        <v>20050</v>
      </c>
      <c r="X234" t="s">
        <v>44</v>
      </c>
      <c r="Y234" t="s">
        <v>260</v>
      </c>
      <c r="Z234" t="s">
        <v>49</v>
      </c>
      <c r="AA234" s="10">
        <f>IF(O234&lt;=1,7,7+0.8*ROUNDUP(O234-1,0))</f>
        <v>7</v>
      </c>
      <c r="AB234" s="11">
        <v>0</v>
      </c>
      <c r="AC234" s="11">
        <v>0</v>
      </c>
      <c r="AD234" s="11">
        <v>0</v>
      </c>
      <c r="AE234" s="11">
        <v>0</v>
      </c>
      <c r="AF234" s="11">
        <f t="shared" si="6"/>
        <v>0.42</v>
      </c>
      <c r="AG234" s="11">
        <f t="shared" si="7"/>
        <v>7.42</v>
      </c>
      <c r="AH234" t="s">
        <v>44</v>
      </c>
    </row>
    <row r="235" spans="1:34" ht="15" customHeight="1" x14ac:dyDescent="0.35">
      <c r="A235">
        <v>7547676</v>
      </c>
      <c r="B235">
        <v>690929</v>
      </c>
      <c r="C235" t="s">
        <v>34</v>
      </c>
      <c r="D235" t="s">
        <v>35</v>
      </c>
      <c r="E235" s="6" t="s">
        <v>34</v>
      </c>
      <c r="F235" t="s">
        <v>826</v>
      </c>
      <c r="G235" t="s">
        <v>37</v>
      </c>
      <c r="H235" t="s">
        <v>38</v>
      </c>
      <c r="I235" t="s">
        <v>827</v>
      </c>
      <c r="J235" t="s">
        <v>40</v>
      </c>
      <c r="K235">
        <v>2</v>
      </c>
      <c r="L235" t="s">
        <v>41</v>
      </c>
      <c r="M235" t="s">
        <v>42</v>
      </c>
      <c r="N235" t="s">
        <v>43</v>
      </c>
      <c r="O235" s="7">
        <v>10</v>
      </c>
      <c r="P235" s="8">
        <v>45284.656180555554</v>
      </c>
      <c r="Q235" s="9">
        <v>45286</v>
      </c>
      <c r="R235" t="s">
        <v>37</v>
      </c>
      <c r="S235" t="s">
        <v>44</v>
      </c>
      <c r="T235" t="s">
        <v>45</v>
      </c>
      <c r="U235" t="s">
        <v>46</v>
      </c>
      <c r="V235" t="s">
        <v>828</v>
      </c>
      <c r="W235">
        <v>81620</v>
      </c>
      <c r="X235" t="s">
        <v>44</v>
      </c>
      <c r="Y235" t="s">
        <v>829</v>
      </c>
      <c r="Z235" t="s">
        <v>49</v>
      </c>
      <c r="AA235" s="10">
        <f>IF(O235&lt;=1,7,7+0.8*ROUNDUP(O235-1,0))</f>
        <v>14.2</v>
      </c>
      <c r="AB235" s="11">
        <v>0</v>
      </c>
      <c r="AC235" s="11">
        <v>0</v>
      </c>
      <c r="AD235" s="11">
        <v>0</v>
      </c>
      <c r="AE235" s="11">
        <v>0</v>
      </c>
      <c r="AF235" s="11">
        <f t="shared" si="6"/>
        <v>0.85199999999999998</v>
      </c>
      <c r="AG235" s="11">
        <f t="shared" si="7"/>
        <v>15.052</v>
      </c>
      <c r="AH235" t="s">
        <v>44</v>
      </c>
    </row>
    <row r="236" spans="1:34" ht="15" customHeight="1" x14ac:dyDescent="0.35">
      <c r="A236">
        <v>7547676</v>
      </c>
      <c r="B236">
        <v>690929</v>
      </c>
      <c r="C236" t="s">
        <v>34</v>
      </c>
      <c r="D236" t="s">
        <v>35</v>
      </c>
      <c r="E236" s="6" t="s">
        <v>34</v>
      </c>
      <c r="F236" t="s">
        <v>830</v>
      </c>
      <c r="G236" t="s">
        <v>37</v>
      </c>
      <c r="H236" t="s">
        <v>38</v>
      </c>
      <c r="I236" t="s">
        <v>831</v>
      </c>
      <c r="J236" t="s">
        <v>40</v>
      </c>
      <c r="K236">
        <v>2</v>
      </c>
      <c r="L236" t="s">
        <v>41</v>
      </c>
      <c r="M236" t="s">
        <v>42</v>
      </c>
      <c r="N236" t="s">
        <v>43</v>
      </c>
      <c r="O236" s="7">
        <v>2</v>
      </c>
      <c r="P236" s="8">
        <v>45283.473553240743</v>
      </c>
      <c r="Q236" s="9">
        <v>45286</v>
      </c>
      <c r="R236" t="s">
        <v>37</v>
      </c>
      <c r="S236" t="s">
        <v>44</v>
      </c>
      <c r="T236" t="s">
        <v>45</v>
      </c>
      <c r="U236" t="s">
        <v>68</v>
      </c>
      <c r="V236" t="s">
        <v>832</v>
      </c>
      <c r="W236">
        <v>42700</v>
      </c>
      <c r="X236" t="s">
        <v>44</v>
      </c>
      <c r="Y236" t="s">
        <v>833</v>
      </c>
      <c r="Z236" t="s">
        <v>49</v>
      </c>
      <c r="AA236" s="10">
        <f>IF(O236&lt;=1,7,7+0.8*ROUNDUP(O236-1,0))</f>
        <v>7.8</v>
      </c>
      <c r="AB236" s="11">
        <v>0</v>
      </c>
      <c r="AC236" s="11">
        <v>0</v>
      </c>
      <c r="AD236" s="11">
        <v>0</v>
      </c>
      <c r="AE236" s="11">
        <v>0</v>
      </c>
      <c r="AF236" s="11">
        <f t="shared" si="6"/>
        <v>0.46799999999999997</v>
      </c>
      <c r="AG236" s="11">
        <f t="shared" si="7"/>
        <v>8.2680000000000007</v>
      </c>
      <c r="AH236" t="s">
        <v>44</v>
      </c>
    </row>
    <row r="237" spans="1:34" ht="15" customHeight="1" x14ac:dyDescent="0.35">
      <c r="A237">
        <v>7547676</v>
      </c>
      <c r="B237">
        <v>690929</v>
      </c>
      <c r="C237" t="s">
        <v>34</v>
      </c>
      <c r="D237" t="s">
        <v>35</v>
      </c>
      <c r="E237" s="6" t="s">
        <v>34</v>
      </c>
      <c r="F237" t="s">
        <v>834</v>
      </c>
      <c r="G237" t="s">
        <v>37</v>
      </c>
      <c r="H237" t="s">
        <v>38</v>
      </c>
      <c r="I237" t="s">
        <v>835</v>
      </c>
      <c r="J237" t="s">
        <v>40</v>
      </c>
      <c r="K237">
        <v>2</v>
      </c>
      <c r="L237" t="s">
        <v>41</v>
      </c>
      <c r="M237" t="s">
        <v>42</v>
      </c>
      <c r="N237" t="s">
        <v>43</v>
      </c>
      <c r="O237" s="7">
        <v>1</v>
      </c>
      <c r="P237" s="8">
        <v>45284.60087962963</v>
      </c>
      <c r="Q237" s="9">
        <v>45286</v>
      </c>
      <c r="R237" t="s">
        <v>37</v>
      </c>
      <c r="S237" t="s">
        <v>44</v>
      </c>
      <c r="T237" t="s">
        <v>45</v>
      </c>
      <c r="U237" t="s">
        <v>68</v>
      </c>
      <c r="V237" t="s">
        <v>836</v>
      </c>
      <c r="W237">
        <v>68100</v>
      </c>
      <c r="X237" t="s">
        <v>44</v>
      </c>
      <c r="Y237" t="s">
        <v>52</v>
      </c>
      <c r="Z237" t="s">
        <v>49</v>
      </c>
      <c r="AA237" s="10">
        <f>IF(O237&lt;=1,7,7+0.8*ROUNDUP(O237-1,0))</f>
        <v>7</v>
      </c>
      <c r="AB237" s="11">
        <v>0</v>
      </c>
      <c r="AC237" s="11">
        <v>0</v>
      </c>
      <c r="AD237" s="11">
        <v>0</v>
      </c>
      <c r="AE237" s="11">
        <v>0</v>
      </c>
      <c r="AF237" s="11">
        <f t="shared" si="6"/>
        <v>0.42</v>
      </c>
      <c r="AG237" s="11">
        <f t="shared" si="7"/>
        <v>7.42</v>
      </c>
      <c r="AH237" t="s">
        <v>44</v>
      </c>
    </row>
    <row r="238" spans="1:34" ht="15" customHeight="1" x14ac:dyDescent="0.35">
      <c r="A238">
        <v>7547676</v>
      </c>
      <c r="B238">
        <v>690929</v>
      </c>
      <c r="C238" t="s">
        <v>34</v>
      </c>
      <c r="D238" t="s">
        <v>35</v>
      </c>
      <c r="E238" s="6" t="s">
        <v>34</v>
      </c>
      <c r="F238" t="s">
        <v>837</v>
      </c>
      <c r="G238" t="s">
        <v>37</v>
      </c>
      <c r="H238" t="s">
        <v>38</v>
      </c>
      <c r="I238" t="s">
        <v>838</v>
      </c>
      <c r="J238" t="s">
        <v>40</v>
      </c>
      <c r="K238">
        <v>2</v>
      </c>
      <c r="L238" t="s">
        <v>41</v>
      </c>
      <c r="M238" t="s">
        <v>42</v>
      </c>
      <c r="N238" t="s">
        <v>43</v>
      </c>
      <c r="O238" s="7">
        <v>3</v>
      </c>
      <c r="P238" s="8">
        <v>45282.666886574072</v>
      </c>
      <c r="Q238" s="9">
        <v>45286</v>
      </c>
      <c r="R238" t="s">
        <v>37</v>
      </c>
      <c r="S238" t="s">
        <v>44</v>
      </c>
      <c r="T238" t="s">
        <v>45</v>
      </c>
      <c r="U238" t="s">
        <v>68</v>
      </c>
      <c r="V238" t="s">
        <v>839</v>
      </c>
      <c r="W238">
        <v>68100</v>
      </c>
      <c r="X238" t="s">
        <v>44</v>
      </c>
      <c r="Y238" t="s">
        <v>494</v>
      </c>
      <c r="Z238" t="s">
        <v>49</v>
      </c>
      <c r="AA238" s="10">
        <f>IF(O238&lt;=1,7,7+0.8*ROUNDUP(O238-1,0))</f>
        <v>8.6</v>
      </c>
      <c r="AB238" s="11">
        <v>0</v>
      </c>
      <c r="AC238" s="11">
        <v>0</v>
      </c>
      <c r="AD238" s="11">
        <v>0</v>
      </c>
      <c r="AE238" s="11">
        <v>0</v>
      </c>
      <c r="AF238" s="11">
        <f t="shared" si="6"/>
        <v>0.51600000000000001</v>
      </c>
      <c r="AG238" s="11">
        <f t="shared" si="7"/>
        <v>9.1159999999999997</v>
      </c>
      <c r="AH238" t="s">
        <v>44</v>
      </c>
    </row>
    <row r="239" spans="1:34" ht="15" customHeight="1" x14ac:dyDescent="0.35">
      <c r="A239">
        <v>7547676</v>
      </c>
      <c r="B239">
        <v>690929</v>
      </c>
      <c r="C239" t="s">
        <v>34</v>
      </c>
      <c r="D239" t="s">
        <v>35</v>
      </c>
      <c r="E239" s="6" t="s">
        <v>34</v>
      </c>
      <c r="F239" t="s">
        <v>840</v>
      </c>
      <c r="G239" t="s">
        <v>37</v>
      </c>
      <c r="H239" t="s">
        <v>38</v>
      </c>
      <c r="I239" t="s">
        <v>755</v>
      </c>
      <c r="J239" t="s">
        <v>40</v>
      </c>
      <c r="K239">
        <v>2</v>
      </c>
      <c r="L239" t="s">
        <v>41</v>
      </c>
      <c r="M239" t="s">
        <v>42</v>
      </c>
      <c r="N239" t="s">
        <v>43</v>
      </c>
      <c r="O239" s="7">
        <v>1</v>
      </c>
      <c r="P239" s="8">
        <v>45286.721770833334</v>
      </c>
      <c r="Q239" s="9">
        <v>45287</v>
      </c>
      <c r="R239" t="s">
        <v>37</v>
      </c>
      <c r="S239" t="s">
        <v>44</v>
      </c>
      <c r="T239" t="s">
        <v>52</v>
      </c>
      <c r="U239" t="s">
        <v>68</v>
      </c>
      <c r="V239" t="s">
        <v>756</v>
      </c>
      <c r="W239">
        <v>47650</v>
      </c>
      <c r="X239" t="s">
        <v>44</v>
      </c>
      <c r="Y239" t="s">
        <v>108</v>
      </c>
      <c r="Z239" t="s">
        <v>49</v>
      </c>
      <c r="AA239" s="10">
        <f>IF(O239&lt;=1,7,7+0.8*ROUNDUP(O239-1,0))</f>
        <v>7</v>
      </c>
      <c r="AB239" s="11">
        <v>0</v>
      </c>
      <c r="AC239" s="11">
        <v>0</v>
      </c>
      <c r="AD239" s="11">
        <v>0</v>
      </c>
      <c r="AE239" s="11">
        <v>0</v>
      </c>
      <c r="AF239" s="11">
        <f t="shared" si="6"/>
        <v>0.42</v>
      </c>
      <c r="AG239" s="11">
        <f t="shared" si="7"/>
        <v>7.42</v>
      </c>
      <c r="AH239" t="s">
        <v>44</v>
      </c>
    </row>
    <row r="240" spans="1:34" ht="15" customHeight="1" x14ac:dyDescent="0.35">
      <c r="A240">
        <v>7547676</v>
      </c>
      <c r="B240">
        <v>690929</v>
      </c>
      <c r="C240" t="s">
        <v>34</v>
      </c>
      <c r="D240" t="s">
        <v>35</v>
      </c>
      <c r="E240" s="6" t="s">
        <v>34</v>
      </c>
      <c r="F240" t="s">
        <v>841</v>
      </c>
      <c r="G240" t="s">
        <v>37</v>
      </c>
      <c r="H240" t="s">
        <v>38</v>
      </c>
      <c r="I240" t="s">
        <v>842</v>
      </c>
      <c r="J240" t="s">
        <v>40</v>
      </c>
      <c r="K240">
        <v>2</v>
      </c>
      <c r="L240" t="s">
        <v>41</v>
      </c>
      <c r="M240" t="s">
        <v>42</v>
      </c>
      <c r="N240" t="s">
        <v>43</v>
      </c>
      <c r="O240" s="7">
        <v>1</v>
      </c>
      <c r="P240" s="8">
        <v>45286.721770833334</v>
      </c>
      <c r="Q240" s="9">
        <v>45287</v>
      </c>
      <c r="R240" t="s">
        <v>37</v>
      </c>
      <c r="S240" t="s">
        <v>44</v>
      </c>
      <c r="T240" t="s">
        <v>52</v>
      </c>
      <c r="U240" t="s">
        <v>53</v>
      </c>
      <c r="V240" t="s">
        <v>843</v>
      </c>
      <c r="W240">
        <v>53300</v>
      </c>
      <c r="X240" t="s">
        <v>44</v>
      </c>
      <c r="Y240" t="s">
        <v>469</v>
      </c>
      <c r="Z240" t="s">
        <v>49</v>
      </c>
      <c r="AA240" s="10">
        <f>IF(O240&lt;=1,7,7+0.8*ROUNDUP(O240-1,0))</f>
        <v>7</v>
      </c>
      <c r="AB240" s="11">
        <v>0</v>
      </c>
      <c r="AC240" s="11">
        <v>0</v>
      </c>
      <c r="AD240" s="11">
        <v>0</v>
      </c>
      <c r="AE240" s="11">
        <v>0</v>
      </c>
      <c r="AF240" s="11">
        <f t="shared" si="6"/>
        <v>0.42</v>
      </c>
      <c r="AG240" s="11">
        <f t="shared" si="7"/>
        <v>7.42</v>
      </c>
      <c r="AH240" t="s">
        <v>44</v>
      </c>
    </row>
    <row r="241" spans="1:34" ht="15" customHeight="1" x14ac:dyDescent="0.35">
      <c r="A241">
        <v>7547676</v>
      </c>
      <c r="B241">
        <v>690929</v>
      </c>
      <c r="C241" t="s">
        <v>34</v>
      </c>
      <c r="D241" t="s">
        <v>35</v>
      </c>
      <c r="E241" s="6" t="s">
        <v>34</v>
      </c>
      <c r="F241" t="s">
        <v>844</v>
      </c>
      <c r="G241" t="s">
        <v>37</v>
      </c>
      <c r="H241" t="s">
        <v>38</v>
      </c>
      <c r="I241" t="s">
        <v>845</v>
      </c>
      <c r="J241" t="s">
        <v>40</v>
      </c>
      <c r="K241">
        <v>2</v>
      </c>
      <c r="L241" t="s">
        <v>41</v>
      </c>
      <c r="M241" t="s">
        <v>42</v>
      </c>
      <c r="N241" t="s">
        <v>43</v>
      </c>
      <c r="O241" s="7">
        <v>4</v>
      </c>
      <c r="P241" s="8">
        <v>45282.666886574072</v>
      </c>
      <c r="Q241" s="9">
        <v>45287</v>
      </c>
      <c r="R241" t="s">
        <v>37</v>
      </c>
      <c r="S241" t="s">
        <v>44</v>
      </c>
      <c r="T241" t="s">
        <v>45</v>
      </c>
      <c r="U241" t="s">
        <v>58</v>
      </c>
      <c r="V241" t="s">
        <v>846</v>
      </c>
      <c r="W241">
        <v>6500</v>
      </c>
      <c r="X241" t="s">
        <v>44</v>
      </c>
      <c r="Y241" t="s">
        <v>847</v>
      </c>
      <c r="Z241" t="s">
        <v>49</v>
      </c>
      <c r="AA241" s="10">
        <f>IF(O241&lt;=1,7,7+0.8*ROUNDUP(O241-1,0))</f>
        <v>9.4</v>
      </c>
      <c r="AB241" s="11">
        <v>0</v>
      </c>
      <c r="AC241" s="11">
        <v>0</v>
      </c>
      <c r="AD241" s="11">
        <v>0</v>
      </c>
      <c r="AE241" s="11">
        <v>0</v>
      </c>
      <c r="AF241" s="11">
        <f t="shared" si="6"/>
        <v>0.56399999999999995</v>
      </c>
      <c r="AG241" s="11">
        <f t="shared" si="7"/>
        <v>9.9640000000000004</v>
      </c>
      <c r="AH241" t="s">
        <v>44</v>
      </c>
    </row>
    <row r="242" spans="1:34" ht="15" customHeight="1" x14ac:dyDescent="0.35">
      <c r="A242">
        <v>7547676</v>
      </c>
      <c r="B242">
        <v>690929</v>
      </c>
      <c r="C242" t="s">
        <v>34</v>
      </c>
      <c r="D242" t="s">
        <v>35</v>
      </c>
      <c r="E242" s="6" t="s">
        <v>34</v>
      </c>
      <c r="F242" t="s">
        <v>848</v>
      </c>
      <c r="G242" t="s">
        <v>37</v>
      </c>
      <c r="H242" t="s">
        <v>38</v>
      </c>
      <c r="I242" t="s">
        <v>849</v>
      </c>
      <c r="J242" t="s">
        <v>40</v>
      </c>
      <c r="K242">
        <v>2</v>
      </c>
      <c r="L242" t="s">
        <v>41</v>
      </c>
      <c r="M242" t="s">
        <v>42</v>
      </c>
      <c r="N242" t="s">
        <v>43</v>
      </c>
      <c r="O242" s="7">
        <v>2</v>
      </c>
      <c r="P242" s="8">
        <v>45284.719699074078</v>
      </c>
      <c r="Q242" s="9">
        <v>45287</v>
      </c>
      <c r="R242" t="s">
        <v>37</v>
      </c>
      <c r="S242" t="s">
        <v>44</v>
      </c>
      <c r="T242" t="s">
        <v>45</v>
      </c>
      <c r="U242" t="s">
        <v>68</v>
      </c>
      <c r="V242" t="s">
        <v>850</v>
      </c>
      <c r="W242">
        <v>43900</v>
      </c>
      <c r="X242" t="s">
        <v>44</v>
      </c>
      <c r="Y242" t="s">
        <v>70</v>
      </c>
      <c r="Z242" t="s">
        <v>49</v>
      </c>
      <c r="AA242" s="10">
        <f>IF(O242&lt;=1,7,7+0.8*ROUNDUP(O242-1,0))</f>
        <v>7.8</v>
      </c>
      <c r="AB242" s="11">
        <v>0</v>
      </c>
      <c r="AC242" s="11">
        <v>0</v>
      </c>
      <c r="AD242" s="11">
        <v>0</v>
      </c>
      <c r="AE242" s="11">
        <v>0</v>
      </c>
      <c r="AF242" s="11">
        <f t="shared" si="6"/>
        <v>0.46799999999999997</v>
      </c>
      <c r="AG242" s="11">
        <f t="shared" si="7"/>
        <v>8.2680000000000007</v>
      </c>
      <c r="AH242" t="s">
        <v>44</v>
      </c>
    </row>
    <row r="243" spans="1:34" ht="15" customHeight="1" x14ac:dyDescent="0.35">
      <c r="A243">
        <v>7547676</v>
      </c>
      <c r="B243">
        <v>690929</v>
      </c>
      <c r="C243" t="s">
        <v>34</v>
      </c>
      <c r="D243" t="s">
        <v>35</v>
      </c>
      <c r="E243" s="6" t="s">
        <v>34</v>
      </c>
      <c r="F243" t="s">
        <v>851</v>
      </c>
      <c r="G243" t="s">
        <v>37</v>
      </c>
      <c r="H243" t="s">
        <v>38</v>
      </c>
      <c r="I243" t="s">
        <v>852</v>
      </c>
      <c r="J243" t="s">
        <v>40</v>
      </c>
      <c r="K243">
        <v>2</v>
      </c>
      <c r="L243" t="s">
        <v>41</v>
      </c>
      <c r="M243" t="s">
        <v>42</v>
      </c>
      <c r="N243" t="s">
        <v>43</v>
      </c>
      <c r="O243" s="7">
        <v>5</v>
      </c>
      <c r="P243" s="8">
        <v>45286.747916666667</v>
      </c>
      <c r="Q243" s="9">
        <v>45287</v>
      </c>
      <c r="R243" t="s">
        <v>37</v>
      </c>
      <c r="S243" t="s">
        <v>44</v>
      </c>
      <c r="T243" t="s">
        <v>45</v>
      </c>
      <c r="U243" t="s">
        <v>258</v>
      </c>
      <c r="V243" t="s">
        <v>853</v>
      </c>
      <c r="W243">
        <v>22100</v>
      </c>
      <c r="X243" t="s">
        <v>44</v>
      </c>
      <c r="Y243" t="s">
        <v>854</v>
      </c>
      <c r="Z243" t="s">
        <v>49</v>
      </c>
      <c r="AA243" s="10">
        <f>IF(O243&lt;=1,7,7+0.8*ROUNDUP(O243-1,0))</f>
        <v>10.199999999999999</v>
      </c>
      <c r="AB243" s="11">
        <v>0</v>
      </c>
      <c r="AC243" s="11">
        <v>0</v>
      </c>
      <c r="AD243" s="11">
        <v>0</v>
      </c>
      <c r="AE243" s="11">
        <v>0</v>
      </c>
      <c r="AF243" s="11">
        <f t="shared" si="6"/>
        <v>0.61199999999999999</v>
      </c>
      <c r="AG243" s="11">
        <f t="shared" si="7"/>
        <v>10.811999999999999</v>
      </c>
      <c r="AH243" t="s">
        <v>44</v>
      </c>
    </row>
    <row r="244" spans="1:34" ht="15" customHeight="1" x14ac:dyDescent="0.35">
      <c r="A244">
        <v>7547676</v>
      </c>
      <c r="B244">
        <v>690929</v>
      </c>
      <c r="C244" t="s">
        <v>34</v>
      </c>
      <c r="D244" t="s">
        <v>35</v>
      </c>
      <c r="E244" s="6" t="s">
        <v>34</v>
      </c>
      <c r="F244" t="s">
        <v>855</v>
      </c>
      <c r="G244" t="s">
        <v>37</v>
      </c>
      <c r="H244" t="s">
        <v>38</v>
      </c>
      <c r="I244" t="s">
        <v>856</v>
      </c>
      <c r="J244" t="s">
        <v>40</v>
      </c>
      <c r="K244">
        <v>2</v>
      </c>
      <c r="L244" t="s">
        <v>41</v>
      </c>
      <c r="M244" t="s">
        <v>42</v>
      </c>
      <c r="N244" t="s">
        <v>43</v>
      </c>
      <c r="O244" s="7">
        <v>3</v>
      </c>
      <c r="P244" s="8">
        <v>45283.752418981479</v>
      </c>
      <c r="Q244" s="9">
        <v>45287</v>
      </c>
      <c r="R244" t="s">
        <v>37</v>
      </c>
      <c r="S244" t="s">
        <v>44</v>
      </c>
      <c r="T244" t="s">
        <v>45</v>
      </c>
      <c r="U244" t="s">
        <v>82</v>
      </c>
      <c r="V244" t="s">
        <v>857</v>
      </c>
      <c r="W244">
        <v>71050</v>
      </c>
      <c r="X244" t="s">
        <v>44</v>
      </c>
      <c r="Y244" t="s">
        <v>462</v>
      </c>
      <c r="Z244" t="s">
        <v>49</v>
      </c>
      <c r="AA244" s="10">
        <f>IF(O244&lt;=1,7,7+0.8*ROUNDUP(O244-1,0))</f>
        <v>8.6</v>
      </c>
      <c r="AB244" s="11">
        <v>0</v>
      </c>
      <c r="AC244" s="11">
        <v>0</v>
      </c>
      <c r="AD244" s="11">
        <v>0</v>
      </c>
      <c r="AE244" s="11">
        <v>0</v>
      </c>
      <c r="AF244" s="11">
        <f t="shared" si="6"/>
        <v>0.51600000000000001</v>
      </c>
      <c r="AG244" s="11">
        <f t="shared" si="7"/>
        <v>9.1159999999999997</v>
      </c>
      <c r="AH244" t="s">
        <v>44</v>
      </c>
    </row>
    <row r="245" spans="1:34" ht="15" customHeight="1" x14ac:dyDescent="0.35">
      <c r="A245">
        <v>7547676</v>
      </c>
      <c r="B245">
        <v>690929</v>
      </c>
      <c r="C245" t="s">
        <v>34</v>
      </c>
      <c r="D245" t="s">
        <v>35</v>
      </c>
      <c r="E245" s="6" t="s">
        <v>34</v>
      </c>
      <c r="F245" t="s">
        <v>858</v>
      </c>
      <c r="G245" t="s">
        <v>37</v>
      </c>
      <c r="H245" t="s">
        <v>38</v>
      </c>
      <c r="I245" t="s">
        <v>859</v>
      </c>
      <c r="J245" t="s">
        <v>40</v>
      </c>
      <c r="K245">
        <v>2</v>
      </c>
      <c r="L245" t="s">
        <v>41</v>
      </c>
      <c r="M245" t="s">
        <v>42</v>
      </c>
      <c r="N245" t="s">
        <v>43</v>
      </c>
      <c r="O245" s="7">
        <v>1</v>
      </c>
      <c r="P245" s="8">
        <v>45284.747453703705</v>
      </c>
      <c r="Q245" s="9">
        <v>45287</v>
      </c>
      <c r="R245" t="s">
        <v>37</v>
      </c>
      <c r="S245" t="s">
        <v>44</v>
      </c>
      <c r="T245" t="s">
        <v>45</v>
      </c>
      <c r="U245" t="s">
        <v>115</v>
      </c>
      <c r="V245" t="s">
        <v>860</v>
      </c>
      <c r="W245">
        <v>18500</v>
      </c>
      <c r="X245" t="s">
        <v>44</v>
      </c>
      <c r="Y245" t="s">
        <v>76</v>
      </c>
      <c r="Z245" t="s">
        <v>49</v>
      </c>
      <c r="AA245" s="10">
        <f>IF(O245&lt;=1,7,7+0.8*ROUNDUP(O245-1,0))</f>
        <v>7</v>
      </c>
      <c r="AB245" s="11">
        <v>0</v>
      </c>
      <c r="AC245" s="11">
        <v>0</v>
      </c>
      <c r="AD245" s="11">
        <v>0</v>
      </c>
      <c r="AE245" s="11">
        <v>0</v>
      </c>
      <c r="AF245" s="11">
        <f t="shared" si="6"/>
        <v>0.42</v>
      </c>
      <c r="AG245" s="11">
        <f t="shared" si="7"/>
        <v>7.42</v>
      </c>
      <c r="AH245" t="s">
        <v>44</v>
      </c>
    </row>
    <row r="246" spans="1:34" ht="15" customHeight="1" x14ac:dyDescent="0.35">
      <c r="A246">
        <v>7547676</v>
      </c>
      <c r="B246">
        <v>690929</v>
      </c>
      <c r="C246" t="s">
        <v>34</v>
      </c>
      <c r="D246" t="s">
        <v>35</v>
      </c>
      <c r="E246" s="6" t="s">
        <v>34</v>
      </c>
      <c r="F246" t="s">
        <v>861</v>
      </c>
      <c r="G246" t="s">
        <v>37</v>
      </c>
      <c r="H246" t="s">
        <v>38</v>
      </c>
      <c r="I246" t="s">
        <v>862</v>
      </c>
      <c r="J246" t="s">
        <v>40</v>
      </c>
      <c r="K246">
        <v>2</v>
      </c>
      <c r="L246" t="s">
        <v>41</v>
      </c>
      <c r="M246" t="s">
        <v>42</v>
      </c>
      <c r="N246" t="s">
        <v>43</v>
      </c>
      <c r="O246" s="7">
        <v>1</v>
      </c>
      <c r="P246" s="8">
        <v>45283.755624999998</v>
      </c>
      <c r="Q246" s="9">
        <v>45287</v>
      </c>
      <c r="R246" t="s">
        <v>37</v>
      </c>
      <c r="S246" t="s">
        <v>44</v>
      </c>
      <c r="T246" t="s">
        <v>45</v>
      </c>
      <c r="U246" t="s">
        <v>94</v>
      </c>
      <c r="V246" t="s">
        <v>863</v>
      </c>
      <c r="W246">
        <v>14120</v>
      </c>
      <c r="X246" t="s">
        <v>44</v>
      </c>
      <c r="Y246" t="s">
        <v>52</v>
      </c>
      <c r="Z246" t="s">
        <v>49</v>
      </c>
      <c r="AA246" s="10">
        <f>IF(O246&lt;=1,7,7+0.8*ROUNDUP(O246-1,0))</f>
        <v>7</v>
      </c>
      <c r="AB246" s="11">
        <v>0</v>
      </c>
      <c r="AC246" s="11">
        <v>0</v>
      </c>
      <c r="AD246" s="11">
        <v>0</v>
      </c>
      <c r="AE246" s="11">
        <v>0</v>
      </c>
      <c r="AF246" s="11">
        <f t="shared" si="6"/>
        <v>0.42</v>
      </c>
      <c r="AG246" s="11">
        <f t="shared" si="7"/>
        <v>7.42</v>
      </c>
      <c r="AH246" t="s">
        <v>44</v>
      </c>
    </row>
    <row r="247" spans="1:34" ht="15" customHeight="1" x14ac:dyDescent="0.35">
      <c r="A247">
        <v>7547676</v>
      </c>
      <c r="B247">
        <v>690929</v>
      </c>
      <c r="C247" t="s">
        <v>34</v>
      </c>
      <c r="D247" t="s">
        <v>35</v>
      </c>
      <c r="E247" s="6" t="s">
        <v>34</v>
      </c>
      <c r="F247" t="s">
        <v>864</v>
      </c>
      <c r="G247" t="s">
        <v>37</v>
      </c>
      <c r="H247" t="s">
        <v>38</v>
      </c>
      <c r="I247" t="s">
        <v>865</v>
      </c>
      <c r="J247" t="s">
        <v>40</v>
      </c>
      <c r="K247">
        <v>2</v>
      </c>
      <c r="L247" t="s">
        <v>41</v>
      </c>
      <c r="M247" t="s">
        <v>42</v>
      </c>
      <c r="N247" t="s">
        <v>43</v>
      </c>
      <c r="O247" s="7">
        <v>1</v>
      </c>
      <c r="P247" s="8">
        <v>45280.710324074076</v>
      </c>
      <c r="Q247" s="9">
        <v>45287</v>
      </c>
      <c r="R247" t="s">
        <v>37</v>
      </c>
      <c r="S247" t="s">
        <v>44</v>
      </c>
      <c r="T247" t="s">
        <v>45</v>
      </c>
      <c r="U247" t="s">
        <v>240</v>
      </c>
      <c r="V247" t="s">
        <v>866</v>
      </c>
      <c r="W247">
        <v>93050</v>
      </c>
      <c r="X247" t="s">
        <v>242</v>
      </c>
      <c r="Y247" t="s">
        <v>52</v>
      </c>
      <c r="Z247" t="s">
        <v>49</v>
      </c>
      <c r="AA247" s="12">
        <f>IF(O247&lt;=1,13,IF(O247&lt;=2,23,IF(O247&lt;=3,35,IF(O247&lt;=4,43,IF(O247&lt;=5,53,IF(O247&lt;=6,63,IF(O247&lt;=7,71,IF(O247&lt;=8,79,IF(O247&lt;=9,87,IF(O247&lt;=10,95,IF(O247&lt;=11,105,IF(O247&lt;=12,114,IF(O247&lt;=13,119,IF(O247&lt;=14,127,IF(O247&lt;=15,135,IF(O247&lt;=16,143,IF(O247&lt;=17,153,IF(O247&lt;=18,163,IF(O247&lt;=19,171,IF(O247&lt;=20,185,IF(O247&lt;=21,193,IF(O247&lt;=22,201,IF(O247&lt;=23,210,IF(O247&lt;=24,220,IF(O247&lt;=25,230,IF(O247&lt;=26,240,IF(O247&lt;=27,250,IF(O247&lt;=28,260,IF(O247&lt;=29,270,IF(O247&lt;=30,280,280+10*ROUNDUP(O247-30,0)))))))))))))))))))))))))))))))</f>
        <v>13</v>
      </c>
      <c r="AB247" s="11">
        <v>0</v>
      </c>
      <c r="AC247" s="11">
        <v>0</v>
      </c>
      <c r="AD247" s="11">
        <v>0</v>
      </c>
      <c r="AE247" s="11">
        <v>0</v>
      </c>
      <c r="AF247" s="11">
        <f t="shared" si="6"/>
        <v>0.78</v>
      </c>
      <c r="AG247" s="11">
        <f t="shared" si="7"/>
        <v>13.78</v>
      </c>
      <c r="AH247" t="s">
        <v>242</v>
      </c>
    </row>
    <row r="248" spans="1:34" ht="15" customHeight="1" x14ac:dyDescent="0.35">
      <c r="A248">
        <v>7547676</v>
      </c>
      <c r="B248">
        <v>690929</v>
      </c>
      <c r="C248" t="s">
        <v>34</v>
      </c>
      <c r="D248" t="s">
        <v>35</v>
      </c>
      <c r="E248" s="6" t="s">
        <v>34</v>
      </c>
      <c r="F248" t="s">
        <v>867</v>
      </c>
      <c r="G248" t="s">
        <v>37</v>
      </c>
      <c r="H248" t="s">
        <v>38</v>
      </c>
      <c r="I248" t="s">
        <v>868</v>
      </c>
      <c r="J248" t="s">
        <v>40</v>
      </c>
      <c r="K248">
        <v>2</v>
      </c>
      <c r="L248" t="s">
        <v>41</v>
      </c>
      <c r="M248" t="s">
        <v>42</v>
      </c>
      <c r="N248" t="s">
        <v>43</v>
      </c>
      <c r="O248" s="7">
        <v>1</v>
      </c>
      <c r="P248" s="8">
        <v>45286.721770833334</v>
      </c>
      <c r="Q248" s="9">
        <v>45287</v>
      </c>
      <c r="R248" t="s">
        <v>37</v>
      </c>
      <c r="S248" t="s">
        <v>44</v>
      </c>
      <c r="T248" t="s">
        <v>52</v>
      </c>
      <c r="U248" t="s">
        <v>68</v>
      </c>
      <c r="V248" t="s">
        <v>869</v>
      </c>
      <c r="W248">
        <v>68100</v>
      </c>
      <c r="X248" t="s">
        <v>44</v>
      </c>
      <c r="Y248" t="s">
        <v>494</v>
      </c>
      <c r="Z248" t="s">
        <v>49</v>
      </c>
      <c r="AA248" s="10">
        <f>IF(O248&lt;=1,7,7+0.8*ROUNDUP(O248-1,0))</f>
        <v>7</v>
      </c>
      <c r="AB248" s="11">
        <v>0</v>
      </c>
      <c r="AC248" s="11">
        <v>0</v>
      </c>
      <c r="AD248" s="11">
        <v>0</v>
      </c>
      <c r="AE248" s="11">
        <v>0</v>
      </c>
      <c r="AF248" s="11">
        <f t="shared" si="6"/>
        <v>0.42</v>
      </c>
      <c r="AG248" s="11">
        <f t="shared" si="7"/>
        <v>7.42</v>
      </c>
      <c r="AH248" t="s">
        <v>44</v>
      </c>
    </row>
    <row r="249" spans="1:34" ht="15" customHeight="1" x14ac:dyDescent="0.35">
      <c r="A249">
        <v>7547676</v>
      </c>
      <c r="B249">
        <v>690929</v>
      </c>
      <c r="C249" t="s">
        <v>34</v>
      </c>
      <c r="D249" t="s">
        <v>35</v>
      </c>
      <c r="E249" s="6" t="s">
        <v>34</v>
      </c>
      <c r="F249" t="s">
        <v>870</v>
      </c>
      <c r="G249" t="s">
        <v>37</v>
      </c>
      <c r="H249" t="s">
        <v>38</v>
      </c>
      <c r="I249" t="s">
        <v>871</v>
      </c>
      <c r="J249" t="s">
        <v>40</v>
      </c>
      <c r="K249">
        <v>2</v>
      </c>
      <c r="L249" t="s">
        <v>41</v>
      </c>
      <c r="M249" t="s">
        <v>42</v>
      </c>
      <c r="N249" t="s">
        <v>43</v>
      </c>
      <c r="O249" s="7">
        <v>1</v>
      </c>
      <c r="P249" s="8">
        <v>45284.797569444447</v>
      </c>
      <c r="Q249" s="9">
        <v>45287</v>
      </c>
      <c r="R249" t="s">
        <v>37</v>
      </c>
      <c r="S249" t="s">
        <v>44</v>
      </c>
      <c r="T249" t="s">
        <v>52</v>
      </c>
      <c r="U249" t="s">
        <v>68</v>
      </c>
      <c r="V249" t="s">
        <v>872</v>
      </c>
      <c r="W249">
        <v>53100</v>
      </c>
      <c r="X249" t="s">
        <v>44</v>
      </c>
      <c r="Y249" t="s">
        <v>494</v>
      </c>
      <c r="Z249" t="s">
        <v>49</v>
      </c>
      <c r="AA249" s="10">
        <f>IF(O249&lt;=1,7,7+0.8*ROUNDUP(O249-1,0))</f>
        <v>7</v>
      </c>
      <c r="AB249" s="11">
        <v>0</v>
      </c>
      <c r="AC249" s="11">
        <v>0</v>
      </c>
      <c r="AD249" s="11">
        <v>0</v>
      </c>
      <c r="AE249" s="11">
        <v>0</v>
      </c>
      <c r="AF249" s="11">
        <f t="shared" si="6"/>
        <v>0.42</v>
      </c>
      <c r="AG249" s="11">
        <f t="shared" si="7"/>
        <v>7.42</v>
      </c>
      <c r="AH249" t="s">
        <v>44</v>
      </c>
    </row>
    <row r="250" spans="1:34" ht="15" customHeight="1" x14ac:dyDescent="0.35">
      <c r="A250">
        <v>7547676</v>
      </c>
      <c r="B250">
        <v>690929</v>
      </c>
      <c r="C250" t="s">
        <v>34</v>
      </c>
      <c r="D250" t="s">
        <v>35</v>
      </c>
      <c r="E250" s="6" t="s">
        <v>34</v>
      </c>
      <c r="F250" t="s">
        <v>873</v>
      </c>
      <c r="G250" t="s">
        <v>37</v>
      </c>
      <c r="H250" t="s">
        <v>38</v>
      </c>
      <c r="I250" t="s">
        <v>874</v>
      </c>
      <c r="J250" t="s">
        <v>40</v>
      </c>
      <c r="K250">
        <v>2</v>
      </c>
      <c r="L250" t="s">
        <v>41</v>
      </c>
      <c r="M250" t="s">
        <v>42</v>
      </c>
      <c r="N250" t="s">
        <v>43</v>
      </c>
      <c r="O250" s="7">
        <v>1</v>
      </c>
      <c r="P250" s="8">
        <v>45286.721770833334</v>
      </c>
      <c r="Q250" s="9">
        <v>45287</v>
      </c>
      <c r="R250" t="s">
        <v>37</v>
      </c>
      <c r="S250" t="s">
        <v>44</v>
      </c>
      <c r="T250" t="s">
        <v>52</v>
      </c>
      <c r="U250" t="s">
        <v>68</v>
      </c>
      <c r="V250" t="s">
        <v>875</v>
      </c>
      <c r="W250">
        <v>42610</v>
      </c>
      <c r="X250" t="s">
        <v>44</v>
      </c>
      <c r="Y250" t="s">
        <v>104</v>
      </c>
      <c r="Z250" t="s">
        <v>49</v>
      </c>
      <c r="AA250" s="10">
        <f>IF(O250&lt;=1,7,7+0.8*ROUNDUP(O250-1,0))</f>
        <v>7</v>
      </c>
      <c r="AB250" s="11">
        <v>0</v>
      </c>
      <c r="AC250" s="11">
        <v>0</v>
      </c>
      <c r="AD250" s="11">
        <v>0</v>
      </c>
      <c r="AE250" s="11">
        <v>0</v>
      </c>
      <c r="AF250" s="11">
        <f t="shared" si="6"/>
        <v>0.42</v>
      </c>
      <c r="AG250" s="11">
        <f t="shared" si="7"/>
        <v>7.42</v>
      </c>
      <c r="AH250" t="s">
        <v>44</v>
      </c>
    </row>
    <row r="251" spans="1:34" ht="15" customHeight="1" x14ac:dyDescent="0.35">
      <c r="A251">
        <v>7547676</v>
      </c>
      <c r="B251">
        <v>690929</v>
      </c>
      <c r="C251" t="s">
        <v>34</v>
      </c>
      <c r="D251" t="s">
        <v>35</v>
      </c>
      <c r="E251" s="6" t="s">
        <v>34</v>
      </c>
      <c r="F251" t="s">
        <v>876</v>
      </c>
      <c r="G251" t="s">
        <v>37</v>
      </c>
      <c r="H251" t="s">
        <v>38</v>
      </c>
      <c r="I251" t="s">
        <v>877</v>
      </c>
      <c r="J251" t="s">
        <v>40</v>
      </c>
      <c r="K251">
        <v>2</v>
      </c>
      <c r="L251" t="s">
        <v>41</v>
      </c>
      <c r="M251" t="s">
        <v>42</v>
      </c>
      <c r="N251" t="s">
        <v>43</v>
      </c>
      <c r="O251" s="7">
        <v>1</v>
      </c>
      <c r="P251" s="8">
        <v>45286.724722222221</v>
      </c>
      <c r="Q251" s="9">
        <v>45287</v>
      </c>
      <c r="R251" t="s">
        <v>37</v>
      </c>
      <c r="S251" t="s">
        <v>44</v>
      </c>
      <c r="T251" t="s">
        <v>52</v>
      </c>
      <c r="U251" t="s">
        <v>68</v>
      </c>
      <c r="V251" t="s">
        <v>878</v>
      </c>
      <c r="W251">
        <v>43500</v>
      </c>
      <c r="X251" t="s">
        <v>44</v>
      </c>
      <c r="Y251" t="s">
        <v>498</v>
      </c>
      <c r="Z251" t="s">
        <v>49</v>
      </c>
      <c r="AA251" s="10">
        <f>IF(O251&lt;=1,7,7+0.8*ROUNDUP(O251-1,0))</f>
        <v>7</v>
      </c>
      <c r="AB251" s="11">
        <v>0</v>
      </c>
      <c r="AC251" s="11">
        <v>0</v>
      </c>
      <c r="AD251" s="11">
        <v>0</v>
      </c>
      <c r="AE251" s="11">
        <v>0</v>
      </c>
      <c r="AF251" s="11">
        <f t="shared" si="6"/>
        <v>0.42</v>
      </c>
      <c r="AG251" s="11">
        <f t="shared" si="7"/>
        <v>7.42</v>
      </c>
      <c r="AH251" t="s">
        <v>44</v>
      </c>
    </row>
    <row r="252" spans="1:34" ht="15" customHeight="1" x14ac:dyDescent="0.35">
      <c r="A252">
        <v>7547676</v>
      </c>
      <c r="B252">
        <v>690929</v>
      </c>
      <c r="C252" t="s">
        <v>34</v>
      </c>
      <c r="D252" t="s">
        <v>35</v>
      </c>
      <c r="E252" s="6" t="s">
        <v>34</v>
      </c>
      <c r="F252" t="s">
        <v>879</v>
      </c>
      <c r="G252" t="s">
        <v>37</v>
      </c>
      <c r="H252" t="s">
        <v>38</v>
      </c>
      <c r="I252" t="s">
        <v>880</v>
      </c>
      <c r="J252" t="s">
        <v>40</v>
      </c>
      <c r="K252">
        <v>2</v>
      </c>
      <c r="L252" t="s">
        <v>41</v>
      </c>
      <c r="M252" t="s">
        <v>42</v>
      </c>
      <c r="N252" t="s">
        <v>43</v>
      </c>
      <c r="O252" s="7">
        <v>1</v>
      </c>
      <c r="P252" s="8">
        <v>45259.714548611111</v>
      </c>
      <c r="Q252" s="9">
        <v>45261</v>
      </c>
      <c r="R252" t="s">
        <v>37</v>
      </c>
      <c r="S252" t="s">
        <v>44</v>
      </c>
      <c r="T252" t="s">
        <v>45</v>
      </c>
      <c r="U252" t="s">
        <v>46</v>
      </c>
      <c r="V252" t="s">
        <v>881</v>
      </c>
      <c r="W252">
        <v>86400</v>
      </c>
      <c r="X252" t="s">
        <v>44</v>
      </c>
      <c r="Y252" t="s">
        <v>285</v>
      </c>
      <c r="Z252" t="s">
        <v>49</v>
      </c>
      <c r="AA252" s="10">
        <f>IF(O252&lt;=1,7,7+0.8*ROUNDUP(O252-1,0))</f>
        <v>7</v>
      </c>
      <c r="AB252" s="11">
        <v>0</v>
      </c>
      <c r="AC252" s="11">
        <v>0</v>
      </c>
      <c r="AD252" s="11">
        <v>0</v>
      </c>
      <c r="AE252" s="11">
        <v>0</v>
      </c>
      <c r="AF252" s="11">
        <f t="shared" si="6"/>
        <v>0.42</v>
      </c>
      <c r="AG252" s="11">
        <f t="shared" si="7"/>
        <v>7.42</v>
      </c>
      <c r="AH252" t="s">
        <v>44</v>
      </c>
    </row>
    <row r="253" spans="1:34" ht="15" customHeight="1" x14ac:dyDescent="0.35">
      <c r="A253">
        <v>7547676</v>
      </c>
      <c r="B253">
        <v>690929</v>
      </c>
      <c r="C253" t="s">
        <v>34</v>
      </c>
      <c r="D253" t="s">
        <v>35</v>
      </c>
      <c r="E253" s="6" t="s">
        <v>34</v>
      </c>
      <c r="F253" t="s">
        <v>882</v>
      </c>
      <c r="G253" t="s">
        <v>37</v>
      </c>
      <c r="H253" t="s">
        <v>38</v>
      </c>
      <c r="I253" t="s">
        <v>883</v>
      </c>
      <c r="J253" t="s">
        <v>40</v>
      </c>
      <c r="K253">
        <v>2</v>
      </c>
      <c r="L253" t="s">
        <v>41</v>
      </c>
      <c r="M253" t="s">
        <v>42</v>
      </c>
      <c r="N253" t="s">
        <v>43</v>
      </c>
      <c r="O253" s="7">
        <v>3</v>
      </c>
      <c r="P253" s="8">
        <v>45260.656863425924</v>
      </c>
      <c r="Q253" s="9">
        <v>45261</v>
      </c>
      <c r="R253" t="s">
        <v>37</v>
      </c>
      <c r="S253" t="s">
        <v>44</v>
      </c>
      <c r="T253" t="s">
        <v>45</v>
      </c>
      <c r="U253" t="s">
        <v>68</v>
      </c>
      <c r="V253" t="s">
        <v>884</v>
      </c>
      <c r="W253">
        <v>63100</v>
      </c>
      <c r="X253" t="s">
        <v>44</v>
      </c>
      <c r="Y253" t="s">
        <v>779</v>
      </c>
      <c r="Z253" t="s">
        <v>49</v>
      </c>
      <c r="AA253" s="10">
        <f>IF(O253&lt;=1,7,7+0.8*ROUNDUP(O253-1,0))</f>
        <v>8.6</v>
      </c>
      <c r="AB253" s="11">
        <v>0</v>
      </c>
      <c r="AC253" s="11">
        <v>0</v>
      </c>
      <c r="AD253" s="11">
        <v>0</v>
      </c>
      <c r="AE253" s="11">
        <v>0</v>
      </c>
      <c r="AF253" s="11">
        <f t="shared" si="6"/>
        <v>0.51600000000000001</v>
      </c>
      <c r="AG253" s="11">
        <f t="shared" si="7"/>
        <v>9.1159999999999997</v>
      </c>
      <c r="AH253" t="s">
        <v>44</v>
      </c>
    </row>
    <row r="254" spans="1:34" ht="15" customHeight="1" x14ac:dyDescent="0.35">
      <c r="A254">
        <v>7547676</v>
      </c>
      <c r="B254">
        <v>690929</v>
      </c>
      <c r="C254" t="s">
        <v>34</v>
      </c>
      <c r="D254" t="s">
        <v>35</v>
      </c>
      <c r="E254" s="6" t="s">
        <v>34</v>
      </c>
      <c r="F254" t="s">
        <v>885</v>
      </c>
      <c r="G254" t="s">
        <v>37</v>
      </c>
      <c r="H254" t="s">
        <v>38</v>
      </c>
      <c r="I254" t="s">
        <v>886</v>
      </c>
      <c r="J254" t="s">
        <v>40</v>
      </c>
      <c r="K254">
        <v>2</v>
      </c>
      <c r="L254" t="s">
        <v>41</v>
      </c>
      <c r="M254" t="s">
        <v>42</v>
      </c>
      <c r="N254" t="s">
        <v>43</v>
      </c>
      <c r="O254" s="7">
        <v>1</v>
      </c>
      <c r="P254" s="8">
        <v>45260.674826388888</v>
      </c>
      <c r="Q254" s="9">
        <v>45261</v>
      </c>
      <c r="R254" t="s">
        <v>37</v>
      </c>
      <c r="S254" t="s">
        <v>44</v>
      </c>
      <c r="T254" t="s">
        <v>45</v>
      </c>
      <c r="U254" t="s">
        <v>68</v>
      </c>
      <c r="V254" t="s">
        <v>887</v>
      </c>
      <c r="W254">
        <v>48050</v>
      </c>
      <c r="X254" t="s">
        <v>44</v>
      </c>
      <c r="Y254" t="s">
        <v>52</v>
      </c>
      <c r="Z254" t="s">
        <v>49</v>
      </c>
      <c r="AA254" s="10">
        <f>IF(O254&lt;=1,7,7+0.8*ROUNDUP(O254-1,0))</f>
        <v>7</v>
      </c>
      <c r="AB254" s="11">
        <v>0</v>
      </c>
      <c r="AC254" s="11">
        <v>0</v>
      </c>
      <c r="AD254" s="11">
        <v>0</v>
      </c>
      <c r="AE254" s="11">
        <v>0</v>
      </c>
      <c r="AF254" s="11">
        <f t="shared" si="6"/>
        <v>0.42</v>
      </c>
      <c r="AG254" s="11">
        <f t="shared" si="7"/>
        <v>7.42</v>
      </c>
      <c r="AH254" t="s">
        <v>44</v>
      </c>
    </row>
    <row r="255" spans="1:34" ht="15" customHeight="1" x14ac:dyDescent="0.35">
      <c r="A255">
        <v>7547676</v>
      </c>
      <c r="B255">
        <v>690929</v>
      </c>
      <c r="C255" t="s">
        <v>34</v>
      </c>
      <c r="D255" t="s">
        <v>35</v>
      </c>
      <c r="E255" s="6" t="s">
        <v>34</v>
      </c>
      <c r="F255" t="s">
        <v>888</v>
      </c>
      <c r="G255" t="s">
        <v>37</v>
      </c>
      <c r="H255" t="s">
        <v>38</v>
      </c>
      <c r="I255" t="s">
        <v>889</v>
      </c>
      <c r="J255" t="s">
        <v>40</v>
      </c>
      <c r="K255">
        <v>2</v>
      </c>
      <c r="L255" t="s">
        <v>41</v>
      </c>
      <c r="M255" t="s">
        <v>42</v>
      </c>
      <c r="N255" t="s">
        <v>43</v>
      </c>
      <c r="O255" s="7">
        <v>1</v>
      </c>
      <c r="P255" s="8">
        <v>45259.810243055559</v>
      </c>
      <c r="Q255" s="9">
        <v>45261</v>
      </c>
      <c r="R255" t="s">
        <v>37</v>
      </c>
      <c r="S255" t="s">
        <v>44</v>
      </c>
      <c r="T255" t="s">
        <v>45</v>
      </c>
      <c r="U255" t="s">
        <v>82</v>
      </c>
      <c r="V255" t="s">
        <v>890</v>
      </c>
      <c r="W255">
        <v>71800</v>
      </c>
      <c r="X255" t="s">
        <v>44</v>
      </c>
      <c r="Y255" t="s">
        <v>84</v>
      </c>
      <c r="Z255" t="s">
        <v>49</v>
      </c>
      <c r="AA255" s="10">
        <f>IF(O255&lt;=1,7,7+0.8*ROUNDUP(O255-1,0))</f>
        <v>7</v>
      </c>
      <c r="AB255" s="11">
        <v>0</v>
      </c>
      <c r="AC255" s="11">
        <v>0</v>
      </c>
      <c r="AD255" s="11">
        <v>0</v>
      </c>
      <c r="AE255" s="11">
        <v>0</v>
      </c>
      <c r="AF255" s="11">
        <f t="shared" si="6"/>
        <v>0.42</v>
      </c>
      <c r="AG255" s="11">
        <f t="shared" si="7"/>
        <v>7.42</v>
      </c>
      <c r="AH255" t="s">
        <v>44</v>
      </c>
    </row>
    <row r="256" spans="1:34" ht="15" customHeight="1" x14ac:dyDescent="0.35">
      <c r="A256">
        <v>7547676</v>
      </c>
      <c r="B256">
        <v>690929</v>
      </c>
      <c r="C256" t="s">
        <v>34</v>
      </c>
      <c r="D256" t="s">
        <v>35</v>
      </c>
      <c r="E256" s="6" t="s">
        <v>34</v>
      </c>
      <c r="F256" t="s">
        <v>891</v>
      </c>
      <c r="G256" t="s">
        <v>37</v>
      </c>
      <c r="H256" t="s">
        <v>38</v>
      </c>
      <c r="I256" t="s">
        <v>892</v>
      </c>
      <c r="J256" t="s">
        <v>40</v>
      </c>
      <c r="K256">
        <v>2</v>
      </c>
      <c r="L256" t="s">
        <v>41</v>
      </c>
      <c r="M256" t="s">
        <v>42</v>
      </c>
      <c r="N256" t="s">
        <v>43</v>
      </c>
      <c r="O256" s="7">
        <v>2</v>
      </c>
      <c r="P256" s="8">
        <v>45259.693553240744</v>
      </c>
      <c r="Q256" s="9">
        <v>45261</v>
      </c>
      <c r="R256" t="s">
        <v>37</v>
      </c>
      <c r="S256" t="s">
        <v>44</v>
      </c>
      <c r="T256" t="s">
        <v>45</v>
      </c>
      <c r="U256" t="s">
        <v>77</v>
      </c>
      <c r="V256" t="s">
        <v>893</v>
      </c>
      <c r="W256">
        <v>27600</v>
      </c>
      <c r="X256" t="s">
        <v>44</v>
      </c>
      <c r="Y256" t="s">
        <v>45</v>
      </c>
      <c r="Z256" t="s">
        <v>49</v>
      </c>
      <c r="AA256" s="10">
        <f>IF(O256&lt;=1,7,7+0.8*ROUNDUP(O256-1,0))</f>
        <v>7.8</v>
      </c>
      <c r="AB256" s="11">
        <v>0</v>
      </c>
      <c r="AC256" s="11">
        <v>0</v>
      </c>
      <c r="AD256" s="11">
        <v>0</v>
      </c>
      <c r="AE256" s="11">
        <v>0</v>
      </c>
      <c r="AF256" s="11">
        <f t="shared" si="6"/>
        <v>0.46799999999999997</v>
      </c>
      <c r="AG256" s="11">
        <f t="shared" si="7"/>
        <v>8.2680000000000007</v>
      </c>
      <c r="AH256" t="s">
        <v>44</v>
      </c>
    </row>
    <row r="257" spans="1:34" ht="15" customHeight="1" x14ac:dyDescent="0.35">
      <c r="A257">
        <v>7547676</v>
      </c>
      <c r="B257">
        <v>690929</v>
      </c>
      <c r="C257" t="s">
        <v>34</v>
      </c>
      <c r="D257" t="s">
        <v>35</v>
      </c>
      <c r="E257" s="6" t="s">
        <v>34</v>
      </c>
      <c r="F257" t="s">
        <v>894</v>
      </c>
      <c r="G257" t="s">
        <v>37</v>
      </c>
      <c r="H257" t="s">
        <v>38</v>
      </c>
      <c r="I257" t="s">
        <v>895</v>
      </c>
      <c r="J257" t="s">
        <v>40</v>
      </c>
      <c r="K257">
        <v>2</v>
      </c>
      <c r="L257" t="s">
        <v>41</v>
      </c>
      <c r="M257" t="s">
        <v>42</v>
      </c>
      <c r="N257" t="s">
        <v>43</v>
      </c>
      <c r="O257" s="7">
        <v>3</v>
      </c>
      <c r="P257" s="8">
        <v>45260.679409722223</v>
      </c>
      <c r="Q257" s="9">
        <v>45261</v>
      </c>
      <c r="R257" t="s">
        <v>37</v>
      </c>
      <c r="S257" t="s">
        <v>44</v>
      </c>
      <c r="T257" t="s">
        <v>45</v>
      </c>
      <c r="U257" t="s">
        <v>77</v>
      </c>
      <c r="V257" t="s">
        <v>896</v>
      </c>
      <c r="W257">
        <v>27100</v>
      </c>
      <c r="X257" t="s">
        <v>44</v>
      </c>
      <c r="Y257" t="s">
        <v>45</v>
      </c>
      <c r="Z257" t="s">
        <v>49</v>
      </c>
      <c r="AA257" s="10">
        <f>IF(O257&lt;=1,7,7+0.8*ROUNDUP(O257-1,0))</f>
        <v>8.6</v>
      </c>
      <c r="AB257" s="11">
        <v>0</v>
      </c>
      <c r="AC257" s="11">
        <v>0</v>
      </c>
      <c r="AD257" s="11">
        <v>0</v>
      </c>
      <c r="AE257" s="11">
        <v>0</v>
      </c>
      <c r="AF257" s="11">
        <f t="shared" si="6"/>
        <v>0.51600000000000001</v>
      </c>
      <c r="AG257" s="11">
        <f t="shared" si="7"/>
        <v>9.1159999999999997</v>
      </c>
      <c r="AH257" t="s">
        <v>44</v>
      </c>
    </row>
    <row r="258" spans="1:34" ht="15" customHeight="1" x14ac:dyDescent="0.35">
      <c r="A258">
        <v>7547676</v>
      </c>
      <c r="B258">
        <v>690929</v>
      </c>
      <c r="C258" t="s">
        <v>34</v>
      </c>
      <c r="D258" t="s">
        <v>35</v>
      </c>
      <c r="E258" s="6" t="s">
        <v>34</v>
      </c>
      <c r="F258" t="s">
        <v>897</v>
      </c>
      <c r="G258" t="s">
        <v>37</v>
      </c>
      <c r="H258" t="s">
        <v>38</v>
      </c>
      <c r="I258" t="s">
        <v>898</v>
      </c>
      <c r="J258" t="s">
        <v>40</v>
      </c>
      <c r="K258">
        <v>2</v>
      </c>
      <c r="L258" t="s">
        <v>41</v>
      </c>
      <c r="M258" t="s">
        <v>42</v>
      </c>
      <c r="N258" t="s">
        <v>43</v>
      </c>
      <c r="O258" s="7">
        <v>5</v>
      </c>
      <c r="P258" s="8">
        <v>45258.78266203704</v>
      </c>
      <c r="Q258" s="9">
        <v>45261</v>
      </c>
      <c r="R258" t="s">
        <v>37</v>
      </c>
      <c r="S258" t="s">
        <v>44</v>
      </c>
      <c r="T258" t="s">
        <v>45</v>
      </c>
      <c r="U258" t="s">
        <v>46</v>
      </c>
      <c r="V258" t="s">
        <v>899</v>
      </c>
      <c r="W258">
        <v>81900</v>
      </c>
      <c r="X258" t="s">
        <v>44</v>
      </c>
      <c r="Y258" t="s">
        <v>900</v>
      </c>
      <c r="Z258" t="s">
        <v>49</v>
      </c>
      <c r="AA258" s="10">
        <f>IF(O258&lt;=1,7,7+0.8*ROUNDUP(O258-1,0))</f>
        <v>10.199999999999999</v>
      </c>
      <c r="AB258" s="11">
        <v>0</v>
      </c>
      <c r="AC258" s="11">
        <v>0</v>
      </c>
      <c r="AD258" s="11">
        <v>0</v>
      </c>
      <c r="AE258" s="11">
        <v>0</v>
      </c>
      <c r="AF258" s="11">
        <f t="shared" ref="AF258:AF321" si="8">(AA258+AC258+AE258)*6%</f>
        <v>0.61199999999999999</v>
      </c>
      <c r="AG258" s="11">
        <f t="shared" ref="AG258:AG321" si="9">AA258+AC258+AE258+AF258</f>
        <v>10.811999999999999</v>
      </c>
      <c r="AH258" t="s">
        <v>44</v>
      </c>
    </row>
    <row r="259" spans="1:34" ht="15" customHeight="1" x14ac:dyDescent="0.35">
      <c r="A259">
        <v>7547676</v>
      </c>
      <c r="B259">
        <v>690929</v>
      </c>
      <c r="C259" t="s">
        <v>34</v>
      </c>
      <c r="D259" t="s">
        <v>35</v>
      </c>
      <c r="E259" s="6" t="s">
        <v>34</v>
      </c>
      <c r="F259" t="s">
        <v>901</v>
      </c>
      <c r="G259" t="s">
        <v>37</v>
      </c>
      <c r="H259" t="s">
        <v>38</v>
      </c>
      <c r="I259" t="s">
        <v>902</v>
      </c>
      <c r="J259" t="s">
        <v>40</v>
      </c>
      <c r="K259">
        <v>2</v>
      </c>
      <c r="L259" t="s">
        <v>41</v>
      </c>
      <c r="M259" t="s">
        <v>42</v>
      </c>
      <c r="N259" t="s">
        <v>43</v>
      </c>
      <c r="O259" s="7">
        <v>1</v>
      </c>
      <c r="P259" s="8">
        <v>45260.585497685184</v>
      </c>
      <c r="Q259" s="9">
        <v>45261</v>
      </c>
      <c r="R259" t="s">
        <v>37</v>
      </c>
      <c r="S259" t="s">
        <v>44</v>
      </c>
      <c r="T259" t="s">
        <v>45</v>
      </c>
      <c r="U259" t="s">
        <v>82</v>
      </c>
      <c r="V259" t="s">
        <v>903</v>
      </c>
      <c r="W259">
        <v>70400</v>
      </c>
      <c r="X259" t="s">
        <v>44</v>
      </c>
      <c r="Y259" t="s">
        <v>816</v>
      </c>
      <c r="Z259" t="s">
        <v>49</v>
      </c>
      <c r="AA259" s="10">
        <f>IF(O259&lt;=1,7,7+0.8*ROUNDUP(O259-1,0))</f>
        <v>7</v>
      </c>
      <c r="AB259" s="11">
        <v>0</v>
      </c>
      <c r="AC259" s="11">
        <v>0</v>
      </c>
      <c r="AD259" s="11">
        <v>0</v>
      </c>
      <c r="AE259" s="11">
        <v>0</v>
      </c>
      <c r="AF259" s="11">
        <f t="shared" si="8"/>
        <v>0.42</v>
      </c>
      <c r="AG259" s="11">
        <f t="shared" si="9"/>
        <v>7.42</v>
      </c>
      <c r="AH259" t="s">
        <v>44</v>
      </c>
    </row>
    <row r="260" spans="1:34" ht="15" customHeight="1" x14ac:dyDescent="0.35">
      <c r="A260">
        <v>7547676</v>
      </c>
      <c r="B260">
        <v>690929</v>
      </c>
      <c r="C260" t="s">
        <v>34</v>
      </c>
      <c r="D260" t="s">
        <v>35</v>
      </c>
      <c r="E260" s="6" t="s">
        <v>34</v>
      </c>
      <c r="F260" t="s">
        <v>904</v>
      </c>
      <c r="G260" t="s">
        <v>37</v>
      </c>
      <c r="H260" t="s">
        <v>38</v>
      </c>
      <c r="I260" t="s">
        <v>905</v>
      </c>
      <c r="J260" t="s">
        <v>40</v>
      </c>
      <c r="K260">
        <v>2</v>
      </c>
      <c r="L260" t="s">
        <v>41</v>
      </c>
      <c r="M260" t="s">
        <v>42</v>
      </c>
      <c r="N260" t="s">
        <v>43</v>
      </c>
      <c r="O260" s="7">
        <v>4</v>
      </c>
      <c r="P260" s="8">
        <v>45260.714062500003</v>
      </c>
      <c r="Q260" s="9">
        <v>45261</v>
      </c>
      <c r="R260" t="s">
        <v>37</v>
      </c>
      <c r="S260" t="s">
        <v>44</v>
      </c>
      <c r="T260" t="s">
        <v>45</v>
      </c>
      <c r="U260" t="s">
        <v>68</v>
      </c>
      <c r="V260" t="s">
        <v>906</v>
      </c>
      <c r="W260">
        <v>47301</v>
      </c>
      <c r="X260" t="s">
        <v>44</v>
      </c>
      <c r="Y260" t="s">
        <v>907</v>
      </c>
      <c r="Z260" t="s">
        <v>49</v>
      </c>
      <c r="AA260" s="10">
        <f>IF(O260&lt;=1,7,7+0.8*ROUNDUP(O260-1,0))</f>
        <v>9.4</v>
      </c>
      <c r="AB260" s="11">
        <v>0</v>
      </c>
      <c r="AC260" s="11">
        <v>0</v>
      </c>
      <c r="AD260" s="11">
        <v>0</v>
      </c>
      <c r="AE260" s="11">
        <v>0</v>
      </c>
      <c r="AF260" s="11">
        <f t="shared" si="8"/>
        <v>0.56399999999999995</v>
      </c>
      <c r="AG260" s="11">
        <f t="shared" si="9"/>
        <v>9.9640000000000004</v>
      </c>
      <c r="AH260" t="s">
        <v>44</v>
      </c>
    </row>
    <row r="261" spans="1:34" ht="15" customHeight="1" x14ac:dyDescent="0.35">
      <c r="A261">
        <v>7547676</v>
      </c>
      <c r="B261">
        <v>690929</v>
      </c>
      <c r="C261" t="s">
        <v>34</v>
      </c>
      <c r="D261" t="s">
        <v>35</v>
      </c>
      <c r="E261" s="6" t="s">
        <v>34</v>
      </c>
      <c r="F261" t="s">
        <v>908</v>
      </c>
      <c r="G261" t="s">
        <v>37</v>
      </c>
      <c r="H261" t="s">
        <v>38</v>
      </c>
      <c r="I261" t="s">
        <v>905</v>
      </c>
      <c r="J261" t="s">
        <v>40</v>
      </c>
      <c r="K261">
        <v>2</v>
      </c>
      <c r="L261" t="s">
        <v>41</v>
      </c>
      <c r="M261" t="s">
        <v>42</v>
      </c>
      <c r="N261" t="s">
        <v>43</v>
      </c>
      <c r="O261" s="7">
        <v>11</v>
      </c>
      <c r="P261" s="8">
        <v>45260.714062500003</v>
      </c>
      <c r="Q261" s="9">
        <v>45261</v>
      </c>
      <c r="R261" t="s">
        <v>37</v>
      </c>
      <c r="S261" t="s">
        <v>44</v>
      </c>
      <c r="T261" t="s">
        <v>45</v>
      </c>
      <c r="U261" t="s">
        <v>68</v>
      </c>
      <c r="V261" t="s">
        <v>906</v>
      </c>
      <c r="W261">
        <v>47301</v>
      </c>
      <c r="X261" t="s">
        <v>44</v>
      </c>
      <c r="Y261" t="s">
        <v>907</v>
      </c>
      <c r="Z261" t="s">
        <v>49</v>
      </c>
      <c r="AA261" s="10">
        <f>IF(O261&lt;=1,7,7+0.8*ROUNDUP(O261-1,0))</f>
        <v>15</v>
      </c>
      <c r="AB261" s="11">
        <v>0</v>
      </c>
      <c r="AC261" s="11">
        <v>0</v>
      </c>
      <c r="AD261" s="11">
        <v>0</v>
      </c>
      <c r="AE261" s="11">
        <v>0</v>
      </c>
      <c r="AF261" s="11">
        <f t="shared" si="8"/>
        <v>0.89999999999999991</v>
      </c>
      <c r="AG261" s="11">
        <f t="shared" si="9"/>
        <v>15.9</v>
      </c>
      <c r="AH261" t="s">
        <v>44</v>
      </c>
    </row>
    <row r="262" spans="1:34" ht="15" customHeight="1" x14ac:dyDescent="0.35">
      <c r="A262">
        <v>7547676</v>
      </c>
      <c r="B262">
        <v>690929</v>
      </c>
      <c r="C262" t="s">
        <v>34</v>
      </c>
      <c r="D262" t="s">
        <v>35</v>
      </c>
      <c r="E262" s="6" t="s">
        <v>34</v>
      </c>
      <c r="F262" t="s">
        <v>909</v>
      </c>
      <c r="G262" t="s">
        <v>37</v>
      </c>
      <c r="H262" t="s">
        <v>38</v>
      </c>
      <c r="I262" t="s">
        <v>905</v>
      </c>
      <c r="J262" t="s">
        <v>40</v>
      </c>
      <c r="K262">
        <v>2</v>
      </c>
      <c r="L262" t="s">
        <v>41</v>
      </c>
      <c r="M262" t="s">
        <v>42</v>
      </c>
      <c r="N262" t="s">
        <v>43</v>
      </c>
      <c r="O262" s="7">
        <v>9</v>
      </c>
      <c r="P262" s="8">
        <v>45260.714062500003</v>
      </c>
      <c r="Q262" s="9">
        <v>45261</v>
      </c>
      <c r="R262" t="s">
        <v>37</v>
      </c>
      <c r="S262" t="s">
        <v>44</v>
      </c>
      <c r="T262" t="s">
        <v>45</v>
      </c>
      <c r="U262" t="s">
        <v>68</v>
      </c>
      <c r="V262" t="s">
        <v>906</v>
      </c>
      <c r="W262">
        <v>47301</v>
      </c>
      <c r="X262" t="s">
        <v>44</v>
      </c>
      <c r="Y262" t="s">
        <v>907</v>
      </c>
      <c r="Z262" t="s">
        <v>49</v>
      </c>
      <c r="AA262" s="10">
        <f>IF(O262&lt;=1,7,7+0.8*ROUNDUP(O262-1,0))</f>
        <v>13.4</v>
      </c>
      <c r="AB262" s="11">
        <v>0</v>
      </c>
      <c r="AC262" s="11">
        <v>0</v>
      </c>
      <c r="AD262" s="11">
        <v>0</v>
      </c>
      <c r="AE262" s="11">
        <v>0</v>
      </c>
      <c r="AF262" s="11">
        <f t="shared" si="8"/>
        <v>0.80399999999999994</v>
      </c>
      <c r="AG262" s="11">
        <f t="shared" si="9"/>
        <v>14.204000000000001</v>
      </c>
      <c r="AH262" t="s">
        <v>44</v>
      </c>
    </row>
    <row r="263" spans="1:34" ht="15" customHeight="1" x14ac:dyDescent="0.35">
      <c r="A263">
        <v>7547676</v>
      </c>
      <c r="B263">
        <v>690929</v>
      </c>
      <c r="C263" t="s">
        <v>34</v>
      </c>
      <c r="D263" t="s">
        <v>35</v>
      </c>
      <c r="E263" s="6" t="s">
        <v>34</v>
      </c>
      <c r="F263" t="s">
        <v>910</v>
      </c>
      <c r="G263" t="s">
        <v>37</v>
      </c>
      <c r="H263" t="s">
        <v>38</v>
      </c>
      <c r="I263" t="s">
        <v>911</v>
      </c>
      <c r="J263" t="s">
        <v>40</v>
      </c>
      <c r="K263">
        <v>2</v>
      </c>
      <c r="L263" t="s">
        <v>41</v>
      </c>
      <c r="M263" t="s">
        <v>42</v>
      </c>
      <c r="N263" t="s">
        <v>43</v>
      </c>
      <c r="O263" s="7">
        <v>1</v>
      </c>
      <c r="P263" s="8">
        <v>45260.636018518519</v>
      </c>
      <c r="Q263" s="9">
        <v>45261</v>
      </c>
      <c r="R263" t="s">
        <v>37</v>
      </c>
      <c r="S263" t="s">
        <v>44</v>
      </c>
      <c r="T263" t="s">
        <v>45</v>
      </c>
      <c r="U263" t="s">
        <v>77</v>
      </c>
      <c r="V263" t="s">
        <v>912</v>
      </c>
      <c r="W263">
        <v>25200</v>
      </c>
      <c r="X263" t="s">
        <v>44</v>
      </c>
      <c r="Y263" t="s">
        <v>45</v>
      </c>
      <c r="Z263" t="s">
        <v>49</v>
      </c>
      <c r="AA263" s="10">
        <f>IF(O263&lt;=1,7,7+0.8*ROUNDUP(O263-1,0))</f>
        <v>7</v>
      </c>
      <c r="AB263" s="11">
        <v>0</v>
      </c>
      <c r="AC263" s="11">
        <v>0</v>
      </c>
      <c r="AD263" s="11">
        <v>0</v>
      </c>
      <c r="AE263" s="11">
        <v>0</v>
      </c>
      <c r="AF263" s="11">
        <f t="shared" si="8"/>
        <v>0.42</v>
      </c>
      <c r="AG263" s="11">
        <f t="shared" si="9"/>
        <v>7.42</v>
      </c>
      <c r="AH263" t="s">
        <v>44</v>
      </c>
    </row>
    <row r="264" spans="1:34" ht="15" customHeight="1" x14ac:dyDescent="0.35">
      <c r="A264">
        <v>7547676</v>
      </c>
      <c r="B264">
        <v>690929</v>
      </c>
      <c r="C264" t="s">
        <v>34</v>
      </c>
      <c r="D264" t="s">
        <v>35</v>
      </c>
      <c r="E264" s="6" t="s">
        <v>34</v>
      </c>
      <c r="F264" t="s">
        <v>913</v>
      </c>
      <c r="G264" t="s">
        <v>37</v>
      </c>
      <c r="H264" t="s">
        <v>38</v>
      </c>
      <c r="I264" t="s">
        <v>905</v>
      </c>
      <c r="J264" t="s">
        <v>40</v>
      </c>
      <c r="K264">
        <v>2</v>
      </c>
      <c r="L264" t="s">
        <v>41</v>
      </c>
      <c r="M264" t="s">
        <v>42</v>
      </c>
      <c r="N264" t="s">
        <v>43</v>
      </c>
      <c r="O264" s="7">
        <v>7</v>
      </c>
      <c r="P264" s="8">
        <v>45260.714062500003</v>
      </c>
      <c r="Q264" s="9">
        <v>45261</v>
      </c>
      <c r="R264" t="s">
        <v>37</v>
      </c>
      <c r="S264" t="s">
        <v>44</v>
      </c>
      <c r="T264" t="s">
        <v>45</v>
      </c>
      <c r="U264" t="s">
        <v>68</v>
      </c>
      <c r="V264" t="s">
        <v>906</v>
      </c>
      <c r="W264">
        <v>47301</v>
      </c>
      <c r="X264" t="s">
        <v>44</v>
      </c>
      <c r="Y264" t="s">
        <v>907</v>
      </c>
      <c r="Z264" t="s">
        <v>49</v>
      </c>
      <c r="AA264" s="10">
        <f>IF(O264&lt;=1,7,7+0.8*ROUNDUP(O264-1,0))</f>
        <v>11.8</v>
      </c>
      <c r="AB264" s="11">
        <v>0</v>
      </c>
      <c r="AC264" s="11">
        <v>0</v>
      </c>
      <c r="AD264" s="11">
        <v>0</v>
      </c>
      <c r="AE264" s="11">
        <v>0</v>
      </c>
      <c r="AF264" s="11">
        <f t="shared" si="8"/>
        <v>0.70799999999999996</v>
      </c>
      <c r="AG264" s="11">
        <f t="shared" si="9"/>
        <v>12.508000000000001</v>
      </c>
      <c r="AH264" t="s">
        <v>44</v>
      </c>
    </row>
    <row r="265" spans="1:34" ht="15" customHeight="1" x14ac:dyDescent="0.35">
      <c r="A265">
        <v>7547676</v>
      </c>
      <c r="B265">
        <v>690929</v>
      </c>
      <c r="C265" t="s">
        <v>34</v>
      </c>
      <c r="D265" t="s">
        <v>35</v>
      </c>
      <c r="E265" s="6" t="s">
        <v>34</v>
      </c>
      <c r="F265" t="s">
        <v>914</v>
      </c>
      <c r="G265" t="s">
        <v>37</v>
      </c>
      <c r="H265" t="s">
        <v>38</v>
      </c>
      <c r="I265" t="s">
        <v>915</v>
      </c>
      <c r="J265" t="s">
        <v>40</v>
      </c>
      <c r="K265">
        <v>2</v>
      </c>
      <c r="L265" t="s">
        <v>41</v>
      </c>
      <c r="M265" t="s">
        <v>42</v>
      </c>
      <c r="N265" t="s">
        <v>43</v>
      </c>
      <c r="O265" s="7">
        <v>2</v>
      </c>
      <c r="P265" s="8">
        <v>45259.693553240744</v>
      </c>
      <c r="Q265" s="9">
        <v>45261</v>
      </c>
      <c r="R265" t="s">
        <v>37</v>
      </c>
      <c r="S265" t="s">
        <v>44</v>
      </c>
      <c r="T265" t="s">
        <v>45</v>
      </c>
      <c r="U265" t="s">
        <v>82</v>
      </c>
      <c r="V265" t="s">
        <v>916</v>
      </c>
      <c r="W265">
        <v>71250</v>
      </c>
      <c r="X265" t="s">
        <v>44</v>
      </c>
      <c r="Y265" t="s">
        <v>462</v>
      </c>
      <c r="Z265" t="s">
        <v>49</v>
      </c>
      <c r="AA265" s="10">
        <f>IF(O265&lt;=1,7,7+0.8*ROUNDUP(O265-1,0))</f>
        <v>7.8</v>
      </c>
      <c r="AB265" s="11">
        <v>0</v>
      </c>
      <c r="AC265" s="11">
        <v>0</v>
      </c>
      <c r="AD265" s="11">
        <v>0</v>
      </c>
      <c r="AE265" s="11">
        <v>0</v>
      </c>
      <c r="AF265" s="11">
        <f t="shared" si="8"/>
        <v>0.46799999999999997</v>
      </c>
      <c r="AG265" s="11">
        <f t="shared" si="9"/>
        <v>8.2680000000000007</v>
      </c>
      <c r="AH265" t="s">
        <v>44</v>
      </c>
    </row>
    <row r="266" spans="1:34" ht="15" customHeight="1" x14ac:dyDescent="0.35">
      <c r="A266">
        <v>7547676</v>
      </c>
      <c r="B266">
        <v>690929</v>
      </c>
      <c r="C266" t="s">
        <v>34</v>
      </c>
      <c r="D266" t="s">
        <v>35</v>
      </c>
      <c r="E266" s="6" t="s">
        <v>34</v>
      </c>
      <c r="F266" t="s">
        <v>917</v>
      </c>
      <c r="G266" t="s">
        <v>37</v>
      </c>
      <c r="H266" t="s">
        <v>38</v>
      </c>
      <c r="I266" t="s">
        <v>918</v>
      </c>
      <c r="J266" t="s">
        <v>40</v>
      </c>
      <c r="K266">
        <v>2</v>
      </c>
      <c r="L266" t="s">
        <v>41</v>
      </c>
      <c r="M266" t="s">
        <v>42</v>
      </c>
      <c r="N266" t="s">
        <v>43</v>
      </c>
      <c r="O266" s="7">
        <v>1</v>
      </c>
      <c r="P266" s="8">
        <v>45260.636018518519</v>
      </c>
      <c r="Q266" s="9">
        <v>45261</v>
      </c>
      <c r="R266" t="s">
        <v>37</v>
      </c>
      <c r="S266" t="s">
        <v>44</v>
      </c>
      <c r="T266" t="s">
        <v>45</v>
      </c>
      <c r="U266" t="s">
        <v>77</v>
      </c>
      <c r="V266" t="s">
        <v>919</v>
      </c>
      <c r="W266">
        <v>25200</v>
      </c>
      <c r="X266" t="s">
        <v>44</v>
      </c>
      <c r="Y266" t="s">
        <v>45</v>
      </c>
      <c r="Z266" t="s">
        <v>49</v>
      </c>
      <c r="AA266" s="10">
        <f>IF(O266&lt;=1,7,7+0.8*ROUNDUP(O266-1,0))</f>
        <v>7</v>
      </c>
      <c r="AB266" s="11">
        <v>0</v>
      </c>
      <c r="AC266" s="11">
        <v>0</v>
      </c>
      <c r="AD266" s="11">
        <v>0</v>
      </c>
      <c r="AE266" s="11">
        <v>0</v>
      </c>
      <c r="AF266" s="11">
        <f t="shared" si="8"/>
        <v>0.42</v>
      </c>
      <c r="AG266" s="11">
        <f t="shared" si="9"/>
        <v>7.42</v>
      </c>
      <c r="AH266" t="s">
        <v>44</v>
      </c>
    </row>
    <row r="267" spans="1:34" ht="15" customHeight="1" x14ac:dyDescent="0.35">
      <c r="A267">
        <v>7547676</v>
      </c>
      <c r="B267">
        <v>690929</v>
      </c>
      <c r="C267" t="s">
        <v>34</v>
      </c>
      <c r="D267" t="s">
        <v>35</v>
      </c>
      <c r="E267" s="6" t="s">
        <v>34</v>
      </c>
      <c r="F267" t="s">
        <v>920</v>
      </c>
      <c r="G267" t="s">
        <v>37</v>
      </c>
      <c r="H267" t="s">
        <v>38</v>
      </c>
      <c r="I267" t="s">
        <v>921</v>
      </c>
      <c r="J267" t="s">
        <v>40</v>
      </c>
      <c r="K267">
        <v>2</v>
      </c>
      <c r="L267" t="s">
        <v>41</v>
      </c>
      <c r="M267" t="s">
        <v>42</v>
      </c>
      <c r="N267" t="s">
        <v>43</v>
      </c>
      <c r="O267" s="7">
        <v>1</v>
      </c>
      <c r="P267" s="8">
        <v>45258.750879629632</v>
      </c>
      <c r="Q267" s="9">
        <v>45261</v>
      </c>
      <c r="R267" t="s">
        <v>37</v>
      </c>
      <c r="S267" t="s">
        <v>44</v>
      </c>
      <c r="T267" t="s">
        <v>45</v>
      </c>
      <c r="U267" t="s">
        <v>159</v>
      </c>
      <c r="V267" t="s">
        <v>922</v>
      </c>
      <c r="W267">
        <v>35000</v>
      </c>
      <c r="X267" t="s">
        <v>44</v>
      </c>
      <c r="Y267" t="s">
        <v>52</v>
      </c>
      <c r="Z267" t="s">
        <v>49</v>
      </c>
      <c r="AA267" s="10">
        <f>IF(O267&lt;=1,7,7+0.8*ROUNDUP(O267-1,0))</f>
        <v>7</v>
      </c>
      <c r="AB267" s="11">
        <v>0</v>
      </c>
      <c r="AC267" s="11">
        <v>0</v>
      </c>
      <c r="AD267" s="11">
        <v>0</v>
      </c>
      <c r="AE267" s="11">
        <v>0</v>
      </c>
      <c r="AF267" s="11">
        <f t="shared" si="8"/>
        <v>0.42</v>
      </c>
      <c r="AG267" s="11">
        <f t="shared" si="9"/>
        <v>7.42</v>
      </c>
      <c r="AH267" t="s">
        <v>44</v>
      </c>
    </row>
    <row r="268" spans="1:34" ht="15" customHeight="1" x14ac:dyDescent="0.35">
      <c r="A268">
        <v>7547676</v>
      </c>
      <c r="B268">
        <v>690929</v>
      </c>
      <c r="C268" t="s">
        <v>34</v>
      </c>
      <c r="D268" t="s">
        <v>35</v>
      </c>
      <c r="E268" s="6" t="s">
        <v>34</v>
      </c>
      <c r="F268" t="s">
        <v>923</v>
      </c>
      <c r="G268" t="s">
        <v>37</v>
      </c>
      <c r="H268" t="s">
        <v>38</v>
      </c>
      <c r="I268" t="s">
        <v>924</v>
      </c>
      <c r="J268" t="s">
        <v>40</v>
      </c>
      <c r="K268">
        <v>2</v>
      </c>
      <c r="L268" t="s">
        <v>41</v>
      </c>
      <c r="M268" t="s">
        <v>42</v>
      </c>
      <c r="N268" t="s">
        <v>43</v>
      </c>
      <c r="O268" s="7">
        <v>4</v>
      </c>
      <c r="P268" s="8">
        <v>45258.78266203704</v>
      </c>
      <c r="Q268" s="9">
        <v>45261</v>
      </c>
      <c r="R268" t="s">
        <v>37</v>
      </c>
      <c r="S268" t="s">
        <v>44</v>
      </c>
      <c r="T268" t="s">
        <v>45</v>
      </c>
      <c r="U268" t="s">
        <v>46</v>
      </c>
      <c r="V268" t="s">
        <v>925</v>
      </c>
      <c r="W268">
        <v>81100</v>
      </c>
      <c r="X268" t="s">
        <v>44</v>
      </c>
      <c r="Y268" t="s">
        <v>715</v>
      </c>
      <c r="Z268" t="s">
        <v>49</v>
      </c>
      <c r="AA268" s="10">
        <f>IF(O268&lt;=1,7,7+0.8*ROUNDUP(O268-1,0))</f>
        <v>9.4</v>
      </c>
      <c r="AB268" s="11">
        <v>0</v>
      </c>
      <c r="AC268" s="11">
        <v>0</v>
      </c>
      <c r="AD268" s="11">
        <v>0</v>
      </c>
      <c r="AE268" s="11">
        <v>0</v>
      </c>
      <c r="AF268" s="11">
        <f t="shared" si="8"/>
        <v>0.56399999999999995</v>
      </c>
      <c r="AG268" s="11">
        <f t="shared" si="9"/>
        <v>9.9640000000000004</v>
      </c>
      <c r="AH268" t="s">
        <v>44</v>
      </c>
    </row>
    <row r="269" spans="1:34" ht="15" customHeight="1" x14ac:dyDescent="0.35">
      <c r="A269">
        <v>7547676</v>
      </c>
      <c r="B269">
        <v>690929</v>
      </c>
      <c r="C269" t="s">
        <v>34</v>
      </c>
      <c r="D269" t="s">
        <v>35</v>
      </c>
      <c r="E269" s="6" t="s">
        <v>34</v>
      </c>
      <c r="F269" t="s">
        <v>926</v>
      </c>
      <c r="G269" t="s">
        <v>37</v>
      </c>
      <c r="H269" t="s">
        <v>38</v>
      </c>
      <c r="I269" t="s">
        <v>314</v>
      </c>
      <c r="J269" t="s">
        <v>40</v>
      </c>
      <c r="K269">
        <v>2</v>
      </c>
      <c r="L269" t="s">
        <v>41</v>
      </c>
      <c r="M269" t="s">
        <v>42</v>
      </c>
      <c r="N269" t="s">
        <v>43</v>
      </c>
      <c r="O269" s="7">
        <v>1</v>
      </c>
      <c r="P269" s="8">
        <v>45260.636018518519</v>
      </c>
      <c r="Q269" s="9">
        <v>45261</v>
      </c>
      <c r="R269" t="s">
        <v>37</v>
      </c>
      <c r="S269" t="s">
        <v>44</v>
      </c>
      <c r="T269" t="s">
        <v>45</v>
      </c>
      <c r="U269" t="s">
        <v>68</v>
      </c>
      <c r="V269" t="s">
        <v>315</v>
      </c>
      <c r="W269">
        <v>40000</v>
      </c>
      <c r="X269" t="s">
        <v>44</v>
      </c>
      <c r="Y269" t="s">
        <v>173</v>
      </c>
      <c r="Z269" t="s">
        <v>49</v>
      </c>
      <c r="AA269" s="10">
        <f>IF(O269&lt;=1,7,7+0.8*ROUNDUP(O269-1,0))</f>
        <v>7</v>
      </c>
      <c r="AB269" s="11">
        <v>0</v>
      </c>
      <c r="AC269" s="11">
        <v>0</v>
      </c>
      <c r="AD269" s="11">
        <v>0</v>
      </c>
      <c r="AE269" s="11">
        <v>0</v>
      </c>
      <c r="AF269" s="11">
        <f t="shared" si="8"/>
        <v>0.42</v>
      </c>
      <c r="AG269" s="11">
        <f t="shared" si="9"/>
        <v>7.42</v>
      </c>
      <c r="AH269" t="s">
        <v>44</v>
      </c>
    </row>
    <row r="270" spans="1:34" ht="15" customHeight="1" x14ac:dyDescent="0.35">
      <c r="A270">
        <v>7547676</v>
      </c>
      <c r="B270">
        <v>690929</v>
      </c>
      <c r="C270" t="s">
        <v>34</v>
      </c>
      <c r="D270" t="s">
        <v>35</v>
      </c>
      <c r="E270" s="6" t="s">
        <v>34</v>
      </c>
      <c r="F270" t="s">
        <v>927</v>
      </c>
      <c r="G270" t="s">
        <v>37</v>
      </c>
      <c r="H270" t="s">
        <v>38</v>
      </c>
      <c r="I270" t="s">
        <v>928</v>
      </c>
      <c r="J270" t="s">
        <v>40</v>
      </c>
      <c r="K270">
        <v>2</v>
      </c>
      <c r="L270" t="s">
        <v>41</v>
      </c>
      <c r="M270" t="s">
        <v>42</v>
      </c>
      <c r="N270" t="s">
        <v>43</v>
      </c>
      <c r="O270" s="7">
        <v>1</v>
      </c>
      <c r="P270" s="8">
        <v>45258.750879629632</v>
      </c>
      <c r="Q270" s="9">
        <v>45261</v>
      </c>
      <c r="R270" t="s">
        <v>37</v>
      </c>
      <c r="S270" t="s">
        <v>44</v>
      </c>
      <c r="T270" t="s">
        <v>45</v>
      </c>
      <c r="U270" t="s">
        <v>46</v>
      </c>
      <c r="V270" t="s">
        <v>929</v>
      </c>
      <c r="W270">
        <v>81100</v>
      </c>
      <c r="X270" t="s">
        <v>44</v>
      </c>
      <c r="Y270" t="s">
        <v>715</v>
      </c>
      <c r="Z270" t="s">
        <v>49</v>
      </c>
      <c r="AA270" s="10">
        <f>IF(O270&lt;=1,7,7+0.8*ROUNDUP(O270-1,0))</f>
        <v>7</v>
      </c>
      <c r="AB270" s="11">
        <v>0</v>
      </c>
      <c r="AC270" s="11">
        <v>0</v>
      </c>
      <c r="AD270" s="11">
        <v>0</v>
      </c>
      <c r="AE270" s="11">
        <v>0</v>
      </c>
      <c r="AF270" s="11">
        <f t="shared" si="8"/>
        <v>0.42</v>
      </c>
      <c r="AG270" s="11">
        <f t="shared" si="9"/>
        <v>7.42</v>
      </c>
      <c r="AH270" t="s">
        <v>44</v>
      </c>
    </row>
    <row r="271" spans="1:34" ht="15" customHeight="1" x14ac:dyDescent="0.35">
      <c r="A271">
        <v>7547676</v>
      </c>
      <c r="B271">
        <v>690929</v>
      </c>
      <c r="C271" t="s">
        <v>34</v>
      </c>
      <c r="D271" t="s">
        <v>35</v>
      </c>
      <c r="E271" s="6" t="s">
        <v>34</v>
      </c>
      <c r="F271" t="s">
        <v>930</v>
      </c>
      <c r="G271" t="s">
        <v>37</v>
      </c>
      <c r="H271" t="s">
        <v>38</v>
      </c>
      <c r="I271" t="s">
        <v>931</v>
      </c>
      <c r="J271" t="s">
        <v>40</v>
      </c>
      <c r="K271">
        <v>2</v>
      </c>
      <c r="L271" t="s">
        <v>41</v>
      </c>
      <c r="M271" t="s">
        <v>42</v>
      </c>
      <c r="N271" t="s">
        <v>43</v>
      </c>
      <c r="O271" s="7">
        <v>1</v>
      </c>
      <c r="P271" s="8">
        <v>45259.810243055559</v>
      </c>
      <c r="Q271" s="9">
        <v>45261</v>
      </c>
      <c r="R271" t="s">
        <v>37</v>
      </c>
      <c r="S271" t="s">
        <v>44</v>
      </c>
      <c r="T271" t="s">
        <v>45</v>
      </c>
      <c r="U271" t="s">
        <v>53</v>
      </c>
      <c r="V271" t="s">
        <v>932</v>
      </c>
      <c r="W271">
        <v>53000</v>
      </c>
      <c r="X271" t="s">
        <v>44</v>
      </c>
      <c r="Y271" t="s">
        <v>933</v>
      </c>
      <c r="Z271" t="s">
        <v>49</v>
      </c>
      <c r="AA271" s="10">
        <f>IF(O271&lt;=1,7,7+0.8*ROUNDUP(O271-1,0))</f>
        <v>7</v>
      </c>
      <c r="AB271" s="11">
        <v>0</v>
      </c>
      <c r="AC271" s="11">
        <v>0</v>
      </c>
      <c r="AD271" s="11">
        <v>0</v>
      </c>
      <c r="AE271" s="11">
        <v>0</v>
      </c>
      <c r="AF271" s="11">
        <f t="shared" si="8"/>
        <v>0.42</v>
      </c>
      <c r="AG271" s="11">
        <f t="shared" si="9"/>
        <v>7.42</v>
      </c>
      <c r="AH271" t="s">
        <v>44</v>
      </c>
    </row>
    <row r="272" spans="1:34" ht="15" customHeight="1" x14ac:dyDescent="0.35">
      <c r="A272">
        <v>7547676</v>
      </c>
      <c r="B272">
        <v>690929</v>
      </c>
      <c r="C272" t="s">
        <v>34</v>
      </c>
      <c r="D272" t="s">
        <v>35</v>
      </c>
      <c r="E272" s="6" t="s">
        <v>34</v>
      </c>
      <c r="F272" t="s">
        <v>934</v>
      </c>
      <c r="G272" t="s">
        <v>37</v>
      </c>
      <c r="H272" t="s">
        <v>38</v>
      </c>
      <c r="I272" t="s">
        <v>935</v>
      </c>
      <c r="J272" t="s">
        <v>40</v>
      </c>
      <c r="K272">
        <v>2</v>
      </c>
      <c r="L272" t="s">
        <v>41</v>
      </c>
      <c r="M272" t="s">
        <v>42</v>
      </c>
      <c r="N272" t="s">
        <v>43</v>
      </c>
      <c r="O272" s="7">
        <v>1</v>
      </c>
      <c r="P272" s="8">
        <v>45258.758958333332</v>
      </c>
      <c r="Q272" s="9">
        <v>45261</v>
      </c>
      <c r="R272" t="s">
        <v>37</v>
      </c>
      <c r="S272" t="s">
        <v>44</v>
      </c>
      <c r="T272" t="s">
        <v>45</v>
      </c>
      <c r="U272" t="s">
        <v>58</v>
      </c>
      <c r="V272" t="s">
        <v>936</v>
      </c>
      <c r="W272">
        <v>9400</v>
      </c>
      <c r="X272" t="s">
        <v>44</v>
      </c>
      <c r="Y272" t="s">
        <v>937</v>
      </c>
      <c r="Z272" t="s">
        <v>49</v>
      </c>
      <c r="AA272" s="10">
        <f>IF(O272&lt;=1,7,7+0.8*ROUNDUP(O272-1,0))</f>
        <v>7</v>
      </c>
      <c r="AB272" s="11">
        <v>0</v>
      </c>
      <c r="AC272" s="11">
        <v>0</v>
      </c>
      <c r="AD272" s="11">
        <v>0</v>
      </c>
      <c r="AE272" s="11">
        <v>0</v>
      </c>
      <c r="AF272" s="11">
        <f t="shared" si="8"/>
        <v>0.42</v>
      </c>
      <c r="AG272" s="11">
        <f t="shared" si="9"/>
        <v>7.42</v>
      </c>
      <c r="AH272" t="s">
        <v>44</v>
      </c>
    </row>
    <row r="273" spans="1:34" ht="15" customHeight="1" x14ac:dyDescent="0.35">
      <c r="A273">
        <v>7547676</v>
      </c>
      <c r="B273">
        <v>690929</v>
      </c>
      <c r="C273" t="s">
        <v>34</v>
      </c>
      <c r="D273" t="s">
        <v>35</v>
      </c>
      <c r="E273" s="6" t="s">
        <v>34</v>
      </c>
      <c r="F273" t="s">
        <v>938</v>
      </c>
      <c r="G273" t="s">
        <v>37</v>
      </c>
      <c r="H273" t="s">
        <v>38</v>
      </c>
      <c r="I273" t="s">
        <v>939</v>
      </c>
      <c r="J273" t="s">
        <v>40</v>
      </c>
      <c r="K273">
        <v>2</v>
      </c>
      <c r="L273" t="s">
        <v>41</v>
      </c>
      <c r="M273" t="s">
        <v>42</v>
      </c>
      <c r="N273" t="s">
        <v>43</v>
      </c>
      <c r="O273" s="7">
        <v>5</v>
      </c>
      <c r="P273" s="8">
        <v>45260.670902777776</v>
      </c>
      <c r="Q273" s="9">
        <v>45261</v>
      </c>
      <c r="R273" t="s">
        <v>37</v>
      </c>
      <c r="S273" t="s">
        <v>44</v>
      </c>
      <c r="T273" t="s">
        <v>45</v>
      </c>
      <c r="U273" t="s">
        <v>115</v>
      </c>
      <c r="V273" t="s">
        <v>940</v>
      </c>
      <c r="W273">
        <v>18300</v>
      </c>
      <c r="X273" t="s">
        <v>44</v>
      </c>
      <c r="Y273" t="s">
        <v>123</v>
      </c>
      <c r="Z273" t="s">
        <v>49</v>
      </c>
      <c r="AA273" s="10">
        <f>IF(O273&lt;=1,7,7+0.8*ROUNDUP(O273-1,0))</f>
        <v>10.199999999999999</v>
      </c>
      <c r="AB273" s="11">
        <v>0</v>
      </c>
      <c r="AC273" s="11">
        <v>0</v>
      </c>
      <c r="AD273" s="11">
        <v>0</v>
      </c>
      <c r="AE273" s="11">
        <v>0</v>
      </c>
      <c r="AF273" s="11">
        <f t="shared" si="8"/>
        <v>0.61199999999999999</v>
      </c>
      <c r="AG273" s="11">
        <f t="shared" si="9"/>
        <v>10.811999999999999</v>
      </c>
      <c r="AH273" t="s">
        <v>44</v>
      </c>
    </row>
    <row r="274" spans="1:34" ht="15" customHeight="1" x14ac:dyDescent="0.35">
      <c r="A274">
        <v>7547676</v>
      </c>
      <c r="B274">
        <v>690929</v>
      </c>
      <c r="C274" t="s">
        <v>34</v>
      </c>
      <c r="D274" t="s">
        <v>35</v>
      </c>
      <c r="E274" s="6" t="s">
        <v>34</v>
      </c>
      <c r="F274" t="s">
        <v>941</v>
      </c>
      <c r="G274" t="s">
        <v>37</v>
      </c>
      <c r="H274" t="s">
        <v>38</v>
      </c>
      <c r="I274" t="s">
        <v>942</v>
      </c>
      <c r="J274" t="s">
        <v>40</v>
      </c>
      <c r="K274">
        <v>2</v>
      </c>
      <c r="L274" t="s">
        <v>41</v>
      </c>
      <c r="M274" t="s">
        <v>42</v>
      </c>
      <c r="N274" t="s">
        <v>43</v>
      </c>
      <c r="O274" s="7">
        <v>1</v>
      </c>
      <c r="P274" s="8">
        <v>45259.714548611111</v>
      </c>
      <c r="Q274" s="9">
        <v>45261</v>
      </c>
      <c r="R274" t="s">
        <v>37</v>
      </c>
      <c r="S274" t="s">
        <v>44</v>
      </c>
      <c r="T274" t="s">
        <v>45</v>
      </c>
      <c r="U274" t="s">
        <v>46</v>
      </c>
      <c r="V274" t="s">
        <v>943</v>
      </c>
      <c r="W274">
        <v>82000</v>
      </c>
      <c r="X274" t="s">
        <v>44</v>
      </c>
      <c r="Y274" t="s">
        <v>381</v>
      </c>
      <c r="Z274" t="s">
        <v>49</v>
      </c>
      <c r="AA274" s="10">
        <f>IF(O274&lt;=1,7,7+0.8*ROUNDUP(O274-1,0))</f>
        <v>7</v>
      </c>
      <c r="AB274" s="11">
        <v>0</v>
      </c>
      <c r="AC274" s="11">
        <v>0</v>
      </c>
      <c r="AD274" s="11">
        <v>0</v>
      </c>
      <c r="AE274" s="11">
        <v>0</v>
      </c>
      <c r="AF274" s="11">
        <f t="shared" si="8"/>
        <v>0.42</v>
      </c>
      <c r="AG274" s="11">
        <f t="shared" si="9"/>
        <v>7.42</v>
      </c>
      <c r="AH274" t="s">
        <v>44</v>
      </c>
    </row>
    <row r="275" spans="1:34" ht="15" customHeight="1" x14ac:dyDescent="0.35">
      <c r="A275">
        <v>7547676</v>
      </c>
      <c r="B275">
        <v>690929</v>
      </c>
      <c r="C275" t="s">
        <v>34</v>
      </c>
      <c r="D275" t="s">
        <v>35</v>
      </c>
      <c r="E275" s="6" t="s">
        <v>34</v>
      </c>
      <c r="F275" t="s">
        <v>944</v>
      </c>
      <c r="G275" t="s">
        <v>37</v>
      </c>
      <c r="H275" t="s">
        <v>38</v>
      </c>
      <c r="I275" t="s">
        <v>945</v>
      </c>
      <c r="J275" t="s">
        <v>40</v>
      </c>
      <c r="K275">
        <v>2</v>
      </c>
      <c r="L275" t="s">
        <v>41</v>
      </c>
      <c r="M275" t="s">
        <v>42</v>
      </c>
      <c r="N275" t="s">
        <v>43</v>
      </c>
      <c r="O275" s="7">
        <v>1</v>
      </c>
      <c r="P275" s="8">
        <v>45258.467326388891</v>
      </c>
      <c r="Q275" s="9">
        <v>45261</v>
      </c>
      <c r="R275" t="s">
        <v>37</v>
      </c>
      <c r="S275" t="s">
        <v>44</v>
      </c>
      <c r="T275" t="s">
        <v>45</v>
      </c>
      <c r="U275" t="s">
        <v>82</v>
      </c>
      <c r="V275" t="s">
        <v>946</v>
      </c>
      <c r="W275">
        <v>71150</v>
      </c>
      <c r="X275" t="s">
        <v>44</v>
      </c>
      <c r="Y275" t="s">
        <v>52</v>
      </c>
      <c r="Z275" t="s">
        <v>49</v>
      </c>
      <c r="AA275" s="10">
        <f>IF(O275&lt;=1,7,7+0.8*ROUNDUP(O275-1,0))</f>
        <v>7</v>
      </c>
      <c r="AB275" s="11">
        <v>0</v>
      </c>
      <c r="AC275" s="11">
        <v>0</v>
      </c>
      <c r="AD275" s="11">
        <v>0</v>
      </c>
      <c r="AE275" s="11">
        <v>0</v>
      </c>
      <c r="AF275" s="11">
        <f t="shared" si="8"/>
        <v>0.42</v>
      </c>
      <c r="AG275" s="11">
        <f t="shared" si="9"/>
        <v>7.42</v>
      </c>
      <c r="AH275" t="s">
        <v>44</v>
      </c>
    </row>
    <row r="276" spans="1:34" ht="15" customHeight="1" x14ac:dyDescent="0.35">
      <c r="A276">
        <v>7547676</v>
      </c>
      <c r="B276">
        <v>690929</v>
      </c>
      <c r="C276" t="s">
        <v>34</v>
      </c>
      <c r="D276" t="s">
        <v>35</v>
      </c>
      <c r="E276" s="6" t="s">
        <v>34</v>
      </c>
      <c r="F276" t="s">
        <v>947</v>
      </c>
      <c r="G276" t="s">
        <v>37</v>
      </c>
      <c r="H276" t="s">
        <v>38</v>
      </c>
      <c r="I276" t="s">
        <v>948</v>
      </c>
      <c r="J276" t="s">
        <v>40</v>
      </c>
      <c r="K276">
        <v>2</v>
      </c>
      <c r="L276" t="s">
        <v>41</v>
      </c>
      <c r="M276" t="s">
        <v>42</v>
      </c>
      <c r="N276" t="s">
        <v>43</v>
      </c>
      <c r="O276" s="7">
        <v>1</v>
      </c>
      <c r="P276" s="8">
        <v>45258.797743055555</v>
      </c>
      <c r="Q276" s="9">
        <v>45261</v>
      </c>
      <c r="R276" t="s">
        <v>37</v>
      </c>
      <c r="S276" t="s">
        <v>44</v>
      </c>
      <c r="T276" t="s">
        <v>45</v>
      </c>
      <c r="U276" t="s">
        <v>68</v>
      </c>
      <c r="V276" t="s">
        <v>949</v>
      </c>
      <c r="W276">
        <v>47301</v>
      </c>
      <c r="X276" t="s">
        <v>44</v>
      </c>
      <c r="Y276" t="s">
        <v>907</v>
      </c>
      <c r="Z276" t="s">
        <v>49</v>
      </c>
      <c r="AA276" s="10">
        <f>IF(O276&lt;=1,7,7+0.8*ROUNDUP(O276-1,0))</f>
        <v>7</v>
      </c>
      <c r="AB276" s="11">
        <v>0</v>
      </c>
      <c r="AC276" s="11">
        <v>0</v>
      </c>
      <c r="AD276" s="11">
        <v>0</v>
      </c>
      <c r="AE276" s="11">
        <v>0</v>
      </c>
      <c r="AF276" s="11">
        <f t="shared" si="8"/>
        <v>0.42</v>
      </c>
      <c r="AG276" s="11">
        <f t="shared" si="9"/>
        <v>7.42</v>
      </c>
      <c r="AH276" t="s">
        <v>44</v>
      </c>
    </row>
    <row r="277" spans="1:34" ht="15" customHeight="1" x14ac:dyDescent="0.35">
      <c r="A277">
        <v>7547676</v>
      </c>
      <c r="B277">
        <v>690929</v>
      </c>
      <c r="C277" t="s">
        <v>34</v>
      </c>
      <c r="D277" t="s">
        <v>35</v>
      </c>
      <c r="E277" s="6" t="s">
        <v>34</v>
      </c>
      <c r="F277" t="s">
        <v>950</v>
      </c>
      <c r="G277" t="s">
        <v>37</v>
      </c>
      <c r="H277" t="s">
        <v>38</v>
      </c>
      <c r="I277" t="s">
        <v>951</v>
      </c>
      <c r="J277" t="s">
        <v>40</v>
      </c>
      <c r="K277">
        <v>2</v>
      </c>
      <c r="L277" t="s">
        <v>41</v>
      </c>
      <c r="M277" t="s">
        <v>42</v>
      </c>
      <c r="N277" t="s">
        <v>43</v>
      </c>
      <c r="O277" s="7">
        <v>1</v>
      </c>
      <c r="P277" s="8">
        <v>45258.750879629632</v>
      </c>
      <c r="Q277" s="9">
        <v>45261</v>
      </c>
      <c r="R277" t="s">
        <v>37</v>
      </c>
      <c r="S277" t="s">
        <v>44</v>
      </c>
      <c r="T277" t="s">
        <v>45</v>
      </c>
      <c r="U277" t="s">
        <v>46</v>
      </c>
      <c r="V277" t="s">
        <v>952</v>
      </c>
      <c r="W277">
        <v>81700</v>
      </c>
      <c r="X277" t="s">
        <v>44</v>
      </c>
      <c r="Y277" t="s">
        <v>205</v>
      </c>
      <c r="Z277" t="s">
        <v>49</v>
      </c>
      <c r="AA277" s="10">
        <f>IF(O277&lt;=1,7,7+0.8*ROUNDUP(O277-1,0))</f>
        <v>7</v>
      </c>
      <c r="AB277" s="11">
        <v>0</v>
      </c>
      <c r="AC277" s="11">
        <v>0</v>
      </c>
      <c r="AD277" s="11">
        <v>0</v>
      </c>
      <c r="AE277" s="11">
        <v>0</v>
      </c>
      <c r="AF277" s="11">
        <f t="shared" si="8"/>
        <v>0.42</v>
      </c>
      <c r="AG277" s="11">
        <f t="shared" si="9"/>
        <v>7.42</v>
      </c>
      <c r="AH277" t="s">
        <v>44</v>
      </c>
    </row>
    <row r="278" spans="1:34" ht="15" customHeight="1" x14ac:dyDescent="0.35">
      <c r="A278">
        <v>7547676</v>
      </c>
      <c r="B278">
        <v>690929</v>
      </c>
      <c r="C278" t="s">
        <v>34</v>
      </c>
      <c r="D278" t="s">
        <v>35</v>
      </c>
      <c r="E278" s="6" t="s">
        <v>34</v>
      </c>
      <c r="F278" t="s">
        <v>953</v>
      </c>
      <c r="G278" t="s">
        <v>37</v>
      </c>
      <c r="H278" t="s">
        <v>38</v>
      </c>
      <c r="I278" t="s">
        <v>954</v>
      </c>
      <c r="J278" t="s">
        <v>40</v>
      </c>
      <c r="K278">
        <v>2</v>
      </c>
      <c r="L278" t="s">
        <v>41</v>
      </c>
      <c r="M278" t="s">
        <v>42</v>
      </c>
      <c r="N278" t="s">
        <v>43</v>
      </c>
      <c r="O278" s="7">
        <v>1</v>
      </c>
      <c r="P278" s="8">
        <v>45259.642071759263</v>
      </c>
      <c r="Q278" s="9">
        <v>45261</v>
      </c>
      <c r="R278" t="s">
        <v>37</v>
      </c>
      <c r="S278" t="s">
        <v>44</v>
      </c>
      <c r="T278" t="s">
        <v>45</v>
      </c>
      <c r="U278" t="s">
        <v>58</v>
      </c>
      <c r="V278" t="s">
        <v>955</v>
      </c>
      <c r="W278">
        <v>9120</v>
      </c>
      <c r="X278" t="s">
        <v>44</v>
      </c>
      <c r="Y278" t="s">
        <v>956</v>
      </c>
      <c r="Z278" t="s">
        <v>49</v>
      </c>
      <c r="AA278" s="10">
        <f>IF(O278&lt;=1,7,7+0.8*ROUNDUP(O278-1,0))</f>
        <v>7</v>
      </c>
      <c r="AB278" s="11">
        <v>0</v>
      </c>
      <c r="AC278" s="11">
        <v>0</v>
      </c>
      <c r="AD278" s="11">
        <v>0</v>
      </c>
      <c r="AE278" s="11">
        <v>0</v>
      </c>
      <c r="AF278" s="11">
        <f t="shared" si="8"/>
        <v>0.42</v>
      </c>
      <c r="AG278" s="11">
        <f t="shared" si="9"/>
        <v>7.42</v>
      </c>
      <c r="AH278" t="s">
        <v>44</v>
      </c>
    </row>
    <row r="279" spans="1:34" ht="15" customHeight="1" x14ac:dyDescent="0.35">
      <c r="A279">
        <v>7547676</v>
      </c>
      <c r="B279">
        <v>690929</v>
      </c>
      <c r="C279" t="s">
        <v>34</v>
      </c>
      <c r="D279" t="s">
        <v>35</v>
      </c>
      <c r="E279" s="6" t="s">
        <v>34</v>
      </c>
      <c r="F279" t="s">
        <v>957</v>
      </c>
      <c r="G279" t="s">
        <v>37</v>
      </c>
      <c r="H279" t="s">
        <v>38</v>
      </c>
      <c r="I279" t="s">
        <v>958</v>
      </c>
      <c r="J279" t="s">
        <v>40</v>
      </c>
      <c r="K279">
        <v>2</v>
      </c>
      <c r="L279" t="s">
        <v>41</v>
      </c>
      <c r="M279" t="s">
        <v>42</v>
      </c>
      <c r="N279" t="s">
        <v>43</v>
      </c>
      <c r="O279" s="7">
        <v>2</v>
      </c>
      <c r="P279" s="8">
        <v>45260.620069444441</v>
      </c>
      <c r="Q279" s="9">
        <v>45261</v>
      </c>
      <c r="R279" t="s">
        <v>37</v>
      </c>
      <c r="S279" t="s">
        <v>44</v>
      </c>
      <c r="T279" t="s">
        <v>45</v>
      </c>
      <c r="U279" t="s">
        <v>53</v>
      </c>
      <c r="V279" t="s">
        <v>959</v>
      </c>
      <c r="W279">
        <v>56000</v>
      </c>
      <c r="X279" t="s">
        <v>44</v>
      </c>
      <c r="Y279" t="s">
        <v>960</v>
      </c>
      <c r="Z279" t="s">
        <v>49</v>
      </c>
      <c r="AA279" s="10">
        <f>IF(O279&lt;=1,7,7+0.8*ROUNDUP(O279-1,0))</f>
        <v>7.8</v>
      </c>
      <c r="AB279" s="11">
        <v>0</v>
      </c>
      <c r="AC279" s="11">
        <v>0</v>
      </c>
      <c r="AD279" s="11">
        <v>0</v>
      </c>
      <c r="AE279" s="11">
        <v>0</v>
      </c>
      <c r="AF279" s="11">
        <f t="shared" si="8"/>
        <v>0.46799999999999997</v>
      </c>
      <c r="AG279" s="11">
        <f t="shared" si="9"/>
        <v>8.2680000000000007</v>
      </c>
      <c r="AH279" t="s">
        <v>44</v>
      </c>
    </row>
    <row r="280" spans="1:34" ht="15" customHeight="1" x14ac:dyDescent="0.35">
      <c r="A280">
        <v>7547676</v>
      </c>
      <c r="B280">
        <v>690929</v>
      </c>
      <c r="C280" t="s">
        <v>34</v>
      </c>
      <c r="D280" t="s">
        <v>35</v>
      </c>
      <c r="E280" s="6" t="s">
        <v>34</v>
      </c>
      <c r="F280" t="s">
        <v>961</v>
      </c>
      <c r="G280" t="s">
        <v>37</v>
      </c>
      <c r="H280" t="s">
        <v>38</v>
      </c>
      <c r="I280" t="s">
        <v>962</v>
      </c>
      <c r="J280" t="s">
        <v>40</v>
      </c>
      <c r="K280">
        <v>2</v>
      </c>
      <c r="L280" t="s">
        <v>41</v>
      </c>
      <c r="M280" t="s">
        <v>42</v>
      </c>
      <c r="N280" t="s">
        <v>43</v>
      </c>
      <c r="O280" s="7">
        <v>1</v>
      </c>
      <c r="P280" s="8">
        <v>45258.758958333332</v>
      </c>
      <c r="Q280" s="9">
        <v>45261</v>
      </c>
      <c r="R280" t="s">
        <v>37</v>
      </c>
      <c r="S280" t="s">
        <v>44</v>
      </c>
      <c r="T280" t="s">
        <v>45</v>
      </c>
      <c r="U280" t="s">
        <v>501</v>
      </c>
      <c r="V280" t="s">
        <v>963</v>
      </c>
      <c r="W280">
        <v>1000</v>
      </c>
      <c r="X280" t="s">
        <v>44</v>
      </c>
      <c r="Y280" t="s">
        <v>503</v>
      </c>
      <c r="Z280" t="s">
        <v>49</v>
      </c>
      <c r="AA280" s="10">
        <f>IF(O280&lt;=1,7,7+0.8*ROUNDUP(O280-1,0))</f>
        <v>7</v>
      </c>
      <c r="AB280" s="11">
        <v>0</v>
      </c>
      <c r="AC280" s="11">
        <v>0</v>
      </c>
      <c r="AD280" s="11">
        <v>0</v>
      </c>
      <c r="AE280" s="11">
        <v>0</v>
      </c>
      <c r="AF280" s="11">
        <f t="shared" si="8"/>
        <v>0.42</v>
      </c>
      <c r="AG280" s="11">
        <f t="shared" si="9"/>
        <v>7.42</v>
      </c>
      <c r="AH280" t="s">
        <v>44</v>
      </c>
    </row>
    <row r="281" spans="1:34" ht="15" customHeight="1" x14ac:dyDescent="0.35">
      <c r="A281">
        <v>7547676</v>
      </c>
      <c r="B281">
        <v>690929</v>
      </c>
      <c r="C281" t="s">
        <v>34</v>
      </c>
      <c r="D281" t="s">
        <v>35</v>
      </c>
      <c r="E281" s="6" t="s">
        <v>34</v>
      </c>
      <c r="F281" t="s">
        <v>964</v>
      </c>
      <c r="G281" t="s">
        <v>37</v>
      </c>
      <c r="H281" t="s">
        <v>38</v>
      </c>
      <c r="I281" t="s">
        <v>965</v>
      </c>
      <c r="J281" t="s">
        <v>40</v>
      </c>
      <c r="K281">
        <v>2</v>
      </c>
      <c r="L281" t="s">
        <v>41</v>
      </c>
      <c r="M281" t="s">
        <v>42</v>
      </c>
      <c r="N281" t="s">
        <v>43</v>
      </c>
      <c r="O281" s="7">
        <v>1</v>
      </c>
      <c r="P281" s="8">
        <v>45260.718923611108</v>
      </c>
      <c r="Q281" s="9">
        <v>45261</v>
      </c>
      <c r="R281" t="s">
        <v>37</v>
      </c>
      <c r="S281" t="s">
        <v>44</v>
      </c>
      <c r="T281" t="s">
        <v>45</v>
      </c>
      <c r="U281" t="s">
        <v>68</v>
      </c>
      <c r="V281" t="s">
        <v>966</v>
      </c>
      <c r="W281">
        <v>40460</v>
      </c>
      <c r="X281" t="s">
        <v>44</v>
      </c>
      <c r="Y281" t="s">
        <v>967</v>
      </c>
      <c r="Z281" t="s">
        <v>49</v>
      </c>
      <c r="AA281" s="10">
        <f>IF(O281&lt;=1,7,7+0.8*ROUNDUP(O281-1,0))</f>
        <v>7</v>
      </c>
      <c r="AB281" s="11">
        <v>0</v>
      </c>
      <c r="AC281" s="11">
        <v>0</v>
      </c>
      <c r="AD281" s="11">
        <v>0</v>
      </c>
      <c r="AE281" s="11">
        <v>0</v>
      </c>
      <c r="AF281" s="11">
        <f t="shared" si="8"/>
        <v>0.42</v>
      </c>
      <c r="AG281" s="11">
        <f t="shared" si="9"/>
        <v>7.42</v>
      </c>
      <c r="AH281" t="s">
        <v>44</v>
      </c>
    </row>
    <row r="282" spans="1:34" ht="15" customHeight="1" x14ac:dyDescent="0.35">
      <c r="A282">
        <v>7547676</v>
      </c>
      <c r="B282">
        <v>690929</v>
      </c>
      <c r="C282" t="s">
        <v>34</v>
      </c>
      <c r="D282" t="s">
        <v>35</v>
      </c>
      <c r="E282" s="6" t="s">
        <v>34</v>
      </c>
      <c r="F282" t="s">
        <v>968</v>
      </c>
      <c r="G282" t="s">
        <v>37</v>
      </c>
      <c r="H282" t="s">
        <v>38</v>
      </c>
      <c r="I282" t="s">
        <v>969</v>
      </c>
      <c r="J282" t="s">
        <v>40</v>
      </c>
      <c r="K282">
        <v>2</v>
      </c>
      <c r="L282" t="s">
        <v>41</v>
      </c>
      <c r="M282" t="s">
        <v>42</v>
      </c>
      <c r="N282" t="s">
        <v>43</v>
      </c>
      <c r="O282" s="7">
        <v>8</v>
      </c>
      <c r="P282" s="8">
        <v>45259.751782407409</v>
      </c>
      <c r="Q282" s="9">
        <v>45261</v>
      </c>
      <c r="R282" t="s">
        <v>37</v>
      </c>
      <c r="S282" t="s">
        <v>44</v>
      </c>
      <c r="T282" t="s">
        <v>45</v>
      </c>
      <c r="U282" t="s">
        <v>53</v>
      </c>
      <c r="V282" t="s">
        <v>970</v>
      </c>
      <c r="W282">
        <v>56000</v>
      </c>
      <c r="X282" t="s">
        <v>44</v>
      </c>
      <c r="Y282" t="s">
        <v>960</v>
      </c>
      <c r="Z282" t="s">
        <v>49</v>
      </c>
      <c r="AA282" s="10">
        <f>IF(O282&lt;=1,7,7+0.8*ROUNDUP(O282-1,0))</f>
        <v>12.600000000000001</v>
      </c>
      <c r="AB282" s="11">
        <v>0</v>
      </c>
      <c r="AC282" s="11">
        <v>0</v>
      </c>
      <c r="AD282" s="11">
        <v>0</v>
      </c>
      <c r="AE282" s="11">
        <v>0</v>
      </c>
      <c r="AF282" s="11">
        <f t="shared" si="8"/>
        <v>0.75600000000000001</v>
      </c>
      <c r="AG282" s="11">
        <f t="shared" si="9"/>
        <v>13.356000000000002</v>
      </c>
      <c r="AH282" t="s">
        <v>44</v>
      </c>
    </row>
    <row r="283" spans="1:34" ht="15" customHeight="1" x14ac:dyDescent="0.35">
      <c r="A283">
        <v>7547676</v>
      </c>
      <c r="B283">
        <v>690929</v>
      </c>
      <c r="C283" t="s">
        <v>34</v>
      </c>
      <c r="D283" t="s">
        <v>35</v>
      </c>
      <c r="E283" s="6" t="s">
        <v>34</v>
      </c>
      <c r="F283" t="s">
        <v>971</v>
      </c>
      <c r="G283" t="s">
        <v>37</v>
      </c>
      <c r="H283" t="s">
        <v>38</v>
      </c>
      <c r="I283" t="s">
        <v>972</v>
      </c>
      <c r="J283" t="s">
        <v>40</v>
      </c>
      <c r="K283">
        <v>2</v>
      </c>
      <c r="L283" t="s">
        <v>41</v>
      </c>
      <c r="M283" t="s">
        <v>42</v>
      </c>
      <c r="N283" t="s">
        <v>43</v>
      </c>
      <c r="O283" s="7">
        <v>1</v>
      </c>
      <c r="P283" s="8">
        <v>45260.646261574075</v>
      </c>
      <c r="Q283" s="9">
        <v>45262</v>
      </c>
      <c r="R283" t="s">
        <v>37</v>
      </c>
      <c r="S283" t="s">
        <v>44</v>
      </c>
      <c r="T283" t="s">
        <v>45</v>
      </c>
      <c r="U283" t="s">
        <v>46</v>
      </c>
      <c r="V283" t="s">
        <v>973</v>
      </c>
      <c r="W283">
        <v>83700</v>
      </c>
      <c r="X283" t="s">
        <v>44</v>
      </c>
      <c r="Y283" t="s">
        <v>52</v>
      </c>
      <c r="Z283" t="s">
        <v>49</v>
      </c>
      <c r="AA283" s="10">
        <f>IF(O283&lt;=1,7,7+0.8*ROUNDUP(O283-1,0))</f>
        <v>7</v>
      </c>
      <c r="AB283" s="11">
        <v>0</v>
      </c>
      <c r="AC283" s="11">
        <v>0</v>
      </c>
      <c r="AD283" s="11">
        <v>0</v>
      </c>
      <c r="AE283" s="11">
        <v>0</v>
      </c>
      <c r="AF283" s="11">
        <f t="shared" si="8"/>
        <v>0.42</v>
      </c>
      <c r="AG283" s="11">
        <f t="shared" si="9"/>
        <v>7.42</v>
      </c>
      <c r="AH283" t="s">
        <v>44</v>
      </c>
    </row>
    <row r="284" spans="1:34" ht="15" customHeight="1" x14ac:dyDescent="0.35">
      <c r="A284">
        <v>7547676</v>
      </c>
      <c r="B284">
        <v>690929</v>
      </c>
      <c r="C284" t="s">
        <v>34</v>
      </c>
      <c r="D284" t="s">
        <v>35</v>
      </c>
      <c r="E284" s="6" t="s">
        <v>34</v>
      </c>
      <c r="F284" t="s">
        <v>974</v>
      </c>
      <c r="G284" t="s">
        <v>37</v>
      </c>
      <c r="H284" t="s">
        <v>38</v>
      </c>
      <c r="I284" t="s">
        <v>975</v>
      </c>
      <c r="J284" t="s">
        <v>40</v>
      </c>
      <c r="K284">
        <v>2</v>
      </c>
      <c r="L284" t="s">
        <v>41</v>
      </c>
      <c r="M284" t="s">
        <v>42</v>
      </c>
      <c r="N284" t="s">
        <v>43</v>
      </c>
      <c r="O284" s="7">
        <v>1</v>
      </c>
      <c r="P284" s="8">
        <v>45260.625231481485</v>
      </c>
      <c r="Q284" s="9">
        <v>45262</v>
      </c>
      <c r="R284" t="s">
        <v>37</v>
      </c>
      <c r="S284" t="s">
        <v>44</v>
      </c>
      <c r="T284" t="s">
        <v>45</v>
      </c>
      <c r="U284" t="s">
        <v>82</v>
      </c>
      <c r="V284" t="s">
        <v>976</v>
      </c>
      <c r="W284">
        <v>71800</v>
      </c>
      <c r="X284" t="s">
        <v>44</v>
      </c>
      <c r="Y284" t="s">
        <v>52</v>
      </c>
      <c r="Z284" t="s">
        <v>49</v>
      </c>
      <c r="AA284" s="10">
        <f>IF(O284&lt;=1,7,7+0.8*ROUNDUP(O284-1,0))</f>
        <v>7</v>
      </c>
      <c r="AB284" s="11">
        <v>0</v>
      </c>
      <c r="AC284" s="11">
        <v>0</v>
      </c>
      <c r="AD284" s="11">
        <v>0</v>
      </c>
      <c r="AE284" s="11">
        <v>0</v>
      </c>
      <c r="AF284" s="11">
        <f t="shared" si="8"/>
        <v>0.42</v>
      </c>
      <c r="AG284" s="11">
        <f t="shared" si="9"/>
        <v>7.42</v>
      </c>
      <c r="AH284" t="s">
        <v>44</v>
      </c>
    </row>
    <row r="285" spans="1:34" ht="15" customHeight="1" x14ac:dyDescent="0.35">
      <c r="A285">
        <v>7547676</v>
      </c>
      <c r="B285">
        <v>690929</v>
      </c>
      <c r="C285" t="s">
        <v>34</v>
      </c>
      <c r="D285" t="s">
        <v>35</v>
      </c>
      <c r="E285" s="6" t="s">
        <v>34</v>
      </c>
      <c r="F285" t="s">
        <v>977</v>
      </c>
      <c r="G285" t="s">
        <v>37</v>
      </c>
      <c r="H285" t="s">
        <v>38</v>
      </c>
      <c r="I285" t="s">
        <v>978</v>
      </c>
      <c r="J285" t="s">
        <v>40</v>
      </c>
      <c r="K285">
        <v>2</v>
      </c>
      <c r="L285" t="s">
        <v>41</v>
      </c>
      <c r="M285" t="s">
        <v>42</v>
      </c>
      <c r="N285" t="s">
        <v>43</v>
      </c>
      <c r="O285" s="7">
        <v>1</v>
      </c>
      <c r="P285" s="8">
        <v>45260.623206018521</v>
      </c>
      <c r="Q285" s="9">
        <v>45262</v>
      </c>
      <c r="R285" t="s">
        <v>37</v>
      </c>
      <c r="S285" t="s">
        <v>44</v>
      </c>
      <c r="T285" t="s">
        <v>45</v>
      </c>
      <c r="U285" t="s">
        <v>115</v>
      </c>
      <c r="V285" t="s">
        <v>979</v>
      </c>
      <c r="W285">
        <v>16200</v>
      </c>
      <c r="X285" t="s">
        <v>44</v>
      </c>
      <c r="Y285" t="s">
        <v>76</v>
      </c>
      <c r="Z285" t="s">
        <v>49</v>
      </c>
      <c r="AA285" s="10">
        <f>IF(O285&lt;=1,7,7+0.8*ROUNDUP(O285-1,0))</f>
        <v>7</v>
      </c>
      <c r="AB285" s="11">
        <v>0</v>
      </c>
      <c r="AC285" s="11">
        <v>0</v>
      </c>
      <c r="AD285" s="11">
        <v>0</v>
      </c>
      <c r="AE285" s="11">
        <v>0</v>
      </c>
      <c r="AF285" s="11">
        <f t="shared" si="8"/>
        <v>0.42</v>
      </c>
      <c r="AG285" s="11">
        <f t="shared" si="9"/>
        <v>7.42</v>
      </c>
      <c r="AH285" t="s">
        <v>44</v>
      </c>
    </row>
    <row r="286" spans="1:34" ht="15" customHeight="1" x14ac:dyDescent="0.35">
      <c r="A286">
        <v>7547676</v>
      </c>
      <c r="B286">
        <v>690929</v>
      </c>
      <c r="C286" t="s">
        <v>34</v>
      </c>
      <c r="D286" t="s">
        <v>35</v>
      </c>
      <c r="E286" s="6" t="s">
        <v>34</v>
      </c>
      <c r="F286" t="s">
        <v>980</v>
      </c>
      <c r="G286" t="s">
        <v>37</v>
      </c>
      <c r="H286" t="s">
        <v>38</v>
      </c>
      <c r="I286" t="s">
        <v>698</v>
      </c>
      <c r="J286" t="s">
        <v>40</v>
      </c>
      <c r="K286">
        <v>2</v>
      </c>
      <c r="L286" t="s">
        <v>41</v>
      </c>
      <c r="M286" t="s">
        <v>42</v>
      </c>
      <c r="N286" t="s">
        <v>43</v>
      </c>
      <c r="O286" s="7">
        <v>1</v>
      </c>
      <c r="P286" s="8">
        <v>45259.749039351853</v>
      </c>
      <c r="Q286" s="9">
        <v>45262</v>
      </c>
      <c r="R286" t="s">
        <v>37</v>
      </c>
      <c r="S286" t="s">
        <v>44</v>
      </c>
      <c r="T286" t="s">
        <v>45</v>
      </c>
      <c r="U286" t="s">
        <v>159</v>
      </c>
      <c r="V286" t="s">
        <v>699</v>
      </c>
      <c r="W286">
        <v>34700</v>
      </c>
      <c r="X286" t="s">
        <v>44</v>
      </c>
      <c r="Y286" t="s">
        <v>52</v>
      </c>
      <c r="Z286" t="s">
        <v>49</v>
      </c>
      <c r="AA286" s="10">
        <f>IF(O286&lt;=1,7,7+0.8*ROUNDUP(O286-1,0))</f>
        <v>7</v>
      </c>
      <c r="AB286" s="11">
        <v>0</v>
      </c>
      <c r="AC286" s="11">
        <v>0</v>
      </c>
      <c r="AD286" s="11">
        <v>0</v>
      </c>
      <c r="AE286" s="11">
        <v>0</v>
      </c>
      <c r="AF286" s="11">
        <f t="shared" si="8"/>
        <v>0.42</v>
      </c>
      <c r="AG286" s="11">
        <f t="shared" si="9"/>
        <v>7.42</v>
      </c>
      <c r="AH286" t="s">
        <v>44</v>
      </c>
    </row>
    <row r="287" spans="1:34" ht="15" customHeight="1" x14ac:dyDescent="0.35">
      <c r="A287">
        <v>7547676</v>
      </c>
      <c r="B287">
        <v>690929</v>
      </c>
      <c r="C287" t="s">
        <v>34</v>
      </c>
      <c r="D287" t="s">
        <v>35</v>
      </c>
      <c r="E287" s="6" t="s">
        <v>34</v>
      </c>
      <c r="F287" t="s">
        <v>981</v>
      </c>
      <c r="G287" t="s">
        <v>37</v>
      </c>
      <c r="H287" t="s">
        <v>323</v>
      </c>
      <c r="I287" t="s">
        <v>982</v>
      </c>
      <c r="J287" t="s">
        <v>40</v>
      </c>
      <c r="K287">
        <v>2</v>
      </c>
      <c r="L287" t="s">
        <v>41</v>
      </c>
      <c r="M287" t="s">
        <v>42</v>
      </c>
      <c r="N287" t="s">
        <v>43</v>
      </c>
      <c r="O287" s="7">
        <v>2</v>
      </c>
      <c r="P287" s="8">
        <v>45256.746423611112</v>
      </c>
      <c r="Q287" s="9">
        <v>45262</v>
      </c>
      <c r="R287" t="s">
        <v>37</v>
      </c>
      <c r="S287" t="s">
        <v>44</v>
      </c>
      <c r="T287" t="s">
        <v>52</v>
      </c>
      <c r="U287" t="s">
        <v>115</v>
      </c>
      <c r="V287" t="s">
        <v>983</v>
      </c>
      <c r="W287">
        <v>18300</v>
      </c>
      <c r="X287" t="s">
        <v>44</v>
      </c>
      <c r="Y287" t="s">
        <v>123</v>
      </c>
      <c r="Z287" t="s">
        <v>49</v>
      </c>
      <c r="AA287" s="10">
        <f>IF(O287&lt;=1,7,7+0.8*ROUNDUP(O287-1,0))</f>
        <v>7.8</v>
      </c>
      <c r="AB287" s="11">
        <v>0</v>
      </c>
      <c r="AC287" s="11">
        <v>0</v>
      </c>
      <c r="AD287" s="11">
        <v>0</v>
      </c>
      <c r="AE287" s="11">
        <v>0</v>
      </c>
      <c r="AF287" s="11">
        <f t="shared" si="8"/>
        <v>0.46799999999999997</v>
      </c>
      <c r="AG287" s="11">
        <f t="shared" si="9"/>
        <v>8.2680000000000007</v>
      </c>
      <c r="AH287" t="s">
        <v>44</v>
      </c>
    </row>
    <row r="288" spans="1:34" ht="15" customHeight="1" x14ac:dyDescent="0.35">
      <c r="A288">
        <v>7547676</v>
      </c>
      <c r="B288">
        <v>690929</v>
      </c>
      <c r="C288" t="s">
        <v>34</v>
      </c>
      <c r="D288" t="s">
        <v>35</v>
      </c>
      <c r="E288" s="6" t="s">
        <v>34</v>
      </c>
      <c r="F288" t="s">
        <v>984</v>
      </c>
      <c r="G288" t="s">
        <v>37</v>
      </c>
      <c r="H288" t="s">
        <v>38</v>
      </c>
      <c r="I288" t="s">
        <v>985</v>
      </c>
      <c r="J288" t="s">
        <v>40</v>
      </c>
      <c r="K288">
        <v>2</v>
      </c>
      <c r="L288" t="s">
        <v>41</v>
      </c>
      <c r="M288" t="s">
        <v>42</v>
      </c>
      <c r="N288" t="s">
        <v>43</v>
      </c>
      <c r="O288" s="7">
        <v>1</v>
      </c>
      <c r="P288" s="8">
        <v>45260.723483796297</v>
      </c>
      <c r="Q288" s="9">
        <v>45262</v>
      </c>
      <c r="R288" t="s">
        <v>37</v>
      </c>
      <c r="S288" t="s">
        <v>44</v>
      </c>
      <c r="T288" t="s">
        <v>45</v>
      </c>
      <c r="U288" t="s">
        <v>58</v>
      </c>
      <c r="V288" t="s">
        <v>986</v>
      </c>
      <c r="W288">
        <v>9000</v>
      </c>
      <c r="X288" t="s">
        <v>44</v>
      </c>
      <c r="Y288" t="s">
        <v>937</v>
      </c>
      <c r="Z288" t="s">
        <v>49</v>
      </c>
      <c r="AA288" s="10">
        <f>IF(O288&lt;=1,7,7+0.8*ROUNDUP(O288-1,0))</f>
        <v>7</v>
      </c>
      <c r="AB288" s="11">
        <v>0</v>
      </c>
      <c r="AC288" s="11">
        <v>0</v>
      </c>
      <c r="AD288" s="11">
        <v>0</v>
      </c>
      <c r="AE288" s="11">
        <v>0</v>
      </c>
      <c r="AF288" s="11">
        <f t="shared" si="8"/>
        <v>0.42</v>
      </c>
      <c r="AG288" s="11">
        <f t="shared" si="9"/>
        <v>7.42</v>
      </c>
      <c r="AH288" t="s">
        <v>44</v>
      </c>
    </row>
    <row r="289" spans="1:34" ht="15" customHeight="1" x14ac:dyDescent="0.35">
      <c r="A289">
        <v>7547676</v>
      </c>
      <c r="B289">
        <v>690929</v>
      </c>
      <c r="C289" t="s">
        <v>34</v>
      </c>
      <c r="D289" t="s">
        <v>35</v>
      </c>
      <c r="E289" s="6" t="s">
        <v>34</v>
      </c>
      <c r="F289" t="s">
        <v>987</v>
      </c>
      <c r="G289" t="s">
        <v>37</v>
      </c>
      <c r="H289" t="s">
        <v>38</v>
      </c>
      <c r="I289" t="s">
        <v>988</v>
      </c>
      <c r="J289" t="s">
        <v>40</v>
      </c>
      <c r="K289">
        <v>2</v>
      </c>
      <c r="L289" t="s">
        <v>41</v>
      </c>
      <c r="M289" t="s">
        <v>42</v>
      </c>
      <c r="N289" t="s">
        <v>43</v>
      </c>
      <c r="O289" s="7">
        <v>1</v>
      </c>
      <c r="P289" s="8">
        <v>45260.639108796298</v>
      </c>
      <c r="Q289" s="9">
        <v>45262</v>
      </c>
      <c r="R289" t="s">
        <v>37</v>
      </c>
      <c r="S289" t="s">
        <v>44</v>
      </c>
      <c r="T289" t="s">
        <v>45</v>
      </c>
      <c r="U289" t="s">
        <v>58</v>
      </c>
      <c r="V289" t="s">
        <v>989</v>
      </c>
      <c r="W289">
        <v>5150</v>
      </c>
      <c r="X289" t="s">
        <v>44</v>
      </c>
      <c r="Y289" t="s">
        <v>52</v>
      </c>
      <c r="Z289" t="s">
        <v>49</v>
      </c>
      <c r="AA289" s="10">
        <f>IF(O289&lt;=1,7,7+0.8*ROUNDUP(O289-1,0))</f>
        <v>7</v>
      </c>
      <c r="AB289" s="11">
        <v>0</v>
      </c>
      <c r="AC289" s="11">
        <v>0</v>
      </c>
      <c r="AD289" s="11">
        <v>0</v>
      </c>
      <c r="AE289" s="11">
        <v>0</v>
      </c>
      <c r="AF289" s="11">
        <f t="shared" si="8"/>
        <v>0.42</v>
      </c>
      <c r="AG289" s="11">
        <f t="shared" si="9"/>
        <v>7.42</v>
      </c>
      <c r="AH289" t="s">
        <v>44</v>
      </c>
    </row>
    <row r="290" spans="1:34" ht="15" customHeight="1" x14ac:dyDescent="0.35">
      <c r="A290">
        <v>7547676</v>
      </c>
      <c r="B290">
        <v>690929</v>
      </c>
      <c r="C290" t="s">
        <v>34</v>
      </c>
      <c r="D290" t="s">
        <v>35</v>
      </c>
      <c r="E290" s="6" t="s">
        <v>34</v>
      </c>
      <c r="F290" t="s">
        <v>990</v>
      </c>
      <c r="G290" t="s">
        <v>37</v>
      </c>
      <c r="H290" t="s">
        <v>38</v>
      </c>
      <c r="I290" t="s">
        <v>988</v>
      </c>
      <c r="J290" t="s">
        <v>40</v>
      </c>
      <c r="K290">
        <v>2</v>
      </c>
      <c r="L290" t="s">
        <v>41</v>
      </c>
      <c r="M290" t="s">
        <v>42</v>
      </c>
      <c r="N290" t="s">
        <v>43</v>
      </c>
      <c r="O290" s="7">
        <v>1</v>
      </c>
      <c r="P290" s="8">
        <v>45260.636018518519</v>
      </c>
      <c r="Q290" s="9">
        <v>45262</v>
      </c>
      <c r="R290" t="s">
        <v>37</v>
      </c>
      <c r="S290" t="s">
        <v>44</v>
      </c>
      <c r="T290" t="s">
        <v>45</v>
      </c>
      <c r="U290" t="s">
        <v>58</v>
      </c>
      <c r="V290" t="s">
        <v>991</v>
      </c>
      <c r="W290">
        <v>8000</v>
      </c>
      <c r="X290" t="s">
        <v>44</v>
      </c>
      <c r="Y290" t="s">
        <v>52</v>
      </c>
      <c r="Z290" t="s">
        <v>49</v>
      </c>
      <c r="AA290" s="10">
        <f>IF(O290&lt;=1,7,7+0.8*ROUNDUP(O290-1,0))</f>
        <v>7</v>
      </c>
      <c r="AB290" s="11">
        <v>0</v>
      </c>
      <c r="AC290" s="11">
        <v>0</v>
      </c>
      <c r="AD290" s="11">
        <v>0</v>
      </c>
      <c r="AE290" s="11">
        <v>0</v>
      </c>
      <c r="AF290" s="11">
        <f t="shared" si="8"/>
        <v>0.42</v>
      </c>
      <c r="AG290" s="11">
        <f t="shared" si="9"/>
        <v>7.42</v>
      </c>
      <c r="AH290" t="s">
        <v>44</v>
      </c>
    </row>
    <row r="291" spans="1:34" ht="15" customHeight="1" x14ac:dyDescent="0.35">
      <c r="A291">
        <v>7547676</v>
      </c>
      <c r="B291">
        <v>690929</v>
      </c>
      <c r="C291" t="s">
        <v>34</v>
      </c>
      <c r="D291" t="s">
        <v>35</v>
      </c>
      <c r="E291" s="6" t="s">
        <v>34</v>
      </c>
      <c r="F291" t="s">
        <v>992</v>
      </c>
      <c r="G291" t="s">
        <v>37</v>
      </c>
      <c r="H291" t="s">
        <v>38</v>
      </c>
      <c r="I291" t="s">
        <v>993</v>
      </c>
      <c r="J291" t="s">
        <v>40</v>
      </c>
      <c r="K291">
        <v>2</v>
      </c>
      <c r="L291" t="s">
        <v>41</v>
      </c>
      <c r="M291" t="s">
        <v>42</v>
      </c>
      <c r="N291" t="s">
        <v>43</v>
      </c>
      <c r="O291" s="7">
        <v>2</v>
      </c>
      <c r="P291" s="8">
        <v>45258.758958333332</v>
      </c>
      <c r="Q291" s="9">
        <v>45262</v>
      </c>
      <c r="R291" t="s">
        <v>37</v>
      </c>
      <c r="S291" t="s">
        <v>44</v>
      </c>
      <c r="T291" t="s">
        <v>45</v>
      </c>
      <c r="U291" t="s">
        <v>58</v>
      </c>
      <c r="V291" t="s">
        <v>994</v>
      </c>
      <c r="W291">
        <v>7000</v>
      </c>
      <c r="X291" t="s">
        <v>44</v>
      </c>
      <c r="Y291" t="s">
        <v>52</v>
      </c>
      <c r="Z291" t="s">
        <v>49</v>
      </c>
      <c r="AA291" s="10">
        <f>IF(O291&lt;=1,7,7+0.8*ROUNDUP(O291-1,0))</f>
        <v>7.8</v>
      </c>
      <c r="AB291" s="11">
        <v>0</v>
      </c>
      <c r="AC291" s="11">
        <v>0</v>
      </c>
      <c r="AD291" s="11">
        <v>0</v>
      </c>
      <c r="AE291" s="11">
        <v>0</v>
      </c>
      <c r="AF291" s="11">
        <f t="shared" si="8"/>
        <v>0.46799999999999997</v>
      </c>
      <c r="AG291" s="11">
        <f t="shared" si="9"/>
        <v>8.2680000000000007</v>
      </c>
      <c r="AH291" t="s">
        <v>44</v>
      </c>
    </row>
    <row r="292" spans="1:34" ht="15" customHeight="1" x14ac:dyDescent="0.35">
      <c r="A292">
        <v>7547676</v>
      </c>
      <c r="B292">
        <v>690929</v>
      </c>
      <c r="C292" t="s">
        <v>34</v>
      </c>
      <c r="D292" t="s">
        <v>35</v>
      </c>
      <c r="E292" s="6" t="s">
        <v>34</v>
      </c>
      <c r="F292" t="s">
        <v>995</v>
      </c>
      <c r="G292" t="s">
        <v>37</v>
      </c>
      <c r="H292" t="s">
        <v>38</v>
      </c>
      <c r="I292" t="s">
        <v>147</v>
      </c>
      <c r="J292" t="s">
        <v>40</v>
      </c>
      <c r="K292">
        <v>2</v>
      </c>
      <c r="L292" t="s">
        <v>41</v>
      </c>
      <c r="M292" t="s">
        <v>42</v>
      </c>
      <c r="N292" t="s">
        <v>43</v>
      </c>
      <c r="O292" s="7">
        <v>4</v>
      </c>
      <c r="P292" s="8">
        <v>45260.616620370369</v>
      </c>
      <c r="Q292" s="9">
        <v>45262</v>
      </c>
      <c r="R292" t="s">
        <v>37</v>
      </c>
      <c r="S292" t="s">
        <v>44</v>
      </c>
      <c r="T292" t="s">
        <v>45</v>
      </c>
      <c r="U292" t="s">
        <v>77</v>
      </c>
      <c r="V292" t="s">
        <v>148</v>
      </c>
      <c r="W292">
        <v>39100</v>
      </c>
      <c r="X292" t="s">
        <v>44</v>
      </c>
      <c r="Y292" t="s">
        <v>149</v>
      </c>
      <c r="Z292" t="s">
        <v>49</v>
      </c>
      <c r="AA292" s="10">
        <f>IF(O292&lt;=1,7,7+0.8*ROUNDUP(O292-1,0))</f>
        <v>9.4</v>
      </c>
      <c r="AB292" s="11">
        <v>0</v>
      </c>
      <c r="AC292" s="11">
        <v>0</v>
      </c>
      <c r="AD292" s="11">
        <v>0</v>
      </c>
      <c r="AE292" s="11">
        <v>0</v>
      </c>
      <c r="AF292" s="11">
        <f t="shared" si="8"/>
        <v>0.56399999999999995</v>
      </c>
      <c r="AG292" s="11">
        <f t="shared" si="9"/>
        <v>9.9640000000000004</v>
      </c>
      <c r="AH292" t="s">
        <v>44</v>
      </c>
    </row>
    <row r="293" spans="1:34" ht="15" customHeight="1" x14ac:dyDescent="0.35">
      <c r="A293">
        <v>7547676</v>
      </c>
      <c r="B293">
        <v>690929</v>
      </c>
      <c r="C293" t="s">
        <v>34</v>
      </c>
      <c r="D293" t="s">
        <v>35</v>
      </c>
      <c r="E293" s="6" t="s">
        <v>34</v>
      </c>
      <c r="F293" t="s">
        <v>996</v>
      </c>
      <c r="G293" t="s">
        <v>37</v>
      </c>
      <c r="H293" t="s">
        <v>38</v>
      </c>
      <c r="I293" t="s">
        <v>997</v>
      </c>
      <c r="J293" t="s">
        <v>40</v>
      </c>
      <c r="K293">
        <v>2</v>
      </c>
      <c r="L293" t="s">
        <v>41</v>
      </c>
      <c r="M293" t="s">
        <v>42</v>
      </c>
      <c r="N293" t="s">
        <v>43</v>
      </c>
      <c r="O293" s="7">
        <v>3</v>
      </c>
      <c r="P293" s="8">
        <v>45258.797743055555</v>
      </c>
      <c r="Q293" s="9">
        <v>45262</v>
      </c>
      <c r="R293" t="s">
        <v>37</v>
      </c>
      <c r="S293" t="s">
        <v>44</v>
      </c>
      <c r="T293" t="s">
        <v>45</v>
      </c>
      <c r="U293" t="s">
        <v>240</v>
      </c>
      <c r="V293" t="s">
        <v>998</v>
      </c>
      <c r="W293">
        <v>94300</v>
      </c>
      <c r="X293" t="s">
        <v>242</v>
      </c>
      <c r="Y293" t="s">
        <v>999</v>
      </c>
      <c r="Z293" t="s">
        <v>49</v>
      </c>
      <c r="AA293" s="12">
        <f>IF(O293&lt;=1,13,IF(O293&lt;=2,23,IF(O293&lt;=3,35,IF(O293&lt;=4,43,IF(O293&lt;=5,53,IF(O293&lt;=6,63,IF(O293&lt;=7,71,IF(O293&lt;=8,79,IF(O293&lt;=9,87,IF(O293&lt;=10,95,IF(O293&lt;=11,105,IF(O293&lt;=12,114,IF(O293&lt;=13,119,IF(O293&lt;=14,127,IF(O293&lt;=15,135,IF(O293&lt;=16,143,IF(O293&lt;=17,153,IF(O293&lt;=18,163,IF(O293&lt;=19,171,IF(O293&lt;=20,185,IF(O293&lt;=21,193,IF(O293&lt;=22,201,IF(O293&lt;=23,210,IF(O293&lt;=24,220,IF(O293&lt;=25,230,IF(O293&lt;=26,240,IF(O293&lt;=27,250,IF(O293&lt;=28,260,IF(O293&lt;=29,270,IF(O293&lt;=30,280,280+10*ROUNDUP(O293-30,0)))))))))))))))))))))))))))))))</f>
        <v>35</v>
      </c>
      <c r="AB293" s="11">
        <v>0</v>
      </c>
      <c r="AC293" s="11">
        <v>0</v>
      </c>
      <c r="AD293" s="11">
        <v>0</v>
      </c>
      <c r="AE293" s="11">
        <v>0</v>
      </c>
      <c r="AF293" s="11">
        <f t="shared" si="8"/>
        <v>2.1</v>
      </c>
      <c r="AG293" s="11">
        <f t="shared" si="9"/>
        <v>37.1</v>
      </c>
      <c r="AH293" t="s">
        <v>242</v>
      </c>
    </row>
    <row r="294" spans="1:34" ht="15" customHeight="1" x14ac:dyDescent="0.35">
      <c r="A294">
        <v>7547676</v>
      </c>
      <c r="B294">
        <v>690929</v>
      </c>
      <c r="C294" t="s">
        <v>34</v>
      </c>
      <c r="D294" t="s">
        <v>35</v>
      </c>
      <c r="E294" s="6" t="s">
        <v>34</v>
      </c>
      <c r="F294" t="s">
        <v>1000</v>
      </c>
      <c r="G294" t="s">
        <v>37</v>
      </c>
      <c r="H294" t="s">
        <v>38</v>
      </c>
      <c r="I294" t="s">
        <v>1001</v>
      </c>
      <c r="J294" t="s">
        <v>40</v>
      </c>
      <c r="K294">
        <v>2</v>
      </c>
      <c r="L294" t="s">
        <v>41</v>
      </c>
      <c r="M294" t="s">
        <v>42</v>
      </c>
      <c r="N294" t="s">
        <v>43</v>
      </c>
      <c r="O294" s="7">
        <v>1</v>
      </c>
      <c r="P294" s="8">
        <v>45260.692152777781</v>
      </c>
      <c r="Q294" s="9">
        <v>45262</v>
      </c>
      <c r="R294" t="s">
        <v>37</v>
      </c>
      <c r="S294" t="s">
        <v>44</v>
      </c>
      <c r="T294" t="s">
        <v>45</v>
      </c>
      <c r="U294" t="s">
        <v>46</v>
      </c>
      <c r="V294" t="s">
        <v>1002</v>
      </c>
      <c r="W294">
        <v>81100</v>
      </c>
      <c r="X294" t="s">
        <v>44</v>
      </c>
      <c r="Y294" t="s">
        <v>715</v>
      </c>
      <c r="Z294" t="s">
        <v>49</v>
      </c>
      <c r="AA294" s="10">
        <f>IF(O294&lt;=1,7,7+0.8*ROUNDUP(O294-1,0))</f>
        <v>7</v>
      </c>
      <c r="AB294" s="11">
        <v>0</v>
      </c>
      <c r="AC294" s="11">
        <v>0</v>
      </c>
      <c r="AD294" s="11">
        <v>0</v>
      </c>
      <c r="AE294" s="11">
        <v>0</v>
      </c>
      <c r="AF294" s="11">
        <f t="shared" si="8"/>
        <v>0.42</v>
      </c>
      <c r="AG294" s="11">
        <f t="shared" si="9"/>
        <v>7.42</v>
      </c>
      <c r="AH294" t="s">
        <v>44</v>
      </c>
    </row>
    <row r="295" spans="1:34" ht="15" customHeight="1" x14ac:dyDescent="0.35">
      <c r="A295">
        <v>7547676</v>
      </c>
      <c r="B295">
        <v>690929</v>
      </c>
      <c r="C295" t="s">
        <v>34</v>
      </c>
      <c r="D295" t="s">
        <v>35</v>
      </c>
      <c r="E295" s="6" t="s">
        <v>34</v>
      </c>
      <c r="F295" t="s">
        <v>1003</v>
      </c>
      <c r="G295" t="s">
        <v>37</v>
      </c>
      <c r="H295" t="s">
        <v>38</v>
      </c>
      <c r="I295" t="s">
        <v>1004</v>
      </c>
      <c r="J295" t="s">
        <v>40</v>
      </c>
      <c r="K295">
        <v>2</v>
      </c>
      <c r="L295" t="s">
        <v>41</v>
      </c>
      <c r="M295" t="s">
        <v>42</v>
      </c>
      <c r="N295" t="s">
        <v>43</v>
      </c>
      <c r="O295" s="7">
        <v>1</v>
      </c>
      <c r="P295" s="8">
        <v>45259.740659722222</v>
      </c>
      <c r="Q295" s="9">
        <v>45262</v>
      </c>
      <c r="R295" t="s">
        <v>37</v>
      </c>
      <c r="S295" t="s">
        <v>44</v>
      </c>
      <c r="T295" t="s">
        <v>45</v>
      </c>
      <c r="U295" t="s">
        <v>46</v>
      </c>
      <c r="V295" t="s">
        <v>1005</v>
      </c>
      <c r="W295">
        <v>81500</v>
      </c>
      <c r="X295" t="s">
        <v>44</v>
      </c>
      <c r="Y295" t="s">
        <v>381</v>
      </c>
      <c r="Z295" t="s">
        <v>49</v>
      </c>
      <c r="AA295" s="10">
        <f>IF(O295&lt;=1,7,7+0.8*ROUNDUP(O295-1,0))</f>
        <v>7</v>
      </c>
      <c r="AB295" s="11">
        <v>0</v>
      </c>
      <c r="AC295" s="11">
        <v>0</v>
      </c>
      <c r="AD295" s="11">
        <v>0</v>
      </c>
      <c r="AE295" s="11">
        <v>0</v>
      </c>
      <c r="AF295" s="11">
        <f t="shared" si="8"/>
        <v>0.42</v>
      </c>
      <c r="AG295" s="11">
        <f t="shared" si="9"/>
        <v>7.42</v>
      </c>
      <c r="AH295" t="s">
        <v>44</v>
      </c>
    </row>
    <row r="296" spans="1:34" ht="15" customHeight="1" x14ac:dyDescent="0.35">
      <c r="A296">
        <v>7547676</v>
      </c>
      <c r="B296">
        <v>690929</v>
      </c>
      <c r="C296" t="s">
        <v>34</v>
      </c>
      <c r="D296" t="s">
        <v>35</v>
      </c>
      <c r="E296" s="6" t="s">
        <v>34</v>
      </c>
      <c r="F296" t="s">
        <v>1006</v>
      </c>
      <c r="G296" t="s">
        <v>37</v>
      </c>
      <c r="H296" t="s">
        <v>38</v>
      </c>
      <c r="I296" t="s">
        <v>1007</v>
      </c>
      <c r="J296" t="s">
        <v>40</v>
      </c>
      <c r="K296">
        <v>2</v>
      </c>
      <c r="L296" t="s">
        <v>41</v>
      </c>
      <c r="M296" t="s">
        <v>42</v>
      </c>
      <c r="N296" t="s">
        <v>43</v>
      </c>
      <c r="O296" s="7">
        <v>1</v>
      </c>
      <c r="P296" s="8">
        <v>45260.611377314817</v>
      </c>
      <c r="Q296" s="9">
        <v>45262</v>
      </c>
      <c r="R296" t="s">
        <v>37</v>
      </c>
      <c r="S296" t="s">
        <v>44</v>
      </c>
      <c r="T296" t="s">
        <v>45</v>
      </c>
      <c r="U296" t="s">
        <v>58</v>
      </c>
      <c r="V296" t="s">
        <v>1008</v>
      </c>
      <c r="W296">
        <v>6000</v>
      </c>
      <c r="X296" t="s">
        <v>44</v>
      </c>
      <c r="Y296" t="s">
        <v>52</v>
      </c>
      <c r="Z296" t="s">
        <v>49</v>
      </c>
      <c r="AA296" s="10">
        <f>IF(O296&lt;=1,7,7+0.8*ROUNDUP(O296-1,0))</f>
        <v>7</v>
      </c>
      <c r="AB296" s="11">
        <v>0</v>
      </c>
      <c r="AC296" s="11">
        <v>0</v>
      </c>
      <c r="AD296" s="11">
        <v>0</v>
      </c>
      <c r="AE296" s="11">
        <v>0</v>
      </c>
      <c r="AF296" s="11">
        <f t="shared" si="8"/>
        <v>0.42</v>
      </c>
      <c r="AG296" s="11">
        <f t="shared" si="9"/>
        <v>7.42</v>
      </c>
      <c r="AH296" t="s">
        <v>44</v>
      </c>
    </row>
    <row r="297" spans="1:34" ht="15" customHeight="1" x14ac:dyDescent="0.35">
      <c r="A297">
        <v>7547676</v>
      </c>
      <c r="B297">
        <v>690929</v>
      </c>
      <c r="C297" t="s">
        <v>34</v>
      </c>
      <c r="D297" t="s">
        <v>35</v>
      </c>
      <c r="E297" s="6" t="s">
        <v>34</v>
      </c>
      <c r="F297" t="s">
        <v>1009</v>
      </c>
      <c r="G297" t="s">
        <v>37</v>
      </c>
      <c r="H297" t="s">
        <v>38</v>
      </c>
      <c r="I297" t="s">
        <v>988</v>
      </c>
      <c r="J297" t="s">
        <v>40</v>
      </c>
      <c r="K297">
        <v>2</v>
      </c>
      <c r="L297" t="s">
        <v>41</v>
      </c>
      <c r="M297" t="s">
        <v>42</v>
      </c>
      <c r="N297" t="s">
        <v>43</v>
      </c>
      <c r="O297" s="7">
        <v>1</v>
      </c>
      <c r="P297" s="8">
        <v>45260.636018518519</v>
      </c>
      <c r="Q297" s="9">
        <v>45263</v>
      </c>
      <c r="R297" t="s">
        <v>37</v>
      </c>
      <c r="S297" t="s">
        <v>44</v>
      </c>
      <c r="T297" t="s">
        <v>45</v>
      </c>
      <c r="U297" t="s">
        <v>58</v>
      </c>
      <c r="V297" t="s">
        <v>1010</v>
      </c>
      <c r="W297">
        <v>7000</v>
      </c>
      <c r="X297" t="s">
        <v>44</v>
      </c>
      <c r="Y297" t="s">
        <v>52</v>
      </c>
      <c r="Z297" t="s">
        <v>49</v>
      </c>
      <c r="AA297" s="10">
        <f>IF(O297&lt;=1,7,7+0.8*ROUNDUP(O297-1,0))</f>
        <v>7</v>
      </c>
      <c r="AB297" s="11">
        <v>0</v>
      </c>
      <c r="AC297" s="11">
        <v>0</v>
      </c>
      <c r="AD297" s="11">
        <v>0</v>
      </c>
      <c r="AE297" s="11">
        <v>0</v>
      </c>
      <c r="AF297" s="11">
        <f t="shared" si="8"/>
        <v>0.42</v>
      </c>
      <c r="AG297" s="11">
        <f t="shared" si="9"/>
        <v>7.42</v>
      </c>
      <c r="AH297" t="s">
        <v>44</v>
      </c>
    </row>
    <row r="298" spans="1:34" ht="15" customHeight="1" x14ac:dyDescent="0.35">
      <c r="A298">
        <v>7547676</v>
      </c>
      <c r="B298">
        <v>690929</v>
      </c>
      <c r="C298" t="s">
        <v>34</v>
      </c>
      <c r="D298" t="s">
        <v>35</v>
      </c>
      <c r="E298" s="6" t="s">
        <v>34</v>
      </c>
      <c r="F298" t="s">
        <v>1011</v>
      </c>
      <c r="G298" t="s">
        <v>37</v>
      </c>
      <c r="H298" t="s">
        <v>38</v>
      </c>
      <c r="I298" t="s">
        <v>1012</v>
      </c>
      <c r="J298" t="s">
        <v>40</v>
      </c>
      <c r="K298">
        <v>2</v>
      </c>
      <c r="L298" t="s">
        <v>41</v>
      </c>
      <c r="M298" t="s">
        <v>42</v>
      </c>
      <c r="N298" t="s">
        <v>43</v>
      </c>
      <c r="O298" s="7">
        <v>1</v>
      </c>
      <c r="P298" s="8">
        <v>45261.676041666666</v>
      </c>
      <c r="Q298" s="9">
        <v>45263</v>
      </c>
      <c r="R298" t="s">
        <v>37</v>
      </c>
      <c r="S298" t="s">
        <v>44</v>
      </c>
      <c r="T298" t="s">
        <v>45</v>
      </c>
      <c r="U298" t="s">
        <v>53</v>
      </c>
      <c r="V298" t="s">
        <v>1013</v>
      </c>
      <c r="W298">
        <v>58200</v>
      </c>
      <c r="X298" t="s">
        <v>44</v>
      </c>
      <c r="Y298" t="s">
        <v>350</v>
      </c>
      <c r="Z298" t="s">
        <v>49</v>
      </c>
      <c r="AA298" s="10">
        <f>IF(O298&lt;=1,7,7+0.8*ROUNDUP(O298-1,0))</f>
        <v>7</v>
      </c>
      <c r="AB298" s="11">
        <v>0</v>
      </c>
      <c r="AC298" s="11">
        <v>0</v>
      </c>
      <c r="AD298" s="11">
        <v>0</v>
      </c>
      <c r="AE298" s="11">
        <v>0</v>
      </c>
      <c r="AF298" s="11">
        <f t="shared" si="8"/>
        <v>0.42</v>
      </c>
      <c r="AG298" s="11">
        <f t="shared" si="9"/>
        <v>7.42</v>
      </c>
      <c r="AH298" t="s">
        <v>44</v>
      </c>
    </row>
    <row r="299" spans="1:34" ht="15" customHeight="1" x14ac:dyDescent="0.35">
      <c r="A299">
        <v>7547676</v>
      </c>
      <c r="B299">
        <v>690929</v>
      </c>
      <c r="C299" t="s">
        <v>34</v>
      </c>
      <c r="D299" t="s">
        <v>35</v>
      </c>
      <c r="E299" s="6" t="s">
        <v>34</v>
      </c>
      <c r="F299" t="s">
        <v>1014</v>
      </c>
      <c r="G299" t="s">
        <v>37</v>
      </c>
      <c r="H299" t="s">
        <v>38</v>
      </c>
      <c r="I299" t="s">
        <v>1015</v>
      </c>
      <c r="J299" t="s">
        <v>40</v>
      </c>
      <c r="K299">
        <v>2</v>
      </c>
      <c r="L299" t="s">
        <v>41</v>
      </c>
      <c r="M299" t="s">
        <v>42</v>
      </c>
      <c r="N299" t="s">
        <v>43</v>
      </c>
      <c r="O299" s="7">
        <v>1</v>
      </c>
      <c r="P299" s="8">
        <v>45262.685798611114</v>
      </c>
      <c r="Q299" s="9">
        <v>45263</v>
      </c>
      <c r="R299" t="s">
        <v>37</v>
      </c>
      <c r="S299" t="s">
        <v>44</v>
      </c>
      <c r="T299" t="s">
        <v>45</v>
      </c>
      <c r="U299" t="s">
        <v>68</v>
      </c>
      <c r="V299" t="s">
        <v>1016</v>
      </c>
      <c r="W299">
        <v>62150</v>
      </c>
      <c r="X299" t="s">
        <v>44</v>
      </c>
      <c r="Y299" t="s">
        <v>52</v>
      </c>
      <c r="Z299" t="s">
        <v>49</v>
      </c>
      <c r="AA299" s="10">
        <f>IF(O299&lt;=1,7,7+0.8*ROUNDUP(O299-1,0))</f>
        <v>7</v>
      </c>
      <c r="AB299" s="11">
        <v>0</v>
      </c>
      <c r="AC299" s="11">
        <v>0</v>
      </c>
      <c r="AD299" s="11">
        <v>0</v>
      </c>
      <c r="AE299" s="11">
        <v>0</v>
      </c>
      <c r="AF299" s="11">
        <f t="shared" si="8"/>
        <v>0.42</v>
      </c>
      <c r="AG299" s="11">
        <f t="shared" si="9"/>
        <v>7.42</v>
      </c>
      <c r="AH299" t="s">
        <v>44</v>
      </c>
    </row>
    <row r="300" spans="1:34" ht="15" customHeight="1" x14ac:dyDescent="0.35">
      <c r="A300">
        <v>7547676</v>
      </c>
      <c r="B300">
        <v>690929</v>
      </c>
      <c r="C300" t="s">
        <v>34</v>
      </c>
      <c r="D300" t="s">
        <v>35</v>
      </c>
      <c r="E300" s="6" t="s">
        <v>34</v>
      </c>
      <c r="F300" t="s">
        <v>1017</v>
      </c>
      <c r="G300" t="s">
        <v>37</v>
      </c>
      <c r="H300" t="s">
        <v>38</v>
      </c>
      <c r="I300" t="s">
        <v>1018</v>
      </c>
      <c r="J300" t="s">
        <v>40</v>
      </c>
      <c r="K300">
        <v>2</v>
      </c>
      <c r="L300" t="s">
        <v>41</v>
      </c>
      <c r="M300" t="s">
        <v>42</v>
      </c>
      <c r="N300" t="s">
        <v>43</v>
      </c>
      <c r="O300" s="7">
        <v>1</v>
      </c>
      <c r="P300" s="8">
        <v>45260.781273148146</v>
      </c>
      <c r="Q300" s="9">
        <v>45263</v>
      </c>
      <c r="R300" t="s">
        <v>37</v>
      </c>
      <c r="S300" t="s">
        <v>44</v>
      </c>
      <c r="T300" t="s">
        <v>76</v>
      </c>
      <c r="U300" t="s">
        <v>82</v>
      </c>
      <c r="V300" t="s">
        <v>1019</v>
      </c>
      <c r="W300">
        <v>71450</v>
      </c>
      <c r="X300" t="s">
        <v>44</v>
      </c>
      <c r="Y300" t="s">
        <v>52</v>
      </c>
      <c r="Z300" t="s">
        <v>49</v>
      </c>
      <c r="AA300" s="10">
        <f>IF(O300&lt;=1,7,7+0.8*ROUNDUP(O300-1,0))</f>
        <v>7</v>
      </c>
      <c r="AB300" s="11">
        <v>0</v>
      </c>
      <c r="AC300" s="11">
        <v>0</v>
      </c>
      <c r="AD300" s="11">
        <v>0</v>
      </c>
      <c r="AE300" s="11">
        <v>0</v>
      </c>
      <c r="AF300" s="11">
        <f t="shared" si="8"/>
        <v>0.42</v>
      </c>
      <c r="AG300" s="11">
        <f t="shared" si="9"/>
        <v>7.42</v>
      </c>
      <c r="AH300" t="s">
        <v>44</v>
      </c>
    </row>
    <row r="301" spans="1:34" ht="15" customHeight="1" x14ac:dyDescent="0.35">
      <c r="A301">
        <v>7547676</v>
      </c>
      <c r="B301">
        <v>690929</v>
      </c>
      <c r="C301" t="s">
        <v>34</v>
      </c>
      <c r="D301" t="s">
        <v>35</v>
      </c>
      <c r="E301" s="6" t="s">
        <v>34</v>
      </c>
      <c r="F301" t="s">
        <v>1020</v>
      </c>
      <c r="G301" t="s">
        <v>37</v>
      </c>
      <c r="H301" t="s">
        <v>38</v>
      </c>
      <c r="I301" t="s">
        <v>1021</v>
      </c>
      <c r="J301" t="s">
        <v>40</v>
      </c>
      <c r="K301">
        <v>2</v>
      </c>
      <c r="L301" t="s">
        <v>41</v>
      </c>
      <c r="M301" t="s">
        <v>42</v>
      </c>
      <c r="N301" t="s">
        <v>43</v>
      </c>
      <c r="O301" s="7">
        <v>1</v>
      </c>
      <c r="P301" s="8">
        <v>45262.619456018518</v>
      </c>
      <c r="Q301" s="9">
        <v>45263</v>
      </c>
      <c r="R301" t="s">
        <v>37</v>
      </c>
      <c r="S301" t="s">
        <v>44</v>
      </c>
      <c r="T301" t="s">
        <v>45</v>
      </c>
      <c r="U301" t="s">
        <v>68</v>
      </c>
      <c r="V301" t="s">
        <v>1022</v>
      </c>
      <c r="W301">
        <v>47620</v>
      </c>
      <c r="X301" t="s">
        <v>44</v>
      </c>
      <c r="Y301" t="s">
        <v>1023</v>
      </c>
      <c r="Z301" t="s">
        <v>49</v>
      </c>
      <c r="AA301" s="10">
        <f>IF(O301&lt;=1,7,7+0.8*ROUNDUP(O301-1,0))</f>
        <v>7</v>
      </c>
      <c r="AB301" s="11">
        <v>0</v>
      </c>
      <c r="AC301" s="11">
        <v>0</v>
      </c>
      <c r="AD301" s="11">
        <v>0</v>
      </c>
      <c r="AE301" s="11">
        <v>0</v>
      </c>
      <c r="AF301" s="11">
        <f t="shared" si="8"/>
        <v>0.42</v>
      </c>
      <c r="AG301" s="11">
        <f t="shared" si="9"/>
        <v>7.42</v>
      </c>
      <c r="AH301" t="s">
        <v>44</v>
      </c>
    </row>
    <row r="302" spans="1:34" ht="15" customHeight="1" x14ac:dyDescent="0.35">
      <c r="A302">
        <v>7547676</v>
      </c>
      <c r="B302">
        <v>690929</v>
      </c>
      <c r="C302" t="s">
        <v>34</v>
      </c>
      <c r="D302" t="s">
        <v>35</v>
      </c>
      <c r="E302" s="6" t="s">
        <v>34</v>
      </c>
      <c r="F302" t="s">
        <v>1024</v>
      </c>
      <c r="G302" t="s">
        <v>37</v>
      </c>
      <c r="H302" t="s">
        <v>38</v>
      </c>
      <c r="I302" t="s">
        <v>1025</v>
      </c>
      <c r="J302" t="s">
        <v>40</v>
      </c>
      <c r="K302">
        <v>2</v>
      </c>
      <c r="L302" t="s">
        <v>41</v>
      </c>
      <c r="M302" t="s">
        <v>42</v>
      </c>
      <c r="N302" t="s">
        <v>43</v>
      </c>
      <c r="O302" s="7">
        <v>1</v>
      </c>
      <c r="P302" s="8">
        <v>45260.851273148146</v>
      </c>
      <c r="Q302" s="9">
        <v>45263</v>
      </c>
      <c r="R302" t="s">
        <v>37</v>
      </c>
      <c r="S302" t="s">
        <v>44</v>
      </c>
      <c r="T302" t="s">
        <v>76</v>
      </c>
      <c r="U302" t="s">
        <v>46</v>
      </c>
      <c r="V302" t="s">
        <v>1026</v>
      </c>
      <c r="W302">
        <v>81500</v>
      </c>
      <c r="X302" t="s">
        <v>44</v>
      </c>
      <c r="Y302" t="s">
        <v>381</v>
      </c>
      <c r="Z302" t="s">
        <v>49</v>
      </c>
      <c r="AA302" s="10">
        <f>IF(O302&lt;=1,7,7+0.8*ROUNDUP(O302-1,0))</f>
        <v>7</v>
      </c>
      <c r="AB302" s="11">
        <v>0</v>
      </c>
      <c r="AC302" s="11">
        <v>0</v>
      </c>
      <c r="AD302" s="11">
        <v>0</v>
      </c>
      <c r="AE302" s="11">
        <v>0</v>
      </c>
      <c r="AF302" s="11">
        <f t="shared" si="8"/>
        <v>0.42</v>
      </c>
      <c r="AG302" s="11">
        <f t="shared" si="9"/>
        <v>7.42</v>
      </c>
      <c r="AH302" t="s">
        <v>44</v>
      </c>
    </row>
    <row r="303" spans="1:34" ht="15" customHeight="1" x14ac:dyDescent="0.35">
      <c r="A303">
        <v>7547676</v>
      </c>
      <c r="B303">
        <v>690929</v>
      </c>
      <c r="C303" t="s">
        <v>34</v>
      </c>
      <c r="D303" t="s">
        <v>35</v>
      </c>
      <c r="E303" s="6" t="s">
        <v>34</v>
      </c>
      <c r="F303" t="s">
        <v>1027</v>
      </c>
      <c r="G303" t="s">
        <v>37</v>
      </c>
      <c r="H303" t="s">
        <v>38</v>
      </c>
      <c r="I303" t="s">
        <v>1028</v>
      </c>
      <c r="J303" t="s">
        <v>40</v>
      </c>
      <c r="K303">
        <v>2</v>
      </c>
      <c r="L303" t="s">
        <v>41</v>
      </c>
      <c r="M303" t="s">
        <v>42</v>
      </c>
      <c r="N303" t="s">
        <v>43</v>
      </c>
      <c r="O303" s="7">
        <v>1</v>
      </c>
      <c r="P303" s="8">
        <v>45260.851273148146</v>
      </c>
      <c r="Q303" s="9">
        <v>45263</v>
      </c>
      <c r="R303" t="s">
        <v>37</v>
      </c>
      <c r="S303" t="s">
        <v>44</v>
      </c>
      <c r="T303" t="s">
        <v>76</v>
      </c>
      <c r="U303" t="s">
        <v>501</v>
      </c>
      <c r="V303" t="s">
        <v>1029</v>
      </c>
      <c r="W303">
        <v>2600</v>
      </c>
      <c r="X303" t="s">
        <v>44</v>
      </c>
      <c r="Y303" t="s">
        <v>640</v>
      </c>
      <c r="Z303" t="s">
        <v>49</v>
      </c>
      <c r="AA303" s="10">
        <f>IF(O303&lt;=1,7,7+0.8*ROUNDUP(O303-1,0))</f>
        <v>7</v>
      </c>
      <c r="AB303" s="11">
        <v>0</v>
      </c>
      <c r="AC303" s="11">
        <v>0</v>
      </c>
      <c r="AD303" s="11">
        <v>0</v>
      </c>
      <c r="AE303" s="11">
        <v>0</v>
      </c>
      <c r="AF303" s="11">
        <f t="shared" si="8"/>
        <v>0.42</v>
      </c>
      <c r="AG303" s="11">
        <f t="shared" si="9"/>
        <v>7.42</v>
      </c>
      <c r="AH303" t="s">
        <v>44</v>
      </c>
    </row>
    <row r="304" spans="1:34" ht="15" customHeight="1" x14ac:dyDescent="0.35">
      <c r="A304">
        <v>7547676</v>
      </c>
      <c r="B304">
        <v>690929</v>
      </c>
      <c r="C304" t="s">
        <v>34</v>
      </c>
      <c r="D304" t="s">
        <v>35</v>
      </c>
      <c r="E304" s="6" t="s">
        <v>34</v>
      </c>
      <c r="F304" t="s">
        <v>1030</v>
      </c>
      <c r="G304" t="s">
        <v>37</v>
      </c>
      <c r="H304" t="s">
        <v>38</v>
      </c>
      <c r="I304" t="s">
        <v>1031</v>
      </c>
      <c r="J304" t="s">
        <v>40</v>
      </c>
      <c r="K304">
        <v>2</v>
      </c>
      <c r="L304" t="s">
        <v>41</v>
      </c>
      <c r="M304" t="s">
        <v>42</v>
      </c>
      <c r="N304" t="s">
        <v>43</v>
      </c>
      <c r="O304" s="7">
        <v>1</v>
      </c>
      <c r="P304" s="8">
        <v>45260.751273148147</v>
      </c>
      <c r="Q304" s="9">
        <v>45263</v>
      </c>
      <c r="R304" t="s">
        <v>37</v>
      </c>
      <c r="S304" t="s">
        <v>44</v>
      </c>
      <c r="T304" t="s">
        <v>76</v>
      </c>
      <c r="U304" t="s">
        <v>94</v>
      </c>
      <c r="V304" t="s">
        <v>1032</v>
      </c>
      <c r="W304">
        <v>14400</v>
      </c>
      <c r="X304" t="s">
        <v>44</v>
      </c>
      <c r="Y304" t="s">
        <v>226</v>
      </c>
      <c r="Z304" t="s">
        <v>49</v>
      </c>
      <c r="AA304" s="10">
        <f>IF(O304&lt;=1,7,7+0.8*ROUNDUP(O304-1,0))</f>
        <v>7</v>
      </c>
      <c r="AB304" s="11">
        <v>0</v>
      </c>
      <c r="AC304" s="11">
        <v>0</v>
      </c>
      <c r="AD304" s="11">
        <v>0</v>
      </c>
      <c r="AE304" s="11">
        <v>0</v>
      </c>
      <c r="AF304" s="11">
        <f t="shared" si="8"/>
        <v>0.42</v>
      </c>
      <c r="AG304" s="11">
        <f t="shared" si="9"/>
        <v>7.42</v>
      </c>
      <c r="AH304" t="s">
        <v>44</v>
      </c>
    </row>
    <row r="305" spans="1:34" ht="15" customHeight="1" x14ac:dyDescent="0.35">
      <c r="A305">
        <v>7547676</v>
      </c>
      <c r="B305">
        <v>690929</v>
      </c>
      <c r="C305" t="s">
        <v>34</v>
      </c>
      <c r="D305" t="s">
        <v>35</v>
      </c>
      <c r="E305" s="6" t="s">
        <v>34</v>
      </c>
      <c r="F305" t="s">
        <v>1033</v>
      </c>
      <c r="G305" t="s">
        <v>37</v>
      </c>
      <c r="H305" t="s">
        <v>38</v>
      </c>
      <c r="I305" t="s">
        <v>1034</v>
      </c>
      <c r="J305" t="s">
        <v>40</v>
      </c>
      <c r="K305">
        <v>2</v>
      </c>
      <c r="L305" t="s">
        <v>41</v>
      </c>
      <c r="M305" t="s">
        <v>42</v>
      </c>
      <c r="N305" t="s">
        <v>43</v>
      </c>
      <c r="O305" s="7">
        <v>13</v>
      </c>
      <c r="P305" s="8">
        <v>45260.62872685185</v>
      </c>
      <c r="Q305" s="9">
        <v>45263</v>
      </c>
      <c r="R305" t="s">
        <v>37</v>
      </c>
      <c r="S305" t="s">
        <v>44</v>
      </c>
      <c r="T305" t="s">
        <v>45</v>
      </c>
      <c r="U305" t="s">
        <v>115</v>
      </c>
      <c r="V305" t="s">
        <v>1035</v>
      </c>
      <c r="W305">
        <v>16800</v>
      </c>
      <c r="X305" t="s">
        <v>44</v>
      </c>
      <c r="Y305" t="s">
        <v>1036</v>
      </c>
      <c r="Z305" t="s">
        <v>49</v>
      </c>
      <c r="AA305" s="10">
        <f>IF(O305&lt;=1,7,7+0.8*ROUNDUP(O305-1,0))</f>
        <v>16.600000000000001</v>
      </c>
      <c r="AB305" s="11">
        <v>0</v>
      </c>
      <c r="AC305" s="11">
        <v>0</v>
      </c>
      <c r="AD305" s="11">
        <v>0</v>
      </c>
      <c r="AE305" s="11">
        <v>0</v>
      </c>
      <c r="AF305" s="11">
        <f t="shared" si="8"/>
        <v>0.996</v>
      </c>
      <c r="AG305" s="11">
        <f t="shared" si="9"/>
        <v>17.596</v>
      </c>
      <c r="AH305" t="s">
        <v>44</v>
      </c>
    </row>
    <row r="306" spans="1:34" ht="15" customHeight="1" x14ac:dyDescent="0.35">
      <c r="A306">
        <v>7547676</v>
      </c>
      <c r="B306">
        <v>690929</v>
      </c>
      <c r="C306" t="s">
        <v>34</v>
      </c>
      <c r="D306" t="s">
        <v>35</v>
      </c>
      <c r="E306" s="6" t="s">
        <v>34</v>
      </c>
      <c r="F306" t="s">
        <v>1037</v>
      </c>
      <c r="G306" t="s">
        <v>37</v>
      </c>
      <c r="H306" t="s">
        <v>38</v>
      </c>
      <c r="I306" t="s">
        <v>1038</v>
      </c>
      <c r="J306" t="s">
        <v>40</v>
      </c>
      <c r="K306">
        <v>2</v>
      </c>
      <c r="L306" t="s">
        <v>41</v>
      </c>
      <c r="M306" t="s">
        <v>42</v>
      </c>
      <c r="N306" t="s">
        <v>43</v>
      </c>
      <c r="O306" s="7">
        <v>1</v>
      </c>
      <c r="P306" s="8">
        <v>45259.787638888891</v>
      </c>
      <c r="Q306" s="9">
        <v>45263</v>
      </c>
      <c r="R306" t="s">
        <v>37</v>
      </c>
      <c r="S306" t="s">
        <v>44</v>
      </c>
      <c r="T306" t="s">
        <v>45</v>
      </c>
      <c r="U306" t="s">
        <v>46</v>
      </c>
      <c r="V306" t="s">
        <v>1039</v>
      </c>
      <c r="W306">
        <v>82100</v>
      </c>
      <c r="X306" t="s">
        <v>44</v>
      </c>
      <c r="Y306" t="s">
        <v>381</v>
      </c>
      <c r="Z306" t="s">
        <v>49</v>
      </c>
      <c r="AA306" s="10">
        <f>IF(O306&lt;=1,7,7+0.8*ROUNDUP(O306-1,0))</f>
        <v>7</v>
      </c>
      <c r="AB306" s="11">
        <v>0</v>
      </c>
      <c r="AC306" s="11">
        <v>0</v>
      </c>
      <c r="AD306" s="11">
        <v>0</v>
      </c>
      <c r="AE306" s="11">
        <v>0</v>
      </c>
      <c r="AF306" s="11">
        <f t="shared" si="8"/>
        <v>0.42</v>
      </c>
      <c r="AG306" s="11">
        <f t="shared" si="9"/>
        <v>7.42</v>
      </c>
      <c r="AH306" t="s">
        <v>44</v>
      </c>
    </row>
    <row r="307" spans="1:34" ht="15" customHeight="1" x14ac:dyDescent="0.35">
      <c r="A307">
        <v>7547676</v>
      </c>
      <c r="B307">
        <v>690929</v>
      </c>
      <c r="C307" t="s">
        <v>34</v>
      </c>
      <c r="D307" t="s">
        <v>35</v>
      </c>
      <c r="E307" s="6" t="s">
        <v>34</v>
      </c>
      <c r="F307" t="s">
        <v>1040</v>
      </c>
      <c r="G307" t="s">
        <v>37</v>
      </c>
      <c r="H307" t="s">
        <v>38</v>
      </c>
      <c r="I307" t="s">
        <v>1041</v>
      </c>
      <c r="J307" t="s">
        <v>40</v>
      </c>
      <c r="K307">
        <v>2</v>
      </c>
      <c r="L307" t="s">
        <v>41</v>
      </c>
      <c r="M307" t="s">
        <v>42</v>
      </c>
      <c r="N307" t="s">
        <v>43</v>
      </c>
      <c r="O307" s="7">
        <v>5</v>
      </c>
      <c r="P307" s="8">
        <v>45260.62872685185</v>
      </c>
      <c r="Q307" s="9">
        <v>45263</v>
      </c>
      <c r="R307" t="s">
        <v>37</v>
      </c>
      <c r="S307" t="s">
        <v>44</v>
      </c>
      <c r="T307" t="s">
        <v>45</v>
      </c>
      <c r="U307" t="s">
        <v>115</v>
      </c>
      <c r="V307" t="s">
        <v>1042</v>
      </c>
      <c r="W307">
        <v>16400</v>
      </c>
      <c r="X307" t="s">
        <v>44</v>
      </c>
      <c r="Y307" t="s">
        <v>1043</v>
      </c>
      <c r="Z307" t="s">
        <v>49</v>
      </c>
      <c r="AA307" s="10">
        <f>IF(O307&lt;=1,7,7+0.8*ROUNDUP(O307-1,0))</f>
        <v>10.199999999999999</v>
      </c>
      <c r="AB307" s="11">
        <v>0</v>
      </c>
      <c r="AC307" s="11">
        <v>0</v>
      </c>
      <c r="AD307" s="11">
        <v>0</v>
      </c>
      <c r="AE307" s="11">
        <v>0</v>
      </c>
      <c r="AF307" s="11">
        <f t="shared" si="8"/>
        <v>0.61199999999999999</v>
      </c>
      <c r="AG307" s="11">
        <f t="shared" si="9"/>
        <v>10.811999999999999</v>
      </c>
      <c r="AH307" t="s">
        <v>44</v>
      </c>
    </row>
    <row r="308" spans="1:34" ht="15" customHeight="1" x14ac:dyDescent="0.35">
      <c r="A308">
        <v>7547676</v>
      </c>
      <c r="B308">
        <v>690929</v>
      </c>
      <c r="C308" t="s">
        <v>34</v>
      </c>
      <c r="D308" t="s">
        <v>35</v>
      </c>
      <c r="E308" s="6" t="s">
        <v>34</v>
      </c>
      <c r="F308" t="s">
        <v>1044</v>
      </c>
      <c r="G308" t="s">
        <v>37</v>
      </c>
      <c r="H308" t="s">
        <v>38</v>
      </c>
      <c r="I308" t="s">
        <v>1045</v>
      </c>
      <c r="J308" t="s">
        <v>40</v>
      </c>
      <c r="K308">
        <v>2</v>
      </c>
      <c r="L308" t="s">
        <v>41</v>
      </c>
      <c r="M308" t="s">
        <v>42</v>
      </c>
      <c r="N308" t="s">
        <v>43</v>
      </c>
      <c r="O308" s="7">
        <v>1</v>
      </c>
      <c r="P308" s="8">
        <v>45263.463402777779</v>
      </c>
      <c r="Q308" s="9">
        <v>45264</v>
      </c>
      <c r="R308" t="s">
        <v>37</v>
      </c>
      <c r="S308" t="s">
        <v>44</v>
      </c>
      <c r="T308" t="s">
        <v>45</v>
      </c>
      <c r="U308" t="s">
        <v>77</v>
      </c>
      <c r="V308" t="s">
        <v>1046</v>
      </c>
      <c r="W308">
        <v>25300</v>
      </c>
      <c r="X308" t="s">
        <v>44</v>
      </c>
      <c r="Y308" t="s">
        <v>45</v>
      </c>
      <c r="Z308" t="s">
        <v>49</v>
      </c>
      <c r="AA308" s="10">
        <f>IF(O308&lt;=1,7,7+0.8*ROUNDUP(O308-1,0))</f>
        <v>7</v>
      </c>
      <c r="AB308" s="11">
        <v>0</v>
      </c>
      <c r="AC308" s="11">
        <v>0</v>
      </c>
      <c r="AD308" s="11">
        <v>0</v>
      </c>
      <c r="AE308" s="11">
        <v>0</v>
      </c>
      <c r="AF308" s="11">
        <f t="shared" si="8"/>
        <v>0.42</v>
      </c>
      <c r="AG308" s="11">
        <f t="shared" si="9"/>
        <v>7.42</v>
      </c>
      <c r="AH308" t="s">
        <v>44</v>
      </c>
    </row>
    <row r="309" spans="1:34" ht="15" customHeight="1" x14ac:dyDescent="0.35">
      <c r="A309">
        <v>7547676</v>
      </c>
      <c r="B309">
        <v>690929</v>
      </c>
      <c r="C309" t="s">
        <v>34</v>
      </c>
      <c r="D309" t="s">
        <v>35</v>
      </c>
      <c r="E309" s="6" t="s">
        <v>34</v>
      </c>
      <c r="F309" t="s">
        <v>1047</v>
      </c>
      <c r="G309" t="s">
        <v>37</v>
      </c>
      <c r="H309" t="s">
        <v>38</v>
      </c>
      <c r="I309" t="s">
        <v>1048</v>
      </c>
      <c r="J309" t="s">
        <v>40</v>
      </c>
      <c r="K309">
        <v>2</v>
      </c>
      <c r="L309" t="s">
        <v>41</v>
      </c>
      <c r="M309" t="s">
        <v>42</v>
      </c>
      <c r="N309" t="s">
        <v>43</v>
      </c>
      <c r="O309" s="7">
        <v>1</v>
      </c>
      <c r="P309" s="8">
        <v>45262.672013888892</v>
      </c>
      <c r="Q309" s="9">
        <v>45264</v>
      </c>
      <c r="R309" t="s">
        <v>37</v>
      </c>
      <c r="S309" t="s">
        <v>44</v>
      </c>
      <c r="T309" t="s">
        <v>45</v>
      </c>
      <c r="U309" t="s">
        <v>68</v>
      </c>
      <c r="V309" t="s">
        <v>1049</v>
      </c>
      <c r="W309">
        <v>42300</v>
      </c>
      <c r="X309" t="s">
        <v>44</v>
      </c>
      <c r="Y309" t="s">
        <v>1050</v>
      </c>
      <c r="Z309" t="s">
        <v>49</v>
      </c>
      <c r="AA309" s="10">
        <f>IF(O309&lt;=1,7,7+0.8*ROUNDUP(O309-1,0))</f>
        <v>7</v>
      </c>
      <c r="AB309" s="11">
        <v>0</v>
      </c>
      <c r="AC309" s="11">
        <v>0</v>
      </c>
      <c r="AD309" s="11">
        <v>0</v>
      </c>
      <c r="AE309" s="11">
        <v>0</v>
      </c>
      <c r="AF309" s="11">
        <f t="shared" si="8"/>
        <v>0.42</v>
      </c>
      <c r="AG309" s="11">
        <f t="shared" si="9"/>
        <v>7.42</v>
      </c>
      <c r="AH309" t="s">
        <v>44</v>
      </c>
    </row>
    <row r="310" spans="1:34" ht="15" customHeight="1" x14ac:dyDescent="0.35">
      <c r="A310">
        <v>7547676</v>
      </c>
      <c r="B310">
        <v>690929</v>
      </c>
      <c r="C310" t="s">
        <v>34</v>
      </c>
      <c r="D310" t="s">
        <v>35</v>
      </c>
      <c r="E310" s="6" t="s">
        <v>34</v>
      </c>
      <c r="F310" t="s">
        <v>1051</v>
      </c>
      <c r="G310" t="s">
        <v>37</v>
      </c>
      <c r="H310" t="s">
        <v>38</v>
      </c>
      <c r="I310" t="s">
        <v>1052</v>
      </c>
      <c r="J310" t="s">
        <v>40</v>
      </c>
      <c r="K310">
        <v>2</v>
      </c>
      <c r="L310" t="s">
        <v>41</v>
      </c>
      <c r="M310" t="s">
        <v>42</v>
      </c>
      <c r="N310" t="s">
        <v>43</v>
      </c>
      <c r="O310" s="7">
        <v>3</v>
      </c>
      <c r="P310" s="8">
        <v>45263.508622685185</v>
      </c>
      <c r="Q310" s="9">
        <v>45264</v>
      </c>
      <c r="R310" t="s">
        <v>37</v>
      </c>
      <c r="S310" t="s">
        <v>44</v>
      </c>
      <c r="T310" t="s">
        <v>45</v>
      </c>
      <c r="U310" t="s">
        <v>68</v>
      </c>
      <c r="V310" t="s">
        <v>1053</v>
      </c>
      <c r="W310">
        <v>47120</v>
      </c>
      <c r="X310" t="s">
        <v>44</v>
      </c>
      <c r="Y310" t="s">
        <v>1054</v>
      </c>
      <c r="Z310" t="s">
        <v>49</v>
      </c>
      <c r="AA310" s="10">
        <f>IF(O310&lt;=1,7,7+0.8*ROUNDUP(O310-1,0))</f>
        <v>8.6</v>
      </c>
      <c r="AB310" s="11">
        <v>0</v>
      </c>
      <c r="AC310" s="11">
        <v>0</v>
      </c>
      <c r="AD310" s="11">
        <v>0</v>
      </c>
      <c r="AE310" s="11">
        <v>0</v>
      </c>
      <c r="AF310" s="11">
        <f t="shared" si="8"/>
        <v>0.51600000000000001</v>
      </c>
      <c r="AG310" s="11">
        <f t="shared" si="9"/>
        <v>9.1159999999999997</v>
      </c>
      <c r="AH310" t="s">
        <v>44</v>
      </c>
    </row>
    <row r="311" spans="1:34" ht="15" customHeight="1" x14ac:dyDescent="0.35">
      <c r="A311">
        <v>7547676</v>
      </c>
      <c r="B311">
        <v>690929</v>
      </c>
      <c r="C311" t="s">
        <v>34</v>
      </c>
      <c r="D311" t="s">
        <v>35</v>
      </c>
      <c r="E311" s="6" t="s">
        <v>34</v>
      </c>
      <c r="F311" t="s">
        <v>1055</v>
      </c>
      <c r="G311" t="s">
        <v>37</v>
      </c>
      <c r="H311" t="s">
        <v>38</v>
      </c>
      <c r="I311" t="s">
        <v>1056</v>
      </c>
      <c r="J311" t="s">
        <v>40</v>
      </c>
      <c r="K311">
        <v>2</v>
      </c>
      <c r="L311" t="s">
        <v>41</v>
      </c>
      <c r="M311" t="s">
        <v>42</v>
      </c>
      <c r="N311" t="s">
        <v>43</v>
      </c>
      <c r="O311" s="7">
        <v>1</v>
      </c>
      <c r="P311" s="8">
        <v>45263.715231481481</v>
      </c>
      <c r="Q311" s="9">
        <v>45264</v>
      </c>
      <c r="R311" t="s">
        <v>37</v>
      </c>
      <c r="S311" t="s">
        <v>44</v>
      </c>
      <c r="T311" t="s">
        <v>45</v>
      </c>
      <c r="U311" t="s">
        <v>68</v>
      </c>
      <c r="V311" t="s">
        <v>1057</v>
      </c>
      <c r="W311">
        <v>41000</v>
      </c>
      <c r="X311" t="s">
        <v>44</v>
      </c>
      <c r="Y311" t="s">
        <v>173</v>
      </c>
      <c r="Z311" t="s">
        <v>49</v>
      </c>
      <c r="AA311" s="10">
        <f>IF(O311&lt;=1,7,7+0.8*ROUNDUP(O311-1,0))</f>
        <v>7</v>
      </c>
      <c r="AB311" s="11">
        <v>0</v>
      </c>
      <c r="AC311" s="11">
        <v>0</v>
      </c>
      <c r="AD311" s="11">
        <v>0</v>
      </c>
      <c r="AE311" s="11">
        <v>0</v>
      </c>
      <c r="AF311" s="11">
        <f t="shared" si="8"/>
        <v>0.42</v>
      </c>
      <c r="AG311" s="11">
        <f t="shared" si="9"/>
        <v>7.42</v>
      </c>
      <c r="AH311" t="s">
        <v>44</v>
      </c>
    </row>
    <row r="312" spans="1:34" ht="15" customHeight="1" x14ac:dyDescent="0.35">
      <c r="A312">
        <v>7547676</v>
      </c>
      <c r="B312">
        <v>690929</v>
      </c>
      <c r="C312" t="s">
        <v>34</v>
      </c>
      <c r="D312" t="s">
        <v>35</v>
      </c>
      <c r="E312" s="6" t="s">
        <v>34</v>
      </c>
      <c r="F312" t="s">
        <v>1058</v>
      </c>
      <c r="G312" t="s">
        <v>37</v>
      </c>
      <c r="H312" t="s">
        <v>38</v>
      </c>
      <c r="I312" t="s">
        <v>1059</v>
      </c>
      <c r="J312" t="s">
        <v>40</v>
      </c>
      <c r="K312">
        <v>2</v>
      </c>
      <c r="L312" t="s">
        <v>41</v>
      </c>
      <c r="M312" t="s">
        <v>42</v>
      </c>
      <c r="N312" t="s">
        <v>43</v>
      </c>
      <c r="O312" s="7">
        <v>1</v>
      </c>
      <c r="P312" s="8">
        <v>45262.619456018518</v>
      </c>
      <c r="Q312" s="9">
        <v>45264</v>
      </c>
      <c r="R312" t="s">
        <v>37</v>
      </c>
      <c r="S312" t="s">
        <v>44</v>
      </c>
      <c r="T312" t="s">
        <v>45</v>
      </c>
      <c r="U312" t="s">
        <v>77</v>
      </c>
      <c r="V312" t="s">
        <v>1060</v>
      </c>
      <c r="W312">
        <v>26080</v>
      </c>
      <c r="X312" t="s">
        <v>44</v>
      </c>
      <c r="Y312" t="s">
        <v>45</v>
      </c>
      <c r="Z312" t="s">
        <v>49</v>
      </c>
      <c r="AA312" s="10">
        <f>IF(O312&lt;=1,7,7+0.8*ROUNDUP(O312-1,0))</f>
        <v>7</v>
      </c>
      <c r="AB312" s="11">
        <v>0</v>
      </c>
      <c r="AC312" s="11">
        <v>0</v>
      </c>
      <c r="AD312" s="11">
        <v>0</v>
      </c>
      <c r="AE312" s="11">
        <v>0</v>
      </c>
      <c r="AF312" s="11">
        <f t="shared" si="8"/>
        <v>0.42</v>
      </c>
      <c r="AG312" s="11">
        <f t="shared" si="9"/>
        <v>7.42</v>
      </c>
      <c r="AH312" t="s">
        <v>44</v>
      </c>
    </row>
    <row r="313" spans="1:34" ht="15" customHeight="1" x14ac:dyDescent="0.35">
      <c r="A313">
        <v>7547676</v>
      </c>
      <c r="B313">
        <v>690929</v>
      </c>
      <c r="C313" t="s">
        <v>34</v>
      </c>
      <c r="D313" t="s">
        <v>35</v>
      </c>
      <c r="E313" s="6" t="s">
        <v>34</v>
      </c>
      <c r="F313" t="s">
        <v>1061</v>
      </c>
      <c r="G313" t="s">
        <v>37</v>
      </c>
      <c r="H313" t="s">
        <v>38</v>
      </c>
      <c r="I313" t="s">
        <v>1062</v>
      </c>
      <c r="J313" t="s">
        <v>40</v>
      </c>
      <c r="K313">
        <v>2</v>
      </c>
      <c r="L313" t="s">
        <v>41</v>
      </c>
      <c r="M313" t="s">
        <v>42</v>
      </c>
      <c r="N313" t="s">
        <v>43</v>
      </c>
      <c r="O313" s="7">
        <v>4</v>
      </c>
      <c r="P313" s="8">
        <v>45263.558275462965</v>
      </c>
      <c r="Q313" s="9">
        <v>45264</v>
      </c>
      <c r="R313" t="s">
        <v>37</v>
      </c>
      <c r="S313" t="s">
        <v>44</v>
      </c>
      <c r="T313" t="s">
        <v>45</v>
      </c>
      <c r="U313" t="s">
        <v>115</v>
      </c>
      <c r="V313" t="s">
        <v>1063</v>
      </c>
      <c r="W313">
        <v>18500</v>
      </c>
      <c r="X313" t="s">
        <v>44</v>
      </c>
      <c r="Y313" t="s">
        <v>169</v>
      </c>
      <c r="Z313" t="s">
        <v>49</v>
      </c>
      <c r="AA313" s="10">
        <f>IF(O313&lt;=1,7,7+0.8*ROUNDUP(O313-1,0))</f>
        <v>9.4</v>
      </c>
      <c r="AB313" s="11">
        <v>0</v>
      </c>
      <c r="AC313" s="11">
        <v>0</v>
      </c>
      <c r="AD313" s="11">
        <v>0</v>
      </c>
      <c r="AE313" s="11">
        <v>0</v>
      </c>
      <c r="AF313" s="11">
        <f t="shared" si="8"/>
        <v>0.56399999999999995</v>
      </c>
      <c r="AG313" s="11">
        <f t="shared" si="9"/>
        <v>9.9640000000000004</v>
      </c>
      <c r="AH313" t="s">
        <v>44</v>
      </c>
    </row>
    <row r="314" spans="1:34" ht="15" customHeight="1" x14ac:dyDescent="0.35">
      <c r="A314">
        <v>7547676</v>
      </c>
      <c r="B314">
        <v>690929</v>
      </c>
      <c r="C314" t="s">
        <v>34</v>
      </c>
      <c r="D314" t="s">
        <v>35</v>
      </c>
      <c r="E314" s="6" t="s">
        <v>34</v>
      </c>
      <c r="F314" t="s">
        <v>1064</v>
      </c>
      <c r="G314" t="s">
        <v>37</v>
      </c>
      <c r="H314" t="s">
        <v>38</v>
      </c>
      <c r="I314" t="s">
        <v>1065</v>
      </c>
      <c r="J314" t="s">
        <v>40</v>
      </c>
      <c r="K314">
        <v>2</v>
      </c>
      <c r="L314" t="s">
        <v>41</v>
      </c>
      <c r="M314" t="s">
        <v>42</v>
      </c>
      <c r="N314" t="s">
        <v>43</v>
      </c>
      <c r="O314" s="7">
        <v>1</v>
      </c>
      <c r="P314" s="8">
        <v>45263.686782407407</v>
      </c>
      <c r="Q314" s="9">
        <v>45264</v>
      </c>
      <c r="R314" t="s">
        <v>37</v>
      </c>
      <c r="S314" t="s">
        <v>44</v>
      </c>
      <c r="T314" t="s">
        <v>45</v>
      </c>
      <c r="U314" t="s">
        <v>258</v>
      </c>
      <c r="V314" t="s">
        <v>1066</v>
      </c>
      <c r="W314">
        <v>21200</v>
      </c>
      <c r="X314" t="s">
        <v>44</v>
      </c>
      <c r="Y314" t="s">
        <v>260</v>
      </c>
      <c r="Z314" t="s">
        <v>49</v>
      </c>
      <c r="AA314" s="10">
        <f>IF(O314&lt;=1,7,7+0.8*ROUNDUP(O314-1,0))</f>
        <v>7</v>
      </c>
      <c r="AB314" s="11">
        <v>0</v>
      </c>
      <c r="AC314" s="11">
        <v>0</v>
      </c>
      <c r="AD314" s="11">
        <v>0</v>
      </c>
      <c r="AE314" s="11">
        <v>0</v>
      </c>
      <c r="AF314" s="11">
        <f t="shared" si="8"/>
        <v>0.42</v>
      </c>
      <c r="AG314" s="11">
        <f t="shared" si="9"/>
        <v>7.42</v>
      </c>
      <c r="AH314" t="s">
        <v>44</v>
      </c>
    </row>
    <row r="315" spans="1:34" ht="15" customHeight="1" x14ac:dyDescent="0.35">
      <c r="A315">
        <v>7547676</v>
      </c>
      <c r="B315">
        <v>690929</v>
      </c>
      <c r="C315" t="s">
        <v>34</v>
      </c>
      <c r="D315" t="s">
        <v>35</v>
      </c>
      <c r="E315" s="6" t="s">
        <v>34</v>
      </c>
      <c r="F315" t="s">
        <v>1067</v>
      </c>
      <c r="G315" t="s">
        <v>37</v>
      </c>
      <c r="H315" t="s">
        <v>38</v>
      </c>
      <c r="I315" t="s">
        <v>1068</v>
      </c>
      <c r="J315" t="s">
        <v>40</v>
      </c>
      <c r="K315">
        <v>2</v>
      </c>
      <c r="L315" t="s">
        <v>41</v>
      </c>
      <c r="M315" t="s">
        <v>42</v>
      </c>
      <c r="N315" t="s">
        <v>43</v>
      </c>
      <c r="O315" s="7">
        <v>1</v>
      </c>
      <c r="P315" s="8">
        <v>45263.49422453704</v>
      </c>
      <c r="Q315" s="9">
        <v>45264</v>
      </c>
      <c r="R315" t="s">
        <v>37</v>
      </c>
      <c r="S315" t="s">
        <v>44</v>
      </c>
      <c r="T315" t="s">
        <v>45</v>
      </c>
      <c r="U315" t="s">
        <v>68</v>
      </c>
      <c r="V315" t="s">
        <v>1069</v>
      </c>
      <c r="W315">
        <v>43300</v>
      </c>
      <c r="X315" t="s">
        <v>44</v>
      </c>
      <c r="Y315" t="s">
        <v>795</v>
      </c>
      <c r="Z315" t="s">
        <v>49</v>
      </c>
      <c r="AA315" s="10">
        <f>IF(O315&lt;=1,7,7+0.8*ROUNDUP(O315-1,0))</f>
        <v>7</v>
      </c>
      <c r="AB315" s="11">
        <v>0</v>
      </c>
      <c r="AC315" s="11">
        <v>0</v>
      </c>
      <c r="AD315" s="11">
        <v>0</v>
      </c>
      <c r="AE315" s="11">
        <v>0</v>
      </c>
      <c r="AF315" s="11">
        <f t="shared" si="8"/>
        <v>0.42</v>
      </c>
      <c r="AG315" s="11">
        <f t="shared" si="9"/>
        <v>7.42</v>
      </c>
      <c r="AH315" t="s">
        <v>44</v>
      </c>
    </row>
    <row r="316" spans="1:34" ht="15" customHeight="1" x14ac:dyDescent="0.35">
      <c r="A316">
        <v>7547676</v>
      </c>
      <c r="B316">
        <v>690929</v>
      </c>
      <c r="C316" t="s">
        <v>34</v>
      </c>
      <c r="D316" t="s">
        <v>35</v>
      </c>
      <c r="E316" s="6" t="s">
        <v>34</v>
      </c>
      <c r="F316" t="s">
        <v>1070</v>
      </c>
      <c r="G316" t="s">
        <v>37</v>
      </c>
      <c r="H316" t="s">
        <v>38</v>
      </c>
      <c r="I316" t="s">
        <v>1071</v>
      </c>
      <c r="J316" t="s">
        <v>40</v>
      </c>
      <c r="K316">
        <v>2</v>
      </c>
      <c r="L316" t="s">
        <v>41</v>
      </c>
      <c r="M316" t="s">
        <v>42</v>
      </c>
      <c r="N316" t="s">
        <v>43</v>
      </c>
      <c r="O316" s="7">
        <v>1</v>
      </c>
      <c r="P316" s="8">
        <v>45263.58390046296</v>
      </c>
      <c r="Q316" s="9">
        <v>45264</v>
      </c>
      <c r="R316" t="s">
        <v>37</v>
      </c>
      <c r="S316" t="s">
        <v>44</v>
      </c>
      <c r="T316" t="s">
        <v>45</v>
      </c>
      <c r="U316" t="s">
        <v>68</v>
      </c>
      <c r="V316" t="s">
        <v>1072</v>
      </c>
      <c r="W316">
        <v>41050</v>
      </c>
      <c r="X316" t="s">
        <v>44</v>
      </c>
      <c r="Y316" t="s">
        <v>131</v>
      </c>
      <c r="Z316" t="s">
        <v>49</v>
      </c>
      <c r="AA316" s="10">
        <f>IF(O316&lt;=1,7,7+0.8*ROUNDUP(O316-1,0))</f>
        <v>7</v>
      </c>
      <c r="AB316" s="11">
        <v>0</v>
      </c>
      <c r="AC316" s="11">
        <v>0</v>
      </c>
      <c r="AD316" s="11">
        <v>0</v>
      </c>
      <c r="AE316" s="11">
        <v>0</v>
      </c>
      <c r="AF316" s="11">
        <f t="shared" si="8"/>
        <v>0.42</v>
      </c>
      <c r="AG316" s="11">
        <f t="shared" si="9"/>
        <v>7.42</v>
      </c>
      <c r="AH316" t="s">
        <v>44</v>
      </c>
    </row>
    <row r="317" spans="1:34" ht="15" customHeight="1" x14ac:dyDescent="0.35">
      <c r="A317">
        <v>7547676</v>
      </c>
      <c r="B317">
        <v>690929</v>
      </c>
      <c r="C317" t="s">
        <v>34</v>
      </c>
      <c r="D317" t="s">
        <v>35</v>
      </c>
      <c r="E317" s="6" t="s">
        <v>34</v>
      </c>
      <c r="F317" t="s">
        <v>1073</v>
      </c>
      <c r="G317" t="s">
        <v>37</v>
      </c>
      <c r="H317" t="s">
        <v>38</v>
      </c>
      <c r="I317" t="s">
        <v>1074</v>
      </c>
      <c r="J317" t="s">
        <v>40</v>
      </c>
      <c r="K317">
        <v>2</v>
      </c>
      <c r="L317" t="s">
        <v>41</v>
      </c>
      <c r="M317" t="s">
        <v>42</v>
      </c>
      <c r="N317" t="s">
        <v>43</v>
      </c>
      <c r="O317" s="7">
        <v>2</v>
      </c>
      <c r="P317" s="8">
        <v>45263.686782407407</v>
      </c>
      <c r="Q317" s="9">
        <v>45264</v>
      </c>
      <c r="R317" t="s">
        <v>37</v>
      </c>
      <c r="S317" t="s">
        <v>44</v>
      </c>
      <c r="T317" t="s">
        <v>45</v>
      </c>
      <c r="U317" t="s">
        <v>115</v>
      </c>
      <c r="V317" t="s">
        <v>1075</v>
      </c>
      <c r="W317">
        <v>17500</v>
      </c>
      <c r="X317" t="s">
        <v>44</v>
      </c>
      <c r="Y317" t="s">
        <v>76</v>
      </c>
      <c r="Z317" t="s">
        <v>49</v>
      </c>
      <c r="AA317" s="10">
        <f>IF(O317&lt;=1,7,7+0.8*ROUNDUP(O317-1,0))</f>
        <v>7.8</v>
      </c>
      <c r="AB317" s="11">
        <v>0</v>
      </c>
      <c r="AC317" s="11">
        <v>0</v>
      </c>
      <c r="AD317" s="11">
        <v>0</v>
      </c>
      <c r="AE317" s="11">
        <v>0</v>
      </c>
      <c r="AF317" s="11">
        <f t="shared" si="8"/>
        <v>0.46799999999999997</v>
      </c>
      <c r="AG317" s="11">
        <f t="shared" si="9"/>
        <v>8.2680000000000007</v>
      </c>
      <c r="AH317" t="s">
        <v>44</v>
      </c>
    </row>
    <row r="318" spans="1:34" ht="15" customHeight="1" x14ac:dyDescent="0.35">
      <c r="A318">
        <v>7547676</v>
      </c>
      <c r="B318">
        <v>690929</v>
      </c>
      <c r="C318" t="s">
        <v>34</v>
      </c>
      <c r="D318" t="s">
        <v>35</v>
      </c>
      <c r="E318" s="6" t="s">
        <v>34</v>
      </c>
      <c r="F318" t="s">
        <v>1076</v>
      </c>
      <c r="G318" t="s">
        <v>37</v>
      </c>
      <c r="H318" t="s">
        <v>38</v>
      </c>
      <c r="I318" t="s">
        <v>1077</v>
      </c>
      <c r="J318" t="s">
        <v>40</v>
      </c>
      <c r="K318">
        <v>2</v>
      </c>
      <c r="L318" t="s">
        <v>41</v>
      </c>
      <c r="M318" t="s">
        <v>42</v>
      </c>
      <c r="N318" t="s">
        <v>43</v>
      </c>
      <c r="O318" s="7">
        <v>1</v>
      </c>
      <c r="P318" s="8">
        <v>45263.463414351849</v>
      </c>
      <c r="Q318" s="9">
        <v>45264</v>
      </c>
      <c r="R318" t="s">
        <v>37</v>
      </c>
      <c r="S318" t="s">
        <v>44</v>
      </c>
      <c r="T318" t="s">
        <v>45</v>
      </c>
      <c r="U318" t="s">
        <v>258</v>
      </c>
      <c r="V318" t="s">
        <v>1078</v>
      </c>
      <c r="W318">
        <v>24000</v>
      </c>
      <c r="X318" t="s">
        <v>44</v>
      </c>
      <c r="Y318" t="s">
        <v>45</v>
      </c>
      <c r="Z318" t="s">
        <v>49</v>
      </c>
      <c r="AA318" s="10">
        <f>IF(O318&lt;=1,7,7+0.8*ROUNDUP(O318-1,0))</f>
        <v>7</v>
      </c>
      <c r="AB318" s="11">
        <v>0</v>
      </c>
      <c r="AC318" s="11">
        <v>0</v>
      </c>
      <c r="AD318" s="11">
        <v>0</v>
      </c>
      <c r="AE318" s="11">
        <v>0</v>
      </c>
      <c r="AF318" s="11">
        <f t="shared" si="8"/>
        <v>0.42</v>
      </c>
      <c r="AG318" s="11">
        <f t="shared" si="9"/>
        <v>7.42</v>
      </c>
      <c r="AH318" t="s">
        <v>44</v>
      </c>
    </row>
    <row r="319" spans="1:34" ht="15" customHeight="1" x14ac:dyDescent="0.35">
      <c r="A319">
        <v>7547676</v>
      </c>
      <c r="B319">
        <v>690929</v>
      </c>
      <c r="C319" t="s">
        <v>34</v>
      </c>
      <c r="D319" t="s">
        <v>35</v>
      </c>
      <c r="E319" s="6" t="s">
        <v>34</v>
      </c>
      <c r="F319" t="s">
        <v>1079</v>
      </c>
      <c r="G319" t="s">
        <v>37</v>
      </c>
      <c r="H319" t="s">
        <v>38</v>
      </c>
      <c r="I319" t="s">
        <v>1080</v>
      </c>
      <c r="J319" t="s">
        <v>40</v>
      </c>
      <c r="K319">
        <v>2</v>
      </c>
      <c r="L319" t="s">
        <v>41</v>
      </c>
      <c r="M319" t="s">
        <v>42</v>
      </c>
      <c r="N319" t="s">
        <v>43</v>
      </c>
      <c r="O319" s="7">
        <v>1</v>
      </c>
      <c r="P319" s="8">
        <v>45262.739687499998</v>
      </c>
      <c r="Q319" s="9">
        <v>45264</v>
      </c>
      <c r="R319" t="s">
        <v>37</v>
      </c>
      <c r="S319" t="s">
        <v>44</v>
      </c>
      <c r="T319" t="s">
        <v>45</v>
      </c>
      <c r="U319" t="s">
        <v>58</v>
      </c>
      <c r="V319" t="s">
        <v>1081</v>
      </c>
      <c r="W319">
        <v>5150</v>
      </c>
      <c r="X319" t="s">
        <v>44</v>
      </c>
      <c r="Y319" t="s">
        <v>52</v>
      </c>
      <c r="Z319" t="s">
        <v>49</v>
      </c>
      <c r="AA319" s="10">
        <f>IF(O319&lt;=1,7,7+0.8*ROUNDUP(O319-1,0))</f>
        <v>7</v>
      </c>
      <c r="AB319" s="11">
        <v>0</v>
      </c>
      <c r="AC319" s="11">
        <v>0</v>
      </c>
      <c r="AD319" s="11">
        <v>0</v>
      </c>
      <c r="AE319" s="11">
        <v>0</v>
      </c>
      <c r="AF319" s="11">
        <f t="shared" si="8"/>
        <v>0.42</v>
      </c>
      <c r="AG319" s="11">
        <f t="shared" si="9"/>
        <v>7.42</v>
      </c>
      <c r="AH319" t="s">
        <v>44</v>
      </c>
    </row>
    <row r="320" spans="1:34" ht="15" customHeight="1" x14ac:dyDescent="0.35">
      <c r="A320">
        <v>7547676</v>
      </c>
      <c r="B320">
        <v>690929</v>
      </c>
      <c r="C320" t="s">
        <v>34</v>
      </c>
      <c r="D320" t="s">
        <v>35</v>
      </c>
      <c r="E320" s="6" t="s">
        <v>34</v>
      </c>
      <c r="F320" t="s">
        <v>1082</v>
      </c>
      <c r="G320" t="s">
        <v>37</v>
      </c>
      <c r="H320" t="s">
        <v>38</v>
      </c>
      <c r="I320" t="s">
        <v>1083</v>
      </c>
      <c r="J320" t="s">
        <v>40</v>
      </c>
      <c r="K320">
        <v>2</v>
      </c>
      <c r="L320" t="s">
        <v>41</v>
      </c>
      <c r="M320" t="s">
        <v>42</v>
      </c>
      <c r="N320" t="s">
        <v>43</v>
      </c>
      <c r="O320" s="7">
        <v>1</v>
      </c>
      <c r="P320" s="8">
        <v>45263.558275462965</v>
      </c>
      <c r="Q320" s="9">
        <v>45264</v>
      </c>
      <c r="R320" t="s">
        <v>37</v>
      </c>
      <c r="S320" t="s">
        <v>44</v>
      </c>
      <c r="T320" t="s">
        <v>45</v>
      </c>
      <c r="U320" t="s">
        <v>68</v>
      </c>
      <c r="V320" t="s">
        <v>1084</v>
      </c>
      <c r="W320">
        <v>41200</v>
      </c>
      <c r="X320" t="s">
        <v>44</v>
      </c>
      <c r="Y320" t="s">
        <v>52</v>
      </c>
      <c r="Z320" t="s">
        <v>49</v>
      </c>
      <c r="AA320" s="10">
        <f>IF(O320&lt;=1,7,7+0.8*ROUNDUP(O320-1,0))</f>
        <v>7</v>
      </c>
      <c r="AB320" s="11">
        <v>0</v>
      </c>
      <c r="AC320" s="11">
        <v>0</v>
      </c>
      <c r="AD320" s="11">
        <v>0</v>
      </c>
      <c r="AE320" s="11">
        <v>0</v>
      </c>
      <c r="AF320" s="11">
        <f t="shared" si="8"/>
        <v>0.42</v>
      </c>
      <c r="AG320" s="11">
        <f t="shared" si="9"/>
        <v>7.42</v>
      </c>
      <c r="AH320" t="s">
        <v>44</v>
      </c>
    </row>
    <row r="321" spans="1:34" ht="15" customHeight="1" x14ac:dyDescent="0.35">
      <c r="A321">
        <v>7547676</v>
      </c>
      <c r="B321">
        <v>690929</v>
      </c>
      <c r="C321" t="s">
        <v>34</v>
      </c>
      <c r="D321" t="s">
        <v>35</v>
      </c>
      <c r="E321" s="6" t="s">
        <v>34</v>
      </c>
      <c r="F321" t="s">
        <v>1085</v>
      </c>
      <c r="G321" t="s">
        <v>37</v>
      </c>
      <c r="H321" t="s">
        <v>38</v>
      </c>
      <c r="I321" t="s">
        <v>1086</v>
      </c>
      <c r="J321" t="s">
        <v>40</v>
      </c>
      <c r="K321">
        <v>2</v>
      </c>
      <c r="L321" t="s">
        <v>41</v>
      </c>
      <c r="M321" t="s">
        <v>42</v>
      </c>
      <c r="N321" t="s">
        <v>43</v>
      </c>
      <c r="O321" s="7">
        <v>1</v>
      </c>
      <c r="P321" s="8">
        <v>45263.715231481481</v>
      </c>
      <c r="Q321" s="9">
        <v>45264</v>
      </c>
      <c r="R321" t="s">
        <v>37</v>
      </c>
      <c r="S321" t="s">
        <v>44</v>
      </c>
      <c r="T321" t="s">
        <v>45</v>
      </c>
      <c r="U321" t="s">
        <v>115</v>
      </c>
      <c r="V321" t="s">
        <v>1087</v>
      </c>
      <c r="W321">
        <v>18500</v>
      </c>
      <c r="X321" t="s">
        <v>44</v>
      </c>
      <c r="Y321" t="s">
        <v>76</v>
      </c>
      <c r="Z321" t="s">
        <v>49</v>
      </c>
      <c r="AA321" s="10">
        <f>IF(O321&lt;=1,7,7+0.8*ROUNDUP(O321-1,0))</f>
        <v>7</v>
      </c>
      <c r="AB321" s="11">
        <v>0</v>
      </c>
      <c r="AC321" s="11">
        <v>0</v>
      </c>
      <c r="AD321" s="11">
        <v>0</v>
      </c>
      <c r="AE321" s="11">
        <v>0</v>
      </c>
      <c r="AF321" s="11">
        <f t="shared" si="8"/>
        <v>0.42</v>
      </c>
      <c r="AG321" s="11">
        <f t="shared" si="9"/>
        <v>7.42</v>
      </c>
      <c r="AH321" t="s">
        <v>44</v>
      </c>
    </row>
    <row r="322" spans="1:34" ht="15" customHeight="1" x14ac:dyDescent="0.35">
      <c r="A322">
        <v>7547676</v>
      </c>
      <c r="B322">
        <v>690929</v>
      </c>
      <c r="C322" t="s">
        <v>34</v>
      </c>
      <c r="D322" t="s">
        <v>35</v>
      </c>
      <c r="E322" s="6" t="s">
        <v>34</v>
      </c>
      <c r="F322" t="s">
        <v>1088</v>
      </c>
      <c r="G322" t="s">
        <v>37</v>
      </c>
      <c r="H322" t="s">
        <v>38</v>
      </c>
      <c r="I322" t="s">
        <v>1089</v>
      </c>
      <c r="J322" t="s">
        <v>40</v>
      </c>
      <c r="K322">
        <v>2</v>
      </c>
      <c r="L322" t="s">
        <v>41</v>
      </c>
      <c r="M322" t="s">
        <v>42</v>
      </c>
      <c r="N322" t="s">
        <v>43</v>
      </c>
      <c r="O322" s="7">
        <v>1</v>
      </c>
      <c r="P322" s="8">
        <v>45262.619456018518</v>
      </c>
      <c r="Q322" s="9">
        <v>45264</v>
      </c>
      <c r="R322" t="s">
        <v>37</v>
      </c>
      <c r="S322" t="s">
        <v>44</v>
      </c>
      <c r="T322" t="s">
        <v>45</v>
      </c>
      <c r="U322" t="s">
        <v>68</v>
      </c>
      <c r="V322" t="s">
        <v>1090</v>
      </c>
      <c r="W322">
        <v>41000</v>
      </c>
      <c r="X322" t="s">
        <v>44</v>
      </c>
      <c r="Y322" t="s">
        <v>173</v>
      </c>
      <c r="Z322" t="s">
        <v>49</v>
      </c>
      <c r="AA322" s="10">
        <f>IF(O322&lt;=1,7,7+0.8*ROUNDUP(O322-1,0))</f>
        <v>7</v>
      </c>
      <c r="AB322" s="11">
        <v>0</v>
      </c>
      <c r="AC322" s="11">
        <v>0</v>
      </c>
      <c r="AD322" s="11">
        <v>0</v>
      </c>
      <c r="AE322" s="11">
        <v>0</v>
      </c>
      <c r="AF322" s="11">
        <f t="shared" ref="AF322:AF385" si="10">(AA322+AC322+AE322)*6%</f>
        <v>0.42</v>
      </c>
      <c r="AG322" s="11">
        <f t="shared" ref="AG322:AG385" si="11">AA322+AC322+AE322+AF322</f>
        <v>7.42</v>
      </c>
      <c r="AH322" t="s">
        <v>44</v>
      </c>
    </row>
    <row r="323" spans="1:34" ht="15" customHeight="1" x14ac:dyDescent="0.35">
      <c r="A323">
        <v>7547676</v>
      </c>
      <c r="B323">
        <v>690929</v>
      </c>
      <c r="C323" t="s">
        <v>34</v>
      </c>
      <c r="D323" t="s">
        <v>35</v>
      </c>
      <c r="E323" s="6" t="s">
        <v>34</v>
      </c>
      <c r="F323" t="s">
        <v>1091</v>
      </c>
      <c r="G323" t="s">
        <v>37</v>
      </c>
      <c r="H323" t="s">
        <v>38</v>
      </c>
      <c r="I323" t="s">
        <v>1092</v>
      </c>
      <c r="J323" t="s">
        <v>40</v>
      </c>
      <c r="K323">
        <v>2</v>
      </c>
      <c r="L323" t="s">
        <v>41</v>
      </c>
      <c r="M323" t="s">
        <v>42</v>
      </c>
      <c r="N323" t="s">
        <v>43</v>
      </c>
      <c r="O323" s="7">
        <v>1</v>
      </c>
      <c r="P323" s="8">
        <v>45261.678449074076</v>
      </c>
      <c r="Q323" s="9">
        <v>45264</v>
      </c>
      <c r="R323" t="s">
        <v>37</v>
      </c>
      <c r="S323" t="s">
        <v>44</v>
      </c>
      <c r="T323" t="s">
        <v>45</v>
      </c>
      <c r="U323" t="s">
        <v>159</v>
      </c>
      <c r="V323" t="s">
        <v>1093</v>
      </c>
      <c r="W323">
        <v>31150</v>
      </c>
      <c r="X323" t="s">
        <v>44</v>
      </c>
      <c r="Y323" t="s">
        <v>564</v>
      </c>
      <c r="Z323" t="s">
        <v>49</v>
      </c>
      <c r="AA323" s="10">
        <f>IF(O323&lt;=1,7,7+0.8*ROUNDUP(O323-1,0))</f>
        <v>7</v>
      </c>
      <c r="AB323" s="11">
        <v>0</v>
      </c>
      <c r="AC323" s="11">
        <v>0</v>
      </c>
      <c r="AD323" s="11">
        <v>0</v>
      </c>
      <c r="AE323" s="11">
        <v>0</v>
      </c>
      <c r="AF323" s="11">
        <f t="shared" si="10"/>
        <v>0.42</v>
      </c>
      <c r="AG323" s="11">
        <f t="shared" si="11"/>
        <v>7.42</v>
      </c>
      <c r="AH323" t="s">
        <v>44</v>
      </c>
    </row>
    <row r="324" spans="1:34" ht="15" customHeight="1" x14ac:dyDescent="0.35">
      <c r="A324">
        <v>7547676</v>
      </c>
      <c r="B324">
        <v>690929</v>
      </c>
      <c r="C324" t="s">
        <v>34</v>
      </c>
      <c r="D324" t="s">
        <v>35</v>
      </c>
      <c r="E324" s="6" t="s">
        <v>34</v>
      </c>
      <c r="F324" t="s">
        <v>1094</v>
      </c>
      <c r="G324" t="s">
        <v>37</v>
      </c>
      <c r="H324" t="s">
        <v>38</v>
      </c>
      <c r="I324" t="s">
        <v>1095</v>
      </c>
      <c r="J324" t="s">
        <v>40</v>
      </c>
      <c r="K324">
        <v>2</v>
      </c>
      <c r="L324" t="s">
        <v>41</v>
      </c>
      <c r="M324" t="s">
        <v>42</v>
      </c>
      <c r="N324" t="s">
        <v>43</v>
      </c>
      <c r="O324" s="7">
        <v>1</v>
      </c>
      <c r="P324" s="8">
        <v>45261.750706018516</v>
      </c>
      <c r="Q324" s="9">
        <v>45264</v>
      </c>
      <c r="R324" t="s">
        <v>37</v>
      </c>
      <c r="S324" t="s">
        <v>44</v>
      </c>
      <c r="T324" t="s">
        <v>45</v>
      </c>
      <c r="U324" t="s">
        <v>94</v>
      </c>
      <c r="V324" t="s">
        <v>1096</v>
      </c>
      <c r="W324">
        <v>13200</v>
      </c>
      <c r="X324" t="s">
        <v>44</v>
      </c>
      <c r="Y324" t="s">
        <v>52</v>
      </c>
      <c r="Z324" t="s">
        <v>49</v>
      </c>
      <c r="AA324" s="10">
        <f>IF(O324&lt;=1,7,7+0.8*ROUNDUP(O324-1,0))</f>
        <v>7</v>
      </c>
      <c r="AB324" s="11">
        <v>0</v>
      </c>
      <c r="AC324" s="11">
        <v>0</v>
      </c>
      <c r="AD324" s="11">
        <v>0</v>
      </c>
      <c r="AE324" s="11">
        <v>0</v>
      </c>
      <c r="AF324" s="11">
        <f t="shared" si="10"/>
        <v>0.42</v>
      </c>
      <c r="AG324" s="11">
        <f t="shared" si="11"/>
        <v>7.42</v>
      </c>
      <c r="AH324" t="s">
        <v>44</v>
      </c>
    </row>
    <row r="325" spans="1:34" ht="15" customHeight="1" x14ac:dyDescent="0.35">
      <c r="A325">
        <v>7547676</v>
      </c>
      <c r="B325">
        <v>690929</v>
      </c>
      <c r="C325" t="s">
        <v>34</v>
      </c>
      <c r="D325" t="s">
        <v>35</v>
      </c>
      <c r="E325" s="6" t="s">
        <v>34</v>
      </c>
      <c r="F325" t="s">
        <v>1097</v>
      </c>
      <c r="G325" t="s">
        <v>37</v>
      </c>
      <c r="H325" t="s">
        <v>38</v>
      </c>
      <c r="I325" t="s">
        <v>1098</v>
      </c>
      <c r="J325" t="s">
        <v>40</v>
      </c>
      <c r="K325">
        <v>2</v>
      </c>
      <c r="L325" t="s">
        <v>41</v>
      </c>
      <c r="M325" t="s">
        <v>42</v>
      </c>
      <c r="N325" t="s">
        <v>43</v>
      </c>
      <c r="O325" s="7">
        <v>1</v>
      </c>
      <c r="P325" s="8">
        <v>45262.429699074077</v>
      </c>
      <c r="Q325" s="9">
        <v>45264</v>
      </c>
      <c r="R325" t="s">
        <v>37</v>
      </c>
      <c r="S325" t="s">
        <v>44</v>
      </c>
      <c r="T325" t="s">
        <v>45</v>
      </c>
      <c r="U325" t="s">
        <v>258</v>
      </c>
      <c r="V325" t="s">
        <v>1099</v>
      </c>
      <c r="W325">
        <v>24300</v>
      </c>
      <c r="X325" t="s">
        <v>44</v>
      </c>
      <c r="Y325" t="s">
        <v>260</v>
      </c>
      <c r="Z325" t="s">
        <v>49</v>
      </c>
      <c r="AA325" s="10">
        <f>IF(O325&lt;=1,7,7+0.8*ROUNDUP(O325-1,0))</f>
        <v>7</v>
      </c>
      <c r="AB325" s="11">
        <v>0</v>
      </c>
      <c r="AC325" s="11">
        <v>0</v>
      </c>
      <c r="AD325" s="11">
        <v>0</v>
      </c>
      <c r="AE325" s="11">
        <v>0</v>
      </c>
      <c r="AF325" s="11">
        <f t="shared" si="10"/>
        <v>0.42</v>
      </c>
      <c r="AG325" s="11">
        <f t="shared" si="11"/>
        <v>7.42</v>
      </c>
      <c r="AH325" t="s">
        <v>44</v>
      </c>
    </row>
    <row r="326" spans="1:34" ht="15" customHeight="1" x14ac:dyDescent="0.35">
      <c r="A326">
        <v>7547676</v>
      </c>
      <c r="B326">
        <v>690929</v>
      </c>
      <c r="C326" t="s">
        <v>34</v>
      </c>
      <c r="D326" t="s">
        <v>35</v>
      </c>
      <c r="E326" s="6" t="s">
        <v>34</v>
      </c>
      <c r="F326" t="s">
        <v>1100</v>
      </c>
      <c r="G326" t="s">
        <v>37</v>
      </c>
      <c r="H326" t="s">
        <v>38</v>
      </c>
      <c r="I326" t="s">
        <v>1101</v>
      </c>
      <c r="J326" t="s">
        <v>40</v>
      </c>
      <c r="K326">
        <v>2</v>
      </c>
      <c r="L326" t="s">
        <v>41</v>
      </c>
      <c r="M326" t="s">
        <v>42</v>
      </c>
      <c r="N326" t="s">
        <v>43</v>
      </c>
      <c r="O326" s="7">
        <v>1</v>
      </c>
      <c r="P326" s="8">
        <v>45261.535532407404</v>
      </c>
      <c r="Q326" s="9">
        <v>45264</v>
      </c>
      <c r="R326" t="s">
        <v>37</v>
      </c>
      <c r="S326" t="s">
        <v>44</v>
      </c>
      <c r="T326" t="s">
        <v>76</v>
      </c>
      <c r="U326" t="s">
        <v>46</v>
      </c>
      <c r="V326" t="s">
        <v>1102</v>
      </c>
      <c r="W326">
        <v>81000</v>
      </c>
      <c r="X326" t="s">
        <v>44</v>
      </c>
      <c r="Y326" t="s">
        <v>52</v>
      </c>
      <c r="Z326" t="s">
        <v>49</v>
      </c>
      <c r="AA326" s="10">
        <f>IF(O326&lt;=1,7,7+0.8*ROUNDUP(O326-1,0))</f>
        <v>7</v>
      </c>
      <c r="AB326" s="11">
        <v>0</v>
      </c>
      <c r="AC326" s="11">
        <v>0</v>
      </c>
      <c r="AD326" s="11">
        <v>0</v>
      </c>
      <c r="AE326" s="11">
        <v>0</v>
      </c>
      <c r="AF326" s="11">
        <f t="shared" si="10"/>
        <v>0.42</v>
      </c>
      <c r="AG326" s="11">
        <f t="shared" si="11"/>
        <v>7.42</v>
      </c>
      <c r="AH326" t="s">
        <v>44</v>
      </c>
    </row>
    <row r="327" spans="1:34" ht="15" customHeight="1" x14ac:dyDescent="0.35">
      <c r="A327">
        <v>7547676</v>
      </c>
      <c r="B327">
        <v>690929</v>
      </c>
      <c r="C327" t="s">
        <v>34</v>
      </c>
      <c r="D327" t="s">
        <v>35</v>
      </c>
      <c r="E327" s="6" t="s">
        <v>34</v>
      </c>
      <c r="F327" t="s">
        <v>1103</v>
      </c>
      <c r="G327" t="s">
        <v>37</v>
      </c>
      <c r="H327" t="s">
        <v>38</v>
      </c>
      <c r="I327" t="s">
        <v>1104</v>
      </c>
      <c r="J327" t="s">
        <v>40</v>
      </c>
      <c r="K327">
        <v>2</v>
      </c>
      <c r="L327" t="s">
        <v>41</v>
      </c>
      <c r="M327" t="s">
        <v>42</v>
      </c>
      <c r="N327" t="s">
        <v>43</v>
      </c>
      <c r="O327" s="7">
        <v>1</v>
      </c>
      <c r="P327" s="8">
        <v>45263.506249999999</v>
      </c>
      <c r="Q327" s="9">
        <v>45264</v>
      </c>
      <c r="R327" t="s">
        <v>37</v>
      </c>
      <c r="S327" t="s">
        <v>44</v>
      </c>
      <c r="T327" t="s">
        <v>45</v>
      </c>
      <c r="U327" t="s">
        <v>68</v>
      </c>
      <c r="V327" t="s">
        <v>1105</v>
      </c>
      <c r="W327">
        <v>42300</v>
      </c>
      <c r="X327" t="s">
        <v>44</v>
      </c>
      <c r="Y327" t="s">
        <v>1050</v>
      </c>
      <c r="Z327" t="s">
        <v>49</v>
      </c>
      <c r="AA327" s="10">
        <f>IF(O327&lt;=1,7,7+0.8*ROUNDUP(O327-1,0))</f>
        <v>7</v>
      </c>
      <c r="AB327" s="11">
        <v>0</v>
      </c>
      <c r="AC327" s="11">
        <v>0</v>
      </c>
      <c r="AD327" s="11">
        <v>0</v>
      </c>
      <c r="AE327" s="11">
        <v>0</v>
      </c>
      <c r="AF327" s="11">
        <f t="shared" si="10"/>
        <v>0.42</v>
      </c>
      <c r="AG327" s="11">
        <f t="shared" si="11"/>
        <v>7.42</v>
      </c>
      <c r="AH327" t="s">
        <v>44</v>
      </c>
    </row>
    <row r="328" spans="1:34" ht="15" customHeight="1" x14ac:dyDescent="0.35">
      <c r="A328">
        <v>7547676</v>
      </c>
      <c r="B328">
        <v>690929</v>
      </c>
      <c r="C328" t="s">
        <v>34</v>
      </c>
      <c r="D328" t="s">
        <v>35</v>
      </c>
      <c r="E328" s="6" t="s">
        <v>34</v>
      </c>
      <c r="F328" t="s">
        <v>1106</v>
      </c>
      <c r="G328" t="s">
        <v>37</v>
      </c>
      <c r="H328" t="s">
        <v>38</v>
      </c>
      <c r="I328" t="s">
        <v>1107</v>
      </c>
      <c r="J328" t="s">
        <v>40</v>
      </c>
      <c r="K328">
        <v>2</v>
      </c>
      <c r="L328" t="s">
        <v>41</v>
      </c>
      <c r="M328" t="s">
        <v>42</v>
      </c>
      <c r="N328" t="s">
        <v>43</v>
      </c>
      <c r="O328" s="7">
        <v>1</v>
      </c>
      <c r="P328" s="8">
        <v>45263.686782407407</v>
      </c>
      <c r="Q328" s="9">
        <v>45264</v>
      </c>
      <c r="R328" t="s">
        <v>37</v>
      </c>
      <c r="S328" t="s">
        <v>44</v>
      </c>
      <c r="T328" t="s">
        <v>45</v>
      </c>
      <c r="U328" t="s">
        <v>258</v>
      </c>
      <c r="V328" t="s">
        <v>1108</v>
      </c>
      <c r="W328">
        <v>21060</v>
      </c>
      <c r="X328" t="s">
        <v>44</v>
      </c>
      <c r="Y328" t="s">
        <v>260</v>
      </c>
      <c r="Z328" t="s">
        <v>49</v>
      </c>
      <c r="AA328" s="10">
        <f>IF(O328&lt;=1,7,7+0.8*ROUNDUP(O328-1,0))</f>
        <v>7</v>
      </c>
      <c r="AB328" s="11">
        <v>0</v>
      </c>
      <c r="AC328" s="11">
        <v>0</v>
      </c>
      <c r="AD328" s="11">
        <v>0</v>
      </c>
      <c r="AE328" s="11">
        <v>0</v>
      </c>
      <c r="AF328" s="11">
        <f t="shared" si="10"/>
        <v>0.42</v>
      </c>
      <c r="AG328" s="11">
        <f t="shared" si="11"/>
        <v>7.42</v>
      </c>
      <c r="AH328" t="s">
        <v>44</v>
      </c>
    </row>
    <row r="329" spans="1:34" ht="15" customHeight="1" x14ac:dyDescent="0.35">
      <c r="A329">
        <v>7547676</v>
      </c>
      <c r="B329">
        <v>690929</v>
      </c>
      <c r="C329" t="s">
        <v>34</v>
      </c>
      <c r="D329" t="s">
        <v>35</v>
      </c>
      <c r="E329" s="6" t="s">
        <v>34</v>
      </c>
      <c r="F329" t="s">
        <v>1109</v>
      </c>
      <c r="G329" t="s">
        <v>37</v>
      </c>
      <c r="H329" t="s">
        <v>38</v>
      </c>
      <c r="I329" t="s">
        <v>1110</v>
      </c>
      <c r="J329" t="s">
        <v>40</v>
      </c>
      <c r="K329">
        <v>2</v>
      </c>
      <c r="L329" t="s">
        <v>41</v>
      </c>
      <c r="M329" t="s">
        <v>42</v>
      </c>
      <c r="N329" t="s">
        <v>43</v>
      </c>
      <c r="O329" s="7">
        <v>1</v>
      </c>
      <c r="P329" s="8">
        <v>45261.655011574076</v>
      </c>
      <c r="Q329" s="9">
        <v>45264</v>
      </c>
      <c r="R329" t="s">
        <v>37</v>
      </c>
      <c r="S329" t="s">
        <v>44</v>
      </c>
      <c r="T329" t="s">
        <v>45</v>
      </c>
      <c r="U329" t="s">
        <v>258</v>
      </c>
      <c r="V329" t="s">
        <v>1111</v>
      </c>
      <c r="W329">
        <v>21040</v>
      </c>
      <c r="X329" t="s">
        <v>44</v>
      </c>
      <c r="Y329" t="s">
        <v>260</v>
      </c>
      <c r="Z329" t="s">
        <v>49</v>
      </c>
      <c r="AA329" s="10">
        <f>IF(O329&lt;=1,7,7+0.8*ROUNDUP(O329-1,0))</f>
        <v>7</v>
      </c>
      <c r="AB329" s="11">
        <v>0</v>
      </c>
      <c r="AC329" s="11">
        <v>0</v>
      </c>
      <c r="AD329" s="11">
        <v>0</v>
      </c>
      <c r="AE329" s="11">
        <v>0</v>
      </c>
      <c r="AF329" s="11">
        <f t="shared" si="10"/>
        <v>0.42</v>
      </c>
      <c r="AG329" s="11">
        <f t="shared" si="11"/>
        <v>7.42</v>
      </c>
      <c r="AH329" t="s">
        <v>44</v>
      </c>
    </row>
    <row r="330" spans="1:34" ht="15" customHeight="1" x14ac:dyDescent="0.35">
      <c r="A330">
        <v>7547676</v>
      </c>
      <c r="B330">
        <v>690929</v>
      </c>
      <c r="C330" t="s">
        <v>34</v>
      </c>
      <c r="D330" t="s">
        <v>35</v>
      </c>
      <c r="E330" s="6" t="s">
        <v>34</v>
      </c>
      <c r="F330" t="s">
        <v>1112</v>
      </c>
      <c r="G330" t="s">
        <v>37</v>
      </c>
      <c r="H330" t="s">
        <v>38</v>
      </c>
      <c r="I330" t="s">
        <v>1113</v>
      </c>
      <c r="J330" t="s">
        <v>40</v>
      </c>
      <c r="K330">
        <v>2</v>
      </c>
      <c r="L330" t="s">
        <v>41</v>
      </c>
      <c r="M330" t="s">
        <v>42</v>
      </c>
      <c r="N330" t="s">
        <v>43</v>
      </c>
      <c r="O330" s="7">
        <v>1</v>
      </c>
      <c r="P330" s="8">
        <v>45262.694560185184</v>
      </c>
      <c r="Q330" s="9">
        <v>45264</v>
      </c>
      <c r="R330" t="s">
        <v>37</v>
      </c>
      <c r="S330" t="s">
        <v>44</v>
      </c>
      <c r="T330" t="s">
        <v>45</v>
      </c>
      <c r="U330" t="s">
        <v>53</v>
      </c>
      <c r="V330" t="s">
        <v>1114</v>
      </c>
      <c r="W330">
        <v>57100</v>
      </c>
      <c r="X330" t="s">
        <v>44</v>
      </c>
      <c r="Y330" t="s">
        <v>52</v>
      </c>
      <c r="Z330" t="s">
        <v>49</v>
      </c>
      <c r="AA330" s="10">
        <f>IF(O330&lt;=1,7,7+0.8*ROUNDUP(O330-1,0))</f>
        <v>7</v>
      </c>
      <c r="AB330" s="11">
        <v>0</v>
      </c>
      <c r="AC330" s="11">
        <v>0</v>
      </c>
      <c r="AD330" s="11">
        <v>0</v>
      </c>
      <c r="AE330" s="11">
        <v>0</v>
      </c>
      <c r="AF330" s="11">
        <f t="shared" si="10"/>
        <v>0.42</v>
      </c>
      <c r="AG330" s="11">
        <f t="shared" si="11"/>
        <v>7.42</v>
      </c>
      <c r="AH330" t="s">
        <v>44</v>
      </c>
    </row>
    <row r="331" spans="1:34" ht="15" customHeight="1" x14ac:dyDescent="0.35">
      <c r="A331">
        <v>7547676</v>
      </c>
      <c r="B331">
        <v>690929</v>
      </c>
      <c r="C331" t="s">
        <v>34</v>
      </c>
      <c r="D331" t="s">
        <v>35</v>
      </c>
      <c r="E331" s="6" t="s">
        <v>34</v>
      </c>
      <c r="F331" t="s">
        <v>1115</v>
      </c>
      <c r="G331" t="s">
        <v>37</v>
      </c>
      <c r="H331" t="s">
        <v>38</v>
      </c>
      <c r="I331" t="s">
        <v>1116</v>
      </c>
      <c r="J331" t="s">
        <v>40</v>
      </c>
      <c r="K331">
        <v>2</v>
      </c>
      <c r="L331" t="s">
        <v>41</v>
      </c>
      <c r="M331" t="s">
        <v>42</v>
      </c>
      <c r="N331" t="s">
        <v>43</v>
      </c>
      <c r="O331" s="7">
        <v>1</v>
      </c>
      <c r="P331" s="8">
        <v>45263.686782407407</v>
      </c>
      <c r="Q331" s="9">
        <v>45264</v>
      </c>
      <c r="R331" t="s">
        <v>37</v>
      </c>
      <c r="S331" t="s">
        <v>44</v>
      </c>
      <c r="T331" t="s">
        <v>45</v>
      </c>
      <c r="U331" t="s">
        <v>77</v>
      </c>
      <c r="V331" t="s">
        <v>1117</v>
      </c>
      <c r="W331">
        <v>25150</v>
      </c>
      <c r="X331" t="s">
        <v>44</v>
      </c>
      <c r="Y331" t="s">
        <v>45</v>
      </c>
      <c r="Z331" t="s">
        <v>49</v>
      </c>
      <c r="AA331" s="10">
        <f>IF(O331&lt;=1,7,7+0.8*ROUNDUP(O331-1,0))</f>
        <v>7</v>
      </c>
      <c r="AB331" s="11">
        <v>0</v>
      </c>
      <c r="AC331" s="11">
        <v>0</v>
      </c>
      <c r="AD331" s="11">
        <v>0</v>
      </c>
      <c r="AE331" s="11">
        <v>0</v>
      </c>
      <c r="AF331" s="11">
        <f t="shared" si="10"/>
        <v>0.42</v>
      </c>
      <c r="AG331" s="11">
        <f t="shared" si="11"/>
        <v>7.42</v>
      </c>
      <c r="AH331" t="s">
        <v>44</v>
      </c>
    </row>
    <row r="332" spans="1:34" ht="15" customHeight="1" x14ac:dyDescent="0.35">
      <c r="A332">
        <v>7547676</v>
      </c>
      <c r="B332">
        <v>690929</v>
      </c>
      <c r="C332" t="s">
        <v>34</v>
      </c>
      <c r="D332" t="s">
        <v>35</v>
      </c>
      <c r="E332" s="6" t="s">
        <v>34</v>
      </c>
      <c r="F332" t="s">
        <v>1118</v>
      </c>
      <c r="G332" t="s">
        <v>37</v>
      </c>
      <c r="H332" t="s">
        <v>38</v>
      </c>
      <c r="I332" t="s">
        <v>1119</v>
      </c>
      <c r="J332" t="s">
        <v>40</v>
      </c>
      <c r="K332">
        <v>2</v>
      </c>
      <c r="L332" t="s">
        <v>41</v>
      </c>
      <c r="M332" t="s">
        <v>42</v>
      </c>
      <c r="N332" t="s">
        <v>43</v>
      </c>
      <c r="O332" s="7">
        <v>3</v>
      </c>
      <c r="P332" s="8">
        <v>45263.616516203707</v>
      </c>
      <c r="Q332" s="9">
        <v>45264</v>
      </c>
      <c r="R332" t="s">
        <v>37</v>
      </c>
      <c r="S332" t="s">
        <v>44</v>
      </c>
      <c r="T332" t="s">
        <v>45</v>
      </c>
      <c r="U332" t="s">
        <v>258</v>
      </c>
      <c r="V332" t="s">
        <v>1120</v>
      </c>
      <c r="W332">
        <v>21400</v>
      </c>
      <c r="X332" t="s">
        <v>44</v>
      </c>
      <c r="Y332" t="s">
        <v>585</v>
      </c>
      <c r="Z332" t="s">
        <v>49</v>
      </c>
      <c r="AA332" s="10">
        <f>IF(O332&lt;=1,7,7+0.8*ROUNDUP(O332-1,0))</f>
        <v>8.6</v>
      </c>
      <c r="AB332" s="11">
        <v>0</v>
      </c>
      <c r="AC332" s="11">
        <v>0</v>
      </c>
      <c r="AD332" s="11">
        <v>0</v>
      </c>
      <c r="AE332" s="11">
        <v>0</v>
      </c>
      <c r="AF332" s="11">
        <f t="shared" si="10"/>
        <v>0.51600000000000001</v>
      </c>
      <c r="AG332" s="11">
        <f t="shared" si="11"/>
        <v>9.1159999999999997</v>
      </c>
      <c r="AH332" t="s">
        <v>44</v>
      </c>
    </row>
    <row r="333" spans="1:34" ht="15" customHeight="1" x14ac:dyDescent="0.35">
      <c r="A333">
        <v>7547676</v>
      </c>
      <c r="B333">
        <v>690929</v>
      </c>
      <c r="C333" t="s">
        <v>34</v>
      </c>
      <c r="D333" t="s">
        <v>35</v>
      </c>
      <c r="E333" s="6" t="s">
        <v>34</v>
      </c>
      <c r="F333" t="s">
        <v>1121</v>
      </c>
      <c r="G333" t="s">
        <v>37</v>
      </c>
      <c r="H333" t="s">
        <v>38</v>
      </c>
      <c r="I333" t="s">
        <v>1119</v>
      </c>
      <c r="J333" t="s">
        <v>40</v>
      </c>
      <c r="K333">
        <v>2</v>
      </c>
      <c r="L333" t="s">
        <v>41</v>
      </c>
      <c r="M333" t="s">
        <v>42</v>
      </c>
      <c r="N333" t="s">
        <v>43</v>
      </c>
      <c r="O333" s="7">
        <v>2</v>
      </c>
      <c r="P333" s="8">
        <v>45263.616516203707</v>
      </c>
      <c r="Q333" s="9">
        <v>45264</v>
      </c>
      <c r="R333" t="s">
        <v>37</v>
      </c>
      <c r="S333" t="s">
        <v>44</v>
      </c>
      <c r="T333" t="s">
        <v>45</v>
      </c>
      <c r="U333" t="s">
        <v>258</v>
      </c>
      <c r="V333" t="s">
        <v>1122</v>
      </c>
      <c r="W333">
        <v>21400</v>
      </c>
      <c r="X333" t="s">
        <v>44</v>
      </c>
      <c r="Y333" t="s">
        <v>585</v>
      </c>
      <c r="Z333" t="s">
        <v>49</v>
      </c>
      <c r="AA333" s="10">
        <f>IF(O333&lt;=1,7,7+0.8*ROUNDUP(O333-1,0))</f>
        <v>7.8</v>
      </c>
      <c r="AB333" s="11">
        <v>0</v>
      </c>
      <c r="AC333" s="11">
        <v>0</v>
      </c>
      <c r="AD333" s="11">
        <v>0</v>
      </c>
      <c r="AE333" s="11">
        <v>0</v>
      </c>
      <c r="AF333" s="11">
        <f t="shared" si="10"/>
        <v>0.46799999999999997</v>
      </c>
      <c r="AG333" s="11">
        <f t="shared" si="11"/>
        <v>8.2680000000000007</v>
      </c>
      <c r="AH333" t="s">
        <v>44</v>
      </c>
    </row>
    <row r="334" spans="1:34" ht="15" customHeight="1" x14ac:dyDescent="0.35">
      <c r="A334">
        <v>7547676</v>
      </c>
      <c r="B334">
        <v>690929</v>
      </c>
      <c r="C334" t="s">
        <v>34</v>
      </c>
      <c r="D334" t="s">
        <v>35</v>
      </c>
      <c r="E334" s="6" t="s">
        <v>34</v>
      </c>
      <c r="F334" t="s">
        <v>1123</v>
      </c>
      <c r="G334" t="s">
        <v>37</v>
      </c>
      <c r="H334" t="s">
        <v>38</v>
      </c>
      <c r="I334" t="s">
        <v>1124</v>
      </c>
      <c r="J334" t="s">
        <v>40</v>
      </c>
      <c r="K334">
        <v>2</v>
      </c>
      <c r="L334" t="s">
        <v>41</v>
      </c>
      <c r="M334" t="s">
        <v>42</v>
      </c>
      <c r="N334" t="s">
        <v>43</v>
      </c>
      <c r="O334" s="7">
        <v>1</v>
      </c>
      <c r="P334" s="8">
        <v>45262.468668981484</v>
      </c>
      <c r="Q334" s="9">
        <v>45264</v>
      </c>
      <c r="R334" t="s">
        <v>37</v>
      </c>
      <c r="S334" t="s">
        <v>44</v>
      </c>
      <c r="T334" t="s">
        <v>45</v>
      </c>
      <c r="U334" t="s">
        <v>77</v>
      </c>
      <c r="V334" t="s">
        <v>1125</v>
      </c>
      <c r="W334">
        <v>25150</v>
      </c>
      <c r="X334" t="s">
        <v>44</v>
      </c>
      <c r="Y334" t="s">
        <v>45</v>
      </c>
      <c r="Z334" t="s">
        <v>49</v>
      </c>
      <c r="AA334" s="10">
        <f>IF(O334&lt;=1,7,7+0.8*ROUNDUP(O334-1,0))</f>
        <v>7</v>
      </c>
      <c r="AB334" s="11">
        <v>0</v>
      </c>
      <c r="AC334" s="11">
        <v>0</v>
      </c>
      <c r="AD334" s="11">
        <v>0</v>
      </c>
      <c r="AE334" s="11">
        <v>0</v>
      </c>
      <c r="AF334" s="11">
        <f t="shared" si="10"/>
        <v>0.42</v>
      </c>
      <c r="AG334" s="11">
        <f t="shared" si="11"/>
        <v>7.42</v>
      </c>
      <c r="AH334" t="s">
        <v>44</v>
      </c>
    </row>
    <row r="335" spans="1:34" ht="15" customHeight="1" x14ac:dyDescent="0.35">
      <c r="A335">
        <v>7547676</v>
      </c>
      <c r="B335">
        <v>690929</v>
      </c>
      <c r="C335" t="s">
        <v>34</v>
      </c>
      <c r="D335" t="s">
        <v>35</v>
      </c>
      <c r="E335" s="6" t="s">
        <v>34</v>
      </c>
      <c r="F335" t="s">
        <v>1126</v>
      </c>
      <c r="G335" t="s">
        <v>37</v>
      </c>
      <c r="H335" t="s">
        <v>38</v>
      </c>
      <c r="I335" t="s">
        <v>1127</v>
      </c>
      <c r="J335" t="s">
        <v>40</v>
      </c>
      <c r="K335">
        <v>2</v>
      </c>
      <c r="L335" t="s">
        <v>41</v>
      </c>
      <c r="M335" t="s">
        <v>42</v>
      </c>
      <c r="N335" t="s">
        <v>43</v>
      </c>
      <c r="O335" s="7">
        <v>1</v>
      </c>
      <c r="P335" s="8">
        <v>45262.557141203702</v>
      </c>
      <c r="Q335" s="9">
        <v>45264</v>
      </c>
      <c r="R335" t="s">
        <v>37</v>
      </c>
      <c r="S335" t="s">
        <v>44</v>
      </c>
      <c r="T335" t="s">
        <v>45</v>
      </c>
      <c r="U335" t="s">
        <v>77</v>
      </c>
      <c r="V335" t="s">
        <v>1128</v>
      </c>
      <c r="W335">
        <v>26060</v>
      </c>
      <c r="X335" t="s">
        <v>44</v>
      </c>
      <c r="Y335" t="s">
        <v>79</v>
      </c>
      <c r="Z335" t="s">
        <v>49</v>
      </c>
      <c r="AA335" s="10">
        <f>IF(O335&lt;=1,7,7+0.8*ROUNDUP(O335-1,0))</f>
        <v>7</v>
      </c>
      <c r="AB335" s="11">
        <v>0</v>
      </c>
      <c r="AC335" s="11">
        <v>0</v>
      </c>
      <c r="AD335" s="11">
        <v>0</v>
      </c>
      <c r="AE335" s="11">
        <v>0</v>
      </c>
      <c r="AF335" s="11">
        <f t="shared" si="10"/>
        <v>0.42</v>
      </c>
      <c r="AG335" s="11">
        <f t="shared" si="11"/>
        <v>7.42</v>
      </c>
      <c r="AH335" t="s">
        <v>44</v>
      </c>
    </row>
    <row r="336" spans="1:34" ht="15" customHeight="1" x14ac:dyDescent="0.35">
      <c r="A336">
        <v>7547676</v>
      </c>
      <c r="B336">
        <v>690929</v>
      </c>
      <c r="C336" t="s">
        <v>34</v>
      </c>
      <c r="D336" t="s">
        <v>35</v>
      </c>
      <c r="E336" s="6" t="s">
        <v>34</v>
      </c>
      <c r="F336" t="s">
        <v>1129</v>
      </c>
      <c r="G336" t="s">
        <v>37</v>
      </c>
      <c r="H336" t="s">
        <v>38</v>
      </c>
      <c r="I336" t="s">
        <v>1130</v>
      </c>
      <c r="J336" t="s">
        <v>40</v>
      </c>
      <c r="K336">
        <v>2</v>
      </c>
      <c r="L336" t="s">
        <v>41</v>
      </c>
      <c r="M336" t="s">
        <v>42</v>
      </c>
      <c r="N336" t="s">
        <v>43</v>
      </c>
      <c r="O336" s="7">
        <v>3</v>
      </c>
      <c r="P336" s="8">
        <v>45261.445613425924</v>
      </c>
      <c r="Q336" s="9">
        <v>45264</v>
      </c>
      <c r="R336" t="s">
        <v>37</v>
      </c>
      <c r="S336" t="s">
        <v>44</v>
      </c>
      <c r="T336" t="s">
        <v>76</v>
      </c>
      <c r="U336" t="s">
        <v>279</v>
      </c>
      <c r="V336" t="s">
        <v>1131</v>
      </c>
      <c r="W336">
        <v>88450</v>
      </c>
      <c r="X336" t="s">
        <v>242</v>
      </c>
      <c r="Y336" t="s">
        <v>1132</v>
      </c>
      <c r="Z336" t="s">
        <v>49</v>
      </c>
      <c r="AA336" s="12">
        <f>IF(O336&lt;=1,13,IF(O336&lt;=2,23,IF(O336&lt;=3,35,IF(O336&lt;=4,43,IF(O336&lt;=5,53,IF(O336&lt;=6,63,IF(O336&lt;=7,71,IF(O336&lt;=8,79,IF(O336&lt;=9,87,IF(O336&lt;=10,95,IF(O336&lt;=11,105,IF(O336&lt;=12,114,IF(O336&lt;=13,119,IF(O336&lt;=14,127,IF(O336&lt;=15,135,IF(O336&lt;=16,143,IF(O336&lt;=17,153,IF(O336&lt;=18,163,IF(O336&lt;=19,171,IF(O336&lt;=20,185,IF(O336&lt;=21,193,IF(O336&lt;=22,201,IF(O336&lt;=23,210,IF(O336&lt;=24,220,IF(O336&lt;=25,230,IF(O336&lt;=26,240,IF(O336&lt;=27,250,IF(O336&lt;=28,260,IF(O336&lt;=29,270,IF(O336&lt;=30,280,280+10*ROUNDUP(O336-30,0)))))))))))))))))))))))))))))))</f>
        <v>35</v>
      </c>
      <c r="AB336" s="11">
        <v>0</v>
      </c>
      <c r="AC336" s="11">
        <v>0</v>
      </c>
      <c r="AD336" s="11">
        <v>0</v>
      </c>
      <c r="AE336" s="11">
        <v>0</v>
      </c>
      <c r="AF336" s="11">
        <f t="shared" si="10"/>
        <v>2.1</v>
      </c>
      <c r="AG336" s="11">
        <f t="shared" si="11"/>
        <v>37.1</v>
      </c>
      <c r="AH336" t="s">
        <v>242</v>
      </c>
    </row>
    <row r="337" spans="1:34" ht="15" customHeight="1" x14ac:dyDescent="0.35">
      <c r="A337">
        <v>7547676</v>
      </c>
      <c r="B337">
        <v>690929</v>
      </c>
      <c r="C337" t="s">
        <v>34</v>
      </c>
      <c r="D337" t="s">
        <v>35</v>
      </c>
      <c r="E337" s="6" t="s">
        <v>34</v>
      </c>
      <c r="F337" t="s">
        <v>1133</v>
      </c>
      <c r="G337" t="s">
        <v>37</v>
      </c>
      <c r="H337" t="s">
        <v>38</v>
      </c>
      <c r="I337" t="s">
        <v>1134</v>
      </c>
      <c r="J337" t="s">
        <v>40</v>
      </c>
      <c r="K337">
        <v>2</v>
      </c>
      <c r="L337" t="s">
        <v>41</v>
      </c>
      <c r="M337" t="s">
        <v>42</v>
      </c>
      <c r="N337" t="s">
        <v>43</v>
      </c>
      <c r="O337" s="7">
        <v>1</v>
      </c>
      <c r="P337" s="8">
        <v>45263.686782407407</v>
      </c>
      <c r="Q337" s="9">
        <v>45264</v>
      </c>
      <c r="R337" t="s">
        <v>37</v>
      </c>
      <c r="S337" t="s">
        <v>44</v>
      </c>
      <c r="T337" t="s">
        <v>45</v>
      </c>
      <c r="U337" t="s">
        <v>115</v>
      </c>
      <c r="V337" t="s">
        <v>1135</v>
      </c>
      <c r="W337">
        <v>15350</v>
      </c>
      <c r="X337" t="s">
        <v>44</v>
      </c>
      <c r="Y337" t="s">
        <v>76</v>
      </c>
      <c r="Z337" t="s">
        <v>49</v>
      </c>
      <c r="AA337" s="10">
        <f>IF(O337&lt;=1,7,7+0.8*ROUNDUP(O337-1,0))</f>
        <v>7</v>
      </c>
      <c r="AB337" s="11">
        <v>0</v>
      </c>
      <c r="AC337" s="11">
        <v>0</v>
      </c>
      <c r="AD337" s="11">
        <v>0</v>
      </c>
      <c r="AE337" s="11">
        <v>0</v>
      </c>
      <c r="AF337" s="11">
        <f t="shared" si="10"/>
        <v>0.42</v>
      </c>
      <c r="AG337" s="11">
        <f t="shared" si="11"/>
        <v>7.42</v>
      </c>
      <c r="AH337" t="s">
        <v>44</v>
      </c>
    </row>
    <row r="338" spans="1:34" ht="15" customHeight="1" x14ac:dyDescent="0.35">
      <c r="A338">
        <v>7547676</v>
      </c>
      <c r="B338">
        <v>690929</v>
      </c>
      <c r="C338" t="s">
        <v>34</v>
      </c>
      <c r="D338" t="s">
        <v>35</v>
      </c>
      <c r="E338" s="6" t="s">
        <v>34</v>
      </c>
      <c r="F338" t="s">
        <v>1136</v>
      </c>
      <c r="G338" t="s">
        <v>37</v>
      </c>
      <c r="H338" t="s">
        <v>38</v>
      </c>
      <c r="I338" t="s">
        <v>1137</v>
      </c>
      <c r="J338" t="s">
        <v>40</v>
      </c>
      <c r="K338">
        <v>2</v>
      </c>
      <c r="L338" t="s">
        <v>41</v>
      </c>
      <c r="M338" t="s">
        <v>42</v>
      </c>
      <c r="N338" t="s">
        <v>43</v>
      </c>
      <c r="O338" s="7">
        <v>1</v>
      </c>
      <c r="P338" s="8">
        <v>45263.58390046296</v>
      </c>
      <c r="Q338" s="9">
        <v>45264</v>
      </c>
      <c r="R338" t="s">
        <v>37</v>
      </c>
      <c r="S338" t="s">
        <v>44</v>
      </c>
      <c r="T338" t="s">
        <v>45</v>
      </c>
      <c r="U338" t="s">
        <v>68</v>
      </c>
      <c r="V338" t="s">
        <v>1138</v>
      </c>
      <c r="W338">
        <v>43500</v>
      </c>
      <c r="X338" t="s">
        <v>44</v>
      </c>
      <c r="Y338" t="s">
        <v>498</v>
      </c>
      <c r="Z338" t="s">
        <v>49</v>
      </c>
      <c r="AA338" s="10">
        <f>IF(O338&lt;=1,7,7+0.8*ROUNDUP(O338-1,0))</f>
        <v>7</v>
      </c>
      <c r="AB338" s="11">
        <v>0</v>
      </c>
      <c r="AC338" s="11">
        <v>0</v>
      </c>
      <c r="AD338" s="11">
        <v>0</v>
      </c>
      <c r="AE338" s="11">
        <v>0</v>
      </c>
      <c r="AF338" s="11">
        <f t="shared" si="10"/>
        <v>0.42</v>
      </c>
      <c r="AG338" s="11">
        <f t="shared" si="11"/>
        <v>7.42</v>
      </c>
      <c r="AH338" t="s">
        <v>44</v>
      </c>
    </row>
    <row r="339" spans="1:34" ht="15" customHeight="1" x14ac:dyDescent="0.35">
      <c r="A339">
        <v>7547676</v>
      </c>
      <c r="B339">
        <v>690929</v>
      </c>
      <c r="C339" t="s">
        <v>34</v>
      </c>
      <c r="D339" t="s">
        <v>35</v>
      </c>
      <c r="E339" s="6" t="s">
        <v>34</v>
      </c>
      <c r="F339" t="s">
        <v>1139</v>
      </c>
      <c r="G339" t="s">
        <v>37</v>
      </c>
      <c r="H339" t="s">
        <v>38</v>
      </c>
      <c r="I339" t="s">
        <v>1140</v>
      </c>
      <c r="J339" t="s">
        <v>40</v>
      </c>
      <c r="K339">
        <v>2</v>
      </c>
      <c r="L339" t="s">
        <v>41</v>
      </c>
      <c r="M339" t="s">
        <v>42</v>
      </c>
      <c r="N339" t="s">
        <v>43</v>
      </c>
      <c r="O339" s="7">
        <v>1</v>
      </c>
      <c r="P339" s="8">
        <v>45263.686782407407</v>
      </c>
      <c r="Q339" s="9">
        <v>45264</v>
      </c>
      <c r="R339" t="s">
        <v>37</v>
      </c>
      <c r="S339" t="s">
        <v>44</v>
      </c>
      <c r="T339" t="s">
        <v>45</v>
      </c>
      <c r="U339" t="s">
        <v>258</v>
      </c>
      <c r="V339" t="s">
        <v>1141</v>
      </c>
      <c r="W339">
        <v>21080</v>
      </c>
      <c r="X339" t="s">
        <v>44</v>
      </c>
      <c r="Y339" t="s">
        <v>260</v>
      </c>
      <c r="Z339" t="s">
        <v>49</v>
      </c>
      <c r="AA339" s="10">
        <f>IF(O339&lt;=1,7,7+0.8*ROUNDUP(O339-1,0))</f>
        <v>7</v>
      </c>
      <c r="AB339" s="11">
        <v>0</v>
      </c>
      <c r="AC339" s="11">
        <v>0</v>
      </c>
      <c r="AD339" s="11">
        <v>0</v>
      </c>
      <c r="AE339" s="11">
        <v>0</v>
      </c>
      <c r="AF339" s="11">
        <f t="shared" si="10"/>
        <v>0.42</v>
      </c>
      <c r="AG339" s="11">
        <f t="shared" si="11"/>
        <v>7.42</v>
      </c>
      <c r="AH339" t="s">
        <v>44</v>
      </c>
    </row>
    <row r="340" spans="1:34" ht="15" customHeight="1" x14ac:dyDescent="0.35">
      <c r="A340">
        <v>7547676</v>
      </c>
      <c r="B340">
        <v>690929</v>
      </c>
      <c r="C340" t="s">
        <v>34</v>
      </c>
      <c r="D340" t="s">
        <v>35</v>
      </c>
      <c r="E340" s="6" t="s">
        <v>34</v>
      </c>
      <c r="F340" t="s">
        <v>1142</v>
      </c>
      <c r="G340" t="s">
        <v>37</v>
      </c>
      <c r="H340" t="s">
        <v>38</v>
      </c>
      <c r="I340" t="s">
        <v>1143</v>
      </c>
      <c r="J340" t="s">
        <v>40</v>
      </c>
      <c r="K340">
        <v>2</v>
      </c>
      <c r="L340" t="s">
        <v>41</v>
      </c>
      <c r="M340" t="s">
        <v>42</v>
      </c>
      <c r="N340" t="s">
        <v>43</v>
      </c>
      <c r="O340" s="7">
        <v>1</v>
      </c>
      <c r="P340" s="8">
        <v>45262.41511574074</v>
      </c>
      <c r="Q340" s="9">
        <v>45264</v>
      </c>
      <c r="R340" t="s">
        <v>37</v>
      </c>
      <c r="S340" t="s">
        <v>44</v>
      </c>
      <c r="T340" t="s">
        <v>45</v>
      </c>
      <c r="U340" t="s">
        <v>501</v>
      </c>
      <c r="V340" t="s">
        <v>1144</v>
      </c>
      <c r="W340">
        <v>2100</v>
      </c>
      <c r="X340" t="s">
        <v>44</v>
      </c>
      <c r="Y340" t="s">
        <v>52</v>
      </c>
      <c r="Z340" t="s">
        <v>49</v>
      </c>
      <c r="AA340" s="10">
        <f>IF(O340&lt;=1,7,7+0.8*ROUNDUP(O340-1,0))</f>
        <v>7</v>
      </c>
      <c r="AB340" s="11">
        <v>0</v>
      </c>
      <c r="AC340" s="11">
        <v>0</v>
      </c>
      <c r="AD340" s="11">
        <v>0</v>
      </c>
      <c r="AE340" s="11">
        <v>0</v>
      </c>
      <c r="AF340" s="11">
        <f t="shared" si="10"/>
        <v>0.42</v>
      </c>
      <c r="AG340" s="11">
        <f t="shared" si="11"/>
        <v>7.42</v>
      </c>
      <c r="AH340" t="s">
        <v>44</v>
      </c>
    </row>
    <row r="341" spans="1:34" ht="15" customHeight="1" x14ac:dyDescent="0.35">
      <c r="A341">
        <v>7547676</v>
      </c>
      <c r="B341">
        <v>690929</v>
      </c>
      <c r="C341" t="s">
        <v>34</v>
      </c>
      <c r="D341" t="s">
        <v>35</v>
      </c>
      <c r="E341" s="6" t="s">
        <v>34</v>
      </c>
      <c r="F341" t="s">
        <v>1145</v>
      </c>
      <c r="G341" t="s">
        <v>37</v>
      </c>
      <c r="H341" t="s">
        <v>38</v>
      </c>
      <c r="I341" t="s">
        <v>1146</v>
      </c>
      <c r="J341" t="s">
        <v>40</v>
      </c>
      <c r="K341">
        <v>2</v>
      </c>
      <c r="L341" t="s">
        <v>41</v>
      </c>
      <c r="M341" t="s">
        <v>42</v>
      </c>
      <c r="N341" t="s">
        <v>43</v>
      </c>
      <c r="O341" s="7">
        <v>1</v>
      </c>
      <c r="P341" s="8">
        <v>45262.739687499998</v>
      </c>
      <c r="Q341" s="9">
        <v>45264</v>
      </c>
      <c r="R341" t="s">
        <v>37</v>
      </c>
      <c r="S341" t="s">
        <v>44</v>
      </c>
      <c r="T341" t="s">
        <v>45</v>
      </c>
      <c r="U341" t="s">
        <v>68</v>
      </c>
      <c r="V341" t="s">
        <v>1147</v>
      </c>
      <c r="W341">
        <v>40160</v>
      </c>
      <c r="X341" t="s">
        <v>44</v>
      </c>
      <c r="Y341" t="s">
        <v>602</v>
      </c>
      <c r="Z341" t="s">
        <v>49</v>
      </c>
      <c r="AA341" s="10">
        <f>IF(O341&lt;=1,7,7+0.8*ROUNDUP(O341-1,0))</f>
        <v>7</v>
      </c>
      <c r="AB341" s="11">
        <v>0</v>
      </c>
      <c r="AC341" s="11">
        <v>0</v>
      </c>
      <c r="AD341" s="11">
        <v>0</v>
      </c>
      <c r="AE341" s="11">
        <v>0</v>
      </c>
      <c r="AF341" s="11">
        <f t="shared" si="10"/>
        <v>0.42</v>
      </c>
      <c r="AG341" s="11">
        <f t="shared" si="11"/>
        <v>7.42</v>
      </c>
      <c r="AH341" t="s">
        <v>44</v>
      </c>
    </row>
    <row r="342" spans="1:34" ht="15" customHeight="1" x14ac:dyDescent="0.35">
      <c r="A342">
        <v>7547676</v>
      </c>
      <c r="B342">
        <v>690929</v>
      </c>
      <c r="C342" t="s">
        <v>34</v>
      </c>
      <c r="D342" t="s">
        <v>35</v>
      </c>
      <c r="E342" s="6" t="s">
        <v>34</v>
      </c>
      <c r="F342" t="s">
        <v>1148</v>
      </c>
      <c r="G342" t="s">
        <v>37</v>
      </c>
      <c r="H342" t="s">
        <v>38</v>
      </c>
      <c r="I342" t="s">
        <v>1149</v>
      </c>
      <c r="J342" t="s">
        <v>40</v>
      </c>
      <c r="K342">
        <v>2</v>
      </c>
      <c r="L342" t="s">
        <v>41</v>
      </c>
      <c r="M342" t="s">
        <v>42</v>
      </c>
      <c r="N342" t="s">
        <v>43</v>
      </c>
      <c r="O342" s="7">
        <v>2</v>
      </c>
      <c r="P342" s="8">
        <v>45263.686782407407</v>
      </c>
      <c r="Q342" s="9">
        <v>45264</v>
      </c>
      <c r="R342" t="s">
        <v>37</v>
      </c>
      <c r="S342" t="s">
        <v>44</v>
      </c>
      <c r="T342" t="s">
        <v>45</v>
      </c>
      <c r="U342" t="s">
        <v>68</v>
      </c>
      <c r="V342" t="s">
        <v>1150</v>
      </c>
      <c r="W342">
        <v>68000</v>
      </c>
      <c r="X342" t="s">
        <v>44</v>
      </c>
      <c r="Y342" t="s">
        <v>55</v>
      </c>
      <c r="Z342" t="s">
        <v>49</v>
      </c>
      <c r="AA342" s="10">
        <f>IF(O342&lt;=1,7,7+0.8*ROUNDUP(O342-1,0))</f>
        <v>7.8</v>
      </c>
      <c r="AB342" s="11">
        <v>0</v>
      </c>
      <c r="AC342" s="11">
        <v>0</v>
      </c>
      <c r="AD342" s="11">
        <v>0</v>
      </c>
      <c r="AE342" s="11">
        <v>0</v>
      </c>
      <c r="AF342" s="11">
        <f t="shared" si="10"/>
        <v>0.46799999999999997</v>
      </c>
      <c r="AG342" s="11">
        <f t="shared" si="11"/>
        <v>8.2680000000000007</v>
      </c>
      <c r="AH342" t="s">
        <v>44</v>
      </c>
    </row>
    <row r="343" spans="1:34" ht="15" customHeight="1" x14ac:dyDescent="0.35">
      <c r="A343">
        <v>7547676</v>
      </c>
      <c r="B343">
        <v>690929</v>
      </c>
      <c r="C343" t="s">
        <v>34</v>
      </c>
      <c r="D343" t="s">
        <v>35</v>
      </c>
      <c r="E343" s="6" t="s">
        <v>34</v>
      </c>
      <c r="F343" t="s">
        <v>1151</v>
      </c>
      <c r="G343" t="s">
        <v>37</v>
      </c>
      <c r="H343" t="s">
        <v>38</v>
      </c>
      <c r="I343" t="s">
        <v>1152</v>
      </c>
      <c r="J343" t="s">
        <v>40</v>
      </c>
      <c r="K343">
        <v>2</v>
      </c>
      <c r="L343" t="s">
        <v>41</v>
      </c>
      <c r="M343" t="s">
        <v>42</v>
      </c>
      <c r="N343" t="s">
        <v>43</v>
      </c>
      <c r="O343" s="7">
        <v>1</v>
      </c>
      <c r="P343" s="8">
        <v>45263.741678240738</v>
      </c>
      <c r="Q343" s="9">
        <v>45264</v>
      </c>
      <c r="R343" t="s">
        <v>37</v>
      </c>
      <c r="S343" t="s">
        <v>44</v>
      </c>
      <c r="T343" t="s">
        <v>45</v>
      </c>
      <c r="U343" t="s">
        <v>115</v>
      </c>
      <c r="V343" t="s">
        <v>1153</v>
      </c>
      <c r="W343">
        <v>17030</v>
      </c>
      <c r="X343" t="s">
        <v>44</v>
      </c>
      <c r="Y343" t="s">
        <v>76</v>
      </c>
      <c r="Z343" t="s">
        <v>49</v>
      </c>
      <c r="AA343" s="10">
        <f>IF(O343&lt;=1,7,7+0.8*ROUNDUP(O343-1,0))</f>
        <v>7</v>
      </c>
      <c r="AB343" s="11">
        <v>0</v>
      </c>
      <c r="AC343" s="11">
        <v>0</v>
      </c>
      <c r="AD343" s="11">
        <v>0</v>
      </c>
      <c r="AE343" s="11">
        <v>0</v>
      </c>
      <c r="AF343" s="11">
        <f t="shared" si="10"/>
        <v>0.42</v>
      </c>
      <c r="AG343" s="11">
        <f t="shared" si="11"/>
        <v>7.42</v>
      </c>
      <c r="AH343" t="s">
        <v>44</v>
      </c>
    </row>
    <row r="344" spans="1:34" ht="15" customHeight="1" x14ac:dyDescent="0.35">
      <c r="A344">
        <v>7547676</v>
      </c>
      <c r="B344">
        <v>690929</v>
      </c>
      <c r="C344" t="s">
        <v>34</v>
      </c>
      <c r="D344" t="s">
        <v>35</v>
      </c>
      <c r="E344" s="6" t="s">
        <v>34</v>
      </c>
      <c r="F344" t="s">
        <v>1154</v>
      </c>
      <c r="G344" t="s">
        <v>37</v>
      </c>
      <c r="H344" t="s">
        <v>38</v>
      </c>
      <c r="I344" t="s">
        <v>1155</v>
      </c>
      <c r="J344" t="s">
        <v>40</v>
      </c>
      <c r="K344">
        <v>2</v>
      </c>
      <c r="L344" t="s">
        <v>41</v>
      </c>
      <c r="M344" t="s">
        <v>42</v>
      </c>
      <c r="N344" t="s">
        <v>43</v>
      </c>
      <c r="O344" s="7">
        <v>5</v>
      </c>
      <c r="P344" s="8">
        <v>45263.639953703707</v>
      </c>
      <c r="Q344" s="9">
        <v>45264</v>
      </c>
      <c r="R344" t="s">
        <v>37</v>
      </c>
      <c r="S344" t="s">
        <v>44</v>
      </c>
      <c r="T344" t="s">
        <v>45</v>
      </c>
      <c r="U344" t="s">
        <v>53</v>
      </c>
      <c r="V344" t="s">
        <v>1156</v>
      </c>
      <c r="W344">
        <v>57000</v>
      </c>
      <c r="X344" t="s">
        <v>44</v>
      </c>
      <c r="Y344" t="s">
        <v>507</v>
      </c>
      <c r="Z344" t="s">
        <v>49</v>
      </c>
      <c r="AA344" s="10">
        <f>IF(O344&lt;=1,7,7+0.8*ROUNDUP(O344-1,0))</f>
        <v>10.199999999999999</v>
      </c>
      <c r="AB344" s="11">
        <v>0</v>
      </c>
      <c r="AC344" s="11">
        <v>0</v>
      </c>
      <c r="AD344" s="11">
        <v>0</v>
      </c>
      <c r="AE344" s="11">
        <v>0</v>
      </c>
      <c r="AF344" s="11">
        <f t="shared" si="10"/>
        <v>0.61199999999999999</v>
      </c>
      <c r="AG344" s="11">
        <f t="shared" si="11"/>
        <v>10.811999999999999</v>
      </c>
      <c r="AH344" t="s">
        <v>44</v>
      </c>
    </row>
    <row r="345" spans="1:34" ht="15" customHeight="1" x14ac:dyDescent="0.35">
      <c r="A345">
        <v>7547676</v>
      </c>
      <c r="B345">
        <v>690929</v>
      </c>
      <c r="C345" t="s">
        <v>34</v>
      </c>
      <c r="D345" t="s">
        <v>35</v>
      </c>
      <c r="E345" s="6" t="s">
        <v>34</v>
      </c>
      <c r="F345" t="s">
        <v>1157</v>
      </c>
      <c r="G345" t="s">
        <v>37</v>
      </c>
      <c r="H345" t="s">
        <v>38</v>
      </c>
      <c r="I345" t="s">
        <v>1158</v>
      </c>
      <c r="J345" t="s">
        <v>40</v>
      </c>
      <c r="K345">
        <v>2</v>
      </c>
      <c r="L345" t="s">
        <v>41</v>
      </c>
      <c r="M345" t="s">
        <v>42</v>
      </c>
      <c r="N345" t="s">
        <v>43</v>
      </c>
      <c r="O345" s="7">
        <v>1</v>
      </c>
      <c r="P345" s="8">
        <v>45262.669039351851</v>
      </c>
      <c r="Q345" s="9">
        <v>45265</v>
      </c>
      <c r="R345" t="s">
        <v>37</v>
      </c>
      <c r="S345" t="s">
        <v>44</v>
      </c>
      <c r="T345" t="s">
        <v>45</v>
      </c>
      <c r="U345" t="s">
        <v>82</v>
      </c>
      <c r="V345" t="s">
        <v>1159</v>
      </c>
      <c r="W345">
        <v>73400</v>
      </c>
      <c r="X345" t="s">
        <v>44</v>
      </c>
      <c r="Y345" t="s">
        <v>1160</v>
      </c>
      <c r="Z345" t="s">
        <v>49</v>
      </c>
      <c r="AA345" s="10">
        <f>IF(O345&lt;=1,7,7+0.8*ROUNDUP(O345-1,0))</f>
        <v>7</v>
      </c>
      <c r="AB345" s="11">
        <v>0</v>
      </c>
      <c r="AC345" s="11">
        <v>0</v>
      </c>
      <c r="AD345" s="11">
        <v>0</v>
      </c>
      <c r="AE345" s="11">
        <v>0</v>
      </c>
      <c r="AF345" s="11">
        <f t="shared" si="10"/>
        <v>0.42</v>
      </c>
      <c r="AG345" s="11">
        <f t="shared" si="11"/>
        <v>7.42</v>
      </c>
      <c r="AH345" t="s">
        <v>44</v>
      </c>
    </row>
    <row r="346" spans="1:34" ht="15" customHeight="1" x14ac:dyDescent="0.35">
      <c r="A346">
        <v>7547676</v>
      </c>
      <c r="B346">
        <v>690929</v>
      </c>
      <c r="C346" t="s">
        <v>34</v>
      </c>
      <c r="D346" t="s">
        <v>35</v>
      </c>
      <c r="E346" s="6" t="s">
        <v>34</v>
      </c>
      <c r="F346" t="s">
        <v>1161</v>
      </c>
      <c r="G346" t="s">
        <v>37</v>
      </c>
      <c r="H346" t="s">
        <v>38</v>
      </c>
      <c r="I346" t="s">
        <v>1162</v>
      </c>
      <c r="J346" t="s">
        <v>40</v>
      </c>
      <c r="K346">
        <v>2</v>
      </c>
      <c r="L346" t="s">
        <v>41</v>
      </c>
      <c r="M346" t="s">
        <v>42</v>
      </c>
      <c r="N346" t="s">
        <v>43</v>
      </c>
      <c r="O346" s="7">
        <v>3</v>
      </c>
      <c r="P346" s="8">
        <v>45263.518136574072</v>
      </c>
      <c r="Q346" s="9">
        <v>45265</v>
      </c>
      <c r="R346" t="s">
        <v>37</v>
      </c>
      <c r="S346" t="s">
        <v>44</v>
      </c>
      <c r="T346" t="s">
        <v>45</v>
      </c>
      <c r="U346" t="s">
        <v>46</v>
      </c>
      <c r="V346" t="s">
        <v>1163</v>
      </c>
      <c r="W346">
        <v>86200</v>
      </c>
      <c r="X346" t="s">
        <v>44</v>
      </c>
      <c r="Y346" t="s">
        <v>285</v>
      </c>
      <c r="Z346" t="s">
        <v>49</v>
      </c>
      <c r="AA346" s="10">
        <f>IF(O346&lt;=1,7,7+0.8*ROUNDUP(O346-1,0))</f>
        <v>8.6</v>
      </c>
      <c r="AB346" s="11">
        <v>0</v>
      </c>
      <c r="AC346" s="11">
        <v>0</v>
      </c>
      <c r="AD346" s="11">
        <v>0</v>
      </c>
      <c r="AE346" s="11">
        <v>0</v>
      </c>
      <c r="AF346" s="11">
        <f t="shared" si="10"/>
        <v>0.51600000000000001</v>
      </c>
      <c r="AG346" s="11">
        <f t="shared" si="11"/>
        <v>9.1159999999999997</v>
      </c>
      <c r="AH346" t="s">
        <v>44</v>
      </c>
    </row>
    <row r="347" spans="1:34" ht="15" customHeight="1" x14ac:dyDescent="0.35">
      <c r="A347">
        <v>7547676</v>
      </c>
      <c r="B347">
        <v>690929</v>
      </c>
      <c r="C347" t="s">
        <v>34</v>
      </c>
      <c r="D347" t="s">
        <v>35</v>
      </c>
      <c r="E347" s="6" t="s">
        <v>34</v>
      </c>
      <c r="F347" t="s">
        <v>1164</v>
      </c>
      <c r="G347" t="s">
        <v>37</v>
      </c>
      <c r="H347" t="s">
        <v>38</v>
      </c>
      <c r="I347" t="s">
        <v>1165</v>
      </c>
      <c r="J347" t="s">
        <v>40</v>
      </c>
      <c r="K347">
        <v>2</v>
      </c>
      <c r="L347" t="s">
        <v>41</v>
      </c>
      <c r="M347" t="s">
        <v>42</v>
      </c>
      <c r="N347" t="s">
        <v>43</v>
      </c>
      <c r="O347" s="7">
        <v>3</v>
      </c>
      <c r="P347" s="8">
        <v>45263.689016203702</v>
      </c>
      <c r="Q347" s="9">
        <v>45265</v>
      </c>
      <c r="R347" t="s">
        <v>37</v>
      </c>
      <c r="S347" t="s">
        <v>44</v>
      </c>
      <c r="T347" t="s">
        <v>45</v>
      </c>
      <c r="U347" t="s">
        <v>279</v>
      </c>
      <c r="V347" t="s">
        <v>1166</v>
      </c>
      <c r="W347">
        <v>89008</v>
      </c>
      <c r="X347" t="s">
        <v>242</v>
      </c>
      <c r="Y347" t="s">
        <v>1132</v>
      </c>
      <c r="Z347" t="s">
        <v>49</v>
      </c>
      <c r="AA347" s="12">
        <f>IF(O347&lt;=1,13,IF(O347&lt;=2,23,IF(O347&lt;=3,35,IF(O347&lt;=4,43,IF(O347&lt;=5,53,IF(O347&lt;=6,63,IF(O347&lt;=7,71,IF(O347&lt;=8,79,IF(O347&lt;=9,87,IF(O347&lt;=10,95,IF(O347&lt;=11,105,IF(O347&lt;=12,114,IF(O347&lt;=13,119,IF(O347&lt;=14,127,IF(O347&lt;=15,135,IF(O347&lt;=16,143,IF(O347&lt;=17,153,IF(O347&lt;=18,163,IF(O347&lt;=19,171,IF(O347&lt;=20,185,IF(O347&lt;=21,193,IF(O347&lt;=22,201,IF(O347&lt;=23,210,IF(O347&lt;=24,220,IF(O347&lt;=25,230,IF(O347&lt;=26,240,IF(O347&lt;=27,250,IF(O347&lt;=28,260,IF(O347&lt;=29,270,IF(O347&lt;=30,280,280+10*ROUNDUP(O347-30,0)))))))))))))))))))))))))))))))</f>
        <v>35</v>
      </c>
      <c r="AB347" s="11">
        <v>0</v>
      </c>
      <c r="AC347" s="11">
        <v>0</v>
      </c>
      <c r="AD347" s="11">
        <v>0</v>
      </c>
      <c r="AE347" s="11">
        <v>0</v>
      </c>
      <c r="AF347" s="11">
        <f t="shared" si="10"/>
        <v>2.1</v>
      </c>
      <c r="AG347" s="11">
        <f t="shared" si="11"/>
        <v>37.1</v>
      </c>
      <c r="AH347" t="s">
        <v>242</v>
      </c>
    </row>
    <row r="348" spans="1:34" ht="15" customHeight="1" x14ac:dyDescent="0.35">
      <c r="A348">
        <v>7547676</v>
      </c>
      <c r="B348">
        <v>690929</v>
      </c>
      <c r="C348" t="s">
        <v>34</v>
      </c>
      <c r="D348" t="s">
        <v>35</v>
      </c>
      <c r="E348" s="6" t="s">
        <v>34</v>
      </c>
      <c r="F348" t="s">
        <v>1167</v>
      </c>
      <c r="G348" t="s">
        <v>37</v>
      </c>
      <c r="H348" t="s">
        <v>38</v>
      </c>
      <c r="I348" t="s">
        <v>1168</v>
      </c>
      <c r="J348" t="s">
        <v>40</v>
      </c>
      <c r="K348">
        <v>2</v>
      </c>
      <c r="L348" t="s">
        <v>41</v>
      </c>
      <c r="M348" t="s">
        <v>42</v>
      </c>
      <c r="N348" t="s">
        <v>43</v>
      </c>
      <c r="O348" s="7">
        <v>1</v>
      </c>
      <c r="P348" s="8">
        <v>45264.632650462961</v>
      </c>
      <c r="Q348" s="9">
        <v>45265</v>
      </c>
      <c r="R348" t="s">
        <v>37</v>
      </c>
      <c r="S348" t="s">
        <v>44</v>
      </c>
      <c r="T348" t="s">
        <v>45</v>
      </c>
      <c r="U348" t="s">
        <v>258</v>
      </c>
      <c r="V348" t="s">
        <v>1169</v>
      </c>
      <c r="W348">
        <v>21040</v>
      </c>
      <c r="X348" t="s">
        <v>44</v>
      </c>
      <c r="Y348" t="s">
        <v>1170</v>
      </c>
      <c r="Z348" t="s">
        <v>49</v>
      </c>
      <c r="AA348" s="10">
        <f>IF(O348&lt;=1,7,7+0.8*ROUNDUP(O348-1,0))</f>
        <v>7</v>
      </c>
      <c r="AB348" s="11">
        <v>0</v>
      </c>
      <c r="AC348" s="11">
        <v>0</v>
      </c>
      <c r="AD348" s="11">
        <v>0</v>
      </c>
      <c r="AE348" s="11">
        <v>0</v>
      </c>
      <c r="AF348" s="11">
        <f t="shared" si="10"/>
        <v>0.42</v>
      </c>
      <c r="AG348" s="11">
        <f t="shared" si="11"/>
        <v>7.42</v>
      </c>
      <c r="AH348" t="s">
        <v>44</v>
      </c>
    </row>
    <row r="349" spans="1:34" ht="15" customHeight="1" x14ac:dyDescent="0.35">
      <c r="A349">
        <v>7547676</v>
      </c>
      <c r="B349">
        <v>690929</v>
      </c>
      <c r="C349" t="s">
        <v>34</v>
      </c>
      <c r="D349" t="s">
        <v>35</v>
      </c>
      <c r="E349" s="6" t="s">
        <v>34</v>
      </c>
      <c r="F349" t="s">
        <v>1171</v>
      </c>
      <c r="G349" t="s">
        <v>37</v>
      </c>
      <c r="H349" t="s">
        <v>38</v>
      </c>
      <c r="I349" t="s">
        <v>1172</v>
      </c>
      <c r="J349" t="s">
        <v>40</v>
      </c>
      <c r="K349">
        <v>2</v>
      </c>
      <c r="L349" t="s">
        <v>41</v>
      </c>
      <c r="M349" t="s">
        <v>42</v>
      </c>
      <c r="N349" t="s">
        <v>43</v>
      </c>
      <c r="O349" s="7">
        <v>3</v>
      </c>
      <c r="P349" s="8">
        <v>45264.587118055555</v>
      </c>
      <c r="Q349" s="9">
        <v>45265</v>
      </c>
      <c r="R349" t="s">
        <v>37</v>
      </c>
      <c r="S349" t="s">
        <v>44</v>
      </c>
      <c r="T349" t="s">
        <v>45</v>
      </c>
      <c r="U349" t="s">
        <v>68</v>
      </c>
      <c r="V349" t="s">
        <v>1173</v>
      </c>
      <c r="W349">
        <v>47120</v>
      </c>
      <c r="X349" t="s">
        <v>44</v>
      </c>
      <c r="Y349" t="s">
        <v>1054</v>
      </c>
      <c r="Z349" t="s">
        <v>49</v>
      </c>
      <c r="AA349" s="10">
        <f>IF(O349&lt;=1,7,7+0.8*ROUNDUP(O349-1,0))</f>
        <v>8.6</v>
      </c>
      <c r="AB349" s="11">
        <v>0</v>
      </c>
      <c r="AC349" s="11">
        <v>0</v>
      </c>
      <c r="AD349" s="11">
        <v>0</v>
      </c>
      <c r="AE349" s="11">
        <v>0</v>
      </c>
      <c r="AF349" s="11">
        <f t="shared" si="10"/>
        <v>0.51600000000000001</v>
      </c>
      <c r="AG349" s="11">
        <f t="shared" si="11"/>
        <v>9.1159999999999997</v>
      </c>
      <c r="AH349" t="s">
        <v>44</v>
      </c>
    </row>
    <row r="350" spans="1:34" ht="15" customHeight="1" x14ac:dyDescent="0.35">
      <c r="A350">
        <v>7547676</v>
      </c>
      <c r="B350">
        <v>690929</v>
      </c>
      <c r="C350" t="s">
        <v>34</v>
      </c>
      <c r="D350" t="s">
        <v>35</v>
      </c>
      <c r="E350" s="6" t="s">
        <v>34</v>
      </c>
      <c r="F350" t="s">
        <v>1174</v>
      </c>
      <c r="G350" t="s">
        <v>37</v>
      </c>
      <c r="H350" t="s">
        <v>38</v>
      </c>
      <c r="I350" t="s">
        <v>1175</v>
      </c>
      <c r="J350" t="s">
        <v>40</v>
      </c>
      <c r="K350">
        <v>2</v>
      </c>
      <c r="L350" t="s">
        <v>41</v>
      </c>
      <c r="M350" t="s">
        <v>42</v>
      </c>
      <c r="N350" t="s">
        <v>43</v>
      </c>
      <c r="O350" s="7">
        <v>1</v>
      </c>
      <c r="P350" s="8">
        <v>45264.725428240738</v>
      </c>
      <c r="Q350" s="9">
        <v>45265</v>
      </c>
      <c r="R350" t="s">
        <v>37</v>
      </c>
      <c r="S350" t="s">
        <v>44</v>
      </c>
      <c r="T350" t="s">
        <v>45</v>
      </c>
      <c r="U350" t="s">
        <v>68</v>
      </c>
      <c r="V350" t="s">
        <v>1176</v>
      </c>
      <c r="W350">
        <v>47100</v>
      </c>
      <c r="X350" t="s">
        <v>44</v>
      </c>
      <c r="Y350" t="s">
        <v>1054</v>
      </c>
      <c r="Z350" t="s">
        <v>49</v>
      </c>
      <c r="AA350" s="10">
        <f>IF(O350&lt;=1,7,7+0.8*ROUNDUP(O350-1,0))</f>
        <v>7</v>
      </c>
      <c r="AB350" s="11">
        <v>0</v>
      </c>
      <c r="AC350" s="11">
        <v>0</v>
      </c>
      <c r="AD350" s="11">
        <v>0</v>
      </c>
      <c r="AE350" s="11">
        <v>0</v>
      </c>
      <c r="AF350" s="11">
        <f t="shared" si="10"/>
        <v>0.42</v>
      </c>
      <c r="AG350" s="11">
        <f t="shared" si="11"/>
        <v>7.42</v>
      </c>
      <c r="AH350" t="s">
        <v>44</v>
      </c>
    </row>
    <row r="351" spans="1:34" ht="15" customHeight="1" x14ac:dyDescent="0.35">
      <c r="A351">
        <v>7547676</v>
      </c>
      <c r="B351">
        <v>690929</v>
      </c>
      <c r="C351" t="s">
        <v>34</v>
      </c>
      <c r="D351" t="s">
        <v>35</v>
      </c>
      <c r="E351" s="6" t="s">
        <v>34</v>
      </c>
      <c r="F351" t="s">
        <v>1177</v>
      </c>
      <c r="G351" t="s">
        <v>37</v>
      </c>
      <c r="H351" t="s">
        <v>38</v>
      </c>
      <c r="I351" t="s">
        <v>1178</v>
      </c>
      <c r="J351" t="s">
        <v>40</v>
      </c>
      <c r="K351">
        <v>2</v>
      </c>
      <c r="L351" t="s">
        <v>41</v>
      </c>
      <c r="M351" t="s">
        <v>42</v>
      </c>
      <c r="N351" t="s">
        <v>43</v>
      </c>
      <c r="O351" s="7">
        <v>9</v>
      </c>
      <c r="P351" s="8">
        <v>45264.612627314818</v>
      </c>
      <c r="Q351" s="9">
        <v>45265</v>
      </c>
      <c r="R351" t="s">
        <v>37</v>
      </c>
      <c r="S351" t="s">
        <v>44</v>
      </c>
      <c r="T351" t="s">
        <v>45</v>
      </c>
      <c r="U351" t="s">
        <v>68</v>
      </c>
      <c r="V351" t="s">
        <v>1179</v>
      </c>
      <c r="W351">
        <v>47000</v>
      </c>
      <c r="X351" t="s">
        <v>44</v>
      </c>
      <c r="Y351" t="s">
        <v>1050</v>
      </c>
      <c r="Z351" t="s">
        <v>49</v>
      </c>
      <c r="AA351" s="10">
        <f>IF(O351&lt;=1,7,7+0.8*ROUNDUP(O351-1,0))</f>
        <v>13.4</v>
      </c>
      <c r="AB351" s="11">
        <v>0</v>
      </c>
      <c r="AC351" s="11">
        <v>0</v>
      </c>
      <c r="AD351" s="11">
        <v>0</v>
      </c>
      <c r="AE351" s="11">
        <v>0</v>
      </c>
      <c r="AF351" s="11">
        <f t="shared" si="10"/>
        <v>0.80399999999999994</v>
      </c>
      <c r="AG351" s="11">
        <f t="shared" si="11"/>
        <v>14.204000000000001</v>
      </c>
      <c r="AH351" t="s">
        <v>44</v>
      </c>
    </row>
    <row r="352" spans="1:34" ht="15" customHeight="1" x14ac:dyDescent="0.35">
      <c r="A352">
        <v>7547676</v>
      </c>
      <c r="B352">
        <v>690929</v>
      </c>
      <c r="C352" t="s">
        <v>34</v>
      </c>
      <c r="D352" t="s">
        <v>35</v>
      </c>
      <c r="E352" s="6" t="s">
        <v>34</v>
      </c>
      <c r="F352" t="s">
        <v>1180</v>
      </c>
      <c r="G352" t="s">
        <v>37</v>
      </c>
      <c r="H352" t="s">
        <v>38</v>
      </c>
      <c r="I352" t="s">
        <v>1181</v>
      </c>
      <c r="J352" t="s">
        <v>40</v>
      </c>
      <c r="K352">
        <v>2</v>
      </c>
      <c r="L352" t="s">
        <v>41</v>
      </c>
      <c r="M352" t="s">
        <v>42</v>
      </c>
      <c r="N352" t="s">
        <v>43</v>
      </c>
      <c r="O352" s="7">
        <v>1</v>
      </c>
      <c r="P352" s="8">
        <v>45263.734050925923</v>
      </c>
      <c r="Q352" s="9">
        <v>45265</v>
      </c>
      <c r="R352" t="s">
        <v>37</v>
      </c>
      <c r="S352" t="s">
        <v>44</v>
      </c>
      <c r="T352" t="s">
        <v>45</v>
      </c>
      <c r="U352" t="s">
        <v>82</v>
      </c>
      <c r="V352" t="s">
        <v>1182</v>
      </c>
      <c r="W352">
        <v>71010</v>
      </c>
      <c r="X352" t="s">
        <v>44</v>
      </c>
      <c r="Y352" t="s">
        <v>462</v>
      </c>
      <c r="Z352" t="s">
        <v>49</v>
      </c>
      <c r="AA352" s="10">
        <f>IF(O352&lt;=1,7,7+0.8*ROUNDUP(O352-1,0))</f>
        <v>7</v>
      </c>
      <c r="AB352" s="11">
        <v>0</v>
      </c>
      <c r="AC352" s="11">
        <v>0</v>
      </c>
      <c r="AD352" s="11">
        <v>0</v>
      </c>
      <c r="AE352" s="11">
        <v>0</v>
      </c>
      <c r="AF352" s="11">
        <f t="shared" si="10"/>
        <v>0.42</v>
      </c>
      <c r="AG352" s="11">
        <f t="shared" si="11"/>
        <v>7.42</v>
      </c>
      <c r="AH352" t="s">
        <v>44</v>
      </c>
    </row>
    <row r="353" spans="1:34" ht="15" customHeight="1" x14ac:dyDescent="0.35">
      <c r="A353">
        <v>7547676</v>
      </c>
      <c r="B353">
        <v>690929</v>
      </c>
      <c r="C353" t="s">
        <v>34</v>
      </c>
      <c r="D353" t="s">
        <v>35</v>
      </c>
      <c r="E353" s="6" t="s">
        <v>34</v>
      </c>
      <c r="F353" t="s">
        <v>1183</v>
      </c>
      <c r="G353" t="s">
        <v>37</v>
      </c>
      <c r="H353" t="s">
        <v>38</v>
      </c>
      <c r="I353" t="s">
        <v>1184</v>
      </c>
      <c r="J353" t="s">
        <v>40</v>
      </c>
      <c r="K353">
        <v>2</v>
      </c>
      <c r="L353" t="s">
        <v>41</v>
      </c>
      <c r="M353" t="s">
        <v>42</v>
      </c>
      <c r="N353" t="s">
        <v>43</v>
      </c>
      <c r="O353" s="7">
        <v>1</v>
      </c>
      <c r="P353" s="8">
        <v>45263.692303240743</v>
      </c>
      <c r="Q353" s="9">
        <v>45265</v>
      </c>
      <c r="R353" t="s">
        <v>37</v>
      </c>
      <c r="S353" t="s">
        <v>44</v>
      </c>
      <c r="T353" t="s">
        <v>45</v>
      </c>
      <c r="U353" t="s">
        <v>94</v>
      </c>
      <c r="V353" t="s">
        <v>1185</v>
      </c>
      <c r="W353">
        <v>11900</v>
      </c>
      <c r="X353" t="s">
        <v>44</v>
      </c>
      <c r="Y353" t="s">
        <v>52</v>
      </c>
      <c r="Z353" t="s">
        <v>49</v>
      </c>
      <c r="AA353" s="10">
        <f>IF(O353&lt;=1,7,7+0.8*ROUNDUP(O353-1,0))</f>
        <v>7</v>
      </c>
      <c r="AB353" s="11">
        <v>0</v>
      </c>
      <c r="AC353" s="11">
        <v>0</v>
      </c>
      <c r="AD353" s="11">
        <v>0</v>
      </c>
      <c r="AE353" s="11">
        <v>0</v>
      </c>
      <c r="AF353" s="11">
        <f t="shared" si="10"/>
        <v>0.42</v>
      </c>
      <c r="AG353" s="11">
        <f t="shared" si="11"/>
        <v>7.42</v>
      </c>
      <c r="AH353" t="s">
        <v>44</v>
      </c>
    </row>
    <row r="354" spans="1:34" ht="15" customHeight="1" x14ac:dyDescent="0.35">
      <c r="A354">
        <v>7547676</v>
      </c>
      <c r="B354">
        <v>690929</v>
      </c>
      <c r="C354" t="s">
        <v>34</v>
      </c>
      <c r="D354" t="s">
        <v>35</v>
      </c>
      <c r="E354" s="6" t="s">
        <v>34</v>
      </c>
      <c r="F354" t="s">
        <v>1186</v>
      </c>
      <c r="G354" t="s">
        <v>37</v>
      </c>
      <c r="H354" t="s">
        <v>38</v>
      </c>
      <c r="I354" t="s">
        <v>1187</v>
      </c>
      <c r="J354" t="s">
        <v>40</v>
      </c>
      <c r="K354">
        <v>2</v>
      </c>
      <c r="L354" t="s">
        <v>41</v>
      </c>
      <c r="M354" t="s">
        <v>42</v>
      </c>
      <c r="N354" t="s">
        <v>43</v>
      </c>
      <c r="O354" s="7">
        <v>1</v>
      </c>
      <c r="P354" s="8">
        <v>45264.715763888889</v>
      </c>
      <c r="Q354" s="9">
        <v>45265</v>
      </c>
      <c r="R354" t="s">
        <v>37</v>
      </c>
      <c r="S354" t="s">
        <v>44</v>
      </c>
      <c r="T354" t="s">
        <v>45</v>
      </c>
      <c r="U354" t="s">
        <v>68</v>
      </c>
      <c r="V354" t="s">
        <v>1188</v>
      </c>
      <c r="W354">
        <v>41050</v>
      </c>
      <c r="X354" t="s">
        <v>44</v>
      </c>
      <c r="Y354" t="s">
        <v>100</v>
      </c>
      <c r="Z354" t="s">
        <v>49</v>
      </c>
      <c r="AA354" s="10">
        <f>IF(O354&lt;=1,7,7+0.8*ROUNDUP(O354-1,0))</f>
        <v>7</v>
      </c>
      <c r="AB354" s="11">
        <v>0</v>
      </c>
      <c r="AC354" s="11">
        <v>0</v>
      </c>
      <c r="AD354" s="11">
        <v>0</v>
      </c>
      <c r="AE354" s="11">
        <v>0</v>
      </c>
      <c r="AF354" s="11">
        <f t="shared" si="10"/>
        <v>0.42</v>
      </c>
      <c r="AG354" s="11">
        <f t="shared" si="11"/>
        <v>7.42</v>
      </c>
      <c r="AH354" t="s">
        <v>44</v>
      </c>
    </row>
    <row r="355" spans="1:34" ht="15" customHeight="1" x14ac:dyDescent="0.35">
      <c r="A355">
        <v>7547676</v>
      </c>
      <c r="B355">
        <v>690929</v>
      </c>
      <c r="C355" t="s">
        <v>34</v>
      </c>
      <c r="D355" t="s">
        <v>35</v>
      </c>
      <c r="E355" s="6" t="s">
        <v>34</v>
      </c>
      <c r="F355" t="s">
        <v>1189</v>
      </c>
      <c r="G355" t="s">
        <v>37</v>
      </c>
      <c r="H355" t="s">
        <v>38</v>
      </c>
      <c r="I355" t="s">
        <v>1190</v>
      </c>
      <c r="J355" t="s">
        <v>40</v>
      </c>
      <c r="K355">
        <v>2</v>
      </c>
      <c r="L355" t="s">
        <v>41</v>
      </c>
      <c r="M355" t="s">
        <v>42</v>
      </c>
      <c r="N355" t="s">
        <v>43</v>
      </c>
      <c r="O355" s="7">
        <v>1</v>
      </c>
      <c r="P355" s="8">
        <v>45264.555520833332</v>
      </c>
      <c r="Q355" s="9">
        <v>45265</v>
      </c>
      <c r="R355" t="s">
        <v>37</v>
      </c>
      <c r="S355" t="s">
        <v>44</v>
      </c>
      <c r="T355" t="s">
        <v>45</v>
      </c>
      <c r="U355" t="s">
        <v>53</v>
      </c>
      <c r="V355" t="s">
        <v>1191</v>
      </c>
      <c r="W355">
        <v>53300</v>
      </c>
      <c r="X355" t="s">
        <v>44</v>
      </c>
      <c r="Y355" t="s">
        <v>52</v>
      </c>
      <c r="Z355" t="s">
        <v>49</v>
      </c>
      <c r="AA355" s="10">
        <f>IF(O355&lt;=1,7,7+0.8*ROUNDUP(O355-1,0))</f>
        <v>7</v>
      </c>
      <c r="AB355" s="11">
        <v>0</v>
      </c>
      <c r="AC355" s="11">
        <v>0</v>
      </c>
      <c r="AD355" s="11">
        <v>0</v>
      </c>
      <c r="AE355" s="11">
        <v>0</v>
      </c>
      <c r="AF355" s="11">
        <f t="shared" si="10"/>
        <v>0.42</v>
      </c>
      <c r="AG355" s="11">
        <f t="shared" si="11"/>
        <v>7.42</v>
      </c>
      <c r="AH355" t="s">
        <v>44</v>
      </c>
    </row>
    <row r="356" spans="1:34" ht="15" customHeight="1" x14ac:dyDescent="0.35">
      <c r="A356">
        <v>7547676</v>
      </c>
      <c r="B356">
        <v>690929</v>
      </c>
      <c r="C356" t="s">
        <v>34</v>
      </c>
      <c r="D356" t="s">
        <v>35</v>
      </c>
      <c r="E356" s="6" t="s">
        <v>34</v>
      </c>
      <c r="F356" t="s">
        <v>1192</v>
      </c>
      <c r="G356" t="s">
        <v>37</v>
      </c>
      <c r="H356" t="s">
        <v>38</v>
      </c>
      <c r="I356" t="s">
        <v>1193</v>
      </c>
      <c r="J356" t="s">
        <v>40</v>
      </c>
      <c r="K356">
        <v>2</v>
      </c>
      <c r="L356" t="s">
        <v>41</v>
      </c>
      <c r="M356" t="s">
        <v>42</v>
      </c>
      <c r="N356" t="s">
        <v>43</v>
      </c>
      <c r="O356" s="7">
        <v>1</v>
      </c>
      <c r="P356" s="8">
        <v>45262.802152777775</v>
      </c>
      <c r="Q356" s="9">
        <v>45265</v>
      </c>
      <c r="R356" t="s">
        <v>37</v>
      </c>
      <c r="S356" t="s">
        <v>44</v>
      </c>
      <c r="T356" t="s">
        <v>45</v>
      </c>
      <c r="U356" t="s">
        <v>159</v>
      </c>
      <c r="V356" t="s">
        <v>1194</v>
      </c>
      <c r="W356">
        <v>33000</v>
      </c>
      <c r="X356" t="s">
        <v>44</v>
      </c>
      <c r="Y356" t="s">
        <v>524</v>
      </c>
      <c r="Z356" t="s">
        <v>49</v>
      </c>
      <c r="AA356" s="10">
        <f>IF(O356&lt;=1,7,7+0.8*ROUNDUP(O356-1,0))</f>
        <v>7</v>
      </c>
      <c r="AB356" s="11">
        <v>0</v>
      </c>
      <c r="AC356" s="11">
        <v>0</v>
      </c>
      <c r="AD356" s="11">
        <v>0</v>
      </c>
      <c r="AE356" s="11">
        <v>0</v>
      </c>
      <c r="AF356" s="11">
        <f t="shared" si="10"/>
        <v>0.42</v>
      </c>
      <c r="AG356" s="11">
        <f t="shared" si="11"/>
        <v>7.42</v>
      </c>
      <c r="AH356" t="s">
        <v>44</v>
      </c>
    </row>
    <row r="357" spans="1:34" ht="15" customHeight="1" x14ac:dyDescent="0.35">
      <c r="A357">
        <v>7547676</v>
      </c>
      <c r="B357">
        <v>690929</v>
      </c>
      <c r="C357" t="s">
        <v>34</v>
      </c>
      <c r="D357" t="s">
        <v>35</v>
      </c>
      <c r="E357" s="6" t="s">
        <v>34</v>
      </c>
      <c r="F357" t="s">
        <v>1195</v>
      </c>
      <c r="G357" t="s">
        <v>37</v>
      </c>
      <c r="H357" t="s">
        <v>38</v>
      </c>
      <c r="I357" t="s">
        <v>1196</v>
      </c>
      <c r="J357" t="s">
        <v>40</v>
      </c>
      <c r="K357">
        <v>2</v>
      </c>
      <c r="L357" t="s">
        <v>41</v>
      </c>
      <c r="M357" t="s">
        <v>42</v>
      </c>
      <c r="N357" t="s">
        <v>43</v>
      </c>
      <c r="O357" s="7">
        <v>5</v>
      </c>
      <c r="P357" s="8">
        <v>45263.734050925923</v>
      </c>
      <c r="Q357" s="9">
        <v>45265</v>
      </c>
      <c r="R357" t="s">
        <v>37</v>
      </c>
      <c r="S357" t="s">
        <v>44</v>
      </c>
      <c r="T357" t="s">
        <v>45</v>
      </c>
      <c r="U357" t="s">
        <v>82</v>
      </c>
      <c r="V357" t="s">
        <v>1197</v>
      </c>
      <c r="W357">
        <v>70400</v>
      </c>
      <c r="X357" t="s">
        <v>44</v>
      </c>
      <c r="Y357" t="s">
        <v>52</v>
      </c>
      <c r="Z357" t="s">
        <v>49</v>
      </c>
      <c r="AA357" s="10">
        <f>IF(O357&lt;=1,7,7+0.8*ROUNDUP(O357-1,0))</f>
        <v>10.199999999999999</v>
      </c>
      <c r="AB357" s="11">
        <v>0</v>
      </c>
      <c r="AC357" s="11">
        <v>0</v>
      </c>
      <c r="AD357" s="11">
        <v>0</v>
      </c>
      <c r="AE357" s="11">
        <v>0</v>
      </c>
      <c r="AF357" s="11">
        <f t="shared" si="10"/>
        <v>0.61199999999999999</v>
      </c>
      <c r="AG357" s="11">
        <f t="shared" si="11"/>
        <v>10.811999999999999</v>
      </c>
      <c r="AH357" t="s">
        <v>44</v>
      </c>
    </row>
    <row r="358" spans="1:34" ht="15" customHeight="1" x14ac:dyDescent="0.35">
      <c r="A358">
        <v>7547676</v>
      </c>
      <c r="B358">
        <v>690929</v>
      </c>
      <c r="C358" t="s">
        <v>34</v>
      </c>
      <c r="D358" t="s">
        <v>35</v>
      </c>
      <c r="E358" s="6" t="s">
        <v>34</v>
      </c>
      <c r="F358" t="s">
        <v>1198</v>
      </c>
      <c r="G358" t="s">
        <v>37</v>
      </c>
      <c r="H358" t="s">
        <v>38</v>
      </c>
      <c r="I358" t="s">
        <v>1199</v>
      </c>
      <c r="J358" t="s">
        <v>40</v>
      </c>
      <c r="K358">
        <v>2</v>
      </c>
      <c r="L358" t="s">
        <v>41</v>
      </c>
      <c r="M358" t="s">
        <v>42</v>
      </c>
      <c r="N358" t="s">
        <v>43</v>
      </c>
      <c r="O358" s="7">
        <v>1</v>
      </c>
      <c r="P358" s="8">
        <v>45264.49554398148</v>
      </c>
      <c r="Q358" s="9">
        <v>45265</v>
      </c>
      <c r="R358" t="s">
        <v>37</v>
      </c>
      <c r="S358" t="s">
        <v>44</v>
      </c>
      <c r="T358" t="s">
        <v>45</v>
      </c>
      <c r="U358" t="s">
        <v>68</v>
      </c>
      <c r="V358" t="s">
        <v>1200</v>
      </c>
      <c r="W358">
        <v>47500</v>
      </c>
      <c r="X358" t="s">
        <v>44</v>
      </c>
      <c r="Y358" t="s">
        <v>1023</v>
      </c>
      <c r="Z358" t="s">
        <v>49</v>
      </c>
      <c r="AA358" s="10">
        <f>IF(O358&lt;=1,7,7+0.8*ROUNDUP(O358-1,0))</f>
        <v>7</v>
      </c>
      <c r="AB358" s="11">
        <v>0</v>
      </c>
      <c r="AC358" s="11">
        <v>0</v>
      </c>
      <c r="AD358" s="11">
        <v>0</v>
      </c>
      <c r="AE358" s="11">
        <v>0</v>
      </c>
      <c r="AF358" s="11">
        <f t="shared" si="10"/>
        <v>0.42</v>
      </c>
      <c r="AG358" s="11">
        <f t="shared" si="11"/>
        <v>7.42</v>
      </c>
      <c r="AH358" t="s">
        <v>44</v>
      </c>
    </row>
    <row r="359" spans="1:34" ht="15" customHeight="1" x14ac:dyDescent="0.35">
      <c r="A359">
        <v>7547676</v>
      </c>
      <c r="B359">
        <v>690929</v>
      </c>
      <c r="C359" t="s">
        <v>34</v>
      </c>
      <c r="D359" t="s">
        <v>35</v>
      </c>
      <c r="E359" s="6" t="s">
        <v>34</v>
      </c>
      <c r="F359" t="s">
        <v>1201</v>
      </c>
      <c r="G359" t="s">
        <v>37</v>
      </c>
      <c r="H359" t="s">
        <v>38</v>
      </c>
      <c r="I359" t="s">
        <v>1202</v>
      </c>
      <c r="J359" t="s">
        <v>40</v>
      </c>
      <c r="K359">
        <v>2</v>
      </c>
      <c r="L359" t="s">
        <v>41</v>
      </c>
      <c r="M359" t="s">
        <v>42</v>
      </c>
      <c r="N359" t="s">
        <v>43</v>
      </c>
      <c r="O359" s="7">
        <v>1</v>
      </c>
      <c r="P359" s="8">
        <v>45264.555520833332</v>
      </c>
      <c r="Q359" s="9">
        <v>45265</v>
      </c>
      <c r="R359" t="s">
        <v>37</v>
      </c>
      <c r="S359" t="s">
        <v>44</v>
      </c>
      <c r="T359" t="s">
        <v>45</v>
      </c>
      <c r="U359" t="s">
        <v>115</v>
      </c>
      <c r="V359" t="s">
        <v>1203</v>
      </c>
      <c r="W359">
        <v>15000</v>
      </c>
      <c r="X359" t="s">
        <v>44</v>
      </c>
      <c r="Y359" t="s">
        <v>76</v>
      </c>
      <c r="Z359" t="s">
        <v>49</v>
      </c>
      <c r="AA359" s="10">
        <f>IF(O359&lt;=1,7,7+0.8*ROUNDUP(O359-1,0))</f>
        <v>7</v>
      </c>
      <c r="AB359" s="11">
        <v>0</v>
      </c>
      <c r="AC359" s="11">
        <v>0</v>
      </c>
      <c r="AD359" s="11">
        <v>0</v>
      </c>
      <c r="AE359" s="11">
        <v>0</v>
      </c>
      <c r="AF359" s="11">
        <f t="shared" si="10"/>
        <v>0.42</v>
      </c>
      <c r="AG359" s="11">
        <f t="shared" si="11"/>
        <v>7.42</v>
      </c>
      <c r="AH359" t="s">
        <v>44</v>
      </c>
    </row>
    <row r="360" spans="1:34" ht="15" customHeight="1" x14ac:dyDescent="0.35">
      <c r="A360">
        <v>7547676</v>
      </c>
      <c r="B360">
        <v>690929</v>
      </c>
      <c r="C360" t="s">
        <v>34</v>
      </c>
      <c r="D360" t="s">
        <v>35</v>
      </c>
      <c r="E360" s="6" t="s">
        <v>34</v>
      </c>
      <c r="F360" t="s">
        <v>1204</v>
      </c>
      <c r="G360" t="s">
        <v>37</v>
      </c>
      <c r="H360" t="s">
        <v>38</v>
      </c>
      <c r="I360" t="s">
        <v>1205</v>
      </c>
      <c r="J360" t="s">
        <v>40</v>
      </c>
      <c r="K360">
        <v>2</v>
      </c>
      <c r="L360" t="s">
        <v>41</v>
      </c>
      <c r="M360" t="s">
        <v>42</v>
      </c>
      <c r="N360" t="s">
        <v>43</v>
      </c>
      <c r="O360" s="7">
        <v>5</v>
      </c>
      <c r="P360" s="8">
        <v>45263.53534722222</v>
      </c>
      <c r="Q360" s="9">
        <v>45265</v>
      </c>
      <c r="R360" t="s">
        <v>37</v>
      </c>
      <c r="S360" t="s">
        <v>44</v>
      </c>
      <c r="T360" t="s">
        <v>45</v>
      </c>
      <c r="U360" t="s">
        <v>159</v>
      </c>
      <c r="V360" t="s">
        <v>1206</v>
      </c>
      <c r="W360">
        <v>34200</v>
      </c>
      <c r="X360" t="s">
        <v>44</v>
      </c>
      <c r="Y360" t="s">
        <v>394</v>
      </c>
      <c r="Z360" t="s">
        <v>49</v>
      </c>
      <c r="AA360" s="10">
        <f>IF(O360&lt;=1,7,7+0.8*ROUNDUP(O360-1,0))</f>
        <v>10.199999999999999</v>
      </c>
      <c r="AB360" s="11">
        <v>0</v>
      </c>
      <c r="AC360" s="11">
        <v>0</v>
      </c>
      <c r="AD360" s="11">
        <v>0</v>
      </c>
      <c r="AE360" s="11">
        <v>0</v>
      </c>
      <c r="AF360" s="11">
        <f t="shared" si="10"/>
        <v>0.61199999999999999</v>
      </c>
      <c r="AG360" s="11">
        <f t="shared" si="11"/>
        <v>10.811999999999999</v>
      </c>
      <c r="AH360" t="s">
        <v>44</v>
      </c>
    </row>
    <row r="361" spans="1:34" ht="15" customHeight="1" x14ac:dyDescent="0.35">
      <c r="A361">
        <v>7547676</v>
      </c>
      <c r="B361">
        <v>690929</v>
      </c>
      <c r="C361" t="s">
        <v>34</v>
      </c>
      <c r="D361" t="s">
        <v>35</v>
      </c>
      <c r="E361" s="6" t="s">
        <v>34</v>
      </c>
      <c r="F361" t="s">
        <v>1207</v>
      </c>
      <c r="G361" t="s">
        <v>37</v>
      </c>
      <c r="H361" t="s">
        <v>38</v>
      </c>
      <c r="I361" t="s">
        <v>1208</v>
      </c>
      <c r="J361" t="s">
        <v>40</v>
      </c>
      <c r="K361">
        <v>2</v>
      </c>
      <c r="L361" t="s">
        <v>41</v>
      </c>
      <c r="M361" t="s">
        <v>42</v>
      </c>
      <c r="N361" t="s">
        <v>43</v>
      </c>
      <c r="O361" s="7">
        <v>1</v>
      </c>
      <c r="P361" s="8">
        <v>45263.720821759256</v>
      </c>
      <c r="Q361" s="9">
        <v>45265</v>
      </c>
      <c r="R361" t="s">
        <v>37</v>
      </c>
      <c r="S361" t="s">
        <v>44</v>
      </c>
      <c r="T361" t="s">
        <v>45</v>
      </c>
      <c r="U361" t="s">
        <v>159</v>
      </c>
      <c r="V361" t="s">
        <v>1209</v>
      </c>
      <c r="W361">
        <v>32200</v>
      </c>
      <c r="X361" t="s">
        <v>44</v>
      </c>
      <c r="Y361" t="s">
        <v>52</v>
      </c>
      <c r="Z361" t="s">
        <v>49</v>
      </c>
      <c r="AA361" s="10">
        <f>IF(O361&lt;=1,7,7+0.8*ROUNDUP(O361-1,0))</f>
        <v>7</v>
      </c>
      <c r="AB361" s="11">
        <v>0</v>
      </c>
      <c r="AC361" s="11">
        <v>0</v>
      </c>
      <c r="AD361" s="11">
        <v>0</v>
      </c>
      <c r="AE361" s="11">
        <v>0</v>
      </c>
      <c r="AF361" s="11">
        <f t="shared" si="10"/>
        <v>0.42</v>
      </c>
      <c r="AG361" s="11">
        <f t="shared" si="11"/>
        <v>7.42</v>
      </c>
      <c r="AH361" t="s">
        <v>44</v>
      </c>
    </row>
    <row r="362" spans="1:34" ht="15" customHeight="1" x14ac:dyDescent="0.35">
      <c r="A362">
        <v>7547676</v>
      </c>
      <c r="B362">
        <v>690929</v>
      </c>
      <c r="C362" t="s">
        <v>34</v>
      </c>
      <c r="D362" t="s">
        <v>35</v>
      </c>
      <c r="E362" s="6" t="s">
        <v>34</v>
      </c>
      <c r="F362" t="s">
        <v>1210</v>
      </c>
      <c r="G362" t="s">
        <v>37</v>
      </c>
      <c r="H362" t="s">
        <v>38</v>
      </c>
      <c r="I362" t="s">
        <v>1211</v>
      </c>
      <c r="J362" t="s">
        <v>40</v>
      </c>
      <c r="K362">
        <v>2</v>
      </c>
      <c r="L362" t="s">
        <v>41</v>
      </c>
      <c r="M362" t="s">
        <v>42</v>
      </c>
      <c r="N362" t="s">
        <v>43</v>
      </c>
      <c r="O362" s="7">
        <v>1</v>
      </c>
      <c r="P362" s="8">
        <v>45264.62228009259</v>
      </c>
      <c r="Q362" s="9">
        <v>45265</v>
      </c>
      <c r="R362" t="s">
        <v>37</v>
      </c>
      <c r="S362" t="s">
        <v>44</v>
      </c>
      <c r="T362" t="s">
        <v>45</v>
      </c>
      <c r="U362" t="s">
        <v>258</v>
      </c>
      <c r="V362" t="s">
        <v>1212</v>
      </c>
      <c r="W362">
        <v>23000</v>
      </c>
      <c r="X362" t="s">
        <v>44</v>
      </c>
      <c r="Y362" t="s">
        <v>260</v>
      </c>
      <c r="Z362" t="s">
        <v>49</v>
      </c>
      <c r="AA362" s="10">
        <f>IF(O362&lt;=1,7,7+0.8*ROUNDUP(O362-1,0))</f>
        <v>7</v>
      </c>
      <c r="AB362" s="11">
        <v>0</v>
      </c>
      <c r="AC362" s="11">
        <v>0</v>
      </c>
      <c r="AD362" s="11">
        <v>0</v>
      </c>
      <c r="AE362" s="11">
        <v>0</v>
      </c>
      <c r="AF362" s="11">
        <f t="shared" si="10"/>
        <v>0.42</v>
      </c>
      <c r="AG362" s="11">
        <f t="shared" si="11"/>
        <v>7.42</v>
      </c>
      <c r="AH362" t="s">
        <v>44</v>
      </c>
    </row>
    <row r="363" spans="1:34" ht="15" customHeight="1" x14ac:dyDescent="0.35">
      <c r="A363">
        <v>7547676</v>
      </c>
      <c r="B363">
        <v>690929</v>
      </c>
      <c r="C363" t="s">
        <v>34</v>
      </c>
      <c r="D363" t="s">
        <v>35</v>
      </c>
      <c r="E363" s="6" t="s">
        <v>34</v>
      </c>
      <c r="F363" t="s">
        <v>1213</v>
      </c>
      <c r="G363" t="s">
        <v>37</v>
      </c>
      <c r="H363" t="s">
        <v>38</v>
      </c>
      <c r="I363" t="s">
        <v>51</v>
      </c>
      <c r="J363" t="s">
        <v>40</v>
      </c>
      <c r="K363">
        <v>2</v>
      </c>
      <c r="L363" t="s">
        <v>41</v>
      </c>
      <c r="M363" t="s">
        <v>42</v>
      </c>
      <c r="N363" t="s">
        <v>43</v>
      </c>
      <c r="O363" s="7">
        <v>8</v>
      </c>
      <c r="P363" s="8">
        <v>45258.78266203704</v>
      </c>
      <c r="Q363" s="9">
        <v>45265</v>
      </c>
      <c r="R363" t="s">
        <v>37</v>
      </c>
      <c r="S363" t="s">
        <v>44</v>
      </c>
      <c r="T363" t="s">
        <v>45</v>
      </c>
      <c r="U363" t="s">
        <v>53</v>
      </c>
      <c r="V363" t="s">
        <v>54</v>
      </c>
      <c r="W363">
        <v>54200</v>
      </c>
      <c r="X363" t="s">
        <v>44</v>
      </c>
      <c r="Y363" t="s">
        <v>55</v>
      </c>
      <c r="Z363" t="s">
        <v>49</v>
      </c>
      <c r="AA363" s="10">
        <f>IF(O363&lt;=1,7,7+0.8*ROUNDUP(O363-1,0))</f>
        <v>12.600000000000001</v>
      </c>
      <c r="AB363" s="11">
        <v>0</v>
      </c>
      <c r="AC363" s="11">
        <v>0</v>
      </c>
      <c r="AD363" s="11">
        <v>0</v>
      </c>
      <c r="AE363" s="11">
        <v>0</v>
      </c>
      <c r="AF363" s="11">
        <f t="shared" si="10"/>
        <v>0.75600000000000001</v>
      </c>
      <c r="AG363" s="11">
        <f t="shared" si="11"/>
        <v>13.356000000000002</v>
      </c>
      <c r="AH363" t="s">
        <v>44</v>
      </c>
    </row>
    <row r="364" spans="1:34" ht="15" customHeight="1" x14ac:dyDescent="0.35">
      <c r="A364">
        <v>7547676</v>
      </c>
      <c r="B364">
        <v>690929</v>
      </c>
      <c r="C364" t="s">
        <v>34</v>
      </c>
      <c r="D364" t="s">
        <v>35</v>
      </c>
      <c r="E364" s="6" t="s">
        <v>34</v>
      </c>
      <c r="F364" t="s">
        <v>1214</v>
      </c>
      <c r="G364" t="s">
        <v>37</v>
      </c>
      <c r="H364" t="s">
        <v>38</v>
      </c>
      <c r="I364" t="s">
        <v>1215</v>
      </c>
      <c r="J364" t="s">
        <v>40</v>
      </c>
      <c r="K364">
        <v>2</v>
      </c>
      <c r="L364" t="s">
        <v>41</v>
      </c>
      <c r="M364" t="s">
        <v>42</v>
      </c>
      <c r="N364" t="s">
        <v>43</v>
      </c>
      <c r="O364" s="7">
        <v>1</v>
      </c>
      <c r="P364" s="8">
        <v>45263.658680555556</v>
      </c>
      <c r="Q364" s="9">
        <v>45265</v>
      </c>
      <c r="R364" t="s">
        <v>37</v>
      </c>
      <c r="S364" t="s">
        <v>44</v>
      </c>
      <c r="T364" t="s">
        <v>45</v>
      </c>
      <c r="U364" t="s">
        <v>58</v>
      </c>
      <c r="V364" t="s">
        <v>1216</v>
      </c>
      <c r="W364">
        <v>8000</v>
      </c>
      <c r="X364" t="s">
        <v>44</v>
      </c>
      <c r="Y364" t="s">
        <v>52</v>
      </c>
      <c r="Z364" t="s">
        <v>49</v>
      </c>
      <c r="AA364" s="10">
        <f>IF(O364&lt;=1,7,7+0.8*ROUNDUP(O364-1,0))</f>
        <v>7</v>
      </c>
      <c r="AB364" s="11">
        <v>0</v>
      </c>
      <c r="AC364" s="11">
        <v>0</v>
      </c>
      <c r="AD364" s="11">
        <v>0</v>
      </c>
      <c r="AE364" s="11">
        <v>0</v>
      </c>
      <c r="AF364" s="11">
        <f t="shared" si="10"/>
        <v>0.42</v>
      </c>
      <c r="AG364" s="11">
        <f t="shared" si="11"/>
        <v>7.42</v>
      </c>
      <c r="AH364" t="s">
        <v>44</v>
      </c>
    </row>
    <row r="365" spans="1:34" ht="15" customHeight="1" x14ac:dyDescent="0.35">
      <c r="A365">
        <v>7547676</v>
      </c>
      <c r="B365">
        <v>690929</v>
      </c>
      <c r="C365" t="s">
        <v>34</v>
      </c>
      <c r="D365" t="s">
        <v>35</v>
      </c>
      <c r="E365" s="6" t="s">
        <v>34</v>
      </c>
      <c r="F365" t="s">
        <v>1217</v>
      </c>
      <c r="G365" t="s">
        <v>37</v>
      </c>
      <c r="H365" t="s">
        <v>38</v>
      </c>
      <c r="I365" t="s">
        <v>1218</v>
      </c>
      <c r="J365" t="s">
        <v>40</v>
      </c>
      <c r="K365">
        <v>2</v>
      </c>
      <c r="L365" t="s">
        <v>41</v>
      </c>
      <c r="M365" t="s">
        <v>42</v>
      </c>
      <c r="N365" t="s">
        <v>43</v>
      </c>
      <c r="O365" s="7">
        <v>2</v>
      </c>
      <c r="P365" s="8">
        <v>45264.702384259261</v>
      </c>
      <c r="Q365" s="9">
        <v>45265</v>
      </c>
      <c r="R365" t="s">
        <v>37</v>
      </c>
      <c r="S365" t="s">
        <v>44</v>
      </c>
      <c r="T365" t="s">
        <v>45</v>
      </c>
      <c r="U365" t="s">
        <v>53</v>
      </c>
      <c r="V365" t="s">
        <v>1219</v>
      </c>
      <c r="W365">
        <v>58100</v>
      </c>
      <c r="X365" t="s">
        <v>44</v>
      </c>
      <c r="Y365" t="s">
        <v>1220</v>
      </c>
      <c r="Z365" t="s">
        <v>49</v>
      </c>
      <c r="AA365" s="10">
        <f>IF(O365&lt;=1,7,7+0.8*ROUNDUP(O365-1,0))</f>
        <v>7.8</v>
      </c>
      <c r="AB365" s="11">
        <v>0</v>
      </c>
      <c r="AC365" s="11">
        <v>0</v>
      </c>
      <c r="AD365" s="11">
        <v>0</v>
      </c>
      <c r="AE365" s="11">
        <v>0</v>
      </c>
      <c r="AF365" s="11">
        <f t="shared" si="10"/>
        <v>0.46799999999999997</v>
      </c>
      <c r="AG365" s="11">
        <f t="shared" si="11"/>
        <v>8.2680000000000007</v>
      </c>
      <c r="AH365" t="s">
        <v>44</v>
      </c>
    </row>
    <row r="366" spans="1:34" ht="15" customHeight="1" x14ac:dyDescent="0.35">
      <c r="A366">
        <v>7547676</v>
      </c>
      <c r="B366">
        <v>690929</v>
      </c>
      <c r="C366" t="s">
        <v>34</v>
      </c>
      <c r="D366" t="s">
        <v>35</v>
      </c>
      <c r="E366" s="6" t="s">
        <v>34</v>
      </c>
      <c r="F366" t="s">
        <v>1221</v>
      </c>
      <c r="G366" t="s">
        <v>37</v>
      </c>
      <c r="H366" t="s">
        <v>38</v>
      </c>
      <c r="I366" t="s">
        <v>1222</v>
      </c>
      <c r="J366" t="s">
        <v>40</v>
      </c>
      <c r="K366">
        <v>2</v>
      </c>
      <c r="L366" t="s">
        <v>41</v>
      </c>
      <c r="M366" t="s">
        <v>42</v>
      </c>
      <c r="N366" t="s">
        <v>43</v>
      </c>
      <c r="O366" s="7">
        <v>2</v>
      </c>
      <c r="P366" s="8">
        <v>45263.525462962964</v>
      </c>
      <c r="Q366" s="9">
        <v>45265</v>
      </c>
      <c r="R366" t="s">
        <v>37</v>
      </c>
      <c r="S366" t="s">
        <v>44</v>
      </c>
      <c r="T366" t="s">
        <v>45</v>
      </c>
      <c r="U366" t="s">
        <v>63</v>
      </c>
      <c r="V366" t="s">
        <v>1223</v>
      </c>
      <c r="W366">
        <v>75250</v>
      </c>
      <c r="X366" t="s">
        <v>44</v>
      </c>
      <c r="Y366" t="s">
        <v>65</v>
      </c>
      <c r="Z366" t="s">
        <v>49</v>
      </c>
      <c r="AA366" s="10">
        <f>IF(O366&lt;=1,7,7+0.8*ROUNDUP(O366-1,0))</f>
        <v>7.8</v>
      </c>
      <c r="AB366" s="11">
        <v>0</v>
      </c>
      <c r="AC366" s="11">
        <v>0</v>
      </c>
      <c r="AD366" s="11">
        <v>0</v>
      </c>
      <c r="AE366" s="11">
        <v>0</v>
      </c>
      <c r="AF366" s="11">
        <f t="shared" si="10"/>
        <v>0.46799999999999997</v>
      </c>
      <c r="AG366" s="11">
        <f t="shared" si="11"/>
        <v>8.2680000000000007</v>
      </c>
      <c r="AH366" t="s">
        <v>44</v>
      </c>
    </row>
    <row r="367" spans="1:34" ht="15" customHeight="1" x14ac:dyDescent="0.35">
      <c r="A367">
        <v>7547676</v>
      </c>
      <c r="B367">
        <v>690929</v>
      </c>
      <c r="C367" t="s">
        <v>34</v>
      </c>
      <c r="D367" t="s">
        <v>35</v>
      </c>
      <c r="E367" s="6" t="s">
        <v>34</v>
      </c>
      <c r="F367" t="s">
        <v>1224</v>
      </c>
      <c r="G367" t="s">
        <v>37</v>
      </c>
      <c r="H367" t="s">
        <v>38</v>
      </c>
      <c r="I367" t="s">
        <v>1225</v>
      </c>
      <c r="J367" t="s">
        <v>40</v>
      </c>
      <c r="K367">
        <v>2</v>
      </c>
      <c r="L367" t="s">
        <v>41</v>
      </c>
      <c r="M367" t="s">
        <v>42</v>
      </c>
      <c r="N367" t="s">
        <v>43</v>
      </c>
      <c r="O367" s="7">
        <v>1</v>
      </c>
      <c r="P367" s="8">
        <v>45264.692418981482</v>
      </c>
      <c r="Q367" s="9">
        <v>45265</v>
      </c>
      <c r="R367" t="s">
        <v>37</v>
      </c>
      <c r="S367" t="s">
        <v>44</v>
      </c>
      <c r="T367" t="s">
        <v>45</v>
      </c>
      <c r="U367" t="s">
        <v>258</v>
      </c>
      <c r="V367" t="s">
        <v>1226</v>
      </c>
      <c r="W367">
        <v>21020</v>
      </c>
      <c r="X367" t="s">
        <v>44</v>
      </c>
      <c r="Y367" t="s">
        <v>260</v>
      </c>
      <c r="Z367" t="s">
        <v>49</v>
      </c>
      <c r="AA367" s="10">
        <f>IF(O367&lt;=1,7,7+0.8*ROUNDUP(O367-1,0))</f>
        <v>7</v>
      </c>
      <c r="AB367" s="11">
        <v>0</v>
      </c>
      <c r="AC367" s="11">
        <v>0</v>
      </c>
      <c r="AD367" s="11">
        <v>0</v>
      </c>
      <c r="AE367" s="11">
        <v>0</v>
      </c>
      <c r="AF367" s="11">
        <f t="shared" si="10"/>
        <v>0.42</v>
      </c>
      <c r="AG367" s="11">
        <f t="shared" si="11"/>
        <v>7.42</v>
      </c>
      <c r="AH367" t="s">
        <v>44</v>
      </c>
    </row>
    <row r="368" spans="1:34" ht="15" customHeight="1" x14ac:dyDescent="0.35">
      <c r="A368">
        <v>7547676</v>
      </c>
      <c r="B368">
        <v>690929</v>
      </c>
      <c r="C368" t="s">
        <v>34</v>
      </c>
      <c r="D368" t="s">
        <v>35</v>
      </c>
      <c r="E368" s="6" t="s">
        <v>34</v>
      </c>
      <c r="F368" t="s">
        <v>1227</v>
      </c>
      <c r="G368" t="s">
        <v>37</v>
      </c>
      <c r="H368" t="s">
        <v>38</v>
      </c>
      <c r="I368" t="s">
        <v>1228</v>
      </c>
      <c r="J368" t="s">
        <v>40</v>
      </c>
      <c r="K368">
        <v>2</v>
      </c>
      <c r="L368" t="s">
        <v>41</v>
      </c>
      <c r="M368" t="s">
        <v>42</v>
      </c>
      <c r="N368" t="s">
        <v>43</v>
      </c>
      <c r="O368" s="7">
        <v>1</v>
      </c>
      <c r="P368" s="8">
        <v>45263.763703703706</v>
      </c>
      <c r="Q368" s="9">
        <v>45265</v>
      </c>
      <c r="R368" t="s">
        <v>37</v>
      </c>
      <c r="S368" t="s">
        <v>44</v>
      </c>
      <c r="T368" t="s">
        <v>45</v>
      </c>
      <c r="U368" t="s">
        <v>68</v>
      </c>
      <c r="V368" t="s">
        <v>1229</v>
      </c>
      <c r="W368">
        <v>42000</v>
      </c>
      <c r="X368" t="s">
        <v>44</v>
      </c>
      <c r="Y368" t="s">
        <v>1230</v>
      </c>
      <c r="Z368" t="s">
        <v>49</v>
      </c>
      <c r="AA368" s="10">
        <f>IF(O368&lt;=1,7,7+0.8*ROUNDUP(O368-1,0))</f>
        <v>7</v>
      </c>
      <c r="AB368" s="11">
        <v>0</v>
      </c>
      <c r="AC368" s="11">
        <v>0</v>
      </c>
      <c r="AD368" s="11">
        <v>0</v>
      </c>
      <c r="AE368" s="11">
        <v>0</v>
      </c>
      <c r="AF368" s="11">
        <f t="shared" si="10"/>
        <v>0.42</v>
      </c>
      <c r="AG368" s="11">
        <f t="shared" si="11"/>
        <v>7.42</v>
      </c>
      <c r="AH368" t="s">
        <v>44</v>
      </c>
    </row>
    <row r="369" spans="1:34" ht="15" customHeight="1" x14ac:dyDescent="0.35">
      <c r="A369">
        <v>7547676</v>
      </c>
      <c r="B369">
        <v>690929</v>
      </c>
      <c r="C369" t="s">
        <v>34</v>
      </c>
      <c r="D369" t="s">
        <v>35</v>
      </c>
      <c r="E369" s="6" t="s">
        <v>34</v>
      </c>
      <c r="F369" t="s">
        <v>1231</v>
      </c>
      <c r="G369" t="s">
        <v>37</v>
      </c>
      <c r="H369" t="s">
        <v>38</v>
      </c>
      <c r="I369" t="s">
        <v>1232</v>
      </c>
      <c r="J369" t="s">
        <v>40</v>
      </c>
      <c r="K369">
        <v>2</v>
      </c>
      <c r="L369" t="s">
        <v>41</v>
      </c>
      <c r="M369" t="s">
        <v>42</v>
      </c>
      <c r="N369" t="s">
        <v>43</v>
      </c>
      <c r="O369" s="7">
        <v>1</v>
      </c>
      <c r="P369" s="8">
        <v>45263.686793981484</v>
      </c>
      <c r="Q369" s="9">
        <v>45265</v>
      </c>
      <c r="R369" t="s">
        <v>37</v>
      </c>
      <c r="S369" t="s">
        <v>44</v>
      </c>
      <c r="T369" t="s">
        <v>45</v>
      </c>
      <c r="U369" t="s">
        <v>58</v>
      </c>
      <c r="V369" t="s">
        <v>1233</v>
      </c>
      <c r="W369">
        <v>8800</v>
      </c>
      <c r="X369" t="s">
        <v>44</v>
      </c>
      <c r="Y369" t="s">
        <v>60</v>
      </c>
      <c r="Z369" t="s">
        <v>49</v>
      </c>
      <c r="AA369" s="10">
        <f>IF(O369&lt;=1,7,7+0.8*ROUNDUP(O369-1,0))</f>
        <v>7</v>
      </c>
      <c r="AB369" s="11">
        <v>0</v>
      </c>
      <c r="AC369" s="11">
        <v>0</v>
      </c>
      <c r="AD369" s="11">
        <v>0</v>
      </c>
      <c r="AE369" s="11">
        <v>0</v>
      </c>
      <c r="AF369" s="11">
        <f t="shared" si="10"/>
        <v>0.42</v>
      </c>
      <c r="AG369" s="11">
        <f t="shared" si="11"/>
        <v>7.42</v>
      </c>
      <c r="AH369" t="s">
        <v>44</v>
      </c>
    </row>
    <row r="370" spans="1:34" ht="15" customHeight="1" x14ac:dyDescent="0.35">
      <c r="A370">
        <v>7547676</v>
      </c>
      <c r="B370">
        <v>690929</v>
      </c>
      <c r="C370" t="s">
        <v>34</v>
      </c>
      <c r="D370" t="s">
        <v>35</v>
      </c>
      <c r="E370" s="6" t="s">
        <v>34</v>
      </c>
      <c r="F370" t="s">
        <v>1234</v>
      </c>
      <c r="G370" t="s">
        <v>37</v>
      </c>
      <c r="H370" t="s">
        <v>38</v>
      </c>
      <c r="I370" t="s">
        <v>1235</v>
      </c>
      <c r="J370" t="s">
        <v>40</v>
      </c>
      <c r="K370">
        <v>2</v>
      </c>
      <c r="L370" t="s">
        <v>41</v>
      </c>
      <c r="M370" t="s">
        <v>42</v>
      </c>
      <c r="N370" t="s">
        <v>43</v>
      </c>
      <c r="O370" s="7">
        <v>2</v>
      </c>
      <c r="P370" s="8">
        <v>45263.518136574072</v>
      </c>
      <c r="Q370" s="9">
        <v>45265</v>
      </c>
      <c r="R370" t="s">
        <v>37</v>
      </c>
      <c r="S370" t="s">
        <v>44</v>
      </c>
      <c r="T370" t="s">
        <v>45</v>
      </c>
      <c r="U370" t="s">
        <v>63</v>
      </c>
      <c r="V370" t="s">
        <v>1236</v>
      </c>
      <c r="W370">
        <v>75050</v>
      </c>
      <c r="X370" t="s">
        <v>44</v>
      </c>
      <c r="Y370" t="s">
        <v>696</v>
      </c>
      <c r="Z370" t="s">
        <v>49</v>
      </c>
      <c r="AA370" s="10">
        <f>IF(O370&lt;=1,7,7+0.8*ROUNDUP(O370-1,0))</f>
        <v>7.8</v>
      </c>
      <c r="AB370" s="11">
        <v>0</v>
      </c>
      <c r="AC370" s="11">
        <v>0</v>
      </c>
      <c r="AD370" s="11">
        <v>0</v>
      </c>
      <c r="AE370" s="11">
        <v>0</v>
      </c>
      <c r="AF370" s="11">
        <f t="shared" si="10"/>
        <v>0.46799999999999997</v>
      </c>
      <c r="AG370" s="11">
        <f t="shared" si="11"/>
        <v>8.2680000000000007</v>
      </c>
      <c r="AH370" t="s">
        <v>44</v>
      </c>
    </row>
    <row r="371" spans="1:34" ht="15" customHeight="1" x14ac:dyDescent="0.35">
      <c r="A371">
        <v>7547676</v>
      </c>
      <c r="B371">
        <v>690929</v>
      </c>
      <c r="C371" t="s">
        <v>34</v>
      </c>
      <c r="D371" t="s">
        <v>35</v>
      </c>
      <c r="E371" s="6" t="s">
        <v>34</v>
      </c>
      <c r="F371" t="s">
        <v>1237</v>
      </c>
      <c r="G371" t="s">
        <v>37</v>
      </c>
      <c r="H371" t="s">
        <v>38</v>
      </c>
      <c r="I371" t="s">
        <v>1238</v>
      </c>
      <c r="J371" t="s">
        <v>40</v>
      </c>
      <c r="K371">
        <v>2</v>
      </c>
      <c r="L371" t="s">
        <v>41</v>
      </c>
      <c r="M371" t="s">
        <v>42</v>
      </c>
      <c r="N371" t="s">
        <v>43</v>
      </c>
      <c r="O371" s="7">
        <v>3</v>
      </c>
      <c r="P371" s="8">
        <v>45264.688437500001</v>
      </c>
      <c r="Q371" s="9">
        <v>45265</v>
      </c>
      <c r="R371" t="s">
        <v>37</v>
      </c>
      <c r="S371" t="s">
        <v>44</v>
      </c>
      <c r="T371" t="s">
        <v>45</v>
      </c>
      <c r="U371" t="s">
        <v>77</v>
      </c>
      <c r="V371" t="s">
        <v>1239</v>
      </c>
      <c r="W371">
        <v>26600</v>
      </c>
      <c r="X371" t="s">
        <v>44</v>
      </c>
      <c r="Y371" t="s">
        <v>45</v>
      </c>
      <c r="Z371" t="s">
        <v>49</v>
      </c>
      <c r="AA371" s="10">
        <f>IF(O371&lt;=1,7,7+0.8*ROUNDUP(O371-1,0))</f>
        <v>8.6</v>
      </c>
      <c r="AB371" s="11">
        <v>0</v>
      </c>
      <c r="AC371" s="11">
        <v>0</v>
      </c>
      <c r="AD371" s="11">
        <v>0</v>
      </c>
      <c r="AE371" s="11">
        <v>0</v>
      </c>
      <c r="AF371" s="11">
        <f t="shared" si="10"/>
        <v>0.51600000000000001</v>
      </c>
      <c r="AG371" s="11">
        <f t="shared" si="11"/>
        <v>9.1159999999999997</v>
      </c>
      <c r="AH371" t="s">
        <v>44</v>
      </c>
    </row>
    <row r="372" spans="1:34" ht="15" customHeight="1" x14ac:dyDescent="0.35">
      <c r="A372">
        <v>7547676</v>
      </c>
      <c r="B372">
        <v>690929</v>
      </c>
      <c r="C372" t="s">
        <v>34</v>
      </c>
      <c r="D372" t="s">
        <v>35</v>
      </c>
      <c r="E372" s="6" t="s">
        <v>34</v>
      </c>
      <c r="F372" t="s">
        <v>1240</v>
      </c>
      <c r="G372" t="s">
        <v>37</v>
      </c>
      <c r="H372" t="s">
        <v>38</v>
      </c>
      <c r="I372" t="s">
        <v>1241</v>
      </c>
      <c r="J372" t="s">
        <v>40</v>
      </c>
      <c r="K372">
        <v>2</v>
      </c>
      <c r="L372" t="s">
        <v>41</v>
      </c>
      <c r="M372" t="s">
        <v>42</v>
      </c>
      <c r="N372" t="s">
        <v>43</v>
      </c>
      <c r="O372" s="7">
        <v>5</v>
      </c>
      <c r="P372" s="8">
        <v>45263.707094907404</v>
      </c>
      <c r="Q372" s="9">
        <v>45265</v>
      </c>
      <c r="R372" t="s">
        <v>37</v>
      </c>
      <c r="S372" t="s">
        <v>44</v>
      </c>
      <c r="T372" t="s">
        <v>45</v>
      </c>
      <c r="U372" t="s">
        <v>68</v>
      </c>
      <c r="V372" t="s">
        <v>1242</v>
      </c>
      <c r="W372">
        <v>53100</v>
      </c>
      <c r="X372" t="s">
        <v>44</v>
      </c>
      <c r="Y372" t="s">
        <v>494</v>
      </c>
      <c r="Z372" t="s">
        <v>49</v>
      </c>
      <c r="AA372" s="10">
        <f>IF(O372&lt;=1,7,7+0.8*ROUNDUP(O372-1,0))</f>
        <v>10.199999999999999</v>
      </c>
      <c r="AB372" s="11">
        <v>0</v>
      </c>
      <c r="AC372" s="11">
        <v>0</v>
      </c>
      <c r="AD372" s="11">
        <v>0</v>
      </c>
      <c r="AE372" s="11">
        <v>0</v>
      </c>
      <c r="AF372" s="11">
        <f t="shared" si="10"/>
        <v>0.61199999999999999</v>
      </c>
      <c r="AG372" s="11">
        <f t="shared" si="11"/>
        <v>10.811999999999999</v>
      </c>
      <c r="AH372" t="s">
        <v>44</v>
      </c>
    </row>
    <row r="373" spans="1:34" ht="15" customHeight="1" x14ac:dyDescent="0.35">
      <c r="A373">
        <v>7547676</v>
      </c>
      <c r="B373">
        <v>690929</v>
      </c>
      <c r="C373" t="s">
        <v>34</v>
      </c>
      <c r="D373" t="s">
        <v>35</v>
      </c>
      <c r="E373" s="6" t="s">
        <v>34</v>
      </c>
      <c r="F373" t="s">
        <v>1243</v>
      </c>
      <c r="G373" t="s">
        <v>37</v>
      </c>
      <c r="H373" t="s">
        <v>38</v>
      </c>
      <c r="I373" t="s">
        <v>1244</v>
      </c>
      <c r="J373" t="s">
        <v>40</v>
      </c>
      <c r="K373">
        <v>2</v>
      </c>
      <c r="L373" t="s">
        <v>41</v>
      </c>
      <c r="M373" t="s">
        <v>42</v>
      </c>
      <c r="N373" t="s">
        <v>43</v>
      </c>
      <c r="O373" s="7">
        <v>8</v>
      </c>
      <c r="P373" s="8">
        <v>45264.688437500001</v>
      </c>
      <c r="Q373" s="9">
        <v>45265</v>
      </c>
      <c r="R373" t="s">
        <v>37</v>
      </c>
      <c r="S373" t="s">
        <v>44</v>
      </c>
      <c r="T373" t="s">
        <v>45</v>
      </c>
      <c r="U373" t="s">
        <v>68</v>
      </c>
      <c r="V373" t="s">
        <v>1245</v>
      </c>
      <c r="W373">
        <v>68100</v>
      </c>
      <c r="X373" t="s">
        <v>44</v>
      </c>
      <c r="Y373" t="s">
        <v>127</v>
      </c>
      <c r="Z373" t="s">
        <v>49</v>
      </c>
      <c r="AA373" s="10">
        <f>IF(O373&lt;=1,7,7+0.8*ROUNDUP(O373-1,0))</f>
        <v>12.600000000000001</v>
      </c>
      <c r="AB373" s="11">
        <v>0</v>
      </c>
      <c r="AC373" s="11">
        <v>0</v>
      </c>
      <c r="AD373" s="11">
        <v>0</v>
      </c>
      <c r="AE373" s="11">
        <v>0</v>
      </c>
      <c r="AF373" s="11">
        <f t="shared" si="10"/>
        <v>0.75600000000000001</v>
      </c>
      <c r="AG373" s="11">
        <f t="shared" si="11"/>
        <v>13.356000000000002</v>
      </c>
      <c r="AH373" t="s">
        <v>44</v>
      </c>
    </row>
    <row r="374" spans="1:34" ht="15" customHeight="1" x14ac:dyDescent="0.35">
      <c r="A374">
        <v>7547676</v>
      </c>
      <c r="B374">
        <v>690929</v>
      </c>
      <c r="C374" t="s">
        <v>34</v>
      </c>
      <c r="D374" t="s">
        <v>35</v>
      </c>
      <c r="E374" s="6" t="s">
        <v>34</v>
      </c>
      <c r="F374" t="s">
        <v>1246</v>
      </c>
      <c r="G374" t="s">
        <v>37</v>
      </c>
      <c r="H374" t="s">
        <v>38</v>
      </c>
      <c r="I374" t="s">
        <v>1247</v>
      </c>
      <c r="J374" t="s">
        <v>40</v>
      </c>
      <c r="K374">
        <v>2</v>
      </c>
      <c r="L374" t="s">
        <v>41</v>
      </c>
      <c r="M374" t="s">
        <v>42</v>
      </c>
      <c r="N374" t="s">
        <v>43</v>
      </c>
      <c r="O374" s="7">
        <v>2</v>
      </c>
      <c r="P374" s="8">
        <v>45265.603796296295</v>
      </c>
      <c r="Q374" s="9">
        <v>45266</v>
      </c>
      <c r="R374" t="s">
        <v>37</v>
      </c>
      <c r="S374" t="s">
        <v>44</v>
      </c>
      <c r="T374" t="s">
        <v>45</v>
      </c>
      <c r="U374" t="s">
        <v>68</v>
      </c>
      <c r="V374" t="s">
        <v>1072</v>
      </c>
      <c r="W374">
        <v>41050</v>
      </c>
      <c r="X374" t="s">
        <v>44</v>
      </c>
      <c r="Y374" t="s">
        <v>131</v>
      </c>
      <c r="Z374" t="s">
        <v>49</v>
      </c>
      <c r="AA374" s="10">
        <f>IF(O374&lt;=1,7,7+0.8*ROUNDUP(O374-1,0))</f>
        <v>7.8</v>
      </c>
      <c r="AB374" s="11">
        <v>0</v>
      </c>
      <c r="AC374" s="11">
        <v>0</v>
      </c>
      <c r="AD374" s="11">
        <v>0</v>
      </c>
      <c r="AE374" s="11">
        <v>0</v>
      </c>
      <c r="AF374" s="11">
        <f t="shared" si="10"/>
        <v>0.46799999999999997</v>
      </c>
      <c r="AG374" s="11">
        <f t="shared" si="11"/>
        <v>8.2680000000000007</v>
      </c>
      <c r="AH374" t="s">
        <v>44</v>
      </c>
    </row>
    <row r="375" spans="1:34" ht="15" customHeight="1" x14ac:dyDescent="0.35">
      <c r="A375">
        <v>7547676</v>
      </c>
      <c r="B375">
        <v>690929</v>
      </c>
      <c r="C375" t="s">
        <v>34</v>
      </c>
      <c r="D375" t="s">
        <v>35</v>
      </c>
      <c r="E375" s="6" t="s">
        <v>34</v>
      </c>
      <c r="F375" t="s">
        <v>1248</v>
      </c>
      <c r="G375" t="s">
        <v>37</v>
      </c>
      <c r="H375" t="s">
        <v>38</v>
      </c>
      <c r="I375" t="s">
        <v>1249</v>
      </c>
      <c r="J375" t="s">
        <v>40</v>
      </c>
      <c r="K375">
        <v>2</v>
      </c>
      <c r="L375" t="s">
        <v>41</v>
      </c>
      <c r="M375" t="s">
        <v>42</v>
      </c>
      <c r="N375" t="s">
        <v>43</v>
      </c>
      <c r="O375" s="7">
        <v>1</v>
      </c>
      <c r="P375" s="8">
        <v>45263.463402777779</v>
      </c>
      <c r="Q375" s="9">
        <v>45266</v>
      </c>
      <c r="R375" t="s">
        <v>37</v>
      </c>
      <c r="S375" t="s">
        <v>44</v>
      </c>
      <c r="T375" t="s">
        <v>45</v>
      </c>
      <c r="U375" t="s">
        <v>240</v>
      </c>
      <c r="V375" t="s">
        <v>1250</v>
      </c>
      <c r="W375">
        <v>98000</v>
      </c>
      <c r="X375" t="s">
        <v>242</v>
      </c>
      <c r="Y375" t="s">
        <v>52</v>
      </c>
      <c r="Z375" t="s">
        <v>49</v>
      </c>
      <c r="AA375" s="12">
        <f>IF(O375&lt;=1,13,IF(O375&lt;=2,23,IF(O375&lt;=3,35,IF(O375&lt;=4,43,IF(O375&lt;=5,53,IF(O375&lt;=6,63,IF(O375&lt;=7,71,IF(O375&lt;=8,79,IF(O375&lt;=9,87,IF(O375&lt;=10,95,IF(O375&lt;=11,105,IF(O375&lt;=12,114,IF(O375&lt;=13,119,IF(O375&lt;=14,127,IF(O375&lt;=15,135,IF(O375&lt;=16,143,IF(O375&lt;=17,153,IF(O375&lt;=18,163,IF(O375&lt;=19,171,IF(O375&lt;=20,185,IF(O375&lt;=21,193,IF(O375&lt;=22,201,IF(O375&lt;=23,210,IF(O375&lt;=24,220,IF(O375&lt;=25,230,IF(O375&lt;=26,240,IF(O375&lt;=27,250,IF(O375&lt;=28,260,IF(O375&lt;=29,270,IF(O375&lt;=30,280,280+10*ROUNDUP(O375-30,0)))))))))))))))))))))))))))))))</f>
        <v>13</v>
      </c>
      <c r="AB375" s="11">
        <v>0</v>
      </c>
      <c r="AC375" s="11">
        <v>0</v>
      </c>
      <c r="AD375" s="11">
        <v>0</v>
      </c>
      <c r="AE375" s="11">
        <v>0</v>
      </c>
      <c r="AF375" s="11">
        <f t="shared" si="10"/>
        <v>0.78</v>
      </c>
      <c r="AG375" s="11">
        <f t="shared" si="11"/>
        <v>13.78</v>
      </c>
      <c r="AH375" t="s">
        <v>242</v>
      </c>
    </row>
    <row r="376" spans="1:34" ht="15" customHeight="1" x14ac:dyDescent="0.35">
      <c r="A376">
        <v>7547676</v>
      </c>
      <c r="B376">
        <v>690929</v>
      </c>
      <c r="C376" t="s">
        <v>34</v>
      </c>
      <c r="D376" t="s">
        <v>35</v>
      </c>
      <c r="E376" s="6" t="s">
        <v>34</v>
      </c>
      <c r="F376" t="s">
        <v>1251</v>
      </c>
      <c r="G376" t="s">
        <v>37</v>
      </c>
      <c r="H376" t="s">
        <v>38</v>
      </c>
      <c r="I376" t="s">
        <v>1252</v>
      </c>
      <c r="J376" t="s">
        <v>40</v>
      </c>
      <c r="K376">
        <v>2</v>
      </c>
      <c r="L376" t="s">
        <v>41</v>
      </c>
      <c r="M376" t="s">
        <v>42</v>
      </c>
      <c r="N376" t="s">
        <v>43</v>
      </c>
      <c r="O376" s="7">
        <v>1</v>
      </c>
      <c r="P376" s="8">
        <v>45265.724641203706</v>
      </c>
      <c r="Q376" s="9">
        <v>45266</v>
      </c>
      <c r="R376" t="s">
        <v>37</v>
      </c>
      <c r="S376" t="s">
        <v>44</v>
      </c>
      <c r="T376" t="s">
        <v>45</v>
      </c>
      <c r="U376" t="s">
        <v>77</v>
      </c>
      <c r="V376" t="s">
        <v>1253</v>
      </c>
      <c r="W376">
        <v>27600</v>
      </c>
      <c r="X376" t="s">
        <v>44</v>
      </c>
      <c r="Y376" t="s">
        <v>45</v>
      </c>
      <c r="Z376" t="s">
        <v>49</v>
      </c>
      <c r="AA376" s="10">
        <f>IF(O376&lt;=1,7,7+0.8*ROUNDUP(O376-1,0))</f>
        <v>7</v>
      </c>
      <c r="AB376" s="11">
        <v>0</v>
      </c>
      <c r="AC376" s="11">
        <v>0</v>
      </c>
      <c r="AD376" s="11">
        <v>0</v>
      </c>
      <c r="AE376" s="11">
        <v>0</v>
      </c>
      <c r="AF376" s="11">
        <f t="shared" si="10"/>
        <v>0.42</v>
      </c>
      <c r="AG376" s="11">
        <f t="shared" si="11"/>
        <v>7.42</v>
      </c>
      <c r="AH376" t="s">
        <v>44</v>
      </c>
    </row>
    <row r="377" spans="1:34" ht="15" customHeight="1" x14ac:dyDescent="0.35">
      <c r="A377">
        <v>7547676</v>
      </c>
      <c r="B377">
        <v>690929</v>
      </c>
      <c r="C377" t="s">
        <v>34</v>
      </c>
      <c r="D377" t="s">
        <v>35</v>
      </c>
      <c r="E377" s="6" t="s">
        <v>34</v>
      </c>
      <c r="F377" t="s">
        <v>1254</v>
      </c>
      <c r="G377" t="s">
        <v>37</v>
      </c>
      <c r="H377" t="s">
        <v>38</v>
      </c>
      <c r="I377" t="s">
        <v>1255</v>
      </c>
      <c r="J377" t="s">
        <v>40</v>
      </c>
      <c r="K377">
        <v>2</v>
      </c>
      <c r="L377" t="s">
        <v>41</v>
      </c>
      <c r="M377" t="s">
        <v>42</v>
      </c>
      <c r="N377" t="s">
        <v>43</v>
      </c>
      <c r="O377" s="7">
        <v>1</v>
      </c>
      <c r="P377" s="8">
        <v>45265.75209490741</v>
      </c>
      <c r="Q377" s="9">
        <v>45266</v>
      </c>
      <c r="R377" t="s">
        <v>37</v>
      </c>
      <c r="S377" t="s">
        <v>44</v>
      </c>
      <c r="T377" t="s">
        <v>45</v>
      </c>
      <c r="U377" t="s">
        <v>258</v>
      </c>
      <c r="V377" t="s">
        <v>1256</v>
      </c>
      <c r="W377">
        <v>21300</v>
      </c>
      <c r="X377" t="s">
        <v>44</v>
      </c>
      <c r="Y377" t="s">
        <v>260</v>
      </c>
      <c r="Z377" t="s">
        <v>49</v>
      </c>
      <c r="AA377" s="10">
        <f>IF(O377&lt;=1,7,7+0.8*ROUNDUP(O377-1,0))</f>
        <v>7</v>
      </c>
      <c r="AB377" s="11">
        <v>0</v>
      </c>
      <c r="AC377" s="11">
        <v>0</v>
      </c>
      <c r="AD377" s="11">
        <v>0</v>
      </c>
      <c r="AE377" s="11">
        <v>0</v>
      </c>
      <c r="AF377" s="11">
        <f t="shared" si="10"/>
        <v>0.42</v>
      </c>
      <c r="AG377" s="11">
        <f t="shared" si="11"/>
        <v>7.42</v>
      </c>
      <c r="AH377" t="s">
        <v>44</v>
      </c>
    </row>
    <row r="378" spans="1:34" ht="15" customHeight="1" x14ac:dyDescent="0.35">
      <c r="A378">
        <v>7547676</v>
      </c>
      <c r="B378">
        <v>690929</v>
      </c>
      <c r="C378" t="s">
        <v>34</v>
      </c>
      <c r="D378" t="s">
        <v>35</v>
      </c>
      <c r="E378" s="6" t="s">
        <v>34</v>
      </c>
      <c r="F378" t="s">
        <v>1257</v>
      </c>
      <c r="G378" t="s">
        <v>37</v>
      </c>
      <c r="H378" t="s">
        <v>38</v>
      </c>
      <c r="I378" t="s">
        <v>1258</v>
      </c>
      <c r="J378" t="s">
        <v>40</v>
      </c>
      <c r="K378">
        <v>2</v>
      </c>
      <c r="L378" t="s">
        <v>41</v>
      </c>
      <c r="M378" t="s">
        <v>42</v>
      </c>
      <c r="N378" t="s">
        <v>43</v>
      </c>
      <c r="O378" s="7">
        <v>1</v>
      </c>
      <c r="P378" s="8">
        <v>45263.817939814813</v>
      </c>
      <c r="Q378" s="9">
        <v>45266</v>
      </c>
      <c r="R378" t="s">
        <v>37</v>
      </c>
      <c r="S378" t="s">
        <v>44</v>
      </c>
      <c r="T378" t="s">
        <v>45</v>
      </c>
      <c r="U378" t="s">
        <v>46</v>
      </c>
      <c r="V378" t="s">
        <v>1259</v>
      </c>
      <c r="W378">
        <v>81800</v>
      </c>
      <c r="X378" t="s">
        <v>44</v>
      </c>
      <c r="Y378" t="s">
        <v>1260</v>
      </c>
      <c r="Z378" t="s">
        <v>49</v>
      </c>
      <c r="AA378" s="10">
        <f>IF(O378&lt;=1,7,7+0.8*ROUNDUP(O378-1,0))</f>
        <v>7</v>
      </c>
      <c r="AB378" s="11">
        <v>0</v>
      </c>
      <c r="AC378" s="11">
        <v>0</v>
      </c>
      <c r="AD378" s="11">
        <v>0</v>
      </c>
      <c r="AE378" s="11">
        <v>0</v>
      </c>
      <c r="AF378" s="11">
        <f t="shared" si="10"/>
        <v>0.42</v>
      </c>
      <c r="AG378" s="11">
        <f t="shared" si="11"/>
        <v>7.42</v>
      </c>
      <c r="AH378" t="s">
        <v>44</v>
      </c>
    </row>
    <row r="379" spans="1:34" ht="15" customHeight="1" x14ac:dyDescent="0.35">
      <c r="A379">
        <v>7547676</v>
      </c>
      <c r="B379">
        <v>690929</v>
      </c>
      <c r="C379" t="s">
        <v>34</v>
      </c>
      <c r="D379" t="s">
        <v>35</v>
      </c>
      <c r="E379" s="6" t="s">
        <v>34</v>
      </c>
      <c r="F379" t="s">
        <v>1261</v>
      </c>
      <c r="G379" t="s">
        <v>37</v>
      </c>
      <c r="H379" t="s">
        <v>38</v>
      </c>
      <c r="I379" t="s">
        <v>698</v>
      </c>
      <c r="J379" t="s">
        <v>40</v>
      </c>
      <c r="K379">
        <v>2</v>
      </c>
      <c r="L379" t="s">
        <v>41</v>
      </c>
      <c r="M379" t="s">
        <v>42</v>
      </c>
      <c r="N379" t="s">
        <v>43</v>
      </c>
      <c r="O379" s="7">
        <v>1</v>
      </c>
      <c r="P379" s="8">
        <v>45264.726539351854</v>
      </c>
      <c r="Q379" s="9">
        <v>45266</v>
      </c>
      <c r="R379" t="s">
        <v>37</v>
      </c>
      <c r="S379" t="s">
        <v>44</v>
      </c>
      <c r="T379" t="s">
        <v>45</v>
      </c>
      <c r="U379" t="s">
        <v>159</v>
      </c>
      <c r="V379" t="s">
        <v>699</v>
      </c>
      <c r="W379">
        <v>34700</v>
      </c>
      <c r="X379" t="s">
        <v>44</v>
      </c>
      <c r="Y379" t="s">
        <v>52</v>
      </c>
      <c r="Z379" t="s">
        <v>49</v>
      </c>
      <c r="AA379" s="10">
        <f>IF(O379&lt;=1,7,7+0.8*ROUNDUP(O379-1,0))</f>
        <v>7</v>
      </c>
      <c r="AB379" s="11">
        <v>0</v>
      </c>
      <c r="AC379" s="11">
        <v>0</v>
      </c>
      <c r="AD379" s="11">
        <v>0</v>
      </c>
      <c r="AE379" s="11">
        <v>0</v>
      </c>
      <c r="AF379" s="11">
        <f t="shared" si="10"/>
        <v>0.42</v>
      </c>
      <c r="AG379" s="11">
        <f t="shared" si="11"/>
        <v>7.42</v>
      </c>
      <c r="AH379" t="s">
        <v>44</v>
      </c>
    </row>
    <row r="380" spans="1:34" ht="15" customHeight="1" x14ac:dyDescent="0.35">
      <c r="A380">
        <v>7547676</v>
      </c>
      <c r="B380">
        <v>690929</v>
      </c>
      <c r="C380" t="s">
        <v>34</v>
      </c>
      <c r="D380" t="s">
        <v>35</v>
      </c>
      <c r="E380" s="6" t="s">
        <v>34</v>
      </c>
      <c r="F380" t="s">
        <v>1262</v>
      </c>
      <c r="G380" t="s">
        <v>37</v>
      </c>
      <c r="H380" t="s">
        <v>38</v>
      </c>
      <c r="I380" t="s">
        <v>1263</v>
      </c>
      <c r="J380" t="s">
        <v>40</v>
      </c>
      <c r="K380">
        <v>2</v>
      </c>
      <c r="L380" t="s">
        <v>41</v>
      </c>
      <c r="M380" t="s">
        <v>42</v>
      </c>
      <c r="N380" t="s">
        <v>43</v>
      </c>
      <c r="O380" s="7">
        <v>1</v>
      </c>
      <c r="P380" s="8">
        <v>45265.592152777775</v>
      </c>
      <c r="Q380" s="9">
        <v>45266</v>
      </c>
      <c r="R380" t="s">
        <v>37</v>
      </c>
      <c r="S380" t="s">
        <v>44</v>
      </c>
      <c r="T380" t="s">
        <v>45</v>
      </c>
      <c r="U380" t="s">
        <v>63</v>
      </c>
      <c r="V380" t="s">
        <v>1264</v>
      </c>
      <c r="W380">
        <v>75200</v>
      </c>
      <c r="X380" t="s">
        <v>44</v>
      </c>
      <c r="Y380" t="s">
        <v>696</v>
      </c>
      <c r="Z380" t="s">
        <v>49</v>
      </c>
      <c r="AA380" s="10">
        <f>IF(O380&lt;=1,7,7+0.8*ROUNDUP(O380-1,0))</f>
        <v>7</v>
      </c>
      <c r="AB380" s="11">
        <v>0</v>
      </c>
      <c r="AC380" s="11">
        <v>0</v>
      </c>
      <c r="AD380" s="11">
        <v>0</v>
      </c>
      <c r="AE380" s="11">
        <v>0</v>
      </c>
      <c r="AF380" s="11">
        <f t="shared" si="10"/>
        <v>0.42</v>
      </c>
      <c r="AG380" s="11">
        <f t="shared" si="11"/>
        <v>7.42</v>
      </c>
      <c r="AH380" t="s">
        <v>44</v>
      </c>
    </row>
    <row r="381" spans="1:34" ht="15" customHeight="1" x14ac:dyDescent="0.35">
      <c r="A381">
        <v>7547676</v>
      </c>
      <c r="B381">
        <v>690929</v>
      </c>
      <c r="C381" t="s">
        <v>34</v>
      </c>
      <c r="D381" t="s">
        <v>35</v>
      </c>
      <c r="E381" s="6" t="s">
        <v>34</v>
      </c>
      <c r="F381" t="s">
        <v>1265</v>
      </c>
      <c r="G381" t="s">
        <v>37</v>
      </c>
      <c r="H381" t="s">
        <v>38</v>
      </c>
      <c r="I381" t="s">
        <v>1266</v>
      </c>
      <c r="J381" t="s">
        <v>40</v>
      </c>
      <c r="K381">
        <v>2</v>
      </c>
      <c r="L381" t="s">
        <v>41</v>
      </c>
      <c r="M381" t="s">
        <v>42</v>
      </c>
      <c r="N381" t="s">
        <v>43</v>
      </c>
      <c r="O381" s="7">
        <v>2</v>
      </c>
      <c r="P381" s="8">
        <v>45265.609409722223</v>
      </c>
      <c r="Q381" s="9">
        <v>45266</v>
      </c>
      <c r="R381" t="s">
        <v>37</v>
      </c>
      <c r="S381" t="s">
        <v>44</v>
      </c>
      <c r="T381" t="s">
        <v>45</v>
      </c>
      <c r="U381" t="s">
        <v>77</v>
      </c>
      <c r="V381" t="s">
        <v>1267</v>
      </c>
      <c r="W381">
        <v>25200</v>
      </c>
      <c r="X381" t="s">
        <v>44</v>
      </c>
      <c r="Y381" t="s">
        <v>45</v>
      </c>
      <c r="Z381" t="s">
        <v>49</v>
      </c>
      <c r="AA381" s="10">
        <f>IF(O381&lt;=1,7,7+0.8*ROUNDUP(O381-1,0))</f>
        <v>7.8</v>
      </c>
      <c r="AB381" s="11">
        <v>0</v>
      </c>
      <c r="AC381" s="11">
        <v>0</v>
      </c>
      <c r="AD381" s="11">
        <v>0</v>
      </c>
      <c r="AE381" s="11">
        <v>0</v>
      </c>
      <c r="AF381" s="11">
        <f t="shared" si="10"/>
        <v>0.46799999999999997</v>
      </c>
      <c r="AG381" s="11">
        <f t="shared" si="11"/>
        <v>8.2680000000000007</v>
      </c>
      <c r="AH381" t="s">
        <v>44</v>
      </c>
    </row>
    <row r="382" spans="1:34" ht="15" customHeight="1" x14ac:dyDescent="0.35">
      <c r="A382">
        <v>7547676</v>
      </c>
      <c r="B382">
        <v>690929</v>
      </c>
      <c r="C382" t="s">
        <v>34</v>
      </c>
      <c r="D382" t="s">
        <v>35</v>
      </c>
      <c r="E382" s="6" t="s">
        <v>34</v>
      </c>
      <c r="F382" t="s">
        <v>1268</v>
      </c>
      <c r="G382" t="s">
        <v>37</v>
      </c>
      <c r="H382" t="s">
        <v>38</v>
      </c>
      <c r="I382" t="s">
        <v>1269</v>
      </c>
      <c r="J382" t="s">
        <v>40</v>
      </c>
      <c r="K382">
        <v>2</v>
      </c>
      <c r="L382" t="s">
        <v>41</v>
      </c>
      <c r="M382" t="s">
        <v>42</v>
      </c>
      <c r="N382" t="s">
        <v>43</v>
      </c>
      <c r="O382" s="7">
        <v>1</v>
      </c>
      <c r="P382" s="8">
        <v>45265.746469907404</v>
      </c>
      <c r="Q382" s="9">
        <v>45266</v>
      </c>
      <c r="R382" t="s">
        <v>37</v>
      </c>
      <c r="S382" t="s">
        <v>44</v>
      </c>
      <c r="T382" t="s">
        <v>45</v>
      </c>
      <c r="U382" t="s">
        <v>115</v>
      </c>
      <c r="V382" t="s">
        <v>1270</v>
      </c>
      <c r="W382">
        <v>16080</v>
      </c>
      <c r="X382" t="s">
        <v>44</v>
      </c>
      <c r="Y382" t="s">
        <v>76</v>
      </c>
      <c r="Z382" t="s">
        <v>49</v>
      </c>
      <c r="AA382" s="10">
        <f>IF(O382&lt;=1,7,7+0.8*ROUNDUP(O382-1,0))</f>
        <v>7</v>
      </c>
      <c r="AB382" s="11">
        <v>0</v>
      </c>
      <c r="AC382" s="11">
        <v>0</v>
      </c>
      <c r="AD382" s="11">
        <v>0</v>
      </c>
      <c r="AE382" s="11">
        <v>0</v>
      </c>
      <c r="AF382" s="11">
        <f t="shared" si="10"/>
        <v>0.42</v>
      </c>
      <c r="AG382" s="11">
        <f t="shared" si="11"/>
        <v>7.42</v>
      </c>
      <c r="AH382" t="s">
        <v>44</v>
      </c>
    </row>
    <row r="383" spans="1:34" ht="15" customHeight="1" x14ac:dyDescent="0.35">
      <c r="A383">
        <v>7547676</v>
      </c>
      <c r="B383">
        <v>690929</v>
      </c>
      <c r="C383" t="s">
        <v>34</v>
      </c>
      <c r="D383" t="s">
        <v>35</v>
      </c>
      <c r="E383" s="6" t="s">
        <v>34</v>
      </c>
      <c r="F383" t="s">
        <v>1271</v>
      </c>
      <c r="G383" t="s">
        <v>37</v>
      </c>
      <c r="H383" t="s">
        <v>38</v>
      </c>
      <c r="I383" t="s">
        <v>1272</v>
      </c>
      <c r="J383" t="s">
        <v>40</v>
      </c>
      <c r="K383">
        <v>2</v>
      </c>
      <c r="L383" t="s">
        <v>41</v>
      </c>
      <c r="M383" t="s">
        <v>42</v>
      </c>
      <c r="N383" t="s">
        <v>43</v>
      </c>
      <c r="O383" s="7">
        <v>1</v>
      </c>
      <c r="P383" s="8">
        <v>45263.763703703706</v>
      </c>
      <c r="Q383" s="9">
        <v>45266</v>
      </c>
      <c r="R383" t="s">
        <v>37</v>
      </c>
      <c r="S383" t="s">
        <v>44</v>
      </c>
      <c r="T383" t="s">
        <v>45</v>
      </c>
      <c r="U383" t="s">
        <v>159</v>
      </c>
      <c r="V383" t="s">
        <v>1273</v>
      </c>
      <c r="W383">
        <v>34000</v>
      </c>
      <c r="X383" t="s">
        <v>44</v>
      </c>
      <c r="Y383" t="s">
        <v>1274</v>
      </c>
      <c r="Z383" t="s">
        <v>49</v>
      </c>
      <c r="AA383" s="10">
        <f>IF(O383&lt;=1,7,7+0.8*ROUNDUP(O383-1,0))</f>
        <v>7</v>
      </c>
      <c r="AB383" s="11">
        <v>0</v>
      </c>
      <c r="AC383" s="11">
        <v>0</v>
      </c>
      <c r="AD383" s="11">
        <v>0</v>
      </c>
      <c r="AE383" s="11">
        <v>0</v>
      </c>
      <c r="AF383" s="11">
        <f t="shared" si="10"/>
        <v>0.42</v>
      </c>
      <c r="AG383" s="11">
        <f t="shared" si="11"/>
        <v>7.42</v>
      </c>
      <c r="AH383" t="s">
        <v>44</v>
      </c>
    </row>
    <row r="384" spans="1:34" ht="15" customHeight="1" x14ac:dyDescent="0.35">
      <c r="A384">
        <v>7547676</v>
      </c>
      <c r="B384">
        <v>690929</v>
      </c>
      <c r="C384" t="s">
        <v>34</v>
      </c>
      <c r="D384" t="s">
        <v>35</v>
      </c>
      <c r="E384" s="6" t="s">
        <v>34</v>
      </c>
      <c r="F384" t="s">
        <v>1275</v>
      </c>
      <c r="G384" t="s">
        <v>37</v>
      </c>
      <c r="H384" t="s">
        <v>38</v>
      </c>
      <c r="I384" t="s">
        <v>314</v>
      </c>
      <c r="J384" t="s">
        <v>40</v>
      </c>
      <c r="K384">
        <v>2</v>
      </c>
      <c r="L384" t="s">
        <v>41</v>
      </c>
      <c r="M384" t="s">
        <v>42</v>
      </c>
      <c r="N384" t="s">
        <v>43</v>
      </c>
      <c r="O384" s="7">
        <v>1</v>
      </c>
      <c r="P384" s="8">
        <v>45265.611886574072</v>
      </c>
      <c r="Q384" s="9">
        <v>45266</v>
      </c>
      <c r="R384" t="s">
        <v>37</v>
      </c>
      <c r="S384" t="s">
        <v>44</v>
      </c>
      <c r="T384" t="s">
        <v>45</v>
      </c>
      <c r="U384" t="s">
        <v>68</v>
      </c>
      <c r="V384" t="s">
        <v>315</v>
      </c>
      <c r="W384">
        <v>40000</v>
      </c>
      <c r="X384" t="s">
        <v>44</v>
      </c>
      <c r="Y384" t="s">
        <v>173</v>
      </c>
      <c r="Z384" t="s">
        <v>49</v>
      </c>
      <c r="AA384" s="10">
        <f>IF(O384&lt;=1,7,7+0.8*ROUNDUP(O384-1,0))</f>
        <v>7</v>
      </c>
      <c r="AB384" s="11">
        <v>0</v>
      </c>
      <c r="AC384" s="11">
        <v>0</v>
      </c>
      <c r="AD384" s="11">
        <v>0</v>
      </c>
      <c r="AE384" s="11">
        <v>0</v>
      </c>
      <c r="AF384" s="11">
        <f t="shared" si="10"/>
        <v>0.42</v>
      </c>
      <c r="AG384" s="11">
        <f t="shared" si="11"/>
        <v>7.42</v>
      </c>
      <c r="AH384" t="s">
        <v>44</v>
      </c>
    </row>
    <row r="385" spans="1:34" ht="15" customHeight="1" x14ac:dyDescent="0.35">
      <c r="A385">
        <v>7547676</v>
      </c>
      <c r="B385">
        <v>690929</v>
      </c>
      <c r="C385" t="s">
        <v>34</v>
      </c>
      <c r="D385" t="s">
        <v>35</v>
      </c>
      <c r="E385" s="6" t="s">
        <v>34</v>
      </c>
      <c r="F385" t="s">
        <v>1276</v>
      </c>
      <c r="G385" t="s">
        <v>37</v>
      </c>
      <c r="H385" t="s">
        <v>38</v>
      </c>
      <c r="I385" t="s">
        <v>1277</v>
      </c>
      <c r="J385" t="s">
        <v>40</v>
      </c>
      <c r="K385">
        <v>2</v>
      </c>
      <c r="L385" t="s">
        <v>41</v>
      </c>
      <c r="M385" t="s">
        <v>42</v>
      </c>
      <c r="N385" t="s">
        <v>43</v>
      </c>
      <c r="O385" s="7">
        <v>2</v>
      </c>
      <c r="P385" s="8">
        <v>45265.595324074071</v>
      </c>
      <c r="Q385" s="9">
        <v>45266</v>
      </c>
      <c r="R385" t="s">
        <v>37</v>
      </c>
      <c r="S385" t="s">
        <v>44</v>
      </c>
      <c r="T385" t="s">
        <v>45</v>
      </c>
      <c r="U385" t="s">
        <v>258</v>
      </c>
      <c r="V385" t="s">
        <v>1278</v>
      </c>
      <c r="W385">
        <v>24300</v>
      </c>
      <c r="X385" t="s">
        <v>44</v>
      </c>
      <c r="Y385" t="s">
        <v>260</v>
      </c>
      <c r="Z385" t="s">
        <v>49</v>
      </c>
      <c r="AA385" s="10">
        <f>IF(O385&lt;=1,7,7+0.8*ROUNDUP(O385-1,0))</f>
        <v>7.8</v>
      </c>
      <c r="AB385" s="11">
        <v>0</v>
      </c>
      <c r="AC385" s="11">
        <v>0</v>
      </c>
      <c r="AD385" s="11">
        <v>0</v>
      </c>
      <c r="AE385" s="11">
        <v>0</v>
      </c>
      <c r="AF385" s="11">
        <f t="shared" si="10"/>
        <v>0.46799999999999997</v>
      </c>
      <c r="AG385" s="11">
        <f t="shared" si="11"/>
        <v>8.2680000000000007</v>
      </c>
      <c r="AH385" t="s">
        <v>44</v>
      </c>
    </row>
    <row r="386" spans="1:34" ht="15" customHeight="1" x14ac:dyDescent="0.35">
      <c r="A386">
        <v>7547676</v>
      </c>
      <c r="B386">
        <v>690929</v>
      </c>
      <c r="C386" t="s">
        <v>34</v>
      </c>
      <c r="D386" t="s">
        <v>35</v>
      </c>
      <c r="E386" s="6" t="s">
        <v>34</v>
      </c>
      <c r="F386" t="s">
        <v>1279</v>
      </c>
      <c r="G386" t="s">
        <v>37</v>
      </c>
      <c r="H386" t="s">
        <v>38</v>
      </c>
      <c r="I386" t="s">
        <v>1280</v>
      </c>
      <c r="J386" t="s">
        <v>40</v>
      </c>
      <c r="K386">
        <v>2</v>
      </c>
      <c r="L386" t="s">
        <v>41</v>
      </c>
      <c r="M386" t="s">
        <v>42</v>
      </c>
      <c r="N386" t="s">
        <v>43</v>
      </c>
      <c r="O386" s="7">
        <v>3</v>
      </c>
      <c r="P386" s="8">
        <v>45265.633472222224</v>
      </c>
      <c r="Q386" s="9">
        <v>45266</v>
      </c>
      <c r="R386" t="s">
        <v>37</v>
      </c>
      <c r="S386" t="s">
        <v>44</v>
      </c>
      <c r="T386" t="s">
        <v>45</v>
      </c>
      <c r="U386" t="s">
        <v>115</v>
      </c>
      <c r="V386" t="s">
        <v>1281</v>
      </c>
      <c r="W386">
        <v>17000</v>
      </c>
      <c r="X386" t="s">
        <v>44</v>
      </c>
      <c r="Y386" t="s">
        <v>1282</v>
      </c>
      <c r="Z386" t="s">
        <v>49</v>
      </c>
      <c r="AA386" s="10">
        <f>IF(O386&lt;=1,7,7+0.8*ROUNDUP(O386-1,0))</f>
        <v>8.6</v>
      </c>
      <c r="AB386" s="11">
        <v>0</v>
      </c>
      <c r="AC386" s="11">
        <v>0</v>
      </c>
      <c r="AD386" s="11">
        <v>0</v>
      </c>
      <c r="AE386" s="11">
        <v>0</v>
      </c>
      <c r="AF386" s="11">
        <f t="shared" ref="AF386:AF449" si="12">(AA386+AC386+AE386)*6%</f>
        <v>0.51600000000000001</v>
      </c>
      <c r="AG386" s="11">
        <f t="shared" ref="AG386:AG449" si="13">AA386+AC386+AE386+AF386</f>
        <v>9.1159999999999997</v>
      </c>
      <c r="AH386" t="s">
        <v>44</v>
      </c>
    </row>
    <row r="387" spans="1:34" ht="15" customHeight="1" x14ac:dyDescent="0.35">
      <c r="A387">
        <v>7547676</v>
      </c>
      <c r="B387">
        <v>690929</v>
      </c>
      <c r="C387" t="s">
        <v>34</v>
      </c>
      <c r="D387" t="s">
        <v>35</v>
      </c>
      <c r="E387" s="6" t="s">
        <v>34</v>
      </c>
      <c r="F387" t="s">
        <v>1283</v>
      </c>
      <c r="G387" t="s">
        <v>37</v>
      </c>
      <c r="H387" t="s">
        <v>38</v>
      </c>
      <c r="I387" t="s">
        <v>1284</v>
      </c>
      <c r="J387" t="s">
        <v>40</v>
      </c>
      <c r="K387">
        <v>2</v>
      </c>
      <c r="L387" t="s">
        <v>41</v>
      </c>
      <c r="M387" t="s">
        <v>42</v>
      </c>
      <c r="N387" t="s">
        <v>43</v>
      </c>
      <c r="O387" s="7">
        <v>1</v>
      </c>
      <c r="P387" s="8">
        <v>45265.559745370374</v>
      </c>
      <c r="Q387" s="9">
        <v>45266</v>
      </c>
      <c r="R387" t="s">
        <v>37</v>
      </c>
      <c r="S387" t="s">
        <v>44</v>
      </c>
      <c r="T387" t="s">
        <v>45</v>
      </c>
      <c r="U387" t="s">
        <v>77</v>
      </c>
      <c r="V387" t="s">
        <v>1285</v>
      </c>
      <c r="W387">
        <v>27600</v>
      </c>
      <c r="X387" t="s">
        <v>44</v>
      </c>
      <c r="Y387" t="s">
        <v>45</v>
      </c>
      <c r="Z387" t="s">
        <v>49</v>
      </c>
      <c r="AA387" s="10">
        <f>IF(O387&lt;=1,7,7+0.8*ROUNDUP(O387-1,0))</f>
        <v>7</v>
      </c>
      <c r="AB387" s="11">
        <v>0</v>
      </c>
      <c r="AC387" s="11">
        <v>0</v>
      </c>
      <c r="AD387" s="11">
        <v>0</v>
      </c>
      <c r="AE387" s="11">
        <v>0</v>
      </c>
      <c r="AF387" s="11">
        <f t="shared" si="12"/>
        <v>0.42</v>
      </c>
      <c r="AG387" s="11">
        <f t="shared" si="13"/>
        <v>7.42</v>
      </c>
      <c r="AH387" t="s">
        <v>44</v>
      </c>
    </row>
    <row r="388" spans="1:34" ht="15" customHeight="1" x14ac:dyDescent="0.35">
      <c r="A388">
        <v>7547676</v>
      </c>
      <c r="B388">
        <v>690929</v>
      </c>
      <c r="C388" t="s">
        <v>34</v>
      </c>
      <c r="D388" t="s">
        <v>35</v>
      </c>
      <c r="E388" s="6" t="s">
        <v>34</v>
      </c>
      <c r="F388" t="s">
        <v>1286</v>
      </c>
      <c r="G388" t="s">
        <v>37</v>
      </c>
      <c r="H388" t="s">
        <v>38</v>
      </c>
      <c r="I388" t="s">
        <v>1287</v>
      </c>
      <c r="J388" t="s">
        <v>40</v>
      </c>
      <c r="K388">
        <v>2</v>
      </c>
      <c r="L388" t="s">
        <v>41</v>
      </c>
      <c r="M388" t="s">
        <v>42</v>
      </c>
      <c r="N388" t="s">
        <v>43</v>
      </c>
      <c r="O388" s="7">
        <v>1</v>
      </c>
      <c r="P388" s="8">
        <v>45262.802152777775</v>
      </c>
      <c r="Q388" s="9">
        <v>45266</v>
      </c>
      <c r="R388" t="s">
        <v>37</v>
      </c>
      <c r="S388" t="s">
        <v>44</v>
      </c>
      <c r="T388" t="s">
        <v>45</v>
      </c>
      <c r="U388" t="s">
        <v>240</v>
      </c>
      <c r="V388" t="s">
        <v>1288</v>
      </c>
      <c r="W388">
        <v>93050</v>
      </c>
      <c r="X388" t="s">
        <v>242</v>
      </c>
      <c r="Y388" t="s">
        <v>52</v>
      </c>
      <c r="Z388" t="s">
        <v>49</v>
      </c>
      <c r="AA388" s="12">
        <f>IF(O388&lt;=1,13,IF(O388&lt;=2,23,IF(O388&lt;=3,35,IF(O388&lt;=4,43,IF(O388&lt;=5,53,IF(O388&lt;=6,63,IF(O388&lt;=7,71,IF(O388&lt;=8,79,IF(O388&lt;=9,87,IF(O388&lt;=10,95,IF(O388&lt;=11,105,IF(O388&lt;=12,114,IF(O388&lt;=13,119,IF(O388&lt;=14,127,IF(O388&lt;=15,135,IF(O388&lt;=16,143,IF(O388&lt;=17,153,IF(O388&lt;=18,163,IF(O388&lt;=19,171,IF(O388&lt;=20,185,IF(O388&lt;=21,193,IF(O388&lt;=22,201,IF(O388&lt;=23,210,IF(O388&lt;=24,220,IF(O388&lt;=25,230,IF(O388&lt;=26,240,IF(O388&lt;=27,250,IF(O388&lt;=28,260,IF(O388&lt;=29,270,IF(O388&lt;=30,280,280+10*ROUNDUP(O388-30,0)))))))))))))))))))))))))))))))</f>
        <v>13</v>
      </c>
      <c r="AB388" s="11">
        <v>0</v>
      </c>
      <c r="AC388" s="11">
        <v>0</v>
      </c>
      <c r="AD388" s="11">
        <v>0</v>
      </c>
      <c r="AE388" s="11">
        <v>0</v>
      </c>
      <c r="AF388" s="11">
        <f t="shared" si="12"/>
        <v>0.78</v>
      </c>
      <c r="AG388" s="11">
        <f t="shared" si="13"/>
        <v>13.78</v>
      </c>
      <c r="AH388" t="s">
        <v>242</v>
      </c>
    </row>
    <row r="389" spans="1:34" ht="15" customHeight="1" x14ac:dyDescent="0.35">
      <c r="A389">
        <v>7547676</v>
      </c>
      <c r="B389">
        <v>690929</v>
      </c>
      <c r="C389" t="s">
        <v>34</v>
      </c>
      <c r="D389" t="s">
        <v>35</v>
      </c>
      <c r="E389" s="6" t="s">
        <v>34</v>
      </c>
      <c r="F389" t="s">
        <v>1289</v>
      </c>
      <c r="G389" t="s">
        <v>37</v>
      </c>
      <c r="H389" t="s">
        <v>38</v>
      </c>
      <c r="I389" t="s">
        <v>1290</v>
      </c>
      <c r="J389" t="s">
        <v>40</v>
      </c>
      <c r="K389">
        <v>2</v>
      </c>
      <c r="L389" t="s">
        <v>41</v>
      </c>
      <c r="M389" t="s">
        <v>42</v>
      </c>
      <c r="N389" t="s">
        <v>43</v>
      </c>
      <c r="O389" s="7">
        <v>1</v>
      </c>
      <c r="P389" s="8">
        <v>45265.75209490741</v>
      </c>
      <c r="Q389" s="9">
        <v>45266</v>
      </c>
      <c r="R389" t="s">
        <v>37</v>
      </c>
      <c r="S389" t="s">
        <v>44</v>
      </c>
      <c r="T389" t="s">
        <v>45</v>
      </c>
      <c r="U389" t="s">
        <v>68</v>
      </c>
      <c r="V389" t="s">
        <v>1291</v>
      </c>
      <c r="W389">
        <v>62050</v>
      </c>
      <c r="X389" t="s">
        <v>44</v>
      </c>
      <c r="Y389" t="s">
        <v>1292</v>
      </c>
      <c r="Z389" t="s">
        <v>49</v>
      </c>
      <c r="AA389" s="10">
        <f>IF(O389&lt;=1,7,7+0.8*ROUNDUP(O389-1,0))</f>
        <v>7</v>
      </c>
      <c r="AB389" s="11">
        <v>0</v>
      </c>
      <c r="AC389" s="11">
        <v>0</v>
      </c>
      <c r="AD389" s="11">
        <v>0</v>
      </c>
      <c r="AE389" s="11">
        <v>0</v>
      </c>
      <c r="AF389" s="11">
        <f t="shared" si="12"/>
        <v>0.42</v>
      </c>
      <c r="AG389" s="11">
        <f t="shared" si="13"/>
        <v>7.42</v>
      </c>
      <c r="AH389" t="s">
        <v>44</v>
      </c>
    </row>
    <row r="390" spans="1:34" ht="15" customHeight="1" x14ac:dyDescent="0.35">
      <c r="A390">
        <v>7547676</v>
      </c>
      <c r="B390">
        <v>690929</v>
      </c>
      <c r="C390" t="s">
        <v>34</v>
      </c>
      <c r="D390" t="s">
        <v>35</v>
      </c>
      <c r="E390" s="6" t="s">
        <v>34</v>
      </c>
      <c r="F390" t="s">
        <v>1293</v>
      </c>
      <c r="G390" t="s">
        <v>37</v>
      </c>
      <c r="H390" t="s">
        <v>38</v>
      </c>
      <c r="I390" t="s">
        <v>1077</v>
      </c>
      <c r="J390" t="s">
        <v>40</v>
      </c>
      <c r="K390">
        <v>2</v>
      </c>
      <c r="L390" t="s">
        <v>41</v>
      </c>
      <c r="M390" t="s">
        <v>42</v>
      </c>
      <c r="N390" t="s">
        <v>43</v>
      </c>
      <c r="O390" s="7">
        <v>1</v>
      </c>
      <c r="P390" s="8">
        <v>45265.459803240738</v>
      </c>
      <c r="Q390" s="9">
        <v>45266</v>
      </c>
      <c r="R390" t="s">
        <v>37</v>
      </c>
      <c r="S390" t="s">
        <v>44</v>
      </c>
      <c r="T390" t="s">
        <v>45</v>
      </c>
      <c r="U390" t="s">
        <v>258</v>
      </c>
      <c r="V390" t="s">
        <v>1078</v>
      </c>
      <c r="W390">
        <v>24000</v>
      </c>
      <c r="X390" t="s">
        <v>44</v>
      </c>
      <c r="Y390" t="s">
        <v>45</v>
      </c>
      <c r="Z390" t="s">
        <v>49</v>
      </c>
      <c r="AA390" s="10">
        <f>IF(O390&lt;=1,7,7+0.8*ROUNDUP(O390-1,0))</f>
        <v>7</v>
      </c>
      <c r="AB390" s="11">
        <v>0</v>
      </c>
      <c r="AC390" s="11">
        <v>0</v>
      </c>
      <c r="AD390" s="11">
        <v>0</v>
      </c>
      <c r="AE390" s="11">
        <v>0</v>
      </c>
      <c r="AF390" s="11">
        <f t="shared" si="12"/>
        <v>0.42</v>
      </c>
      <c r="AG390" s="11">
        <f t="shared" si="13"/>
        <v>7.42</v>
      </c>
      <c r="AH390" t="s">
        <v>44</v>
      </c>
    </row>
    <row r="391" spans="1:34" ht="15" customHeight="1" x14ac:dyDescent="0.35">
      <c r="A391">
        <v>7547676</v>
      </c>
      <c r="B391">
        <v>690929</v>
      </c>
      <c r="C391" t="s">
        <v>34</v>
      </c>
      <c r="D391" t="s">
        <v>35</v>
      </c>
      <c r="E391" s="6" t="s">
        <v>34</v>
      </c>
      <c r="F391" t="s">
        <v>1294</v>
      </c>
      <c r="G391" t="s">
        <v>37</v>
      </c>
      <c r="H391" t="s">
        <v>38</v>
      </c>
      <c r="I391" t="s">
        <v>1295</v>
      </c>
      <c r="J391" t="s">
        <v>40</v>
      </c>
      <c r="K391">
        <v>2</v>
      </c>
      <c r="L391" t="s">
        <v>41</v>
      </c>
      <c r="M391" t="s">
        <v>42</v>
      </c>
      <c r="N391" t="s">
        <v>43</v>
      </c>
      <c r="O391" s="7">
        <v>6</v>
      </c>
      <c r="P391" s="8">
        <v>45264.758425925924</v>
      </c>
      <c r="Q391" s="9">
        <v>45266</v>
      </c>
      <c r="R391" t="s">
        <v>37</v>
      </c>
      <c r="S391" t="s">
        <v>44</v>
      </c>
      <c r="T391" t="s">
        <v>45</v>
      </c>
      <c r="U391" t="s">
        <v>68</v>
      </c>
      <c r="V391" t="s">
        <v>1296</v>
      </c>
      <c r="W391">
        <v>43200</v>
      </c>
      <c r="X391" t="s">
        <v>44</v>
      </c>
      <c r="Y391" t="s">
        <v>960</v>
      </c>
      <c r="Z391" t="s">
        <v>49</v>
      </c>
      <c r="AA391" s="10">
        <f>IF(O391&lt;=1,7,7+0.8*ROUNDUP(O391-1,0))</f>
        <v>11</v>
      </c>
      <c r="AB391" s="11">
        <v>0</v>
      </c>
      <c r="AC391" s="11">
        <v>0</v>
      </c>
      <c r="AD391" s="11">
        <v>0</v>
      </c>
      <c r="AE391" s="11">
        <v>0</v>
      </c>
      <c r="AF391" s="11">
        <f t="shared" si="12"/>
        <v>0.65999999999999992</v>
      </c>
      <c r="AG391" s="11">
        <f t="shared" si="13"/>
        <v>11.66</v>
      </c>
      <c r="AH391" t="s">
        <v>44</v>
      </c>
    </row>
    <row r="392" spans="1:34" ht="15" customHeight="1" x14ac:dyDescent="0.35">
      <c r="A392">
        <v>7547676</v>
      </c>
      <c r="B392">
        <v>690929</v>
      </c>
      <c r="C392" t="s">
        <v>34</v>
      </c>
      <c r="D392" t="s">
        <v>35</v>
      </c>
      <c r="E392" s="6" t="s">
        <v>34</v>
      </c>
      <c r="F392" t="s">
        <v>1297</v>
      </c>
      <c r="G392" t="s">
        <v>37</v>
      </c>
      <c r="H392" t="s">
        <v>38</v>
      </c>
      <c r="I392" t="s">
        <v>982</v>
      </c>
      <c r="J392" t="s">
        <v>40</v>
      </c>
      <c r="K392">
        <v>2</v>
      </c>
      <c r="L392" t="s">
        <v>41</v>
      </c>
      <c r="M392" t="s">
        <v>42</v>
      </c>
      <c r="N392" t="s">
        <v>43</v>
      </c>
      <c r="O392" s="7">
        <v>3</v>
      </c>
      <c r="P392" s="8">
        <v>45265.622800925928</v>
      </c>
      <c r="Q392" s="9">
        <v>45266</v>
      </c>
      <c r="R392" t="s">
        <v>37</v>
      </c>
      <c r="S392" t="s">
        <v>44</v>
      </c>
      <c r="T392" t="s">
        <v>45</v>
      </c>
      <c r="U392" t="s">
        <v>115</v>
      </c>
      <c r="V392" t="s">
        <v>1298</v>
      </c>
      <c r="W392">
        <v>18300</v>
      </c>
      <c r="X392" t="s">
        <v>44</v>
      </c>
      <c r="Y392" t="s">
        <v>76</v>
      </c>
      <c r="Z392" t="s">
        <v>49</v>
      </c>
      <c r="AA392" s="10">
        <f>IF(O392&lt;=1,7,7+0.8*ROUNDUP(O392-1,0))</f>
        <v>8.6</v>
      </c>
      <c r="AB392" s="11">
        <v>0</v>
      </c>
      <c r="AC392" s="11">
        <v>0</v>
      </c>
      <c r="AD392" s="11">
        <v>0</v>
      </c>
      <c r="AE392" s="11">
        <v>0</v>
      </c>
      <c r="AF392" s="11">
        <f t="shared" si="12"/>
        <v>0.51600000000000001</v>
      </c>
      <c r="AG392" s="11">
        <f t="shared" si="13"/>
        <v>9.1159999999999997</v>
      </c>
      <c r="AH392" t="s">
        <v>44</v>
      </c>
    </row>
    <row r="393" spans="1:34" ht="15" customHeight="1" x14ac:dyDescent="0.35">
      <c r="A393">
        <v>7547676</v>
      </c>
      <c r="B393">
        <v>690929</v>
      </c>
      <c r="C393" t="s">
        <v>34</v>
      </c>
      <c r="D393" t="s">
        <v>35</v>
      </c>
      <c r="E393" s="6" t="s">
        <v>34</v>
      </c>
      <c r="F393" t="s">
        <v>1299</v>
      </c>
      <c r="G393" t="s">
        <v>37</v>
      </c>
      <c r="H393" t="s">
        <v>38</v>
      </c>
      <c r="I393" t="s">
        <v>1300</v>
      </c>
      <c r="J393" t="s">
        <v>40</v>
      </c>
      <c r="K393">
        <v>2</v>
      </c>
      <c r="L393" t="s">
        <v>41</v>
      </c>
      <c r="M393" t="s">
        <v>42</v>
      </c>
      <c r="N393" t="s">
        <v>43</v>
      </c>
      <c r="O393" s="7">
        <v>1</v>
      </c>
      <c r="P393" s="8">
        <v>45264.715763888889</v>
      </c>
      <c r="Q393" s="9">
        <v>45266</v>
      </c>
      <c r="R393" t="s">
        <v>37</v>
      </c>
      <c r="S393" t="s">
        <v>44</v>
      </c>
      <c r="T393" t="s">
        <v>45</v>
      </c>
      <c r="U393" t="s">
        <v>94</v>
      </c>
      <c r="V393" t="s">
        <v>1301</v>
      </c>
      <c r="W393">
        <v>13800</v>
      </c>
      <c r="X393" t="s">
        <v>44</v>
      </c>
      <c r="Y393" t="s">
        <v>534</v>
      </c>
      <c r="Z393" t="s">
        <v>49</v>
      </c>
      <c r="AA393" s="10">
        <f>IF(O393&lt;=1,7,7+0.8*ROUNDUP(O393-1,0))</f>
        <v>7</v>
      </c>
      <c r="AB393" s="11">
        <v>0</v>
      </c>
      <c r="AC393" s="11">
        <v>0</v>
      </c>
      <c r="AD393" s="11">
        <v>0</v>
      </c>
      <c r="AE393" s="11">
        <v>0</v>
      </c>
      <c r="AF393" s="11">
        <f t="shared" si="12"/>
        <v>0.42</v>
      </c>
      <c r="AG393" s="11">
        <f t="shared" si="13"/>
        <v>7.42</v>
      </c>
      <c r="AH393" t="s">
        <v>44</v>
      </c>
    </row>
    <row r="394" spans="1:34" ht="15" customHeight="1" x14ac:dyDescent="0.35">
      <c r="A394">
        <v>7547676</v>
      </c>
      <c r="B394">
        <v>690929</v>
      </c>
      <c r="C394" t="s">
        <v>34</v>
      </c>
      <c r="D394" t="s">
        <v>35</v>
      </c>
      <c r="E394" s="6" t="s">
        <v>34</v>
      </c>
      <c r="F394" t="s">
        <v>1302</v>
      </c>
      <c r="G394" t="s">
        <v>37</v>
      </c>
      <c r="H394" t="s">
        <v>38</v>
      </c>
      <c r="I394" t="s">
        <v>1303</v>
      </c>
      <c r="J394" t="s">
        <v>40</v>
      </c>
      <c r="K394">
        <v>2</v>
      </c>
      <c r="L394" t="s">
        <v>41</v>
      </c>
      <c r="M394" t="s">
        <v>42</v>
      </c>
      <c r="N394" t="s">
        <v>43</v>
      </c>
      <c r="O394" s="7">
        <v>1</v>
      </c>
      <c r="P394" s="8">
        <v>45265.609409722223</v>
      </c>
      <c r="Q394" s="9">
        <v>45266</v>
      </c>
      <c r="R394" t="s">
        <v>37</v>
      </c>
      <c r="S394" t="s">
        <v>44</v>
      </c>
      <c r="T394" t="s">
        <v>45</v>
      </c>
      <c r="U394" t="s">
        <v>258</v>
      </c>
      <c r="V394" t="s">
        <v>1304</v>
      </c>
      <c r="W394">
        <v>21600</v>
      </c>
      <c r="X394" t="s">
        <v>44</v>
      </c>
      <c r="Y394" t="s">
        <v>260</v>
      </c>
      <c r="Z394" t="s">
        <v>49</v>
      </c>
      <c r="AA394" s="10">
        <f>IF(O394&lt;=1,7,7+0.8*ROUNDUP(O394-1,0))</f>
        <v>7</v>
      </c>
      <c r="AB394" s="11">
        <v>0</v>
      </c>
      <c r="AC394" s="11">
        <v>0</v>
      </c>
      <c r="AD394" s="11">
        <v>0</v>
      </c>
      <c r="AE394" s="11">
        <v>0</v>
      </c>
      <c r="AF394" s="11">
        <f t="shared" si="12"/>
        <v>0.42</v>
      </c>
      <c r="AG394" s="11">
        <f t="shared" si="13"/>
        <v>7.42</v>
      </c>
      <c r="AH394" t="s">
        <v>44</v>
      </c>
    </row>
    <row r="395" spans="1:34" ht="15" customHeight="1" x14ac:dyDescent="0.35">
      <c r="A395">
        <v>7547676</v>
      </c>
      <c r="B395">
        <v>690929</v>
      </c>
      <c r="C395" t="s">
        <v>34</v>
      </c>
      <c r="D395" t="s">
        <v>35</v>
      </c>
      <c r="E395" s="6" t="s">
        <v>34</v>
      </c>
      <c r="F395" t="s">
        <v>1305</v>
      </c>
      <c r="G395" t="s">
        <v>37</v>
      </c>
      <c r="H395" t="s">
        <v>38</v>
      </c>
      <c r="I395" t="s">
        <v>1306</v>
      </c>
      <c r="J395" t="s">
        <v>40</v>
      </c>
      <c r="K395">
        <v>2</v>
      </c>
      <c r="L395" t="s">
        <v>41</v>
      </c>
      <c r="M395" t="s">
        <v>42</v>
      </c>
      <c r="N395" t="s">
        <v>43</v>
      </c>
      <c r="O395" s="7">
        <v>1</v>
      </c>
      <c r="P395" s="8">
        <v>45265.44159722222</v>
      </c>
      <c r="Q395" s="9">
        <v>45266</v>
      </c>
      <c r="R395" t="s">
        <v>37</v>
      </c>
      <c r="S395" t="s">
        <v>44</v>
      </c>
      <c r="T395" t="s">
        <v>45</v>
      </c>
      <c r="U395" t="s">
        <v>68</v>
      </c>
      <c r="V395" t="s">
        <v>1307</v>
      </c>
      <c r="W395">
        <v>42500</v>
      </c>
      <c r="X395" t="s">
        <v>44</v>
      </c>
      <c r="Y395" t="s">
        <v>104</v>
      </c>
      <c r="Z395" t="s">
        <v>49</v>
      </c>
      <c r="AA395" s="10">
        <f>IF(O395&lt;=1,7,7+0.8*ROUNDUP(O395-1,0))</f>
        <v>7</v>
      </c>
      <c r="AB395" s="11">
        <v>0</v>
      </c>
      <c r="AC395" s="11">
        <v>0</v>
      </c>
      <c r="AD395" s="11">
        <v>0</v>
      </c>
      <c r="AE395" s="11">
        <v>0</v>
      </c>
      <c r="AF395" s="11">
        <f t="shared" si="12"/>
        <v>0.42</v>
      </c>
      <c r="AG395" s="11">
        <f t="shared" si="13"/>
        <v>7.42</v>
      </c>
      <c r="AH395" t="s">
        <v>44</v>
      </c>
    </row>
    <row r="396" spans="1:34" ht="15" customHeight="1" x14ac:dyDescent="0.35">
      <c r="A396">
        <v>7547676</v>
      </c>
      <c r="B396">
        <v>690929</v>
      </c>
      <c r="C396" t="s">
        <v>34</v>
      </c>
      <c r="D396" t="s">
        <v>35</v>
      </c>
      <c r="E396" s="6" t="s">
        <v>34</v>
      </c>
      <c r="F396" t="s">
        <v>1308</v>
      </c>
      <c r="G396" t="s">
        <v>37</v>
      </c>
      <c r="H396" t="s">
        <v>38</v>
      </c>
      <c r="I396" t="s">
        <v>1309</v>
      </c>
      <c r="J396" t="s">
        <v>40</v>
      </c>
      <c r="K396">
        <v>2</v>
      </c>
      <c r="L396" t="s">
        <v>41</v>
      </c>
      <c r="M396" t="s">
        <v>42</v>
      </c>
      <c r="N396" t="s">
        <v>43</v>
      </c>
      <c r="O396" s="7">
        <v>1</v>
      </c>
      <c r="P396" s="8">
        <v>45265.703946759262</v>
      </c>
      <c r="Q396" s="9">
        <v>45266</v>
      </c>
      <c r="R396" t="s">
        <v>37</v>
      </c>
      <c r="S396" t="s">
        <v>44</v>
      </c>
      <c r="T396" t="s">
        <v>45</v>
      </c>
      <c r="U396" t="s">
        <v>68</v>
      </c>
      <c r="V396" t="s">
        <v>1310</v>
      </c>
      <c r="W396">
        <v>48300</v>
      </c>
      <c r="X396" t="s">
        <v>44</v>
      </c>
      <c r="Y396" t="s">
        <v>52</v>
      </c>
      <c r="Z396" t="s">
        <v>49</v>
      </c>
      <c r="AA396" s="10">
        <f>IF(O396&lt;=1,7,7+0.8*ROUNDUP(O396-1,0))</f>
        <v>7</v>
      </c>
      <c r="AB396" s="11">
        <v>0</v>
      </c>
      <c r="AC396" s="11">
        <v>0</v>
      </c>
      <c r="AD396" s="11">
        <v>0</v>
      </c>
      <c r="AE396" s="11">
        <v>0</v>
      </c>
      <c r="AF396" s="11">
        <f t="shared" si="12"/>
        <v>0.42</v>
      </c>
      <c r="AG396" s="11">
        <f t="shared" si="13"/>
        <v>7.42</v>
      </c>
      <c r="AH396" t="s">
        <v>44</v>
      </c>
    </row>
    <row r="397" spans="1:34" ht="15" customHeight="1" x14ac:dyDescent="0.35">
      <c r="A397">
        <v>7547676</v>
      </c>
      <c r="B397">
        <v>690929</v>
      </c>
      <c r="C397" t="s">
        <v>34</v>
      </c>
      <c r="D397" t="s">
        <v>35</v>
      </c>
      <c r="E397" s="6" t="s">
        <v>34</v>
      </c>
      <c r="F397" t="s">
        <v>1311</v>
      </c>
      <c r="G397" t="s">
        <v>37</v>
      </c>
      <c r="H397" t="s">
        <v>38</v>
      </c>
      <c r="I397" t="s">
        <v>1312</v>
      </c>
      <c r="J397" t="s">
        <v>40</v>
      </c>
      <c r="K397">
        <v>2</v>
      </c>
      <c r="L397" t="s">
        <v>41</v>
      </c>
      <c r="M397" t="s">
        <v>42</v>
      </c>
      <c r="N397" t="s">
        <v>43</v>
      </c>
      <c r="O397" s="7">
        <v>2</v>
      </c>
      <c r="P397" s="8">
        <v>45265.70103009259</v>
      </c>
      <c r="Q397" s="9">
        <v>45266</v>
      </c>
      <c r="R397" t="s">
        <v>37</v>
      </c>
      <c r="S397" t="s">
        <v>44</v>
      </c>
      <c r="T397" t="s">
        <v>45</v>
      </c>
      <c r="U397" t="s">
        <v>115</v>
      </c>
      <c r="V397" t="s">
        <v>1313</v>
      </c>
      <c r="W397">
        <v>16300</v>
      </c>
      <c r="X397" t="s">
        <v>44</v>
      </c>
      <c r="Y397" t="s">
        <v>76</v>
      </c>
      <c r="Z397" t="s">
        <v>49</v>
      </c>
      <c r="AA397" s="10">
        <f>IF(O397&lt;=1,7,7+0.8*ROUNDUP(O397-1,0))</f>
        <v>7.8</v>
      </c>
      <c r="AB397" s="11">
        <v>0</v>
      </c>
      <c r="AC397" s="11">
        <v>0</v>
      </c>
      <c r="AD397" s="11">
        <v>0</v>
      </c>
      <c r="AE397" s="11">
        <v>0</v>
      </c>
      <c r="AF397" s="11">
        <f t="shared" si="12"/>
        <v>0.46799999999999997</v>
      </c>
      <c r="AG397" s="11">
        <f t="shared" si="13"/>
        <v>8.2680000000000007</v>
      </c>
      <c r="AH397" t="s">
        <v>44</v>
      </c>
    </row>
    <row r="398" spans="1:34" ht="15" customHeight="1" x14ac:dyDescent="0.35">
      <c r="A398">
        <v>7547676</v>
      </c>
      <c r="B398">
        <v>690929</v>
      </c>
      <c r="C398" t="s">
        <v>34</v>
      </c>
      <c r="D398" t="s">
        <v>35</v>
      </c>
      <c r="E398" s="6" t="s">
        <v>34</v>
      </c>
      <c r="F398" t="s">
        <v>1314</v>
      </c>
      <c r="G398" t="s">
        <v>37</v>
      </c>
      <c r="H398" t="s">
        <v>38</v>
      </c>
      <c r="I398" t="s">
        <v>342</v>
      </c>
      <c r="J398" t="s">
        <v>40</v>
      </c>
      <c r="K398">
        <v>2</v>
      </c>
      <c r="L398" t="s">
        <v>41</v>
      </c>
      <c r="M398" t="s">
        <v>42</v>
      </c>
      <c r="N398" t="s">
        <v>43</v>
      </c>
      <c r="O398" s="7">
        <v>2</v>
      </c>
      <c r="P398" s="8">
        <v>45265.724641203706</v>
      </c>
      <c r="Q398" s="9">
        <v>45266</v>
      </c>
      <c r="R398" t="s">
        <v>37</v>
      </c>
      <c r="S398" t="s">
        <v>44</v>
      </c>
      <c r="T398" t="s">
        <v>45</v>
      </c>
      <c r="U398" t="s">
        <v>68</v>
      </c>
      <c r="V398" t="s">
        <v>1315</v>
      </c>
      <c r="W398">
        <v>46050</v>
      </c>
      <c r="X398" t="s">
        <v>44</v>
      </c>
      <c r="Y398" t="s">
        <v>186</v>
      </c>
      <c r="Z398" t="s">
        <v>49</v>
      </c>
      <c r="AA398" s="10">
        <f>IF(O398&lt;=1,7,7+0.8*ROUNDUP(O398-1,0))</f>
        <v>7.8</v>
      </c>
      <c r="AB398" s="11">
        <v>0</v>
      </c>
      <c r="AC398" s="11">
        <v>0</v>
      </c>
      <c r="AD398" s="11">
        <v>0</v>
      </c>
      <c r="AE398" s="11">
        <v>0</v>
      </c>
      <c r="AF398" s="11">
        <f t="shared" si="12"/>
        <v>0.46799999999999997</v>
      </c>
      <c r="AG398" s="11">
        <f t="shared" si="13"/>
        <v>8.2680000000000007</v>
      </c>
      <c r="AH398" t="s">
        <v>44</v>
      </c>
    </row>
    <row r="399" spans="1:34" ht="15" customHeight="1" x14ac:dyDescent="0.35">
      <c r="A399">
        <v>7547676</v>
      </c>
      <c r="B399">
        <v>690929</v>
      </c>
      <c r="C399" t="s">
        <v>34</v>
      </c>
      <c r="D399" t="s">
        <v>35</v>
      </c>
      <c r="E399" s="6" t="s">
        <v>34</v>
      </c>
      <c r="F399" t="s">
        <v>1316</v>
      </c>
      <c r="G399" t="s">
        <v>37</v>
      </c>
      <c r="H399" t="s">
        <v>38</v>
      </c>
      <c r="I399" t="s">
        <v>1317</v>
      </c>
      <c r="J399" t="s">
        <v>40</v>
      </c>
      <c r="K399">
        <v>2</v>
      </c>
      <c r="L399" t="s">
        <v>41</v>
      </c>
      <c r="M399" t="s">
        <v>42</v>
      </c>
      <c r="N399" t="s">
        <v>43</v>
      </c>
      <c r="O399" s="7">
        <v>1</v>
      </c>
      <c r="P399" s="8">
        <v>45265.459803240738</v>
      </c>
      <c r="Q399" s="9">
        <v>45266</v>
      </c>
      <c r="R399" t="s">
        <v>37</v>
      </c>
      <c r="S399" t="s">
        <v>44</v>
      </c>
      <c r="T399" t="s">
        <v>45</v>
      </c>
      <c r="U399" t="s">
        <v>115</v>
      </c>
      <c r="V399" t="s">
        <v>1318</v>
      </c>
      <c r="W399">
        <v>17060</v>
      </c>
      <c r="X399" t="s">
        <v>44</v>
      </c>
      <c r="Y399" t="s">
        <v>76</v>
      </c>
      <c r="Z399" t="s">
        <v>49</v>
      </c>
      <c r="AA399" s="10">
        <f>IF(O399&lt;=1,7,7+0.8*ROUNDUP(O399-1,0))</f>
        <v>7</v>
      </c>
      <c r="AB399" s="11">
        <v>0</v>
      </c>
      <c r="AC399" s="11">
        <v>0</v>
      </c>
      <c r="AD399" s="11">
        <v>0</v>
      </c>
      <c r="AE399" s="11">
        <v>0</v>
      </c>
      <c r="AF399" s="11">
        <f t="shared" si="12"/>
        <v>0.42</v>
      </c>
      <c r="AG399" s="11">
        <f t="shared" si="13"/>
        <v>7.42</v>
      </c>
      <c r="AH399" t="s">
        <v>44</v>
      </c>
    </row>
    <row r="400" spans="1:34" ht="15" customHeight="1" x14ac:dyDescent="0.35">
      <c r="A400">
        <v>7547676</v>
      </c>
      <c r="B400">
        <v>690929</v>
      </c>
      <c r="C400" t="s">
        <v>34</v>
      </c>
      <c r="D400" t="s">
        <v>35</v>
      </c>
      <c r="E400" s="6" t="s">
        <v>34</v>
      </c>
      <c r="F400" t="s">
        <v>1319</v>
      </c>
      <c r="G400" t="s">
        <v>37</v>
      </c>
      <c r="H400" t="s">
        <v>38</v>
      </c>
      <c r="I400" t="s">
        <v>1320</v>
      </c>
      <c r="J400" t="s">
        <v>40</v>
      </c>
      <c r="K400">
        <v>2</v>
      </c>
      <c r="L400" t="s">
        <v>41</v>
      </c>
      <c r="M400" t="s">
        <v>42</v>
      </c>
      <c r="N400" t="s">
        <v>43</v>
      </c>
      <c r="O400" s="7">
        <v>1</v>
      </c>
      <c r="P400" s="8">
        <v>45264.692418981482</v>
      </c>
      <c r="Q400" s="9">
        <v>45266</v>
      </c>
      <c r="R400" t="s">
        <v>37</v>
      </c>
      <c r="S400" t="s">
        <v>44</v>
      </c>
      <c r="T400" t="s">
        <v>45</v>
      </c>
      <c r="U400" t="s">
        <v>58</v>
      </c>
      <c r="V400" t="s">
        <v>1321</v>
      </c>
      <c r="W400">
        <v>6300</v>
      </c>
      <c r="X400" t="s">
        <v>44</v>
      </c>
      <c r="Y400" t="s">
        <v>52</v>
      </c>
      <c r="Z400" t="s">
        <v>49</v>
      </c>
      <c r="AA400" s="10">
        <f>IF(O400&lt;=1,7,7+0.8*ROUNDUP(O400-1,0))</f>
        <v>7</v>
      </c>
      <c r="AB400" s="11">
        <v>0</v>
      </c>
      <c r="AC400" s="11">
        <v>0</v>
      </c>
      <c r="AD400" s="11">
        <v>0</v>
      </c>
      <c r="AE400" s="11">
        <v>0</v>
      </c>
      <c r="AF400" s="11">
        <f t="shared" si="12"/>
        <v>0.42</v>
      </c>
      <c r="AG400" s="11">
        <f t="shared" si="13"/>
        <v>7.42</v>
      </c>
      <c r="AH400" t="s">
        <v>44</v>
      </c>
    </row>
    <row r="401" spans="1:34" ht="15" customHeight="1" x14ac:dyDescent="0.35">
      <c r="A401">
        <v>7547676</v>
      </c>
      <c r="B401">
        <v>690929</v>
      </c>
      <c r="C401" t="s">
        <v>34</v>
      </c>
      <c r="D401" t="s">
        <v>35</v>
      </c>
      <c r="E401" s="6" t="s">
        <v>34</v>
      </c>
      <c r="F401" t="s">
        <v>1322</v>
      </c>
      <c r="G401" t="s">
        <v>37</v>
      </c>
      <c r="H401" t="s">
        <v>38</v>
      </c>
      <c r="I401" t="s">
        <v>1323</v>
      </c>
      <c r="J401" t="s">
        <v>40</v>
      </c>
      <c r="K401">
        <v>2</v>
      </c>
      <c r="L401" t="s">
        <v>41</v>
      </c>
      <c r="M401" t="s">
        <v>42</v>
      </c>
      <c r="N401" t="s">
        <v>43</v>
      </c>
      <c r="O401" s="7">
        <v>2</v>
      </c>
      <c r="P401" s="8">
        <v>45265.741296296299</v>
      </c>
      <c r="Q401" s="9">
        <v>45266</v>
      </c>
      <c r="R401" t="s">
        <v>37</v>
      </c>
      <c r="S401" t="s">
        <v>44</v>
      </c>
      <c r="T401" t="s">
        <v>45</v>
      </c>
      <c r="U401" t="s">
        <v>68</v>
      </c>
      <c r="V401" t="s">
        <v>1324</v>
      </c>
      <c r="W401">
        <v>48300</v>
      </c>
      <c r="X401" t="s">
        <v>44</v>
      </c>
      <c r="Y401" t="s">
        <v>52</v>
      </c>
      <c r="Z401" t="s">
        <v>49</v>
      </c>
      <c r="AA401" s="10">
        <f>IF(O401&lt;=1,7,7+0.8*ROUNDUP(O401-1,0))</f>
        <v>7.8</v>
      </c>
      <c r="AB401" s="11">
        <v>0</v>
      </c>
      <c r="AC401" s="11">
        <v>0</v>
      </c>
      <c r="AD401" s="11">
        <v>0</v>
      </c>
      <c r="AE401" s="11">
        <v>0</v>
      </c>
      <c r="AF401" s="11">
        <f t="shared" si="12"/>
        <v>0.46799999999999997</v>
      </c>
      <c r="AG401" s="11">
        <f t="shared" si="13"/>
        <v>8.2680000000000007</v>
      </c>
      <c r="AH401" t="s">
        <v>44</v>
      </c>
    </row>
    <row r="402" spans="1:34" ht="15" customHeight="1" x14ac:dyDescent="0.35">
      <c r="A402">
        <v>7547676</v>
      </c>
      <c r="B402">
        <v>690929</v>
      </c>
      <c r="C402" t="s">
        <v>34</v>
      </c>
      <c r="D402" t="s">
        <v>35</v>
      </c>
      <c r="E402" s="6" t="s">
        <v>34</v>
      </c>
      <c r="F402" t="s">
        <v>1325</v>
      </c>
      <c r="G402" t="s">
        <v>37</v>
      </c>
      <c r="H402" t="s">
        <v>38</v>
      </c>
      <c r="I402" t="s">
        <v>1326</v>
      </c>
      <c r="J402" t="s">
        <v>40</v>
      </c>
      <c r="K402">
        <v>2</v>
      </c>
      <c r="L402" t="s">
        <v>41</v>
      </c>
      <c r="M402" t="s">
        <v>42</v>
      </c>
      <c r="N402" t="s">
        <v>43</v>
      </c>
      <c r="O402" s="7">
        <v>2</v>
      </c>
      <c r="P402" s="8">
        <v>45265.603796296295</v>
      </c>
      <c r="Q402" s="9">
        <v>45266</v>
      </c>
      <c r="R402" t="s">
        <v>37</v>
      </c>
      <c r="S402" t="s">
        <v>44</v>
      </c>
      <c r="T402" t="s">
        <v>45</v>
      </c>
      <c r="U402" t="s">
        <v>82</v>
      </c>
      <c r="V402" t="s">
        <v>1327</v>
      </c>
      <c r="W402">
        <v>71800</v>
      </c>
      <c r="X402" t="s">
        <v>44</v>
      </c>
      <c r="Y402" t="s">
        <v>84</v>
      </c>
      <c r="Z402" t="s">
        <v>49</v>
      </c>
      <c r="AA402" s="10">
        <f>IF(O402&lt;=1,7,7+0.8*ROUNDUP(O402-1,0))</f>
        <v>7.8</v>
      </c>
      <c r="AB402" s="11">
        <v>0</v>
      </c>
      <c r="AC402" s="11">
        <v>0</v>
      </c>
      <c r="AD402" s="11">
        <v>0</v>
      </c>
      <c r="AE402" s="11">
        <v>0</v>
      </c>
      <c r="AF402" s="11">
        <f t="shared" si="12"/>
        <v>0.46799999999999997</v>
      </c>
      <c r="AG402" s="11">
        <f t="shared" si="13"/>
        <v>8.2680000000000007</v>
      </c>
      <c r="AH402" t="s">
        <v>44</v>
      </c>
    </row>
    <row r="403" spans="1:34" ht="15" customHeight="1" x14ac:dyDescent="0.35">
      <c r="A403">
        <v>7547676</v>
      </c>
      <c r="B403">
        <v>690929</v>
      </c>
      <c r="C403" t="s">
        <v>34</v>
      </c>
      <c r="D403" t="s">
        <v>35</v>
      </c>
      <c r="E403" s="6" t="s">
        <v>34</v>
      </c>
      <c r="F403" t="s">
        <v>1328</v>
      </c>
      <c r="G403" t="s">
        <v>37</v>
      </c>
      <c r="H403" t="s">
        <v>38</v>
      </c>
      <c r="I403" t="s">
        <v>591</v>
      </c>
      <c r="J403" t="s">
        <v>40</v>
      </c>
      <c r="K403">
        <v>2</v>
      </c>
      <c r="L403" t="s">
        <v>41</v>
      </c>
      <c r="M403" t="s">
        <v>42</v>
      </c>
      <c r="N403" t="s">
        <v>43</v>
      </c>
      <c r="O403" s="7">
        <v>2</v>
      </c>
      <c r="P403" s="8">
        <v>45265.712650462963</v>
      </c>
      <c r="Q403" s="9">
        <v>45267</v>
      </c>
      <c r="R403" t="s">
        <v>37</v>
      </c>
      <c r="S403" t="s">
        <v>44</v>
      </c>
      <c r="T403" t="s">
        <v>45</v>
      </c>
      <c r="U403" t="s">
        <v>279</v>
      </c>
      <c r="V403" t="s">
        <v>1329</v>
      </c>
      <c r="W403">
        <v>91308</v>
      </c>
      <c r="X403" t="s">
        <v>242</v>
      </c>
      <c r="Y403" t="s">
        <v>52</v>
      </c>
      <c r="Z403" t="s">
        <v>49</v>
      </c>
      <c r="AA403" s="12">
        <f>IF(O403&lt;=1,13,IF(O403&lt;=2,23,IF(O403&lt;=3,35,IF(O403&lt;=4,43,IF(O403&lt;=5,53,IF(O403&lt;=6,63,IF(O403&lt;=7,71,IF(O403&lt;=8,79,IF(O403&lt;=9,87,IF(O403&lt;=10,95,IF(O403&lt;=11,105,IF(O403&lt;=12,114,IF(O403&lt;=13,119,IF(O403&lt;=14,127,IF(O403&lt;=15,135,IF(O403&lt;=16,143,IF(O403&lt;=17,153,IF(O403&lt;=18,163,IF(O403&lt;=19,171,IF(O403&lt;=20,185,IF(O403&lt;=21,193,IF(O403&lt;=22,201,IF(O403&lt;=23,210,IF(O403&lt;=24,220,IF(O403&lt;=25,230,IF(O403&lt;=26,240,IF(O403&lt;=27,250,IF(O403&lt;=28,260,IF(O403&lt;=29,270,IF(O403&lt;=30,280,280+10*ROUNDUP(O403-30,0)))))))))))))))))))))))))))))))</f>
        <v>23</v>
      </c>
      <c r="AB403" s="11">
        <v>0</v>
      </c>
      <c r="AC403" s="11">
        <v>0</v>
      </c>
      <c r="AD403" s="11">
        <v>0</v>
      </c>
      <c r="AE403" s="11">
        <v>0</v>
      </c>
      <c r="AF403" s="11">
        <f t="shared" si="12"/>
        <v>1.38</v>
      </c>
      <c r="AG403" s="11">
        <f t="shared" si="13"/>
        <v>24.38</v>
      </c>
      <c r="AH403" t="s">
        <v>242</v>
      </c>
    </row>
    <row r="404" spans="1:34" ht="15" customHeight="1" x14ac:dyDescent="0.35">
      <c r="A404">
        <v>7547676</v>
      </c>
      <c r="B404">
        <v>690929</v>
      </c>
      <c r="C404" t="s">
        <v>34</v>
      </c>
      <c r="D404" t="s">
        <v>35</v>
      </c>
      <c r="E404" s="6" t="s">
        <v>34</v>
      </c>
      <c r="F404" t="s">
        <v>1330</v>
      </c>
      <c r="G404" t="s">
        <v>37</v>
      </c>
      <c r="H404" t="s">
        <v>38</v>
      </c>
      <c r="I404" t="s">
        <v>1331</v>
      </c>
      <c r="J404" t="s">
        <v>40</v>
      </c>
      <c r="K404">
        <v>2</v>
      </c>
      <c r="L404" t="s">
        <v>41</v>
      </c>
      <c r="M404" t="s">
        <v>42</v>
      </c>
      <c r="N404" t="s">
        <v>43</v>
      </c>
      <c r="O404" s="7">
        <v>13</v>
      </c>
      <c r="P404" s="8">
        <v>45266.569247685184</v>
      </c>
      <c r="Q404" s="9">
        <v>45267</v>
      </c>
      <c r="R404" t="s">
        <v>37</v>
      </c>
      <c r="S404" t="s">
        <v>44</v>
      </c>
      <c r="T404" t="s">
        <v>45</v>
      </c>
      <c r="U404" t="s">
        <v>68</v>
      </c>
      <c r="V404" t="s">
        <v>1332</v>
      </c>
      <c r="W404">
        <v>68000</v>
      </c>
      <c r="X404" t="s">
        <v>44</v>
      </c>
      <c r="Y404" t="s">
        <v>551</v>
      </c>
      <c r="Z404" t="s">
        <v>49</v>
      </c>
      <c r="AA404" s="10">
        <f>IF(O404&lt;=1,7,7+0.8*ROUNDUP(O404-1,0))</f>
        <v>16.600000000000001</v>
      </c>
      <c r="AB404" s="11">
        <v>0</v>
      </c>
      <c r="AC404" s="11">
        <v>0</v>
      </c>
      <c r="AD404" s="11">
        <v>0</v>
      </c>
      <c r="AE404" s="11">
        <v>0</v>
      </c>
      <c r="AF404" s="11">
        <f t="shared" si="12"/>
        <v>0.996</v>
      </c>
      <c r="AG404" s="11">
        <f t="shared" si="13"/>
        <v>17.596</v>
      </c>
      <c r="AH404" t="s">
        <v>44</v>
      </c>
    </row>
    <row r="405" spans="1:34" ht="15" customHeight="1" x14ac:dyDescent="0.35">
      <c r="A405">
        <v>7547676</v>
      </c>
      <c r="B405">
        <v>690929</v>
      </c>
      <c r="C405" t="s">
        <v>34</v>
      </c>
      <c r="D405" t="s">
        <v>35</v>
      </c>
      <c r="E405" s="6" t="s">
        <v>34</v>
      </c>
      <c r="F405" t="s">
        <v>1333</v>
      </c>
      <c r="G405" t="s">
        <v>37</v>
      </c>
      <c r="H405" t="s">
        <v>38</v>
      </c>
      <c r="I405" t="s">
        <v>1334</v>
      </c>
      <c r="J405" t="s">
        <v>40</v>
      </c>
      <c r="K405">
        <v>2</v>
      </c>
      <c r="L405" t="s">
        <v>41</v>
      </c>
      <c r="M405" t="s">
        <v>42</v>
      </c>
      <c r="N405" t="s">
        <v>43</v>
      </c>
      <c r="O405" s="7">
        <v>1</v>
      </c>
      <c r="P405" s="8">
        <v>45265.741296296299</v>
      </c>
      <c r="Q405" s="9">
        <v>45267</v>
      </c>
      <c r="R405" t="s">
        <v>37</v>
      </c>
      <c r="S405" t="s">
        <v>44</v>
      </c>
      <c r="T405" t="s">
        <v>45</v>
      </c>
      <c r="U405" t="s">
        <v>53</v>
      </c>
      <c r="V405" t="s">
        <v>1335</v>
      </c>
      <c r="W405">
        <v>58000</v>
      </c>
      <c r="X405" t="s">
        <v>44</v>
      </c>
      <c r="Y405" t="s">
        <v>52</v>
      </c>
      <c r="Z405" t="s">
        <v>49</v>
      </c>
      <c r="AA405" s="10">
        <f>IF(O405&lt;=1,7,7+0.8*ROUNDUP(O405-1,0))</f>
        <v>7</v>
      </c>
      <c r="AB405" s="11">
        <v>0</v>
      </c>
      <c r="AC405" s="11">
        <v>0</v>
      </c>
      <c r="AD405" s="11">
        <v>0</v>
      </c>
      <c r="AE405" s="11">
        <v>0</v>
      </c>
      <c r="AF405" s="11">
        <f t="shared" si="12"/>
        <v>0.42</v>
      </c>
      <c r="AG405" s="11">
        <f t="shared" si="13"/>
        <v>7.42</v>
      </c>
      <c r="AH405" t="s">
        <v>44</v>
      </c>
    </row>
    <row r="406" spans="1:34" ht="15" customHeight="1" x14ac:dyDescent="0.35">
      <c r="A406">
        <v>7547676</v>
      </c>
      <c r="B406">
        <v>690929</v>
      </c>
      <c r="C406" t="s">
        <v>34</v>
      </c>
      <c r="D406" t="s">
        <v>35</v>
      </c>
      <c r="E406" s="6" t="s">
        <v>34</v>
      </c>
      <c r="F406" t="s">
        <v>1336</v>
      </c>
      <c r="G406" t="s">
        <v>37</v>
      </c>
      <c r="H406" t="s">
        <v>38</v>
      </c>
      <c r="I406" t="s">
        <v>1337</v>
      </c>
      <c r="J406" t="s">
        <v>40</v>
      </c>
      <c r="K406">
        <v>2</v>
      </c>
      <c r="L406" t="s">
        <v>41</v>
      </c>
      <c r="M406" t="s">
        <v>42</v>
      </c>
      <c r="N406" t="s">
        <v>43</v>
      </c>
      <c r="O406" s="7">
        <v>1</v>
      </c>
      <c r="P406" s="8">
        <v>45265.804849537039</v>
      </c>
      <c r="Q406" s="9">
        <v>45267</v>
      </c>
      <c r="R406" t="s">
        <v>37</v>
      </c>
      <c r="S406" t="s">
        <v>44</v>
      </c>
      <c r="T406" t="s">
        <v>45</v>
      </c>
      <c r="U406" t="s">
        <v>77</v>
      </c>
      <c r="V406" t="s">
        <v>1338</v>
      </c>
      <c r="W406">
        <v>27600</v>
      </c>
      <c r="X406" t="s">
        <v>44</v>
      </c>
      <c r="Y406" t="s">
        <v>45</v>
      </c>
      <c r="Z406" t="s">
        <v>49</v>
      </c>
      <c r="AA406" s="10">
        <f>IF(O406&lt;=1,7,7+0.8*ROUNDUP(O406-1,0))</f>
        <v>7</v>
      </c>
      <c r="AB406" s="11">
        <v>0</v>
      </c>
      <c r="AC406" s="11">
        <v>0</v>
      </c>
      <c r="AD406" s="11">
        <v>0</v>
      </c>
      <c r="AE406" s="11">
        <v>0</v>
      </c>
      <c r="AF406" s="11">
        <f t="shared" si="12"/>
        <v>0.42</v>
      </c>
      <c r="AG406" s="11">
        <f t="shared" si="13"/>
        <v>7.42</v>
      </c>
      <c r="AH406" t="s">
        <v>44</v>
      </c>
    </row>
    <row r="407" spans="1:34" ht="15" customHeight="1" x14ac:dyDescent="0.35">
      <c r="A407">
        <v>7547676</v>
      </c>
      <c r="B407">
        <v>690929</v>
      </c>
      <c r="C407" t="s">
        <v>34</v>
      </c>
      <c r="D407" t="s">
        <v>35</v>
      </c>
      <c r="E407" s="6" t="s">
        <v>34</v>
      </c>
      <c r="F407" t="s">
        <v>1339</v>
      </c>
      <c r="G407" t="s">
        <v>37</v>
      </c>
      <c r="H407" t="s">
        <v>38</v>
      </c>
      <c r="I407" t="s">
        <v>1340</v>
      </c>
      <c r="J407" t="s">
        <v>40</v>
      </c>
      <c r="K407">
        <v>2</v>
      </c>
      <c r="L407" t="s">
        <v>41</v>
      </c>
      <c r="M407" t="s">
        <v>42</v>
      </c>
      <c r="N407" t="s">
        <v>43</v>
      </c>
      <c r="O407" s="7">
        <v>1</v>
      </c>
      <c r="P407" s="8">
        <v>45265.665810185186</v>
      </c>
      <c r="Q407" s="9">
        <v>45267</v>
      </c>
      <c r="R407" t="s">
        <v>37</v>
      </c>
      <c r="S407" t="s">
        <v>44</v>
      </c>
      <c r="T407" t="s">
        <v>45</v>
      </c>
      <c r="U407" t="s">
        <v>94</v>
      </c>
      <c r="V407" t="s">
        <v>1341</v>
      </c>
      <c r="W407">
        <v>13050</v>
      </c>
      <c r="X407" t="s">
        <v>44</v>
      </c>
      <c r="Y407" t="s">
        <v>96</v>
      </c>
      <c r="Z407" t="s">
        <v>49</v>
      </c>
      <c r="AA407" s="10">
        <f>IF(O407&lt;=1,7,7+0.8*ROUNDUP(O407-1,0))</f>
        <v>7</v>
      </c>
      <c r="AB407" s="11">
        <v>0</v>
      </c>
      <c r="AC407" s="11">
        <v>0</v>
      </c>
      <c r="AD407" s="11">
        <v>0</v>
      </c>
      <c r="AE407" s="11">
        <v>0</v>
      </c>
      <c r="AF407" s="11">
        <f t="shared" si="12"/>
        <v>0.42</v>
      </c>
      <c r="AG407" s="11">
        <f t="shared" si="13"/>
        <v>7.42</v>
      </c>
      <c r="AH407" t="s">
        <v>44</v>
      </c>
    </row>
    <row r="408" spans="1:34" ht="15" customHeight="1" x14ac:dyDescent="0.35">
      <c r="A408">
        <v>7547676</v>
      </c>
      <c r="B408">
        <v>690929</v>
      </c>
      <c r="C408" t="s">
        <v>34</v>
      </c>
      <c r="D408" t="s">
        <v>35</v>
      </c>
      <c r="E408" s="6" t="s">
        <v>34</v>
      </c>
      <c r="F408" t="s">
        <v>1342</v>
      </c>
      <c r="G408" t="s">
        <v>37</v>
      </c>
      <c r="H408" t="s">
        <v>38</v>
      </c>
      <c r="I408" t="s">
        <v>1343</v>
      </c>
      <c r="J408" t="s">
        <v>40</v>
      </c>
      <c r="K408">
        <v>2</v>
      </c>
      <c r="L408" t="s">
        <v>41</v>
      </c>
      <c r="M408" t="s">
        <v>42</v>
      </c>
      <c r="N408" t="s">
        <v>43</v>
      </c>
      <c r="O408" s="7">
        <v>1</v>
      </c>
      <c r="P408" s="8">
        <v>45266.711446759262</v>
      </c>
      <c r="Q408" s="9">
        <v>45267</v>
      </c>
      <c r="R408" t="s">
        <v>37</v>
      </c>
      <c r="S408" t="s">
        <v>44</v>
      </c>
      <c r="T408" t="s">
        <v>45</v>
      </c>
      <c r="U408" t="s">
        <v>53</v>
      </c>
      <c r="V408" t="s">
        <v>1344</v>
      </c>
      <c r="W408">
        <v>50450</v>
      </c>
      <c r="X408" t="s">
        <v>44</v>
      </c>
      <c r="Y408" t="s">
        <v>290</v>
      </c>
      <c r="Z408" t="s">
        <v>49</v>
      </c>
      <c r="AA408" s="10">
        <f>IF(O408&lt;=1,7,7+0.8*ROUNDUP(O408-1,0))</f>
        <v>7</v>
      </c>
      <c r="AB408" s="11">
        <v>0</v>
      </c>
      <c r="AC408" s="11">
        <v>0</v>
      </c>
      <c r="AD408" s="11">
        <v>0</v>
      </c>
      <c r="AE408" s="11">
        <v>0</v>
      </c>
      <c r="AF408" s="11">
        <f t="shared" si="12"/>
        <v>0.42</v>
      </c>
      <c r="AG408" s="11">
        <f t="shared" si="13"/>
        <v>7.42</v>
      </c>
      <c r="AH408" t="s">
        <v>44</v>
      </c>
    </row>
    <row r="409" spans="1:34" ht="15" customHeight="1" x14ac:dyDescent="0.35">
      <c r="A409">
        <v>7547676</v>
      </c>
      <c r="B409">
        <v>690929</v>
      </c>
      <c r="C409" t="s">
        <v>34</v>
      </c>
      <c r="D409" t="s">
        <v>35</v>
      </c>
      <c r="E409" s="6" t="s">
        <v>34</v>
      </c>
      <c r="F409" t="s">
        <v>1345</v>
      </c>
      <c r="G409" t="s">
        <v>37</v>
      </c>
      <c r="H409" t="s">
        <v>38</v>
      </c>
      <c r="I409" t="s">
        <v>1346</v>
      </c>
      <c r="J409" t="s">
        <v>40</v>
      </c>
      <c r="K409">
        <v>2</v>
      </c>
      <c r="L409" t="s">
        <v>41</v>
      </c>
      <c r="M409" t="s">
        <v>42</v>
      </c>
      <c r="N409" t="s">
        <v>43</v>
      </c>
      <c r="O409" s="7">
        <v>1</v>
      </c>
      <c r="P409" s="8">
        <v>45265.804849537039</v>
      </c>
      <c r="Q409" s="9">
        <v>45267</v>
      </c>
      <c r="R409" t="s">
        <v>37</v>
      </c>
      <c r="S409" t="s">
        <v>44</v>
      </c>
      <c r="T409" t="s">
        <v>45</v>
      </c>
      <c r="U409" t="s">
        <v>68</v>
      </c>
      <c r="V409" t="s">
        <v>1347</v>
      </c>
      <c r="W409">
        <v>43100</v>
      </c>
      <c r="X409" t="s">
        <v>44</v>
      </c>
      <c r="Y409" t="s">
        <v>142</v>
      </c>
      <c r="Z409" t="s">
        <v>49</v>
      </c>
      <c r="AA409" s="10">
        <f>IF(O409&lt;=1,7,7+0.8*ROUNDUP(O409-1,0))</f>
        <v>7</v>
      </c>
      <c r="AB409" s="11">
        <v>0</v>
      </c>
      <c r="AC409" s="11">
        <v>0</v>
      </c>
      <c r="AD409" s="11">
        <v>0</v>
      </c>
      <c r="AE409" s="11">
        <v>0</v>
      </c>
      <c r="AF409" s="11">
        <f t="shared" si="12"/>
        <v>0.42</v>
      </c>
      <c r="AG409" s="11">
        <f t="shared" si="13"/>
        <v>7.42</v>
      </c>
      <c r="AH409" t="s">
        <v>44</v>
      </c>
    </row>
    <row r="410" spans="1:34" ht="15" customHeight="1" x14ac:dyDescent="0.35">
      <c r="A410">
        <v>7547676</v>
      </c>
      <c r="B410">
        <v>690929</v>
      </c>
      <c r="C410" t="s">
        <v>34</v>
      </c>
      <c r="D410" t="s">
        <v>35</v>
      </c>
      <c r="E410" s="6" t="s">
        <v>34</v>
      </c>
      <c r="F410" t="s">
        <v>1348</v>
      </c>
      <c r="G410" t="s">
        <v>37</v>
      </c>
      <c r="H410" t="s">
        <v>38</v>
      </c>
      <c r="I410" t="s">
        <v>1349</v>
      </c>
      <c r="J410" t="s">
        <v>40</v>
      </c>
      <c r="K410">
        <v>2</v>
      </c>
      <c r="L410" t="s">
        <v>41</v>
      </c>
      <c r="M410" t="s">
        <v>42</v>
      </c>
      <c r="N410" t="s">
        <v>43</v>
      </c>
      <c r="O410" s="7">
        <v>1</v>
      </c>
      <c r="P410" s="8">
        <v>45265.549027777779</v>
      </c>
      <c r="Q410" s="9">
        <v>45267</v>
      </c>
      <c r="R410" t="s">
        <v>37</v>
      </c>
      <c r="S410" t="s">
        <v>44</v>
      </c>
      <c r="T410" t="s">
        <v>45</v>
      </c>
      <c r="U410" t="s">
        <v>82</v>
      </c>
      <c r="V410" t="s">
        <v>1350</v>
      </c>
      <c r="W410">
        <v>71000</v>
      </c>
      <c r="X410" t="s">
        <v>44</v>
      </c>
      <c r="Y410" t="s">
        <v>52</v>
      </c>
      <c r="Z410" t="s">
        <v>49</v>
      </c>
      <c r="AA410" s="10">
        <f>IF(O410&lt;=1,7,7+0.8*ROUNDUP(O410-1,0))</f>
        <v>7</v>
      </c>
      <c r="AB410" s="11">
        <v>0</v>
      </c>
      <c r="AC410" s="11">
        <v>0</v>
      </c>
      <c r="AD410" s="11">
        <v>0</v>
      </c>
      <c r="AE410" s="11">
        <v>0</v>
      </c>
      <c r="AF410" s="11">
        <f t="shared" si="12"/>
        <v>0.42</v>
      </c>
      <c r="AG410" s="11">
        <f t="shared" si="13"/>
        <v>7.42</v>
      </c>
      <c r="AH410" t="s">
        <v>44</v>
      </c>
    </row>
    <row r="411" spans="1:34" ht="15" customHeight="1" x14ac:dyDescent="0.35">
      <c r="A411">
        <v>7547676</v>
      </c>
      <c r="B411">
        <v>690929</v>
      </c>
      <c r="C411" t="s">
        <v>34</v>
      </c>
      <c r="D411" t="s">
        <v>35</v>
      </c>
      <c r="E411" s="6" t="s">
        <v>34</v>
      </c>
      <c r="F411" t="s">
        <v>1351</v>
      </c>
      <c r="G411" t="s">
        <v>37</v>
      </c>
      <c r="H411" t="s">
        <v>38</v>
      </c>
      <c r="I411" t="s">
        <v>1352</v>
      </c>
      <c r="J411" t="s">
        <v>40</v>
      </c>
      <c r="K411">
        <v>2</v>
      </c>
      <c r="L411" t="s">
        <v>41</v>
      </c>
      <c r="M411" t="s">
        <v>42</v>
      </c>
      <c r="N411" t="s">
        <v>43</v>
      </c>
      <c r="O411" s="7">
        <v>2</v>
      </c>
      <c r="P411" s="8">
        <v>45265.724641203706</v>
      </c>
      <c r="Q411" s="9">
        <v>45267</v>
      </c>
      <c r="R411" t="s">
        <v>37</v>
      </c>
      <c r="S411" t="s">
        <v>44</v>
      </c>
      <c r="T411" t="s">
        <v>45</v>
      </c>
      <c r="U411" t="s">
        <v>46</v>
      </c>
      <c r="V411" t="s">
        <v>1353</v>
      </c>
      <c r="W411">
        <v>83700</v>
      </c>
      <c r="X411" t="s">
        <v>44</v>
      </c>
      <c r="Y411" t="s">
        <v>285</v>
      </c>
      <c r="Z411" t="s">
        <v>49</v>
      </c>
      <c r="AA411" s="10">
        <f>IF(O411&lt;=1,7,7+0.8*ROUNDUP(O411-1,0))</f>
        <v>7.8</v>
      </c>
      <c r="AB411" s="11">
        <v>0</v>
      </c>
      <c r="AC411" s="11">
        <v>0</v>
      </c>
      <c r="AD411" s="11">
        <v>0</v>
      </c>
      <c r="AE411" s="11">
        <v>0</v>
      </c>
      <c r="AF411" s="11">
        <f t="shared" si="12"/>
        <v>0.46799999999999997</v>
      </c>
      <c r="AG411" s="11">
        <f t="shared" si="13"/>
        <v>8.2680000000000007</v>
      </c>
      <c r="AH411" t="s">
        <v>44</v>
      </c>
    </row>
    <row r="412" spans="1:34" ht="15" customHeight="1" x14ac:dyDescent="0.35">
      <c r="A412">
        <v>7547676</v>
      </c>
      <c r="B412">
        <v>690929</v>
      </c>
      <c r="C412" t="s">
        <v>34</v>
      </c>
      <c r="D412" t="s">
        <v>35</v>
      </c>
      <c r="E412" s="6" t="s">
        <v>34</v>
      </c>
      <c r="F412" t="s">
        <v>1354</v>
      </c>
      <c r="G412" t="s">
        <v>37</v>
      </c>
      <c r="H412" t="s">
        <v>38</v>
      </c>
      <c r="I412" t="s">
        <v>1355</v>
      </c>
      <c r="J412" t="s">
        <v>40</v>
      </c>
      <c r="K412">
        <v>2</v>
      </c>
      <c r="L412" t="s">
        <v>41</v>
      </c>
      <c r="M412" t="s">
        <v>42</v>
      </c>
      <c r="N412" t="s">
        <v>43</v>
      </c>
      <c r="O412" s="7">
        <v>1</v>
      </c>
      <c r="P412" s="8">
        <v>45266.711446759262</v>
      </c>
      <c r="Q412" s="9">
        <v>45267</v>
      </c>
      <c r="R412" t="s">
        <v>37</v>
      </c>
      <c r="S412" t="s">
        <v>44</v>
      </c>
      <c r="T412" t="s">
        <v>45</v>
      </c>
      <c r="U412" t="s">
        <v>63</v>
      </c>
      <c r="V412" t="s">
        <v>1356</v>
      </c>
      <c r="W412">
        <v>78300</v>
      </c>
      <c r="X412" t="s">
        <v>44</v>
      </c>
      <c r="Y412" t="s">
        <v>65</v>
      </c>
      <c r="Z412" t="s">
        <v>49</v>
      </c>
      <c r="AA412" s="10">
        <f>IF(O412&lt;=1,7,7+0.8*ROUNDUP(O412-1,0))</f>
        <v>7</v>
      </c>
      <c r="AB412" s="11">
        <v>0</v>
      </c>
      <c r="AC412" s="11">
        <v>0</v>
      </c>
      <c r="AD412" s="11">
        <v>0</v>
      </c>
      <c r="AE412" s="11">
        <v>0</v>
      </c>
      <c r="AF412" s="11">
        <f t="shared" si="12"/>
        <v>0.42</v>
      </c>
      <c r="AG412" s="11">
        <f t="shared" si="13"/>
        <v>7.42</v>
      </c>
      <c r="AH412" t="s">
        <v>44</v>
      </c>
    </row>
    <row r="413" spans="1:34" ht="15" customHeight="1" x14ac:dyDescent="0.35">
      <c r="A413">
        <v>7547676</v>
      </c>
      <c r="B413">
        <v>690929</v>
      </c>
      <c r="C413" t="s">
        <v>34</v>
      </c>
      <c r="D413" t="s">
        <v>35</v>
      </c>
      <c r="E413" s="6" t="s">
        <v>34</v>
      </c>
      <c r="F413" t="s">
        <v>1357</v>
      </c>
      <c r="G413" t="s">
        <v>37</v>
      </c>
      <c r="H413" t="s">
        <v>38</v>
      </c>
      <c r="I413" t="s">
        <v>1358</v>
      </c>
      <c r="J413" t="s">
        <v>40</v>
      </c>
      <c r="K413">
        <v>2</v>
      </c>
      <c r="L413" t="s">
        <v>41</v>
      </c>
      <c r="M413" t="s">
        <v>42</v>
      </c>
      <c r="N413" t="s">
        <v>43</v>
      </c>
      <c r="O413" s="7">
        <v>1</v>
      </c>
      <c r="P413" s="8">
        <v>45266.566504629627</v>
      </c>
      <c r="Q413" s="9">
        <v>45267</v>
      </c>
      <c r="R413" t="s">
        <v>37</v>
      </c>
      <c r="S413" t="s">
        <v>44</v>
      </c>
      <c r="T413" t="s">
        <v>45</v>
      </c>
      <c r="U413" t="s">
        <v>258</v>
      </c>
      <c r="V413" t="s">
        <v>1359</v>
      </c>
      <c r="W413">
        <v>21400</v>
      </c>
      <c r="X413" t="s">
        <v>44</v>
      </c>
      <c r="Y413" t="s">
        <v>260</v>
      </c>
      <c r="Z413" t="s">
        <v>49</v>
      </c>
      <c r="AA413" s="10">
        <f>IF(O413&lt;=1,7,7+0.8*ROUNDUP(O413-1,0))</f>
        <v>7</v>
      </c>
      <c r="AB413" s="11">
        <v>0</v>
      </c>
      <c r="AC413" s="11">
        <v>0</v>
      </c>
      <c r="AD413" s="11">
        <v>0</v>
      </c>
      <c r="AE413" s="11">
        <v>0</v>
      </c>
      <c r="AF413" s="11">
        <f t="shared" si="12"/>
        <v>0.42</v>
      </c>
      <c r="AG413" s="11">
        <f t="shared" si="13"/>
        <v>7.42</v>
      </c>
      <c r="AH413" t="s">
        <v>44</v>
      </c>
    </row>
    <row r="414" spans="1:34" ht="15" customHeight="1" x14ac:dyDescent="0.35">
      <c r="A414">
        <v>7547676</v>
      </c>
      <c r="B414">
        <v>690929</v>
      </c>
      <c r="C414" t="s">
        <v>34</v>
      </c>
      <c r="D414" t="s">
        <v>35</v>
      </c>
      <c r="E414" s="6" t="s">
        <v>34</v>
      </c>
      <c r="F414" t="s">
        <v>1360</v>
      </c>
      <c r="G414" t="s">
        <v>37</v>
      </c>
      <c r="H414" t="s">
        <v>38</v>
      </c>
      <c r="I414" t="s">
        <v>1361</v>
      </c>
      <c r="J414" t="s">
        <v>40</v>
      </c>
      <c r="K414">
        <v>2</v>
      </c>
      <c r="L414" t="s">
        <v>41</v>
      </c>
      <c r="M414" t="s">
        <v>42</v>
      </c>
      <c r="N414" t="s">
        <v>43</v>
      </c>
      <c r="O414" s="7">
        <v>3</v>
      </c>
      <c r="P414" s="8">
        <v>45266.735127314816</v>
      </c>
      <c r="Q414" s="9">
        <v>45267</v>
      </c>
      <c r="R414" t="s">
        <v>37</v>
      </c>
      <c r="S414" t="s">
        <v>44</v>
      </c>
      <c r="T414" t="s">
        <v>45</v>
      </c>
      <c r="U414" t="s">
        <v>258</v>
      </c>
      <c r="V414" t="s">
        <v>1362</v>
      </c>
      <c r="W414">
        <v>24000</v>
      </c>
      <c r="X414" t="s">
        <v>44</v>
      </c>
      <c r="Y414" t="s">
        <v>402</v>
      </c>
      <c r="Z414" t="s">
        <v>49</v>
      </c>
      <c r="AA414" s="10">
        <f>IF(O414&lt;=1,7,7+0.8*ROUNDUP(O414-1,0))</f>
        <v>8.6</v>
      </c>
      <c r="AB414" s="11">
        <v>0</v>
      </c>
      <c r="AC414" s="11">
        <v>0</v>
      </c>
      <c r="AD414" s="11">
        <v>0</v>
      </c>
      <c r="AE414" s="11">
        <v>0</v>
      </c>
      <c r="AF414" s="11">
        <f t="shared" si="12"/>
        <v>0.51600000000000001</v>
      </c>
      <c r="AG414" s="11">
        <f t="shared" si="13"/>
        <v>9.1159999999999997</v>
      </c>
      <c r="AH414" t="s">
        <v>44</v>
      </c>
    </row>
    <row r="415" spans="1:34" ht="15" customHeight="1" x14ac:dyDescent="0.35">
      <c r="A415">
        <v>7547676</v>
      </c>
      <c r="B415">
        <v>690929</v>
      </c>
      <c r="C415" t="s">
        <v>34</v>
      </c>
      <c r="D415" t="s">
        <v>35</v>
      </c>
      <c r="E415" s="6" t="s">
        <v>34</v>
      </c>
      <c r="F415" t="s">
        <v>1363</v>
      </c>
      <c r="G415" t="s">
        <v>37</v>
      </c>
      <c r="H415" t="s">
        <v>38</v>
      </c>
      <c r="I415" t="s">
        <v>1364</v>
      </c>
      <c r="J415" t="s">
        <v>40</v>
      </c>
      <c r="K415">
        <v>2</v>
      </c>
      <c r="L415" t="s">
        <v>41</v>
      </c>
      <c r="M415" t="s">
        <v>42</v>
      </c>
      <c r="N415" t="s">
        <v>43</v>
      </c>
      <c r="O415" s="7">
        <v>2</v>
      </c>
      <c r="P415" s="8">
        <v>45266.717268518521</v>
      </c>
      <c r="Q415" s="9">
        <v>45267</v>
      </c>
      <c r="R415" t="s">
        <v>37</v>
      </c>
      <c r="S415" t="s">
        <v>44</v>
      </c>
      <c r="T415" t="s">
        <v>45</v>
      </c>
      <c r="U415" t="s">
        <v>68</v>
      </c>
      <c r="V415" t="s">
        <v>1365</v>
      </c>
      <c r="W415">
        <v>40170</v>
      </c>
      <c r="X415" t="s">
        <v>44</v>
      </c>
      <c r="Y415" t="s">
        <v>52</v>
      </c>
      <c r="Z415" t="s">
        <v>49</v>
      </c>
      <c r="AA415" s="10">
        <f>IF(O415&lt;=1,7,7+0.8*ROUNDUP(O415-1,0))</f>
        <v>7.8</v>
      </c>
      <c r="AB415" s="11">
        <v>0</v>
      </c>
      <c r="AC415" s="11">
        <v>0</v>
      </c>
      <c r="AD415" s="11">
        <v>0</v>
      </c>
      <c r="AE415" s="11">
        <v>0</v>
      </c>
      <c r="AF415" s="11">
        <f t="shared" si="12"/>
        <v>0.46799999999999997</v>
      </c>
      <c r="AG415" s="11">
        <f t="shared" si="13"/>
        <v>8.2680000000000007</v>
      </c>
      <c r="AH415" t="s">
        <v>44</v>
      </c>
    </row>
    <row r="416" spans="1:34" ht="15" customHeight="1" x14ac:dyDescent="0.35">
      <c r="A416">
        <v>7547676</v>
      </c>
      <c r="B416">
        <v>690929</v>
      </c>
      <c r="C416" t="s">
        <v>34</v>
      </c>
      <c r="D416" t="s">
        <v>35</v>
      </c>
      <c r="E416" s="6" t="s">
        <v>34</v>
      </c>
      <c r="F416" t="s">
        <v>1366</v>
      </c>
      <c r="G416" t="s">
        <v>37</v>
      </c>
      <c r="H416" t="s">
        <v>38</v>
      </c>
      <c r="I416" t="s">
        <v>1367</v>
      </c>
      <c r="J416" t="s">
        <v>40</v>
      </c>
      <c r="K416">
        <v>2</v>
      </c>
      <c r="L416" t="s">
        <v>41</v>
      </c>
      <c r="M416" t="s">
        <v>42</v>
      </c>
      <c r="N416" t="s">
        <v>43</v>
      </c>
      <c r="O416" s="7">
        <v>1</v>
      </c>
      <c r="P416" s="8">
        <v>45264.807835648149</v>
      </c>
      <c r="Q416" s="9">
        <v>45267</v>
      </c>
      <c r="R416" t="s">
        <v>37</v>
      </c>
      <c r="S416" t="s">
        <v>44</v>
      </c>
      <c r="T416" t="s">
        <v>45</v>
      </c>
      <c r="U416" t="s">
        <v>159</v>
      </c>
      <c r="V416" t="s">
        <v>1368</v>
      </c>
      <c r="W416">
        <v>32610</v>
      </c>
      <c r="X416" t="s">
        <v>44</v>
      </c>
      <c r="Y416" t="s">
        <v>161</v>
      </c>
      <c r="Z416" t="s">
        <v>49</v>
      </c>
      <c r="AA416" s="10">
        <f>IF(O416&lt;=1,7,7+0.8*ROUNDUP(O416-1,0))</f>
        <v>7</v>
      </c>
      <c r="AB416" s="11">
        <v>0</v>
      </c>
      <c r="AC416" s="11">
        <v>0</v>
      </c>
      <c r="AD416" s="11">
        <v>0</v>
      </c>
      <c r="AE416" s="11">
        <v>0</v>
      </c>
      <c r="AF416" s="11">
        <f t="shared" si="12"/>
        <v>0.42</v>
      </c>
      <c r="AG416" s="11">
        <f t="shared" si="13"/>
        <v>7.42</v>
      </c>
      <c r="AH416" t="s">
        <v>44</v>
      </c>
    </row>
    <row r="417" spans="1:34" ht="15" customHeight="1" x14ac:dyDescent="0.35">
      <c r="A417">
        <v>7547676</v>
      </c>
      <c r="B417">
        <v>690929</v>
      </c>
      <c r="C417" t="s">
        <v>34</v>
      </c>
      <c r="D417" t="s">
        <v>35</v>
      </c>
      <c r="E417" s="6" t="s">
        <v>34</v>
      </c>
      <c r="F417" t="s">
        <v>1369</v>
      </c>
      <c r="G417" t="s">
        <v>37</v>
      </c>
      <c r="H417" t="s">
        <v>38</v>
      </c>
      <c r="I417" t="s">
        <v>1370</v>
      </c>
      <c r="J417" t="s">
        <v>40</v>
      </c>
      <c r="K417">
        <v>2</v>
      </c>
      <c r="L417" t="s">
        <v>41</v>
      </c>
      <c r="M417" t="s">
        <v>42</v>
      </c>
      <c r="N417" t="s">
        <v>43</v>
      </c>
      <c r="O417" s="7">
        <v>1</v>
      </c>
      <c r="P417" s="8">
        <v>45266.702777777777</v>
      </c>
      <c r="Q417" s="9">
        <v>45267</v>
      </c>
      <c r="R417" t="s">
        <v>37</v>
      </c>
      <c r="S417" t="s">
        <v>44</v>
      </c>
      <c r="T417" t="s">
        <v>45</v>
      </c>
      <c r="U417" t="s">
        <v>68</v>
      </c>
      <c r="V417" t="s">
        <v>1371</v>
      </c>
      <c r="W417">
        <v>44000</v>
      </c>
      <c r="X417" t="s">
        <v>44</v>
      </c>
      <c r="Y417" t="s">
        <v>309</v>
      </c>
      <c r="Z417" t="s">
        <v>49</v>
      </c>
      <c r="AA417" s="10">
        <f>IF(O417&lt;=1,7,7+0.8*ROUNDUP(O417-1,0))</f>
        <v>7</v>
      </c>
      <c r="AB417" s="11">
        <v>0</v>
      </c>
      <c r="AC417" s="11">
        <v>0</v>
      </c>
      <c r="AD417" s="11">
        <v>0</v>
      </c>
      <c r="AE417" s="11">
        <v>0</v>
      </c>
      <c r="AF417" s="11">
        <f t="shared" si="12"/>
        <v>0.42</v>
      </c>
      <c r="AG417" s="11">
        <f t="shared" si="13"/>
        <v>7.42</v>
      </c>
      <c r="AH417" t="s">
        <v>44</v>
      </c>
    </row>
    <row r="418" spans="1:34" ht="15" customHeight="1" x14ac:dyDescent="0.35">
      <c r="A418">
        <v>7547676</v>
      </c>
      <c r="B418">
        <v>690929</v>
      </c>
      <c r="C418" t="s">
        <v>34</v>
      </c>
      <c r="D418" t="s">
        <v>35</v>
      </c>
      <c r="E418" s="6" t="s">
        <v>34</v>
      </c>
      <c r="F418" t="s">
        <v>1372</v>
      </c>
      <c r="G418" t="s">
        <v>37</v>
      </c>
      <c r="H418" t="s">
        <v>38</v>
      </c>
      <c r="I418" t="s">
        <v>1373</v>
      </c>
      <c r="J418" t="s">
        <v>40</v>
      </c>
      <c r="K418">
        <v>2</v>
      </c>
      <c r="L418" t="s">
        <v>41</v>
      </c>
      <c r="M418" t="s">
        <v>42</v>
      </c>
      <c r="N418" t="s">
        <v>43</v>
      </c>
      <c r="O418" s="7">
        <v>1</v>
      </c>
      <c r="P418" s="8">
        <v>45266.606365740743</v>
      </c>
      <c r="Q418" s="9">
        <v>45267</v>
      </c>
      <c r="R418" t="s">
        <v>37</v>
      </c>
      <c r="S418" t="s">
        <v>44</v>
      </c>
      <c r="T418" t="s">
        <v>45</v>
      </c>
      <c r="U418" t="s">
        <v>77</v>
      </c>
      <c r="V418" t="s">
        <v>1374</v>
      </c>
      <c r="W418">
        <v>25300</v>
      </c>
      <c r="X418" t="s">
        <v>44</v>
      </c>
      <c r="Y418" t="s">
        <v>45</v>
      </c>
      <c r="Z418" t="s">
        <v>49</v>
      </c>
      <c r="AA418" s="10">
        <f>IF(O418&lt;=1,7,7+0.8*ROUNDUP(O418-1,0))</f>
        <v>7</v>
      </c>
      <c r="AB418" s="11">
        <v>0</v>
      </c>
      <c r="AC418" s="11">
        <v>0</v>
      </c>
      <c r="AD418" s="11">
        <v>0</v>
      </c>
      <c r="AE418" s="11">
        <v>0</v>
      </c>
      <c r="AF418" s="11">
        <f t="shared" si="12"/>
        <v>0.42</v>
      </c>
      <c r="AG418" s="11">
        <f t="shared" si="13"/>
        <v>7.42</v>
      </c>
      <c r="AH418" t="s">
        <v>44</v>
      </c>
    </row>
    <row r="419" spans="1:34" ht="15" customHeight="1" x14ac:dyDescent="0.35">
      <c r="A419">
        <v>7547676</v>
      </c>
      <c r="B419">
        <v>690929</v>
      </c>
      <c r="C419" t="s">
        <v>34</v>
      </c>
      <c r="D419" t="s">
        <v>35</v>
      </c>
      <c r="E419" s="6" t="s">
        <v>34</v>
      </c>
      <c r="F419" t="s">
        <v>1375</v>
      </c>
      <c r="G419" t="s">
        <v>37</v>
      </c>
      <c r="H419" t="s">
        <v>38</v>
      </c>
      <c r="I419" t="s">
        <v>1376</v>
      </c>
      <c r="J419" t="s">
        <v>40</v>
      </c>
      <c r="K419">
        <v>2</v>
      </c>
      <c r="L419" t="s">
        <v>41</v>
      </c>
      <c r="M419" t="s">
        <v>42</v>
      </c>
      <c r="N419" t="s">
        <v>43</v>
      </c>
      <c r="O419" s="7">
        <v>1</v>
      </c>
      <c r="P419" s="8">
        <v>45266.702777777777</v>
      </c>
      <c r="Q419" s="9">
        <v>45267</v>
      </c>
      <c r="R419" t="s">
        <v>37</v>
      </c>
      <c r="S419" t="s">
        <v>44</v>
      </c>
      <c r="T419" t="s">
        <v>45</v>
      </c>
      <c r="U419" t="s">
        <v>53</v>
      </c>
      <c r="V419" t="s">
        <v>1377</v>
      </c>
      <c r="W419">
        <v>59000</v>
      </c>
      <c r="X419" t="s">
        <v>44</v>
      </c>
      <c r="Y419" t="s">
        <v>186</v>
      </c>
      <c r="Z419" t="s">
        <v>49</v>
      </c>
      <c r="AA419" s="10">
        <f>IF(O419&lt;=1,7,7+0.8*ROUNDUP(O419-1,0))</f>
        <v>7</v>
      </c>
      <c r="AB419" s="11">
        <v>0</v>
      </c>
      <c r="AC419" s="11">
        <v>0</v>
      </c>
      <c r="AD419" s="11">
        <v>0</v>
      </c>
      <c r="AE419" s="11">
        <v>0</v>
      </c>
      <c r="AF419" s="11">
        <f t="shared" si="12"/>
        <v>0.42</v>
      </c>
      <c r="AG419" s="11">
        <f t="shared" si="13"/>
        <v>7.42</v>
      </c>
      <c r="AH419" t="s">
        <v>44</v>
      </c>
    </row>
    <row r="420" spans="1:34" ht="15" customHeight="1" x14ac:dyDescent="0.35">
      <c r="A420">
        <v>7547676</v>
      </c>
      <c r="B420">
        <v>690929</v>
      </c>
      <c r="C420" t="s">
        <v>34</v>
      </c>
      <c r="D420" t="s">
        <v>35</v>
      </c>
      <c r="E420" s="6" t="s">
        <v>34</v>
      </c>
      <c r="F420" t="s">
        <v>1378</v>
      </c>
      <c r="G420" t="s">
        <v>37</v>
      </c>
      <c r="H420" t="s">
        <v>38</v>
      </c>
      <c r="I420" t="s">
        <v>1379</v>
      </c>
      <c r="J420" t="s">
        <v>40</v>
      </c>
      <c r="K420">
        <v>2</v>
      </c>
      <c r="L420" t="s">
        <v>41</v>
      </c>
      <c r="M420" t="s">
        <v>42</v>
      </c>
      <c r="N420" t="s">
        <v>43</v>
      </c>
      <c r="O420" s="7">
        <v>1</v>
      </c>
      <c r="P420" s="8">
        <v>45264.732418981483</v>
      </c>
      <c r="Q420" s="9">
        <v>45267</v>
      </c>
      <c r="R420" t="s">
        <v>37</v>
      </c>
      <c r="S420" t="s">
        <v>44</v>
      </c>
      <c r="T420" t="s">
        <v>45</v>
      </c>
      <c r="U420" t="s">
        <v>159</v>
      </c>
      <c r="V420" t="s">
        <v>1380</v>
      </c>
      <c r="W420">
        <v>34000</v>
      </c>
      <c r="X420" t="s">
        <v>44</v>
      </c>
      <c r="Y420" t="s">
        <v>1274</v>
      </c>
      <c r="Z420" t="s">
        <v>49</v>
      </c>
      <c r="AA420" s="10">
        <f>IF(O420&lt;=1,7,7+0.8*ROUNDUP(O420-1,0))</f>
        <v>7</v>
      </c>
      <c r="AB420" s="11">
        <v>0</v>
      </c>
      <c r="AC420" s="11">
        <v>0</v>
      </c>
      <c r="AD420" s="11">
        <v>0</v>
      </c>
      <c r="AE420" s="11">
        <v>0</v>
      </c>
      <c r="AF420" s="11">
        <f t="shared" si="12"/>
        <v>0.42</v>
      </c>
      <c r="AG420" s="11">
        <f t="shared" si="13"/>
        <v>7.42</v>
      </c>
      <c r="AH420" t="s">
        <v>44</v>
      </c>
    </row>
    <row r="421" spans="1:34" ht="15" customHeight="1" x14ac:dyDescent="0.35">
      <c r="A421">
        <v>7547676</v>
      </c>
      <c r="B421">
        <v>690929</v>
      </c>
      <c r="C421" t="s">
        <v>34</v>
      </c>
      <c r="D421" t="s">
        <v>35</v>
      </c>
      <c r="E421" s="6" t="s">
        <v>34</v>
      </c>
      <c r="F421" t="s">
        <v>1381</v>
      </c>
      <c r="G421" t="s">
        <v>37</v>
      </c>
      <c r="H421" t="s">
        <v>38</v>
      </c>
      <c r="I421" t="s">
        <v>1382</v>
      </c>
      <c r="J421" t="s">
        <v>40</v>
      </c>
      <c r="K421">
        <v>2</v>
      </c>
      <c r="L421" t="s">
        <v>41</v>
      </c>
      <c r="M421" t="s">
        <v>42</v>
      </c>
      <c r="N421" t="s">
        <v>43</v>
      </c>
      <c r="O421" s="7">
        <v>2</v>
      </c>
      <c r="P421" s="8">
        <v>45265.603796296295</v>
      </c>
      <c r="Q421" s="9">
        <v>45267</v>
      </c>
      <c r="R421" t="s">
        <v>37</v>
      </c>
      <c r="S421" t="s">
        <v>44</v>
      </c>
      <c r="T421" t="s">
        <v>45</v>
      </c>
      <c r="U421" t="s">
        <v>94</v>
      </c>
      <c r="V421" t="s">
        <v>1383</v>
      </c>
      <c r="W421">
        <v>13600</v>
      </c>
      <c r="X421" t="s">
        <v>44</v>
      </c>
      <c r="Y421" t="s">
        <v>534</v>
      </c>
      <c r="Z421" t="s">
        <v>49</v>
      </c>
      <c r="AA421" s="10">
        <f>IF(O421&lt;=1,7,7+0.8*ROUNDUP(O421-1,0))</f>
        <v>7.8</v>
      </c>
      <c r="AB421" s="11">
        <v>0</v>
      </c>
      <c r="AC421" s="11">
        <v>0</v>
      </c>
      <c r="AD421" s="11">
        <v>0</v>
      </c>
      <c r="AE421" s="11">
        <v>0</v>
      </c>
      <c r="AF421" s="11">
        <f t="shared" si="12"/>
        <v>0.46799999999999997</v>
      </c>
      <c r="AG421" s="11">
        <f t="shared" si="13"/>
        <v>8.2680000000000007</v>
      </c>
      <c r="AH421" t="s">
        <v>44</v>
      </c>
    </row>
    <row r="422" spans="1:34" ht="15" customHeight="1" x14ac:dyDescent="0.35">
      <c r="A422">
        <v>7547676</v>
      </c>
      <c r="B422">
        <v>690929</v>
      </c>
      <c r="C422" t="s">
        <v>34</v>
      </c>
      <c r="D422" t="s">
        <v>35</v>
      </c>
      <c r="E422" s="6" t="s">
        <v>34</v>
      </c>
      <c r="F422" t="s">
        <v>1384</v>
      </c>
      <c r="G422" t="s">
        <v>37</v>
      </c>
      <c r="H422" t="s">
        <v>38</v>
      </c>
      <c r="I422" t="s">
        <v>1385</v>
      </c>
      <c r="J422" t="s">
        <v>40</v>
      </c>
      <c r="K422">
        <v>2</v>
      </c>
      <c r="L422" t="s">
        <v>41</v>
      </c>
      <c r="M422" t="s">
        <v>42</v>
      </c>
      <c r="N422" t="s">
        <v>43</v>
      </c>
      <c r="O422" s="7">
        <v>6</v>
      </c>
      <c r="P422" s="8">
        <v>45265.636562500003</v>
      </c>
      <c r="Q422" s="9">
        <v>45267</v>
      </c>
      <c r="R422" t="s">
        <v>37</v>
      </c>
      <c r="S422" t="s">
        <v>44</v>
      </c>
      <c r="T422" t="s">
        <v>45</v>
      </c>
      <c r="U422" t="s">
        <v>82</v>
      </c>
      <c r="V422" t="s">
        <v>1386</v>
      </c>
      <c r="W422">
        <v>70400</v>
      </c>
      <c r="X422" t="s">
        <v>44</v>
      </c>
      <c r="Y422" t="s">
        <v>816</v>
      </c>
      <c r="Z422" t="s">
        <v>49</v>
      </c>
      <c r="AA422" s="10">
        <f>IF(O422&lt;=1,7,7+0.8*ROUNDUP(O422-1,0))</f>
        <v>11</v>
      </c>
      <c r="AB422" s="11">
        <v>0</v>
      </c>
      <c r="AC422" s="11">
        <v>0</v>
      </c>
      <c r="AD422" s="11">
        <v>0</v>
      </c>
      <c r="AE422" s="11">
        <v>0</v>
      </c>
      <c r="AF422" s="11">
        <f t="shared" si="12"/>
        <v>0.65999999999999992</v>
      </c>
      <c r="AG422" s="11">
        <f t="shared" si="13"/>
        <v>11.66</v>
      </c>
      <c r="AH422" t="s">
        <v>44</v>
      </c>
    </row>
    <row r="423" spans="1:34" ht="15" customHeight="1" x14ac:dyDescent="0.35">
      <c r="A423">
        <v>7547676</v>
      </c>
      <c r="B423">
        <v>690929</v>
      </c>
      <c r="C423" t="s">
        <v>34</v>
      </c>
      <c r="D423" t="s">
        <v>35</v>
      </c>
      <c r="E423" s="6" t="s">
        <v>34</v>
      </c>
      <c r="F423" t="s">
        <v>1387</v>
      </c>
      <c r="G423" t="s">
        <v>37</v>
      </c>
      <c r="H423" t="s">
        <v>38</v>
      </c>
      <c r="I423" t="s">
        <v>1388</v>
      </c>
      <c r="J423" t="s">
        <v>40</v>
      </c>
      <c r="K423">
        <v>2</v>
      </c>
      <c r="L423" t="s">
        <v>41</v>
      </c>
      <c r="M423" t="s">
        <v>42</v>
      </c>
      <c r="N423" t="s">
        <v>43</v>
      </c>
      <c r="O423" s="7">
        <v>1</v>
      </c>
      <c r="P423" s="8">
        <v>45266.57508101852</v>
      </c>
      <c r="Q423" s="9">
        <v>45267</v>
      </c>
      <c r="R423" t="s">
        <v>37</v>
      </c>
      <c r="S423" t="s">
        <v>44</v>
      </c>
      <c r="T423" t="s">
        <v>45</v>
      </c>
      <c r="U423" t="s">
        <v>115</v>
      </c>
      <c r="V423" t="s">
        <v>1389</v>
      </c>
      <c r="W423">
        <v>16800</v>
      </c>
      <c r="X423" t="s">
        <v>44</v>
      </c>
      <c r="Y423" t="s">
        <v>76</v>
      </c>
      <c r="Z423" t="s">
        <v>49</v>
      </c>
      <c r="AA423" s="10">
        <f>IF(O423&lt;=1,7,7+0.8*ROUNDUP(O423-1,0))</f>
        <v>7</v>
      </c>
      <c r="AB423" s="11">
        <v>0</v>
      </c>
      <c r="AC423" s="11">
        <v>0</v>
      </c>
      <c r="AD423" s="11">
        <v>0</v>
      </c>
      <c r="AE423" s="11">
        <v>0</v>
      </c>
      <c r="AF423" s="11">
        <f t="shared" si="12"/>
        <v>0.42</v>
      </c>
      <c r="AG423" s="11">
        <f t="shared" si="13"/>
        <v>7.42</v>
      </c>
      <c r="AH423" t="s">
        <v>44</v>
      </c>
    </row>
    <row r="424" spans="1:34" ht="15" customHeight="1" x14ac:dyDescent="0.35">
      <c r="A424">
        <v>7547676</v>
      </c>
      <c r="B424">
        <v>690929</v>
      </c>
      <c r="C424" t="s">
        <v>34</v>
      </c>
      <c r="D424" t="s">
        <v>35</v>
      </c>
      <c r="E424" s="6" t="s">
        <v>34</v>
      </c>
      <c r="F424" t="s">
        <v>1390</v>
      </c>
      <c r="G424" t="s">
        <v>37</v>
      </c>
      <c r="H424" t="s">
        <v>38</v>
      </c>
      <c r="I424" t="s">
        <v>1391</v>
      </c>
      <c r="J424" t="s">
        <v>40</v>
      </c>
      <c r="K424">
        <v>2</v>
      </c>
      <c r="L424" t="s">
        <v>41</v>
      </c>
      <c r="M424" t="s">
        <v>42</v>
      </c>
      <c r="N424" t="s">
        <v>43</v>
      </c>
      <c r="O424" s="7">
        <v>1</v>
      </c>
      <c r="P424" s="8">
        <v>45266.693344907406</v>
      </c>
      <c r="Q424" s="9">
        <v>45267</v>
      </c>
      <c r="R424" t="s">
        <v>37</v>
      </c>
      <c r="S424" t="s">
        <v>44</v>
      </c>
      <c r="T424" t="s">
        <v>45</v>
      </c>
      <c r="U424" t="s">
        <v>68</v>
      </c>
      <c r="V424" t="s">
        <v>1392</v>
      </c>
      <c r="W424">
        <v>43300</v>
      </c>
      <c r="X424" t="s">
        <v>44</v>
      </c>
      <c r="Y424" t="s">
        <v>52</v>
      </c>
      <c r="Z424" t="s">
        <v>49</v>
      </c>
      <c r="AA424" s="10">
        <f>IF(O424&lt;=1,7,7+0.8*ROUNDUP(O424-1,0))</f>
        <v>7</v>
      </c>
      <c r="AB424" s="11">
        <v>0</v>
      </c>
      <c r="AC424" s="11">
        <v>0</v>
      </c>
      <c r="AD424" s="11">
        <v>0</v>
      </c>
      <c r="AE424" s="11">
        <v>0</v>
      </c>
      <c r="AF424" s="11">
        <f t="shared" si="12"/>
        <v>0.42</v>
      </c>
      <c r="AG424" s="11">
        <f t="shared" si="13"/>
        <v>7.42</v>
      </c>
      <c r="AH424" t="s">
        <v>44</v>
      </c>
    </row>
    <row r="425" spans="1:34" ht="15" customHeight="1" x14ac:dyDescent="0.35">
      <c r="A425">
        <v>7547676</v>
      </c>
      <c r="B425">
        <v>690929</v>
      </c>
      <c r="C425" t="s">
        <v>34</v>
      </c>
      <c r="D425" t="s">
        <v>35</v>
      </c>
      <c r="E425" s="6" t="s">
        <v>34</v>
      </c>
      <c r="F425" t="s">
        <v>1393</v>
      </c>
      <c r="G425" t="s">
        <v>37</v>
      </c>
      <c r="H425" t="s">
        <v>38</v>
      </c>
      <c r="I425" t="s">
        <v>1394</v>
      </c>
      <c r="J425" t="s">
        <v>40</v>
      </c>
      <c r="K425">
        <v>2</v>
      </c>
      <c r="L425" t="s">
        <v>41</v>
      </c>
      <c r="M425" t="s">
        <v>42</v>
      </c>
      <c r="N425" t="s">
        <v>43</v>
      </c>
      <c r="O425" s="7">
        <v>3</v>
      </c>
      <c r="P425" s="8">
        <v>45265.662777777776</v>
      </c>
      <c r="Q425" s="9">
        <v>45267</v>
      </c>
      <c r="R425" t="s">
        <v>37</v>
      </c>
      <c r="S425" t="s">
        <v>44</v>
      </c>
      <c r="T425" t="s">
        <v>45</v>
      </c>
      <c r="U425" t="s">
        <v>53</v>
      </c>
      <c r="V425" t="s">
        <v>1395</v>
      </c>
      <c r="W425">
        <v>57000</v>
      </c>
      <c r="X425" t="s">
        <v>44</v>
      </c>
      <c r="Y425" t="s">
        <v>507</v>
      </c>
      <c r="Z425" t="s">
        <v>49</v>
      </c>
      <c r="AA425" s="10">
        <f>IF(O425&lt;=1,7,7+0.8*ROUNDUP(O425-1,0))</f>
        <v>8.6</v>
      </c>
      <c r="AB425" s="11">
        <v>0</v>
      </c>
      <c r="AC425" s="11">
        <v>0</v>
      </c>
      <c r="AD425" s="11">
        <v>0</v>
      </c>
      <c r="AE425" s="11">
        <v>0</v>
      </c>
      <c r="AF425" s="11">
        <f t="shared" si="12"/>
        <v>0.51600000000000001</v>
      </c>
      <c r="AG425" s="11">
        <f t="shared" si="13"/>
        <v>9.1159999999999997</v>
      </c>
      <c r="AH425" t="s">
        <v>44</v>
      </c>
    </row>
    <row r="426" spans="1:34" ht="15" customHeight="1" x14ac:dyDescent="0.35">
      <c r="A426">
        <v>7547676</v>
      </c>
      <c r="B426">
        <v>690929</v>
      </c>
      <c r="C426" t="s">
        <v>34</v>
      </c>
      <c r="D426" t="s">
        <v>35</v>
      </c>
      <c r="E426" s="6" t="s">
        <v>34</v>
      </c>
      <c r="F426" t="s">
        <v>1396</v>
      </c>
      <c r="G426" t="s">
        <v>37</v>
      </c>
      <c r="H426" t="s">
        <v>38</v>
      </c>
      <c r="I426" t="s">
        <v>1397</v>
      </c>
      <c r="J426" t="s">
        <v>40</v>
      </c>
      <c r="K426">
        <v>2</v>
      </c>
      <c r="L426" t="s">
        <v>41</v>
      </c>
      <c r="M426" t="s">
        <v>42</v>
      </c>
      <c r="N426" t="s">
        <v>43</v>
      </c>
      <c r="O426" s="7">
        <v>1</v>
      </c>
      <c r="P426" s="8">
        <v>45266.42596064815</v>
      </c>
      <c r="Q426" s="9">
        <v>45267</v>
      </c>
      <c r="R426" t="s">
        <v>37</v>
      </c>
      <c r="S426" t="s">
        <v>44</v>
      </c>
      <c r="T426" t="s">
        <v>45</v>
      </c>
      <c r="U426" t="s">
        <v>53</v>
      </c>
      <c r="V426" t="s">
        <v>1398</v>
      </c>
      <c r="W426">
        <v>51100</v>
      </c>
      <c r="X426" t="s">
        <v>44</v>
      </c>
      <c r="Y426" t="s">
        <v>52</v>
      </c>
      <c r="Z426" t="s">
        <v>49</v>
      </c>
      <c r="AA426" s="10">
        <f>IF(O426&lt;=1,7,7+0.8*ROUNDUP(O426-1,0))</f>
        <v>7</v>
      </c>
      <c r="AB426" s="11">
        <v>0</v>
      </c>
      <c r="AC426" s="11">
        <v>0</v>
      </c>
      <c r="AD426" s="11">
        <v>0</v>
      </c>
      <c r="AE426" s="11">
        <v>0</v>
      </c>
      <c r="AF426" s="11">
        <f t="shared" si="12"/>
        <v>0.42</v>
      </c>
      <c r="AG426" s="11">
        <f t="shared" si="13"/>
        <v>7.42</v>
      </c>
      <c r="AH426" t="s">
        <v>44</v>
      </c>
    </row>
    <row r="427" spans="1:34" ht="15" customHeight="1" x14ac:dyDescent="0.35">
      <c r="A427">
        <v>7547676</v>
      </c>
      <c r="B427">
        <v>690929</v>
      </c>
      <c r="C427" t="s">
        <v>34</v>
      </c>
      <c r="D427" t="s">
        <v>35</v>
      </c>
      <c r="E427" s="6" t="s">
        <v>34</v>
      </c>
      <c r="F427" t="s">
        <v>1399</v>
      </c>
      <c r="G427" t="s">
        <v>37</v>
      </c>
      <c r="H427" t="s">
        <v>38</v>
      </c>
      <c r="I427" t="s">
        <v>1400</v>
      </c>
      <c r="J427" t="s">
        <v>40</v>
      </c>
      <c r="K427">
        <v>2</v>
      </c>
      <c r="L427" t="s">
        <v>41</v>
      </c>
      <c r="M427" t="s">
        <v>42</v>
      </c>
      <c r="N427" t="s">
        <v>43</v>
      </c>
      <c r="O427" s="7">
        <v>1</v>
      </c>
      <c r="P427" s="8">
        <v>45266.455208333333</v>
      </c>
      <c r="Q427" s="9">
        <v>45267</v>
      </c>
      <c r="R427" t="s">
        <v>37</v>
      </c>
      <c r="S427" t="s">
        <v>44</v>
      </c>
      <c r="T427" t="s">
        <v>45</v>
      </c>
      <c r="U427" t="s">
        <v>258</v>
      </c>
      <c r="V427" t="s">
        <v>1401</v>
      </c>
      <c r="W427">
        <v>24000</v>
      </c>
      <c r="X427" t="s">
        <v>44</v>
      </c>
      <c r="Y427" t="s">
        <v>45</v>
      </c>
      <c r="Z427" t="s">
        <v>49</v>
      </c>
      <c r="AA427" s="10">
        <f>IF(O427&lt;=1,7,7+0.8*ROUNDUP(O427-1,0))</f>
        <v>7</v>
      </c>
      <c r="AB427" s="11">
        <v>0</v>
      </c>
      <c r="AC427" s="11">
        <v>0</v>
      </c>
      <c r="AD427" s="11">
        <v>0</v>
      </c>
      <c r="AE427" s="11">
        <v>0</v>
      </c>
      <c r="AF427" s="11">
        <f t="shared" si="12"/>
        <v>0.42</v>
      </c>
      <c r="AG427" s="11">
        <f t="shared" si="13"/>
        <v>7.42</v>
      </c>
      <c r="AH427" t="s">
        <v>44</v>
      </c>
    </row>
    <row r="428" spans="1:34" ht="15" customHeight="1" x14ac:dyDescent="0.35">
      <c r="A428">
        <v>7547676</v>
      </c>
      <c r="B428">
        <v>690929</v>
      </c>
      <c r="C428" t="s">
        <v>34</v>
      </c>
      <c r="D428" t="s">
        <v>35</v>
      </c>
      <c r="E428" s="6" t="s">
        <v>34</v>
      </c>
      <c r="F428" t="s">
        <v>1402</v>
      </c>
      <c r="G428" t="s">
        <v>37</v>
      </c>
      <c r="H428" t="s">
        <v>38</v>
      </c>
      <c r="I428" t="s">
        <v>1403</v>
      </c>
      <c r="J428" t="s">
        <v>40</v>
      </c>
      <c r="K428">
        <v>2</v>
      </c>
      <c r="L428" t="s">
        <v>41</v>
      </c>
      <c r="M428" t="s">
        <v>42</v>
      </c>
      <c r="N428" t="s">
        <v>43</v>
      </c>
      <c r="O428" s="7">
        <v>1</v>
      </c>
      <c r="P428" s="8">
        <v>45266.729166666664</v>
      </c>
      <c r="Q428" s="9">
        <v>45267</v>
      </c>
      <c r="R428" t="s">
        <v>37</v>
      </c>
      <c r="S428" t="s">
        <v>44</v>
      </c>
      <c r="T428" t="s">
        <v>45</v>
      </c>
      <c r="U428" t="s">
        <v>82</v>
      </c>
      <c r="V428" t="s">
        <v>1404</v>
      </c>
      <c r="W428">
        <v>70400</v>
      </c>
      <c r="X428" t="s">
        <v>44</v>
      </c>
      <c r="Y428" t="s">
        <v>1405</v>
      </c>
      <c r="Z428" t="s">
        <v>49</v>
      </c>
      <c r="AA428" s="10">
        <f>IF(O428&lt;=1,7,7+0.8*ROUNDUP(O428-1,0))</f>
        <v>7</v>
      </c>
      <c r="AB428" s="11">
        <v>0</v>
      </c>
      <c r="AC428" s="11">
        <v>0</v>
      </c>
      <c r="AD428" s="11">
        <v>0</v>
      </c>
      <c r="AE428" s="11">
        <v>0</v>
      </c>
      <c r="AF428" s="11">
        <f t="shared" si="12"/>
        <v>0.42</v>
      </c>
      <c r="AG428" s="11">
        <f t="shared" si="13"/>
        <v>7.42</v>
      </c>
      <c r="AH428" t="s">
        <v>44</v>
      </c>
    </row>
    <row r="429" spans="1:34" ht="15" customHeight="1" x14ac:dyDescent="0.35">
      <c r="A429">
        <v>7547676</v>
      </c>
      <c r="B429">
        <v>690929</v>
      </c>
      <c r="C429" t="s">
        <v>34</v>
      </c>
      <c r="D429" t="s">
        <v>35</v>
      </c>
      <c r="E429" s="6" t="s">
        <v>34</v>
      </c>
      <c r="F429" t="s">
        <v>1406</v>
      </c>
      <c r="G429" t="s">
        <v>37</v>
      </c>
      <c r="H429" t="s">
        <v>38</v>
      </c>
      <c r="I429" t="s">
        <v>1407</v>
      </c>
      <c r="J429" t="s">
        <v>40</v>
      </c>
      <c r="K429">
        <v>2</v>
      </c>
      <c r="L429" t="s">
        <v>41</v>
      </c>
      <c r="M429" t="s">
        <v>42</v>
      </c>
      <c r="N429" t="s">
        <v>43</v>
      </c>
      <c r="O429" s="7">
        <v>8</v>
      </c>
      <c r="P429" s="8">
        <v>45265.580960648149</v>
      </c>
      <c r="Q429" s="9">
        <v>45267</v>
      </c>
      <c r="R429" t="s">
        <v>37</v>
      </c>
      <c r="S429" t="s">
        <v>44</v>
      </c>
      <c r="T429" t="s">
        <v>45</v>
      </c>
      <c r="U429" t="s">
        <v>94</v>
      </c>
      <c r="V429" t="s">
        <v>1408</v>
      </c>
      <c r="W429">
        <v>14300</v>
      </c>
      <c r="X429" t="s">
        <v>44</v>
      </c>
      <c r="Y429" t="s">
        <v>682</v>
      </c>
      <c r="Z429" t="s">
        <v>49</v>
      </c>
      <c r="AA429" s="10">
        <f>IF(O429&lt;=1,7,7+0.8*ROUNDUP(O429-1,0))</f>
        <v>12.600000000000001</v>
      </c>
      <c r="AB429" s="11">
        <v>0</v>
      </c>
      <c r="AC429" s="11">
        <v>0</v>
      </c>
      <c r="AD429" s="11">
        <v>0</v>
      </c>
      <c r="AE429" s="11">
        <v>0</v>
      </c>
      <c r="AF429" s="11">
        <f t="shared" si="12"/>
        <v>0.75600000000000001</v>
      </c>
      <c r="AG429" s="11">
        <f t="shared" si="13"/>
        <v>13.356000000000002</v>
      </c>
      <c r="AH429" t="s">
        <v>44</v>
      </c>
    </row>
    <row r="430" spans="1:34" ht="15" customHeight="1" x14ac:dyDescent="0.35">
      <c r="A430">
        <v>7547676</v>
      </c>
      <c r="B430">
        <v>690929</v>
      </c>
      <c r="C430" t="s">
        <v>34</v>
      </c>
      <c r="D430" t="s">
        <v>35</v>
      </c>
      <c r="E430" s="6" t="s">
        <v>34</v>
      </c>
      <c r="F430" t="s">
        <v>1409</v>
      </c>
      <c r="G430" t="s">
        <v>37</v>
      </c>
      <c r="H430" t="s">
        <v>38</v>
      </c>
      <c r="I430" t="s">
        <v>1410</v>
      </c>
      <c r="J430" t="s">
        <v>40</v>
      </c>
      <c r="K430">
        <v>2</v>
      </c>
      <c r="L430" t="s">
        <v>41</v>
      </c>
      <c r="M430" t="s">
        <v>42</v>
      </c>
      <c r="N430" t="s">
        <v>43</v>
      </c>
      <c r="O430" s="7">
        <v>1</v>
      </c>
      <c r="P430" s="8">
        <v>45265.76525462963</v>
      </c>
      <c r="Q430" s="9">
        <v>45267</v>
      </c>
      <c r="R430" t="s">
        <v>37</v>
      </c>
      <c r="S430" t="s">
        <v>44</v>
      </c>
      <c r="T430" t="s">
        <v>45</v>
      </c>
      <c r="U430" t="s">
        <v>53</v>
      </c>
      <c r="V430" t="s">
        <v>1411</v>
      </c>
      <c r="W430">
        <v>51000</v>
      </c>
      <c r="X430" t="s">
        <v>44</v>
      </c>
      <c r="Y430" t="s">
        <v>52</v>
      </c>
      <c r="Z430" t="s">
        <v>49</v>
      </c>
      <c r="AA430" s="10">
        <f>IF(O430&lt;=1,7,7+0.8*ROUNDUP(O430-1,0))</f>
        <v>7</v>
      </c>
      <c r="AB430" s="11">
        <v>0</v>
      </c>
      <c r="AC430" s="11">
        <v>0</v>
      </c>
      <c r="AD430" s="11">
        <v>0</v>
      </c>
      <c r="AE430" s="11">
        <v>0</v>
      </c>
      <c r="AF430" s="11">
        <f t="shared" si="12"/>
        <v>0.42</v>
      </c>
      <c r="AG430" s="11">
        <f t="shared" si="13"/>
        <v>7.42</v>
      </c>
      <c r="AH430" t="s">
        <v>44</v>
      </c>
    </row>
    <row r="431" spans="1:34" ht="15" customHeight="1" x14ac:dyDescent="0.35">
      <c r="A431">
        <v>7547676</v>
      </c>
      <c r="B431">
        <v>690929</v>
      </c>
      <c r="C431" t="s">
        <v>34</v>
      </c>
      <c r="D431" t="s">
        <v>35</v>
      </c>
      <c r="E431" s="6" t="s">
        <v>34</v>
      </c>
      <c r="F431" t="s">
        <v>1412</v>
      </c>
      <c r="G431" t="s">
        <v>37</v>
      </c>
      <c r="H431" t="s">
        <v>38</v>
      </c>
      <c r="I431" t="s">
        <v>1413</v>
      </c>
      <c r="J431" t="s">
        <v>40</v>
      </c>
      <c r="K431">
        <v>2</v>
      </c>
      <c r="L431" t="s">
        <v>41</v>
      </c>
      <c r="M431" t="s">
        <v>42</v>
      </c>
      <c r="N431" t="s">
        <v>43</v>
      </c>
      <c r="O431" s="7">
        <v>1</v>
      </c>
      <c r="P431" s="8">
        <v>45265.741296296299</v>
      </c>
      <c r="Q431" s="9">
        <v>45267</v>
      </c>
      <c r="R431" t="s">
        <v>37</v>
      </c>
      <c r="S431" t="s">
        <v>44</v>
      </c>
      <c r="T431" t="s">
        <v>45</v>
      </c>
      <c r="U431" t="s">
        <v>82</v>
      </c>
      <c r="V431" t="s">
        <v>1414</v>
      </c>
      <c r="W431">
        <v>71960</v>
      </c>
      <c r="X431" t="s">
        <v>44</v>
      </c>
      <c r="Y431" t="s">
        <v>52</v>
      </c>
      <c r="Z431" t="s">
        <v>49</v>
      </c>
      <c r="AA431" s="10">
        <f>IF(O431&lt;=1,7,7+0.8*ROUNDUP(O431-1,0))</f>
        <v>7</v>
      </c>
      <c r="AB431" s="11">
        <v>0</v>
      </c>
      <c r="AC431" s="11">
        <v>0</v>
      </c>
      <c r="AD431" s="11">
        <v>0</v>
      </c>
      <c r="AE431" s="11">
        <v>0</v>
      </c>
      <c r="AF431" s="11">
        <f t="shared" si="12"/>
        <v>0.42</v>
      </c>
      <c r="AG431" s="11">
        <f t="shared" si="13"/>
        <v>7.42</v>
      </c>
      <c r="AH431" t="s">
        <v>44</v>
      </c>
    </row>
    <row r="432" spans="1:34" ht="15" customHeight="1" x14ac:dyDescent="0.35">
      <c r="A432">
        <v>7547676</v>
      </c>
      <c r="B432">
        <v>690929</v>
      </c>
      <c r="C432" t="s">
        <v>34</v>
      </c>
      <c r="D432" t="s">
        <v>35</v>
      </c>
      <c r="E432" s="6" t="s">
        <v>34</v>
      </c>
      <c r="F432" t="s">
        <v>1415</v>
      </c>
      <c r="G432" t="s">
        <v>37</v>
      </c>
      <c r="H432" t="s">
        <v>38</v>
      </c>
      <c r="I432" t="s">
        <v>1416</v>
      </c>
      <c r="J432" t="s">
        <v>40</v>
      </c>
      <c r="K432">
        <v>2</v>
      </c>
      <c r="L432" t="s">
        <v>41</v>
      </c>
      <c r="M432" t="s">
        <v>42</v>
      </c>
      <c r="N432" t="s">
        <v>43</v>
      </c>
      <c r="O432" s="7">
        <v>9</v>
      </c>
      <c r="P432" s="8">
        <v>45265.64366898148</v>
      </c>
      <c r="Q432" s="9">
        <v>45267</v>
      </c>
      <c r="R432" t="s">
        <v>37</v>
      </c>
      <c r="S432" t="s">
        <v>44</v>
      </c>
      <c r="T432" t="s">
        <v>45</v>
      </c>
      <c r="U432" t="s">
        <v>46</v>
      </c>
      <c r="V432" t="s">
        <v>1417</v>
      </c>
      <c r="W432">
        <v>81700</v>
      </c>
      <c r="X432" t="s">
        <v>44</v>
      </c>
      <c r="Y432" t="s">
        <v>1418</v>
      </c>
      <c r="Z432" t="s">
        <v>49</v>
      </c>
      <c r="AA432" s="10">
        <f>IF(O432&lt;=1,7,7+0.8*ROUNDUP(O432-1,0))</f>
        <v>13.4</v>
      </c>
      <c r="AB432" s="11">
        <v>0</v>
      </c>
      <c r="AC432" s="11">
        <v>0</v>
      </c>
      <c r="AD432" s="11">
        <v>0</v>
      </c>
      <c r="AE432" s="11">
        <v>0</v>
      </c>
      <c r="AF432" s="11">
        <f t="shared" si="12"/>
        <v>0.80399999999999994</v>
      </c>
      <c r="AG432" s="11">
        <f t="shared" si="13"/>
        <v>14.204000000000001</v>
      </c>
      <c r="AH432" t="s">
        <v>44</v>
      </c>
    </row>
    <row r="433" spans="1:34" ht="15" customHeight="1" x14ac:dyDescent="0.35">
      <c r="A433">
        <v>7547676</v>
      </c>
      <c r="B433">
        <v>690929</v>
      </c>
      <c r="C433" t="s">
        <v>34</v>
      </c>
      <c r="D433" t="s">
        <v>35</v>
      </c>
      <c r="E433" s="6" t="s">
        <v>34</v>
      </c>
      <c r="F433" t="s">
        <v>1419</v>
      </c>
      <c r="G433" t="s">
        <v>37</v>
      </c>
      <c r="H433" t="s">
        <v>38</v>
      </c>
      <c r="I433" t="s">
        <v>1420</v>
      </c>
      <c r="J433" t="s">
        <v>40</v>
      </c>
      <c r="K433">
        <v>2</v>
      </c>
      <c r="L433" t="s">
        <v>41</v>
      </c>
      <c r="M433" t="s">
        <v>42</v>
      </c>
      <c r="N433" t="s">
        <v>43</v>
      </c>
      <c r="O433" s="7">
        <v>1</v>
      </c>
      <c r="P433" s="8">
        <v>45265.804849537039</v>
      </c>
      <c r="Q433" s="9">
        <v>45267</v>
      </c>
      <c r="R433" t="s">
        <v>37</v>
      </c>
      <c r="S433" t="s">
        <v>44</v>
      </c>
      <c r="T433" t="s">
        <v>45</v>
      </c>
      <c r="U433" t="s">
        <v>68</v>
      </c>
      <c r="V433" t="s">
        <v>1421</v>
      </c>
      <c r="W433">
        <v>68100</v>
      </c>
      <c r="X433" t="s">
        <v>44</v>
      </c>
      <c r="Y433" t="s">
        <v>52</v>
      </c>
      <c r="Z433" t="s">
        <v>49</v>
      </c>
      <c r="AA433" s="10">
        <f>IF(O433&lt;=1,7,7+0.8*ROUNDUP(O433-1,0))</f>
        <v>7</v>
      </c>
      <c r="AB433" s="11">
        <v>0</v>
      </c>
      <c r="AC433" s="11">
        <v>0</v>
      </c>
      <c r="AD433" s="11">
        <v>0</v>
      </c>
      <c r="AE433" s="11">
        <v>0</v>
      </c>
      <c r="AF433" s="11">
        <f t="shared" si="12"/>
        <v>0.42</v>
      </c>
      <c r="AG433" s="11">
        <f t="shared" si="13"/>
        <v>7.42</v>
      </c>
      <c r="AH433" t="s">
        <v>44</v>
      </c>
    </row>
    <row r="434" spans="1:34" ht="15" customHeight="1" x14ac:dyDescent="0.35">
      <c r="A434">
        <v>7547676</v>
      </c>
      <c r="B434">
        <v>690929</v>
      </c>
      <c r="C434" t="s">
        <v>34</v>
      </c>
      <c r="D434" t="s">
        <v>35</v>
      </c>
      <c r="E434" s="6" t="s">
        <v>34</v>
      </c>
      <c r="F434" t="s">
        <v>1422</v>
      </c>
      <c r="G434" t="s">
        <v>37</v>
      </c>
      <c r="H434" t="s">
        <v>38</v>
      </c>
      <c r="I434" t="s">
        <v>1423</v>
      </c>
      <c r="J434" t="s">
        <v>40</v>
      </c>
      <c r="K434">
        <v>2</v>
      </c>
      <c r="L434" t="s">
        <v>41</v>
      </c>
      <c r="M434" t="s">
        <v>42</v>
      </c>
      <c r="N434" t="s">
        <v>43</v>
      </c>
      <c r="O434" s="7">
        <v>1</v>
      </c>
      <c r="P434" s="8">
        <v>45266.659710648149</v>
      </c>
      <c r="Q434" s="9">
        <v>45267</v>
      </c>
      <c r="R434" t="s">
        <v>37</v>
      </c>
      <c r="S434" t="s">
        <v>44</v>
      </c>
      <c r="T434" t="s">
        <v>45</v>
      </c>
      <c r="U434" t="s">
        <v>68</v>
      </c>
      <c r="V434" t="s">
        <v>1424</v>
      </c>
      <c r="W434">
        <v>53100</v>
      </c>
      <c r="X434" t="s">
        <v>44</v>
      </c>
      <c r="Y434" t="s">
        <v>494</v>
      </c>
      <c r="Z434" t="s">
        <v>49</v>
      </c>
      <c r="AA434" s="10">
        <f>IF(O434&lt;=1,7,7+0.8*ROUNDUP(O434-1,0))</f>
        <v>7</v>
      </c>
      <c r="AB434" s="11">
        <v>0</v>
      </c>
      <c r="AC434" s="11">
        <v>0</v>
      </c>
      <c r="AD434" s="11">
        <v>0</v>
      </c>
      <c r="AE434" s="11">
        <v>0</v>
      </c>
      <c r="AF434" s="11">
        <f t="shared" si="12"/>
        <v>0.42</v>
      </c>
      <c r="AG434" s="11">
        <f t="shared" si="13"/>
        <v>7.42</v>
      </c>
      <c r="AH434" t="s">
        <v>44</v>
      </c>
    </row>
    <row r="435" spans="1:34" ht="15" customHeight="1" x14ac:dyDescent="0.35">
      <c r="A435">
        <v>7547676</v>
      </c>
      <c r="B435">
        <v>690929</v>
      </c>
      <c r="C435" t="s">
        <v>34</v>
      </c>
      <c r="D435" t="s">
        <v>35</v>
      </c>
      <c r="E435" s="6" t="s">
        <v>34</v>
      </c>
      <c r="F435" t="s">
        <v>1425</v>
      </c>
      <c r="G435" t="s">
        <v>37</v>
      </c>
      <c r="H435" t="s">
        <v>38</v>
      </c>
      <c r="I435" t="s">
        <v>1426</v>
      </c>
      <c r="J435" t="s">
        <v>40</v>
      </c>
      <c r="K435">
        <v>2</v>
      </c>
      <c r="L435" t="s">
        <v>41</v>
      </c>
      <c r="M435" t="s">
        <v>42</v>
      </c>
      <c r="N435" t="s">
        <v>43</v>
      </c>
      <c r="O435" s="7">
        <v>1</v>
      </c>
      <c r="P435" s="8">
        <v>45267.588159722225</v>
      </c>
      <c r="Q435" s="9">
        <v>45268</v>
      </c>
      <c r="R435" t="s">
        <v>37</v>
      </c>
      <c r="S435" t="s">
        <v>44</v>
      </c>
      <c r="T435" t="s">
        <v>76</v>
      </c>
      <c r="U435" t="s">
        <v>115</v>
      </c>
      <c r="V435" t="s">
        <v>1427</v>
      </c>
      <c r="W435">
        <v>16800</v>
      </c>
      <c r="X435" t="s">
        <v>44</v>
      </c>
      <c r="Y435" t="s">
        <v>76</v>
      </c>
      <c r="Z435" t="s">
        <v>49</v>
      </c>
      <c r="AA435" s="10">
        <f>IF(O435&lt;=1,7,7+0.8*ROUNDUP(O435-1,0))</f>
        <v>7</v>
      </c>
      <c r="AB435" s="11">
        <v>0</v>
      </c>
      <c r="AC435" s="11">
        <v>0</v>
      </c>
      <c r="AD435" s="11">
        <v>0</v>
      </c>
      <c r="AE435" s="11">
        <v>0</v>
      </c>
      <c r="AF435" s="11">
        <f t="shared" si="12"/>
        <v>0.42</v>
      </c>
      <c r="AG435" s="11">
        <f t="shared" si="13"/>
        <v>7.42</v>
      </c>
      <c r="AH435" t="s">
        <v>44</v>
      </c>
    </row>
    <row r="436" spans="1:34" ht="15" customHeight="1" x14ac:dyDescent="0.35">
      <c r="A436">
        <v>7547676</v>
      </c>
      <c r="B436">
        <v>690929</v>
      </c>
      <c r="C436" t="s">
        <v>34</v>
      </c>
      <c r="D436" t="s">
        <v>35</v>
      </c>
      <c r="E436" s="6" t="s">
        <v>34</v>
      </c>
      <c r="F436" t="s">
        <v>1428</v>
      </c>
      <c r="G436" t="s">
        <v>37</v>
      </c>
      <c r="H436" t="s">
        <v>38</v>
      </c>
      <c r="I436" t="s">
        <v>1429</v>
      </c>
      <c r="J436" t="s">
        <v>40</v>
      </c>
      <c r="K436">
        <v>2</v>
      </c>
      <c r="L436" t="s">
        <v>41</v>
      </c>
      <c r="M436" t="s">
        <v>42</v>
      </c>
      <c r="N436" t="s">
        <v>43</v>
      </c>
      <c r="O436" s="7">
        <v>1</v>
      </c>
      <c r="P436" s="8">
        <v>45267.611527777779</v>
      </c>
      <c r="Q436" s="9">
        <v>45268</v>
      </c>
      <c r="R436" t="s">
        <v>37</v>
      </c>
      <c r="S436" t="s">
        <v>44</v>
      </c>
      <c r="T436" t="s">
        <v>76</v>
      </c>
      <c r="U436" t="s">
        <v>115</v>
      </c>
      <c r="V436" t="s">
        <v>1430</v>
      </c>
      <c r="W436">
        <v>16310</v>
      </c>
      <c r="X436" t="s">
        <v>44</v>
      </c>
      <c r="Y436" t="s">
        <v>76</v>
      </c>
      <c r="Z436" t="s">
        <v>49</v>
      </c>
      <c r="AA436" s="10">
        <f>IF(O436&lt;=1,7,7+0.8*ROUNDUP(O436-1,0))</f>
        <v>7</v>
      </c>
      <c r="AB436" s="11">
        <v>0</v>
      </c>
      <c r="AC436" s="11">
        <v>0</v>
      </c>
      <c r="AD436" s="11">
        <v>0</v>
      </c>
      <c r="AE436" s="11">
        <v>0</v>
      </c>
      <c r="AF436" s="11">
        <f t="shared" si="12"/>
        <v>0.42</v>
      </c>
      <c r="AG436" s="11">
        <f t="shared" si="13"/>
        <v>7.42</v>
      </c>
      <c r="AH436" t="s">
        <v>44</v>
      </c>
    </row>
    <row r="437" spans="1:34" ht="15" customHeight="1" x14ac:dyDescent="0.35">
      <c r="A437">
        <v>7547676</v>
      </c>
      <c r="B437">
        <v>690929</v>
      </c>
      <c r="C437" t="s">
        <v>34</v>
      </c>
      <c r="D437" t="s">
        <v>35</v>
      </c>
      <c r="E437" s="6" t="s">
        <v>34</v>
      </c>
      <c r="F437" t="s">
        <v>1431</v>
      </c>
      <c r="G437" t="s">
        <v>37</v>
      </c>
      <c r="H437" t="s">
        <v>38</v>
      </c>
      <c r="I437" t="s">
        <v>1432</v>
      </c>
      <c r="J437" t="s">
        <v>40</v>
      </c>
      <c r="K437">
        <v>2</v>
      </c>
      <c r="L437" t="s">
        <v>41</v>
      </c>
      <c r="M437" t="s">
        <v>42</v>
      </c>
      <c r="N437" t="s">
        <v>43</v>
      </c>
      <c r="O437" s="7">
        <v>1</v>
      </c>
      <c r="P437" s="8">
        <v>45266.704305555555</v>
      </c>
      <c r="Q437" s="9">
        <v>45268</v>
      </c>
      <c r="R437" t="s">
        <v>37</v>
      </c>
      <c r="S437" t="s">
        <v>44</v>
      </c>
      <c r="T437" t="s">
        <v>52</v>
      </c>
      <c r="U437" t="s">
        <v>46</v>
      </c>
      <c r="V437" t="s">
        <v>1433</v>
      </c>
      <c r="W437">
        <v>86100</v>
      </c>
      <c r="X437" t="s">
        <v>44</v>
      </c>
      <c r="Y437" t="s">
        <v>52</v>
      </c>
      <c r="Z437" t="s">
        <v>49</v>
      </c>
      <c r="AA437" s="10">
        <f>IF(O437&lt;=1,7,7+0.8*ROUNDUP(O437-1,0))</f>
        <v>7</v>
      </c>
      <c r="AB437" s="11">
        <v>0</v>
      </c>
      <c r="AC437" s="11">
        <v>0</v>
      </c>
      <c r="AD437" s="11">
        <v>0</v>
      </c>
      <c r="AE437" s="11">
        <v>0</v>
      </c>
      <c r="AF437" s="11">
        <f t="shared" si="12"/>
        <v>0.42</v>
      </c>
      <c r="AG437" s="11">
        <f t="shared" si="13"/>
        <v>7.42</v>
      </c>
      <c r="AH437" t="s">
        <v>44</v>
      </c>
    </row>
    <row r="438" spans="1:34" ht="15" customHeight="1" x14ac:dyDescent="0.35">
      <c r="A438">
        <v>7547676</v>
      </c>
      <c r="B438">
        <v>690929</v>
      </c>
      <c r="C438" t="s">
        <v>34</v>
      </c>
      <c r="D438" t="s">
        <v>35</v>
      </c>
      <c r="E438" s="6" t="s">
        <v>34</v>
      </c>
      <c r="F438" t="s">
        <v>1434</v>
      </c>
      <c r="G438" t="s">
        <v>37</v>
      </c>
      <c r="H438" t="s">
        <v>38</v>
      </c>
      <c r="I438" t="s">
        <v>1435</v>
      </c>
      <c r="J438" t="s">
        <v>40</v>
      </c>
      <c r="K438">
        <v>2</v>
      </c>
      <c r="L438" t="s">
        <v>41</v>
      </c>
      <c r="M438" t="s">
        <v>42</v>
      </c>
      <c r="N438" t="s">
        <v>43</v>
      </c>
      <c r="O438" s="7">
        <v>1</v>
      </c>
      <c r="P438" s="8">
        <v>45266.638414351852</v>
      </c>
      <c r="Q438" s="9">
        <v>45268</v>
      </c>
      <c r="R438" t="s">
        <v>37</v>
      </c>
      <c r="S438" t="s">
        <v>44</v>
      </c>
      <c r="T438" t="s">
        <v>45</v>
      </c>
      <c r="U438" t="s">
        <v>82</v>
      </c>
      <c r="V438" t="s">
        <v>1436</v>
      </c>
      <c r="W438">
        <v>71800</v>
      </c>
      <c r="X438" t="s">
        <v>44</v>
      </c>
      <c r="Y438" t="s">
        <v>84</v>
      </c>
      <c r="Z438" t="s">
        <v>49</v>
      </c>
      <c r="AA438" s="10">
        <f>IF(O438&lt;=1,7,7+0.8*ROUNDUP(O438-1,0))</f>
        <v>7</v>
      </c>
      <c r="AB438" s="11">
        <v>0</v>
      </c>
      <c r="AC438" s="11">
        <v>0</v>
      </c>
      <c r="AD438" s="11">
        <v>0</v>
      </c>
      <c r="AE438" s="11">
        <v>0</v>
      </c>
      <c r="AF438" s="11">
        <f t="shared" si="12"/>
        <v>0.42</v>
      </c>
      <c r="AG438" s="11">
        <f t="shared" si="13"/>
        <v>7.42</v>
      </c>
      <c r="AH438" t="s">
        <v>44</v>
      </c>
    </row>
    <row r="439" spans="1:34" ht="15" customHeight="1" x14ac:dyDescent="0.35">
      <c r="A439">
        <v>7547676</v>
      </c>
      <c r="B439">
        <v>690929</v>
      </c>
      <c r="C439" t="s">
        <v>34</v>
      </c>
      <c r="D439" t="s">
        <v>35</v>
      </c>
      <c r="E439" s="6" t="s">
        <v>34</v>
      </c>
      <c r="F439" t="s">
        <v>1437</v>
      </c>
      <c r="G439" t="s">
        <v>37</v>
      </c>
      <c r="H439" t="s">
        <v>38</v>
      </c>
      <c r="I439" t="s">
        <v>723</v>
      </c>
      <c r="J439" t="s">
        <v>40</v>
      </c>
      <c r="K439">
        <v>2</v>
      </c>
      <c r="L439" t="s">
        <v>41</v>
      </c>
      <c r="M439" t="s">
        <v>42</v>
      </c>
      <c r="N439" t="s">
        <v>43</v>
      </c>
      <c r="O439" s="7">
        <v>3</v>
      </c>
      <c r="P439" s="8">
        <v>45266.758750000001</v>
      </c>
      <c r="Q439" s="9">
        <v>45268</v>
      </c>
      <c r="R439" t="s">
        <v>37</v>
      </c>
      <c r="S439" t="s">
        <v>44</v>
      </c>
      <c r="T439" t="s">
        <v>76</v>
      </c>
      <c r="U439" t="s">
        <v>258</v>
      </c>
      <c r="V439" t="s">
        <v>1438</v>
      </c>
      <c r="W439">
        <v>20050</v>
      </c>
      <c r="X439" t="s">
        <v>44</v>
      </c>
      <c r="Y439" t="s">
        <v>585</v>
      </c>
      <c r="Z439" t="s">
        <v>49</v>
      </c>
      <c r="AA439" s="10">
        <f>IF(O439&lt;=1,7,7+0.8*ROUNDUP(O439-1,0))</f>
        <v>8.6</v>
      </c>
      <c r="AB439" s="11">
        <v>0</v>
      </c>
      <c r="AC439" s="11">
        <v>0</v>
      </c>
      <c r="AD439" s="11">
        <v>0</v>
      </c>
      <c r="AE439" s="11">
        <v>0</v>
      </c>
      <c r="AF439" s="11">
        <f t="shared" si="12"/>
        <v>0.51600000000000001</v>
      </c>
      <c r="AG439" s="11">
        <f t="shared" si="13"/>
        <v>9.1159999999999997</v>
      </c>
      <c r="AH439" t="s">
        <v>44</v>
      </c>
    </row>
    <row r="440" spans="1:34" ht="15" customHeight="1" x14ac:dyDescent="0.35">
      <c r="A440">
        <v>7547676</v>
      </c>
      <c r="B440">
        <v>690929</v>
      </c>
      <c r="C440" t="s">
        <v>34</v>
      </c>
      <c r="D440" t="s">
        <v>35</v>
      </c>
      <c r="E440" s="6" t="s">
        <v>34</v>
      </c>
      <c r="F440" t="s">
        <v>1439</v>
      </c>
      <c r="G440" t="s">
        <v>37</v>
      </c>
      <c r="H440" t="s">
        <v>38</v>
      </c>
      <c r="I440" t="s">
        <v>1440</v>
      </c>
      <c r="J440" t="s">
        <v>40</v>
      </c>
      <c r="K440">
        <v>2</v>
      </c>
      <c r="L440" t="s">
        <v>41</v>
      </c>
      <c r="M440" t="s">
        <v>42</v>
      </c>
      <c r="N440" t="s">
        <v>43</v>
      </c>
      <c r="O440" s="7">
        <v>1</v>
      </c>
      <c r="P440" s="8">
        <v>45265.765266203707</v>
      </c>
      <c r="Q440" s="9">
        <v>45268</v>
      </c>
      <c r="R440" t="s">
        <v>37</v>
      </c>
      <c r="S440" t="s">
        <v>44</v>
      </c>
      <c r="T440" t="s">
        <v>45</v>
      </c>
      <c r="U440" t="s">
        <v>46</v>
      </c>
      <c r="V440" t="s">
        <v>1441</v>
      </c>
      <c r="W440">
        <v>81000</v>
      </c>
      <c r="X440" t="s">
        <v>44</v>
      </c>
      <c r="Y440" t="s">
        <v>52</v>
      </c>
      <c r="Z440" t="s">
        <v>49</v>
      </c>
      <c r="AA440" s="10">
        <f>IF(O440&lt;=1,7,7+0.8*ROUNDUP(O440-1,0))</f>
        <v>7</v>
      </c>
      <c r="AB440" s="11">
        <v>0</v>
      </c>
      <c r="AC440" s="11">
        <v>0</v>
      </c>
      <c r="AD440" s="11">
        <v>0</v>
      </c>
      <c r="AE440" s="11">
        <v>0</v>
      </c>
      <c r="AF440" s="11">
        <f t="shared" si="12"/>
        <v>0.42</v>
      </c>
      <c r="AG440" s="11">
        <f t="shared" si="13"/>
        <v>7.42</v>
      </c>
      <c r="AH440" t="s">
        <v>44</v>
      </c>
    </row>
    <row r="441" spans="1:34" ht="15" customHeight="1" x14ac:dyDescent="0.35">
      <c r="A441">
        <v>7547676</v>
      </c>
      <c r="B441">
        <v>690929</v>
      </c>
      <c r="C441" t="s">
        <v>34</v>
      </c>
      <c r="D441" t="s">
        <v>35</v>
      </c>
      <c r="E441" s="6" t="s">
        <v>34</v>
      </c>
      <c r="F441" t="s">
        <v>1442</v>
      </c>
      <c r="G441" t="s">
        <v>37</v>
      </c>
      <c r="H441" t="s">
        <v>38</v>
      </c>
      <c r="I441" t="s">
        <v>1443</v>
      </c>
      <c r="J441" t="s">
        <v>40</v>
      </c>
      <c r="K441">
        <v>2</v>
      </c>
      <c r="L441" t="s">
        <v>41</v>
      </c>
      <c r="M441" t="s">
        <v>42</v>
      </c>
      <c r="N441" t="s">
        <v>43</v>
      </c>
      <c r="O441" s="7">
        <v>1</v>
      </c>
      <c r="P441" s="8">
        <v>45267.611527777779</v>
      </c>
      <c r="Q441" s="9">
        <v>45268</v>
      </c>
      <c r="R441" t="s">
        <v>37</v>
      </c>
      <c r="S441" t="s">
        <v>44</v>
      </c>
      <c r="T441" t="s">
        <v>76</v>
      </c>
      <c r="U441" t="s">
        <v>77</v>
      </c>
      <c r="V441" t="s">
        <v>1444</v>
      </c>
      <c r="W441">
        <v>26800</v>
      </c>
      <c r="X441" t="s">
        <v>44</v>
      </c>
      <c r="Y441" t="s">
        <v>79</v>
      </c>
      <c r="Z441" t="s">
        <v>49</v>
      </c>
      <c r="AA441" s="10">
        <f>IF(O441&lt;=1,7,7+0.8*ROUNDUP(O441-1,0))</f>
        <v>7</v>
      </c>
      <c r="AB441" s="11">
        <v>0</v>
      </c>
      <c r="AC441" s="11">
        <v>0</v>
      </c>
      <c r="AD441" s="11">
        <v>0</v>
      </c>
      <c r="AE441" s="11">
        <v>0</v>
      </c>
      <c r="AF441" s="11">
        <f t="shared" si="12"/>
        <v>0.42</v>
      </c>
      <c r="AG441" s="11">
        <f t="shared" si="13"/>
        <v>7.42</v>
      </c>
      <c r="AH441" t="s">
        <v>44</v>
      </c>
    </row>
    <row r="442" spans="1:34" ht="15" customHeight="1" x14ac:dyDescent="0.35">
      <c r="A442">
        <v>7547676</v>
      </c>
      <c r="B442">
        <v>690929</v>
      </c>
      <c r="C442" t="s">
        <v>34</v>
      </c>
      <c r="D442" t="s">
        <v>35</v>
      </c>
      <c r="E442" s="6" t="s">
        <v>34</v>
      </c>
      <c r="F442" t="s">
        <v>1445</v>
      </c>
      <c r="G442" t="s">
        <v>37</v>
      </c>
      <c r="H442" t="s">
        <v>38</v>
      </c>
      <c r="I442" t="s">
        <v>1446</v>
      </c>
      <c r="J442" t="s">
        <v>40</v>
      </c>
      <c r="K442">
        <v>2</v>
      </c>
      <c r="L442" t="s">
        <v>41</v>
      </c>
      <c r="M442" t="s">
        <v>42</v>
      </c>
      <c r="N442" t="s">
        <v>43</v>
      </c>
      <c r="O442" s="7">
        <v>17</v>
      </c>
      <c r="P442" s="8">
        <v>45267.640879629631</v>
      </c>
      <c r="Q442" s="9">
        <v>45268</v>
      </c>
      <c r="R442" t="s">
        <v>37</v>
      </c>
      <c r="S442" t="s">
        <v>44</v>
      </c>
      <c r="T442" t="s">
        <v>76</v>
      </c>
      <c r="U442" t="s">
        <v>77</v>
      </c>
      <c r="V442" t="s">
        <v>1447</v>
      </c>
      <c r="W442">
        <v>28100</v>
      </c>
      <c r="X442" t="s">
        <v>44</v>
      </c>
      <c r="Y442" t="s">
        <v>630</v>
      </c>
      <c r="Z442" t="s">
        <v>49</v>
      </c>
      <c r="AA442" s="10">
        <f>IF(O442&lt;=1,7,7+0.8*ROUNDUP(O442-1,0))</f>
        <v>19.8</v>
      </c>
      <c r="AB442" s="11">
        <v>0</v>
      </c>
      <c r="AC442" s="11">
        <v>0</v>
      </c>
      <c r="AD442" s="11">
        <v>0</v>
      </c>
      <c r="AE442" s="11">
        <v>0</v>
      </c>
      <c r="AF442" s="11">
        <f t="shared" si="12"/>
        <v>1.1879999999999999</v>
      </c>
      <c r="AG442" s="11">
        <f t="shared" si="13"/>
        <v>20.988</v>
      </c>
      <c r="AH442" t="s">
        <v>44</v>
      </c>
    </row>
    <row r="443" spans="1:34" ht="15" customHeight="1" x14ac:dyDescent="0.35">
      <c r="A443">
        <v>7547676</v>
      </c>
      <c r="B443">
        <v>690929</v>
      </c>
      <c r="C443" t="s">
        <v>34</v>
      </c>
      <c r="D443" t="s">
        <v>35</v>
      </c>
      <c r="E443" s="6" t="s">
        <v>34</v>
      </c>
      <c r="F443" t="s">
        <v>1448</v>
      </c>
      <c r="G443" t="s">
        <v>37</v>
      </c>
      <c r="H443" t="s">
        <v>38</v>
      </c>
      <c r="I443" t="s">
        <v>1449</v>
      </c>
      <c r="J443" t="s">
        <v>40</v>
      </c>
      <c r="K443">
        <v>2</v>
      </c>
      <c r="L443" t="s">
        <v>41</v>
      </c>
      <c r="M443" t="s">
        <v>42</v>
      </c>
      <c r="N443" t="s">
        <v>43</v>
      </c>
      <c r="O443" s="7">
        <v>1</v>
      </c>
      <c r="P443" s="8">
        <v>45266.578715277778</v>
      </c>
      <c r="Q443" s="9">
        <v>45268</v>
      </c>
      <c r="R443" t="s">
        <v>37</v>
      </c>
      <c r="S443" t="s">
        <v>44</v>
      </c>
      <c r="T443" t="s">
        <v>45</v>
      </c>
      <c r="U443" t="s">
        <v>63</v>
      </c>
      <c r="V443" t="s">
        <v>1450</v>
      </c>
      <c r="W443">
        <v>75450</v>
      </c>
      <c r="X443" t="s">
        <v>44</v>
      </c>
      <c r="Y443" t="s">
        <v>772</v>
      </c>
      <c r="Z443" t="s">
        <v>49</v>
      </c>
      <c r="AA443" s="10">
        <f>IF(O443&lt;=1,7,7+0.8*ROUNDUP(O443-1,0))</f>
        <v>7</v>
      </c>
      <c r="AB443" s="11">
        <v>0</v>
      </c>
      <c r="AC443" s="11">
        <v>0</v>
      </c>
      <c r="AD443" s="11">
        <v>0</v>
      </c>
      <c r="AE443" s="11">
        <v>0</v>
      </c>
      <c r="AF443" s="11">
        <f t="shared" si="12"/>
        <v>0.42</v>
      </c>
      <c r="AG443" s="11">
        <f t="shared" si="13"/>
        <v>7.42</v>
      </c>
      <c r="AH443" t="s">
        <v>44</v>
      </c>
    </row>
    <row r="444" spans="1:34" ht="15" customHeight="1" x14ac:dyDescent="0.35">
      <c r="A444">
        <v>7547676</v>
      </c>
      <c r="B444">
        <v>690929</v>
      </c>
      <c r="C444" t="s">
        <v>34</v>
      </c>
      <c r="D444" t="s">
        <v>35</v>
      </c>
      <c r="E444" s="6" t="s">
        <v>34</v>
      </c>
      <c r="F444" t="s">
        <v>1451</v>
      </c>
      <c r="G444" t="s">
        <v>37</v>
      </c>
      <c r="H444" t="s">
        <v>38</v>
      </c>
      <c r="I444" t="s">
        <v>1452</v>
      </c>
      <c r="J444" t="s">
        <v>40</v>
      </c>
      <c r="K444">
        <v>2</v>
      </c>
      <c r="L444" t="s">
        <v>41</v>
      </c>
      <c r="M444" t="s">
        <v>42</v>
      </c>
      <c r="N444" t="s">
        <v>43</v>
      </c>
      <c r="O444" s="7">
        <v>1</v>
      </c>
      <c r="P444" s="8">
        <v>45265.765266203707</v>
      </c>
      <c r="Q444" s="9">
        <v>45268</v>
      </c>
      <c r="R444" t="s">
        <v>37</v>
      </c>
      <c r="S444" t="s">
        <v>44</v>
      </c>
      <c r="T444" t="s">
        <v>45</v>
      </c>
      <c r="U444" t="s">
        <v>77</v>
      </c>
      <c r="V444" t="s">
        <v>1453</v>
      </c>
      <c r="W444">
        <v>69000</v>
      </c>
      <c r="X444" t="s">
        <v>44</v>
      </c>
      <c r="Y444" t="s">
        <v>1454</v>
      </c>
      <c r="Z444" t="s">
        <v>49</v>
      </c>
      <c r="AA444" s="10">
        <f>IF(O444&lt;=1,7,7+0.8*ROUNDUP(O444-1,0))</f>
        <v>7</v>
      </c>
      <c r="AB444" s="11">
        <v>0</v>
      </c>
      <c r="AC444" s="11">
        <v>0</v>
      </c>
      <c r="AD444" s="11">
        <v>0</v>
      </c>
      <c r="AE444" s="11">
        <v>0</v>
      </c>
      <c r="AF444" s="11">
        <f t="shared" si="12"/>
        <v>0.42</v>
      </c>
      <c r="AG444" s="11">
        <f t="shared" si="13"/>
        <v>7.42</v>
      </c>
      <c r="AH444" t="s">
        <v>44</v>
      </c>
    </row>
    <row r="445" spans="1:34" ht="15" customHeight="1" x14ac:dyDescent="0.35">
      <c r="A445">
        <v>7547676</v>
      </c>
      <c r="B445">
        <v>690929</v>
      </c>
      <c r="C445" t="s">
        <v>34</v>
      </c>
      <c r="D445" t="s">
        <v>35</v>
      </c>
      <c r="E445" s="6" t="s">
        <v>34</v>
      </c>
      <c r="F445" t="s">
        <v>1455</v>
      </c>
      <c r="G445" t="s">
        <v>37</v>
      </c>
      <c r="H445" t="s">
        <v>38</v>
      </c>
      <c r="I445" t="s">
        <v>972</v>
      </c>
      <c r="J445" t="s">
        <v>40</v>
      </c>
      <c r="K445">
        <v>2</v>
      </c>
      <c r="L445" t="s">
        <v>41</v>
      </c>
      <c r="M445" t="s">
        <v>42</v>
      </c>
      <c r="N445" t="s">
        <v>43</v>
      </c>
      <c r="O445" s="7">
        <v>1</v>
      </c>
      <c r="P445" s="8">
        <v>45266.704305555555</v>
      </c>
      <c r="Q445" s="9">
        <v>45268</v>
      </c>
      <c r="R445" t="s">
        <v>37</v>
      </c>
      <c r="S445" t="s">
        <v>44</v>
      </c>
      <c r="T445" t="s">
        <v>45</v>
      </c>
      <c r="U445" t="s">
        <v>46</v>
      </c>
      <c r="V445" t="s">
        <v>973</v>
      </c>
      <c r="W445">
        <v>83700</v>
      </c>
      <c r="X445" t="s">
        <v>44</v>
      </c>
      <c r="Y445" t="s">
        <v>52</v>
      </c>
      <c r="Z445" t="s">
        <v>49</v>
      </c>
      <c r="AA445" s="10">
        <f>IF(O445&lt;=1,7,7+0.8*ROUNDUP(O445-1,0))</f>
        <v>7</v>
      </c>
      <c r="AB445" s="11">
        <v>0</v>
      </c>
      <c r="AC445" s="11">
        <v>0</v>
      </c>
      <c r="AD445" s="11">
        <v>0</v>
      </c>
      <c r="AE445" s="11">
        <v>0</v>
      </c>
      <c r="AF445" s="11">
        <f t="shared" si="12"/>
        <v>0.42</v>
      </c>
      <c r="AG445" s="11">
        <f t="shared" si="13"/>
        <v>7.42</v>
      </c>
      <c r="AH445" t="s">
        <v>44</v>
      </c>
    </row>
    <row r="446" spans="1:34" ht="15" customHeight="1" x14ac:dyDescent="0.35">
      <c r="A446">
        <v>7547676</v>
      </c>
      <c r="B446">
        <v>690929</v>
      </c>
      <c r="C446" t="s">
        <v>34</v>
      </c>
      <c r="D446" t="s">
        <v>35</v>
      </c>
      <c r="E446" s="6" t="s">
        <v>34</v>
      </c>
      <c r="F446" t="s">
        <v>1456</v>
      </c>
      <c r="G446" t="s">
        <v>37</v>
      </c>
      <c r="H446" t="s">
        <v>38</v>
      </c>
      <c r="I446" t="s">
        <v>1457</v>
      </c>
      <c r="J446" t="s">
        <v>40</v>
      </c>
      <c r="K446">
        <v>2</v>
      </c>
      <c r="L446" t="s">
        <v>41</v>
      </c>
      <c r="M446" t="s">
        <v>42</v>
      </c>
      <c r="N446" t="s">
        <v>43</v>
      </c>
      <c r="O446" s="7">
        <v>1</v>
      </c>
      <c r="P446" s="8">
        <v>45267.725763888891</v>
      </c>
      <c r="Q446" s="9">
        <v>45268</v>
      </c>
      <c r="R446" t="s">
        <v>37</v>
      </c>
      <c r="S446" t="s">
        <v>44</v>
      </c>
      <c r="T446" t="s">
        <v>76</v>
      </c>
      <c r="U446" t="s">
        <v>258</v>
      </c>
      <c r="V446" t="s">
        <v>1458</v>
      </c>
      <c r="W446">
        <v>21100</v>
      </c>
      <c r="X446" t="s">
        <v>44</v>
      </c>
      <c r="Y446" t="s">
        <v>260</v>
      </c>
      <c r="Z446" t="s">
        <v>49</v>
      </c>
      <c r="AA446" s="10">
        <f>IF(O446&lt;=1,7,7+0.8*ROUNDUP(O446-1,0))</f>
        <v>7</v>
      </c>
      <c r="AB446" s="11">
        <v>0</v>
      </c>
      <c r="AC446" s="11">
        <v>0</v>
      </c>
      <c r="AD446" s="11">
        <v>0</v>
      </c>
      <c r="AE446" s="11">
        <v>0</v>
      </c>
      <c r="AF446" s="11">
        <f t="shared" si="12"/>
        <v>0.42</v>
      </c>
      <c r="AG446" s="11">
        <f t="shared" si="13"/>
        <v>7.42</v>
      </c>
      <c r="AH446" t="s">
        <v>44</v>
      </c>
    </row>
    <row r="447" spans="1:34" ht="15" customHeight="1" x14ac:dyDescent="0.35">
      <c r="A447">
        <v>7547676</v>
      </c>
      <c r="B447">
        <v>690929</v>
      </c>
      <c r="C447" t="s">
        <v>34</v>
      </c>
      <c r="D447" t="s">
        <v>35</v>
      </c>
      <c r="E447" s="6" t="s">
        <v>34</v>
      </c>
      <c r="F447" t="s">
        <v>1459</v>
      </c>
      <c r="G447" t="s">
        <v>37</v>
      </c>
      <c r="H447" t="s">
        <v>38</v>
      </c>
      <c r="I447" t="s">
        <v>1460</v>
      </c>
      <c r="J447" t="s">
        <v>40</v>
      </c>
      <c r="K447">
        <v>2</v>
      </c>
      <c r="L447" t="s">
        <v>41</v>
      </c>
      <c r="M447" t="s">
        <v>42</v>
      </c>
      <c r="N447" t="s">
        <v>43</v>
      </c>
      <c r="O447" s="7">
        <v>2</v>
      </c>
      <c r="P447" s="8">
        <v>45266.608472222222</v>
      </c>
      <c r="Q447" s="9">
        <v>45268</v>
      </c>
      <c r="R447" t="s">
        <v>37</v>
      </c>
      <c r="S447" t="s">
        <v>44</v>
      </c>
      <c r="T447" t="s">
        <v>45</v>
      </c>
      <c r="U447" t="s">
        <v>63</v>
      </c>
      <c r="V447" t="s">
        <v>1461</v>
      </c>
      <c r="W447">
        <v>75450</v>
      </c>
      <c r="X447" t="s">
        <v>44</v>
      </c>
      <c r="Y447" t="s">
        <v>772</v>
      </c>
      <c r="Z447" t="s">
        <v>49</v>
      </c>
      <c r="AA447" s="10">
        <f>IF(O447&lt;=1,7,7+0.8*ROUNDUP(O447-1,0))</f>
        <v>7.8</v>
      </c>
      <c r="AB447" s="11">
        <v>0</v>
      </c>
      <c r="AC447" s="11">
        <v>0</v>
      </c>
      <c r="AD447" s="11">
        <v>0</v>
      </c>
      <c r="AE447" s="11">
        <v>0</v>
      </c>
      <c r="AF447" s="11">
        <f t="shared" si="12"/>
        <v>0.46799999999999997</v>
      </c>
      <c r="AG447" s="11">
        <f t="shared" si="13"/>
        <v>8.2680000000000007</v>
      </c>
      <c r="AH447" t="s">
        <v>44</v>
      </c>
    </row>
    <row r="448" spans="1:34" ht="15" customHeight="1" x14ac:dyDescent="0.35">
      <c r="A448">
        <v>7547676</v>
      </c>
      <c r="B448">
        <v>690929</v>
      </c>
      <c r="C448" t="s">
        <v>34</v>
      </c>
      <c r="D448" t="s">
        <v>35</v>
      </c>
      <c r="E448" s="6" t="s">
        <v>34</v>
      </c>
      <c r="F448" t="s">
        <v>1462</v>
      </c>
      <c r="G448" t="s">
        <v>37</v>
      </c>
      <c r="H448" t="s">
        <v>38</v>
      </c>
      <c r="I448" t="s">
        <v>1463</v>
      </c>
      <c r="J448" t="s">
        <v>40</v>
      </c>
      <c r="K448">
        <v>2</v>
      </c>
      <c r="L448" t="s">
        <v>41</v>
      </c>
      <c r="M448" t="s">
        <v>42</v>
      </c>
      <c r="N448" t="s">
        <v>43</v>
      </c>
      <c r="O448" s="7">
        <v>1</v>
      </c>
      <c r="P448" s="8">
        <v>45267.788078703707</v>
      </c>
      <c r="Q448" s="9">
        <v>45268</v>
      </c>
      <c r="R448" t="s">
        <v>37</v>
      </c>
      <c r="S448" t="s">
        <v>44</v>
      </c>
      <c r="T448" t="s">
        <v>76</v>
      </c>
      <c r="U448" t="s">
        <v>77</v>
      </c>
      <c r="V448" t="s">
        <v>1464</v>
      </c>
      <c r="W448">
        <v>28000</v>
      </c>
      <c r="X448" t="s">
        <v>44</v>
      </c>
      <c r="Y448" t="s">
        <v>79</v>
      </c>
      <c r="Z448" t="s">
        <v>49</v>
      </c>
      <c r="AA448" s="10">
        <f>IF(O448&lt;=1,7,7+0.8*ROUNDUP(O448-1,0))</f>
        <v>7</v>
      </c>
      <c r="AB448" s="11">
        <v>0</v>
      </c>
      <c r="AC448" s="11">
        <v>0</v>
      </c>
      <c r="AD448" s="11">
        <v>0</v>
      </c>
      <c r="AE448" s="11">
        <v>0</v>
      </c>
      <c r="AF448" s="11">
        <f t="shared" si="12"/>
        <v>0.42</v>
      </c>
      <c r="AG448" s="11">
        <f t="shared" si="13"/>
        <v>7.42</v>
      </c>
      <c r="AH448" t="s">
        <v>44</v>
      </c>
    </row>
    <row r="449" spans="1:34" ht="15" customHeight="1" x14ac:dyDescent="0.35">
      <c r="A449">
        <v>7547676</v>
      </c>
      <c r="B449">
        <v>690929</v>
      </c>
      <c r="C449" t="s">
        <v>34</v>
      </c>
      <c r="D449" t="s">
        <v>35</v>
      </c>
      <c r="E449" s="6" t="s">
        <v>34</v>
      </c>
      <c r="F449" t="s">
        <v>1465</v>
      </c>
      <c r="G449" t="s">
        <v>37</v>
      </c>
      <c r="H449" t="s">
        <v>38</v>
      </c>
      <c r="I449" t="s">
        <v>1466</v>
      </c>
      <c r="J449" t="s">
        <v>40</v>
      </c>
      <c r="K449">
        <v>2</v>
      </c>
      <c r="L449" t="s">
        <v>41</v>
      </c>
      <c r="M449" t="s">
        <v>42</v>
      </c>
      <c r="N449" t="s">
        <v>43</v>
      </c>
      <c r="O449" s="7">
        <v>4</v>
      </c>
      <c r="P449" s="8">
        <v>45266.737037037034</v>
      </c>
      <c r="Q449" s="9">
        <v>45268</v>
      </c>
      <c r="R449" t="s">
        <v>37</v>
      </c>
      <c r="S449" t="s">
        <v>44</v>
      </c>
      <c r="T449" t="s">
        <v>45</v>
      </c>
      <c r="U449" t="s">
        <v>63</v>
      </c>
      <c r="V449" t="s">
        <v>1467</v>
      </c>
      <c r="W449">
        <v>75450</v>
      </c>
      <c r="X449" t="s">
        <v>44</v>
      </c>
      <c r="Y449" t="s">
        <v>1468</v>
      </c>
      <c r="Z449" t="s">
        <v>49</v>
      </c>
      <c r="AA449" s="10">
        <f>IF(O449&lt;=1,7,7+0.8*ROUNDUP(O449-1,0))</f>
        <v>9.4</v>
      </c>
      <c r="AB449" s="11">
        <v>0</v>
      </c>
      <c r="AC449" s="11">
        <v>0</v>
      </c>
      <c r="AD449" s="11">
        <v>0</v>
      </c>
      <c r="AE449" s="11">
        <v>0</v>
      </c>
      <c r="AF449" s="11">
        <f t="shared" si="12"/>
        <v>0.56399999999999995</v>
      </c>
      <c r="AG449" s="11">
        <f t="shared" si="13"/>
        <v>9.9640000000000004</v>
      </c>
      <c r="AH449" t="s">
        <v>44</v>
      </c>
    </row>
    <row r="450" spans="1:34" ht="15" customHeight="1" x14ac:dyDescent="0.35">
      <c r="A450">
        <v>7547676</v>
      </c>
      <c r="B450">
        <v>690929</v>
      </c>
      <c r="C450" t="s">
        <v>34</v>
      </c>
      <c r="D450" t="s">
        <v>35</v>
      </c>
      <c r="E450" s="6" t="s">
        <v>34</v>
      </c>
      <c r="F450" t="s">
        <v>1469</v>
      </c>
      <c r="G450" t="s">
        <v>37</v>
      </c>
      <c r="H450" t="s">
        <v>38</v>
      </c>
      <c r="I450" t="s">
        <v>1470</v>
      </c>
      <c r="J450" t="s">
        <v>40</v>
      </c>
      <c r="K450">
        <v>2</v>
      </c>
      <c r="L450" t="s">
        <v>41</v>
      </c>
      <c r="M450" t="s">
        <v>42</v>
      </c>
      <c r="N450" t="s">
        <v>43</v>
      </c>
      <c r="O450" s="7">
        <v>1</v>
      </c>
      <c r="P450" s="8">
        <v>45267.72928240741</v>
      </c>
      <c r="Q450" s="9">
        <v>45268</v>
      </c>
      <c r="R450" t="s">
        <v>37</v>
      </c>
      <c r="S450" t="s">
        <v>44</v>
      </c>
      <c r="T450" t="s">
        <v>76</v>
      </c>
      <c r="U450" t="s">
        <v>115</v>
      </c>
      <c r="V450" t="s">
        <v>1471</v>
      </c>
      <c r="W450">
        <v>18000</v>
      </c>
      <c r="X450" t="s">
        <v>44</v>
      </c>
      <c r="Y450" t="s">
        <v>76</v>
      </c>
      <c r="Z450" t="s">
        <v>49</v>
      </c>
      <c r="AA450" s="10">
        <f>IF(O450&lt;=1,7,7+0.8*ROUNDUP(O450-1,0))</f>
        <v>7</v>
      </c>
      <c r="AB450" s="11">
        <v>0</v>
      </c>
      <c r="AC450" s="11">
        <v>0</v>
      </c>
      <c r="AD450" s="11">
        <v>0</v>
      </c>
      <c r="AE450" s="11">
        <v>0</v>
      </c>
      <c r="AF450" s="11">
        <f t="shared" ref="AF450:AF513" si="14">(AA450+AC450+AE450)*6%</f>
        <v>0.42</v>
      </c>
      <c r="AG450" s="11">
        <f t="shared" ref="AG450:AG513" si="15">AA450+AC450+AE450+AF450</f>
        <v>7.42</v>
      </c>
      <c r="AH450" t="s">
        <v>44</v>
      </c>
    </row>
    <row r="451" spans="1:34" ht="15" customHeight="1" x14ac:dyDescent="0.35">
      <c r="A451">
        <v>7547676</v>
      </c>
      <c r="B451">
        <v>690929</v>
      </c>
      <c r="C451" t="s">
        <v>34</v>
      </c>
      <c r="D451" t="s">
        <v>35</v>
      </c>
      <c r="E451" s="6" t="s">
        <v>34</v>
      </c>
      <c r="F451" t="s">
        <v>1472</v>
      </c>
      <c r="G451" t="s">
        <v>37</v>
      </c>
      <c r="H451" t="s">
        <v>38</v>
      </c>
      <c r="I451" t="s">
        <v>1473</v>
      </c>
      <c r="J451" t="s">
        <v>40</v>
      </c>
      <c r="K451">
        <v>2</v>
      </c>
      <c r="L451" t="s">
        <v>41</v>
      </c>
      <c r="M451" t="s">
        <v>42</v>
      </c>
      <c r="N451" t="s">
        <v>43</v>
      </c>
      <c r="O451" s="7">
        <v>1</v>
      </c>
      <c r="P451" s="8">
        <v>45266.711446759262</v>
      </c>
      <c r="Q451" s="9">
        <v>45268</v>
      </c>
      <c r="R451" t="s">
        <v>37</v>
      </c>
      <c r="S451" t="s">
        <v>44</v>
      </c>
      <c r="T451" t="s">
        <v>45</v>
      </c>
      <c r="U451" t="s">
        <v>58</v>
      </c>
      <c r="V451" t="s">
        <v>1474</v>
      </c>
      <c r="W451">
        <v>9400</v>
      </c>
      <c r="X451" t="s">
        <v>44</v>
      </c>
      <c r="Y451" t="s">
        <v>937</v>
      </c>
      <c r="Z451" t="s">
        <v>49</v>
      </c>
      <c r="AA451" s="10">
        <f>IF(O451&lt;=1,7,7+0.8*ROUNDUP(O451-1,0))</f>
        <v>7</v>
      </c>
      <c r="AB451" s="11">
        <v>0</v>
      </c>
      <c r="AC451" s="11">
        <v>0</v>
      </c>
      <c r="AD451" s="11">
        <v>0</v>
      </c>
      <c r="AE451" s="11">
        <v>0</v>
      </c>
      <c r="AF451" s="11">
        <f t="shared" si="14"/>
        <v>0.42</v>
      </c>
      <c r="AG451" s="11">
        <f t="shared" si="15"/>
        <v>7.42</v>
      </c>
      <c r="AH451" t="s">
        <v>44</v>
      </c>
    </row>
    <row r="452" spans="1:34" ht="15" customHeight="1" x14ac:dyDescent="0.35">
      <c r="A452">
        <v>7547676</v>
      </c>
      <c r="B452">
        <v>690929</v>
      </c>
      <c r="C452" t="s">
        <v>34</v>
      </c>
      <c r="D452" t="s">
        <v>35</v>
      </c>
      <c r="E452" s="6" t="s">
        <v>34</v>
      </c>
      <c r="F452" t="s">
        <v>1475</v>
      </c>
      <c r="G452" t="s">
        <v>37</v>
      </c>
      <c r="H452" t="s">
        <v>38</v>
      </c>
      <c r="I452" t="s">
        <v>1476</v>
      </c>
      <c r="J452" t="s">
        <v>40</v>
      </c>
      <c r="K452">
        <v>2</v>
      </c>
      <c r="L452" t="s">
        <v>41</v>
      </c>
      <c r="M452" t="s">
        <v>42</v>
      </c>
      <c r="N452" t="s">
        <v>43</v>
      </c>
      <c r="O452" s="7">
        <v>1</v>
      </c>
      <c r="P452" s="8">
        <v>45266.735127314816</v>
      </c>
      <c r="Q452" s="9">
        <v>45268</v>
      </c>
      <c r="R452" t="s">
        <v>37</v>
      </c>
      <c r="S452" t="s">
        <v>44</v>
      </c>
      <c r="T452" t="s">
        <v>45</v>
      </c>
      <c r="U452" t="s">
        <v>46</v>
      </c>
      <c r="V452" t="s">
        <v>1477</v>
      </c>
      <c r="W452">
        <v>81700</v>
      </c>
      <c r="X452" t="s">
        <v>44</v>
      </c>
      <c r="Y452" t="s">
        <v>205</v>
      </c>
      <c r="Z452" t="s">
        <v>49</v>
      </c>
      <c r="AA452" s="10">
        <f>IF(O452&lt;=1,7,7+0.8*ROUNDUP(O452-1,0))</f>
        <v>7</v>
      </c>
      <c r="AB452" s="11">
        <v>0</v>
      </c>
      <c r="AC452" s="11">
        <v>0</v>
      </c>
      <c r="AD452" s="11">
        <v>0</v>
      </c>
      <c r="AE452" s="11">
        <v>0</v>
      </c>
      <c r="AF452" s="11">
        <f t="shared" si="14"/>
        <v>0.42</v>
      </c>
      <c r="AG452" s="11">
        <f t="shared" si="15"/>
        <v>7.42</v>
      </c>
      <c r="AH452" t="s">
        <v>44</v>
      </c>
    </row>
    <row r="453" spans="1:34" ht="15" customHeight="1" x14ac:dyDescent="0.35">
      <c r="A453">
        <v>7547676</v>
      </c>
      <c r="B453">
        <v>690929</v>
      </c>
      <c r="C453" t="s">
        <v>34</v>
      </c>
      <c r="D453" t="s">
        <v>35</v>
      </c>
      <c r="E453" s="6" t="s">
        <v>34</v>
      </c>
      <c r="F453" t="s">
        <v>1478</v>
      </c>
      <c r="G453" t="s">
        <v>37</v>
      </c>
      <c r="H453" t="s">
        <v>38</v>
      </c>
      <c r="I453" t="s">
        <v>1479</v>
      </c>
      <c r="J453" t="s">
        <v>40</v>
      </c>
      <c r="K453">
        <v>2</v>
      </c>
      <c r="L453" t="s">
        <v>41</v>
      </c>
      <c r="M453" t="s">
        <v>42</v>
      </c>
      <c r="N453" t="s">
        <v>43</v>
      </c>
      <c r="O453" s="7">
        <v>1</v>
      </c>
      <c r="P453" s="8">
        <v>45267.717326388891</v>
      </c>
      <c r="Q453" s="9">
        <v>45269</v>
      </c>
      <c r="R453" t="s">
        <v>37</v>
      </c>
      <c r="S453" t="s">
        <v>44</v>
      </c>
      <c r="T453" t="s">
        <v>76</v>
      </c>
      <c r="U453" t="s">
        <v>68</v>
      </c>
      <c r="V453" t="s">
        <v>1480</v>
      </c>
      <c r="W453">
        <v>47100</v>
      </c>
      <c r="X453" t="s">
        <v>44</v>
      </c>
      <c r="Y453" t="s">
        <v>249</v>
      </c>
      <c r="Z453" t="s">
        <v>49</v>
      </c>
      <c r="AA453" s="10">
        <f>IF(O453&lt;=1,7,7+0.8*ROUNDUP(O453-1,0))</f>
        <v>7</v>
      </c>
      <c r="AB453" s="11">
        <v>0</v>
      </c>
      <c r="AC453" s="11">
        <v>0</v>
      </c>
      <c r="AD453" s="11">
        <v>0</v>
      </c>
      <c r="AE453" s="11">
        <v>0</v>
      </c>
      <c r="AF453" s="11">
        <f t="shared" si="14"/>
        <v>0.42</v>
      </c>
      <c r="AG453" s="11">
        <f t="shared" si="15"/>
        <v>7.42</v>
      </c>
      <c r="AH453" t="s">
        <v>44</v>
      </c>
    </row>
    <row r="454" spans="1:34" ht="15" customHeight="1" x14ac:dyDescent="0.35">
      <c r="A454">
        <v>7547676</v>
      </c>
      <c r="B454">
        <v>690929</v>
      </c>
      <c r="C454" t="s">
        <v>34</v>
      </c>
      <c r="D454" t="s">
        <v>35</v>
      </c>
      <c r="E454" s="6" t="s">
        <v>34</v>
      </c>
      <c r="F454" t="s">
        <v>1481</v>
      </c>
      <c r="G454" t="s">
        <v>37</v>
      </c>
      <c r="H454" t="s">
        <v>38</v>
      </c>
      <c r="I454" t="s">
        <v>1482</v>
      </c>
      <c r="J454" t="s">
        <v>40</v>
      </c>
      <c r="K454">
        <v>2</v>
      </c>
      <c r="L454" t="s">
        <v>41</v>
      </c>
      <c r="M454" t="s">
        <v>42</v>
      </c>
      <c r="N454" t="s">
        <v>43</v>
      </c>
      <c r="O454" s="7">
        <v>2</v>
      </c>
      <c r="P454" s="8">
        <v>45265.741296296299</v>
      </c>
      <c r="Q454" s="9">
        <v>45269</v>
      </c>
      <c r="R454" t="s">
        <v>37</v>
      </c>
      <c r="S454" t="s">
        <v>44</v>
      </c>
      <c r="T454" t="s">
        <v>45</v>
      </c>
      <c r="U454" t="s">
        <v>58</v>
      </c>
      <c r="V454" t="s">
        <v>1483</v>
      </c>
      <c r="W454">
        <v>7000</v>
      </c>
      <c r="X454" t="s">
        <v>44</v>
      </c>
      <c r="Y454" t="s">
        <v>52</v>
      </c>
      <c r="Z454" t="s">
        <v>49</v>
      </c>
      <c r="AA454" s="10">
        <f>IF(O454&lt;=1,7,7+0.8*ROUNDUP(O454-1,0))</f>
        <v>7.8</v>
      </c>
      <c r="AB454" s="11">
        <v>0</v>
      </c>
      <c r="AC454" s="11">
        <v>0</v>
      </c>
      <c r="AD454" s="11">
        <v>0</v>
      </c>
      <c r="AE454" s="11">
        <v>0</v>
      </c>
      <c r="AF454" s="11">
        <f t="shared" si="14"/>
        <v>0.46799999999999997</v>
      </c>
      <c r="AG454" s="11">
        <f t="shared" si="15"/>
        <v>8.2680000000000007</v>
      </c>
      <c r="AH454" t="s">
        <v>44</v>
      </c>
    </row>
    <row r="455" spans="1:34" ht="15" customHeight="1" x14ac:dyDescent="0.35">
      <c r="A455">
        <v>7547676</v>
      </c>
      <c r="B455">
        <v>690929</v>
      </c>
      <c r="C455" t="s">
        <v>34</v>
      </c>
      <c r="D455" t="s">
        <v>35</v>
      </c>
      <c r="E455" s="6" t="s">
        <v>34</v>
      </c>
      <c r="F455" t="s">
        <v>1484</v>
      </c>
      <c r="G455" t="s">
        <v>37</v>
      </c>
      <c r="H455" t="s">
        <v>38</v>
      </c>
      <c r="I455" t="s">
        <v>1485</v>
      </c>
      <c r="J455" t="s">
        <v>40</v>
      </c>
      <c r="K455">
        <v>2</v>
      </c>
      <c r="L455" t="s">
        <v>41</v>
      </c>
      <c r="M455" t="s">
        <v>42</v>
      </c>
      <c r="N455" t="s">
        <v>43</v>
      </c>
      <c r="O455" s="7">
        <v>1</v>
      </c>
      <c r="P455" s="8">
        <v>45266.806261574071</v>
      </c>
      <c r="Q455" s="9">
        <v>45269</v>
      </c>
      <c r="R455" t="s">
        <v>37</v>
      </c>
      <c r="S455" t="s">
        <v>44</v>
      </c>
      <c r="T455" t="s">
        <v>76</v>
      </c>
      <c r="U455" t="s">
        <v>68</v>
      </c>
      <c r="V455" t="s">
        <v>1486</v>
      </c>
      <c r="W455">
        <v>53100</v>
      </c>
      <c r="X455" t="s">
        <v>44</v>
      </c>
      <c r="Y455" t="s">
        <v>933</v>
      </c>
      <c r="Z455" t="s">
        <v>49</v>
      </c>
      <c r="AA455" s="10">
        <f>IF(O455&lt;=1,7,7+0.8*ROUNDUP(O455-1,0))</f>
        <v>7</v>
      </c>
      <c r="AB455" s="11">
        <v>0</v>
      </c>
      <c r="AC455" s="11">
        <v>0</v>
      </c>
      <c r="AD455" s="11">
        <v>0</v>
      </c>
      <c r="AE455" s="11">
        <v>0</v>
      </c>
      <c r="AF455" s="11">
        <f t="shared" si="14"/>
        <v>0.42</v>
      </c>
      <c r="AG455" s="11">
        <f t="shared" si="15"/>
        <v>7.42</v>
      </c>
      <c r="AH455" t="s">
        <v>44</v>
      </c>
    </row>
    <row r="456" spans="1:34" ht="15" customHeight="1" x14ac:dyDescent="0.35">
      <c r="A456">
        <v>7547676</v>
      </c>
      <c r="B456">
        <v>690929</v>
      </c>
      <c r="C456" t="s">
        <v>34</v>
      </c>
      <c r="D456" t="s">
        <v>35</v>
      </c>
      <c r="E456" s="6" t="s">
        <v>34</v>
      </c>
      <c r="F456" t="s">
        <v>1487</v>
      </c>
      <c r="G456" t="s">
        <v>37</v>
      </c>
      <c r="H456" t="s">
        <v>38</v>
      </c>
      <c r="I456" t="s">
        <v>1488</v>
      </c>
      <c r="J456" t="s">
        <v>40</v>
      </c>
      <c r="K456">
        <v>2</v>
      </c>
      <c r="L456" t="s">
        <v>41</v>
      </c>
      <c r="M456" t="s">
        <v>42</v>
      </c>
      <c r="N456" t="s">
        <v>43</v>
      </c>
      <c r="O456" s="7">
        <v>1</v>
      </c>
      <c r="P456" s="8">
        <v>45267.845081018517</v>
      </c>
      <c r="Q456" s="9">
        <v>45269</v>
      </c>
      <c r="R456" t="s">
        <v>37</v>
      </c>
      <c r="S456" t="s">
        <v>44</v>
      </c>
      <c r="T456" t="s">
        <v>76</v>
      </c>
      <c r="U456" t="s">
        <v>258</v>
      </c>
      <c r="V456" t="s">
        <v>1489</v>
      </c>
      <c r="W456">
        <v>21300</v>
      </c>
      <c r="X456" t="s">
        <v>44</v>
      </c>
      <c r="Y456" t="s">
        <v>76</v>
      </c>
      <c r="Z456" t="s">
        <v>49</v>
      </c>
      <c r="AA456" s="10">
        <f>IF(O456&lt;=1,7,7+0.8*ROUNDUP(O456-1,0))</f>
        <v>7</v>
      </c>
      <c r="AB456" s="11">
        <v>0</v>
      </c>
      <c r="AC456" s="11">
        <v>0</v>
      </c>
      <c r="AD456" s="11">
        <v>0</v>
      </c>
      <c r="AE456" s="11">
        <v>0</v>
      </c>
      <c r="AF456" s="11">
        <f t="shared" si="14"/>
        <v>0.42</v>
      </c>
      <c r="AG456" s="11">
        <f t="shared" si="15"/>
        <v>7.42</v>
      </c>
      <c r="AH456" t="s">
        <v>44</v>
      </c>
    </row>
    <row r="457" spans="1:34" ht="15" customHeight="1" x14ac:dyDescent="0.35">
      <c r="A457">
        <v>7547676</v>
      </c>
      <c r="B457">
        <v>690929</v>
      </c>
      <c r="C457" t="s">
        <v>34</v>
      </c>
      <c r="D457" t="s">
        <v>35</v>
      </c>
      <c r="E457" s="6" t="s">
        <v>34</v>
      </c>
      <c r="F457" t="s">
        <v>1490</v>
      </c>
      <c r="G457" t="s">
        <v>37</v>
      </c>
      <c r="H457" t="s">
        <v>38</v>
      </c>
      <c r="I457" t="s">
        <v>1491</v>
      </c>
      <c r="J457" t="s">
        <v>40</v>
      </c>
      <c r="K457">
        <v>2</v>
      </c>
      <c r="L457" t="s">
        <v>41</v>
      </c>
      <c r="M457" t="s">
        <v>42</v>
      </c>
      <c r="N457" t="s">
        <v>43</v>
      </c>
      <c r="O457" s="7">
        <v>1</v>
      </c>
      <c r="P457" s="8">
        <v>45266.763275462959</v>
      </c>
      <c r="Q457" s="9">
        <v>45269</v>
      </c>
      <c r="R457" t="s">
        <v>37</v>
      </c>
      <c r="S457" t="s">
        <v>44</v>
      </c>
      <c r="T457" t="s">
        <v>76</v>
      </c>
      <c r="U457" t="s">
        <v>68</v>
      </c>
      <c r="V457" t="s">
        <v>1492</v>
      </c>
      <c r="W457">
        <v>43500</v>
      </c>
      <c r="X457" t="s">
        <v>44</v>
      </c>
      <c r="Y457" t="s">
        <v>498</v>
      </c>
      <c r="Z457" t="s">
        <v>49</v>
      </c>
      <c r="AA457" s="10">
        <f>IF(O457&lt;=1,7,7+0.8*ROUNDUP(O457-1,0))</f>
        <v>7</v>
      </c>
      <c r="AB457" s="11">
        <v>0</v>
      </c>
      <c r="AC457" s="11">
        <v>0</v>
      </c>
      <c r="AD457" s="11">
        <v>0</v>
      </c>
      <c r="AE457" s="11">
        <v>0</v>
      </c>
      <c r="AF457" s="11">
        <f t="shared" si="14"/>
        <v>0.42</v>
      </c>
      <c r="AG457" s="11">
        <f t="shared" si="15"/>
        <v>7.42</v>
      </c>
      <c r="AH457" t="s">
        <v>44</v>
      </c>
    </row>
    <row r="458" spans="1:34" ht="15" customHeight="1" x14ac:dyDescent="0.35">
      <c r="A458">
        <v>7547676</v>
      </c>
      <c r="B458">
        <v>690929</v>
      </c>
      <c r="C458" t="s">
        <v>34</v>
      </c>
      <c r="D458" t="s">
        <v>35</v>
      </c>
      <c r="E458" s="6" t="s">
        <v>34</v>
      </c>
      <c r="F458" t="s">
        <v>1493</v>
      </c>
      <c r="G458" t="s">
        <v>37</v>
      </c>
      <c r="H458" t="s">
        <v>38</v>
      </c>
      <c r="I458" t="s">
        <v>1494</v>
      </c>
      <c r="J458" t="s">
        <v>40</v>
      </c>
      <c r="K458">
        <v>2</v>
      </c>
      <c r="L458" t="s">
        <v>41</v>
      </c>
      <c r="M458" t="s">
        <v>42</v>
      </c>
      <c r="N458" t="s">
        <v>43</v>
      </c>
      <c r="O458" s="7">
        <v>8</v>
      </c>
      <c r="P458" s="8">
        <v>45267.762245370373</v>
      </c>
      <c r="Q458" s="9">
        <v>45269</v>
      </c>
      <c r="R458" t="s">
        <v>37</v>
      </c>
      <c r="S458" t="s">
        <v>44</v>
      </c>
      <c r="T458" t="s">
        <v>76</v>
      </c>
      <c r="U458" t="s">
        <v>68</v>
      </c>
      <c r="V458" t="s">
        <v>1495</v>
      </c>
      <c r="W458">
        <v>47000</v>
      </c>
      <c r="X458" t="s">
        <v>44</v>
      </c>
      <c r="Y458" t="s">
        <v>52</v>
      </c>
      <c r="Z458" t="s">
        <v>49</v>
      </c>
      <c r="AA458" s="10">
        <f>IF(O458&lt;=1,7,7+0.8*ROUNDUP(O458-1,0))</f>
        <v>12.600000000000001</v>
      </c>
      <c r="AB458" s="11">
        <v>0</v>
      </c>
      <c r="AC458" s="11">
        <v>0</v>
      </c>
      <c r="AD458" s="11">
        <v>0</v>
      </c>
      <c r="AE458" s="11">
        <v>0</v>
      </c>
      <c r="AF458" s="11">
        <f t="shared" si="14"/>
        <v>0.75600000000000001</v>
      </c>
      <c r="AG458" s="11">
        <f t="shared" si="15"/>
        <v>13.356000000000002</v>
      </c>
      <c r="AH458" t="s">
        <v>44</v>
      </c>
    </row>
    <row r="459" spans="1:34" ht="15" customHeight="1" x14ac:dyDescent="0.35">
      <c r="A459">
        <v>7547676</v>
      </c>
      <c r="B459">
        <v>690929</v>
      </c>
      <c r="C459" t="s">
        <v>34</v>
      </c>
      <c r="D459" t="s">
        <v>35</v>
      </c>
      <c r="E459" s="6" t="s">
        <v>34</v>
      </c>
      <c r="F459" t="s">
        <v>1496</v>
      </c>
      <c r="G459" t="s">
        <v>37</v>
      </c>
      <c r="H459" t="s">
        <v>38</v>
      </c>
      <c r="I459" t="s">
        <v>1497</v>
      </c>
      <c r="J459" t="s">
        <v>40</v>
      </c>
      <c r="K459">
        <v>2</v>
      </c>
      <c r="L459" t="s">
        <v>41</v>
      </c>
      <c r="M459" t="s">
        <v>42</v>
      </c>
      <c r="N459" t="s">
        <v>43</v>
      </c>
      <c r="O459" s="7">
        <v>1</v>
      </c>
      <c r="P459" s="8">
        <v>45267.585381944446</v>
      </c>
      <c r="Q459" s="9">
        <v>45269</v>
      </c>
      <c r="R459" t="s">
        <v>37</v>
      </c>
      <c r="S459" t="s">
        <v>44</v>
      </c>
      <c r="T459" t="s">
        <v>76</v>
      </c>
      <c r="U459" t="s">
        <v>68</v>
      </c>
      <c r="V459" t="s">
        <v>1498</v>
      </c>
      <c r="W459">
        <v>43000</v>
      </c>
      <c r="X459" t="s">
        <v>44</v>
      </c>
      <c r="Y459" t="s">
        <v>52</v>
      </c>
      <c r="Z459" t="s">
        <v>49</v>
      </c>
      <c r="AA459" s="10">
        <f>IF(O459&lt;=1,7,7+0.8*ROUNDUP(O459-1,0))</f>
        <v>7</v>
      </c>
      <c r="AB459" s="11">
        <v>0</v>
      </c>
      <c r="AC459" s="11">
        <v>0</v>
      </c>
      <c r="AD459" s="11">
        <v>0</v>
      </c>
      <c r="AE459" s="11">
        <v>0</v>
      </c>
      <c r="AF459" s="11">
        <f t="shared" si="14"/>
        <v>0.42</v>
      </c>
      <c r="AG459" s="11">
        <f t="shared" si="15"/>
        <v>7.42</v>
      </c>
      <c r="AH459" t="s">
        <v>44</v>
      </c>
    </row>
    <row r="460" spans="1:34" ht="15" customHeight="1" x14ac:dyDescent="0.35">
      <c r="A460">
        <v>7547676</v>
      </c>
      <c r="B460">
        <v>690929</v>
      </c>
      <c r="C460" t="s">
        <v>34</v>
      </c>
      <c r="D460" t="s">
        <v>35</v>
      </c>
      <c r="E460" s="6" t="s">
        <v>34</v>
      </c>
      <c r="F460" t="s">
        <v>1499</v>
      </c>
      <c r="G460" t="s">
        <v>37</v>
      </c>
      <c r="H460" t="s">
        <v>38</v>
      </c>
      <c r="I460" t="s">
        <v>1500</v>
      </c>
      <c r="J460" t="s">
        <v>40</v>
      </c>
      <c r="K460">
        <v>2</v>
      </c>
      <c r="L460" t="s">
        <v>41</v>
      </c>
      <c r="M460" t="s">
        <v>42</v>
      </c>
      <c r="N460" t="s">
        <v>43</v>
      </c>
      <c r="O460" s="7">
        <v>1</v>
      </c>
      <c r="P460" s="8">
        <v>45265.804849537039</v>
      </c>
      <c r="Q460" s="9">
        <v>45269</v>
      </c>
      <c r="R460" t="s">
        <v>37</v>
      </c>
      <c r="S460" t="s">
        <v>44</v>
      </c>
      <c r="T460" t="s">
        <v>45</v>
      </c>
      <c r="U460" t="s">
        <v>115</v>
      </c>
      <c r="V460" t="s">
        <v>1501</v>
      </c>
      <c r="W460">
        <v>15150</v>
      </c>
      <c r="X460" t="s">
        <v>44</v>
      </c>
      <c r="Y460" t="s">
        <v>76</v>
      </c>
      <c r="Z460" t="s">
        <v>49</v>
      </c>
      <c r="AA460" s="10">
        <f>IF(O460&lt;=1,7,7+0.8*ROUNDUP(O460-1,0))</f>
        <v>7</v>
      </c>
      <c r="AB460" s="11">
        <v>0</v>
      </c>
      <c r="AC460" s="11">
        <v>0</v>
      </c>
      <c r="AD460" s="11">
        <v>0</v>
      </c>
      <c r="AE460" s="11">
        <v>0</v>
      </c>
      <c r="AF460" s="11">
        <f t="shared" si="14"/>
        <v>0.42</v>
      </c>
      <c r="AG460" s="11">
        <f t="shared" si="15"/>
        <v>7.42</v>
      </c>
      <c r="AH460" t="s">
        <v>44</v>
      </c>
    </row>
    <row r="461" spans="1:34" ht="15" customHeight="1" x14ac:dyDescent="0.35">
      <c r="A461">
        <v>7547676</v>
      </c>
      <c r="B461">
        <v>690929</v>
      </c>
      <c r="C461" t="s">
        <v>34</v>
      </c>
      <c r="D461" t="s">
        <v>35</v>
      </c>
      <c r="E461" s="6" t="s">
        <v>34</v>
      </c>
      <c r="F461" t="s">
        <v>1502</v>
      </c>
      <c r="G461" t="s">
        <v>37</v>
      </c>
      <c r="H461" t="s">
        <v>38</v>
      </c>
      <c r="I461" t="s">
        <v>1503</v>
      </c>
      <c r="J461" t="s">
        <v>40</v>
      </c>
      <c r="K461">
        <v>2</v>
      </c>
      <c r="L461" t="s">
        <v>41</v>
      </c>
      <c r="M461" t="s">
        <v>42</v>
      </c>
      <c r="N461" t="s">
        <v>43</v>
      </c>
      <c r="O461" s="7">
        <v>7</v>
      </c>
      <c r="P461" s="8">
        <v>45269.465567129628</v>
      </c>
      <c r="Q461" s="9">
        <v>45270</v>
      </c>
      <c r="R461" t="s">
        <v>37</v>
      </c>
      <c r="S461" t="s">
        <v>44</v>
      </c>
      <c r="T461" t="s">
        <v>45</v>
      </c>
      <c r="U461" t="s">
        <v>258</v>
      </c>
      <c r="V461" t="s">
        <v>1504</v>
      </c>
      <c r="W461">
        <v>20000</v>
      </c>
      <c r="X461" t="s">
        <v>44</v>
      </c>
      <c r="Y461" t="s">
        <v>1505</v>
      </c>
      <c r="Z461" t="s">
        <v>49</v>
      </c>
      <c r="AA461" s="10">
        <f>IF(O461&lt;=1,7,7+0.8*ROUNDUP(O461-1,0))</f>
        <v>11.8</v>
      </c>
      <c r="AB461" s="11">
        <v>0</v>
      </c>
      <c r="AC461" s="11">
        <v>0</v>
      </c>
      <c r="AD461" s="11">
        <v>0</v>
      </c>
      <c r="AE461" s="11">
        <v>0</v>
      </c>
      <c r="AF461" s="11">
        <f t="shared" si="14"/>
        <v>0.70799999999999996</v>
      </c>
      <c r="AG461" s="11">
        <f t="shared" si="15"/>
        <v>12.508000000000001</v>
      </c>
      <c r="AH461" t="s">
        <v>44</v>
      </c>
    </row>
    <row r="462" spans="1:34" ht="15" customHeight="1" x14ac:dyDescent="0.35">
      <c r="A462">
        <v>7547676</v>
      </c>
      <c r="B462">
        <v>690929</v>
      </c>
      <c r="C462" t="s">
        <v>34</v>
      </c>
      <c r="D462" t="s">
        <v>35</v>
      </c>
      <c r="E462" s="6" t="s">
        <v>34</v>
      </c>
      <c r="F462" t="s">
        <v>1506</v>
      </c>
      <c r="G462" t="s">
        <v>37</v>
      </c>
      <c r="H462" t="s">
        <v>38</v>
      </c>
      <c r="I462" t="s">
        <v>1507</v>
      </c>
      <c r="J462" t="s">
        <v>40</v>
      </c>
      <c r="K462">
        <v>2</v>
      </c>
      <c r="L462" t="s">
        <v>41</v>
      </c>
      <c r="M462" t="s">
        <v>42</v>
      </c>
      <c r="N462" t="s">
        <v>43</v>
      </c>
      <c r="O462" s="7">
        <v>1</v>
      </c>
      <c r="P462" s="8">
        <v>45268.454432870371</v>
      </c>
      <c r="Q462" s="9">
        <v>45270</v>
      </c>
      <c r="R462" t="s">
        <v>37</v>
      </c>
      <c r="S462" t="s">
        <v>44</v>
      </c>
      <c r="T462" t="s">
        <v>76</v>
      </c>
      <c r="U462" t="s">
        <v>159</v>
      </c>
      <c r="V462" t="s">
        <v>1508</v>
      </c>
      <c r="W462">
        <v>34700</v>
      </c>
      <c r="X462" t="s">
        <v>44</v>
      </c>
      <c r="Y462" t="s">
        <v>1274</v>
      </c>
      <c r="Z462" t="s">
        <v>49</v>
      </c>
      <c r="AA462" s="10">
        <f>IF(O462&lt;=1,7,7+0.8*ROUNDUP(O462-1,0))</f>
        <v>7</v>
      </c>
      <c r="AB462" s="11">
        <v>0</v>
      </c>
      <c r="AC462" s="11">
        <v>0</v>
      </c>
      <c r="AD462" s="11">
        <v>0</v>
      </c>
      <c r="AE462" s="11">
        <v>0</v>
      </c>
      <c r="AF462" s="11">
        <f t="shared" si="14"/>
        <v>0.42</v>
      </c>
      <c r="AG462" s="11">
        <f t="shared" si="15"/>
        <v>7.42</v>
      </c>
      <c r="AH462" t="s">
        <v>44</v>
      </c>
    </row>
    <row r="463" spans="1:34" ht="15" customHeight="1" x14ac:dyDescent="0.35">
      <c r="A463">
        <v>7547676</v>
      </c>
      <c r="B463">
        <v>690929</v>
      </c>
      <c r="C463" t="s">
        <v>34</v>
      </c>
      <c r="D463" t="s">
        <v>35</v>
      </c>
      <c r="E463" s="6" t="s">
        <v>34</v>
      </c>
      <c r="F463" t="s">
        <v>1509</v>
      </c>
      <c r="G463" t="s">
        <v>37</v>
      </c>
      <c r="H463" t="s">
        <v>38</v>
      </c>
      <c r="I463" t="s">
        <v>1510</v>
      </c>
      <c r="J463" t="s">
        <v>40</v>
      </c>
      <c r="K463">
        <v>2</v>
      </c>
      <c r="L463" t="s">
        <v>41</v>
      </c>
      <c r="M463" t="s">
        <v>42</v>
      </c>
      <c r="N463" t="s">
        <v>43</v>
      </c>
      <c r="O463" s="7">
        <v>1</v>
      </c>
      <c r="P463" s="8">
        <v>45266.780162037037</v>
      </c>
      <c r="Q463" s="9">
        <v>45270</v>
      </c>
      <c r="R463" t="s">
        <v>37</v>
      </c>
      <c r="S463" t="s">
        <v>44</v>
      </c>
      <c r="T463" t="s">
        <v>76</v>
      </c>
      <c r="U463" t="s">
        <v>501</v>
      </c>
      <c r="V463" t="s">
        <v>1511</v>
      </c>
      <c r="W463">
        <v>2700</v>
      </c>
      <c r="X463" t="s">
        <v>44</v>
      </c>
      <c r="Y463" t="s">
        <v>640</v>
      </c>
      <c r="Z463" t="s">
        <v>49</v>
      </c>
      <c r="AA463" s="10">
        <f>IF(O463&lt;=1,7,7+0.8*ROUNDUP(O463-1,0))</f>
        <v>7</v>
      </c>
      <c r="AB463" s="11">
        <v>0</v>
      </c>
      <c r="AC463" s="11">
        <v>0</v>
      </c>
      <c r="AD463" s="11">
        <v>0</v>
      </c>
      <c r="AE463" s="11">
        <v>0</v>
      </c>
      <c r="AF463" s="11">
        <f t="shared" si="14"/>
        <v>0.42</v>
      </c>
      <c r="AG463" s="11">
        <f t="shared" si="15"/>
        <v>7.42</v>
      </c>
      <c r="AH463" t="s">
        <v>44</v>
      </c>
    </row>
    <row r="464" spans="1:34" ht="15" customHeight="1" x14ac:dyDescent="0.35">
      <c r="A464">
        <v>7547676</v>
      </c>
      <c r="B464">
        <v>690929</v>
      </c>
      <c r="C464" t="s">
        <v>34</v>
      </c>
      <c r="D464" t="s">
        <v>35</v>
      </c>
      <c r="E464" s="6" t="s">
        <v>34</v>
      </c>
      <c r="F464" t="s">
        <v>1512</v>
      </c>
      <c r="G464" t="s">
        <v>37</v>
      </c>
      <c r="H464" t="s">
        <v>38</v>
      </c>
      <c r="I464" t="s">
        <v>1513</v>
      </c>
      <c r="J464" t="s">
        <v>40</v>
      </c>
      <c r="K464">
        <v>2</v>
      </c>
      <c r="L464" t="s">
        <v>41</v>
      </c>
      <c r="M464" t="s">
        <v>42</v>
      </c>
      <c r="N464" t="s">
        <v>43</v>
      </c>
      <c r="O464" s="7">
        <v>1</v>
      </c>
      <c r="P464" s="8">
        <v>45269.75273148148</v>
      </c>
      <c r="Q464" s="9">
        <v>45270</v>
      </c>
      <c r="R464" t="s">
        <v>37</v>
      </c>
      <c r="S464" t="s">
        <v>44</v>
      </c>
      <c r="T464" t="s">
        <v>52</v>
      </c>
      <c r="U464" t="s">
        <v>68</v>
      </c>
      <c r="V464" t="s">
        <v>1514</v>
      </c>
      <c r="W464">
        <v>47150</v>
      </c>
      <c r="X464" t="s">
        <v>44</v>
      </c>
      <c r="Y464" t="s">
        <v>52</v>
      </c>
      <c r="Z464" t="s">
        <v>49</v>
      </c>
      <c r="AA464" s="10">
        <f>IF(O464&lt;=1,7,7+0.8*ROUNDUP(O464-1,0))</f>
        <v>7</v>
      </c>
      <c r="AB464" s="11">
        <v>0</v>
      </c>
      <c r="AC464" s="11">
        <v>0</v>
      </c>
      <c r="AD464" s="11">
        <v>0</v>
      </c>
      <c r="AE464" s="11">
        <v>0</v>
      </c>
      <c r="AF464" s="11">
        <f t="shared" si="14"/>
        <v>0.42</v>
      </c>
      <c r="AG464" s="11">
        <f t="shared" si="15"/>
        <v>7.42</v>
      </c>
      <c r="AH464" t="s">
        <v>44</v>
      </c>
    </row>
    <row r="465" spans="1:34" ht="15" customHeight="1" x14ac:dyDescent="0.35">
      <c r="A465">
        <v>7547676</v>
      </c>
      <c r="B465">
        <v>690929</v>
      </c>
      <c r="C465" t="s">
        <v>34</v>
      </c>
      <c r="D465" t="s">
        <v>35</v>
      </c>
      <c r="E465" s="6" t="s">
        <v>34</v>
      </c>
      <c r="F465" t="s">
        <v>1515</v>
      </c>
      <c r="G465" t="s">
        <v>37</v>
      </c>
      <c r="H465" t="s">
        <v>38</v>
      </c>
      <c r="I465" t="s">
        <v>1516</v>
      </c>
      <c r="J465" t="s">
        <v>40</v>
      </c>
      <c r="K465">
        <v>2</v>
      </c>
      <c r="L465" t="s">
        <v>41</v>
      </c>
      <c r="M465" t="s">
        <v>42</v>
      </c>
      <c r="N465" t="s">
        <v>43</v>
      </c>
      <c r="O465" s="7">
        <v>2</v>
      </c>
      <c r="P465" s="8">
        <v>45269.656944444447</v>
      </c>
      <c r="Q465" s="9">
        <v>45270</v>
      </c>
      <c r="R465" t="s">
        <v>37</v>
      </c>
      <c r="S465" t="s">
        <v>44</v>
      </c>
      <c r="T465" t="s">
        <v>45</v>
      </c>
      <c r="U465" t="s">
        <v>68</v>
      </c>
      <c r="V465" t="s">
        <v>1517</v>
      </c>
      <c r="W465">
        <v>63000</v>
      </c>
      <c r="X465" t="s">
        <v>44</v>
      </c>
      <c r="Y465" t="s">
        <v>52</v>
      </c>
      <c r="Z465" t="s">
        <v>49</v>
      </c>
      <c r="AA465" s="10">
        <f>IF(O465&lt;=1,7,7+0.8*ROUNDUP(O465-1,0))</f>
        <v>7.8</v>
      </c>
      <c r="AB465" s="11">
        <v>0</v>
      </c>
      <c r="AC465" s="11">
        <v>0</v>
      </c>
      <c r="AD465" s="11">
        <v>0</v>
      </c>
      <c r="AE465" s="11">
        <v>0</v>
      </c>
      <c r="AF465" s="11">
        <f t="shared" si="14"/>
        <v>0.46799999999999997</v>
      </c>
      <c r="AG465" s="11">
        <f t="shared" si="15"/>
        <v>8.2680000000000007</v>
      </c>
      <c r="AH465" t="s">
        <v>44</v>
      </c>
    </row>
    <row r="466" spans="1:34" ht="15" customHeight="1" x14ac:dyDescent="0.35">
      <c r="A466">
        <v>7547676</v>
      </c>
      <c r="B466">
        <v>690929</v>
      </c>
      <c r="C466" t="s">
        <v>34</v>
      </c>
      <c r="D466" t="s">
        <v>35</v>
      </c>
      <c r="E466" s="6" t="s">
        <v>34</v>
      </c>
      <c r="F466" t="s">
        <v>1518</v>
      </c>
      <c r="G466" t="s">
        <v>37</v>
      </c>
      <c r="H466" t="s">
        <v>38</v>
      </c>
      <c r="I466" t="s">
        <v>1519</v>
      </c>
      <c r="J466" t="s">
        <v>40</v>
      </c>
      <c r="K466">
        <v>2</v>
      </c>
      <c r="L466" t="s">
        <v>41</v>
      </c>
      <c r="M466" t="s">
        <v>42</v>
      </c>
      <c r="N466" t="s">
        <v>43</v>
      </c>
      <c r="O466" s="7">
        <v>1</v>
      </c>
      <c r="P466" s="8">
        <v>45267.66306712963</v>
      </c>
      <c r="Q466" s="9">
        <v>45270</v>
      </c>
      <c r="R466" t="s">
        <v>37</v>
      </c>
      <c r="S466" t="s">
        <v>44</v>
      </c>
      <c r="T466" t="s">
        <v>76</v>
      </c>
      <c r="U466" t="s">
        <v>46</v>
      </c>
      <c r="V466" t="s">
        <v>1520</v>
      </c>
      <c r="W466">
        <v>80100</v>
      </c>
      <c r="X466" t="s">
        <v>44</v>
      </c>
      <c r="Y466" t="s">
        <v>212</v>
      </c>
      <c r="Z466" t="s">
        <v>49</v>
      </c>
      <c r="AA466" s="10">
        <f>IF(O466&lt;=1,7,7+0.8*ROUNDUP(O466-1,0))</f>
        <v>7</v>
      </c>
      <c r="AB466" s="11">
        <v>0</v>
      </c>
      <c r="AC466" s="11">
        <v>0</v>
      </c>
      <c r="AD466" s="11">
        <v>0</v>
      </c>
      <c r="AE466" s="11">
        <v>0</v>
      </c>
      <c r="AF466" s="11">
        <f t="shared" si="14"/>
        <v>0.42</v>
      </c>
      <c r="AG466" s="11">
        <f t="shared" si="15"/>
        <v>7.42</v>
      </c>
      <c r="AH466" t="s">
        <v>44</v>
      </c>
    </row>
    <row r="467" spans="1:34" ht="15" customHeight="1" x14ac:dyDescent="0.35">
      <c r="A467">
        <v>7547676</v>
      </c>
      <c r="B467">
        <v>690929</v>
      </c>
      <c r="C467" t="s">
        <v>34</v>
      </c>
      <c r="D467" t="s">
        <v>35</v>
      </c>
      <c r="E467" s="6" t="s">
        <v>34</v>
      </c>
      <c r="F467" t="s">
        <v>1521</v>
      </c>
      <c r="G467" t="s">
        <v>37</v>
      </c>
      <c r="H467" t="s">
        <v>38</v>
      </c>
      <c r="I467" t="s">
        <v>1522</v>
      </c>
      <c r="J467" t="s">
        <v>40</v>
      </c>
      <c r="K467">
        <v>2</v>
      </c>
      <c r="L467" t="s">
        <v>41</v>
      </c>
      <c r="M467" t="s">
        <v>42</v>
      </c>
      <c r="N467" t="s">
        <v>43</v>
      </c>
      <c r="O467" s="7">
        <v>1</v>
      </c>
      <c r="P467" s="8">
        <v>45267.66306712963</v>
      </c>
      <c r="Q467" s="9">
        <v>45270</v>
      </c>
      <c r="R467" t="s">
        <v>37</v>
      </c>
      <c r="S467" t="s">
        <v>44</v>
      </c>
      <c r="T467" t="s">
        <v>76</v>
      </c>
      <c r="U467" t="s">
        <v>94</v>
      </c>
      <c r="V467" t="s">
        <v>1523</v>
      </c>
      <c r="W467">
        <v>10470</v>
      </c>
      <c r="X467" t="s">
        <v>44</v>
      </c>
      <c r="Y467" t="s">
        <v>267</v>
      </c>
      <c r="Z467" t="s">
        <v>49</v>
      </c>
      <c r="AA467" s="10">
        <f>IF(O467&lt;=1,7,7+0.8*ROUNDUP(O467-1,0))</f>
        <v>7</v>
      </c>
      <c r="AB467" s="11">
        <v>0</v>
      </c>
      <c r="AC467" s="11">
        <v>0</v>
      </c>
      <c r="AD467" s="11">
        <v>0</v>
      </c>
      <c r="AE467" s="11">
        <v>0</v>
      </c>
      <c r="AF467" s="11">
        <f t="shared" si="14"/>
        <v>0.42</v>
      </c>
      <c r="AG467" s="11">
        <f t="shared" si="15"/>
        <v>7.42</v>
      </c>
      <c r="AH467" t="s">
        <v>44</v>
      </c>
    </row>
    <row r="468" spans="1:34" ht="15" customHeight="1" x14ac:dyDescent="0.35">
      <c r="A468">
        <v>7547676</v>
      </c>
      <c r="B468">
        <v>690929</v>
      </c>
      <c r="C468" t="s">
        <v>34</v>
      </c>
      <c r="D468" t="s">
        <v>35</v>
      </c>
      <c r="E468" s="6" t="s">
        <v>34</v>
      </c>
      <c r="F468" t="s">
        <v>1524</v>
      </c>
      <c r="G468" t="s">
        <v>37</v>
      </c>
      <c r="H468" t="s">
        <v>38</v>
      </c>
      <c r="I468" t="s">
        <v>1525</v>
      </c>
      <c r="J468" t="s">
        <v>40</v>
      </c>
      <c r="K468">
        <v>2</v>
      </c>
      <c r="L468" t="s">
        <v>41</v>
      </c>
      <c r="M468" t="s">
        <v>42</v>
      </c>
      <c r="N468" t="s">
        <v>43</v>
      </c>
      <c r="O468" s="7">
        <v>1</v>
      </c>
      <c r="P468" s="8">
        <v>45268.683078703703</v>
      </c>
      <c r="Q468" s="9">
        <v>45270</v>
      </c>
      <c r="R468" t="s">
        <v>37</v>
      </c>
      <c r="S468" t="s">
        <v>44</v>
      </c>
      <c r="T468" t="s">
        <v>45</v>
      </c>
      <c r="U468" t="s">
        <v>258</v>
      </c>
      <c r="V468" t="s">
        <v>1526</v>
      </c>
      <c r="W468">
        <v>21400</v>
      </c>
      <c r="X468" t="s">
        <v>44</v>
      </c>
      <c r="Y468" t="s">
        <v>585</v>
      </c>
      <c r="Z468" t="s">
        <v>49</v>
      </c>
      <c r="AA468" s="10">
        <f>IF(O468&lt;=1,7,7+0.8*ROUNDUP(O468-1,0))</f>
        <v>7</v>
      </c>
      <c r="AB468" s="11">
        <v>0</v>
      </c>
      <c r="AC468" s="11">
        <v>0</v>
      </c>
      <c r="AD468" s="11">
        <v>0</v>
      </c>
      <c r="AE468" s="11">
        <v>0</v>
      </c>
      <c r="AF468" s="11">
        <f t="shared" si="14"/>
        <v>0.42</v>
      </c>
      <c r="AG468" s="11">
        <f t="shared" si="15"/>
        <v>7.42</v>
      </c>
      <c r="AH468" t="s">
        <v>44</v>
      </c>
    </row>
    <row r="469" spans="1:34" ht="15" customHeight="1" x14ac:dyDescent="0.35">
      <c r="A469">
        <v>7547676</v>
      </c>
      <c r="B469">
        <v>690929</v>
      </c>
      <c r="C469" t="s">
        <v>34</v>
      </c>
      <c r="D469" t="s">
        <v>35</v>
      </c>
      <c r="E469" s="6" t="s">
        <v>34</v>
      </c>
      <c r="F469" t="s">
        <v>1527</v>
      </c>
      <c r="G469" t="s">
        <v>37</v>
      </c>
      <c r="H469" t="s">
        <v>38</v>
      </c>
      <c r="I469" t="s">
        <v>1528</v>
      </c>
      <c r="J469" t="s">
        <v>40</v>
      </c>
      <c r="K469">
        <v>2</v>
      </c>
      <c r="L469" t="s">
        <v>41</v>
      </c>
      <c r="M469" t="s">
        <v>42</v>
      </c>
      <c r="N469" t="s">
        <v>43</v>
      </c>
      <c r="O469" s="7">
        <v>1</v>
      </c>
      <c r="P469" s="8">
        <v>45269.768935185188</v>
      </c>
      <c r="Q469" s="9">
        <v>45270</v>
      </c>
      <c r="R469" t="s">
        <v>37</v>
      </c>
      <c r="S469" t="s">
        <v>44</v>
      </c>
      <c r="T469" t="s">
        <v>52</v>
      </c>
      <c r="U469" t="s">
        <v>68</v>
      </c>
      <c r="V469" t="s">
        <v>1529</v>
      </c>
      <c r="W469">
        <v>47140</v>
      </c>
      <c r="X469" t="s">
        <v>44</v>
      </c>
      <c r="Y469" t="s">
        <v>1054</v>
      </c>
      <c r="Z469" t="s">
        <v>49</v>
      </c>
      <c r="AA469" s="10">
        <f>IF(O469&lt;=1,7,7+0.8*ROUNDUP(O469-1,0))</f>
        <v>7</v>
      </c>
      <c r="AB469" s="11">
        <v>0</v>
      </c>
      <c r="AC469" s="11">
        <v>0</v>
      </c>
      <c r="AD469" s="11">
        <v>0</v>
      </c>
      <c r="AE469" s="11">
        <v>0</v>
      </c>
      <c r="AF469" s="11">
        <f t="shared" si="14"/>
        <v>0.42</v>
      </c>
      <c r="AG469" s="11">
        <f t="shared" si="15"/>
        <v>7.42</v>
      </c>
      <c r="AH469" t="s">
        <v>44</v>
      </c>
    </row>
    <row r="470" spans="1:34" ht="15" customHeight="1" x14ac:dyDescent="0.35">
      <c r="A470">
        <v>7547676</v>
      </c>
      <c r="B470">
        <v>690929</v>
      </c>
      <c r="C470" t="s">
        <v>34</v>
      </c>
      <c r="D470" t="s">
        <v>35</v>
      </c>
      <c r="E470" s="6" t="s">
        <v>34</v>
      </c>
      <c r="F470" t="s">
        <v>1530</v>
      </c>
      <c r="G470" t="s">
        <v>37</v>
      </c>
      <c r="H470" t="s">
        <v>38</v>
      </c>
      <c r="I470" t="s">
        <v>1531</v>
      </c>
      <c r="J470" t="s">
        <v>40</v>
      </c>
      <c r="K470">
        <v>2</v>
      </c>
      <c r="L470" t="s">
        <v>41</v>
      </c>
      <c r="M470" t="s">
        <v>42</v>
      </c>
      <c r="N470" t="s">
        <v>43</v>
      </c>
      <c r="O470" s="7">
        <v>1</v>
      </c>
      <c r="P470" s="8">
        <v>45267.788078703707</v>
      </c>
      <c r="Q470" s="9">
        <v>45270</v>
      </c>
      <c r="R470" t="s">
        <v>37</v>
      </c>
      <c r="S470" t="s">
        <v>44</v>
      </c>
      <c r="T470" t="s">
        <v>76</v>
      </c>
      <c r="U470" t="s">
        <v>82</v>
      </c>
      <c r="V470" t="s">
        <v>1532</v>
      </c>
      <c r="W470">
        <v>73200</v>
      </c>
      <c r="X470" t="s">
        <v>44</v>
      </c>
      <c r="Y470" t="s">
        <v>52</v>
      </c>
      <c r="Z470" t="s">
        <v>49</v>
      </c>
      <c r="AA470" s="10">
        <f>IF(O470&lt;=1,7,7+0.8*ROUNDUP(O470-1,0))</f>
        <v>7</v>
      </c>
      <c r="AB470" s="11">
        <v>0</v>
      </c>
      <c r="AC470" s="11">
        <v>0</v>
      </c>
      <c r="AD470" s="11">
        <v>0</v>
      </c>
      <c r="AE470" s="11">
        <v>0</v>
      </c>
      <c r="AF470" s="11">
        <f t="shared" si="14"/>
        <v>0.42</v>
      </c>
      <c r="AG470" s="11">
        <f t="shared" si="15"/>
        <v>7.42</v>
      </c>
      <c r="AH470" t="s">
        <v>44</v>
      </c>
    </row>
    <row r="471" spans="1:34" ht="15" customHeight="1" x14ac:dyDescent="0.35">
      <c r="A471">
        <v>7547676</v>
      </c>
      <c r="B471">
        <v>690929</v>
      </c>
      <c r="C471" t="s">
        <v>34</v>
      </c>
      <c r="D471" t="s">
        <v>35</v>
      </c>
      <c r="E471" s="6" t="s">
        <v>34</v>
      </c>
      <c r="F471" t="s">
        <v>1533</v>
      </c>
      <c r="G471" t="s">
        <v>37</v>
      </c>
      <c r="H471" t="s">
        <v>38</v>
      </c>
      <c r="I471" t="s">
        <v>147</v>
      </c>
      <c r="J471" t="s">
        <v>40</v>
      </c>
      <c r="K471">
        <v>2</v>
      </c>
      <c r="L471" t="s">
        <v>41</v>
      </c>
      <c r="M471" t="s">
        <v>42</v>
      </c>
      <c r="N471" t="s">
        <v>43</v>
      </c>
      <c r="O471" s="7">
        <v>7</v>
      </c>
      <c r="P471" s="8">
        <v>45267.773993055554</v>
      </c>
      <c r="Q471" s="9">
        <v>45270</v>
      </c>
      <c r="R471" t="s">
        <v>37</v>
      </c>
      <c r="S471" t="s">
        <v>44</v>
      </c>
      <c r="T471" t="s">
        <v>76</v>
      </c>
      <c r="U471" t="s">
        <v>77</v>
      </c>
      <c r="V471" t="s">
        <v>148</v>
      </c>
      <c r="W471">
        <v>39100</v>
      </c>
      <c r="X471" t="s">
        <v>44</v>
      </c>
      <c r="Y471" t="s">
        <v>149</v>
      </c>
      <c r="Z471" t="s">
        <v>49</v>
      </c>
      <c r="AA471" s="10">
        <f>IF(O471&lt;=1,7,7+0.8*ROUNDUP(O471-1,0))</f>
        <v>11.8</v>
      </c>
      <c r="AB471" s="11">
        <v>0</v>
      </c>
      <c r="AC471" s="11">
        <v>0</v>
      </c>
      <c r="AD471" s="11">
        <v>0</v>
      </c>
      <c r="AE471" s="11">
        <v>0</v>
      </c>
      <c r="AF471" s="11">
        <f t="shared" si="14"/>
        <v>0.70799999999999996</v>
      </c>
      <c r="AG471" s="11">
        <f t="shared" si="15"/>
        <v>12.508000000000001</v>
      </c>
      <c r="AH471" t="s">
        <v>44</v>
      </c>
    </row>
    <row r="472" spans="1:34" ht="15" customHeight="1" x14ac:dyDescent="0.35">
      <c r="A472">
        <v>7547676</v>
      </c>
      <c r="B472">
        <v>690929</v>
      </c>
      <c r="C472" t="s">
        <v>34</v>
      </c>
      <c r="D472" t="s">
        <v>35</v>
      </c>
      <c r="E472" s="6" t="s">
        <v>34</v>
      </c>
      <c r="F472" t="s">
        <v>1534</v>
      </c>
      <c r="G472" t="s">
        <v>37</v>
      </c>
      <c r="H472" t="s">
        <v>38</v>
      </c>
      <c r="I472" t="s">
        <v>1535</v>
      </c>
      <c r="J472" t="s">
        <v>40</v>
      </c>
      <c r="K472">
        <v>2</v>
      </c>
      <c r="L472" t="s">
        <v>41</v>
      </c>
      <c r="M472" t="s">
        <v>42</v>
      </c>
      <c r="N472" t="s">
        <v>43</v>
      </c>
      <c r="O472" s="7">
        <v>1</v>
      </c>
      <c r="P472" s="8">
        <v>45266.780162037037</v>
      </c>
      <c r="Q472" s="9">
        <v>45270</v>
      </c>
      <c r="R472" t="s">
        <v>37</v>
      </c>
      <c r="S472" t="s">
        <v>44</v>
      </c>
      <c r="T472" t="s">
        <v>76</v>
      </c>
      <c r="U472" t="s">
        <v>501</v>
      </c>
      <c r="V472" t="s">
        <v>1536</v>
      </c>
      <c r="W472">
        <v>1000</v>
      </c>
      <c r="X472" t="s">
        <v>44</v>
      </c>
      <c r="Y472" t="s">
        <v>640</v>
      </c>
      <c r="Z472" t="s">
        <v>49</v>
      </c>
      <c r="AA472" s="10">
        <f>IF(O472&lt;=1,7,7+0.8*ROUNDUP(O472-1,0))</f>
        <v>7</v>
      </c>
      <c r="AB472" s="11">
        <v>0</v>
      </c>
      <c r="AC472" s="11">
        <v>0</v>
      </c>
      <c r="AD472" s="11">
        <v>0</v>
      </c>
      <c r="AE472" s="11">
        <v>0</v>
      </c>
      <c r="AF472" s="11">
        <f t="shared" si="14"/>
        <v>0.42</v>
      </c>
      <c r="AG472" s="11">
        <f t="shared" si="15"/>
        <v>7.42</v>
      </c>
      <c r="AH472" t="s">
        <v>44</v>
      </c>
    </row>
    <row r="473" spans="1:34" ht="15" customHeight="1" x14ac:dyDescent="0.35">
      <c r="A473">
        <v>7547676</v>
      </c>
      <c r="B473">
        <v>690929</v>
      </c>
      <c r="C473" t="s">
        <v>34</v>
      </c>
      <c r="D473" t="s">
        <v>35</v>
      </c>
      <c r="E473" s="6" t="s">
        <v>34</v>
      </c>
      <c r="F473" t="s">
        <v>1537</v>
      </c>
      <c r="G473" t="s">
        <v>37</v>
      </c>
      <c r="H473" t="s">
        <v>38</v>
      </c>
      <c r="I473" t="s">
        <v>1538</v>
      </c>
      <c r="J473" t="s">
        <v>40</v>
      </c>
      <c r="K473">
        <v>2</v>
      </c>
      <c r="L473" t="s">
        <v>41</v>
      </c>
      <c r="M473" t="s">
        <v>42</v>
      </c>
      <c r="N473" t="s">
        <v>43</v>
      </c>
      <c r="O473" s="7">
        <v>1</v>
      </c>
      <c r="P473" s="8">
        <v>45267.744479166664</v>
      </c>
      <c r="Q473" s="9">
        <v>45270</v>
      </c>
      <c r="R473" t="s">
        <v>37</v>
      </c>
      <c r="S473" t="s">
        <v>44</v>
      </c>
      <c r="T473" t="s">
        <v>76</v>
      </c>
      <c r="U473" t="s">
        <v>94</v>
      </c>
      <c r="V473" t="s">
        <v>1539</v>
      </c>
      <c r="W473">
        <v>13500</v>
      </c>
      <c r="X473" t="s">
        <v>44</v>
      </c>
      <c r="Y473" t="s">
        <v>534</v>
      </c>
      <c r="Z473" t="s">
        <v>49</v>
      </c>
      <c r="AA473" s="10">
        <f>IF(O473&lt;=1,7,7+0.8*ROUNDUP(O473-1,0))</f>
        <v>7</v>
      </c>
      <c r="AB473" s="11">
        <v>0</v>
      </c>
      <c r="AC473" s="11">
        <v>0</v>
      </c>
      <c r="AD473" s="11">
        <v>0</v>
      </c>
      <c r="AE473" s="11">
        <v>0</v>
      </c>
      <c r="AF473" s="11">
        <f t="shared" si="14"/>
        <v>0.42</v>
      </c>
      <c r="AG473" s="11">
        <f t="shared" si="15"/>
        <v>7.42</v>
      </c>
      <c r="AH473" t="s">
        <v>44</v>
      </c>
    </row>
    <row r="474" spans="1:34" ht="15" customHeight="1" x14ac:dyDescent="0.35">
      <c r="A474">
        <v>7547676</v>
      </c>
      <c r="B474">
        <v>690929</v>
      </c>
      <c r="C474" t="s">
        <v>34</v>
      </c>
      <c r="D474" t="s">
        <v>35</v>
      </c>
      <c r="E474" s="6" t="s">
        <v>34</v>
      </c>
      <c r="F474" t="s">
        <v>1540</v>
      </c>
      <c r="G474" t="s">
        <v>37</v>
      </c>
      <c r="H474" t="s">
        <v>38</v>
      </c>
      <c r="I474" t="s">
        <v>1541</v>
      </c>
      <c r="J474" t="s">
        <v>40</v>
      </c>
      <c r="K474">
        <v>2</v>
      </c>
      <c r="L474" t="s">
        <v>41</v>
      </c>
      <c r="M474" t="s">
        <v>42</v>
      </c>
      <c r="N474" t="s">
        <v>43</v>
      </c>
      <c r="O474" s="7">
        <v>3</v>
      </c>
      <c r="P474" s="8">
        <v>45269.601770833331</v>
      </c>
      <c r="Q474" s="9">
        <v>45270</v>
      </c>
      <c r="R474" t="s">
        <v>37</v>
      </c>
      <c r="S474" t="s">
        <v>44</v>
      </c>
      <c r="T474" t="s">
        <v>45</v>
      </c>
      <c r="U474" t="s">
        <v>115</v>
      </c>
      <c r="V474" t="s">
        <v>1542</v>
      </c>
      <c r="W474">
        <v>17500</v>
      </c>
      <c r="X474" t="s">
        <v>44</v>
      </c>
      <c r="Y474" t="s">
        <v>169</v>
      </c>
      <c r="Z474" t="s">
        <v>49</v>
      </c>
      <c r="AA474" s="10">
        <f>IF(O474&lt;=1,7,7+0.8*ROUNDUP(O474-1,0))</f>
        <v>8.6</v>
      </c>
      <c r="AB474" s="11">
        <v>0</v>
      </c>
      <c r="AC474" s="11">
        <v>0</v>
      </c>
      <c r="AD474" s="11">
        <v>0</v>
      </c>
      <c r="AE474" s="11">
        <v>0</v>
      </c>
      <c r="AF474" s="11">
        <f t="shared" si="14"/>
        <v>0.51600000000000001</v>
      </c>
      <c r="AG474" s="11">
        <f t="shared" si="15"/>
        <v>9.1159999999999997</v>
      </c>
      <c r="AH474" t="s">
        <v>44</v>
      </c>
    </row>
    <row r="475" spans="1:34" ht="15" customHeight="1" x14ac:dyDescent="0.35">
      <c r="A475">
        <v>7547676</v>
      </c>
      <c r="B475">
        <v>690929</v>
      </c>
      <c r="C475" t="s">
        <v>34</v>
      </c>
      <c r="D475" t="s">
        <v>35</v>
      </c>
      <c r="E475" s="6" t="s">
        <v>34</v>
      </c>
      <c r="F475" t="s">
        <v>1543</v>
      </c>
      <c r="G475" t="s">
        <v>37</v>
      </c>
      <c r="H475" t="s">
        <v>38</v>
      </c>
      <c r="I475" t="s">
        <v>1544</v>
      </c>
      <c r="J475" t="s">
        <v>40</v>
      </c>
      <c r="K475">
        <v>2</v>
      </c>
      <c r="L475" t="s">
        <v>41</v>
      </c>
      <c r="M475" t="s">
        <v>42</v>
      </c>
      <c r="N475" t="s">
        <v>43</v>
      </c>
      <c r="O475" s="7">
        <v>4</v>
      </c>
      <c r="P475" s="8">
        <v>45268.484872685185</v>
      </c>
      <c r="Q475" s="9">
        <v>45270</v>
      </c>
      <c r="R475" t="s">
        <v>37</v>
      </c>
      <c r="S475" t="s">
        <v>44</v>
      </c>
      <c r="T475" t="s">
        <v>76</v>
      </c>
      <c r="U475" t="s">
        <v>77</v>
      </c>
      <c r="V475" t="s">
        <v>1545</v>
      </c>
      <c r="W475">
        <v>39100</v>
      </c>
      <c r="X475" t="s">
        <v>44</v>
      </c>
      <c r="Y475" t="s">
        <v>149</v>
      </c>
      <c r="Z475" t="s">
        <v>49</v>
      </c>
      <c r="AA475" s="10">
        <f>IF(O475&lt;=1,7,7+0.8*ROUNDUP(O475-1,0))</f>
        <v>9.4</v>
      </c>
      <c r="AB475" s="11">
        <v>0</v>
      </c>
      <c r="AC475" s="11">
        <v>0</v>
      </c>
      <c r="AD475" s="11">
        <v>0</v>
      </c>
      <c r="AE475" s="11">
        <v>0</v>
      </c>
      <c r="AF475" s="11">
        <f t="shared" si="14"/>
        <v>0.56399999999999995</v>
      </c>
      <c r="AG475" s="11">
        <f t="shared" si="15"/>
        <v>9.9640000000000004</v>
      </c>
      <c r="AH475" t="s">
        <v>44</v>
      </c>
    </row>
    <row r="476" spans="1:34" ht="15" customHeight="1" x14ac:dyDescent="0.35">
      <c r="A476">
        <v>7547676</v>
      </c>
      <c r="B476">
        <v>690929</v>
      </c>
      <c r="C476" t="s">
        <v>34</v>
      </c>
      <c r="D476" t="s">
        <v>35</v>
      </c>
      <c r="E476" s="6" t="s">
        <v>34</v>
      </c>
      <c r="F476" t="s">
        <v>1546</v>
      </c>
      <c r="G476" t="s">
        <v>37</v>
      </c>
      <c r="H476" t="s">
        <v>38</v>
      </c>
      <c r="I476" t="s">
        <v>1547</v>
      </c>
      <c r="J476" t="s">
        <v>40</v>
      </c>
      <c r="K476">
        <v>2</v>
      </c>
      <c r="L476" t="s">
        <v>41</v>
      </c>
      <c r="M476" t="s">
        <v>42</v>
      </c>
      <c r="N476" t="s">
        <v>43</v>
      </c>
      <c r="O476" s="7">
        <v>2</v>
      </c>
      <c r="P476" s="8">
        <v>45267.720451388886</v>
      </c>
      <c r="Q476" s="9">
        <v>45270</v>
      </c>
      <c r="R476" t="s">
        <v>37</v>
      </c>
      <c r="S476" t="s">
        <v>44</v>
      </c>
      <c r="T476" t="s">
        <v>76</v>
      </c>
      <c r="U476" t="s">
        <v>94</v>
      </c>
      <c r="V476" t="s">
        <v>1548</v>
      </c>
      <c r="W476">
        <v>11900</v>
      </c>
      <c r="X476" t="s">
        <v>44</v>
      </c>
      <c r="Y476" t="s">
        <v>52</v>
      </c>
      <c r="Z476" t="s">
        <v>49</v>
      </c>
      <c r="AA476" s="10">
        <f>IF(O476&lt;=1,7,7+0.8*ROUNDUP(O476-1,0))</f>
        <v>7.8</v>
      </c>
      <c r="AB476" s="11">
        <v>0</v>
      </c>
      <c r="AC476" s="11">
        <v>0</v>
      </c>
      <c r="AD476" s="11">
        <v>0</v>
      </c>
      <c r="AE476" s="11">
        <v>0</v>
      </c>
      <c r="AF476" s="11">
        <f t="shared" si="14"/>
        <v>0.46799999999999997</v>
      </c>
      <c r="AG476" s="11">
        <f t="shared" si="15"/>
        <v>8.2680000000000007</v>
      </c>
      <c r="AH476" t="s">
        <v>44</v>
      </c>
    </row>
    <row r="477" spans="1:34" ht="15" customHeight="1" x14ac:dyDescent="0.35">
      <c r="A477">
        <v>7547676</v>
      </c>
      <c r="B477">
        <v>690929</v>
      </c>
      <c r="C477" t="s">
        <v>34</v>
      </c>
      <c r="D477" t="s">
        <v>35</v>
      </c>
      <c r="E477" s="6" t="s">
        <v>34</v>
      </c>
      <c r="F477" t="s">
        <v>1549</v>
      </c>
      <c r="G477" t="s">
        <v>37</v>
      </c>
      <c r="H477" t="s">
        <v>38</v>
      </c>
      <c r="I477" t="s">
        <v>1550</v>
      </c>
      <c r="J477" t="s">
        <v>40</v>
      </c>
      <c r="K477">
        <v>2</v>
      </c>
      <c r="L477" t="s">
        <v>41</v>
      </c>
      <c r="M477" t="s">
        <v>42</v>
      </c>
      <c r="N477" t="s">
        <v>43</v>
      </c>
      <c r="O477" s="7">
        <v>1</v>
      </c>
      <c r="P477" s="8">
        <v>45269.75273148148</v>
      </c>
      <c r="Q477" s="9">
        <v>45270</v>
      </c>
      <c r="R477" t="s">
        <v>37</v>
      </c>
      <c r="S477" t="s">
        <v>44</v>
      </c>
      <c r="T477" t="s">
        <v>52</v>
      </c>
      <c r="U477" t="s">
        <v>68</v>
      </c>
      <c r="V477" t="s">
        <v>1551</v>
      </c>
      <c r="W477">
        <v>48000</v>
      </c>
      <c r="X477" t="s">
        <v>44</v>
      </c>
      <c r="Y477" t="s">
        <v>1552</v>
      </c>
      <c r="Z477" t="s">
        <v>49</v>
      </c>
      <c r="AA477" s="10">
        <f>IF(O477&lt;=1,7,7+0.8*ROUNDUP(O477-1,0))</f>
        <v>7</v>
      </c>
      <c r="AB477" s="11">
        <v>0</v>
      </c>
      <c r="AC477" s="11">
        <v>0</v>
      </c>
      <c r="AD477" s="11">
        <v>0</v>
      </c>
      <c r="AE477" s="11">
        <v>0</v>
      </c>
      <c r="AF477" s="11">
        <f t="shared" si="14"/>
        <v>0.42</v>
      </c>
      <c r="AG477" s="11">
        <f t="shared" si="15"/>
        <v>7.42</v>
      </c>
      <c r="AH477" t="s">
        <v>44</v>
      </c>
    </row>
    <row r="478" spans="1:34" ht="15" customHeight="1" x14ac:dyDescent="0.35">
      <c r="A478">
        <v>7547676</v>
      </c>
      <c r="B478">
        <v>690929</v>
      </c>
      <c r="C478" t="s">
        <v>34</v>
      </c>
      <c r="D478" t="s">
        <v>35</v>
      </c>
      <c r="E478" s="6" t="s">
        <v>34</v>
      </c>
      <c r="F478" t="s">
        <v>1553</v>
      </c>
      <c r="G478" t="s">
        <v>37</v>
      </c>
      <c r="H478" t="s">
        <v>38</v>
      </c>
      <c r="I478" t="s">
        <v>1554</v>
      </c>
      <c r="J478" t="s">
        <v>40</v>
      </c>
      <c r="K478">
        <v>2</v>
      </c>
      <c r="L478" t="s">
        <v>41</v>
      </c>
      <c r="M478" t="s">
        <v>42</v>
      </c>
      <c r="N478" t="s">
        <v>43</v>
      </c>
      <c r="O478" s="7">
        <v>1</v>
      </c>
      <c r="P478" s="8">
        <v>45269.525011574071</v>
      </c>
      <c r="Q478" s="9">
        <v>45270</v>
      </c>
      <c r="R478" t="s">
        <v>37</v>
      </c>
      <c r="S478" t="s">
        <v>44</v>
      </c>
      <c r="T478" t="s">
        <v>45</v>
      </c>
      <c r="U478" t="s">
        <v>77</v>
      </c>
      <c r="V478" t="s">
        <v>1555</v>
      </c>
      <c r="W478">
        <v>26600</v>
      </c>
      <c r="X478" t="s">
        <v>44</v>
      </c>
      <c r="Y478" t="s">
        <v>45</v>
      </c>
      <c r="Z478" t="s">
        <v>49</v>
      </c>
      <c r="AA478" s="10">
        <f>IF(O478&lt;=1,7,7+0.8*ROUNDUP(O478-1,0))</f>
        <v>7</v>
      </c>
      <c r="AB478" s="11">
        <v>0</v>
      </c>
      <c r="AC478" s="11">
        <v>0</v>
      </c>
      <c r="AD478" s="11">
        <v>0</v>
      </c>
      <c r="AE478" s="11">
        <v>0</v>
      </c>
      <c r="AF478" s="11">
        <f t="shared" si="14"/>
        <v>0.42</v>
      </c>
      <c r="AG478" s="11">
        <f t="shared" si="15"/>
        <v>7.42</v>
      </c>
      <c r="AH478" t="s">
        <v>44</v>
      </c>
    </row>
    <row r="479" spans="1:34" ht="15" customHeight="1" x14ac:dyDescent="0.35">
      <c r="A479">
        <v>7547676</v>
      </c>
      <c r="B479">
        <v>690929</v>
      </c>
      <c r="C479" t="s">
        <v>34</v>
      </c>
      <c r="D479" t="s">
        <v>35</v>
      </c>
      <c r="E479" s="6" t="s">
        <v>34</v>
      </c>
      <c r="F479" t="s">
        <v>1556</v>
      </c>
      <c r="G479" t="s">
        <v>37</v>
      </c>
      <c r="H479" t="s">
        <v>38</v>
      </c>
      <c r="I479" t="s">
        <v>1557</v>
      </c>
      <c r="J479" t="s">
        <v>40</v>
      </c>
      <c r="K479">
        <v>2</v>
      </c>
      <c r="L479" t="s">
        <v>41</v>
      </c>
      <c r="M479" t="s">
        <v>42</v>
      </c>
      <c r="N479" t="s">
        <v>43</v>
      </c>
      <c r="O479" s="7">
        <v>1</v>
      </c>
      <c r="P479" s="8">
        <v>45267.576967592591</v>
      </c>
      <c r="Q479" s="9">
        <v>45270</v>
      </c>
      <c r="R479" t="s">
        <v>37</v>
      </c>
      <c r="S479" t="s">
        <v>44</v>
      </c>
      <c r="T479" t="s">
        <v>76</v>
      </c>
      <c r="U479" t="s">
        <v>159</v>
      </c>
      <c r="V479" t="s">
        <v>1558</v>
      </c>
      <c r="W479">
        <v>32610</v>
      </c>
      <c r="X479" t="s">
        <v>44</v>
      </c>
      <c r="Y479" t="s">
        <v>161</v>
      </c>
      <c r="Z479" t="s">
        <v>49</v>
      </c>
      <c r="AA479" s="10">
        <f>IF(O479&lt;=1,7,7+0.8*ROUNDUP(O479-1,0))</f>
        <v>7</v>
      </c>
      <c r="AB479" s="11">
        <v>0</v>
      </c>
      <c r="AC479" s="11">
        <v>0</v>
      </c>
      <c r="AD479" s="11">
        <v>0</v>
      </c>
      <c r="AE479" s="11">
        <v>0</v>
      </c>
      <c r="AF479" s="11">
        <f t="shared" si="14"/>
        <v>0.42</v>
      </c>
      <c r="AG479" s="11">
        <f t="shared" si="15"/>
        <v>7.42</v>
      </c>
      <c r="AH479" t="s">
        <v>44</v>
      </c>
    </row>
    <row r="480" spans="1:34" ht="15" customHeight="1" x14ac:dyDescent="0.35">
      <c r="A480">
        <v>7547676</v>
      </c>
      <c r="B480">
        <v>690929</v>
      </c>
      <c r="C480" t="s">
        <v>34</v>
      </c>
      <c r="D480" t="s">
        <v>35</v>
      </c>
      <c r="E480" s="6" t="s">
        <v>34</v>
      </c>
      <c r="F480" t="s">
        <v>1559</v>
      </c>
      <c r="G480" t="s">
        <v>37</v>
      </c>
      <c r="H480" t="s">
        <v>38</v>
      </c>
      <c r="I480" t="s">
        <v>1560</v>
      </c>
      <c r="J480" t="s">
        <v>40</v>
      </c>
      <c r="K480">
        <v>2</v>
      </c>
      <c r="L480" t="s">
        <v>41</v>
      </c>
      <c r="M480" t="s">
        <v>42</v>
      </c>
      <c r="N480" t="s">
        <v>43</v>
      </c>
      <c r="O480" s="7">
        <v>2</v>
      </c>
      <c r="P480" s="8">
        <v>45269.543425925927</v>
      </c>
      <c r="Q480" s="9">
        <v>45270</v>
      </c>
      <c r="R480" t="s">
        <v>37</v>
      </c>
      <c r="S480" t="s">
        <v>44</v>
      </c>
      <c r="T480" t="s">
        <v>52</v>
      </c>
      <c r="U480" t="s">
        <v>68</v>
      </c>
      <c r="V480" t="s">
        <v>1561</v>
      </c>
      <c r="W480">
        <v>62300</v>
      </c>
      <c r="X480" t="s">
        <v>44</v>
      </c>
      <c r="Y480" t="s">
        <v>779</v>
      </c>
      <c r="Z480" t="s">
        <v>49</v>
      </c>
      <c r="AA480" s="10">
        <f>IF(O480&lt;=1,7,7+0.8*ROUNDUP(O480-1,0))</f>
        <v>7.8</v>
      </c>
      <c r="AB480" s="11">
        <v>0</v>
      </c>
      <c r="AC480" s="11">
        <v>0</v>
      </c>
      <c r="AD480" s="11">
        <v>0</v>
      </c>
      <c r="AE480" s="11">
        <v>0</v>
      </c>
      <c r="AF480" s="11">
        <f t="shared" si="14"/>
        <v>0.46799999999999997</v>
      </c>
      <c r="AG480" s="11">
        <f t="shared" si="15"/>
        <v>8.2680000000000007</v>
      </c>
      <c r="AH480" t="s">
        <v>44</v>
      </c>
    </row>
    <row r="481" spans="1:34" ht="15" customHeight="1" x14ac:dyDescent="0.35">
      <c r="A481">
        <v>7547676</v>
      </c>
      <c r="B481">
        <v>690929</v>
      </c>
      <c r="C481" t="s">
        <v>34</v>
      </c>
      <c r="D481" t="s">
        <v>35</v>
      </c>
      <c r="E481" s="6" t="s">
        <v>34</v>
      </c>
      <c r="F481" t="s">
        <v>1562</v>
      </c>
      <c r="G481" t="s">
        <v>37</v>
      </c>
      <c r="H481" t="s">
        <v>38</v>
      </c>
      <c r="I481" t="s">
        <v>1563</v>
      </c>
      <c r="J481" t="s">
        <v>40</v>
      </c>
      <c r="K481">
        <v>2</v>
      </c>
      <c r="L481" t="s">
        <v>41</v>
      </c>
      <c r="M481" t="s">
        <v>42</v>
      </c>
      <c r="N481" t="s">
        <v>43</v>
      </c>
      <c r="O481" s="7">
        <v>1</v>
      </c>
      <c r="P481" s="8">
        <v>45267.511018518519</v>
      </c>
      <c r="Q481" s="9">
        <v>45270</v>
      </c>
      <c r="R481" t="s">
        <v>37</v>
      </c>
      <c r="S481" t="s">
        <v>44</v>
      </c>
      <c r="T481" t="s">
        <v>76</v>
      </c>
      <c r="U481" t="s">
        <v>68</v>
      </c>
      <c r="V481" t="s">
        <v>1564</v>
      </c>
      <c r="W481">
        <v>68000</v>
      </c>
      <c r="X481" t="s">
        <v>44</v>
      </c>
      <c r="Y481" t="s">
        <v>52</v>
      </c>
      <c r="Z481" t="s">
        <v>49</v>
      </c>
      <c r="AA481" s="10">
        <f>IF(O481&lt;=1,7,7+0.8*ROUNDUP(O481-1,0))</f>
        <v>7</v>
      </c>
      <c r="AB481" s="11">
        <v>0</v>
      </c>
      <c r="AC481" s="11">
        <v>0</v>
      </c>
      <c r="AD481" s="11">
        <v>0</v>
      </c>
      <c r="AE481" s="11">
        <v>0</v>
      </c>
      <c r="AF481" s="11">
        <f t="shared" si="14"/>
        <v>0.42</v>
      </c>
      <c r="AG481" s="11">
        <f t="shared" si="15"/>
        <v>7.42</v>
      </c>
      <c r="AH481" t="s">
        <v>44</v>
      </c>
    </row>
    <row r="482" spans="1:34" ht="15" customHeight="1" x14ac:dyDescent="0.35">
      <c r="A482">
        <v>7547676</v>
      </c>
      <c r="B482">
        <v>690929</v>
      </c>
      <c r="C482" t="s">
        <v>34</v>
      </c>
      <c r="D482" t="s">
        <v>35</v>
      </c>
      <c r="E482" s="6" t="s">
        <v>34</v>
      </c>
      <c r="F482" t="s">
        <v>1565</v>
      </c>
      <c r="G482" t="s">
        <v>37</v>
      </c>
      <c r="H482" t="s">
        <v>38</v>
      </c>
      <c r="I482" t="s">
        <v>1566</v>
      </c>
      <c r="J482" t="s">
        <v>40</v>
      </c>
      <c r="K482">
        <v>2</v>
      </c>
      <c r="L482" t="s">
        <v>41</v>
      </c>
      <c r="M482" t="s">
        <v>42</v>
      </c>
      <c r="N482" t="s">
        <v>43</v>
      </c>
      <c r="O482" s="7">
        <v>1</v>
      </c>
      <c r="P482" s="8">
        <v>45268.623449074075</v>
      </c>
      <c r="Q482" s="9">
        <v>45270</v>
      </c>
      <c r="R482" t="s">
        <v>37</v>
      </c>
      <c r="S482" t="s">
        <v>44</v>
      </c>
      <c r="T482" t="s">
        <v>76</v>
      </c>
      <c r="U482" t="s">
        <v>46</v>
      </c>
      <c r="V482" t="s">
        <v>1567</v>
      </c>
      <c r="W482">
        <v>81300</v>
      </c>
      <c r="X482" t="s">
        <v>44</v>
      </c>
      <c r="Y482" t="s">
        <v>197</v>
      </c>
      <c r="Z482" t="s">
        <v>49</v>
      </c>
      <c r="AA482" s="10">
        <f>IF(O482&lt;=1,7,7+0.8*ROUNDUP(O482-1,0))</f>
        <v>7</v>
      </c>
      <c r="AB482" s="11">
        <v>0</v>
      </c>
      <c r="AC482" s="11">
        <v>0</v>
      </c>
      <c r="AD482" s="11">
        <v>0</v>
      </c>
      <c r="AE482" s="11">
        <v>0</v>
      </c>
      <c r="AF482" s="11">
        <f t="shared" si="14"/>
        <v>0.42</v>
      </c>
      <c r="AG482" s="11">
        <f t="shared" si="15"/>
        <v>7.42</v>
      </c>
      <c r="AH482" t="s">
        <v>44</v>
      </c>
    </row>
    <row r="483" spans="1:34" ht="15" customHeight="1" x14ac:dyDescent="0.35">
      <c r="A483">
        <v>7547676</v>
      </c>
      <c r="B483">
        <v>690929</v>
      </c>
      <c r="C483" t="s">
        <v>34</v>
      </c>
      <c r="D483" t="s">
        <v>35</v>
      </c>
      <c r="E483" s="6" t="s">
        <v>34</v>
      </c>
      <c r="F483" t="s">
        <v>1568</v>
      </c>
      <c r="G483" t="s">
        <v>37</v>
      </c>
      <c r="H483" t="s">
        <v>38</v>
      </c>
      <c r="I483" t="s">
        <v>1569</v>
      </c>
      <c r="J483" t="s">
        <v>40</v>
      </c>
      <c r="K483">
        <v>2</v>
      </c>
      <c r="L483" t="s">
        <v>41</v>
      </c>
      <c r="M483" t="s">
        <v>42</v>
      </c>
      <c r="N483" t="s">
        <v>43</v>
      </c>
      <c r="O483" s="7">
        <v>1</v>
      </c>
      <c r="P483" s="8">
        <v>45267.788078703707</v>
      </c>
      <c r="Q483" s="9">
        <v>45270</v>
      </c>
      <c r="R483" t="s">
        <v>37</v>
      </c>
      <c r="S483" t="s">
        <v>44</v>
      </c>
      <c r="T483" t="s">
        <v>76</v>
      </c>
      <c r="U483" t="s">
        <v>58</v>
      </c>
      <c r="V483" t="s">
        <v>1570</v>
      </c>
      <c r="W483">
        <v>6100</v>
      </c>
      <c r="X483" t="s">
        <v>44</v>
      </c>
      <c r="Y483" t="s">
        <v>52</v>
      </c>
      <c r="Z483" t="s">
        <v>49</v>
      </c>
      <c r="AA483" s="10">
        <f>IF(O483&lt;=1,7,7+0.8*ROUNDUP(O483-1,0))</f>
        <v>7</v>
      </c>
      <c r="AB483" s="11">
        <v>0</v>
      </c>
      <c r="AC483" s="11">
        <v>0</v>
      </c>
      <c r="AD483" s="11">
        <v>0</v>
      </c>
      <c r="AE483" s="11">
        <v>0</v>
      </c>
      <c r="AF483" s="11">
        <f t="shared" si="14"/>
        <v>0.42</v>
      </c>
      <c r="AG483" s="11">
        <f t="shared" si="15"/>
        <v>7.42</v>
      </c>
      <c r="AH483" t="s">
        <v>44</v>
      </c>
    </row>
    <row r="484" spans="1:34" ht="15" customHeight="1" x14ac:dyDescent="0.35">
      <c r="A484">
        <v>7547676</v>
      </c>
      <c r="B484">
        <v>690929</v>
      </c>
      <c r="C484" t="s">
        <v>34</v>
      </c>
      <c r="D484" t="s">
        <v>35</v>
      </c>
      <c r="E484" s="6" t="s">
        <v>34</v>
      </c>
      <c r="F484" t="s">
        <v>1571</v>
      </c>
      <c r="G484" t="s">
        <v>37</v>
      </c>
      <c r="H484" t="s">
        <v>38</v>
      </c>
      <c r="I484" t="s">
        <v>1572</v>
      </c>
      <c r="J484" t="s">
        <v>40</v>
      </c>
      <c r="K484">
        <v>2</v>
      </c>
      <c r="L484" t="s">
        <v>41</v>
      </c>
      <c r="M484" t="s">
        <v>42</v>
      </c>
      <c r="N484" t="s">
        <v>43</v>
      </c>
      <c r="O484" s="7">
        <v>1</v>
      </c>
      <c r="P484" s="8">
        <v>45267.738935185182</v>
      </c>
      <c r="Q484" s="9">
        <v>45270</v>
      </c>
      <c r="R484" t="s">
        <v>37</v>
      </c>
      <c r="S484" t="s">
        <v>44</v>
      </c>
      <c r="T484" t="s">
        <v>76</v>
      </c>
      <c r="U484" t="s">
        <v>58</v>
      </c>
      <c r="V484" t="s">
        <v>1573</v>
      </c>
      <c r="W484">
        <v>6300</v>
      </c>
      <c r="X484" t="s">
        <v>44</v>
      </c>
      <c r="Y484" t="s">
        <v>1574</v>
      </c>
      <c r="Z484" t="s">
        <v>49</v>
      </c>
      <c r="AA484" s="10">
        <f>IF(O484&lt;=1,7,7+0.8*ROUNDUP(O484-1,0))</f>
        <v>7</v>
      </c>
      <c r="AB484" s="11">
        <v>0</v>
      </c>
      <c r="AC484" s="11">
        <v>0</v>
      </c>
      <c r="AD484" s="11">
        <v>0</v>
      </c>
      <c r="AE484" s="11">
        <v>0</v>
      </c>
      <c r="AF484" s="11">
        <f t="shared" si="14"/>
        <v>0.42</v>
      </c>
      <c r="AG484" s="11">
        <f t="shared" si="15"/>
        <v>7.42</v>
      </c>
      <c r="AH484" t="s">
        <v>44</v>
      </c>
    </row>
    <row r="485" spans="1:34" ht="15" customHeight="1" x14ac:dyDescent="0.35">
      <c r="A485">
        <v>7547676</v>
      </c>
      <c r="B485">
        <v>690929</v>
      </c>
      <c r="C485" t="s">
        <v>34</v>
      </c>
      <c r="D485" t="s">
        <v>35</v>
      </c>
      <c r="E485" s="6" t="s">
        <v>34</v>
      </c>
      <c r="F485" t="s">
        <v>1575</v>
      </c>
      <c r="G485" t="s">
        <v>37</v>
      </c>
      <c r="H485" t="s">
        <v>38</v>
      </c>
      <c r="I485" t="s">
        <v>1576</v>
      </c>
      <c r="J485" t="s">
        <v>40</v>
      </c>
      <c r="K485">
        <v>2</v>
      </c>
      <c r="L485" t="s">
        <v>41</v>
      </c>
      <c r="M485" t="s">
        <v>42</v>
      </c>
      <c r="N485" t="s">
        <v>43</v>
      </c>
      <c r="O485" s="7">
        <v>1</v>
      </c>
      <c r="P485" s="8">
        <v>45268.470416666663</v>
      </c>
      <c r="Q485" s="9">
        <v>45271</v>
      </c>
      <c r="R485" t="s">
        <v>37</v>
      </c>
      <c r="S485" t="s">
        <v>44</v>
      </c>
      <c r="T485" t="s">
        <v>76</v>
      </c>
      <c r="U485" t="s">
        <v>240</v>
      </c>
      <c r="V485" t="s">
        <v>1577</v>
      </c>
      <c r="W485">
        <v>93250</v>
      </c>
      <c r="X485" t="s">
        <v>242</v>
      </c>
      <c r="Y485" t="s">
        <v>52</v>
      </c>
      <c r="Z485" t="s">
        <v>49</v>
      </c>
      <c r="AA485" s="12">
        <f>IF(O485&lt;=1,13,IF(O485&lt;=2,23,IF(O485&lt;=3,35,IF(O485&lt;=4,43,IF(O485&lt;=5,53,IF(O485&lt;=6,63,IF(O485&lt;=7,71,IF(O485&lt;=8,79,IF(O485&lt;=9,87,IF(O485&lt;=10,95,IF(O485&lt;=11,105,IF(O485&lt;=12,114,IF(O485&lt;=13,119,IF(O485&lt;=14,127,IF(O485&lt;=15,135,IF(O485&lt;=16,143,IF(O485&lt;=17,153,IF(O485&lt;=18,163,IF(O485&lt;=19,171,IF(O485&lt;=20,185,IF(O485&lt;=21,193,IF(O485&lt;=22,201,IF(O485&lt;=23,210,IF(O485&lt;=24,220,IF(O485&lt;=25,230,IF(O485&lt;=26,240,IF(O485&lt;=27,250,IF(O485&lt;=28,260,IF(O485&lt;=29,270,IF(O485&lt;=30,280,280+10*ROUNDUP(O485-30,0)))))))))))))))))))))))))))))))</f>
        <v>13</v>
      </c>
      <c r="AB485" s="11">
        <v>0</v>
      </c>
      <c r="AC485" s="11">
        <v>0</v>
      </c>
      <c r="AD485" s="11">
        <v>0</v>
      </c>
      <c r="AE485" s="11">
        <v>0</v>
      </c>
      <c r="AF485" s="11">
        <f t="shared" si="14"/>
        <v>0.78</v>
      </c>
      <c r="AG485" s="11">
        <f t="shared" si="15"/>
        <v>13.78</v>
      </c>
      <c r="AH485" t="s">
        <v>242</v>
      </c>
    </row>
    <row r="486" spans="1:34" ht="15" customHeight="1" x14ac:dyDescent="0.35">
      <c r="A486">
        <v>7547676</v>
      </c>
      <c r="B486">
        <v>690929</v>
      </c>
      <c r="C486" t="s">
        <v>34</v>
      </c>
      <c r="D486" t="s">
        <v>35</v>
      </c>
      <c r="E486" s="6" t="s">
        <v>34</v>
      </c>
      <c r="F486" t="s">
        <v>1578</v>
      </c>
      <c r="G486" t="s">
        <v>37</v>
      </c>
      <c r="H486" t="s">
        <v>38</v>
      </c>
      <c r="I486" t="s">
        <v>1579</v>
      </c>
      <c r="J486" t="s">
        <v>40</v>
      </c>
      <c r="K486">
        <v>2</v>
      </c>
      <c r="L486" t="s">
        <v>41</v>
      </c>
      <c r="M486" t="s">
        <v>42</v>
      </c>
      <c r="N486" t="s">
        <v>43</v>
      </c>
      <c r="O486" s="7">
        <v>1</v>
      </c>
      <c r="P486" s="8">
        <v>45269.746666666666</v>
      </c>
      <c r="Q486" s="9">
        <v>45271</v>
      </c>
      <c r="R486" t="s">
        <v>37</v>
      </c>
      <c r="S486" t="s">
        <v>44</v>
      </c>
      <c r="T486" t="s">
        <v>45</v>
      </c>
      <c r="U486" t="s">
        <v>94</v>
      </c>
      <c r="V486" t="s">
        <v>1580</v>
      </c>
      <c r="W486">
        <v>14000</v>
      </c>
      <c r="X486" t="s">
        <v>44</v>
      </c>
      <c r="Y486" t="s">
        <v>52</v>
      </c>
      <c r="Z486" t="s">
        <v>49</v>
      </c>
      <c r="AA486" s="10">
        <f>IF(O486&lt;=1,7,7+0.8*ROUNDUP(O486-1,0))</f>
        <v>7</v>
      </c>
      <c r="AB486" s="11">
        <v>0</v>
      </c>
      <c r="AC486" s="11">
        <v>0</v>
      </c>
      <c r="AD486" s="11">
        <v>0</v>
      </c>
      <c r="AE486" s="11">
        <v>0</v>
      </c>
      <c r="AF486" s="11">
        <f t="shared" si="14"/>
        <v>0.42</v>
      </c>
      <c r="AG486" s="11">
        <f t="shared" si="15"/>
        <v>7.42</v>
      </c>
      <c r="AH486" t="s">
        <v>44</v>
      </c>
    </row>
    <row r="487" spans="1:34" ht="15" customHeight="1" x14ac:dyDescent="0.35">
      <c r="A487">
        <v>7547676</v>
      </c>
      <c r="B487">
        <v>690929</v>
      </c>
      <c r="C487" t="s">
        <v>34</v>
      </c>
      <c r="D487" t="s">
        <v>35</v>
      </c>
      <c r="E487" s="6" t="s">
        <v>34</v>
      </c>
      <c r="F487" t="s">
        <v>1581</v>
      </c>
      <c r="G487" t="s">
        <v>37</v>
      </c>
      <c r="H487" t="s">
        <v>38</v>
      </c>
      <c r="I487" t="s">
        <v>1582</v>
      </c>
      <c r="J487" t="s">
        <v>40</v>
      </c>
      <c r="K487">
        <v>2</v>
      </c>
      <c r="L487" t="s">
        <v>41</v>
      </c>
      <c r="M487" t="s">
        <v>42</v>
      </c>
      <c r="N487" t="s">
        <v>43</v>
      </c>
      <c r="O487" s="7">
        <v>1</v>
      </c>
      <c r="P487" s="8">
        <v>45265.807847222219</v>
      </c>
      <c r="Q487" s="9">
        <v>45271</v>
      </c>
      <c r="R487" t="s">
        <v>37</v>
      </c>
      <c r="S487" t="s">
        <v>44</v>
      </c>
      <c r="T487" t="s">
        <v>45</v>
      </c>
      <c r="U487" t="s">
        <v>240</v>
      </c>
      <c r="V487" t="s">
        <v>1583</v>
      </c>
      <c r="W487">
        <v>94300</v>
      </c>
      <c r="X487" t="s">
        <v>242</v>
      </c>
      <c r="Y487" t="s">
        <v>52</v>
      </c>
      <c r="Z487" t="s">
        <v>49</v>
      </c>
      <c r="AA487" s="12">
        <f>IF(O487&lt;=1,13,IF(O487&lt;=2,23,IF(O487&lt;=3,35,IF(O487&lt;=4,43,IF(O487&lt;=5,53,IF(O487&lt;=6,63,IF(O487&lt;=7,71,IF(O487&lt;=8,79,IF(O487&lt;=9,87,IF(O487&lt;=10,95,IF(O487&lt;=11,105,IF(O487&lt;=12,114,IF(O487&lt;=13,119,IF(O487&lt;=14,127,IF(O487&lt;=15,135,IF(O487&lt;=16,143,IF(O487&lt;=17,153,IF(O487&lt;=18,163,IF(O487&lt;=19,171,IF(O487&lt;=20,185,IF(O487&lt;=21,193,IF(O487&lt;=22,201,IF(O487&lt;=23,210,IF(O487&lt;=24,220,IF(O487&lt;=25,230,IF(O487&lt;=26,240,IF(O487&lt;=27,250,IF(O487&lt;=28,260,IF(O487&lt;=29,270,IF(O487&lt;=30,280,280+10*ROUNDUP(O487-30,0)))))))))))))))))))))))))))))))</f>
        <v>13</v>
      </c>
      <c r="AB487" s="11">
        <v>0</v>
      </c>
      <c r="AC487" s="11">
        <v>0</v>
      </c>
      <c r="AD487" s="11">
        <v>0</v>
      </c>
      <c r="AE487" s="11">
        <v>0</v>
      </c>
      <c r="AF487" s="11">
        <f t="shared" si="14"/>
        <v>0.78</v>
      </c>
      <c r="AG487" s="11">
        <f t="shared" si="15"/>
        <v>13.78</v>
      </c>
      <c r="AH487" t="s">
        <v>242</v>
      </c>
    </row>
    <row r="488" spans="1:34" ht="15" customHeight="1" x14ac:dyDescent="0.35">
      <c r="A488">
        <v>7547676</v>
      </c>
      <c r="B488">
        <v>690929</v>
      </c>
      <c r="C488" t="s">
        <v>34</v>
      </c>
      <c r="D488" t="s">
        <v>35</v>
      </c>
      <c r="E488" s="6" t="s">
        <v>34</v>
      </c>
      <c r="F488" t="s">
        <v>1584</v>
      </c>
      <c r="G488" t="s">
        <v>37</v>
      </c>
      <c r="H488" t="s">
        <v>38</v>
      </c>
      <c r="I488" t="s">
        <v>1585</v>
      </c>
      <c r="J488" t="s">
        <v>40</v>
      </c>
      <c r="K488">
        <v>2</v>
      </c>
      <c r="L488" t="s">
        <v>41</v>
      </c>
      <c r="M488" t="s">
        <v>42</v>
      </c>
      <c r="N488" t="s">
        <v>43</v>
      </c>
      <c r="O488" s="7">
        <v>1</v>
      </c>
      <c r="P488" s="8">
        <v>45269.525000000001</v>
      </c>
      <c r="Q488" s="9">
        <v>45271</v>
      </c>
      <c r="R488" t="s">
        <v>37</v>
      </c>
      <c r="S488" t="s">
        <v>44</v>
      </c>
      <c r="T488" t="s">
        <v>45</v>
      </c>
      <c r="U488" t="s">
        <v>159</v>
      </c>
      <c r="V488" t="s">
        <v>1586</v>
      </c>
      <c r="W488">
        <v>31400</v>
      </c>
      <c r="X488" t="s">
        <v>44</v>
      </c>
      <c r="Y488" t="s">
        <v>564</v>
      </c>
      <c r="Z488" t="s">
        <v>49</v>
      </c>
      <c r="AA488" s="10">
        <f>IF(O488&lt;=1,7,7+0.8*ROUNDUP(O488-1,0))</f>
        <v>7</v>
      </c>
      <c r="AB488" s="11">
        <v>0</v>
      </c>
      <c r="AC488" s="11">
        <v>0</v>
      </c>
      <c r="AD488" s="11">
        <v>0</v>
      </c>
      <c r="AE488" s="11">
        <v>0</v>
      </c>
      <c r="AF488" s="11">
        <f t="shared" si="14"/>
        <v>0.42</v>
      </c>
      <c r="AG488" s="11">
        <f t="shared" si="15"/>
        <v>7.42</v>
      </c>
      <c r="AH488" t="s">
        <v>44</v>
      </c>
    </row>
    <row r="489" spans="1:34" ht="15" customHeight="1" x14ac:dyDescent="0.35">
      <c r="A489">
        <v>7547676</v>
      </c>
      <c r="B489">
        <v>690929</v>
      </c>
      <c r="C489" t="s">
        <v>34</v>
      </c>
      <c r="D489" t="s">
        <v>35</v>
      </c>
      <c r="E489" s="6" t="s">
        <v>34</v>
      </c>
      <c r="F489" t="s">
        <v>1587</v>
      </c>
      <c r="G489" t="s">
        <v>37</v>
      </c>
      <c r="H489" t="s">
        <v>38</v>
      </c>
      <c r="I489" t="s">
        <v>1588</v>
      </c>
      <c r="J489" t="s">
        <v>40</v>
      </c>
      <c r="K489">
        <v>2</v>
      </c>
      <c r="L489" t="s">
        <v>41</v>
      </c>
      <c r="M489" t="s">
        <v>42</v>
      </c>
      <c r="N489" t="s">
        <v>43</v>
      </c>
      <c r="O489" s="7">
        <v>1</v>
      </c>
      <c r="P489" s="8">
        <v>45269.75273148148</v>
      </c>
      <c r="Q489" s="9">
        <v>45271</v>
      </c>
      <c r="R489" t="s">
        <v>37</v>
      </c>
      <c r="S489" t="s">
        <v>44</v>
      </c>
      <c r="T489" t="s">
        <v>52</v>
      </c>
      <c r="U489" t="s">
        <v>115</v>
      </c>
      <c r="V489" t="s">
        <v>1589</v>
      </c>
      <c r="W489">
        <v>18400</v>
      </c>
      <c r="X489" t="s">
        <v>44</v>
      </c>
      <c r="Y489" t="s">
        <v>169</v>
      </c>
      <c r="Z489" t="s">
        <v>49</v>
      </c>
      <c r="AA489" s="10">
        <f>IF(O489&lt;=1,7,7+0.8*ROUNDUP(O489-1,0))</f>
        <v>7</v>
      </c>
      <c r="AB489" s="11">
        <v>0</v>
      </c>
      <c r="AC489" s="11">
        <v>0</v>
      </c>
      <c r="AD489" s="11">
        <v>0</v>
      </c>
      <c r="AE489" s="11">
        <v>0</v>
      </c>
      <c r="AF489" s="11">
        <f t="shared" si="14"/>
        <v>0.42</v>
      </c>
      <c r="AG489" s="11">
        <f t="shared" si="15"/>
        <v>7.42</v>
      </c>
      <c r="AH489" t="s">
        <v>44</v>
      </c>
    </row>
    <row r="490" spans="1:34" ht="15" customHeight="1" x14ac:dyDescent="0.35">
      <c r="A490">
        <v>7547676</v>
      </c>
      <c r="B490">
        <v>690929</v>
      </c>
      <c r="C490" t="s">
        <v>34</v>
      </c>
      <c r="D490" t="s">
        <v>35</v>
      </c>
      <c r="E490" s="6" t="s">
        <v>34</v>
      </c>
      <c r="F490" t="s">
        <v>1590</v>
      </c>
      <c r="G490" t="s">
        <v>37</v>
      </c>
      <c r="H490" t="s">
        <v>38</v>
      </c>
      <c r="I490" t="s">
        <v>1591</v>
      </c>
      <c r="J490" t="s">
        <v>40</v>
      </c>
      <c r="K490">
        <v>2</v>
      </c>
      <c r="L490" t="s">
        <v>41</v>
      </c>
      <c r="M490" t="s">
        <v>42</v>
      </c>
      <c r="N490" t="s">
        <v>43</v>
      </c>
      <c r="O490" s="7">
        <v>9</v>
      </c>
      <c r="P490" s="8">
        <v>45269.768935185188</v>
      </c>
      <c r="Q490" s="9">
        <v>45271</v>
      </c>
      <c r="R490" t="s">
        <v>37</v>
      </c>
      <c r="S490" t="s">
        <v>44</v>
      </c>
      <c r="T490" t="s">
        <v>45</v>
      </c>
      <c r="U490" t="s">
        <v>46</v>
      </c>
      <c r="V490" t="s">
        <v>1592</v>
      </c>
      <c r="W490">
        <v>81200</v>
      </c>
      <c r="X490" t="s">
        <v>44</v>
      </c>
      <c r="Y490" t="s">
        <v>52</v>
      </c>
      <c r="Z490" t="s">
        <v>49</v>
      </c>
      <c r="AA490" s="10">
        <f>IF(O490&lt;=1,7,7+0.8*ROUNDUP(O490-1,0))</f>
        <v>13.4</v>
      </c>
      <c r="AB490" s="11">
        <v>0</v>
      </c>
      <c r="AC490" s="11">
        <v>0</v>
      </c>
      <c r="AD490" s="11">
        <v>0</v>
      </c>
      <c r="AE490" s="11">
        <v>0</v>
      </c>
      <c r="AF490" s="11">
        <f t="shared" si="14"/>
        <v>0.80399999999999994</v>
      </c>
      <c r="AG490" s="11">
        <f t="shared" si="15"/>
        <v>14.204000000000001</v>
      </c>
      <c r="AH490" t="s">
        <v>44</v>
      </c>
    </row>
    <row r="491" spans="1:34" ht="15" customHeight="1" x14ac:dyDescent="0.35">
      <c r="A491">
        <v>7547676</v>
      </c>
      <c r="B491">
        <v>690929</v>
      </c>
      <c r="C491" t="s">
        <v>34</v>
      </c>
      <c r="D491" t="s">
        <v>35</v>
      </c>
      <c r="E491" s="6" t="s">
        <v>34</v>
      </c>
      <c r="F491" t="s">
        <v>1593</v>
      </c>
      <c r="G491" t="s">
        <v>37</v>
      </c>
      <c r="H491" t="s">
        <v>38</v>
      </c>
      <c r="I491" t="s">
        <v>1594</v>
      </c>
      <c r="J491" t="s">
        <v>40</v>
      </c>
      <c r="K491">
        <v>2</v>
      </c>
      <c r="L491" t="s">
        <v>41</v>
      </c>
      <c r="M491" t="s">
        <v>42</v>
      </c>
      <c r="N491" t="s">
        <v>43</v>
      </c>
      <c r="O491" s="7">
        <v>2</v>
      </c>
      <c r="P491" s="8">
        <v>45267.611527777779</v>
      </c>
      <c r="Q491" s="9">
        <v>45271</v>
      </c>
      <c r="R491" t="s">
        <v>37</v>
      </c>
      <c r="S491" t="s">
        <v>44</v>
      </c>
      <c r="T491" t="s">
        <v>76</v>
      </c>
      <c r="U491" t="s">
        <v>94</v>
      </c>
      <c r="V491" t="s">
        <v>1595</v>
      </c>
      <c r="W491">
        <v>13500</v>
      </c>
      <c r="X491" t="s">
        <v>44</v>
      </c>
      <c r="Y491" t="s">
        <v>394</v>
      </c>
      <c r="Z491" t="s">
        <v>49</v>
      </c>
      <c r="AA491" s="10">
        <f>IF(O491&lt;=1,7,7+0.8*ROUNDUP(O491-1,0))</f>
        <v>7.8</v>
      </c>
      <c r="AB491" s="11">
        <v>0</v>
      </c>
      <c r="AC491" s="11">
        <v>0</v>
      </c>
      <c r="AD491" s="11">
        <v>0</v>
      </c>
      <c r="AE491" s="11">
        <v>0</v>
      </c>
      <c r="AF491" s="11">
        <f t="shared" si="14"/>
        <v>0.46799999999999997</v>
      </c>
      <c r="AG491" s="11">
        <f t="shared" si="15"/>
        <v>8.2680000000000007</v>
      </c>
      <c r="AH491" t="s">
        <v>44</v>
      </c>
    </row>
    <row r="492" spans="1:34" ht="15" customHeight="1" x14ac:dyDescent="0.35">
      <c r="A492">
        <v>7547676</v>
      </c>
      <c r="B492">
        <v>690929</v>
      </c>
      <c r="C492" t="s">
        <v>34</v>
      </c>
      <c r="D492" t="s">
        <v>35</v>
      </c>
      <c r="E492" s="6" t="s">
        <v>34</v>
      </c>
      <c r="F492" t="s">
        <v>1596</v>
      </c>
      <c r="G492" t="s">
        <v>37</v>
      </c>
      <c r="H492" t="s">
        <v>38</v>
      </c>
      <c r="I492" t="s">
        <v>1597</v>
      </c>
      <c r="J492" t="s">
        <v>40</v>
      </c>
      <c r="K492">
        <v>2</v>
      </c>
      <c r="L492" t="s">
        <v>41</v>
      </c>
      <c r="M492" t="s">
        <v>42</v>
      </c>
      <c r="N492" t="s">
        <v>43</v>
      </c>
      <c r="O492" s="7">
        <v>2</v>
      </c>
      <c r="P492" s="8">
        <v>45269.559270833335</v>
      </c>
      <c r="Q492" s="9">
        <v>45271</v>
      </c>
      <c r="R492" t="s">
        <v>37</v>
      </c>
      <c r="S492" t="s">
        <v>44</v>
      </c>
      <c r="T492" t="s">
        <v>45</v>
      </c>
      <c r="U492" t="s">
        <v>94</v>
      </c>
      <c r="V492" t="s">
        <v>1598</v>
      </c>
      <c r="W492">
        <v>11900</v>
      </c>
      <c r="X492" t="s">
        <v>44</v>
      </c>
      <c r="Y492" t="s">
        <v>52</v>
      </c>
      <c r="Z492" t="s">
        <v>49</v>
      </c>
      <c r="AA492" s="10">
        <f>IF(O492&lt;=1,7,7+0.8*ROUNDUP(O492-1,0))</f>
        <v>7.8</v>
      </c>
      <c r="AB492" s="11">
        <v>0</v>
      </c>
      <c r="AC492" s="11">
        <v>0</v>
      </c>
      <c r="AD492" s="11">
        <v>0</v>
      </c>
      <c r="AE492" s="11">
        <v>0</v>
      </c>
      <c r="AF492" s="11">
        <f t="shared" si="14"/>
        <v>0.46799999999999997</v>
      </c>
      <c r="AG492" s="11">
        <f t="shared" si="15"/>
        <v>8.2680000000000007</v>
      </c>
      <c r="AH492" t="s">
        <v>44</v>
      </c>
    </row>
    <row r="493" spans="1:34" ht="15" customHeight="1" x14ac:dyDescent="0.35">
      <c r="A493">
        <v>7547676</v>
      </c>
      <c r="B493">
        <v>690929</v>
      </c>
      <c r="C493" t="s">
        <v>34</v>
      </c>
      <c r="D493" t="s">
        <v>35</v>
      </c>
      <c r="E493" s="6" t="s">
        <v>34</v>
      </c>
      <c r="F493" t="s">
        <v>1599</v>
      </c>
      <c r="G493" t="s">
        <v>37</v>
      </c>
      <c r="H493" t="s">
        <v>38</v>
      </c>
      <c r="I493" t="s">
        <v>1600</v>
      </c>
      <c r="J493" t="s">
        <v>40</v>
      </c>
      <c r="K493">
        <v>2</v>
      </c>
      <c r="L493" t="s">
        <v>41</v>
      </c>
      <c r="M493" t="s">
        <v>42</v>
      </c>
      <c r="N493" t="s">
        <v>43</v>
      </c>
      <c r="O493" s="7">
        <v>1</v>
      </c>
      <c r="P493" s="8">
        <v>45270.703402777777</v>
      </c>
      <c r="Q493" s="9">
        <v>45272</v>
      </c>
      <c r="R493" t="s">
        <v>37</v>
      </c>
      <c r="S493" t="s">
        <v>44</v>
      </c>
      <c r="T493" t="s">
        <v>1601</v>
      </c>
      <c r="U493" t="s">
        <v>63</v>
      </c>
      <c r="V493" t="s">
        <v>1602</v>
      </c>
      <c r="W493">
        <v>77200</v>
      </c>
      <c r="X493" t="s">
        <v>44</v>
      </c>
      <c r="Y493" t="s">
        <v>52</v>
      </c>
      <c r="Z493" t="s">
        <v>49</v>
      </c>
      <c r="AA493" s="10">
        <f>IF(O493&lt;=1,7,7+0.8*ROUNDUP(O493-1,0))</f>
        <v>7</v>
      </c>
      <c r="AB493" s="11">
        <v>0</v>
      </c>
      <c r="AC493" s="11">
        <v>0</v>
      </c>
      <c r="AD493" s="11">
        <v>0</v>
      </c>
      <c r="AE493" s="11">
        <v>0</v>
      </c>
      <c r="AF493" s="11">
        <f t="shared" si="14"/>
        <v>0.42</v>
      </c>
      <c r="AG493" s="11">
        <f t="shared" si="15"/>
        <v>7.42</v>
      </c>
      <c r="AH493" t="s">
        <v>44</v>
      </c>
    </row>
    <row r="494" spans="1:34" ht="15" customHeight="1" x14ac:dyDescent="0.35">
      <c r="A494">
        <v>7547676</v>
      </c>
      <c r="B494">
        <v>690929</v>
      </c>
      <c r="C494" t="s">
        <v>34</v>
      </c>
      <c r="D494" t="s">
        <v>35</v>
      </c>
      <c r="E494" s="6" t="s">
        <v>34</v>
      </c>
      <c r="F494" t="s">
        <v>1603</v>
      </c>
      <c r="G494" t="s">
        <v>37</v>
      </c>
      <c r="H494" t="s">
        <v>38</v>
      </c>
      <c r="I494" t="s">
        <v>1604</v>
      </c>
      <c r="J494" t="s">
        <v>40</v>
      </c>
      <c r="K494">
        <v>2</v>
      </c>
      <c r="L494" t="s">
        <v>41</v>
      </c>
      <c r="M494" t="s">
        <v>42</v>
      </c>
      <c r="N494" t="s">
        <v>43</v>
      </c>
      <c r="O494" s="7">
        <v>1</v>
      </c>
      <c r="P494" s="8">
        <v>45270.506493055553</v>
      </c>
      <c r="Q494" s="9">
        <v>45272</v>
      </c>
      <c r="R494" t="s">
        <v>37</v>
      </c>
      <c r="S494" t="s">
        <v>44</v>
      </c>
      <c r="T494" t="s">
        <v>52</v>
      </c>
      <c r="U494" t="s">
        <v>77</v>
      </c>
      <c r="V494" t="s">
        <v>1605</v>
      </c>
      <c r="W494">
        <v>26400</v>
      </c>
      <c r="X494" t="s">
        <v>44</v>
      </c>
      <c r="Y494" t="s">
        <v>630</v>
      </c>
      <c r="Z494" t="s">
        <v>49</v>
      </c>
      <c r="AA494" s="10">
        <f>IF(O494&lt;=1,7,7+0.8*ROUNDUP(O494-1,0))</f>
        <v>7</v>
      </c>
      <c r="AB494" s="11">
        <v>0</v>
      </c>
      <c r="AC494" s="11">
        <v>0</v>
      </c>
      <c r="AD494" s="11">
        <v>0</v>
      </c>
      <c r="AE494" s="11">
        <v>0</v>
      </c>
      <c r="AF494" s="11">
        <f t="shared" si="14"/>
        <v>0.42</v>
      </c>
      <c r="AG494" s="11">
        <f t="shared" si="15"/>
        <v>7.42</v>
      </c>
      <c r="AH494" t="s">
        <v>44</v>
      </c>
    </row>
    <row r="495" spans="1:34" ht="15" customHeight="1" x14ac:dyDescent="0.35">
      <c r="A495">
        <v>7547676</v>
      </c>
      <c r="B495">
        <v>690929</v>
      </c>
      <c r="C495" t="s">
        <v>34</v>
      </c>
      <c r="D495" t="s">
        <v>35</v>
      </c>
      <c r="E495" s="6" t="s">
        <v>34</v>
      </c>
      <c r="F495" t="s">
        <v>1606</v>
      </c>
      <c r="G495" t="s">
        <v>37</v>
      </c>
      <c r="H495" t="s">
        <v>38</v>
      </c>
      <c r="I495" t="s">
        <v>1607</v>
      </c>
      <c r="J495" t="s">
        <v>40</v>
      </c>
      <c r="K495">
        <v>2</v>
      </c>
      <c r="L495" t="s">
        <v>41</v>
      </c>
      <c r="M495" t="s">
        <v>42</v>
      </c>
      <c r="N495" t="s">
        <v>43</v>
      </c>
      <c r="O495" s="7">
        <v>1</v>
      </c>
      <c r="P495" s="8">
        <v>45270.727453703701</v>
      </c>
      <c r="Q495" s="9">
        <v>45272</v>
      </c>
      <c r="R495" t="s">
        <v>37</v>
      </c>
      <c r="S495" t="s">
        <v>44</v>
      </c>
      <c r="T495" t="s">
        <v>52</v>
      </c>
      <c r="U495" t="s">
        <v>115</v>
      </c>
      <c r="V495" t="s">
        <v>1608</v>
      </c>
      <c r="W495">
        <v>16800</v>
      </c>
      <c r="X495" t="s">
        <v>44</v>
      </c>
      <c r="Y495" t="s">
        <v>1036</v>
      </c>
      <c r="Z495" t="s">
        <v>49</v>
      </c>
      <c r="AA495" s="10">
        <f>IF(O495&lt;=1,7,7+0.8*ROUNDUP(O495-1,0))</f>
        <v>7</v>
      </c>
      <c r="AB495" s="11">
        <v>0</v>
      </c>
      <c r="AC495" s="11">
        <v>0</v>
      </c>
      <c r="AD495" s="11">
        <v>0</v>
      </c>
      <c r="AE495" s="11">
        <v>0</v>
      </c>
      <c r="AF495" s="11">
        <f t="shared" si="14"/>
        <v>0.42</v>
      </c>
      <c r="AG495" s="11">
        <f t="shared" si="15"/>
        <v>7.42</v>
      </c>
      <c r="AH495" t="s">
        <v>44</v>
      </c>
    </row>
    <row r="496" spans="1:34" ht="15" customHeight="1" x14ac:dyDescent="0.35">
      <c r="A496">
        <v>7547676</v>
      </c>
      <c r="B496">
        <v>690929</v>
      </c>
      <c r="C496" t="s">
        <v>34</v>
      </c>
      <c r="D496" t="s">
        <v>35</v>
      </c>
      <c r="E496" s="6" t="s">
        <v>34</v>
      </c>
      <c r="F496" t="s">
        <v>1609</v>
      </c>
      <c r="G496" t="s">
        <v>37</v>
      </c>
      <c r="H496" t="s">
        <v>38</v>
      </c>
      <c r="I496" t="s">
        <v>1610</v>
      </c>
      <c r="J496" t="s">
        <v>40</v>
      </c>
      <c r="K496">
        <v>2</v>
      </c>
      <c r="L496" t="s">
        <v>41</v>
      </c>
      <c r="M496" t="s">
        <v>42</v>
      </c>
      <c r="N496" t="s">
        <v>43</v>
      </c>
      <c r="O496" s="7">
        <v>1</v>
      </c>
      <c r="P496" s="8">
        <v>45270.401238425926</v>
      </c>
      <c r="Q496" s="9">
        <v>45272</v>
      </c>
      <c r="R496" t="s">
        <v>37</v>
      </c>
      <c r="S496" t="s">
        <v>44</v>
      </c>
      <c r="T496" t="s">
        <v>52</v>
      </c>
      <c r="U496" t="s">
        <v>258</v>
      </c>
      <c r="V496" t="s">
        <v>1611</v>
      </c>
      <c r="W496">
        <v>22000</v>
      </c>
      <c r="X496" t="s">
        <v>44</v>
      </c>
      <c r="Y496" t="s">
        <v>1612</v>
      </c>
      <c r="Z496" t="s">
        <v>49</v>
      </c>
      <c r="AA496" s="10">
        <f>IF(O496&lt;=1,7,7+0.8*ROUNDUP(O496-1,0))</f>
        <v>7</v>
      </c>
      <c r="AB496" s="11">
        <v>0</v>
      </c>
      <c r="AC496" s="11">
        <v>0</v>
      </c>
      <c r="AD496" s="11">
        <v>0</v>
      </c>
      <c r="AE496" s="11">
        <v>0</v>
      </c>
      <c r="AF496" s="11">
        <f t="shared" si="14"/>
        <v>0.42</v>
      </c>
      <c r="AG496" s="11">
        <f t="shared" si="15"/>
        <v>7.42</v>
      </c>
      <c r="AH496" t="s">
        <v>44</v>
      </c>
    </row>
    <row r="497" spans="1:34" ht="15" customHeight="1" x14ac:dyDescent="0.35">
      <c r="A497">
        <v>7547676</v>
      </c>
      <c r="B497">
        <v>690929</v>
      </c>
      <c r="C497" t="s">
        <v>34</v>
      </c>
      <c r="D497" t="s">
        <v>35</v>
      </c>
      <c r="E497" s="6" t="s">
        <v>34</v>
      </c>
      <c r="F497" t="s">
        <v>1613</v>
      </c>
      <c r="G497" t="s">
        <v>37</v>
      </c>
      <c r="H497" t="s">
        <v>38</v>
      </c>
      <c r="I497" t="s">
        <v>1614</v>
      </c>
      <c r="J497" t="s">
        <v>40</v>
      </c>
      <c r="K497">
        <v>2</v>
      </c>
      <c r="L497" t="s">
        <v>41</v>
      </c>
      <c r="M497" t="s">
        <v>42</v>
      </c>
      <c r="N497" t="s">
        <v>43</v>
      </c>
      <c r="O497" s="7">
        <v>1</v>
      </c>
      <c r="P497" s="8">
        <v>45270.732777777775</v>
      </c>
      <c r="Q497" s="9">
        <v>45272</v>
      </c>
      <c r="R497" t="s">
        <v>37</v>
      </c>
      <c r="S497" t="s">
        <v>44</v>
      </c>
      <c r="T497" t="s">
        <v>52</v>
      </c>
      <c r="U497" t="s">
        <v>159</v>
      </c>
      <c r="V497" t="s">
        <v>1615</v>
      </c>
      <c r="W497">
        <v>31600</v>
      </c>
      <c r="X497" t="s">
        <v>44</v>
      </c>
      <c r="Y497" t="s">
        <v>161</v>
      </c>
      <c r="Z497" t="s">
        <v>49</v>
      </c>
      <c r="AA497" s="10">
        <f>IF(O497&lt;=1,7,7+0.8*ROUNDUP(O497-1,0))</f>
        <v>7</v>
      </c>
      <c r="AB497" s="11">
        <v>0</v>
      </c>
      <c r="AC497" s="11">
        <v>0</v>
      </c>
      <c r="AD497" s="11">
        <v>0</v>
      </c>
      <c r="AE497" s="11">
        <v>0</v>
      </c>
      <c r="AF497" s="11">
        <f t="shared" si="14"/>
        <v>0.42</v>
      </c>
      <c r="AG497" s="11">
        <f t="shared" si="15"/>
        <v>7.42</v>
      </c>
      <c r="AH497" t="s">
        <v>44</v>
      </c>
    </row>
    <row r="498" spans="1:34" ht="15" customHeight="1" x14ac:dyDescent="0.35">
      <c r="A498">
        <v>7547676</v>
      </c>
      <c r="B498">
        <v>690929</v>
      </c>
      <c r="C498" t="s">
        <v>34</v>
      </c>
      <c r="D498" t="s">
        <v>35</v>
      </c>
      <c r="E498" s="6" t="s">
        <v>34</v>
      </c>
      <c r="F498" t="s">
        <v>1616</v>
      </c>
      <c r="G498" t="s">
        <v>37</v>
      </c>
      <c r="H498" t="s">
        <v>38</v>
      </c>
      <c r="I498" t="s">
        <v>1617</v>
      </c>
      <c r="J498" t="s">
        <v>40</v>
      </c>
      <c r="K498">
        <v>2</v>
      </c>
      <c r="L498" t="s">
        <v>41</v>
      </c>
      <c r="M498" t="s">
        <v>42</v>
      </c>
      <c r="N498" t="s">
        <v>43</v>
      </c>
      <c r="O498" s="7">
        <v>2</v>
      </c>
      <c r="P498" s="8">
        <v>45270.506493055553</v>
      </c>
      <c r="Q498" s="9">
        <v>45272</v>
      </c>
      <c r="R498" t="s">
        <v>37</v>
      </c>
      <c r="S498" t="s">
        <v>44</v>
      </c>
      <c r="T498" t="s">
        <v>1601</v>
      </c>
      <c r="U498" t="s">
        <v>258</v>
      </c>
      <c r="V498" t="s">
        <v>1618</v>
      </c>
      <c r="W498">
        <v>21400</v>
      </c>
      <c r="X498" t="s">
        <v>44</v>
      </c>
      <c r="Y498" t="s">
        <v>52</v>
      </c>
      <c r="Z498" t="s">
        <v>49</v>
      </c>
      <c r="AA498" s="10">
        <f>IF(O498&lt;=1,7,7+0.8*ROUNDUP(O498-1,0))</f>
        <v>7.8</v>
      </c>
      <c r="AB498" s="11">
        <v>0</v>
      </c>
      <c r="AC498" s="11">
        <v>0</v>
      </c>
      <c r="AD498" s="11">
        <v>0</v>
      </c>
      <c r="AE498" s="11">
        <v>0</v>
      </c>
      <c r="AF498" s="11">
        <f t="shared" si="14"/>
        <v>0.46799999999999997</v>
      </c>
      <c r="AG498" s="11">
        <f t="shared" si="15"/>
        <v>8.2680000000000007</v>
      </c>
      <c r="AH498" t="s">
        <v>44</v>
      </c>
    </row>
    <row r="499" spans="1:34" ht="15" customHeight="1" x14ac:dyDescent="0.35">
      <c r="A499">
        <v>7547676</v>
      </c>
      <c r="B499">
        <v>690929</v>
      </c>
      <c r="C499" t="s">
        <v>34</v>
      </c>
      <c r="D499" t="s">
        <v>35</v>
      </c>
      <c r="E499" s="6" t="s">
        <v>34</v>
      </c>
      <c r="F499" t="s">
        <v>1619</v>
      </c>
      <c r="G499" t="s">
        <v>37</v>
      </c>
      <c r="H499" t="s">
        <v>38</v>
      </c>
      <c r="I499" t="s">
        <v>1620</v>
      </c>
      <c r="J499" t="s">
        <v>40</v>
      </c>
      <c r="K499">
        <v>2</v>
      </c>
      <c r="L499" t="s">
        <v>41</v>
      </c>
      <c r="M499" t="s">
        <v>42</v>
      </c>
      <c r="N499" t="s">
        <v>43</v>
      </c>
      <c r="O499" s="7">
        <v>1</v>
      </c>
      <c r="P499" s="8">
        <v>45270.506493055553</v>
      </c>
      <c r="Q499" s="9">
        <v>45272</v>
      </c>
      <c r="R499" t="s">
        <v>37</v>
      </c>
      <c r="S499" t="s">
        <v>44</v>
      </c>
      <c r="T499" t="s">
        <v>52</v>
      </c>
      <c r="U499" t="s">
        <v>115</v>
      </c>
      <c r="V499" t="s">
        <v>1621</v>
      </c>
      <c r="W499">
        <v>17510</v>
      </c>
      <c r="X499" t="s">
        <v>44</v>
      </c>
      <c r="Y499" t="s">
        <v>52</v>
      </c>
      <c r="Z499" t="s">
        <v>49</v>
      </c>
      <c r="AA499" s="10">
        <f>IF(O499&lt;=1,7,7+0.8*ROUNDUP(O499-1,0))</f>
        <v>7</v>
      </c>
      <c r="AB499" s="11">
        <v>0</v>
      </c>
      <c r="AC499" s="11">
        <v>0</v>
      </c>
      <c r="AD499" s="11">
        <v>0</v>
      </c>
      <c r="AE499" s="11">
        <v>0</v>
      </c>
      <c r="AF499" s="11">
        <f t="shared" si="14"/>
        <v>0.42</v>
      </c>
      <c r="AG499" s="11">
        <f t="shared" si="15"/>
        <v>7.42</v>
      </c>
      <c r="AH499" t="s">
        <v>44</v>
      </c>
    </row>
    <row r="500" spans="1:34" ht="15" customHeight="1" x14ac:dyDescent="0.35">
      <c r="A500">
        <v>7547676</v>
      </c>
      <c r="B500">
        <v>690929</v>
      </c>
      <c r="C500" t="s">
        <v>34</v>
      </c>
      <c r="D500" t="s">
        <v>35</v>
      </c>
      <c r="E500" s="6" t="s">
        <v>34</v>
      </c>
      <c r="F500" t="s">
        <v>1622</v>
      </c>
      <c r="G500" t="s">
        <v>37</v>
      </c>
      <c r="H500" t="s">
        <v>38</v>
      </c>
      <c r="I500" t="s">
        <v>1623</v>
      </c>
      <c r="J500" t="s">
        <v>40</v>
      </c>
      <c r="K500">
        <v>2</v>
      </c>
      <c r="L500" t="s">
        <v>41</v>
      </c>
      <c r="M500" t="s">
        <v>42</v>
      </c>
      <c r="N500" t="s">
        <v>43</v>
      </c>
      <c r="O500" s="7">
        <v>2</v>
      </c>
      <c r="P500" s="8">
        <v>45270.401238425926</v>
      </c>
      <c r="Q500" s="9">
        <v>45272</v>
      </c>
      <c r="R500" t="s">
        <v>37</v>
      </c>
      <c r="S500" t="s">
        <v>44</v>
      </c>
      <c r="T500" t="s">
        <v>1601</v>
      </c>
      <c r="U500" t="s">
        <v>58</v>
      </c>
      <c r="V500" t="s">
        <v>1624</v>
      </c>
      <c r="W500">
        <v>6000</v>
      </c>
      <c r="X500" t="s">
        <v>44</v>
      </c>
      <c r="Y500" t="s">
        <v>52</v>
      </c>
      <c r="Z500" t="s">
        <v>49</v>
      </c>
      <c r="AA500" s="10">
        <f>IF(O500&lt;=1,7,7+0.8*ROUNDUP(O500-1,0))</f>
        <v>7.8</v>
      </c>
      <c r="AB500" s="11">
        <v>0</v>
      </c>
      <c r="AC500" s="11">
        <v>0</v>
      </c>
      <c r="AD500" s="11">
        <v>0</v>
      </c>
      <c r="AE500" s="11">
        <v>0</v>
      </c>
      <c r="AF500" s="11">
        <f t="shared" si="14"/>
        <v>0.46799999999999997</v>
      </c>
      <c r="AG500" s="11">
        <f t="shared" si="15"/>
        <v>8.2680000000000007</v>
      </c>
      <c r="AH500" t="s">
        <v>44</v>
      </c>
    </row>
    <row r="501" spans="1:34" ht="15" customHeight="1" x14ac:dyDescent="0.35">
      <c r="A501">
        <v>7547676</v>
      </c>
      <c r="B501">
        <v>690929</v>
      </c>
      <c r="C501" t="s">
        <v>34</v>
      </c>
      <c r="D501" t="s">
        <v>35</v>
      </c>
      <c r="E501" s="6" t="s">
        <v>34</v>
      </c>
      <c r="F501" t="s">
        <v>1625</v>
      </c>
      <c r="G501" t="s">
        <v>37</v>
      </c>
      <c r="H501" t="s">
        <v>38</v>
      </c>
      <c r="I501" t="s">
        <v>314</v>
      </c>
      <c r="J501" t="s">
        <v>40</v>
      </c>
      <c r="K501">
        <v>2</v>
      </c>
      <c r="L501" t="s">
        <v>41</v>
      </c>
      <c r="M501" t="s">
        <v>42</v>
      </c>
      <c r="N501" t="s">
        <v>43</v>
      </c>
      <c r="O501" s="7">
        <v>1</v>
      </c>
      <c r="P501" s="8">
        <v>45267.622777777775</v>
      </c>
      <c r="Q501" s="9">
        <v>45272</v>
      </c>
      <c r="R501" t="s">
        <v>37</v>
      </c>
      <c r="S501" t="s">
        <v>44</v>
      </c>
      <c r="T501" t="s">
        <v>76</v>
      </c>
      <c r="U501" t="s">
        <v>68</v>
      </c>
      <c r="V501" t="s">
        <v>315</v>
      </c>
      <c r="W501">
        <v>40000</v>
      </c>
      <c r="X501" t="s">
        <v>44</v>
      </c>
      <c r="Y501" t="s">
        <v>52</v>
      </c>
      <c r="Z501" t="s">
        <v>49</v>
      </c>
      <c r="AA501" s="10">
        <f>IF(O501&lt;=1,7,7+0.8*ROUNDUP(O501-1,0))</f>
        <v>7</v>
      </c>
      <c r="AB501" s="11">
        <v>0</v>
      </c>
      <c r="AC501" s="11">
        <v>0</v>
      </c>
      <c r="AD501" s="11">
        <v>0</v>
      </c>
      <c r="AE501" s="11">
        <v>0</v>
      </c>
      <c r="AF501" s="11">
        <f t="shared" si="14"/>
        <v>0.42</v>
      </c>
      <c r="AG501" s="11">
        <f t="shared" si="15"/>
        <v>7.42</v>
      </c>
      <c r="AH501" t="s">
        <v>44</v>
      </c>
    </row>
    <row r="502" spans="1:34" ht="15" customHeight="1" x14ac:dyDescent="0.35">
      <c r="A502">
        <v>7547676</v>
      </c>
      <c r="B502">
        <v>690929</v>
      </c>
      <c r="C502" t="s">
        <v>34</v>
      </c>
      <c r="D502" t="s">
        <v>35</v>
      </c>
      <c r="E502" s="6" t="s">
        <v>34</v>
      </c>
      <c r="F502" t="s">
        <v>1626</v>
      </c>
      <c r="G502" t="s">
        <v>37</v>
      </c>
      <c r="H502" t="s">
        <v>38</v>
      </c>
      <c r="I502" t="s">
        <v>1627</v>
      </c>
      <c r="J502" t="s">
        <v>40</v>
      </c>
      <c r="K502">
        <v>2</v>
      </c>
      <c r="L502" t="s">
        <v>41</v>
      </c>
      <c r="M502" t="s">
        <v>42</v>
      </c>
      <c r="N502" t="s">
        <v>43</v>
      </c>
      <c r="O502" s="7">
        <v>1</v>
      </c>
      <c r="P502" s="8">
        <v>45270.596238425926</v>
      </c>
      <c r="Q502" s="9">
        <v>45272</v>
      </c>
      <c r="R502" t="s">
        <v>37</v>
      </c>
      <c r="S502" t="s">
        <v>44</v>
      </c>
      <c r="T502" t="s">
        <v>52</v>
      </c>
      <c r="U502" t="s">
        <v>258</v>
      </c>
      <c r="V502" t="s">
        <v>1628</v>
      </c>
      <c r="W502">
        <v>22200</v>
      </c>
      <c r="X502" t="s">
        <v>44</v>
      </c>
      <c r="Y502" t="s">
        <v>52</v>
      </c>
      <c r="Z502" t="s">
        <v>49</v>
      </c>
      <c r="AA502" s="10">
        <f>IF(O502&lt;=1,7,7+0.8*ROUNDUP(O502-1,0))</f>
        <v>7</v>
      </c>
      <c r="AB502" s="11">
        <v>0</v>
      </c>
      <c r="AC502" s="11">
        <v>0</v>
      </c>
      <c r="AD502" s="11">
        <v>0</v>
      </c>
      <c r="AE502" s="11">
        <v>0</v>
      </c>
      <c r="AF502" s="11">
        <f t="shared" si="14"/>
        <v>0.42</v>
      </c>
      <c r="AG502" s="11">
        <f t="shared" si="15"/>
        <v>7.42</v>
      </c>
      <c r="AH502" t="s">
        <v>44</v>
      </c>
    </row>
    <row r="503" spans="1:34" ht="15" customHeight="1" x14ac:dyDescent="0.35">
      <c r="A503">
        <v>7547676</v>
      </c>
      <c r="B503">
        <v>690929</v>
      </c>
      <c r="C503" t="s">
        <v>34</v>
      </c>
      <c r="D503" t="s">
        <v>35</v>
      </c>
      <c r="E503" s="6" t="s">
        <v>34</v>
      </c>
      <c r="F503" t="s">
        <v>1629</v>
      </c>
      <c r="G503" t="s">
        <v>37</v>
      </c>
      <c r="H503" t="s">
        <v>38</v>
      </c>
      <c r="I503" t="s">
        <v>1630</v>
      </c>
      <c r="J503" t="s">
        <v>40</v>
      </c>
      <c r="K503">
        <v>2</v>
      </c>
      <c r="L503" t="s">
        <v>41</v>
      </c>
      <c r="M503" t="s">
        <v>42</v>
      </c>
      <c r="N503" t="s">
        <v>43</v>
      </c>
      <c r="O503" s="7">
        <v>1</v>
      </c>
      <c r="P503" s="8">
        <v>45270.506504629629</v>
      </c>
      <c r="Q503" s="9">
        <v>45272</v>
      </c>
      <c r="R503" t="s">
        <v>37</v>
      </c>
      <c r="S503" t="s">
        <v>44</v>
      </c>
      <c r="T503" t="s">
        <v>1601</v>
      </c>
      <c r="U503" t="s">
        <v>258</v>
      </c>
      <c r="V503" t="s">
        <v>1631</v>
      </c>
      <c r="W503">
        <v>22200</v>
      </c>
      <c r="X503" t="s">
        <v>44</v>
      </c>
      <c r="Y503" t="s">
        <v>52</v>
      </c>
      <c r="Z503" t="s">
        <v>49</v>
      </c>
      <c r="AA503" s="10">
        <f>IF(O503&lt;=1,7,7+0.8*ROUNDUP(O503-1,0))</f>
        <v>7</v>
      </c>
      <c r="AB503" s="11">
        <v>0</v>
      </c>
      <c r="AC503" s="11">
        <v>0</v>
      </c>
      <c r="AD503" s="11">
        <v>0</v>
      </c>
      <c r="AE503" s="11">
        <v>0</v>
      </c>
      <c r="AF503" s="11">
        <f t="shared" si="14"/>
        <v>0.42</v>
      </c>
      <c r="AG503" s="11">
        <f t="shared" si="15"/>
        <v>7.42</v>
      </c>
      <c r="AH503" t="s">
        <v>44</v>
      </c>
    </row>
    <row r="504" spans="1:34" ht="15" customHeight="1" x14ac:dyDescent="0.35">
      <c r="A504">
        <v>7547676</v>
      </c>
      <c r="B504">
        <v>690929</v>
      </c>
      <c r="C504" t="s">
        <v>34</v>
      </c>
      <c r="D504" t="s">
        <v>35</v>
      </c>
      <c r="E504" s="6" t="s">
        <v>34</v>
      </c>
      <c r="F504" t="s">
        <v>1632</v>
      </c>
      <c r="G504" t="s">
        <v>37</v>
      </c>
      <c r="H504" t="s">
        <v>38</v>
      </c>
      <c r="I504" t="s">
        <v>1633</v>
      </c>
      <c r="J504" t="s">
        <v>40</v>
      </c>
      <c r="K504">
        <v>2</v>
      </c>
      <c r="L504" t="s">
        <v>41</v>
      </c>
      <c r="M504" t="s">
        <v>42</v>
      </c>
      <c r="N504" t="s">
        <v>43</v>
      </c>
      <c r="O504" s="7">
        <v>1</v>
      </c>
      <c r="P504" s="8">
        <v>45270.506504629629</v>
      </c>
      <c r="Q504" s="9">
        <v>45272</v>
      </c>
      <c r="R504" t="s">
        <v>37</v>
      </c>
      <c r="S504" t="s">
        <v>44</v>
      </c>
      <c r="T504" t="s">
        <v>1601</v>
      </c>
      <c r="U504" t="s">
        <v>94</v>
      </c>
      <c r="V504" t="s">
        <v>1634</v>
      </c>
      <c r="W504">
        <v>13300</v>
      </c>
      <c r="X504" t="s">
        <v>44</v>
      </c>
      <c r="Y504" t="s">
        <v>52</v>
      </c>
      <c r="Z504" t="s">
        <v>49</v>
      </c>
      <c r="AA504" s="10">
        <f>IF(O504&lt;=1,7,7+0.8*ROUNDUP(O504-1,0))</f>
        <v>7</v>
      </c>
      <c r="AB504" s="11">
        <v>0</v>
      </c>
      <c r="AC504" s="11">
        <v>0</v>
      </c>
      <c r="AD504" s="11">
        <v>0</v>
      </c>
      <c r="AE504" s="11">
        <v>0</v>
      </c>
      <c r="AF504" s="11">
        <f t="shared" si="14"/>
        <v>0.42</v>
      </c>
      <c r="AG504" s="11">
        <f t="shared" si="15"/>
        <v>7.42</v>
      </c>
      <c r="AH504" t="s">
        <v>44</v>
      </c>
    </row>
    <row r="505" spans="1:34" ht="15" customHeight="1" x14ac:dyDescent="0.35">
      <c r="A505">
        <v>7547676</v>
      </c>
      <c r="B505">
        <v>690929</v>
      </c>
      <c r="C505" t="s">
        <v>34</v>
      </c>
      <c r="D505" t="s">
        <v>35</v>
      </c>
      <c r="E505" s="6" t="s">
        <v>34</v>
      </c>
      <c r="F505" t="s">
        <v>1635</v>
      </c>
      <c r="G505" t="s">
        <v>37</v>
      </c>
      <c r="H505" t="s">
        <v>38</v>
      </c>
      <c r="I505" t="s">
        <v>1636</v>
      </c>
      <c r="J505" t="s">
        <v>40</v>
      </c>
      <c r="K505">
        <v>2</v>
      </c>
      <c r="L505" t="s">
        <v>41</v>
      </c>
      <c r="M505" t="s">
        <v>42</v>
      </c>
      <c r="N505" t="s">
        <v>43</v>
      </c>
      <c r="O505" s="7">
        <v>1</v>
      </c>
      <c r="P505" s="8">
        <v>45270.506493055553</v>
      </c>
      <c r="Q505" s="9">
        <v>45272</v>
      </c>
      <c r="R505" t="s">
        <v>37</v>
      </c>
      <c r="S505" t="s">
        <v>44</v>
      </c>
      <c r="T505" t="s">
        <v>52</v>
      </c>
      <c r="U505" t="s">
        <v>258</v>
      </c>
      <c r="V505" t="s">
        <v>1637</v>
      </c>
      <c r="W505">
        <v>22300</v>
      </c>
      <c r="X505" t="s">
        <v>44</v>
      </c>
      <c r="Y505" t="s">
        <v>1612</v>
      </c>
      <c r="Z505" t="s">
        <v>49</v>
      </c>
      <c r="AA505" s="10">
        <f>IF(O505&lt;=1,7,7+0.8*ROUNDUP(O505-1,0))</f>
        <v>7</v>
      </c>
      <c r="AB505" s="11">
        <v>0</v>
      </c>
      <c r="AC505" s="11">
        <v>0</v>
      </c>
      <c r="AD505" s="11">
        <v>0</v>
      </c>
      <c r="AE505" s="11">
        <v>0</v>
      </c>
      <c r="AF505" s="11">
        <f t="shared" si="14"/>
        <v>0.42</v>
      </c>
      <c r="AG505" s="11">
        <f t="shared" si="15"/>
        <v>7.42</v>
      </c>
      <c r="AH505" t="s">
        <v>44</v>
      </c>
    </row>
    <row r="506" spans="1:34" ht="15" customHeight="1" x14ac:dyDescent="0.35">
      <c r="A506">
        <v>7547676</v>
      </c>
      <c r="B506">
        <v>690929</v>
      </c>
      <c r="C506" t="s">
        <v>34</v>
      </c>
      <c r="D506" t="s">
        <v>35</v>
      </c>
      <c r="E506" s="6" t="s">
        <v>34</v>
      </c>
      <c r="F506" t="s">
        <v>1638</v>
      </c>
      <c r="G506" t="s">
        <v>37</v>
      </c>
      <c r="H506" t="s">
        <v>38</v>
      </c>
      <c r="I506" t="s">
        <v>1639</v>
      </c>
      <c r="J506" t="s">
        <v>40</v>
      </c>
      <c r="K506">
        <v>2</v>
      </c>
      <c r="L506" t="s">
        <v>41</v>
      </c>
      <c r="M506" t="s">
        <v>42</v>
      </c>
      <c r="N506" t="s">
        <v>43</v>
      </c>
      <c r="O506" s="7">
        <v>4</v>
      </c>
      <c r="P506" s="8">
        <v>45270.465219907404</v>
      </c>
      <c r="Q506" s="9">
        <v>45272</v>
      </c>
      <c r="R506" t="s">
        <v>37</v>
      </c>
      <c r="S506" t="s">
        <v>44</v>
      </c>
      <c r="T506" t="s">
        <v>45</v>
      </c>
      <c r="U506" t="s">
        <v>46</v>
      </c>
      <c r="V506" t="s">
        <v>1640</v>
      </c>
      <c r="W506">
        <v>81750</v>
      </c>
      <c r="X506" t="s">
        <v>44</v>
      </c>
      <c r="Y506" t="s">
        <v>52</v>
      </c>
      <c r="Z506" t="s">
        <v>49</v>
      </c>
      <c r="AA506" s="10">
        <f>IF(O506&lt;=1,7,7+0.8*ROUNDUP(O506-1,0))</f>
        <v>9.4</v>
      </c>
      <c r="AB506" s="11">
        <v>0</v>
      </c>
      <c r="AC506" s="11">
        <v>0</v>
      </c>
      <c r="AD506" s="11">
        <v>0</v>
      </c>
      <c r="AE506" s="11">
        <v>0</v>
      </c>
      <c r="AF506" s="11">
        <f t="shared" si="14"/>
        <v>0.56399999999999995</v>
      </c>
      <c r="AG506" s="11">
        <f t="shared" si="15"/>
        <v>9.9640000000000004</v>
      </c>
      <c r="AH506" t="s">
        <v>44</v>
      </c>
    </row>
    <row r="507" spans="1:34" ht="15" customHeight="1" x14ac:dyDescent="0.35">
      <c r="A507">
        <v>7547676</v>
      </c>
      <c r="B507">
        <v>690929</v>
      </c>
      <c r="C507" t="s">
        <v>34</v>
      </c>
      <c r="D507" t="s">
        <v>35</v>
      </c>
      <c r="E507" s="6" t="s">
        <v>34</v>
      </c>
      <c r="F507" t="s">
        <v>1641</v>
      </c>
      <c r="G507" t="s">
        <v>37</v>
      </c>
      <c r="H507" t="s">
        <v>38</v>
      </c>
      <c r="I507" t="s">
        <v>1642</v>
      </c>
      <c r="J507" t="s">
        <v>40</v>
      </c>
      <c r="K507">
        <v>2</v>
      </c>
      <c r="L507" t="s">
        <v>41</v>
      </c>
      <c r="M507" t="s">
        <v>42</v>
      </c>
      <c r="N507" t="s">
        <v>43</v>
      </c>
      <c r="O507" s="7">
        <v>1</v>
      </c>
      <c r="P507" s="8">
        <v>45270.723946759259</v>
      </c>
      <c r="Q507" s="9">
        <v>45272</v>
      </c>
      <c r="R507" t="s">
        <v>37</v>
      </c>
      <c r="S507" t="s">
        <v>44</v>
      </c>
      <c r="T507" t="s">
        <v>52</v>
      </c>
      <c r="U507" t="s">
        <v>68</v>
      </c>
      <c r="V507" t="s">
        <v>1643</v>
      </c>
      <c r="W507">
        <v>40150</v>
      </c>
      <c r="X507" t="s">
        <v>44</v>
      </c>
      <c r="Y507" t="s">
        <v>602</v>
      </c>
      <c r="Z507" t="s">
        <v>49</v>
      </c>
      <c r="AA507" s="10">
        <f>IF(O507&lt;=1,7,7+0.8*ROUNDUP(O507-1,0))</f>
        <v>7</v>
      </c>
      <c r="AB507" s="11">
        <v>0</v>
      </c>
      <c r="AC507" s="11">
        <v>0</v>
      </c>
      <c r="AD507" s="11">
        <v>0</v>
      </c>
      <c r="AE507" s="11">
        <v>0</v>
      </c>
      <c r="AF507" s="11">
        <f t="shared" si="14"/>
        <v>0.42</v>
      </c>
      <c r="AG507" s="11">
        <f t="shared" si="15"/>
        <v>7.42</v>
      </c>
      <c r="AH507" t="s">
        <v>44</v>
      </c>
    </row>
    <row r="508" spans="1:34" ht="15" customHeight="1" x14ac:dyDescent="0.35">
      <c r="A508">
        <v>7547676</v>
      </c>
      <c r="B508">
        <v>690929</v>
      </c>
      <c r="C508" t="s">
        <v>34</v>
      </c>
      <c r="D508" t="s">
        <v>35</v>
      </c>
      <c r="E508" s="6" t="s">
        <v>34</v>
      </c>
      <c r="F508" t="s">
        <v>1644</v>
      </c>
      <c r="G508" t="s">
        <v>37</v>
      </c>
      <c r="H508" t="s">
        <v>38</v>
      </c>
      <c r="I508" t="s">
        <v>1645</v>
      </c>
      <c r="J508" t="s">
        <v>40</v>
      </c>
      <c r="K508">
        <v>2</v>
      </c>
      <c r="L508" t="s">
        <v>41</v>
      </c>
      <c r="M508" t="s">
        <v>42</v>
      </c>
      <c r="N508" t="s">
        <v>43</v>
      </c>
      <c r="O508" s="7">
        <v>1</v>
      </c>
      <c r="P508" s="8">
        <v>45269.768935185188</v>
      </c>
      <c r="Q508" s="9">
        <v>45272</v>
      </c>
      <c r="R508" t="s">
        <v>37</v>
      </c>
      <c r="S508" t="s">
        <v>44</v>
      </c>
      <c r="T508" t="s">
        <v>52</v>
      </c>
      <c r="U508" t="s">
        <v>68</v>
      </c>
      <c r="V508" t="s">
        <v>1646</v>
      </c>
      <c r="W508">
        <v>48020</v>
      </c>
      <c r="X508" t="s">
        <v>44</v>
      </c>
      <c r="Y508" t="s">
        <v>52</v>
      </c>
      <c r="Z508" t="s">
        <v>49</v>
      </c>
      <c r="AA508" s="10">
        <f>IF(O508&lt;=1,7,7+0.8*ROUNDUP(O508-1,0))</f>
        <v>7</v>
      </c>
      <c r="AB508" s="11">
        <v>0</v>
      </c>
      <c r="AC508" s="11">
        <v>0</v>
      </c>
      <c r="AD508" s="11">
        <v>0</v>
      </c>
      <c r="AE508" s="11">
        <v>0</v>
      </c>
      <c r="AF508" s="11">
        <f t="shared" si="14"/>
        <v>0.42</v>
      </c>
      <c r="AG508" s="11">
        <f t="shared" si="15"/>
        <v>7.42</v>
      </c>
      <c r="AH508" t="s">
        <v>44</v>
      </c>
    </row>
    <row r="509" spans="1:34" ht="15" customHeight="1" x14ac:dyDescent="0.35">
      <c r="A509">
        <v>7547676</v>
      </c>
      <c r="B509">
        <v>690929</v>
      </c>
      <c r="C509" t="s">
        <v>34</v>
      </c>
      <c r="D509" t="s">
        <v>35</v>
      </c>
      <c r="E509" s="6" t="s">
        <v>34</v>
      </c>
      <c r="F509" t="s">
        <v>1647</v>
      </c>
      <c r="G509" t="s">
        <v>37</v>
      </c>
      <c r="H509" t="s">
        <v>38</v>
      </c>
      <c r="I509" t="s">
        <v>1648</v>
      </c>
      <c r="J509" t="s">
        <v>40</v>
      </c>
      <c r="K509">
        <v>2</v>
      </c>
      <c r="L509" t="s">
        <v>41</v>
      </c>
      <c r="M509" t="s">
        <v>42</v>
      </c>
      <c r="N509" t="s">
        <v>43</v>
      </c>
      <c r="O509" s="7">
        <v>1</v>
      </c>
      <c r="P509" s="8">
        <v>45269.75273148148</v>
      </c>
      <c r="Q509" s="9">
        <v>45272</v>
      </c>
      <c r="R509" t="s">
        <v>37</v>
      </c>
      <c r="S509" t="s">
        <v>44</v>
      </c>
      <c r="T509" t="s">
        <v>52</v>
      </c>
      <c r="U509" t="s">
        <v>68</v>
      </c>
      <c r="V509" t="s">
        <v>1649</v>
      </c>
      <c r="W509">
        <v>42000</v>
      </c>
      <c r="X509" t="s">
        <v>44</v>
      </c>
      <c r="Y509" t="s">
        <v>52</v>
      </c>
      <c r="Z509" t="s">
        <v>49</v>
      </c>
      <c r="AA509" s="10">
        <f>IF(O509&lt;=1,7,7+0.8*ROUNDUP(O509-1,0))</f>
        <v>7</v>
      </c>
      <c r="AB509" s="11">
        <v>0</v>
      </c>
      <c r="AC509" s="11">
        <v>0</v>
      </c>
      <c r="AD509" s="11">
        <v>0</v>
      </c>
      <c r="AE509" s="11">
        <v>0</v>
      </c>
      <c r="AF509" s="11">
        <f t="shared" si="14"/>
        <v>0.42</v>
      </c>
      <c r="AG509" s="11">
        <f t="shared" si="15"/>
        <v>7.42</v>
      </c>
      <c r="AH509" t="s">
        <v>44</v>
      </c>
    </row>
    <row r="510" spans="1:34" ht="15" customHeight="1" x14ac:dyDescent="0.35">
      <c r="A510">
        <v>7547676</v>
      </c>
      <c r="B510">
        <v>690929</v>
      </c>
      <c r="C510" t="s">
        <v>34</v>
      </c>
      <c r="D510" t="s">
        <v>35</v>
      </c>
      <c r="E510" s="6" t="s">
        <v>34</v>
      </c>
      <c r="F510" t="s">
        <v>1650</v>
      </c>
      <c r="G510" t="s">
        <v>37</v>
      </c>
      <c r="H510" t="s">
        <v>38</v>
      </c>
      <c r="I510" t="s">
        <v>1651</v>
      </c>
      <c r="J510" t="s">
        <v>40</v>
      </c>
      <c r="K510">
        <v>2</v>
      </c>
      <c r="L510" t="s">
        <v>41</v>
      </c>
      <c r="M510" t="s">
        <v>42</v>
      </c>
      <c r="N510" t="s">
        <v>43</v>
      </c>
      <c r="O510" s="7">
        <v>1</v>
      </c>
      <c r="P510" s="8">
        <v>45271.477384259262</v>
      </c>
      <c r="Q510" s="9">
        <v>45272</v>
      </c>
      <c r="R510" t="s">
        <v>37</v>
      </c>
      <c r="S510" t="s">
        <v>44</v>
      </c>
      <c r="T510" t="s">
        <v>45</v>
      </c>
      <c r="U510" t="s">
        <v>68</v>
      </c>
      <c r="V510" t="s">
        <v>1652</v>
      </c>
      <c r="W510">
        <v>43000</v>
      </c>
      <c r="X510" t="s">
        <v>44</v>
      </c>
      <c r="Y510" t="s">
        <v>620</v>
      </c>
      <c r="Z510" t="s">
        <v>49</v>
      </c>
      <c r="AA510" s="10">
        <f>IF(O510&lt;=1,7,7+0.8*ROUNDUP(O510-1,0))</f>
        <v>7</v>
      </c>
      <c r="AB510" s="11">
        <v>0</v>
      </c>
      <c r="AC510" s="11">
        <v>0</v>
      </c>
      <c r="AD510" s="11">
        <v>0</v>
      </c>
      <c r="AE510" s="11">
        <v>0</v>
      </c>
      <c r="AF510" s="11">
        <f t="shared" si="14"/>
        <v>0.42</v>
      </c>
      <c r="AG510" s="11">
        <f t="shared" si="15"/>
        <v>7.42</v>
      </c>
      <c r="AH510" t="s">
        <v>44</v>
      </c>
    </row>
    <row r="511" spans="1:34" ht="15" customHeight="1" x14ac:dyDescent="0.35">
      <c r="A511">
        <v>7547676</v>
      </c>
      <c r="B511">
        <v>690929</v>
      </c>
      <c r="C511" t="s">
        <v>34</v>
      </c>
      <c r="D511" t="s">
        <v>35</v>
      </c>
      <c r="E511" s="6" t="s">
        <v>34</v>
      </c>
      <c r="F511" t="s">
        <v>1653</v>
      </c>
      <c r="G511" t="s">
        <v>37</v>
      </c>
      <c r="H511" t="s">
        <v>38</v>
      </c>
      <c r="I511" t="s">
        <v>1654</v>
      </c>
      <c r="J511" t="s">
        <v>40</v>
      </c>
      <c r="K511">
        <v>2</v>
      </c>
      <c r="L511" t="s">
        <v>41</v>
      </c>
      <c r="M511" t="s">
        <v>42</v>
      </c>
      <c r="N511" t="s">
        <v>43</v>
      </c>
      <c r="O511" s="7">
        <v>1</v>
      </c>
      <c r="P511" s="8">
        <v>45269.768935185188</v>
      </c>
      <c r="Q511" s="9">
        <v>45272</v>
      </c>
      <c r="R511" t="s">
        <v>37</v>
      </c>
      <c r="S511" t="s">
        <v>44</v>
      </c>
      <c r="T511" t="s">
        <v>52</v>
      </c>
      <c r="U511" t="s">
        <v>68</v>
      </c>
      <c r="V511" t="s">
        <v>1655</v>
      </c>
      <c r="W511">
        <v>43300</v>
      </c>
      <c r="X511" t="s">
        <v>44</v>
      </c>
      <c r="Y511" t="s">
        <v>620</v>
      </c>
      <c r="Z511" t="s">
        <v>49</v>
      </c>
      <c r="AA511" s="10">
        <f>IF(O511&lt;=1,7,7+0.8*ROUNDUP(O511-1,0))</f>
        <v>7</v>
      </c>
      <c r="AB511" s="11">
        <v>0</v>
      </c>
      <c r="AC511" s="11">
        <v>0</v>
      </c>
      <c r="AD511" s="11">
        <v>0</v>
      </c>
      <c r="AE511" s="11">
        <v>0</v>
      </c>
      <c r="AF511" s="11">
        <f t="shared" si="14"/>
        <v>0.42</v>
      </c>
      <c r="AG511" s="11">
        <f t="shared" si="15"/>
        <v>7.42</v>
      </c>
      <c r="AH511" t="s">
        <v>44</v>
      </c>
    </row>
    <row r="512" spans="1:34" ht="15" customHeight="1" x14ac:dyDescent="0.35">
      <c r="A512">
        <v>7547676</v>
      </c>
      <c r="B512">
        <v>690929</v>
      </c>
      <c r="C512" t="s">
        <v>34</v>
      </c>
      <c r="D512" t="s">
        <v>35</v>
      </c>
      <c r="E512" s="6" t="s">
        <v>34</v>
      </c>
      <c r="F512" t="s">
        <v>1656</v>
      </c>
      <c r="G512" t="s">
        <v>37</v>
      </c>
      <c r="H512" t="s">
        <v>38</v>
      </c>
      <c r="I512" t="s">
        <v>1657</v>
      </c>
      <c r="J512" t="s">
        <v>40</v>
      </c>
      <c r="K512">
        <v>2</v>
      </c>
      <c r="L512" t="s">
        <v>41</v>
      </c>
      <c r="M512" t="s">
        <v>42</v>
      </c>
      <c r="N512" t="s">
        <v>43</v>
      </c>
      <c r="O512" s="7">
        <v>17</v>
      </c>
      <c r="P512" s="8">
        <v>45270.618113425924</v>
      </c>
      <c r="Q512" s="9">
        <v>45272</v>
      </c>
      <c r="R512" t="s">
        <v>37</v>
      </c>
      <c r="S512" t="s">
        <v>44</v>
      </c>
      <c r="T512" t="s">
        <v>45</v>
      </c>
      <c r="U512" t="s">
        <v>68</v>
      </c>
      <c r="V512" t="s">
        <v>1658</v>
      </c>
      <c r="W512">
        <v>43300</v>
      </c>
      <c r="X512" t="s">
        <v>44</v>
      </c>
      <c r="Y512" t="s">
        <v>795</v>
      </c>
      <c r="Z512" t="s">
        <v>49</v>
      </c>
      <c r="AA512" s="10">
        <f>IF(O512&lt;=1,7,7+0.8*ROUNDUP(O512-1,0))</f>
        <v>19.8</v>
      </c>
      <c r="AB512" s="11">
        <v>0</v>
      </c>
      <c r="AC512" s="11">
        <v>0</v>
      </c>
      <c r="AD512" s="11">
        <v>0</v>
      </c>
      <c r="AE512" s="11">
        <v>0</v>
      </c>
      <c r="AF512" s="11">
        <f t="shared" si="14"/>
        <v>1.1879999999999999</v>
      </c>
      <c r="AG512" s="11">
        <f t="shared" si="15"/>
        <v>20.988</v>
      </c>
      <c r="AH512" t="s">
        <v>44</v>
      </c>
    </row>
    <row r="513" spans="1:34" ht="15" customHeight="1" x14ac:dyDescent="0.35">
      <c r="A513">
        <v>7547676</v>
      </c>
      <c r="B513">
        <v>690929</v>
      </c>
      <c r="C513" t="s">
        <v>34</v>
      </c>
      <c r="D513" t="s">
        <v>35</v>
      </c>
      <c r="E513" s="6" t="s">
        <v>34</v>
      </c>
      <c r="F513" t="s">
        <v>1659</v>
      </c>
      <c r="G513" t="s">
        <v>37</v>
      </c>
      <c r="H513" t="s">
        <v>38</v>
      </c>
      <c r="I513" t="s">
        <v>1660</v>
      </c>
      <c r="J513" t="s">
        <v>40</v>
      </c>
      <c r="K513">
        <v>2</v>
      </c>
      <c r="L513" t="s">
        <v>41</v>
      </c>
      <c r="M513" t="s">
        <v>42</v>
      </c>
      <c r="N513" t="s">
        <v>43</v>
      </c>
      <c r="O513" s="7">
        <v>1</v>
      </c>
      <c r="P513" s="8">
        <v>45270.506493055553</v>
      </c>
      <c r="Q513" s="9">
        <v>45272</v>
      </c>
      <c r="R513" t="s">
        <v>37</v>
      </c>
      <c r="S513" t="s">
        <v>44</v>
      </c>
      <c r="T513" t="s">
        <v>1601</v>
      </c>
      <c r="U513" t="s">
        <v>159</v>
      </c>
      <c r="V513" t="s">
        <v>1661</v>
      </c>
      <c r="W513">
        <v>31400</v>
      </c>
      <c r="X513" t="s">
        <v>44</v>
      </c>
      <c r="Y513" t="s">
        <v>52</v>
      </c>
      <c r="Z513" t="s">
        <v>49</v>
      </c>
      <c r="AA513" s="10">
        <f>IF(O513&lt;=1,7,7+0.8*ROUNDUP(O513-1,0))</f>
        <v>7</v>
      </c>
      <c r="AB513" s="11">
        <v>0</v>
      </c>
      <c r="AC513" s="11">
        <v>0</v>
      </c>
      <c r="AD513" s="11">
        <v>0</v>
      </c>
      <c r="AE513" s="11">
        <v>0</v>
      </c>
      <c r="AF513" s="11">
        <f t="shared" si="14"/>
        <v>0.42</v>
      </c>
      <c r="AG513" s="11">
        <f t="shared" si="15"/>
        <v>7.42</v>
      </c>
      <c r="AH513" t="s">
        <v>44</v>
      </c>
    </row>
    <row r="514" spans="1:34" ht="15" customHeight="1" x14ac:dyDescent="0.35">
      <c r="A514">
        <v>7547676</v>
      </c>
      <c r="B514">
        <v>690929</v>
      </c>
      <c r="C514" t="s">
        <v>34</v>
      </c>
      <c r="D514" t="s">
        <v>35</v>
      </c>
      <c r="E514" s="6" t="s">
        <v>34</v>
      </c>
      <c r="F514" t="s">
        <v>1662</v>
      </c>
      <c r="G514" t="s">
        <v>37</v>
      </c>
      <c r="H514" t="s">
        <v>38</v>
      </c>
      <c r="I514" t="s">
        <v>1663</v>
      </c>
      <c r="J514" t="s">
        <v>40</v>
      </c>
      <c r="K514">
        <v>2</v>
      </c>
      <c r="L514" t="s">
        <v>41</v>
      </c>
      <c r="M514" t="s">
        <v>42</v>
      </c>
      <c r="N514" t="s">
        <v>43</v>
      </c>
      <c r="O514" s="7">
        <v>1</v>
      </c>
      <c r="P514" s="8">
        <v>45269.677939814814</v>
      </c>
      <c r="Q514" s="9">
        <v>45272</v>
      </c>
      <c r="R514" t="s">
        <v>37</v>
      </c>
      <c r="S514" t="s">
        <v>44</v>
      </c>
      <c r="T514" t="s">
        <v>52</v>
      </c>
      <c r="U514" t="s">
        <v>68</v>
      </c>
      <c r="V514" t="s">
        <v>1664</v>
      </c>
      <c r="W514">
        <v>43300</v>
      </c>
      <c r="X514" t="s">
        <v>44</v>
      </c>
      <c r="Y514" t="s">
        <v>1665</v>
      </c>
      <c r="Z514" t="s">
        <v>49</v>
      </c>
      <c r="AA514" s="10">
        <f>IF(O514&lt;=1,7,7+0.8*ROUNDUP(O514-1,0))</f>
        <v>7</v>
      </c>
      <c r="AB514" s="11">
        <v>0</v>
      </c>
      <c r="AC514" s="11">
        <v>0</v>
      </c>
      <c r="AD514" s="11">
        <v>0</v>
      </c>
      <c r="AE514" s="11">
        <v>0</v>
      </c>
      <c r="AF514" s="11">
        <f t="shared" ref="AF514:AF577" si="16">(AA514+AC514+AE514)*6%</f>
        <v>0.42</v>
      </c>
      <c r="AG514" s="11">
        <f t="shared" ref="AG514:AG577" si="17">AA514+AC514+AE514+AF514</f>
        <v>7.42</v>
      </c>
      <c r="AH514" t="s">
        <v>44</v>
      </c>
    </row>
    <row r="515" spans="1:34" ht="15" customHeight="1" x14ac:dyDescent="0.35">
      <c r="A515">
        <v>7547676</v>
      </c>
      <c r="B515">
        <v>690929</v>
      </c>
      <c r="C515" t="s">
        <v>34</v>
      </c>
      <c r="D515" t="s">
        <v>35</v>
      </c>
      <c r="E515" s="6" t="s">
        <v>34</v>
      </c>
      <c r="F515" t="s">
        <v>1666</v>
      </c>
      <c r="G515" t="s">
        <v>37</v>
      </c>
      <c r="H515" t="s">
        <v>38</v>
      </c>
      <c r="I515" t="s">
        <v>1667</v>
      </c>
      <c r="J515" t="s">
        <v>40</v>
      </c>
      <c r="K515">
        <v>2</v>
      </c>
      <c r="L515" t="s">
        <v>41</v>
      </c>
      <c r="M515" t="s">
        <v>42</v>
      </c>
      <c r="N515" t="s">
        <v>43</v>
      </c>
      <c r="O515" s="7">
        <v>1</v>
      </c>
      <c r="P515" s="8">
        <v>45271.664166666669</v>
      </c>
      <c r="Q515" s="9">
        <v>45272</v>
      </c>
      <c r="R515" t="s">
        <v>37</v>
      </c>
      <c r="S515" t="s">
        <v>44</v>
      </c>
      <c r="T515" t="s">
        <v>45</v>
      </c>
      <c r="U515" t="s">
        <v>68</v>
      </c>
      <c r="V515" t="s">
        <v>1668</v>
      </c>
      <c r="W515">
        <v>62602</v>
      </c>
      <c r="X515" t="s">
        <v>44</v>
      </c>
      <c r="Y515" t="s">
        <v>52</v>
      </c>
      <c r="Z515" t="s">
        <v>49</v>
      </c>
      <c r="AA515" s="10">
        <f>IF(O515&lt;=1,7,7+0.8*ROUNDUP(O515-1,0))</f>
        <v>7</v>
      </c>
      <c r="AB515" s="11">
        <v>0</v>
      </c>
      <c r="AC515" s="11">
        <v>0</v>
      </c>
      <c r="AD515" s="11">
        <v>0</v>
      </c>
      <c r="AE515" s="11">
        <v>0</v>
      </c>
      <c r="AF515" s="11">
        <f t="shared" si="16"/>
        <v>0.42</v>
      </c>
      <c r="AG515" s="11">
        <f t="shared" si="17"/>
        <v>7.42</v>
      </c>
      <c r="AH515" t="s">
        <v>44</v>
      </c>
    </row>
    <row r="516" spans="1:34" ht="15" customHeight="1" x14ac:dyDescent="0.35">
      <c r="A516">
        <v>7547676</v>
      </c>
      <c r="B516">
        <v>690929</v>
      </c>
      <c r="C516" t="s">
        <v>34</v>
      </c>
      <c r="D516" t="s">
        <v>35</v>
      </c>
      <c r="E516" s="6" t="s">
        <v>34</v>
      </c>
      <c r="F516" t="s">
        <v>1669</v>
      </c>
      <c r="G516" t="s">
        <v>37</v>
      </c>
      <c r="H516" t="s">
        <v>38</v>
      </c>
      <c r="I516" t="s">
        <v>1670</v>
      </c>
      <c r="J516" t="s">
        <v>40</v>
      </c>
      <c r="K516">
        <v>2</v>
      </c>
      <c r="L516" t="s">
        <v>41</v>
      </c>
      <c r="M516" t="s">
        <v>42</v>
      </c>
      <c r="N516" t="s">
        <v>43</v>
      </c>
      <c r="O516" s="7">
        <v>2</v>
      </c>
      <c r="P516" s="8">
        <v>45270.732777777775</v>
      </c>
      <c r="Q516" s="9">
        <v>45272</v>
      </c>
      <c r="R516" t="s">
        <v>37</v>
      </c>
      <c r="S516" t="s">
        <v>44</v>
      </c>
      <c r="T516" t="s">
        <v>52</v>
      </c>
      <c r="U516" t="s">
        <v>68</v>
      </c>
      <c r="V516" t="s">
        <v>1671</v>
      </c>
      <c r="W516">
        <v>47810</v>
      </c>
      <c r="X516" t="s">
        <v>44</v>
      </c>
      <c r="Y516" t="s">
        <v>398</v>
      </c>
      <c r="Z516" t="s">
        <v>49</v>
      </c>
      <c r="AA516" s="10">
        <f>IF(O516&lt;=1,7,7+0.8*ROUNDUP(O516-1,0))</f>
        <v>7.8</v>
      </c>
      <c r="AB516" s="11">
        <v>0</v>
      </c>
      <c r="AC516" s="11">
        <v>0</v>
      </c>
      <c r="AD516" s="11">
        <v>0</v>
      </c>
      <c r="AE516" s="11">
        <v>0</v>
      </c>
      <c r="AF516" s="11">
        <f t="shared" si="16"/>
        <v>0.46799999999999997</v>
      </c>
      <c r="AG516" s="11">
        <f t="shared" si="17"/>
        <v>8.2680000000000007</v>
      </c>
      <c r="AH516" t="s">
        <v>44</v>
      </c>
    </row>
    <row r="517" spans="1:34" ht="15" customHeight="1" x14ac:dyDescent="0.35">
      <c r="A517">
        <v>7547676</v>
      </c>
      <c r="B517">
        <v>690929</v>
      </c>
      <c r="C517" t="s">
        <v>34</v>
      </c>
      <c r="D517" t="s">
        <v>35</v>
      </c>
      <c r="E517" s="6" t="s">
        <v>34</v>
      </c>
      <c r="F517" t="s">
        <v>1672</v>
      </c>
      <c r="G517" t="s">
        <v>37</v>
      </c>
      <c r="H517" t="s">
        <v>38</v>
      </c>
      <c r="I517" t="s">
        <v>1673</v>
      </c>
      <c r="J517" t="s">
        <v>40</v>
      </c>
      <c r="K517">
        <v>2</v>
      </c>
      <c r="L517" t="s">
        <v>41</v>
      </c>
      <c r="M517" t="s">
        <v>42</v>
      </c>
      <c r="N517" t="s">
        <v>43</v>
      </c>
      <c r="O517" s="7">
        <v>2</v>
      </c>
      <c r="P517" s="8">
        <v>45270.732777777775</v>
      </c>
      <c r="Q517" s="9">
        <v>45272</v>
      </c>
      <c r="R517" t="s">
        <v>37</v>
      </c>
      <c r="S517" t="s">
        <v>44</v>
      </c>
      <c r="T517" t="s">
        <v>52</v>
      </c>
      <c r="U517" t="s">
        <v>68</v>
      </c>
      <c r="V517" t="s">
        <v>1674</v>
      </c>
      <c r="W517">
        <v>68100</v>
      </c>
      <c r="X517" t="s">
        <v>44</v>
      </c>
      <c r="Y517" t="s">
        <v>494</v>
      </c>
      <c r="Z517" t="s">
        <v>49</v>
      </c>
      <c r="AA517" s="10">
        <f>IF(O517&lt;=1,7,7+0.8*ROUNDUP(O517-1,0))</f>
        <v>7.8</v>
      </c>
      <c r="AB517" s="11">
        <v>0</v>
      </c>
      <c r="AC517" s="11">
        <v>0</v>
      </c>
      <c r="AD517" s="11">
        <v>0</v>
      </c>
      <c r="AE517" s="11">
        <v>0</v>
      </c>
      <c r="AF517" s="11">
        <f t="shared" si="16"/>
        <v>0.46799999999999997</v>
      </c>
      <c r="AG517" s="11">
        <f t="shared" si="17"/>
        <v>8.2680000000000007</v>
      </c>
      <c r="AH517" t="s">
        <v>44</v>
      </c>
    </row>
    <row r="518" spans="1:34" ht="15" customHeight="1" x14ac:dyDescent="0.35">
      <c r="A518">
        <v>7547676</v>
      </c>
      <c r="B518">
        <v>690929</v>
      </c>
      <c r="C518" t="s">
        <v>34</v>
      </c>
      <c r="D518" t="s">
        <v>35</v>
      </c>
      <c r="E518" s="6" t="s">
        <v>34</v>
      </c>
      <c r="F518" t="s">
        <v>1675</v>
      </c>
      <c r="G518" t="s">
        <v>37</v>
      </c>
      <c r="H518" t="s">
        <v>38</v>
      </c>
      <c r="I518" t="s">
        <v>1676</v>
      </c>
      <c r="J518" t="s">
        <v>40</v>
      </c>
      <c r="K518">
        <v>2</v>
      </c>
      <c r="L518" t="s">
        <v>41</v>
      </c>
      <c r="M518" t="s">
        <v>42</v>
      </c>
      <c r="N518" t="s">
        <v>43</v>
      </c>
      <c r="O518" s="7">
        <v>2</v>
      </c>
      <c r="P518" s="8">
        <v>45270.506493055553</v>
      </c>
      <c r="Q518" s="9">
        <v>45272</v>
      </c>
      <c r="R518" t="s">
        <v>37</v>
      </c>
      <c r="S518" t="s">
        <v>44</v>
      </c>
      <c r="T518" t="s">
        <v>52</v>
      </c>
      <c r="U518" t="s">
        <v>115</v>
      </c>
      <c r="V518" t="s">
        <v>1677</v>
      </c>
      <c r="W518">
        <v>17060</v>
      </c>
      <c r="X518" t="s">
        <v>44</v>
      </c>
      <c r="Y518" t="s">
        <v>52</v>
      </c>
      <c r="Z518" t="s">
        <v>49</v>
      </c>
      <c r="AA518" s="10">
        <f>IF(O518&lt;=1,7,7+0.8*ROUNDUP(O518-1,0))</f>
        <v>7.8</v>
      </c>
      <c r="AB518" s="11">
        <v>0</v>
      </c>
      <c r="AC518" s="11">
        <v>0</v>
      </c>
      <c r="AD518" s="11">
        <v>0</v>
      </c>
      <c r="AE518" s="11">
        <v>0</v>
      </c>
      <c r="AF518" s="11">
        <f t="shared" si="16"/>
        <v>0.46799999999999997</v>
      </c>
      <c r="AG518" s="11">
        <f t="shared" si="17"/>
        <v>8.2680000000000007</v>
      </c>
      <c r="AH518" t="s">
        <v>44</v>
      </c>
    </row>
    <row r="519" spans="1:34" ht="15" customHeight="1" x14ac:dyDescent="0.35">
      <c r="A519">
        <v>7547676</v>
      </c>
      <c r="B519">
        <v>690929</v>
      </c>
      <c r="C519" t="s">
        <v>34</v>
      </c>
      <c r="D519" t="s">
        <v>35</v>
      </c>
      <c r="E519" s="6" t="s">
        <v>34</v>
      </c>
      <c r="F519" t="s">
        <v>1678</v>
      </c>
      <c r="G519" t="s">
        <v>37</v>
      </c>
      <c r="H519" t="s">
        <v>38</v>
      </c>
      <c r="I519" t="s">
        <v>1679</v>
      </c>
      <c r="J519" t="s">
        <v>40</v>
      </c>
      <c r="K519">
        <v>2</v>
      </c>
      <c r="L519" t="s">
        <v>41</v>
      </c>
      <c r="M519" t="s">
        <v>42</v>
      </c>
      <c r="N519" t="s">
        <v>43</v>
      </c>
      <c r="O519" s="7">
        <v>1</v>
      </c>
      <c r="P519" s="8">
        <v>45270.858726851853</v>
      </c>
      <c r="Q519" s="9">
        <v>45273</v>
      </c>
      <c r="R519" t="s">
        <v>37</v>
      </c>
      <c r="S519" t="s">
        <v>44</v>
      </c>
      <c r="T519" t="s">
        <v>45</v>
      </c>
      <c r="U519" t="s">
        <v>58</v>
      </c>
      <c r="V519" t="s">
        <v>1680</v>
      </c>
      <c r="W519">
        <v>9400</v>
      </c>
      <c r="X519" t="s">
        <v>44</v>
      </c>
      <c r="Y519" t="s">
        <v>937</v>
      </c>
      <c r="Z519" t="s">
        <v>49</v>
      </c>
      <c r="AA519" s="10">
        <f>IF(O519&lt;=1,7,7+0.8*ROUNDUP(O519-1,0))</f>
        <v>7</v>
      </c>
      <c r="AB519" s="11">
        <v>0</v>
      </c>
      <c r="AC519" s="11">
        <v>0</v>
      </c>
      <c r="AD519" s="11">
        <v>0</v>
      </c>
      <c r="AE519" s="11">
        <v>0</v>
      </c>
      <c r="AF519" s="11">
        <f t="shared" si="16"/>
        <v>0.42</v>
      </c>
      <c r="AG519" s="11">
        <f t="shared" si="17"/>
        <v>7.42</v>
      </c>
      <c r="AH519" t="s">
        <v>44</v>
      </c>
    </row>
    <row r="520" spans="1:34" ht="15" customHeight="1" x14ac:dyDescent="0.35">
      <c r="A520">
        <v>7547676</v>
      </c>
      <c r="B520">
        <v>690929</v>
      </c>
      <c r="C520" t="s">
        <v>34</v>
      </c>
      <c r="D520" t="s">
        <v>35</v>
      </c>
      <c r="E520" s="6" t="s">
        <v>34</v>
      </c>
      <c r="F520" t="s">
        <v>1681</v>
      </c>
      <c r="G520" t="s">
        <v>37</v>
      </c>
      <c r="H520" t="s">
        <v>38</v>
      </c>
      <c r="I520" t="s">
        <v>1682</v>
      </c>
      <c r="J520" t="s">
        <v>40</v>
      </c>
      <c r="K520">
        <v>2</v>
      </c>
      <c r="L520" t="s">
        <v>41</v>
      </c>
      <c r="M520" t="s">
        <v>42</v>
      </c>
      <c r="N520" t="s">
        <v>43</v>
      </c>
      <c r="O520" s="7">
        <v>1</v>
      </c>
      <c r="P520" s="8">
        <v>45271.730185185188</v>
      </c>
      <c r="Q520" s="9">
        <v>45273</v>
      </c>
      <c r="R520" t="s">
        <v>37</v>
      </c>
      <c r="S520" t="s">
        <v>44</v>
      </c>
      <c r="T520" t="s">
        <v>52</v>
      </c>
      <c r="U520" t="s">
        <v>68</v>
      </c>
      <c r="V520" t="s">
        <v>1683</v>
      </c>
      <c r="W520">
        <v>46000</v>
      </c>
      <c r="X520" t="s">
        <v>44</v>
      </c>
      <c r="Y520" t="s">
        <v>511</v>
      </c>
      <c r="Z520" t="s">
        <v>49</v>
      </c>
      <c r="AA520" s="10">
        <f>IF(O520&lt;=1,7,7+0.8*ROUNDUP(O520-1,0))</f>
        <v>7</v>
      </c>
      <c r="AB520" s="11">
        <v>0</v>
      </c>
      <c r="AC520" s="11">
        <v>0</v>
      </c>
      <c r="AD520" s="11">
        <v>0</v>
      </c>
      <c r="AE520" s="11">
        <v>0</v>
      </c>
      <c r="AF520" s="11">
        <f t="shared" si="16"/>
        <v>0.42</v>
      </c>
      <c r="AG520" s="11">
        <f t="shared" si="17"/>
        <v>7.42</v>
      </c>
      <c r="AH520" t="s">
        <v>44</v>
      </c>
    </row>
    <row r="521" spans="1:34" ht="15" customHeight="1" x14ac:dyDescent="0.35">
      <c r="A521">
        <v>7547676</v>
      </c>
      <c r="B521">
        <v>690929</v>
      </c>
      <c r="C521" t="s">
        <v>34</v>
      </c>
      <c r="D521" t="s">
        <v>35</v>
      </c>
      <c r="E521" s="6" t="s">
        <v>34</v>
      </c>
      <c r="F521" t="s">
        <v>1684</v>
      </c>
      <c r="G521" t="s">
        <v>37</v>
      </c>
      <c r="H521" t="s">
        <v>38</v>
      </c>
      <c r="I521" t="s">
        <v>1685</v>
      </c>
      <c r="J521" t="s">
        <v>40</v>
      </c>
      <c r="K521">
        <v>2</v>
      </c>
      <c r="L521" t="s">
        <v>41</v>
      </c>
      <c r="M521" t="s">
        <v>42</v>
      </c>
      <c r="N521" t="s">
        <v>43</v>
      </c>
      <c r="O521" s="7">
        <v>1</v>
      </c>
      <c r="P521" s="8">
        <v>45271.781261574077</v>
      </c>
      <c r="Q521" s="9">
        <v>45273</v>
      </c>
      <c r="R521" t="s">
        <v>37</v>
      </c>
      <c r="S521" t="s">
        <v>44</v>
      </c>
      <c r="T521" t="s">
        <v>45</v>
      </c>
      <c r="U521" t="s">
        <v>68</v>
      </c>
      <c r="V521" t="s">
        <v>1686</v>
      </c>
      <c r="W521">
        <v>47120</v>
      </c>
      <c r="X521" t="s">
        <v>44</v>
      </c>
      <c r="Y521" t="s">
        <v>1054</v>
      </c>
      <c r="Z521" t="s">
        <v>49</v>
      </c>
      <c r="AA521" s="10">
        <f>IF(O521&lt;=1,7,7+0.8*ROUNDUP(O521-1,0))</f>
        <v>7</v>
      </c>
      <c r="AB521" s="11">
        <v>0</v>
      </c>
      <c r="AC521" s="11">
        <v>0</v>
      </c>
      <c r="AD521" s="11">
        <v>0</v>
      </c>
      <c r="AE521" s="11">
        <v>0</v>
      </c>
      <c r="AF521" s="11">
        <f t="shared" si="16"/>
        <v>0.42</v>
      </c>
      <c r="AG521" s="11">
        <f t="shared" si="17"/>
        <v>7.42</v>
      </c>
      <c r="AH521" t="s">
        <v>44</v>
      </c>
    </row>
    <row r="522" spans="1:34" ht="15" customHeight="1" x14ac:dyDescent="0.35">
      <c r="A522">
        <v>7547676</v>
      </c>
      <c r="B522">
        <v>690929</v>
      </c>
      <c r="C522" t="s">
        <v>34</v>
      </c>
      <c r="D522" t="s">
        <v>35</v>
      </c>
      <c r="E522" s="6" t="s">
        <v>34</v>
      </c>
      <c r="F522" t="s">
        <v>1687</v>
      </c>
      <c r="G522" t="s">
        <v>37</v>
      </c>
      <c r="H522" t="s">
        <v>38</v>
      </c>
      <c r="I522" t="s">
        <v>1688</v>
      </c>
      <c r="J522" t="s">
        <v>40</v>
      </c>
      <c r="K522">
        <v>2</v>
      </c>
      <c r="L522" t="s">
        <v>41</v>
      </c>
      <c r="M522" t="s">
        <v>42</v>
      </c>
      <c r="N522" t="s">
        <v>43</v>
      </c>
      <c r="O522" s="7">
        <v>1</v>
      </c>
      <c r="P522" s="8">
        <v>45271.789479166669</v>
      </c>
      <c r="Q522" s="9">
        <v>45273</v>
      </c>
      <c r="R522" t="s">
        <v>37</v>
      </c>
      <c r="S522" t="s">
        <v>44</v>
      </c>
      <c r="T522" t="s">
        <v>45</v>
      </c>
      <c r="U522" t="s">
        <v>77</v>
      </c>
      <c r="V522" t="s">
        <v>1689</v>
      </c>
      <c r="W522">
        <v>25200</v>
      </c>
      <c r="X522" t="s">
        <v>44</v>
      </c>
      <c r="Y522" t="s">
        <v>45</v>
      </c>
      <c r="Z522" t="s">
        <v>49</v>
      </c>
      <c r="AA522" s="10">
        <f>IF(O522&lt;=1,7,7+0.8*ROUNDUP(O522-1,0))</f>
        <v>7</v>
      </c>
      <c r="AB522" s="11">
        <v>0</v>
      </c>
      <c r="AC522" s="11">
        <v>0</v>
      </c>
      <c r="AD522" s="11">
        <v>0</v>
      </c>
      <c r="AE522" s="11">
        <v>0</v>
      </c>
      <c r="AF522" s="11">
        <f t="shared" si="16"/>
        <v>0.42</v>
      </c>
      <c r="AG522" s="11">
        <f t="shared" si="17"/>
        <v>7.42</v>
      </c>
      <c r="AH522" t="s">
        <v>44</v>
      </c>
    </row>
    <row r="523" spans="1:34" ht="15" customHeight="1" x14ac:dyDescent="0.35">
      <c r="A523">
        <v>7547676</v>
      </c>
      <c r="B523">
        <v>690929</v>
      </c>
      <c r="C523" t="s">
        <v>34</v>
      </c>
      <c r="D523" t="s">
        <v>35</v>
      </c>
      <c r="E523" s="6" t="s">
        <v>34</v>
      </c>
      <c r="F523" t="s">
        <v>1690</v>
      </c>
      <c r="G523" t="s">
        <v>37</v>
      </c>
      <c r="H523" t="s">
        <v>38</v>
      </c>
      <c r="I523" t="s">
        <v>1691</v>
      </c>
      <c r="J523" t="s">
        <v>40</v>
      </c>
      <c r="K523">
        <v>2</v>
      </c>
      <c r="L523" t="s">
        <v>41</v>
      </c>
      <c r="M523" t="s">
        <v>42</v>
      </c>
      <c r="N523" t="s">
        <v>43</v>
      </c>
      <c r="O523" s="7">
        <v>1</v>
      </c>
      <c r="P523" s="8">
        <v>45271.789479166669</v>
      </c>
      <c r="Q523" s="9">
        <v>45273</v>
      </c>
      <c r="R523" t="s">
        <v>37</v>
      </c>
      <c r="S523" t="s">
        <v>44</v>
      </c>
      <c r="T523" t="s">
        <v>45</v>
      </c>
      <c r="U523" t="s">
        <v>115</v>
      </c>
      <c r="V523" t="s">
        <v>1692</v>
      </c>
      <c r="W523">
        <v>16400</v>
      </c>
      <c r="X523" t="s">
        <v>44</v>
      </c>
      <c r="Y523" t="s">
        <v>76</v>
      </c>
      <c r="Z523" t="s">
        <v>49</v>
      </c>
      <c r="AA523" s="10">
        <f>IF(O523&lt;=1,7,7+0.8*ROUNDUP(O523-1,0))</f>
        <v>7</v>
      </c>
      <c r="AB523" s="11">
        <v>0</v>
      </c>
      <c r="AC523" s="11">
        <v>0</v>
      </c>
      <c r="AD523" s="11">
        <v>0</v>
      </c>
      <c r="AE523" s="11">
        <v>0</v>
      </c>
      <c r="AF523" s="11">
        <f t="shared" si="16"/>
        <v>0.42</v>
      </c>
      <c r="AG523" s="11">
        <f t="shared" si="17"/>
        <v>7.42</v>
      </c>
      <c r="AH523" t="s">
        <v>44</v>
      </c>
    </row>
    <row r="524" spans="1:34" ht="15" customHeight="1" x14ac:dyDescent="0.35">
      <c r="A524">
        <v>7547676</v>
      </c>
      <c r="B524">
        <v>690929</v>
      </c>
      <c r="C524" t="s">
        <v>34</v>
      </c>
      <c r="D524" t="s">
        <v>35</v>
      </c>
      <c r="E524" s="6" t="s">
        <v>34</v>
      </c>
      <c r="F524" t="s">
        <v>1693</v>
      </c>
      <c r="G524" t="s">
        <v>37</v>
      </c>
      <c r="H524" t="s">
        <v>38</v>
      </c>
      <c r="I524" t="s">
        <v>1694</v>
      </c>
      <c r="J524" t="s">
        <v>40</v>
      </c>
      <c r="K524">
        <v>2</v>
      </c>
      <c r="L524" t="s">
        <v>41</v>
      </c>
      <c r="M524" t="s">
        <v>42</v>
      </c>
      <c r="N524" t="s">
        <v>43</v>
      </c>
      <c r="O524" s="7">
        <v>2</v>
      </c>
      <c r="P524" s="8">
        <v>45272.713530092595</v>
      </c>
      <c r="Q524" s="9">
        <v>45273</v>
      </c>
      <c r="R524" t="s">
        <v>37</v>
      </c>
      <c r="S524" t="s">
        <v>44</v>
      </c>
      <c r="T524" t="s">
        <v>45</v>
      </c>
      <c r="U524" t="s">
        <v>258</v>
      </c>
      <c r="V524" t="s">
        <v>1695</v>
      </c>
      <c r="W524">
        <v>21400</v>
      </c>
      <c r="X524" t="s">
        <v>44</v>
      </c>
      <c r="Y524" t="s">
        <v>260</v>
      </c>
      <c r="Z524" t="s">
        <v>49</v>
      </c>
      <c r="AA524" s="10">
        <f>IF(O524&lt;=1,7,7+0.8*ROUNDUP(O524-1,0))</f>
        <v>7.8</v>
      </c>
      <c r="AB524" s="11">
        <v>0</v>
      </c>
      <c r="AC524" s="11">
        <v>0</v>
      </c>
      <c r="AD524" s="11">
        <v>0</v>
      </c>
      <c r="AE524" s="11">
        <v>0</v>
      </c>
      <c r="AF524" s="11">
        <f t="shared" si="16"/>
        <v>0.46799999999999997</v>
      </c>
      <c r="AG524" s="11">
        <f t="shared" si="17"/>
        <v>8.2680000000000007</v>
      </c>
      <c r="AH524" t="s">
        <v>44</v>
      </c>
    </row>
    <row r="525" spans="1:34" ht="15" customHeight="1" x14ac:dyDescent="0.35">
      <c r="A525">
        <v>7547676</v>
      </c>
      <c r="B525">
        <v>690929</v>
      </c>
      <c r="C525" t="s">
        <v>34</v>
      </c>
      <c r="D525" t="s">
        <v>35</v>
      </c>
      <c r="E525" s="6" t="s">
        <v>34</v>
      </c>
      <c r="F525" t="s">
        <v>1696</v>
      </c>
      <c r="G525" t="s">
        <v>37</v>
      </c>
      <c r="H525" t="s">
        <v>38</v>
      </c>
      <c r="I525" t="s">
        <v>314</v>
      </c>
      <c r="J525" t="s">
        <v>40</v>
      </c>
      <c r="K525">
        <v>2</v>
      </c>
      <c r="L525" t="s">
        <v>41</v>
      </c>
      <c r="M525" t="s">
        <v>42</v>
      </c>
      <c r="N525" t="s">
        <v>43</v>
      </c>
      <c r="O525" s="7">
        <v>1</v>
      </c>
      <c r="P525" s="8">
        <v>45272.626238425924</v>
      </c>
      <c r="Q525" s="9">
        <v>45273</v>
      </c>
      <c r="R525" t="s">
        <v>37</v>
      </c>
      <c r="S525" t="s">
        <v>44</v>
      </c>
      <c r="T525" t="s">
        <v>52</v>
      </c>
      <c r="U525" t="s">
        <v>68</v>
      </c>
      <c r="V525" t="s">
        <v>315</v>
      </c>
      <c r="W525">
        <v>40000</v>
      </c>
      <c r="X525" t="s">
        <v>44</v>
      </c>
      <c r="Y525" t="s">
        <v>52</v>
      </c>
      <c r="Z525" t="s">
        <v>49</v>
      </c>
      <c r="AA525" s="10">
        <f>IF(O525&lt;=1,7,7+0.8*ROUNDUP(O525-1,0))</f>
        <v>7</v>
      </c>
      <c r="AB525" s="11">
        <v>0</v>
      </c>
      <c r="AC525" s="11">
        <v>0</v>
      </c>
      <c r="AD525" s="11">
        <v>0</v>
      </c>
      <c r="AE525" s="11">
        <v>0</v>
      </c>
      <c r="AF525" s="11">
        <f t="shared" si="16"/>
        <v>0.42</v>
      </c>
      <c r="AG525" s="11">
        <f t="shared" si="17"/>
        <v>7.42</v>
      </c>
      <c r="AH525" t="s">
        <v>44</v>
      </c>
    </row>
    <row r="526" spans="1:34" ht="15" customHeight="1" x14ac:dyDescent="0.35">
      <c r="A526">
        <v>7547676</v>
      </c>
      <c r="B526">
        <v>690929</v>
      </c>
      <c r="C526" t="s">
        <v>34</v>
      </c>
      <c r="D526" t="s">
        <v>35</v>
      </c>
      <c r="E526" s="6" t="s">
        <v>34</v>
      </c>
      <c r="F526" t="s">
        <v>1697</v>
      </c>
      <c r="G526" t="s">
        <v>37</v>
      </c>
      <c r="H526" t="s">
        <v>38</v>
      </c>
      <c r="I526" t="s">
        <v>1698</v>
      </c>
      <c r="J526" t="s">
        <v>40</v>
      </c>
      <c r="K526">
        <v>2</v>
      </c>
      <c r="L526" t="s">
        <v>41</v>
      </c>
      <c r="M526" t="s">
        <v>42</v>
      </c>
      <c r="N526" t="s">
        <v>43</v>
      </c>
      <c r="O526" s="7">
        <v>3</v>
      </c>
      <c r="P526" s="8">
        <v>45271.840046296296</v>
      </c>
      <c r="Q526" s="9">
        <v>45273</v>
      </c>
      <c r="R526" t="s">
        <v>37</v>
      </c>
      <c r="S526" t="s">
        <v>44</v>
      </c>
      <c r="T526" t="s">
        <v>45</v>
      </c>
      <c r="U526" t="s">
        <v>68</v>
      </c>
      <c r="V526" t="s">
        <v>1699</v>
      </c>
      <c r="W526">
        <v>42700</v>
      </c>
      <c r="X526" t="s">
        <v>44</v>
      </c>
      <c r="Y526" t="s">
        <v>833</v>
      </c>
      <c r="Z526" t="s">
        <v>49</v>
      </c>
      <c r="AA526" s="10">
        <f>IF(O526&lt;=1,7,7+0.8*ROUNDUP(O526-1,0))</f>
        <v>8.6</v>
      </c>
      <c r="AB526" s="11">
        <v>0</v>
      </c>
      <c r="AC526" s="11">
        <v>0</v>
      </c>
      <c r="AD526" s="11">
        <v>0</v>
      </c>
      <c r="AE526" s="11">
        <v>0</v>
      </c>
      <c r="AF526" s="11">
        <f t="shared" si="16"/>
        <v>0.51600000000000001</v>
      </c>
      <c r="AG526" s="11">
        <f t="shared" si="17"/>
        <v>9.1159999999999997</v>
      </c>
      <c r="AH526" t="s">
        <v>44</v>
      </c>
    </row>
    <row r="527" spans="1:34" ht="15" customHeight="1" x14ac:dyDescent="0.35">
      <c r="A527">
        <v>7547676</v>
      </c>
      <c r="B527">
        <v>690929</v>
      </c>
      <c r="C527" t="s">
        <v>34</v>
      </c>
      <c r="D527" t="s">
        <v>35</v>
      </c>
      <c r="E527" s="6" t="s">
        <v>34</v>
      </c>
      <c r="F527" t="s">
        <v>1700</v>
      </c>
      <c r="G527" t="s">
        <v>37</v>
      </c>
      <c r="H527" t="s">
        <v>38</v>
      </c>
      <c r="I527" t="s">
        <v>1701</v>
      </c>
      <c r="J527" t="s">
        <v>40</v>
      </c>
      <c r="K527">
        <v>2</v>
      </c>
      <c r="L527" t="s">
        <v>41</v>
      </c>
      <c r="M527" t="s">
        <v>42</v>
      </c>
      <c r="N527" t="s">
        <v>43</v>
      </c>
      <c r="O527" s="7">
        <v>1</v>
      </c>
      <c r="P527" s="8">
        <v>45271.543854166666</v>
      </c>
      <c r="Q527" s="9">
        <v>45273</v>
      </c>
      <c r="R527" t="s">
        <v>37</v>
      </c>
      <c r="S527" t="s">
        <v>44</v>
      </c>
      <c r="T527" t="s">
        <v>52</v>
      </c>
      <c r="U527" t="s">
        <v>115</v>
      </c>
      <c r="V527" t="s">
        <v>1702</v>
      </c>
      <c r="W527">
        <v>16210</v>
      </c>
      <c r="X527" t="s">
        <v>44</v>
      </c>
      <c r="Y527" t="s">
        <v>52</v>
      </c>
      <c r="Z527" t="s">
        <v>49</v>
      </c>
      <c r="AA527" s="10">
        <f>IF(O527&lt;=1,7,7+0.8*ROUNDUP(O527-1,0))</f>
        <v>7</v>
      </c>
      <c r="AB527" s="11">
        <v>0</v>
      </c>
      <c r="AC527" s="11">
        <v>0</v>
      </c>
      <c r="AD527" s="11">
        <v>0</v>
      </c>
      <c r="AE527" s="11">
        <v>0</v>
      </c>
      <c r="AF527" s="11">
        <f t="shared" si="16"/>
        <v>0.42</v>
      </c>
      <c r="AG527" s="11">
        <f t="shared" si="17"/>
        <v>7.42</v>
      </c>
      <c r="AH527" t="s">
        <v>44</v>
      </c>
    </row>
    <row r="528" spans="1:34" ht="15" customHeight="1" x14ac:dyDescent="0.35">
      <c r="A528">
        <v>7547676</v>
      </c>
      <c r="B528">
        <v>690929</v>
      </c>
      <c r="C528" t="s">
        <v>34</v>
      </c>
      <c r="D528" t="s">
        <v>35</v>
      </c>
      <c r="E528" s="6" t="s">
        <v>34</v>
      </c>
      <c r="F528" t="s">
        <v>1703</v>
      </c>
      <c r="G528" t="s">
        <v>37</v>
      </c>
      <c r="H528" t="s">
        <v>38</v>
      </c>
      <c r="I528" t="s">
        <v>1704</v>
      </c>
      <c r="J528" t="s">
        <v>40</v>
      </c>
      <c r="K528">
        <v>2</v>
      </c>
      <c r="L528" t="s">
        <v>41</v>
      </c>
      <c r="M528" t="s">
        <v>42</v>
      </c>
      <c r="N528" t="s">
        <v>43</v>
      </c>
      <c r="O528" s="7">
        <v>1</v>
      </c>
      <c r="P528" s="8">
        <v>45271.84003472222</v>
      </c>
      <c r="Q528" s="9">
        <v>45273</v>
      </c>
      <c r="R528" t="s">
        <v>37</v>
      </c>
      <c r="S528" t="s">
        <v>44</v>
      </c>
      <c r="T528" t="s">
        <v>52</v>
      </c>
      <c r="U528" t="s">
        <v>68</v>
      </c>
      <c r="V528" t="s">
        <v>1705</v>
      </c>
      <c r="W528">
        <v>42700</v>
      </c>
      <c r="X528" t="s">
        <v>44</v>
      </c>
      <c r="Y528" t="s">
        <v>833</v>
      </c>
      <c r="Z528" t="s">
        <v>49</v>
      </c>
      <c r="AA528" s="10">
        <f>IF(O528&lt;=1,7,7+0.8*ROUNDUP(O528-1,0))</f>
        <v>7</v>
      </c>
      <c r="AB528" s="11">
        <v>0</v>
      </c>
      <c r="AC528" s="11">
        <v>0</v>
      </c>
      <c r="AD528" s="11">
        <v>0</v>
      </c>
      <c r="AE528" s="11">
        <v>0</v>
      </c>
      <c r="AF528" s="11">
        <f t="shared" si="16"/>
        <v>0.42</v>
      </c>
      <c r="AG528" s="11">
        <f t="shared" si="17"/>
        <v>7.42</v>
      </c>
      <c r="AH528" t="s">
        <v>44</v>
      </c>
    </row>
    <row r="529" spans="1:34" ht="15" customHeight="1" x14ac:dyDescent="0.35">
      <c r="A529">
        <v>7547676</v>
      </c>
      <c r="B529">
        <v>690929</v>
      </c>
      <c r="C529" t="s">
        <v>34</v>
      </c>
      <c r="D529" t="s">
        <v>35</v>
      </c>
      <c r="E529" s="6" t="s">
        <v>34</v>
      </c>
      <c r="F529" t="s">
        <v>1706</v>
      </c>
      <c r="G529" t="s">
        <v>37</v>
      </c>
      <c r="H529" t="s">
        <v>38</v>
      </c>
      <c r="I529" t="s">
        <v>852</v>
      </c>
      <c r="J529" t="s">
        <v>40</v>
      </c>
      <c r="K529">
        <v>2</v>
      </c>
      <c r="L529" t="s">
        <v>41</v>
      </c>
      <c r="M529" t="s">
        <v>42</v>
      </c>
      <c r="N529" t="s">
        <v>43</v>
      </c>
      <c r="O529" s="7">
        <v>8</v>
      </c>
      <c r="P529" s="8">
        <v>45271.84003472222</v>
      </c>
      <c r="Q529" s="9">
        <v>45273</v>
      </c>
      <c r="R529" t="s">
        <v>37</v>
      </c>
      <c r="S529" t="s">
        <v>44</v>
      </c>
      <c r="T529" t="s">
        <v>45</v>
      </c>
      <c r="U529" t="s">
        <v>258</v>
      </c>
      <c r="V529" t="s">
        <v>853</v>
      </c>
      <c r="W529">
        <v>22100</v>
      </c>
      <c r="X529" t="s">
        <v>44</v>
      </c>
      <c r="Y529" t="s">
        <v>854</v>
      </c>
      <c r="Z529" t="s">
        <v>49</v>
      </c>
      <c r="AA529" s="10">
        <f>IF(O529&lt;=1,7,7+0.8*ROUNDUP(O529-1,0))</f>
        <v>12.600000000000001</v>
      </c>
      <c r="AB529" s="11">
        <v>0</v>
      </c>
      <c r="AC529" s="11">
        <v>0</v>
      </c>
      <c r="AD529" s="11">
        <v>0</v>
      </c>
      <c r="AE529" s="11">
        <v>0</v>
      </c>
      <c r="AF529" s="11">
        <f t="shared" si="16"/>
        <v>0.75600000000000001</v>
      </c>
      <c r="AG529" s="11">
        <f t="shared" si="17"/>
        <v>13.356000000000002</v>
      </c>
      <c r="AH529" t="s">
        <v>44</v>
      </c>
    </row>
    <row r="530" spans="1:34" ht="15" customHeight="1" x14ac:dyDescent="0.35">
      <c r="A530">
        <v>7547676</v>
      </c>
      <c r="B530">
        <v>690929</v>
      </c>
      <c r="C530" t="s">
        <v>34</v>
      </c>
      <c r="D530" t="s">
        <v>35</v>
      </c>
      <c r="E530" s="6" t="s">
        <v>34</v>
      </c>
      <c r="F530" t="s">
        <v>1707</v>
      </c>
      <c r="G530" t="s">
        <v>37</v>
      </c>
      <c r="H530" t="s">
        <v>38</v>
      </c>
      <c r="I530" t="s">
        <v>1708</v>
      </c>
      <c r="J530" t="s">
        <v>40</v>
      </c>
      <c r="K530">
        <v>2</v>
      </c>
      <c r="L530" t="s">
        <v>41</v>
      </c>
      <c r="M530" t="s">
        <v>42</v>
      </c>
      <c r="N530" t="s">
        <v>43</v>
      </c>
      <c r="O530" s="7">
        <v>3</v>
      </c>
      <c r="P530" s="8">
        <v>45270.794212962966</v>
      </c>
      <c r="Q530" s="9">
        <v>45273</v>
      </c>
      <c r="R530" t="s">
        <v>37</v>
      </c>
      <c r="S530" t="s">
        <v>44</v>
      </c>
      <c r="T530" t="s">
        <v>45</v>
      </c>
      <c r="U530" t="s">
        <v>46</v>
      </c>
      <c r="V530" t="s">
        <v>1709</v>
      </c>
      <c r="W530">
        <v>81400</v>
      </c>
      <c r="X530" t="s">
        <v>44</v>
      </c>
      <c r="Y530" t="s">
        <v>197</v>
      </c>
      <c r="Z530" t="s">
        <v>49</v>
      </c>
      <c r="AA530" s="10">
        <f>IF(O530&lt;=1,7,7+0.8*ROUNDUP(O530-1,0))</f>
        <v>8.6</v>
      </c>
      <c r="AB530" s="11">
        <v>0</v>
      </c>
      <c r="AC530" s="11">
        <v>0</v>
      </c>
      <c r="AD530" s="11">
        <v>0</v>
      </c>
      <c r="AE530" s="11">
        <v>0</v>
      </c>
      <c r="AF530" s="11">
        <f t="shared" si="16"/>
        <v>0.51600000000000001</v>
      </c>
      <c r="AG530" s="11">
        <f t="shared" si="17"/>
        <v>9.1159999999999997</v>
      </c>
      <c r="AH530" t="s">
        <v>44</v>
      </c>
    </row>
    <row r="531" spans="1:34" ht="15" customHeight="1" x14ac:dyDescent="0.35">
      <c r="A531">
        <v>7547676</v>
      </c>
      <c r="B531">
        <v>690929</v>
      </c>
      <c r="C531" t="s">
        <v>34</v>
      </c>
      <c r="D531" t="s">
        <v>35</v>
      </c>
      <c r="E531" s="6" t="s">
        <v>34</v>
      </c>
      <c r="F531" t="s">
        <v>1710</v>
      </c>
      <c r="G531" t="s">
        <v>37</v>
      </c>
      <c r="H531" t="s">
        <v>38</v>
      </c>
      <c r="I531" t="s">
        <v>1711</v>
      </c>
      <c r="J531" t="s">
        <v>40</v>
      </c>
      <c r="K531">
        <v>2</v>
      </c>
      <c r="L531" t="s">
        <v>41</v>
      </c>
      <c r="M531" t="s">
        <v>42</v>
      </c>
      <c r="N531" t="s">
        <v>43</v>
      </c>
      <c r="O531" s="7">
        <v>1</v>
      </c>
      <c r="P531" s="8">
        <v>45272.709444444445</v>
      </c>
      <c r="Q531" s="9">
        <v>45273</v>
      </c>
      <c r="R531" t="s">
        <v>37</v>
      </c>
      <c r="S531" t="s">
        <v>44</v>
      </c>
      <c r="T531" t="s">
        <v>45</v>
      </c>
      <c r="U531" t="s">
        <v>115</v>
      </c>
      <c r="V531" t="s">
        <v>1712</v>
      </c>
      <c r="W531">
        <v>16810</v>
      </c>
      <c r="X531" t="s">
        <v>44</v>
      </c>
      <c r="Y531" t="s">
        <v>76</v>
      </c>
      <c r="Z531" t="s">
        <v>49</v>
      </c>
      <c r="AA531" s="10">
        <f>IF(O531&lt;=1,7,7+0.8*ROUNDUP(O531-1,0))</f>
        <v>7</v>
      </c>
      <c r="AB531" s="11">
        <v>0</v>
      </c>
      <c r="AC531" s="11">
        <v>0</v>
      </c>
      <c r="AD531" s="11">
        <v>0</v>
      </c>
      <c r="AE531" s="11">
        <v>0</v>
      </c>
      <c r="AF531" s="11">
        <f t="shared" si="16"/>
        <v>0.42</v>
      </c>
      <c r="AG531" s="11">
        <f t="shared" si="17"/>
        <v>7.42</v>
      </c>
      <c r="AH531" t="s">
        <v>44</v>
      </c>
    </row>
    <row r="532" spans="1:34" ht="15" customHeight="1" x14ac:dyDescent="0.35">
      <c r="A532">
        <v>7547676</v>
      </c>
      <c r="B532">
        <v>690929</v>
      </c>
      <c r="C532" t="s">
        <v>34</v>
      </c>
      <c r="D532" t="s">
        <v>35</v>
      </c>
      <c r="E532" s="6" t="s">
        <v>34</v>
      </c>
      <c r="F532" t="s">
        <v>1713</v>
      </c>
      <c r="G532" t="s">
        <v>37</v>
      </c>
      <c r="H532" t="s">
        <v>38</v>
      </c>
      <c r="I532" t="s">
        <v>1714</v>
      </c>
      <c r="J532" t="s">
        <v>40</v>
      </c>
      <c r="K532">
        <v>2</v>
      </c>
      <c r="L532" t="s">
        <v>41</v>
      </c>
      <c r="M532" t="s">
        <v>42</v>
      </c>
      <c r="N532" t="s">
        <v>43</v>
      </c>
      <c r="O532" s="7">
        <v>2</v>
      </c>
      <c r="P532" s="8">
        <v>45271.683483796296</v>
      </c>
      <c r="Q532" s="9">
        <v>45273</v>
      </c>
      <c r="R532" t="s">
        <v>37</v>
      </c>
      <c r="S532" t="s">
        <v>44</v>
      </c>
      <c r="T532" t="s">
        <v>45</v>
      </c>
      <c r="U532" t="s">
        <v>58</v>
      </c>
      <c r="V532" t="s">
        <v>1715</v>
      </c>
      <c r="W532">
        <v>5150</v>
      </c>
      <c r="X532" t="s">
        <v>44</v>
      </c>
      <c r="Y532" t="s">
        <v>52</v>
      </c>
      <c r="Z532" t="s">
        <v>49</v>
      </c>
      <c r="AA532" s="10">
        <f>IF(O532&lt;=1,7,7+0.8*ROUNDUP(O532-1,0))</f>
        <v>7.8</v>
      </c>
      <c r="AB532" s="11">
        <v>0</v>
      </c>
      <c r="AC532" s="11">
        <v>0</v>
      </c>
      <c r="AD532" s="11">
        <v>0</v>
      </c>
      <c r="AE532" s="11">
        <v>0</v>
      </c>
      <c r="AF532" s="11">
        <f t="shared" si="16"/>
        <v>0.46799999999999997</v>
      </c>
      <c r="AG532" s="11">
        <f t="shared" si="17"/>
        <v>8.2680000000000007</v>
      </c>
      <c r="AH532" t="s">
        <v>44</v>
      </c>
    </row>
    <row r="533" spans="1:34" ht="15" customHeight="1" x14ac:dyDescent="0.35">
      <c r="A533">
        <v>7547676</v>
      </c>
      <c r="B533">
        <v>690929</v>
      </c>
      <c r="C533" t="s">
        <v>34</v>
      </c>
      <c r="D533" t="s">
        <v>35</v>
      </c>
      <c r="E533" s="6" t="s">
        <v>34</v>
      </c>
      <c r="F533" t="s">
        <v>1716</v>
      </c>
      <c r="G533" t="s">
        <v>37</v>
      </c>
      <c r="H533" t="s">
        <v>38</v>
      </c>
      <c r="I533" t="s">
        <v>1717</v>
      </c>
      <c r="J533" t="s">
        <v>40</v>
      </c>
      <c r="K533">
        <v>2</v>
      </c>
      <c r="L533" t="s">
        <v>41</v>
      </c>
      <c r="M533" t="s">
        <v>42</v>
      </c>
      <c r="N533" t="s">
        <v>43</v>
      </c>
      <c r="O533" s="7">
        <v>4</v>
      </c>
      <c r="P533" s="8">
        <v>45272.660185185188</v>
      </c>
      <c r="Q533" s="9">
        <v>45273</v>
      </c>
      <c r="R533" t="s">
        <v>37</v>
      </c>
      <c r="S533" t="s">
        <v>44</v>
      </c>
      <c r="T533" t="s">
        <v>45</v>
      </c>
      <c r="U533" t="s">
        <v>68</v>
      </c>
      <c r="V533" t="s">
        <v>1718</v>
      </c>
      <c r="W533">
        <v>44300</v>
      </c>
      <c r="X533" t="s">
        <v>44</v>
      </c>
      <c r="Y533" t="s">
        <v>309</v>
      </c>
      <c r="Z533" t="s">
        <v>49</v>
      </c>
      <c r="AA533" s="10">
        <f>IF(O533&lt;=1,7,7+0.8*ROUNDUP(O533-1,0))</f>
        <v>9.4</v>
      </c>
      <c r="AB533" s="11">
        <v>0</v>
      </c>
      <c r="AC533" s="11">
        <v>0</v>
      </c>
      <c r="AD533" s="11">
        <v>0</v>
      </c>
      <c r="AE533" s="11">
        <v>0</v>
      </c>
      <c r="AF533" s="11">
        <f t="shared" si="16"/>
        <v>0.56399999999999995</v>
      </c>
      <c r="AG533" s="11">
        <f t="shared" si="17"/>
        <v>9.9640000000000004</v>
      </c>
      <c r="AH533" t="s">
        <v>44</v>
      </c>
    </row>
    <row r="534" spans="1:34" ht="15" customHeight="1" x14ac:dyDescent="0.35">
      <c r="A534">
        <v>7547676</v>
      </c>
      <c r="B534">
        <v>690929</v>
      </c>
      <c r="C534" t="s">
        <v>34</v>
      </c>
      <c r="D534" t="s">
        <v>35</v>
      </c>
      <c r="E534" s="6" t="s">
        <v>34</v>
      </c>
      <c r="F534" t="s">
        <v>1719</v>
      </c>
      <c r="G534" t="s">
        <v>37</v>
      </c>
      <c r="H534" t="s">
        <v>38</v>
      </c>
      <c r="I534" t="s">
        <v>1720</v>
      </c>
      <c r="J534" t="s">
        <v>40</v>
      </c>
      <c r="K534">
        <v>2</v>
      </c>
      <c r="L534" t="s">
        <v>41</v>
      </c>
      <c r="M534" t="s">
        <v>42</v>
      </c>
      <c r="N534" t="s">
        <v>43</v>
      </c>
      <c r="O534" s="7">
        <v>1</v>
      </c>
      <c r="P534" s="8">
        <v>45272.569537037038</v>
      </c>
      <c r="Q534" s="9">
        <v>45273</v>
      </c>
      <c r="R534" t="s">
        <v>37</v>
      </c>
      <c r="S534" t="s">
        <v>44</v>
      </c>
      <c r="T534" t="s">
        <v>45</v>
      </c>
      <c r="U534" t="s">
        <v>115</v>
      </c>
      <c r="V534" t="s">
        <v>1721</v>
      </c>
      <c r="W534">
        <v>16800</v>
      </c>
      <c r="X534" t="s">
        <v>44</v>
      </c>
      <c r="Y534" t="s">
        <v>76</v>
      </c>
      <c r="Z534" t="s">
        <v>49</v>
      </c>
      <c r="AA534" s="10">
        <f>IF(O534&lt;=1,7,7+0.8*ROUNDUP(O534-1,0))</f>
        <v>7</v>
      </c>
      <c r="AB534" s="11">
        <v>0</v>
      </c>
      <c r="AC534" s="11">
        <v>0</v>
      </c>
      <c r="AD534" s="11">
        <v>0</v>
      </c>
      <c r="AE534" s="11">
        <v>0</v>
      </c>
      <c r="AF534" s="11">
        <f t="shared" si="16"/>
        <v>0.42</v>
      </c>
      <c r="AG534" s="11">
        <f t="shared" si="17"/>
        <v>7.42</v>
      </c>
      <c r="AH534" t="s">
        <v>44</v>
      </c>
    </row>
    <row r="535" spans="1:34" ht="15" customHeight="1" x14ac:dyDescent="0.35">
      <c r="A535">
        <v>7547676</v>
      </c>
      <c r="B535">
        <v>690929</v>
      </c>
      <c r="C535" t="s">
        <v>34</v>
      </c>
      <c r="D535" t="s">
        <v>35</v>
      </c>
      <c r="E535" s="6" t="s">
        <v>34</v>
      </c>
      <c r="F535" t="s">
        <v>1722</v>
      </c>
      <c r="G535" t="s">
        <v>37</v>
      </c>
      <c r="H535" t="s">
        <v>38</v>
      </c>
      <c r="I535" t="s">
        <v>1723</v>
      </c>
      <c r="J535" t="s">
        <v>40</v>
      </c>
      <c r="K535">
        <v>2</v>
      </c>
      <c r="L535" t="s">
        <v>41</v>
      </c>
      <c r="M535" t="s">
        <v>42</v>
      </c>
      <c r="N535" t="s">
        <v>43</v>
      </c>
      <c r="O535" s="7">
        <v>1</v>
      </c>
      <c r="P535" s="8">
        <v>45271.543854166666</v>
      </c>
      <c r="Q535" s="9">
        <v>45273</v>
      </c>
      <c r="R535" t="s">
        <v>37</v>
      </c>
      <c r="S535" t="s">
        <v>44</v>
      </c>
      <c r="T535" t="s">
        <v>45</v>
      </c>
      <c r="U535" t="s">
        <v>46</v>
      </c>
      <c r="V535" t="s">
        <v>1724</v>
      </c>
      <c r="W535">
        <v>81930</v>
      </c>
      <c r="X535" t="s">
        <v>44</v>
      </c>
      <c r="Y535" t="s">
        <v>829</v>
      </c>
      <c r="Z535" t="s">
        <v>49</v>
      </c>
      <c r="AA535" s="10">
        <f>IF(O535&lt;=1,7,7+0.8*ROUNDUP(O535-1,0))</f>
        <v>7</v>
      </c>
      <c r="AB535" s="11">
        <v>0</v>
      </c>
      <c r="AC535" s="11">
        <v>0</v>
      </c>
      <c r="AD535" s="11">
        <v>0</v>
      </c>
      <c r="AE535" s="11">
        <v>0</v>
      </c>
      <c r="AF535" s="11">
        <f t="shared" si="16"/>
        <v>0.42</v>
      </c>
      <c r="AG535" s="11">
        <f t="shared" si="17"/>
        <v>7.42</v>
      </c>
      <c r="AH535" t="s">
        <v>44</v>
      </c>
    </row>
    <row r="536" spans="1:34" ht="15" customHeight="1" x14ac:dyDescent="0.35">
      <c r="A536">
        <v>7547676</v>
      </c>
      <c r="B536">
        <v>690929</v>
      </c>
      <c r="C536" t="s">
        <v>34</v>
      </c>
      <c r="D536" t="s">
        <v>35</v>
      </c>
      <c r="E536" s="6" t="s">
        <v>34</v>
      </c>
      <c r="F536" t="s">
        <v>1725</v>
      </c>
      <c r="G536" t="s">
        <v>37</v>
      </c>
      <c r="H536" t="s">
        <v>38</v>
      </c>
      <c r="I536" t="s">
        <v>1726</v>
      </c>
      <c r="J536" t="s">
        <v>40</v>
      </c>
      <c r="K536">
        <v>2</v>
      </c>
      <c r="L536" t="s">
        <v>41</v>
      </c>
      <c r="M536" t="s">
        <v>42</v>
      </c>
      <c r="N536" t="s">
        <v>43</v>
      </c>
      <c r="O536" s="7">
        <v>1</v>
      </c>
      <c r="P536" s="8">
        <v>45271.740578703706</v>
      </c>
      <c r="Q536" s="9">
        <v>45273</v>
      </c>
      <c r="R536" t="s">
        <v>37</v>
      </c>
      <c r="S536" t="s">
        <v>44</v>
      </c>
      <c r="T536" t="s">
        <v>45</v>
      </c>
      <c r="U536" t="s">
        <v>258</v>
      </c>
      <c r="V536" t="s">
        <v>1727</v>
      </c>
      <c r="W536">
        <v>22010</v>
      </c>
      <c r="X536" t="s">
        <v>44</v>
      </c>
      <c r="Y536" t="s">
        <v>76</v>
      </c>
      <c r="Z536" t="s">
        <v>49</v>
      </c>
      <c r="AA536" s="10">
        <f>IF(O536&lt;=1,7,7+0.8*ROUNDUP(O536-1,0))</f>
        <v>7</v>
      </c>
      <c r="AB536" s="11">
        <v>0</v>
      </c>
      <c r="AC536" s="11">
        <v>0</v>
      </c>
      <c r="AD536" s="11">
        <v>0</v>
      </c>
      <c r="AE536" s="11">
        <v>0</v>
      </c>
      <c r="AF536" s="11">
        <f t="shared" si="16"/>
        <v>0.42</v>
      </c>
      <c r="AG536" s="11">
        <f t="shared" si="17"/>
        <v>7.42</v>
      </c>
      <c r="AH536" t="s">
        <v>44</v>
      </c>
    </row>
    <row r="537" spans="1:34" ht="15" customHeight="1" x14ac:dyDescent="0.35">
      <c r="A537">
        <v>7547676</v>
      </c>
      <c r="B537">
        <v>690929</v>
      </c>
      <c r="C537" t="s">
        <v>34</v>
      </c>
      <c r="D537" t="s">
        <v>35</v>
      </c>
      <c r="E537" s="6" t="s">
        <v>34</v>
      </c>
      <c r="F537" t="s">
        <v>1728</v>
      </c>
      <c r="G537" t="s">
        <v>37</v>
      </c>
      <c r="H537" t="s">
        <v>38</v>
      </c>
      <c r="I537" t="s">
        <v>1729</v>
      </c>
      <c r="J537" t="s">
        <v>40</v>
      </c>
      <c r="K537">
        <v>2</v>
      </c>
      <c r="L537" t="s">
        <v>41</v>
      </c>
      <c r="M537" t="s">
        <v>42</v>
      </c>
      <c r="N537" t="s">
        <v>43</v>
      </c>
      <c r="O537" s="7">
        <v>1</v>
      </c>
      <c r="P537" s="8">
        <v>45270.589629629627</v>
      </c>
      <c r="Q537" s="9">
        <v>45273</v>
      </c>
      <c r="R537" t="s">
        <v>37</v>
      </c>
      <c r="S537" t="s">
        <v>44</v>
      </c>
      <c r="T537" t="s">
        <v>52</v>
      </c>
      <c r="U537" t="s">
        <v>53</v>
      </c>
      <c r="V537" t="s">
        <v>1730</v>
      </c>
      <c r="W537">
        <v>54200</v>
      </c>
      <c r="X537" t="s">
        <v>44</v>
      </c>
      <c r="Y537" t="s">
        <v>55</v>
      </c>
      <c r="Z537" t="s">
        <v>49</v>
      </c>
      <c r="AA537" s="10">
        <f>IF(O537&lt;=1,7,7+0.8*ROUNDUP(O537-1,0))</f>
        <v>7</v>
      </c>
      <c r="AB537" s="11">
        <v>0</v>
      </c>
      <c r="AC537" s="11">
        <v>0</v>
      </c>
      <c r="AD537" s="11">
        <v>0</v>
      </c>
      <c r="AE537" s="11">
        <v>0</v>
      </c>
      <c r="AF537" s="11">
        <f t="shared" si="16"/>
        <v>0.42</v>
      </c>
      <c r="AG537" s="11">
        <f t="shared" si="17"/>
        <v>7.42</v>
      </c>
      <c r="AH537" t="s">
        <v>44</v>
      </c>
    </row>
    <row r="538" spans="1:34" ht="15" customHeight="1" x14ac:dyDescent="0.35">
      <c r="A538">
        <v>7547676</v>
      </c>
      <c r="B538">
        <v>690929</v>
      </c>
      <c r="C538" t="s">
        <v>34</v>
      </c>
      <c r="D538" t="s">
        <v>35</v>
      </c>
      <c r="E538" s="6" t="s">
        <v>34</v>
      </c>
      <c r="F538" t="s">
        <v>1731</v>
      </c>
      <c r="G538" t="s">
        <v>37</v>
      </c>
      <c r="H538" t="s">
        <v>38</v>
      </c>
      <c r="I538" t="s">
        <v>1732</v>
      </c>
      <c r="J538" t="s">
        <v>40</v>
      </c>
      <c r="K538">
        <v>2</v>
      </c>
      <c r="L538" t="s">
        <v>41</v>
      </c>
      <c r="M538" t="s">
        <v>42</v>
      </c>
      <c r="N538" t="s">
        <v>43</v>
      </c>
      <c r="O538" s="7">
        <v>3</v>
      </c>
      <c r="P538" s="8">
        <v>45272.713530092595</v>
      </c>
      <c r="Q538" s="9">
        <v>45273</v>
      </c>
      <c r="R538" t="s">
        <v>37</v>
      </c>
      <c r="S538" t="s">
        <v>44</v>
      </c>
      <c r="T538" t="s">
        <v>45</v>
      </c>
      <c r="U538" t="s">
        <v>77</v>
      </c>
      <c r="V538" t="s">
        <v>1733</v>
      </c>
      <c r="W538">
        <v>27050</v>
      </c>
      <c r="X538" t="s">
        <v>44</v>
      </c>
      <c r="Y538" t="s">
        <v>45</v>
      </c>
      <c r="Z538" t="s">
        <v>49</v>
      </c>
      <c r="AA538" s="10">
        <f>IF(O538&lt;=1,7,7+0.8*ROUNDUP(O538-1,0))</f>
        <v>8.6</v>
      </c>
      <c r="AB538" s="11">
        <v>0</v>
      </c>
      <c r="AC538" s="11">
        <v>0</v>
      </c>
      <c r="AD538" s="11">
        <v>0</v>
      </c>
      <c r="AE538" s="11">
        <v>0</v>
      </c>
      <c r="AF538" s="11">
        <f t="shared" si="16"/>
        <v>0.51600000000000001</v>
      </c>
      <c r="AG538" s="11">
        <f t="shared" si="17"/>
        <v>9.1159999999999997</v>
      </c>
      <c r="AH538" t="s">
        <v>44</v>
      </c>
    </row>
    <row r="539" spans="1:34" ht="15" customHeight="1" x14ac:dyDescent="0.35">
      <c r="A539">
        <v>7547676</v>
      </c>
      <c r="B539">
        <v>690929</v>
      </c>
      <c r="C539" t="s">
        <v>34</v>
      </c>
      <c r="D539" t="s">
        <v>35</v>
      </c>
      <c r="E539" s="6" t="s">
        <v>34</v>
      </c>
      <c r="F539" t="s">
        <v>1734</v>
      </c>
      <c r="G539" t="s">
        <v>37</v>
      </c>
      <c r="H539" t="s">
        <v>38</v>
      </c>
      <c r="I539" t="s">
        <v>657</v>
      </c>
      <c r="J539" t="s">
        <v>40</v>
      </c>
      <c r="K539">
        <v>2</v>
      </c>
      <c r="L539" t="s">
        <v>41</v>
      </c>
      <c r="M539" t="s">
        <v>42</v>
      </c>
      <c r="N539" t="s">
        <v>43</v>
      </c>
      <c r="O539" s="7">
        <v>5</v>
      </c>
      <c r="P539" s="8">
        <v>45269.75273148148</v>
      </c>
      <c r="Q539" s="9">
        <v>45273</v>
      </c>
      <c r="R539" t="s">
        <v>37</v>
      </c>
      <c r="S539" t="s">
        <v>44</v>
      </c>
      <c r="T539" t="s">
        <v>45</v>
      </c>
      <c r="U539" t="s">
        <v>240</v>
      </c>
      <c r="V539" t="s">
        <v>1735</v>
      </c>
      <c r="W539">
        <v>93050</v>
      </c>
      <c r="X539" t="s">
        <v>242</v>
      </c>
      <c r="Y539" t="s">
        <v>1736</v>
      </c>
      <c r="Z539" t="s">
        <v>49</v>
      </c>
      <c r="AA539" s="12">
        <f>IF(O539&lt;=1,13,IF(O539&lt;=2,23,IF(O539&lt;=3,35,IF(O539&lt;=4,43,IF(O539&lt;=5,53,IF(O539&lt;=6,63,IF(O539&lt;=7,71,IF(O539&lt;=8,79,IF(O539&lt;=9,87,IF(O539&lt;=10,95,IF(O539&lt;=11,105,IF(O539&lt;=12,114,IF(O539&lt;=13,119,IF(O539&lt;=14,127,IF(O539&lt;=15,135,IF(O539&lt;=16,143,IF(O539&lt;=17,153,IF(O539&lt;=18,163,IF(O539&lt;=19,171,IF(O539&lt;=20,185,IF(O539&lt;=21,193,IF(O539&lt;=22,201,IF(O539&lt;=23,210,IF(O539&lt;=24,220,IF(O539&lt;=25,230,IF(O539&lt;=26,240,IF(O539&lt;=27,250,IF(O539&lt;=28,260,IF(O539&lt;=29,270,IF(O539&lt;=30,280,280+10*ROUNDUP(O539-30,0)))))))))))))))))))))))))))))))</f>
        <v>53</v>
      </c>
      <c r="AB539" s="11">
        <v>0</v>
      </c>
      <c r="AC539" s="11">
        <v>0</v>
      </c>
      <c r="AD539" s="11">
        <v>0</v>
      </c>
      <c r="AE539" s="11">
        <v>0</v>
      </c>
      <c r="AF539" s="11">
        <f t="shared" si="16"/>
        <v>3.1799999999999997</v>
      </c>
      <c r="AG539" s="11">
        <f t="shared" si="17"/>
        <v>56.18</v>
      </c>
      <c r="AH539" t="s">
        <v>242</v>
      </c>
    </row>
    <row r="540" spans="1:34" ht="15" customHeight="1" x14ac:dyDescent="0.35">
      <c r="A540">
        <v>7547676</v>
      </c>
      <c r="B540">
        <v>690929</v>
      </c>
      <c r="C540" t="s">
        <v>34</v>
      </c>
      <c r="D540" t="s">
        <v>35</v>
      </c>
      <c r="E540" s="6" t="s">
        <v>34</v>
      </c>
      <c r="F540" t="s">
        <v>1737</v>
      </c>
      <c r="G540" t="s">
        <v>37</v>
      </c>
      <c r="H540" t="s">
        <v>38</v>
      </c>
      <c r="I540" t="s">
        <v>1738</v>
      </c>
      <c r="J540" t="s">
        <v>40</v>
      </c>
      <c r="K540">
        <v>2</v>
      </c>
      <c r="L540" t="s">
        <v>41</v>
      </c>
      <c r="M540" t="s">
        <v>42</v>
      </c>
      <c r="N540" t="s">
        <v>43</v>
      </c>
      <c r="O540" s="7">
        <v>1</v>
      </c>
      <c r="P540" s="8">
        <v>45271.860590277778</v>
      </c>
      <c r="Q540" s="9">
        <v>45274</v>
      </c>
      <c r="R540" t="s">
        <v>37</v>
      </c>
      <c r="S540" t="s">
        <v>44</v>
      </c>
      <c r="T540" t="s">
        <v>45</v>
      </c>
      <c r="U540" t="s">
        <v>68</v>
      </c>
      <c r="V540" t="s">
        <v>1739</v>
      </c>
      <c r="W540">
        <v>40300</v>
      </c>
      <c r="X540" t="s">
        <v>44</v>
      </c>
      <c r="Y540" t="s">
        <v>52</v>
      </c>
      <c r="Z540" t="s">
        <v>49</v>
      </c>
      <c r="AA540" s="10">
        <f>IF(O540&lt;=1,7,7+0.8*ROUNDUP(O540-1,0))</f>
        <v>7</v>
      </c>
      <c r="AB540" s="11">
        <v>0</v>
      </c>
      <c r="AC540" s="11">
        <v>0</v>
      </c>
      <c r="AD540" s="11">
        <v>0</v>
      </c>
      <c r="AE540" s="11">
        <v>0</v>
      </c>
      <c r="AF540" s="11">
        <f t="shared" si="16"/>
        <v>0.42</v>
      </c>
      <c r="AG540" s="11">
        <f t="shared" si="17"/>
        <v>7.42</v>
      </c>
      <c r="AH540" t="s">
        <v>44</v>
      </c>
    </row>
    <row r="541" spans="1:34" ht="15" customHeight="1" x14ac:dyDescent="0.35">
      <c r="A541">
        <v>7547676</v>
      </c>
      <c r="B541">
        <v>690929</v>
      </c>
      <c r="C541" t="s">
        <v>34</v>
      </c>
      <c r="D541" t="s">
        <v>35</v>
      </c>
      <c r="E541" s="6" t="s">
        <v>34</v>
      </c>
      <c r="F541" t="s">
        <v>1740</v>
      </c>
      <c r="G541" t="s">
        <v>37</v>
      </c>
      <c r="H541" t="s">
        <v>38</v>
      </c>
      <c r="I541" t="s">
        <v>483</v>
      </c>
      <c r="J541" t="s">
        <v>40</v>
      </c>
      <c r="K541">
        <v>2</v>
      </c>
      <c r="L541" t="s">
        <v>41</v>
      </c>
      <c r="M541" t="s">
        <v>42</v>
      </c>
      <c r="N541" t="s">
        <v>43</v>
      </c>
      <c r="O541" s="7">
        <v>1</v>
      </c>
      <c r="P541" s="8">
        <v>45273.77857638889</v>
      </c>
      <c r="Q541" s="9">
        <v>45274</v>
      </c>
      <c r="R541" t="s">
        <v>37</v>
      </c>
      <c r="S541" t="s">
        <v>44</v>
      </c>
      <c r="T541" t="s">
        <v>76</v>
      </c>
      <c r="U541" t="s">
        <v>258</v>
      </c>
      <c r="V541" t="s">
        <v>484</v>
      </c>
      <c r="W541">
        <v>24000</v>
      </c>
      <c r="X541" t="s">
        <v>44</v>
      </c>
      <c r="Y541" t="s">
        <v>79</v>
      </c>
      <c r="Z541" t="s">
        <v>49</v>
      </c>
      <c r="AA541" s="10">
        <f>IF(O541&lt;=1,7,7+0.8*ROUNDUP(O541-1,0))</f>
        <v>7</v>
      </c>
      <c r="AB541" s="11">
        <v>0</v>
      </c>
      <c r="AC541" s="11">
        <v>0</v>
      </c>
      <c r="AD541" s="11">
        <v>0</v>
      </c>
      <c r="AE541" s="11">
        <v>0</v>
      </c>
      <c r="AF541" s="11">
        <f t="shared" si="16"/>
        <v>0.42</v>
      </c>
      <c r="AG541" s="11">
        <f t="shared" si="17"/>
        <v>7.42</v>
      </c>
      <c r="AH541" t="s">
        <v>44</v>
      </c>
    </row>
    <row r="542" spans="1:34" ht="15" customHeight="1" x14ac:dyDescent="0.35">
      <c r="A542">
        <v>7547676</v>
      </c>
      <c r="B542">
        <v>690929</v>
      </c>
      <c r="C542" t="s">
        <v>34</v>
      </c>
      <c r="D542" t="s">
        <v>35</v>
      </c>
      <c r="E542" s="6" t="s">
        <v>34</v>
      </c>
      <c r="F542" t="s">
        <v>1741</v>
      </c>
      <c r="G542" t="s">
        <v>37</v>
      </c>
      <c r="H542" t="s">
        <v>38</v>
      </c>
      <c r="I542" t="s">
        <v>1742</v>
      </c>
      <c r="J542" t="s">
        <v>40</v>
      </c>
      <c r="K542">
        <v>2</v>
      </c>
      <c r="L542" t="s">
        <v>41</v>
      </c>
      <c r="M542" t="s">
        <v>42</v>
      </c>
      <c r="N542" t="s">
        <v>43</v>
      </c>
      <c r="O542" s="7">
        <v>1</v>
      </c>
      <c r="P542" s="8">
        <v>45272.731006944443</v>
      </c>
      <c r="Q542" s="9">
        <v>45274</v>
      </c>
      <c r="R542" t="s">
        <v>37</v>
      </c>
      <c r="S542" t="s">
        <v>44</v>
      </c>
      <c r="T542" t="s">
        <v>45</v>
      </c>
      <c r="U542" t="s">
        <v>94</v>
      </c>
      <c r="V542" t="s">
        <v>1743</v>
      </c>
      <c r="W542">
        <v>14200</v>
      </c>
      <c r="X542" t="s">
        <v>44</v>
      </c>
      <c r="Y542" t="s">
        <v>682</v>
      </c>
      <c r="Z542" t="s">
        <v>49</v>
      </c>
      <c r="AA542" s="10">
        <f>IF(O542&lt;=1,7,7+0.8*ROUNDUP(O542-1,0))</f>
        <v>7</v>
      </c>
      <c r="AB542" s="11">
        <v>0</v>
      </c>
      <c r="AC542" s="11">
        <v>0</v>
      </c>
      <c r="AD542" s="11">
        <v>0</v>
      </c>
      <c r="AE542" s="11">
        <v>0</v>
      </c>
      <c r="AF542" s="11">
        <f t="shared" si="16"/>
        <v>0.42</v>
      </c>
      <c r="AG542" s="11">
        <f t="shared" si="17"/>
        <v>7.42</v>
      </c>
      <c r="AH542" t="s">
        <v>44</v>
      </c>
    </row>
    <row r="543" spans="1:34" ht="15" customHeight="1" x14ac:dyDescent="0.35">
      <c r="A543">
        <v>7547676</v>
      </c>
      <c r="B543">
        <v>690929</v>
      </c>
      <c r="C543" t="s">
        <v>34</v>
      </c>
      <c r="D543" t="s">
        <v>35</v>
      </c>
      <c r="E543" s="6" t="s">
        <v>34</v>
      </c>
      <c r="F543" t="s">
        <v>1744</v>
      </c>
      <c r="G543" t="s">
        <v>37</v>
      </c>
      <c r="H543" t="s">
        <v>38</v>
      </c>
      <c r="I543" t="s">
        <v>1745</v>
      </c>
      <c r="J543" t="s">
        <v>40</v>
      </c>
      <c r="K543">
        <v>2</v>
      </c>
      <c r="L543" t="s">
        <v>41</v>
      </c>
      <c r="M543" t="s">
        <v>42</v>
      </c>
      <c r="N543" t="s">
        <v>43</v>
      </c>
      <c r="O543" s="7">
        <v>6</v>
      </c>
      <c r="P543" s="8">
        <v>45271.730185185188</v>
      </c>
      <c r="Q543" s="9">
        <v>45274</v>
      </c>
      <c r="R543" t="s">
        <v>37</v>
      </c>
      <c r="S543" t="s">
        <v>44</v>
      </c>
      <c r="T543" t="s">
        <v>45</v>
      </c>
      <c r="U543" t="s">
        <v>68</v>
      </c>
      <c r="V543" t="s">
        <v>1746</v>
      </c>
      <c r="W543">
        <v>47300</v>
      </c>
      <c r="X543" t="s">
        <v>44</v>
      </c>
      <c r="Y543" t="s">
        <v>52</v>
      </c>
      <c r="Z543" t="s">
        <v>49</v>
      </c>
      <c r="AA543" s="10">
        <f>IF(O543&lt;=1,7,7+0.8*ROUNDUP(O543-1,0))</f>
        <v>11</v>
      </c>
      <c r="AB543" s="11">
        <v>0</v>
      </c>
      <c r="AC543" s="11">
        <v>0</v>
      </c>
      <c r="AD543" s="11">
        <v>0</v>
      </c>
      <c r="AE543" s="11">
        <v>0</v>
      </c>
      <c r="AF543" s="11">
        <f t="shared" si="16"/>
        <v>0.65999999999999992</v>
      </c>
      <c r="AG543" s="11">
        <f t="shared" si="17"/>
        <v>11.66</v>
      </c>
      <c r="AH543" t="s">
        <v>44</v>
      </c>
    </row>
    <row r="544" spans="1:34" ht="15" customHeight="1" x14ac:dyDescent="0.35">
      <c r="A544">
        <v>7547676</v>
      </c>
      <c r="B544">
        <v>690929</v>
      </c>
      <c r="C544" t="s">
        <v>34</v>
      </c>
      <c r="D544" t="s">
        <v>35</v>
      </c>
      <c r="E544" s="6" t="s">
        <v>34</v>
      </c>
      <c r="F544" t="s">
        <v>1747</v>
      </c>
      <c r="G544" t="s">
        <v>37</v>
      </c>
      <c r="H544" t="s">
        <v>38</v>
      </c>
      <c r="I544" t="s">
        <v>1748</v>
      </c>
      <c r="J544" t="s">
        <v>40</v>
      </c>
      <c r="K544">
        <v>2</v>
      </c>
      <c r="L544" t="s">
        <v>41</v>
      </c>
      <c r="M544" t="s">
        <v>42</v>
      </c>
      <c r="N544" t="s">
        <v>43</v>
      </c>
      <c r="O544" s="7">
        <v>1</v>
      </c>
      <c r="P544" s="8">
        <v>45272.735891203702</v>
      </c>
      <c r="Q544" s="9">
        <v>45274</v>
      </c>
      <c r="R544" t="s">
        <v>37</v>
      </c>
      <c r="S544" t="s">
        <v>44</v>
      </c>
      <c r="T544" t="s">
        <v>45</v>
      </c>
      <c r="U544" t="s">
        <v>68</v>
      </c>
      <c r="V544" t="s">
        <v>1749</v>
      </c>
      <c r="W544">
        <v>44300</v>
      </c>
      <c r="X544" t="s">
        <v>44</v>
      </c>
      <c r="Y544" t="s">
        <v>309</v>
      </c>
      <c r="Z544" t="s">
        <v>49</v>
      </c>
      <c r="AA544" s="10">
        <f>IF(O544&lt;=1,7,7+0.8*ROUNDUP(O544-1,0))</f>
        <v>7</v>
      </c>
      <c r="AB544" s="11">
        <v>0</v>
      </c>
      <c r="AC544" s="11">
        <v>0</v>
      </c>
      <c r="AD544" s="11">
        <v>0</v>
      </c>
      <c r="AE544" s="11">
        <v>0</v>
      </c>
      <c r="AF544" s="11">
        <f t="shared" si="16"/>
        <v>0.42</v>
      </c>
      <c r="AG544" s="11">
        <f t="shared" si="17"/>
        <v>7.42</v>
      </c>
      <c r="AH544" t="s">
        <v>44</v>
      </c>
    </row>
    <row r="545" spans="1:34" ht="15" customHeight="1" x14ac:dyDescent="0.35">
      <c r="A545">
        <v>7547676</v>
      </c>
      <c r="B545">
        <v>690929</v>
      </c>
      <c r="C545" t="s">
        <v>34</v>
      </c>
      <c r="D545" t="s">
        <v>35</v>
      </c>
      <c r="E545" s="6" t="s">
        <v>34</v>
      </c>
      <c r="F545" t="s">
        <v>1750</v>
      </c>
      <c r="G545" t="s">
        <v>37</v>
      </c>
      <c r="H545" t="s">
        <v>38</v>
      </c>
      <c r="I545" t="s">
        <v>1751</v>
      </c>
      <c r="J545" t="s">
        <v>40</v>
      </c>
      <c r="K545">
        <v>2</v>
      </c>
      <c r="L545" t="s">
        <v>41</v>
      </c>
      <c r="M545" t="s">
        <v>42</v>
      </c>
      <c r="N545" t="s">
        <v>43</v>
      </c>
      <c r="O545" s="7">
        <v>3</v>
      </c>
      <c r="P545" s="8">
        <v>45272.626238425924</v>
      </c>
      <c r="Q545" s="9">
        <v>45274</v>
      </c>
      <c r="R545" t="s">
        <v>37</v>
      </c>
      <c r="S545" t="s">
        <v>44</v>
      </c>
      <c r="T545" t="s">
        <v>45</v>
      </c>
      <c r="U545" t="s">
        <v>94</v>
      </c>
      <c r="V545" t="s">
        <v>1752</v>
      </c>
      <c r="W545">
        <v>13700</v>
      </c>
      <c r="X545" t="s">
        <v>44</v>
      </c>
      <c r="Y545" t="s">
        <v>534</v>
      </c>
      <c r="Z545" t="s">
        <v>49</v>
      </c>
      <c r="AA545" s="10">
        <f>IF(O545&lt;=1,7,7+0.8*ROUNDUP(O545-1,0))</f>
        <v>8.6</v>
      </c>
      <c r="AB545" s="11">
        <v>0</v>
      </c>
      <c r="AC545" s="11">
        <v>0</v>
      </c>
      <c r="AD545" s="11">
        <v>0</v>
      </c>
      <c r="AE545" s="11">
        <v>0</v>
      </c>
      <c r="AF545" s="11">
        <f t="shared" si="16"/>
        <v>0.51600000000000001</v>
      </c>
      <c r="AG545" s="11">
        <f t="shared" si="17"/>
        <v>9.1159999999999997</v>
      </c>
      <c r="AH545" t="s">
        <v>44</v>
      </c>
    </row>
    <row r="546" spans="1:34" ht="15" customHeight="1" x14ac:dyDescent="0.35">
      <c r="A546">
        <v>7547676</v>
      </c>
      <c r="B546">
        <v>690929</v>
      </c>
      <c r="C546" t="s">
        <v>34</v>
      </c>
      <c r="D546" t="s">
        <v>35</v>
      </c>
      <c r="E546" s="6" t="s">
        <v>34</v>
      </c>
      <c r="F546" t="s">
        <v>1753</v>
      </c>
      <c r="G546" t="s">
        <v>37</v>
      </c>
      <c r="H546" t="s">
        <v>38</v>
      </c>
      <c r="I546" t="s">
        <v>1754</v>
      </c>
      <c r="J546" t="s">
        <v>40</v>
      </c>
      <c r="K546">
        <v>2</v>
      </c>
      <c r="L546" t="s">
        <v>41</v>
      </c>
      <c r="M546" t="s">
        <v>42</v>
      </c>
      <c r="N546" t="s">
        <v>43</v>
      </c>
      <c r="O546" s="7">
        <v>3</v>
      </c>
      <c r="P546" s="8">
        <v>45271.840046296296</v>
      </c>
      <c r="Q546" s="9">
        <v>45274</v>
      </c>
      <c r="R546" t="s">
        <v>37</v>
      </c>
      <c r="S546" t="s">
        <v>44</v>
      </c>
      <c r="T546" t="s">
        <v>45</v>
      </c>
      <c r="U546" t="s">
        <v>68</v>
      </c>
      <c r="V546" t="s">
        <v>1755</v>
      </c>
      <c r="W546">
        <v>42000</v>
      </c>
      <c r="X546" t="s">
        <v>44</v>
      </c>
      <c r="Y546" t="s">
        <v>1230</v>
      </c>
      <c r="Z546" t="s">
        <v>49</v>
      </c>
      <c r="AA546" s="10">
        <f>IF(O546&lt;=1,7,7+0.8*ROUNDUP(O546-1,0))</f>
        <v>8.6</v>
      </c>
      <c r="AB546" s="11">
        <v>0</v>
      </c>
      <c r="AC546" s="11">
        <v>0</v>
      </c>
      <c r="AD546" s="11">
        <v>0</v>
      </c>
      <c r="AE546" s="11">
        <v>0</v>
      </c>
      <c r="AF546" s="11">
        <f t="shared" si="16"/>
        <v>0.51600000000000001</v>
      </c>
      <c r="AG546" s="11">
        <f t="shared" si="17"/>
        <v>9.1159999999999997</v>
      </c>
      <c r="AH546" t="s">
        <v>44</v>
      </c>
    </row>
    <row r="547" spans="1:34" ht="15" customHeight="1" x14ac:dyDescent="0.35">
      <c r="A547">
        <v>7547676</v>
      </c>
      <c r="B547">
        <v>690929</v>
      </c>
      <c r="C547" t="s">
        <v>34</v>
      </c>
      <c r="D547" t="s">
        <v>35</v>
      </c>
      <c r="E547" s="6" t="s">
        <v>34</v>
      </c>
      <c r="F547" t="s">
        <v>1756</v>
      </c>
      <c r="G547" t="s">
        <v>37</v>
      </c>
      <c r="H547" t="s">
        <v>38</v>
      </c>
      <c r="I547" t="s">
        <v>1757</v>
      </c>
      <c r="J547" t="s">
        <v>40</v>
      </c>
      <c r="K547">
        <v>2</v>
      </c>
      <c r="L547" t="s">
        <v>41</v>
      </c>
      <c r="M547" t="s">
        <v>42</v>
      </c>
      <c r="N547" t="s">
        <v>43</v>
      </c>
      <c r="O547" s="7">
        <v>1</v>
      </c>
      <c r="P547" s="8">
        <v>45271.789479166669</v>
      </c>
      <c r="Q547" s="9">
        <v>45274</v>
      </c>
      <c r="R547" t="s">
        <v>37</v>
      </c>
      <c r="S547" t="s">
        <v>44</v>
      </c>
      <c r="T547" t="s">
        <v>45</v>
      </c>
      <c r="U547" t="s">
        <v>46</v>
      </c>
      <c r="V547" t="s">
        <v>1758</v>
      </c>
      <c r="W547">
        <v>86000</v>
      </c>
      <c r="X547" t="s">
        <v>44</v>
      </c>
      <c r="Y547" t="s">
        <v>52</v>
      </c>
      <c r="Z547" t="s">
        <v>49</v>
      </c>
      <c r="AA547" s="10">
        <f>IF(O547&lt;=1,7,7+0.8*ROUNDUP(O547-1,0))</f>
        <v>7</v>
      </c>
      <c r="AB547" s="11">
        <v>0</v>
      </c>
      <c r="AC547" s="11">
        <v>0</v>
      </c>
      <c r="AD547" s="11">
        <v>0</v>
      </c>
      <c r="AE547" s="11">
        <v>0</v>
      </c>
      <c r="AF547" s="11">
        <f t="shared" si="16"/>
        <v>0.42</v>
      </c>
      <c r="AG547" s="11">
        <f t="shared" si="17"/>
        <v>7.42</v>
      </c>
      <c r="AH547" t="s">
        <v>44</v>
      </c>
    </row>
    <row r="548" spans="1:34" ht="15" customHeight="1" x14ac:dyDescent="0.35">
      <c r="A548">
        <v>7547676</v>
      </c>
      <c r="B548">
        <v>690929</v>
      </c>
      <c r="C548" t="s">
        <v>34</v>
      </c>
      <c r="D548" t="s">
        <v>35</v>
      </c>
      <c r="E548" s="6" t="s">
        <v>34</v>
      </c>
      <c r="F548" t="s">
        <v>1759</v>
      </c>
      <c r="G548" t="s">
        <v>37</v>
      </c>
      <c r="H548" t="s">
        <v>38</v>
      </c>
      <c r="I548" t="s">
        <v>1760</v>
      </c>
      <c r="J548" t="s">
        <v>40</v>
      </c>
      <c r="K548">
        <v>2</v>
      </c>
      <c r="L548" t="s">
        <v>41</v>
      </c>
      <c r="M548" t="s">
        <v>42</v>
      </c>
      <c r="N548" t="s">
        <v>43</v>
      </c>
      <c r="O548" s="7">
        <v>1</v>
      </c>
      <c r="P548" s="8">
        <v>45271.789479166669</v>
      </c>
      <c r="Q548" s="9">
        <v>45274</v>
      </c>
      <c r="R548" t="s">
        <v>37</v>
      </c>
      <c r="S548" t="s">
        <v>44</v>
      </c>
      <c r="T548" t="s">
        <v>45</v>
      </c>
      <c r="U548" t="s">
        <v>46</v>
      </c>
      <c r="V548" t="s">
        <v>1761</v>
      </c>
      <c r="W548">
        <v>86000</v>
      </c>
      <c r="X548" t="s">
        <v>44</v>
      </c>
      <c r="Y548" t="s">
        <v>285</v>
      </c>
      <c r="Z548" t="s">
        <v>49</v>
      </c>
      <c r="AA548" s="10">
        <f>IF(O548&lt;=1,7,7+0.8*ROUNDUP(O548-1,0))</f>
        <v>7</v>
      </c>
      <c r="AB548" s="11">
        <v>0</v>
      </c>
      <c r="AC548" s="11">
        <v>0</v>
      </c>
      <c r="AD548" s="11">
        <v>0</v>
      </c>
      <c r="AE548" s="11">
        <v>0</v>
      </c>
      <c r="AF548" s="11">
        <f t="shared" si="16"/>
        <v>0.42</v>
      </c>
      <c r="AG548" s="11">
        <f t="shared" si="17"/>
        <v>7.42</v>
      </c>
      <c r="AH548" t="s">
        <v>44</v>
      </c>
    </row>
    <row r="549" spans="1:34" ht="15" customHeight="1" x14ac:dyDescent="0.35">
      <c r="A549">
        <v>7547676</v>
      </c>
      <c r="B549">
        <v>690929</v>
      </c>
      <c r="C549" t="s">
        <v>34</v>
      </c>
      <c r="D549" t="s">
        <v>35</v>
      </c>
      <c r="E549" s="6" t="s">
        <v>34</v>
      </c>
      <c r="F549" t="s">
        <v>1762</v>
      </c>
      <c r="G549" t="s">
        <v>37</v>
      </c>
      <c r="H549" t="s">
        <v>38</v>
      </c>
      <c r="I549" t="s">
        <v>583</v>
      </c>
      <c r="J549" t="s">
        <v>40</v>
      </c>
      <c r="K549">
        <v>2</v>
      </c>
      <c r="L549" t="s">
        <v>41</v>
      </c>
      <c r="M549" t="s">
        <v>42</v>
      </c>
      <c r="N549" t="s">
        <v>43</v>
      </c>
      <c r="O549" s="7">
        <v>3</v>
      </c>
      <c r="P549" s="8">
        <v>45273.454398148147</v>
      </c>
      <c r="Q549" s="9">
        <v>45274</v>
      </c>
      <c r="R549" t="s">
        <v>37</v>
      </c>
      <c r="S549" t="s">
        <v>44</v>
      </c>
      <c r="T549" t="s">
        <v>45</v>
      </c>
      <c r="U549" t="s">
        <v>258</v>
      </c>
      <c r="V549" t="s">
        <v>584</v>
      </c>
      <c r="W549">
        <v>21100</v>
      </c>
      <c r="X549" t="s">
        <v>44</v>
      </c>
      <c r="Y549" t="s">
        <v>585</v>
      </c>
      <c r="Z549" t="s">
        <v>49</v>
      </c>
      <c r="AA549" s="10">
        <f>IF(O549&lt;=1,7,7+0.8*ROUNDUP(O549-1,0))</f>
        <v>8.6</v>
      </c>
      <c r="AB549" s="11">
        <v>0</v>
      </c>
      <c r="AC549" s="11">
        <v>0</v>
      </c>
      <c r="AD549" s="11">
        <v>0</v>
      </c>
      <c r="AE549" s="11">
        <v>0</v>
      </c>
      <c r="AF549" s="11">
        <f t="shared" si="16"/>
        <v>0.51600000000000001</v>
      </c>
      <c r="AG549" s="11">
        <f t="shared" si="17"/>
        <v>9.1159999999999997</v>
      </c>
      <c r="AH549" t="s">
        <v>44</v>
      </c>
    </row>
    <row r="550" spans="1:34" ht="15" customHeight="1" x14ac:dyDescent="0.35">
      <c r="A550">
        <v>7547676</v>
      </c>
      <c r="B550">
        <v>690929</v>
      </c>
      <c r="C550" t="s">
        <v>34</v>
      </c>
      <c r="D550" t="s">
        <v>35</v>
      </c>
      <c r="E550" s="6" t="s">
        <v>34</v>
      </c>
      <c r="F550" t="s">
        <v>1763</v>
      </c>
      <c r="G550" t="s">
        <v>37</v>
      </c>
      <c r="H550" t="s">
        <v>38</v>
      </c>
      <c r="I550" t="s">
        <v>988</v>
      </c>
      <c r="J550" t="s">
        <v>40</v>
      </c>
      <c r="K550">
        <v>2</v>
      </c>
      <c r="L550" t="s">
        <v>41</v>
      </c>
      <c r="M550" t="s">
        <v>42</v>
      </c>
      <c r="N550" t="s">
        <v>43</v>
      </c>
      <c r="O550" s="7">
        <v>1</v>
      </c>
      <c r="P550" s="8">
        <v>45272.626238425924</v>
      </c>
      <c r="Q550" s="9">
        <v>45274</v>
      </c>
      <c r="R550" t="s">
        <v>37</v>
      </c>
      <c r="S550" t="s">
        <v>44</v>
      </c>
      <c r="T550" t="s">
        <v>52</v>
      </c>
      <c r="U550" t="s">
        <v>58</v>
      </c>
      <c r="V550" t="s">
        <v>1764</v>
      </c>
      <c r="W550">
        <v>8100</v>
      </c>
      <c r="X550" t="s">
        <v>44</v>
      </c>
      <c r="Y550" t="s">
        <v>52</v>
      </c>
      <c r="Z550" t="s">
        <v>49</v>
      </c>
      <c r="AA550" s="10">
        <f>IF(O550&lt;=1,7,7+0.8*ROUNDUP(O550-1,0))</f>
        <v>7</v>
      </c>
      <c r="AB550" s="11">
        <v>0</v>
      </c>
      <c r="AC550" s="11">
        <v>0</v>
      </c>
      <c r="AD550" s="11">
        <v>0</v>
      </c>
      <c r="AE550" s="11">
        <v>0</v>
      </c>
      <c r="AF550" s="11">
        <f t="shared" si="16"/>
        <v>0.42</v>
      </c>
      <c r="AG550" s="11">
        <f t="shared" si="17"/>
        <v>7.42</v>
      </c>
      <c r="AH550" t="s">
        <v>44</v>
      </c>
    </row>
    <row r="551" spans="1:34" ht="15" customHeight="1" x14ac:dyDescent="0.35">
      <c r="A551">
        <v>7547676</v>
      </c>
      <c r="B551">
        <v>690929</v>
      </c>
      <c r="C551" t="s">
        <v>34</v>
      </c>
      <c r="D551" t="s">
        <v>35</v>
      </c>
      <c r="E551" s="6" t="s">
        <v>34</v>
      </c>
      <c r="F551" t="s">
        <v>1765</v>
      </c>
      <c r="G551" t="s">
        <v>37</v>
      </c>
      <c r="H551" t="s">
        <v>38</v>
      </c>
      <c r="I551" t="s">
        <v>1766</v>
      </c>
      <c r="J551" t="s">
        <v>40</v>
      </c>
      <c r="K551">
        <v>2</v>
      </c>
      <c r="L551" t="s">
        <v>41</v>
      </c>
      <c r="M551" t="s">
        <v>42</v>
      </c>
      <c r="N551" t="s">
        <v>43</v>
      </c>
      <c r="O551" s="7">
        <v>1</v>
      </c>
      <c r="P551" s="8">
        <v>45272.626238425924</v>
      </c>
      <c r="Q551" s="9">
        <v>45274</v>
      </c>
      <c r="R551" t="s">
        <v>37</v>
      </c>
      <c r="S551" t="s">
        <v>44</v>
      </c>
      <c r="T551" t="s">
        <v>45</v>
      </c>
      <c r="U551" t="s">
        <v>63</v>
      </c>
      <c r="V551" t="s">
        <v>1767</v>
      </c>
      <c r="W551">
        <v>78000</v>
      </c>
      <c r="X551" t="s">
        <v>44</v>
      </c>
      <c r="Y551" t="s">
        <v>1768</v>
      </c>
      <c r="Z551" t="s">
        <v>49</v>
      </c>
      <c r="AA551" s="10">
        <f>IF(O551&lt;=1,7,7+0.8*ROUNDUP(O551-1,0))</f>
        <v>7</v>
      </c>
      <c r="AB551" s="11">
        <v>0</v>
      </c>
      <c r="AC551" s="11">
        <v>0</v>
      </c>
      <c r="AD551" s="11">
        <v>0</v>
      </c>
      <c r="AE551" s="11">
        <v>0</v>
      </c>
      <c r="AF551" s="11">
        <f t="shared" si="16"/>
        <v>0.42</v>
      </c>
      <c r="AG551" s="11">
        <f t="shared" si="17"/>
        <v>7.42</v>
      </c>
      <c r="AH551" t="s">
        <v>44</v>
      </c>
    </row>
    <row r="552" spans="1:34" ht="15" customHeight="1" x14ac:dyDescent="0.35">
      <c r="A552">
        <v>7547676</v>
      </c>
      <c r="B552">
        <v>690929</v>
      </c>
      <c r="C552" t="s">
        <v>34</v>
      </c>
      <c r="D552" t="s">
        <v>35</v>
      </c>
      <c r="E552" s="6" t="s">
        <v>34</v>
      </c>
      <c r="F552" t="s">
        <v>1769</v>
      </c>
      <c r="G552" t="s">
        <v>37</v>
      </c>
      <c r="H552" t="s">
        <v>38</v>
      </c>
      <c r="I552" t="s">
        <v>1770</v>
      </c>
      <c r="J552" t="s">
        <v>40</v>
      </c>
      <c r="K552">
        <v>2</v>
      </c>
      <c r="L552" t="s">
        <v>41</v>
      </c>
      <c r="M552" t="s">
        <v>42</v>
      </c>
      <c r="N552" t="s">
        <v>43</v>
      </c>
      <c r="O552" s="7">
        <v>14</v>
      </c>
      <c r="P552" s="8">
        <v>45272.626238425924</v>
      </c>
      <c r="Q552" s="9">
        <v>45274</v>
      </c>
      <c r="R552" t="s">
        <v>37</v>
      </c>
      <c r="S552" t="s">
        <v>44</v>
      </c>
      <c r="T552" t="s">
        <v>45</v>
      </c>
      <c r="U552" t="s">
        <v>58</v>
      </c>
      <c r="V552" t="s">
        <v>1771</v>
      </c>
      <c r="W552">
        <v>8000</v>
      </c>
      <c r="X552" t="s">
        <v>44</v>
      </c>
      <c r="Y552" t="s">
        <v>520</v>
      </c>
      <c r="Z552" t="s">
        <v>49</v>
      </c>
      <c r="AA552" s="10">
        <f>IF(O552&lt;=1,7,7+0.8*ROUNDUP(O552-1,0))</f>
        <v>17.399999999999999</v>
      </c>
      <c r="AB552" s="11">
        <v>0</v>
      </c>
      <c r="AC552" s="11">
        <v>0</v>
      </c>
      <c r="AD552" s="11">
        <v>0</v>
      </c>
      <c r="AE552" s="11">
        <v>0</v>
      </c>
      <c r="AF552" s="11">
        <f t="shared" si="16"/>
        <v>1.0439999999999998</v>
      </c>
      <c r="AG552" s="11">
        <f t="shared" si="17"/>
        <v>18.443999999999999</v>
      </c>
      <c r="AH552" t="s">
        <v>44</v>
      </c>
    </row>
    <row r="553" spans="1:34" ht="15" customHeight="1" x14ac:dyDescent="0.35">
      <c r="A553">
        <v>7547676</v>
      </c>
      <c r="B553">
        <v>690929</v>
      </c>
      <c r="C553" t="s">
        <v>34</v>
      </c>
      <c r="D553" t="s">
        <v>35</v>
      </c>
      <c r="E553" s="6" t="s">
        <v>34</v>
      </c>
      <c r="F553" t="s">
        <v>1772</v>
      </c>
      <c r="G553" t="s">
        <v>37</v>
      </c>
      <c r="H553" t="s">
        <v>38</v>
      </c>
      <c r="I553" t="s">
        <v>1773</v>
      </c>
      <c r="J553" t="s">
        <v>40</v>
      </c>
      <c r="K553">
        <v>2</v>
      </c>
      <c r="L553" t="s">
        <v>41</v>
      </c>
      <c r="M553" t="s">
        <v>42</v>
      </c>
      <c r="N553" t="s">
        <v>43</v>
      </c>
      <c r="O553" s="7">
        <v>5</v>
      </c>
      <c r="P553" s="8">
        <v>45271.840046296296</v>
      </c>
      <c r="Q553" s="9">
        <v>45274</v>
      </c>
      <c r="R553" t="s">
        <v>37</v>
      </c>
      <c r="S553" t="s">
        <v>44</v>
      </c>
      <c r="T553" t="s">
        <v>45</v>
      </c>
      <c r="U553" t="s">
        <v>82</v>
      </c>
      <c r="V553" t="s">
        <v>1774</v>
      </c>
      <c r="W553">
        <v>71800</v>
      </c>
      <c r="X553" t="s">
        <v>44</v>
      </c>
      <c r="Y553" t="s">
        <v>84</v>
      </c>
      <c r="Z553" t="s">
        <v>49</v>
      </c>
      <c r="AA553" s="10">
        <f>IF(O553&lt;=1,7,7+0.8*ROUNDUP(O553-1,0))</f>
        <v>10.199999999999999</v>
      </c>
      <c r="AB553" s="11">
        <v>0</v>
      </c>
      <c r="AC553" s="11">
        <v>0</v>
      </c>
      <c r="AD553" s="11">
        <v>0</v>
      </c>
      <c r="AE553" s="11">
        <v>0</v>
      </c>
      <c r="AF553" s="11">
        <f t="shared" si="16"/>
        <v>0.61199999999999999</v>
      </c>
      <c r="AG553" s="11">
        <f t="shared" si="17"/>
        <v>10.811999999999999</v>
      </c>
      <c r="AH553" t="s">
        <v>44</v>
      </c>
    </row>
    <row r="554" spans="1:34" ht="15" customHeight="1" x14ac:dyDescent="0.35">
      <c r="A554">
        <v>7547676</v>
      </c>
      <c r="B554">
        <v>690929</v>
      </c>
      <c r="C554" t="s">
        <v>34</v>
      </c>
      <c r="D554" t="s">
        <v>35</v>
      </c>
      <c r="E554" s="6" t="s">
        <v>34</v>
      </c>
      <c r="F554" t="s">
        <v>1775</v>
      </c>
      <c r="G554" t="s">
        <v>37</v>
      </c>
      <c r="H554" t="s">
        <v>38</v>
      </c>
      <c r="I554" t="s">
        <v>1776</v>
      </c>
      <c r="J554" t="s">
        <v>40</v>
      </c>
      <c r="K554">
        <v>2</v>
      </c>
      <c r="L554" t="s">
        <v>41</v>
      </c>
      <c r="M554" t="s">
        <v>42</v>
      </c>
      <c r="N554" t="s">
        <v>43</v>
      </c>
      <c r="O554" s="7">
        <v>2</v>
      </c>
      <c r="P554" s="8">
        <v>45272.731006944443</v>
      </c>
      <c r="Q554" s="9">
        <v>45274</v>
      </c>
      <c r="R554" t="s">
        <v>37</v>
      </c>
      <c r="S554" t="s">
        <v>44</v>
      </c>
      <c r="T554" t="s">
        <v>45</v>
      </c>
      <c r="U554" t="s">
        <v>58</v>
      </c>
      <c r="V554" t="s">
        <v>1777</v>
      </c>
      <c r="W554">
        <v>5460</v>
      </c>
      <c r="X554" t="s">
        <v>44</v>
      </c>
      <c r="Y554" t="s">
        <v>847</v>
      </c>
      <c r="Z554" t="s">
        <v>49</v>
      </c>
      <c r="AA554" s="10">
        <f>IF(O554&lt;=1,7,7+0.8*ROUNDUP(O554-1,0))</f>
        <v>7.8</v>
      </c>
      <c r="AB554" s="11">
        <v>0</v>
      </c>
      <c r="AC554" s="11">
        <v>0</v>
      </c>
      <c r="AD554" s="11">
        <v>0</v>
      </c>
      <c r="AE554" s="11">
        <v>0</v>
      </c>
      <c r="AF554" s="11">
        <f t="shared" si="16"/>
        <v>0.46799999999999997</v>
      </c>
      <c r="AG554" s="11">
        <f t="shared" si="17"/>
        <v>8.2680000000000007</v>
      </c>
      <c r="AH554" t="s">
        <v>44</v>
      </c>
    </row>
    <row r="555" spans="1:34" ht="15" customHeight="1" x14ac:dyDescent="0.35">
      <c r="A555">
        <v>7547676</v>
      </c>
      <c r="B555">
        <v>690929</v>
      </c>
      <c r="C555" t="s">
        <v>34</v>
      </c>
      <c r="D555" t="s">
        <v>35</v>
      </c>
      <c r="E555" s="6" t="s">
        <v>34</v>
      </c>
      <c r="F555" t="s">
        <v>1778</v>
      </c>
      <c r="G555" t="s">
        <v>37</v>
      </c>
      <c r="H555" t="s">
        <v>38</v>
      </c>
      <c r="I555" t="s">
        <v>1779</v>
      </c>
      <c r="J555" t="s">
        <v>40</v>
      </c>
      <c r="K555">
        <v>2</v>
      </c>
      <c r="L555" t="s">
        <v>41</v>
      </c>
      <c r="M555" t="s">
        <v>42</v>
      </c>
      <c r="N555" t="s">
        <v>43</v>
      </c>
      <c r="O555" s="7">
        <v>1</v>
      </c>
      <c r="P555" s="8">
        <v>45271.789479166669</v>
      </c>
      <c r="Q555" s="9">
        <v>45274</v>
      </c>
      <c r="R555" t="s">
        <v>37</v>
      </c>
      <c r="S555" t="s">
        <v>44</v>
      </c>
      <c r="T555" t="s">
        <v>45</v>
      </c>
      <c r="U555" t="s">
        <v>94</v>
      </c>
      <c r="V555" t="s">
        <v>1780</v>
      </c>
      <c r="W555">
        <v>10400</v>
      </c>
      <c r="X555" t="s">
        <v>44</v>
      </c>
      <c r="Y555" t="s">
        <v>267</v>
      </c>
      <c r="Z555" t="s">
        <v>49</v>
      </c>
      <c r="AA555" s="10">
        <f>IF(O555&lt;=1,7,7+0.8*ROUNDUP(O555-1,0))</f>
        <v>7</v>
      </c>
      <c r="AB555" s="11">
        <v>0</v>
      </c>
      <c r="AC555" s="11">
        <v>0</v>
      </c>
      <c r="AD555" s="11">
        <v>0</v>
      </c>
      <c r="AE555" s="11">
        <v>0</v>
      </c>
      <c r="AF555" s="11">
        <f t="shared" si="16"/>
        <v>0.42</v>
      </c>
      <c r="AG555" s="11">
        <f t="shared" si="17"/>
        <v>7.42</v>
      </c>
      <c r="AH555" t="s">
        <v>44</v>
      </c>
    </row>
    <row r="556" spans="1:34" ht="15" customHeight="1" x14ac:dyDescent="0.35">
      <c r="A556">
        <v>7547676</v>
      </c>
      <c r="B556">
        <v>690929</v>
      </c>
      <c r="C556" t="s">
        <v>34</v>
      </c>
      <c r="D556" t="s">
        <v>35</v>
      </c>
      <c r="E556" s="6" t="s">
        <v>34</v>
      </c>
      <c r="F556" t="s">
        <v>1781</v>
      </c>
      <c r="H556" t="s">
        <v>38</v>
      </c>
      <c r="I556" t="s">
        <v>1782</v>
      </c>
      <c r="J556" t="s">
        <v>40</v>
      </c>
      <c r="K556">
        <v>2</v>
      </c>
      <c r="L556" t="s">
        <v>41</v>
      </c>
      <c r="M556" t="s">
        <v>42</v>
      </c>
      <c r="N556" t="s">
        <v>43</v>
      </c>
      <c r="O556" s="7">
        <v>1</v>
      </c>
      <c r="P556" s="8">
        <v>45287.607002314813</v>
      </c>
      <c r="Q556" s="9">
        <v>45288</v>
      </c>
      <c r="S556" t="s">
        <v>44</v>
      </c>
      <c r="T556" t="s">
        <v>45</v>
      </c>
      <c r="U556" t="s">
        <v>68</v>
      </c>
      <c r="V556" t="s">
        <v>1783</v>
      </c>
      <c r="W556">
        <v>40150</v>
      </c>
      <c r="X556" t="s">
        <v>44</v>
      </c>
      <c r="Y556" t="s">
        <v>1023</v>
      </c>
      <c r="Z556" t="s">
        <v>49</v>
      </c>
      <c r="AA556" s="10">
        <f>IF(O556&lt;=1,7,7+0.8*ROUNDUP(O556-1,0))</f>
        <v>7</v>
      </c>
      <c r="AB556" s="11">
        <v>0</v>
      </c>
      <c r="AC556" s="11">
        <v>0</v>
      </c>
      <c r="AD556" s="11">
        <v>0</v>
      </c>
      <c r="AE556" s="11">
        <v>0</v>
      </c>
      <c r="AF556" s="11">
        <f t="shared" si="16"/>
        <v>0.42</v>
      </c>
      <c r="AG556" s="11">
        <f t="shared" si="17"/>
        <v>7.42</v>
      </c>
      <c r="AH556" t="s">
        <v>44</v>
      </c>
    </row>
    <row r="557" spans="1:34" ht="15" customHeight="1" x14ac:dyDescent="0.35">
      <c r="A557">
        <v>7547676</v>
      </c>
      <c r="B557">
        <v>690929</v>
      </c>
      <c r="C557" t="s">
        <v>34</v>
      </c>
      <c r="D557" t="s">
        <v>35</v>
      </c>
      <c r="E557" s="6" t="s">
        <v>34</v>
      </c>
      <c r="F557" t="s">
        <v>1784</v>
      </c>
      <c r="H557" t="s">
        <v>38</v>
      </c>
      <c r="I557" t="s">
        <v>1785</v>
      </c>
      <c r="J557" t="s">
        <v>40</v>
      </c>
      <c r="K557">
        <v>2</v>
      </c>
      <c r="L557" t="s">
        <v>41</v>
      </c>
      <c r="M557" t="s">
        <v>42</v>
      </c>
      <c r="N557" t="s">
        <v>43</v>
      </c>
      <c r="O557" s="7">
        <v>1</v>
      </c>
      <c r="P557" s="8">
        <v>45286.732002314813</v>
      </c>
      <c r="Q557" s="9">
        <v>45288</v>
      </c>
      <c r="S557" t="s">
        <v>44</v>
      </c>
      <c r="T557" t="s">
        <v>52</v>
      </c>
      <c r="U557" t="s">
        <v>63</v>
      </c>
      <c r="V557" t="s">
        <v>1786</v>
      </c>
      <c r="W557">
        <v>77200</v>
      </c>
      <c r="X557" t="s">
        <v>44</v>
      </c>
      <c r="Y557" t="s">
        <v>1787</v>
      </c>
      <c r="Z557" t="s">
        <v>49</v>
      </c>
      <c r="AA557" s="10">
        <f>IF(O557&lt;=1,7,7+0.8*ROUNDUP(O557-1,0))</f>
        <v>7</v>
      </c>
      <c r="AB557" s="11">
        <v>0</v>
      </c>
      <c r="AC557" s="11">
        <v>0</v>
      </c>
      <c r="AD557" s="11">
        <v>0</v>
      </c>
      <c r="AE557" s="11">
        <v>0</v>
      </c>
      <c r="AF557" s="11">
        <f t="shared" si="16"/>
        <v>0.42</v>
      </c>
      <c r="AG557" s="11">
        <f t="shared" si="17"/>
        <v>7.42</v>
      </c>
      <c r="AH557" t="s">
        <v>44</v>
      </c>
    </row>
    <row r="558" spans="1:34" ht="15" customHeight="1" x14ac:dyDescent="0.35">
      <c r="A558">
        <v>7547676</v>
      </c>
      <c r="B558">
        <v>690929</v>
      </c>
      <c r="C558" t="s">
        <v>34</v>
      </c>
      <c r="D558" t="s">
        <v>35</v>
      </c>
      <c r="E558" s="6" t="s">
        <v>34</v>
      </c>
      <c r="F558" t="s">
        <v>1788</v>
      </c>
      <c r="H558" t="s">
        <v>38</v>
      </c>
      <c r="I558" t="s">
        <v>1789</v>
      </c>
      <c r="J558" t="s">
        <v>40</v>
      </c>
      <c r="K558">
        <v>2</v>
      </c>
      <c r="L558" t="s">
        <v>41</v>
      </c>
      <c r="M558" t="s">
        <v>42</v>
      </c>
      <c r="N558" t="s">
        <v>43</v>
      </c>
      <c r="O558" s="7">
        <v>1</v>
      </c>
      <c r="P558" s="8">
        <v>45286.576701388891</v>
      </c>
      <c r="Q558" s="9">
        <v>45288</v>
      </c>
      <c r="S558" t="s">
        <v>44</v>
      </c>
      <c r="T558" t="s">
        <v>52</v>
      </c>
      <c r="U558" t="s">
        <v>77</v>
      </c>
      <c r="V558" t="s">
        <v>1790</v>
      </c>
      <c r="W558">
        <v>26600</v>
      </c>
      <c r="X558" t="s">
        <v>44</v>
      </c>
      <c r="Y558" t="s">
        <v>1791</v>
      </c>
      <c r="Z558" t="s">
        <v>49</v>
      </c>
      <c r="AA558" s="10">
        <f>IF(O558&lt;=1,7,7+0.8*ROUNDUP(O558-1,0))</f>
        <v>7</v>
      </c>
      <c r="AB558" s="11">
        <v>0</v>
      </c>
      <c r="AC558" s="11">
        <v>0</v>
      </c>
      <c r="AD558" s="11">
        <v>0</v>
      </c>
      <c r="AE558" s="11">
        <v>0</v>
      </c>
      <c r="AF558" s="11">
        <f t="shared" si="16"/>
        <v>0.42</v>
      </c>
      <c r="AG558" s="11">
        <f t="shared" si="17"/>
        <v>7.42</v>
      </c>
      <c r="AH558" t="s">
        <v>44</v>
      </c>
    </row>
    <row r="559" spans="1:34" ht="15" customHeight="1" x14ac:dyDescent="0.35">
      <c r="A559">
        <v>7547676</v>
      </c>
      <c r="B559">
        <v>690929</v>
      </c>
      <c r="C559" t="s">
        <v>34</v>
      </c>
      <c r="D559" t="s">
        <v>35</v>
      </c>
      <c r="E559" s="6" t="s">
        <v>34</v>
      </c>
      <c r="F559" t="s">
        <v>1792</v>
      </c>
      <c r="H559" t="s">
        <v>38</v>
      </c>
      <c r="I559" t="s">
        <v>1793</v>
      </c>
      <c r="J559" t="s">
        <v>40</v>
      </c>
      <c r="K559">
        <v>2</v>
      </c>
      <c r="L559" t="s">
        <v>41</v>
      </c>
      <c r="M559" t="s">
        <v>42</v>
      </c>
      <c r="N559" t="s">
        <v>43</v>
      </c>
      <c r="O559" s="7">
        <v>2</v>
      </c>
      <c r="P559" s="8">
        <v>45287.647291666668</v>
      </c>
      <c r="Q559" s="9">
        <v>45288</v>
      </c>
      <c r="S559" t="s">
        <v>44</v>
      </c>
      <c r="T559" t="s">
        <v>45</v>
      </c>
      <c r="U559" t="s">
        <v>68</v>
      </c>
      <c r="V559" t="s">
        <v>1794</v>
      </c>
      <c r="W559">
        <v>44300</v>
      </c>
      <c r="X559" t="s">
        <v>44</v>
      </c>
      <c r="Y559" t="s">
        <v>309</v>
      </c>
      <c r="Z559" t="s">
        <v>49</v>
      </c>
      <c r="AA559" s="10">
        <f>IF(O559&lt;=1,7,7+0.8*ROUNDUP(O559-1,0))</f>
        <v>7.8</v>
      </c>
      <c r="AB559" s="11">
        <v>0</v>
      </c>
      <c r="AC559" s="11">
        <v>0</v>
      </c>
      <c r="AD559" s="11">
        <v>0</v>
      </c>
      <c r="AE559" s="11">
        <v>0</v>
      </c>
      <c r="AF559" s="11">
        <f t="shared" si="16"/>
        <v>0.46799999999999997</v>
      </c>
      <c r="AG559" s="11">
        <f t="shared" si="17"/>
        <v>8.2680000000000007</v>
      </c>
      <c r="AH559" t="s">
        <v>44</v>
      </c>
    </row>
    <row r="560" spans="1:34" ht="15" customHeight="1" x14ac:dyDescent="0.35">
      <c r="A560">
        <v>7547676</v>
      </c>
      <c r="B560">
        <v>690929</v>
      </c>
      <c r="C560" t="s">
        <v>34</v>
      </c>
      <c r="D560" t="s">
        <v>35</v>
      </c>
      <c r="E560" s="6" t="s">
        <v>34</v>
      </c>
      <c r="F560" t="s">
        <v>1795</v>
      </c>
      <c r="H560" t="s">
        <v>38</v>
      </c>
      <c r="I560" t="s">
        <v>1796</v>
      </c>
      <c r="J560" t="s">
        <v>40</v>
      </c>
      <c r="K560">
        <v>2</v>
      </c>
      <c r="L560" t="s">
        <v>41</v>
      </c>
      <c r="M560" t="s">
        <v>42</v>
      </c>
      <c r="N560" t="s">
        <v>43</v>
      </c>
      <c r="O560" s="7">
        <v>2</v>
      </c>
      <c r="P560" s="8">
        <v>45286.785439814812</v>
      </c>
      <c r="Q560" s="9">
        <v>45288</v>
      </c>
      <c r="S560" t="s">
        <v>44</v>
      </c>
      <c r="T560" t="s">
        <v>52</v>
      </c>
      <c r="U560" t="s">
        <v>68</v>
      </c>
      <c r="V560" t="s">
        <v>1797</v>
      </c>
      <c r="W560">
        <v>42700</v>
      </c>
      <c r="X560" t="s">
        <v>44</v>
      </c>
      <c r="Y560" t="s">
        <v>52</v>
      </c>
      <c r="Z560" t="s">
        <v>49</v>
      </c>
      <c r="AA560" s="10">
        <f>IF(O560&lt;=1,7,7+0.8*ROUNDUP(O560-1,0))</f>
        <v>7.8</v>
      </c>
      <c r="AB560" s="11">
        <v>0</v>
      </c>
      <c r="AC560" s="11">
        <v>0</v>
      </c>
      <c r="AD560" s="11">
        <v>0</v>
      </c>
      <c r="AE560" s="11">
        <v>0</v>
      </c>
      <c r="AF560" s="11">
        <f t="shared" si="16"/>
        <v>0.46799999999999997</v>
      </c>
      <c r="AG560" s="11">
        <f t="shared" si="17"/>
        <v>8.2680000000000007</v>
      </c>
      <c r="AH560" t="s">
        <v>44</v>
      </c>
    </row>
    <row r="561" spans="1:34" ht="15" customHeight="1" x14ac:dyDescent="0.35">
      <c r="A561">
        <v>7547676</v>
      </c>
      <c r="B561">
        <v>690929</v>
      </c>
      <c r="C561" t="s">
        <v>34</v>
      </c>
      <c r="D561" t="s">
        <v>35</v>
      </c>
      <c r="E561" s="6" t="s">
        <v>34</v>
      </c>
      <c r="F561" t="s">
        <v>1798</v>
      </c>
      <c r="H561" t="s">
        <v>38</v>
      </c>
      <c r="I561" t="s">
        <v>1799</v>
      </c>
      <c r="J561" t="s">
        <v>40</v>
      </c>
      <c r="K561">
        <v>2</v>
      </c>
      <c r="L561" t="s">
        <v>41</v>
      </c>
      <c r="M561" t="s">
        <v>42</v>
      </c>
      <c r="N561" t="s">
        <v>43</v>
      </c>
      <c r="O561" s="7">
        <v>1</v>
      </c>
      <c r="P561" s="8">
        <v>45286.540636574071</v>
      </c>
      <c r="Q561" s="9">
        <v>45288</v>
      </c>
      <c r="S561" t="s">
        <v>44</v>
      </c>
      <c r="T561" t="s">
        <v>52</v>
      </c>
      <c r="U561" t="s">
        <v>63</v>
      </c>
      <c r="V561" t="s">
        <v>1800</v>
      </c>
      <c r="W561">
        <v>76400</v>
      </c>
      <c r="X561" t="s">
        <v>44</v>
      </c>
      <c r="Y561" t="s">
        <v>65</v>
      </c>
      <c r="Z561" t="s">
        <v>49</v>
      </c>
      <c r="AA561" s="10">
        <f>IF(O561&lt;=1,7,7+0.8*ROUNDUP(O561-1,0))</f>
        <v>7</v>
      </c>
      <c r="AB561" s="11">
        <v>0</v>
      </c>
      <c r="AC561" s="11">
        <v>0</v>
      </c>
      <c r="AD561" s="11">
        <v>0</v>
      </c>
      <c r="AE561" s="11">
        <v>0</v>
      </c>
      <c r="AF561" s="11">
        <f t="shared" si="16"/>
        <v>0.42</v>
      </c>
      <c r="AG561" s="11">
        <f t="shared" si="17"/>
        <v>7.42</v>
      </c>
      <c r="AH561" t="s">
        <v>44</v>
      </c>
    </row>
    <row r="562" spans="1:34" ht="15" customHeight="1" x14ac:dyDescent="0.35">
      <c r="A562">
        <v>7547676</v>
      </c>
      <c r="B562">
        <v>690929</v>
      </c>
      <c r="C562" t="s">
        <v>34</v>
      </c>
      <c r="D562" t="s">
        <v>35</v>
      </c>
      <c r="E562" s="6" t="s">
        <v>34</v>
      </c>
      <c r="F562" t="s">
        <v>1801</v>
      </c>
      <c r="H562" t="s">
        <v>38</v>
      </c>
      <c r="I562" t="s">
        <v>1802</v>
      </c>
      <c r="J562" t="s">
        <v>40</v>
      </c>
      <c r="K562">
        <v>2</v>
      </c>
      <c r="L562" t="s">
        <v>41</v>
      </c>
      <c r="M562" t="s">
        <v>42</v>
      </c>
      <c r="N562" t="s">
        <v>43</v>
      </c>
      <c r="O562" s="7">
        <v>2</v>
      </c>
      <c r="P562" s="8">
        <v>45286.643379629626</v>
      </c>
      <c r="Q562" s="9">
        <v>45288</v>
      </c>
      <c r="S562" t="s">
        <v>44</v>
      </c>
      <c r="T562" t="s">
        <v>52</v>
      </c>
      <c r="U562" t="s">
        <v>63</v>
      </c>
      <c r="V562" t="s">
        <v>1803</v>
      </c>
      <c r="W562">
        <v>78300</v>
      </c>
      <c r="X562" t="s">
        <v>44</v>
      </c>
      <c r="Y562" t="s">
        <v>65</v>
      </c>
      <c r="Z562" t="s">
        <v>49</v>
      </c>
      <c r="AA562" s="10">
        <f>IF(O562&lt;=1,7,7+0.8*ROUNDUP(O562-1,0))</f>
        <v>7.8</v>
      </c>
      <c r="AB562" s="11">
        <v>0</v>
      </c>
      <c r="AC562" s="11">
        <v>0</v>
      </c>
      <c r="AD562" s="11">
        <v>0</v>
      </c>
      <c r="AE562" s="11">
        <v>0</v>
      </c>
      <c r="AF562" s="11">
        <f t="shared" si="16"/>
        <v>0.46799999999999997</v>
      </c>
      <c r="AG562" s="11">
        <f t="shared" si="17"/>
        <v>8.2680000000000007</v>
      </c>
      <c r="AH562" t="s">
        <v>44</v>
      </c>
    </row>
    <row r="563" spans="1:34" ht="15" customHeight="1" x14ac:dyDescent="0.35">
      <c r="A563">
        <v>7547676</v>
      </c>
      <c r="B563">
        <v>690929</v>
      </c>
      <c r="C563" t="s">
        <v>34</v>
      </c>
      <c r="D563" t="s">
        <v>35</v>
      </c>
      <c r="E563" s="6" t="s">
        <v>34</v>
      </c>
      <c r="F563" t="s">
        <v>1804</v>
      </c>
      <c r="H563" t="s">
        <v>38</v>
      </c>
      <c r="I563" t="s">
        <v>1805</v>
      </c>
      <c r="J563" t="s">
        <v>40</v>
      </c>
      <c r="K563">
        <v>2</v>
      </c>
      <c r="L563" t="s">
        <v>41</v>
      </c>
      <c r="M563" t="s">
        <v>42</v>
      </c>
      <c r="N563" t="s">
        <v>43</v>
      </c>
      <c r="O563" s="7">
        <v>3</v>
      </c>
      <c r="P563" s="8">
        <v>45286.747916666667</v>
      </c>
      <c r="Q563" s="9">
        <v>45288</v>
      </c>
      <c r="S563" t="s">
        <v>44</v>
      </c>
      <c r="T563" t="s">
        <v>45</v>
      </c>
      <c r="U563" t="s">
        <v>58</v>
      </c>
      <c r="V563" t="s">
        <v>1806</v>
      </c>
      <c r="W563">
        <v>6200</v>
      </c>
      <c r="X563" t="s">
        <v>44</v>
      </c>
      <c r="Y563" t="s">
        <v>1807</v>
      </c>
      <c r="Z563" t="s">
        <v>49</v>
      </c>
      <c r="AA563" s="10">
        <f>IF(O563&lt;=1,7,7+0.8*ROUNDUP(O563-1,0))</f>
        <v>8.6</v>
      </c>
      <c r="AB563" s="11">
        <v>0</v>
      </c>
      <c r="AC563" s="11">
        <v>0</v>
      </c>
      <c r="AD563" s="11">
        <v>0</v>
      </c>
      <c r="AE563" s="11">
        <v>0</v>
      </c>
      <c r="AF563" s="11">
        <f t="shared" si="16"/>
        <v>0.51600000000000001</v>
      </c>
      <c r="AG563" s="11">
        <f t="shared" si="17"/>
        <v>9.1159999999999997</v>
      </c>
      <c r="AH563" t="s">
        <v>44</v>
      </c>
    </row>
    <row r="564" spans="1:34" ht="15" customHeight="1" x14ac:dyDescent="0.35">
      <c r="A564">
        <v>7547676</v>
      </c>
      <c r="B564">
        <v>690929</v>
      </c>
      <c r="C564" t="s">
        <v>34</v>
      </c>
      <c r="D564" t="s">
        <v>35</v>
      </c>
      <c r="E564" s="6" t="s">
        <v>34</v>
      </c>
      <c r="F564" t="s">
        <v>1808</v>
      </c>
      <c r="H564" t="s">
        <v>38</v>
      </c>
      <c r="I564" t="s">
        <v>1809</v>
      </c>
      <c r="J564" t="s">
        <v>40</v>
      </c>
      <c r="K564">
        <v>2</v>
      </c>
      <c r="L564" t="s">
        <v>41</v>
      </c>
      <c r="M564" t="s">
        <v>42</v>
      </c>
      <c r="N564" t="s">
        <v>43</v>
      </c>
      <c r="O564" s="7">
        <v>2</v>
      </c>
      <c r="P564" s="8">
        <v>45286.675115740742</v>
      </c>
      <c r="Q564" s="9">
        <v>45288</v>
      </c>
      <c r="S564" t="s">
        <v>44</v>
      </c>
      <c r="T564" t="s">
        <v>45</v>
      </c>
      <c r="U564" t="s">
        <v>68</v>
      </c>
      <c r="V564" t="s">
        <v>1810</v>
      </c>
      <c r="W564">
        <v>68100</v>
      </c>
      <c r="X564" t="s">
        <v>44</v>
      </c>
      <c r="Y564" t="s">
        <v>494</v>
      </c>
      <c r="Z564" t="s">
        <v>49</v>
      </c>
      <c r="AA564" s="10">
        <f>IF(O564&lt;=1,7,7+0.8*ROUNDUP(O564-1,0))</f>
        <v>7.8</v>
      </c>
      <c r="AB564" s="11">
        <v>0</v>
      </c>
      <c r="AC564" s="11">
        <v>0</v>
      </c>
      <c r="AD564" s="11">
        <v>0</v>
      </c>
      <c r="AE564" s="11">
        <v>0</v>
      </c>
      <c r="AF564" s="11">
        <f t="shared" si="16"/>
        <v>0.46799999999999997</v>
      </c>
      <c r="AG564" s="11">
        <f t="shared" si="17"/>
        <v>8.2680000000000007</v>
      </c>
      <c r="AH564" t="s">
        <v>44</v>
      </c>
    </row>
    <row r="565" spans="1:34" ht="15" customHeight="1" x14ac:dyDescent="0.35">
      <c r="A565">
        <v>7547676</v>
      </c>
      <c r="B565">
        <v>690929</v>
      </c>
      <c r="C565" t="s">
        <v>34</v>
      </c>
      <c r="D565" t="s">
        <v>35</v>
      </c>
      <c r="E565" s="6" t="s">
        <v>34</v>
      </c>
      <c r="F565" t="s">
        <v>1811</v>
      </c>
      <c r="H565" t="s">
        <v>38</v>
      </c>
      <c r="I565" t="s">
        <v>1812</v>
      </c>
      <c r="J565" t="s">
        <v>40</v>
      </c>
      <c r="K565">
        <v>2</v>
      </c>
      <c r="L565" t="s">
        <v>41</v>
      </c>
      <c r="M565" t="s">
        <v>42</v>
      </c>
      <c r="N565" t="s">
        <v>43</v>
      </c>
      <c r="O565" s="7">
        <v>2</v>
      </c>
      <c r="P565" s="8">
        <v>45287.607002314813</v>
      </c>
      <c r="Q565" s="9">
        <v>45288</v>
      </c>
      <c r="S565" t="s">
        <v>44</v>
      </c>
      <c r="T565" t="s">
        <v>45</v>
      </c>
      <c r="U565" t="s">
        <v>68</v>
      </c>
      <c r="V565" t="s">
        <v>1813</v>
      </c>
      <c r="W565">
        <v>43000</v>
      </c>
      <c r="X565" t="s">
        <v>44</v>
      </c>
      <c r="Y565" t="s">
        <v>1292</v>
      </c>
      <c r="Z565" t="s">
        <v>49</v>
      </c>
      <c r="AA565" s="10">
        <f>IF(O565&lt;=1,7,7+0.8*ROUNDUP(O565-1,0))</f>
        <v>7.8</v>
      </c>
      <c r="AB565" s="11">
        <v>0</v>
      </c>
      <c r="AC565" s="11">
        <v>0</v>
      </c>
      <c r="AD565" s="11">
        <v>0</v>
      </c>
      <c r="AE565" s="11">
        <v>0</v>
      </c>
      <c r="AF565" s="11">
        <f t="shared" si="16"/>
        <v>0.46799999999999997</v>
      </c>
      <c r="AG565" s="11">
        <f t="shared" si="17"/>
        <v>8.2680000000000007</v>
      </c>
      <c r="AH565" t="s">
        <v>44</v>
      </c>
    </row>
    <row r="566" spans="1:34" ht="15" customHeight="1" x14ac:dyDescent="0.35">
      <c r="A566">
        <v>7547676</v>
      </c>
      <c r="B566">
        <v>690929</v>
      </c>
      <c r="C566" t="s">
        <v>34</v>
      </c>
      <c r="D566" t="s">
        <v>35</v>
      </c>
      <c r="E566" s="6" t="s">
        <v>34</v>
      </c>
      <c r="F566" t="s">
        <v>1814</v>
      </c>
      <c r="H566" t="s">
        <v>38</v>
      </c>
      <c r="I566" t="s">
        <v>171</v>
      </c>
      <c r="J566" t="s">
        <v>40</v>
      </c>
      <c r="K566">
        <v>2</v>
      </c>
      <c r="L566" t="s">
        <v>41</v>
      </c>
      <c r="M566" t="s">
        <v>42</v>
      </c>
      <c r="N566" t="s">
        <v>43</v>
      </c>
      <c r="O566" s="7">
        <v>1</v>
      </c>
      <c r="P566" s="8">
        <v>45286.647268518522</v>
      </c>
      <c r="Q566" s="9">
        <v>45288</v>
      </c>
      <c r="S566" t="s">
        <v>44</v>
      </c>
      <c r="T566" t="s">
        <v>1601</v>
      </c>
      <c r="U566" t="s">
        <v>68</v>
      </c>
      <c r="V566" t="s">
        <v>172</v>
      </c>
      <c r="W566">
        <v>40000</v>
      </c>
      <c r="X566" t="s">
        <v>44</v>
      </c>
      <c r="Y566" t="s">
        <v>52</v>
      </c>
      <c r="Z566" t="s">
        <v>49</v>
      </c>
      <c r="AA566" s="10">
        <f>IF(O566&lt;=1,7,7+0.8*ROUNDUP(O566-1,0))</f>
        <v>7</v>
      </c>
      <c r="AB566" s="11">
        <v>0</v>
      </c>
      <c r="AC566" s="11">
        <v>0</v>
      </c>
      <c r="AD566" s="11">
        <v>0</v>
      </c>
      <c r="AE566" s="11">
        <v>0</v>
      </c>
      <c r="AF566" s="11">
        <f t="shared" si="16"/>
        <v>0.42</v>
      </c>
      <c r="AG566" s="11">
        <f t="shared" si="17"/>
        <v>7.42</v>
      </c>
      <c r="AH566" t="s">
        <v>44</v>
      </c>
    </row>
    <row r="567" spans="1:34" ht="15" customHeight="1" x14ac:dyDescent="0.35">
      <c r="A567">
        <v>7547676</v>
      </c>
      <c r="B567">
        <v>690929</v>
      </c>
      <c r="C567" t="s">
        <v>34</v>
      </c>
      <c r="D567" t="s">
        <v>35</v>
      </c>
      <c r="E567" s="6" t="s">
        <v>34</v>
      </c>
      <c r="F567" t="s">
        <v>1815</v>
      </c>
      <c r="H567" t="s">
        <v>38</v>
      </c>
      <c r="I567" t="s">
        <v>1816</v>
      </c>
      <c r="J567" t="s">
        <v>40</v>
      </c>
      <c r="K567">
        <v>2</v>
      </c>
      <c r="L567" t="s">
        <v>41</v>
      </c>
      <c r="M567" t="s">
        <v>42</v>
      </c>
      <c r="N567" t="s">
        <v>43</v>
      </c>
      <c r="O567" s="7">
        <v>6</v>
      </c>
      <c r="P567" s="8">
        <v>45287.615023148152</v>
      </c>
      <c r="Q567" s="9">
        <v>45288</v>
      </c>
      <c r="S567" t="s">
        <v>44</v>
      </c>
      <c r="T567" t="s">
        <v>45</v>
      </c>
      <c r="U567" t="s">
        <v>115</v>
      </c>
      <c r="V567" t="s">
        <v>1817</v>
      </c>
      <c r="W567">
        <v>17500</v>
      </c>
      <c r="X567" t="s">
        <v>44</v>
      </c>
      <c r="Y567" t="s">
        <v>169</v>
      </c>
      <c r="Z567" t="s">
        <v>49</v>
      </c>
      <c r="AA567" s="10">
        <f>IF(O567&lt;=1,7,7+0.8*ROUNDUP(O567-1,0))</f>
        <v>11</v>
      </c>
      <c r="AB567" s="11">
        <v>0</v>
      </c>
      <c r="AC567" s="11">
        <v>0</v>
      </c>
      <c r="AD567" s="11">
        <v>0</v>
      </c>
      <c r="AE567" s="11">
        <v>0</v>
      </c>
      <c r="AF567" s="11">
        <f t="shared" si="16"/>
        <v>0.65999999999999992</v>
      </c>
      <c r="AG567" s="11">
        <f t="shared" si="17"/>
        <v>11.66</v>
      </c>
      <c r="AH567" t="s">
        <v>44</v>
      </c>
    </row>
    <row r="568" spans="1:34" ht="15" customHeight="1" x14ac:dyDescent="0.35">
      <c r="A568">
        <v>7547676</v>
      </c>
      <c r="B568">
        <v>690929</v>
      </c>
      <c r="C568" t="s">
        <v>34</v>
      </c>
      <c r="D568" t="s">
        <v>35</v>
      </c>
      <c r="E568" s="6" t="s">
        <v>34</v>
      </c>
      <c r="F568" t="s">
        <v>1818</v>
      </c>
      <c r="H568" t="s">
        <v>38</v>
      </c>
      <c r="I568" t="s">
        <v>1819</v>
      </c>
      <c r="J568" t="s">
        <v>40</v>
      </c>
      <c r="K568">
        <v>2</v>
      </c>
      <c r="L568" t="s">
        <v>41</v>
      </c>
      <c r="M568" t="s">
        <v>42</v>
      </c>
      <c r="N568" t="s">
        <v>43</v>
      </c>
      <c r="O568" s="7">
        <v>5</v>
      </c>
      <c r="P568" s="8">
        <v>45286.747916666667</v>
      </c>
      <c r="Q568" s="9">
        <v>45288</v>
      </c>
      <c r="S568" t="s">
        <v>44</v>
      </c>
      <c r="T568" t="s">
        <v>45</v>
      </c>
      <c r="U568" t="s">
        <v>68</v>
      </c>
      <c r="V568" t="s">
        <v>1820</v>
      </c>
      <c r="W568">
        <v>40150</v>
      </c>
      <c r="X568" t="s">
        <v>44</v>
      </c>
      <c r="Y568" t="s">
        <v>602</v>
      </c>
      <c r="Z568" t="s">
        <v>49</v>
      </c>
      <c r="AA568" s="10">
        <f>IF(O568&lt;=1,7,7+0.8*ROUNDUP(O568-1,0))</f>
        <v>10.199999999999999</v>
      </c>
      <c r="AB568" s="11">
        <v>0</v>
      </c>
      <c r="AC568" s="11">
        <v>0</v>
      </c>
      <c r="AD568" s="11">
        <v>0</v>
      </c>
      <c r="AE568" s="11">
        <v>0</v>
      </c>
      <c r="AF568" s="11">
        <f t="shared" si="16"/>
        <v>0.61199999999999999</v>
      </c>
      <c r="AG568" s="11">
        <f t="shared" si="17"/>
        <v>10.811999999999999</v>
      </c>
      <c r="AH568" t="s">
        <v>44</v>
      </c>
    </row>
    <row r="569" spans="1:34" ht="15" customHeight="1" x14ac:dyDescent="0.35">
      <c r="A569">
        <v>7547676</v>
      </c>
      <c r="B569">
        <v>690929</v>
      </c>
      <c r="C569" t="s">
        <v>34</v>
      </c>
      <c r="D569" t="s">
        <v>35</v>
      </c>
      <c r="E569" s="6" t="s">
        <v>34</v>
      </c>
      <c r="F569" t="s">
        <v>1821</v>
      </c>
      <c r="H569" t="s">
        <v>38</v>
      </c>
      <c r="I569" t="s">
        <v>171</v>
      </c>
      <c r="J569" t="s">
        <v>40</v>
      </c>
      <c r="K569">
        <v>2</v>
      </c>
      <c r="L569" t="s">
        <v>41</v>
      </c>
      <c r="M569" t="s">
        <v>42</v>
      </c>
      <c r="N569" t="s">
        <v>43</v>
      </c>
      <c r="O569" s="7">
        <v>1</v>
      </c>
      <c r="P569" s="8">
        <v>45287.607002314813</v>
      </c>
      <c r="Q569" s="9">
        <v>45288</v>
      </c>
      <c r="S569" t="s">
        <v>44</v>
      </c>
      <c r="T569" t="s">
        <v>45</v>
      </c>
      <c r="U569" t="s">
        <v>68</v>
      </c>
      <c r="V569" t="s">
        <v>172</v>
      </c>
      <c r="W569">
        <v>40000</v>
      </c>
      <c r="X569" t="s">
        <v>44</v>
      </c>
      <c r="Y569" t="s">
        <v>52</v>
      </c>
      <c r="Z569" t="s">
        <v>49</v>
      </c>
      <c r="AA569" s="10">
        <f>IF(O569&lt;=1,7,7+0.8*ROUNDUP(O569-1,0))</f>
        <v>7</v>
      </c>
      <c r="AB569" s="11">
        <v>0</v>
      </c>
      <c r="AC569" s="11">
        <v>0</v>
      </c>
      <c r="AD569" s="11">
        <v>0</v>
      </c>
      <c r="AE569" s="11">
        <v>0</v>
      </c>
      <c r="AF569" s="11">
        <f t="shared" si="16"/>
        <v>0.42</v>
      </c>
      <c r="AG569" s="11">
        <f t="shared" si="17"/>
        <v>7.42</v>
      </c>
      <c r="AH569" t="s">
        <v>44</v>
      </c>
    </row>
    <row r="570" spans="1:34" ht="15" customHeight="1" x14ac:dyDescent="0.35">
      <c r="A570">
        <v>7547676</v>
      </c>
      <c r="B570">
        <v>690929</v>
      </c>
      <c r="C570" t="s">
        <v>34</v>
      </c>
      <c r="D570" t="s">
        <v>35</v>
      </c>
      <c r="E570" s="6" t="s">
        <v>34</v>
      </c>
      <c r="F570" t="s">
        <v>1822</v>
      </c>
      <c r="H570" t="s">
        <v>38</v>
      </c>
      <c r="I570" t="s">
        <v>1823</v>
      </c>
      <c r="J570" t="s">
        <v>40</v>
      </c>
      <c r="K570">
        <v>2</v>
      </c>
      <c r="L570" t="s">
        <v>41</v>
      </c>
      <c r="M570" t="s">
        <v>42</v>
      </c>
      <c r="N570" t="s">
        <v>43</v>
      </c>
      <c r="O570" s="7">
        <v>1</v>
      </c>
      <c r="P570" s="8">
        <v>45286.697476851848</v>
      </c>
      <c r="Q570" s="9">
        <v>45288</v>
      </c>
      <c r="S570" t="s">
        <v>44</v>
      </c>
      <c r="T570" t="s">
        <v>52</v>
      </c>
      <c r="U570" t="s">
        <v>82</v>
      </c>
      <c r="V570" t="s">
        <v>1824</v>
      </c>
      <c r="W570">
        <v>70200</v>
      </c>
      <c r="X570" t="s">
        <v>44</v>
      </c>
      <c r="Y570" t="s">
        <v>1405</v>
      </c>
      <c r="Z570" t="s">
        <v>49</v>
      </c>
      <c r="AA570" s="10">
        <f>IF(O570&lt;=1,7,7+0.8*ROUNDUP(O570-1,0))</f>
        <v>7</v>
      </c>
      <c r="AB570" s="11">
        <v>0</v>
      </c>
      <c r="AC570" s="11">
        <v>0</v>
      </c>
      <c r="AD570" s="11">
        <v>0</v>
      </c>
      <c r="AE570" s="11">
        <v>0</v>
      </c>
      <c r="AF570" s="11">
        <f t="shared" si="16"/>
        <v>0.42</v>
      </c>
      <c r="AG570" s="11">
        <f t="shared" si="17"/>
        <v>7.42</v>
      </c>
      <c r="AH570" t="s">
        <v>44</v>
      </c>
    </row>
    <row r="571" spans="1:34" ht="15" customHeight="1" x14ac:dyDescent="0.35">
      <c r="A571">
        <v>7547676</v>
      </c>
      <c r="B571">
        <v>690929</v>
      </c>
      <c r="C571" t="s">
        <v>34</v>
      </c>
      <c r="D571" t="s">
        <v>35</v>
      </c>
      <c r="E571" s="6" t="s">
        <v>34</v>
      </c>
      <c r="F571" t="s">
        <v>1825</v>
      </c>
      <c r="H571" t="s">
        <v>38</v>
      </c>
      <c r="I571" t="s">
        <v>1826</v>
      </c>
      <c r="J571" t="s">
        <v>40</v>
      </c>
      <c r="K571">
        <v>2</v>
      </c>
      <c r="L571" t="s">
        <v>41</v>
      </c>
      <c r="M571" t="s">
        <v>42</v>
      </c>
      <c r="N571" t="s">
        <v>43</v>
      </c>
      <c r="O571" s="7">
        <v>1</v>
      </c>
      <c r="P571" s="8">
        <v>45284.797569444447</v>
      </c>
      <c r="Q571" s="9">
        <v>45288</v>
      </c>
      <c r="S571" t="s">
        <v>44</v>
      </c>
      <c r="T571" t="s">
        <v>52</v>
      </c>
      <c r="U571" t="s">
        <v>115</v>
      </c>
      <c r="V571" t="s">
        <v>1827</v>
      </c>
      <c r="W571">
        <v>17600</v>
      </c>
      <c r="X571" t="s">
        <v>44</v>
      </c>
      <c r="Y571" t="s">
        <v>169</v>
      </c>
      <c r="Z571" t="s">
        <v>49</v>
      </c>
      <c r="AA571" s="10">
        <f>IF(O571&lt;=1,7,7+0.8*ROUNDUP(O571-1,0))</f>
        <v>7</v>
      </c>
      <c r="AB571" s="11">
        <v>0</v>
      </c>
      <c r="AC571" s="11">
        <v>0</v>
      </c>
      <c r="AD571" s="11">
        <v>0</v>
      </c>
      <c r="AE571" s="11">
        <v>0</v>
      </c>
      <c r="AF571" s="11">
        <f t="shared" si="16"/>
        <v>0.42</v>
      </c>
      <c r="AG571" s="11">
        <f t="shared" si="17"/>
        <v>7.42</v>
      </c>
      <c r="AH571" t="s">
        <v>44</v>
      </c>
    </row>
    <row r="572" spans="1:34" ht="15" customHeight="1" x14ac:dyDescent="0.35">
      <c r="A572">
        <v>7547676</v>
      </c>
      <c r="B572">
        <v>690929</v>
      </c>
      <c r="C572" t="s">
        <v>34</v>
      </c>
      <c r="D572" t="s">
        <v>35</v>
      </c>
      <c r="E572" s="6" t="s">
        <v>34</v>
      </c>
      <c r="F572" t="s">
        <v>1828</v>
      </c>
      <c r="H572" t="s">
        <v>38</v>
      </c>
      <c r="I572" t="s">
        <v>1829</v>
      </c>
      <c r="J572" t="s">
        <v>40</v>
      </c>
      <c r="K572">
        <v>2</v>
      </c>
      <c r="L572" t="s">
        <v>41</v>
      </c>
      <c r="M572" t="s">
        <v>42</v>
      </c>
      <c r="N572" t="s">
        <v>43</v>
      </c>
      <c r="O572" s="7">
        <v>1</v>
      </c>
      <c r="P572" s="8">
        <v>45287.655138888891</v>
      </c>
      <c r="Q572" s="9">
        <v>45288</v>
      </c>
      <c r="S572" t="s">
        <v>44</v>
      </c>
      <c r="T572" t="s">
        <v>45</v>
      </c>
      <c r="U572" t="s">
        <v>77</v>
      </c>
      <c r="V572" t="s">
        <v>1830</v>
      </c>
      <c r="W572">
        <v>27200</v>
      </c>
      <c r="X572" t="s">
        <v>44</v>
      </c>
      <c r="Y572" t="s">
        <v>45</v>
      </c>
      <c r="Z572" t="s">
        <v>49</v>
      </c>
      <c r="AA572" s="10">
        <f>IF(O572&lt;=1,7,7+0.8*ROUNDUP(O572-1,0))</f>
        <v>7</v>
      </c>
      <c r="AB572" s="11">
        <v>0</v>
      </c>
      <c r="AC572" s="11">
        <v>0</v>
      </c>
      <c r="AD572" s="11">
        <v>0</v>
      </c>
      <c r="AE572" s="11">
        <v>0</v>
      </c>
      <c r="AF572" s="11">
        <f t="shared" si="16"/>
        <v>0.42</v>
      </c>
      <c r="AG572" s="11">
        <f t="shared" si="17"/>
        <v>7.42</v>
      </c>
      <c r="AH572" t="s">
        <v>44</v>
      </c>
    </row>
    <row r="573" spans="1:34" ht="15" customHeight="1" x14ac:dyDescent="0.35">
      <c r="A573">
        <v>7547676</v>
      </c>
      <c r="B573">
        <v>690929</v>
      </c>
      <c r="C573" t="s">
        <v>34</v>
      </c>
      <c r="D573" t="s">
        <v>35</v>
      </c>
      <c r="E573" s="6" t="s">
        <v>34</v>
      </c>
      <c r="F573" t="s">
        <v>1831</v>
      </c>
      <c r="H573" t="s">
        <v>38</v>
      </c>
      <c r="I573" t="s">
        <v>1832</v>
      </c>
      <c r="J573" t="s">
        <v>40</v>
      </c>
      <c r="K573">
        <v>2</v>
      </c>
      <c r="L573" t="s">
        <v>41</v>
      </c>
      <c r="M573" t="s">
        <v>42</v>
      </c>
      <c r="N573" t="s">
        <v>43</v>
      </c>
      <c r="O573" s="7">
        <v>2</v>
      </c>
      <c r="P573" s="8">
        <v>45286.715439814812</v>
      </c>
      <c r="Q573" s="9">
        <v>45288</v>
      </c>
      <c r="S573" t="s">
        <v>44</v>
      </c>
      <c r="T573" t="s">
        <v>45</v>
      </c>
      <c r="U573" t="s">
        <v>46</v>
      </c>
      <c r="V573" t="s">
        <v>1833</v>
      </c>
      <c r="W573">
        <v>81200</v>
      </c>
      <c r="X573" t="s">
        <v>44</v>
      </c>
      <c r="Y573" t="s">
        <v>190</v>
      </c>
      <c r="Z573" t="s">
        <v>49</v>
      </c>
      <c r="AA573" s="10">
        <f>IF(O573&lt;=1,7,7+0.8*ROUNDUP(O573-1,0))</f>
        <v>7.8</v>
      </c>
      <c r="AB573" s="11">
        <v>0</v>
      </c>
      <c r="AC573" s="11">
        <v>0</v>
      </c>
      <c r="AD573" s="11">
        <v>0</v>
      </c>
      <c r="AE573" s="11">
        <v>0</v>
      </c>
      <c r="AF573" s="11">
        <f t="shared" si="16"/>
        <v>0.46799999999999997</v>
      </c>
      <c r="AG573" s="11">
        <f t="shared" si="17"/>
        <v>8.2680000000000007</v>
      </c>
      <c r="AH573" t="s">
        <v>44</v>
      </c>
    </row>
    <row r="574" spans="1:34" ht="15" customHeight="1" x14ac:dyDescent="0.35">
      <c r="A574">
        <v>7547676</v>
      </c>
      <c r="B574">
        <v>690929</v>
      </c>
      <c r="C574" t="s">
        <v>34</v>
      </c>
      <c r="D574" t="s">
        <v>35</v>
      </c>
      <c r="E574" s="6" t="s">
        <v>34</v>
      </c>
      <c r="F574" t="s">
        <v>1834</v>
      </c>
      <c r="H574" t="s">
        <v>38</v>
      </c>
      <c r="I574" t="s">
        <v>1835</v>
      </c>
      <c r="J574" t="s">
        <v>40</v>
      </c>
      <c r="K574">
        <v>2</v>
      </c>
      <c r="L574" t="s">
        <v>41</v>
      </c>
      <c r="M574" t="s">
        <v>42</v>
      </c>
      <c r="N574" t="s">
        <v>43</v>
      </c>
      <c r="O574" s="7">
        <v>1</v>
      </c>
      <c r="P574" s="8">
        <v>45284.708645833336</v>
      </c>
      <c r="Q574" s="9">
        <v>45288</v>
      </c>
      <c r="S574" t="s">
        <v>44</v>
      </c>
      <c r="T574" t="s">
        <v>260</v>
      </c>
      <c r="U574" t="s">
        <v>115</v>
      </c>
      <c r="V574" t="s">
        <v>1836</v>
      </c>
      <c r="W574">
        <v>18300</v>
      </c>
      <c r="X574" t="s">
        <v>44</v>
      </c>
      <c r="Y574" t="s">
        <v>260</v>
      </c>
      <c r="Z574" t="s">
        <v>49</v>
      </c>
      <c r="AA574" s="10">
        <f>IF(O574&lt;=1,7,7+0.8*ROUNDUP(O574-1,0))</f>
        <v>7</v>
      </c>
      <c r="AB574" s="11">
        <v>0</v>
      </c>
      <c r="AC574" s="11">
        <v>0</v>
      </c>
      <c r="AD574" s="11">
        <v>0</v>
      </c>
      <c r="AE574" s="11">
        <v>0</v>
      </c>
      <c r="AF574" s="11">
        <f t="shared" si="16"/>
        <v>0.42</v>
      </c>
      <c r="AG574" s="11">
        <f t="shared" si="17"/>
        <v>7.42</v>
      </c>
      <c r="AH574" t="s">
        <v>44</v>
      </c>
    </row>
    <row r="575" spans="1:34" ht="15" customHeight="1" x14ac:dyDescent="0.35">
      <c r="A575">
        <v>7547676</v>
      </c>
      <c r="B575">
        <v>690929</v>
      </c>
      <c r="C575" t="s">
        <v>34</v>
      </c>
      <c r="D575" t="s">
        <v>35</v>
      </c>
      <c r="E575" s="6" t="s">
        <v>34</v>
      </c>
      <c r="F575" t="s">
        <v>1837</v>
      </c>
      <c r="H575" t="s">
        <v>38</v>
      </c>
      <c r="I575" t="s">
        <v>1838</v>
      </c>
      <c r="J575" t="s">
        <v>40</v>
      </c>
      <c r="K575">
        <v>2</v>
      </c>
      <c r="L575" t="s">
        <v>41</v>
      </c>
      <c r="M575" t="s">
        <v>42</v>
      </c>
      <c r="N575" t="s">
        <v>43</v>
      </c>
      <c r="O575" s="7">
        <v>1</v>
      </c>
      <c r="P575" s="8">
        <v>45286.721770833334</v>
      </c>
      <c r="Q575" s="9">
        <v>45288</v>
      </c>
      <c r="S575" t="s">
        <v>44</v>
      </c>
      <c r="T575" t="s">
        <v>52</v>
      </c>
      <c r="U575" t="s">
        <v>68</v>
      </c>
      <c r="V575" t="s">
        <v>1839</v>
      </c>
      <c r="W575">
        <v>40400</v>
      </c>
      <c r="X575" t="s">
        <v>44</v>
      </c>
      <c r="Y575" t="s">
        <v>52</v>
      </c>
      <c r="Z575" t="s">
        <v>49</v>
      </c>
      <c r="AA575" s="10">
        <f>IF(O575&lt;=1,7,7+0.8*ROUNDUP(O575-1,0))</f>
        <v>7</v>
      </c>
      <c r="AB575" s="11">
        <v>0</v>
      </c>
      <c r="AC575" s="11">
        <v>0</v>
      </c>
      <c r="AD575" s="11">
        <v>0</v>
      </c>
      <c r="AE575" s="11">
        <v>0</v>
      </c>
      <c r="AF575" s="11">
        <f t="shared" si="16"/>
        <v>0.42</v>
      </c>
      <c r="AG575" s="11">
        <f t="shared" si="17"/>
        <v>7.42</v>
      </c>
      <c r="AH575" t="s">
        <v>44</v>
      </c>
    </row>
    <row r="576" spans="1:34" ht="15" customHeight="1" x14ac:dyDescent="0.35">
      <c r="A576">
        <v>7547676</v>
      </c>
      <c r="B576">
        <v>690929</v>
      </c>
      <c r="C576" t="s">
        <v>34</v>
      </c>
      <c r="D576" t="s">
        <v>35</v>
      </c>
      <c r="E576" s="6" t="s">
        <v>34</v>
      </c>
      <c r="F576" t="s">
        <v>1840</v>
      </c>
      <c r="H576" t="s">
        <v>38</v>
      </c>
      <c r="I576" t="s">
        <v>1766</v>
      </c>
      <c r="J576" t="s">
        <v>40</v>
      </c>
      <c r="K576">
        <v>2</v>
      </c>
      <c r="L576" t="s">
        <v>41</v>
      </c>
      <c r="M576" t="s">
        <v>42</v>
      </c>
      <c r="N576" t="s">
        <v>43</v>
      </c>
      <c r="O576" s="7">
        <v>1</v>
      </c>
      <c r="P576" s="8">
        <v>45286.647268518522</v>
      </c>
      <c r="Q576" s="9">
        <v>45288</v>
      </c>
      <c r="S576" t="s">
        <v>44</v>
      </c>
      <c r="T576" t="s">
        <v>52</v>
      </c>
      <c r="U576" t="s">
        <v>63</v>
      </c>
      <c r="V576" t="s">
        <v>1767</v>
      </c>
      <c r="W576">
        <v>78000</v>
      </c>
      <c r="X576" t="s">
        <v>44</v>
      </c>
      <c r="Y576" t="s">
        <v>52</v>
      </c>
      <c r="Z576" t="s">
        <v>49</v>
      </c>
      <c r="AA576" s="10">
        <f>IF(O576&lt;=1,7,7+0.8*ROUNDUP(O576-1,0))</f>
        <v>7</v>
      </c>
      <c r="AB576" s="11">
        <v>0</v>
      </c>
      <c r="AC576" s="11">
        <v>0</v>
      </c>
      <c r="AD576" s="11">
        <v>0</v>
      </c>
      <c r="AE576" s="11">
        <v>0</v>
      </c>
      <c r="AF576" s="11">
        <f t="shared" si="16"/>
        <v>0.42</v>
      </c>
      <c r="AG576" s="11">
        <f t="shared" si="17"/>
        <v>7.42</v>
      </c>
      <c r="AH576" t="s">
        <v>44</v>
      </c>
    </row>
    <row r="577" spans="1:34" ht="15" customHeight="1" x14ac:dyDescent="0.35">
      <c r="A577">
        <v>7547676</v>
      </c>
      <c r="B577">
        <v>690929</v>
      </c>
      <c r="C577" t="s">
        <v>34</v>
      </c>
      <c r="D577" t="s">
        <v>35</v>
      </c>
      <c r="E577" s="6" t="s">
        <v>34</v>
      </c>
      <c r="F577" t="s">
        <v>1841</v>
      </c>
      <c r="H577" t="s">
        <v>38</v>
      </c>
      <c r="I577" t="s">
        <v>1842</v>
      </c>
      <c r="J577" t="s">
        <v>40</v>
      </c>
      <c r="K577">
        <v>2</v>
      </c>
      <c r="L577" t="s">
        <v>41</v>
      </c>
      <c r="M577" t="s">
        <v>42</v>
      </c>
      <c r="N577" t="s">
        <v>43</v>
      </c>
      <c r="O577" s="7">
        <v>1</v>
      </c>
      <c r="P577" s="8">
        <v>45286.645474537036</v>
      </c>
      <c r="Q577" s="9">
        <v>45288</v>
      </c>
      <c r="S577" t="s">
        <v>44</v>
      </c>
      <c r="T577" t="s">
        <v>52</v>
      </c>
      <c r="U577" t="s">
        <v>46</v>
      </c>
      <c r="V577" t="s">
        <v>1843</v>
      </c>
      <c r="W577">
        <v>81550</v>
      </c>
      <c r="X577" t="s">
        <v>44</v>
      </c>
      <c r="Y577" t="s">
        <v>541</v>
      </c>
      <c r="Z577" t="s">
        <v>49</v>
      </c>
      <c r="AA577" s="10">
        <f>IF(O577&lt;=1,7,7+0.8*ROUNDUP(O577-1,0))</f>
        <v>7</v>
      </c>
      <c r="AB577" s="11">
        <v>0</v>
      </c>
      <c r="AC577" s="11">
        <v>0</v>
      </c>
      <c r="AD577" s="11">
        <v>0</v>
      </c>
      <c r="AE577" s="11">
        <v>0</v>
      </c>
      <c r="AF577" s="11">
        <f t="shared" si="16"/>
        <v>0.42</v>
      </c>
      <c r="AG577" s="11">
        <f t="shared" si="17"/>
        <v>7.42</v>
      </c>
      <c r="AH577" t="s">
        <v>44</v>
      </c>
    </row>
    <row r="578" spans="1:34" ht="15" customHeight="1" x14ac:dyDescent="0.35">
      <c r="A578">
        <v>7547676</v>
      </c>
      <c r="B578">
        <v>690929</v>
      </c>
      <c r="C578" t="s">
        <v>34</v>
      </c>
      <c r="D578" t="s">
        <v>35</v>
      </c>
      <c r="E578" s="6" t="s">
        <v>34</v>
      </c>
      <c r="F578" t="s">
        <v>1844</v>
      </c>
      <c r="H578" t="s">
        <v>38</v>
      </c>
      <c r="I578" t="s">
        <v>1845</v>
      </c>
      <c r="J578" t="s">
        <v>40</v>
      </c>
      <c r="K578">
        <v>2</v>
      </c>
      <c r="L578" t="s">
        <v>41</v>
      </c>
      <c r="M578" t="s">
        <v>42</v>
      </c>
      <c r="N578" t="s">
        <v>43</v>
      </c>
      <c r="O578" s="7">
        <v>2</v>
      </c>
      <c r="P578" s="8">
        <v>45286.540648148148</v>
      </c>
      <c r="Q578" s="9">
        <v>45288</v>
      </c>
      <c r="S578" t="s">
        <v>44</v>
      </c>
      <c r="T578" t="s">
        <v>45</v>
      </c>
      <c r="U578" t="s">
        <v>68</v>
      </c>
      <c r="V578" t="s">
        <v>1846</v>
      </c>
      <c r="W578">
        <v>68100</v>
      </c>
      <c r="X578" t="s">
        <v>44</v>
      </c>
      <c r="Y578" t="s">
        <v>494</v>
      </c>
      <c r="Z578" t="s">
        <v>49</v>
      </c>
      <c r="AA578" s="10">
        <f>IF(O578&lt;=1,7,7+0.8*ROUNDUP(O578-1,0))</f>
        <v>7.8</v>
      </c>
      <c r="AB578" s="11">
        <v>0</v>
      </c>
      <c r="AC578" s="11">
        <v>0</v>
      </c>
      <c r="AD578" s="11">
        <v>0</v>
      </c>
      <c r="AE578" s="11">
        <v>0</v>
      </c>
      <c r="AF578" s="11">
        <f t="shared" ref="AF578:AF618" si="18">(AA578+AC578+AE578)*6%</f>
        <v>0.46799999999999997</v>
      </c>
      <c r="AG578" s="11">
        <f t="shared" ref="AG578:AG618" si="19">AA578+AC578+AE578+AF578</f>
        <v>8.2680000000000007</v>
      </c>
      <c r="AH578" t="s">
        <v>44</v>
      </c>
    </row>
    <row r="579" spans="1:34" ht="15" customHeight="1" x14ac:dyDescent="0.35">
      <c r="A579">
        <v>7547676</v>
      </c>
      <c r="B579">
        <v>690929</v>
      </c>
      <c r="C579" t="s">
        <v>34</v>
      </c>
      <c r="D579" t="s">
        <v>35</v>
      </c>
      <c r="E579" s="6" t="s">
        <v>34</v>
      </c>
      <c r="F579" t="s">
        <v>1847</v>
      </c>
      <c r="H579" t="s">
        <v>38</v>
      </c>
      <c r="I579" t="s">
        <v>1848</v>
      </c>
      <c r="J579" t="s">
        <v>40</v>
      </c>
      <c r="K579">
        <v>2</v>
      </c>
      <c r="L579" t="s">
        <v>41</v>
      </c>
      <c r="M579" t="s">
        <v>42</v>
      </c>
      <c r="N579" t="s">
        <v>43</v>
      </c>
      <c r="O579" s="7">
        <v>1</v>
      </c>
      <c r="P579" s="8">
        <v>45287.659953703704</v>
      </c>
      <c r="Q579" s="9">
        <v>45288</v>
      </c>
      <c r="S579" t="s">
        <v>44</v>
      </c>
      <c r="T579" t="s">
        <v>45</v>
      </c>
      <c r="U579" t="s">
        <v>53</v>
      </c>
      <c r="V579" t="s">
        <v>1849</v>
      </c>
      <c r="W579">
        <v>56000</v>
      </c>
      <c r="X579" t="s">
        <v>44</v>
      </c>
      <c r="Y579" t="s">
        <v>507</v>
      </c>
      <c r="Z579" t="s">
        <v>49</v>
      </c>
      <c r="AA579" s="10">
        <f>IF(O579&lt;=1,7,7+0.8*ROUNDUP(O579-1,0))</f>
        <v>7</v>
      </c>
      <c r="AB579" s="11">
        <v>0</v>
      </c>
      <c r="AC579" s="11">
        <v>0</v>
      </c>
      <c r="AD579" s="11">
        <v>0</v>
      </c>
      <c r="AE579" s="11">
        <v>0</v>
      </c>
      <c r="AF579" s="11">
        <f t="shared" si="18"/>
        <v>0.42</v>
      </c>
      <c r="AG579" s="11">
        <f t="shared" si="19"/>
        <v>7.42</v>
      </c>
      <c r="AH579" t="s">
        <v>44</v>
      </c>
    </row>
    <row r="580" spans="1:34" ht="15" customHeight="1" x14ac:dyDescent="0.35">
      <c r="A580">
        <v>7547676</v>
      </c>
      <c r="B580">
        <v>690929</v>
      </c>
      <c r="C580" t="s">
        <v>34</v>
      </c>
      <c r="D580" t="s">
        <v>35</v>
      </c>
      <c r="E580" s="6" t="s">
        <v>34</v>
      </c>
      <c r="F580" t="s">
        <v>1850</v>
      </c>
      <c r="H580" t="s">
        <v>38</v>
      </c>
      <c r="I580" t="s">
        <v>1851</v>
      </c>
      <c r="J580" t="s">
        <v>40</v>
      </c>
      <c r="K580">
        <v>2</v>
      </c>
      <c r="L580" t="s">
        <v>41</v>
      </c>
      <c r="M580" t="s">
        <v>42</v>
      </c>
      <c r="N580" t="s">
        <v>43</v>
      </c>
      <c r="O580" s="7">
        <v>1</v>
      </c>
      <c r="P580" s="8">
        <v>45284.747453703705</v>
      </c>
      <c r="Q580" s="9">
        <v>45288</v>
      </c>
      <c r="S580" t="s">
        <v>44</v>
      </c>
      <c r="T580" t="s">
        <v>45</v>
      </c>
      <c r="U580" t="s">
        <v>279</v>
      </c>
      <c r="V580" t="s">
        <v>1852</v>
      </c>
      <c r="W580">
        <v>89107</v>
      </c>
      <c r="X580" t="s">
        <v>242</v>
      </c>
      <c r="Y580" t="s">
        <v>52</v>
      </c>
      <c r="Z580" t="s">
        <v>49</v>
      </c>
      <c r="AA580" s="12">
        <f>IF(O580&lt;=1,13,IF(O580&lt;=2,23,IF(O580&lt;=3,35,IF(O580&lt;=4,43,IF(O580&lt;=5,53,IF(O580&lt;=6,63,IF(O580&lt;=7,71,IF(O580&lt;=8,79,IF(O580&lt;=9,87,IF(O580&lt;=10,95,IF(O580&lt;=11,105,IF(O580&lt;=12,114,IF(O580&lt;=13,119,IF(O580&lt;=14,127,IF(O580&lt;=15,135,IF(O580&lt;=16,143,IF(O580&lt;=17,153,IF(O580&lt;=18,163,IF(O580&lt;=19,171,IF(O580&lt;=20,185,IF(O580&lt;=21,193,IF(O580&lt;=22,201,IF(O580&lt;=23,210,IF(O580&lt;=24,220,IF(O580&lt;=25,230,IF(O580&lt;=26,240,IF(O580&lt;=27,250,IF(O580&lt;=28,260,IF(O580&lt;=29,270,IF(O580&lt;=30,280,280+10*ROUNDUP(O580-30,0)))))))))))))))))))))))))))))))</f>
        <v>13</v>
      </c>
      <c r="AB580" s="11">
        <v>0</v>
      </c>
      <c r="AC580" s="11">
        <v>0</v>
      </c>
      <c r="AD580" s="11">
        <v>0</v>
      </c>
      <c r="AE580" s="11">
        <v>0</v>
      </c>
      <c r="AF580" s="11">
        <f t="shared" si="18"/>
        <v>0.78</v>
      </c>
      <c r="AG580" s="11">
        <f t="shared" si="19"/>
        <v>13.78</v>
      </c>
      <c r="AH580" t="s">
        <v>242</v>
      </c>
    </row>
    <row r="581" spans="1:34" ht="15" customHeight="1" x14ac:dyDescent="0.35">
      <c r="A581">
        <v>7547676</v>
      </c>
      <c r="B581">
        <v>690929</v>
      </c>
      <c r="C581" t="s">
        <v>34</v>
      </c>
      <c r="D581" t="s">
        <v>35</v>
      </c>
      <c r="E581" s="6" t="s">
        <v>34</v>
      </c>
      <c r="F581" t="s">
        <v>1853</v>
      </c>
      <c r="H581" t="s">
        <v>38</v>
      </c>
      <c r="I581" t="s">
        <v>1854</v>
      </c>
      <c r="J581" t="s">
        <v>40</v>
      </c>
      <c r="K581">
        <v>2</v>
      </c>
      <c r="L581" t="s">
        <v>41</v>
      </c>
      <c r="M581" t="s">
        <v>42</v>
      </c>
      <c r="N581" t="s">
        <v>43</v>
      </c>
      <c r="O581" s="7">
        <v>1</v>
      </c>
      <c r="P581" s="8">
        <v>45286.553831018522</v>
      </c>
      <c r="Q581" s="9">
        <v>45288</v>
      </c>
      <c r="S581" t="s">
        <v>44</v>
      </c>
      <c r="T581" t="s">
        <v>52</v>
      </c>
      <c r="U581" t="s">
        <v>53</v>
      </c>
      <c r="V581" t="s">
        <v>1855</v>
      </c>
      <c r="W581">
        <v>53100</v>
      </c>
      <c r="X581" t="s">
        <v>44</v>
      </c>
      <c r="Y581" t="s">
        <v>52</v>
      </c>
      <c r="Z581" t="s">
        <v>49</v>
      </c>
      <c r="AA581" s="10">
        <f>IF(O581&lt;=1,7,7+0.8*ROUNDUP(O581-1,0))</f>
        <v>7</v>
      </c>
      <c r="AB581" s="11">
        <v>0</v>
      </c>
      <c r="AC581" s="11">
        <v>0</v>
      </c>
      <c r="AD581" s="11">
        <v>0</v>
      </c>
      <c r="AE581" s="11">
        <v>0</v>
      </c>
      <c r="AF581" s="11">
        <f t="shared" si="18"/>
        <v>0.42</v>
      </c>
      <c r="AG581" s="11">
        <f t="shared" si="19"/>
        <v>7.42</v>
      </c>
      <c r="AH581" t="s">
        <v>44</v>
      </c>
    </row>
    <row r="582" spans="1:34" ht="15" customHeight="1" x14ac:dyDescent="0.35">
      <c r="A582">
        <v>7547676</v>
      </c>
      <c r="B582">
        <v>690929</v>
      </c>
      <c r="C582" t="s">
        <v>34</v>
      </c>
      <c r="D582" t="s">
        <v>35</v>
      </c>
      <c r="E582" s="6" t="s">
        <v>34</v>
      </c>
      <c r="F582" t="s">
        <v>1856</v>
      </c>
      <c r="H582" t="s">
        <v>38</v>
      </c>
      <c r="I582" t="s">
        <v>1857</v>
      </c>
      <c r="J582" t="s">
        <v>40</v>
      </c>
      <c r="K582">
        <v>2</v>
      </c>
      <c r="L582" t="s">
        <v>41</v>
      </c>
      <c r="M582" t="s">
        <v>42</v>
      </c>
      <c r="N582" t="s">
        <v>43</v>
      </c>
      <c r="O582" s="7">
        <v>1</v>
      </c>
      <c r="P582" s="8">
        <v>45287.542986111112</v>
      </c>
      <c r="Q582" s="9">
        <v>45289</v>
      </c>
      <c r="S582" t="s">
        <v>44</v>
      </c>
      <c r="T582" t="s">
        <v>45</v>
      </c>
      <c r="U582" t="s">
        <v>68</v>
      </c>
      <c r="V582" t="s">
        <v>1858</v>
      </c>
      <c r="W582">
        <v>42500</v>
      </c>
      <c r="X582" t="s">
        <v>44</v>
      </c>
      <c r="Y582" t="s">
        <v>52</v>
      </c>
      <c r="Z582" t="s">
        <v>49</v>
      </c>
      <c r="AA582" s="10">
        <f>IF(O582&lt;=1,7,7+0.8*ROUNDUP(O582-1,0))</f>
        <v>7</v>
      </c>
      <c r="AB582" s="11">
        <v>0</v>
      </c>
      <c r="AC582" s="11">
        <v>0</v>
      </c>
      <c r="AD582" s="11">
        <v>0</v>
      </c>
      <c r="AE582" s="11">
        <v>0</v>
      </c>
      <c r="AF582" s="11">
        <f t="shared" si="18"/>
        <v>0.42</v>
      </c>
      <c r="AG582" s="11">
        <f t="shared" si="19"/>
        <v>7.42</v>
      </c>
      <c r="AH582" t="s">
        <v>44</v>
      </c>
    </row>
    <row r="583" spans="1:34" ht="15" customHeight="1" x14ac:dyDescent="0.35">
      <c r="A583">
        <v>7547676</v>
      </c>
      <c r="B583">
        <v>690929</v>
      </c>
      <c r="C583" t="s">
        <v>34</v>
      </c>
      <c r="D583" t="s">
        <v>35</v>
      </c>
      <c r="E583" s="6" t="s">
        <v>34</v>
      </c>
      <c r="F583" t="s">
        <v>1859</v>
      </c>
      <c r="H583" t="s">
        <v>38</v>
      </c>
      <c r="I583" t="s">
        <v>1860</v>
      </c>
      <c r="J583" t="s">
        <v>40</v>
      </c>
      <c r="K583">
        <v>2</v>
      </c>
      <c r="L583" t="s">
        <v>41</v>
      </c>
      <c r="M583" t="s">
        <v>42</v>
      </c>
      <c r="N583" t="s">
        <v>43</v>
      </c>
      <c r="O583" s="7">
        <v>1</v>
      </c>
      <c r="P583" s="8">
        <v>45287.704340277778</v>
      </c>
      <c r="Q583" s="9">
        <v>45289</v>
      </c>
      <c r="S583" t="s">
        <v>44</v>
      </c>
      <c r="T583" t="s">
        <v>45</v>
      </c>
      <c r="U583" t="s">
        <v>46</v>
      </c>
      <c r="V583" t="s">
        <v>1861</v>
      </c>
      <c r="W583">
        <v>83500</v>
      </c>
      <c r="X583" t="s">
        <v>44</v>
      </c>
      <c r="Y583" t="s">
        <v>52</v>
      </c>
      <c r="Z583" t="s">
        <v>49</v>
      </c>
      <c r="AA583" s="10">
        <f>IF(O583&lt;=1,7,7+0.8*ROUNDUP(O583-1,0))</f>
        <v>7</v>
      </c>
      <c r="AB583" s="11">
        <v>0</v>
      </c>
      <c r="AC583" s="11">
        <v>0</v>
      </c>
      <c r="AD583" s="11">
        <v>0</v>
      </c>
      <c r="AE583" s="11">
        <v>0</v>
      </c>
      <c r="AF583" s="11">
        <f t="shared" si="18"/>
        <v>0.42</v>
      </c>
      <c r="AG583" s="11">
        <f t="shared" si="19"/>
        <v>7.42</v>
      </c>
      <c r="AH583" t="s">
        <v>44</v>
      </c>
    </row>
    <row r="584" spans="1:34" ht="15" customHeight="1" x14ac:dyDescent="0.35">
      <c r="A584">
        <v>7547676</v>
      </c>
      <c r="B584">
        <v>690929</v>
      </c>
      <c r="C584" t="s">
        <v>34</v>
      </c>
      <c r="D584" t="s">
        <v>35</v>
      </c>
      <c r="E584" s="6" t="s">
        <v>34</v>
      </c>
      <c r="F584" t="s">
        <v>1862</v>
      </c>
      <c r="H584" t="s">
        <v>38</v>
      </c>
      <c r="I584" t="s">
        <v>1863</v>
      </c>
      <c r="J584" t="s">
        <v>40</v>
      </c>
      <c r="K584">
        <v>2</v>
      </c>
      <c r="L584" t="s">
        <v>41</v>
      </c>
      <c r="M584" t="s">
        <v>42</v>
      </c>
      <c r="N584" t="s">
        <v>43</v>
      </c>
      <c r="O584" s="7">
        <v>1</v>
      </c>
      <c r="P584" s="8">
        <v>45288.595659722225</v>
      </c>
      <c r="Q584" s="9">
        <v>45289</v>
      </c>
      <c r="S584" t="s">
        <v>44</v>
      </c>
      <c r="T584" t="s">
        <v>45</v>
      </c>
      <c r="U584" t="s">
        <v>68</v>
      </c>
      <c r="V584" t="s">
        <v>1864</v>
      </c>
      <c r="W584">
        <v>43200</v>
      </c>
      <c r="X584" t="s">
        <v>44</v>
      </c>
      <c r="Y584" t="s">
        <v>142</v>
      </c>
      <c r="Z584" t="s">
        <v>49</v>
      </c>
      <c r="AA584" s="10">
        <f>IF(O584&lt;=1,7,7+0.8*ROUNDUP(O584-1,0))</f>
        <v>7</v>
      </c>
      <c r="AB584" s="11">
        <v>0</v>
      </c>
      <c r="AC584" s="11">
        <v>0</v>
      </c>
      <c r="AD584" s="11">
        <v>0</v>
      </c>
      <c r="AE584" s="11">
        <v>0</v>
      </c>
      <c r="AF584" s="11">
        <f t="shared" si="18"/>
        <v>0.42</v>
      </c>
      <c r="AG584" s="11">
        <f t="shared" si="19"/>
        <v>7.42</v>
      </c>
      <c r="AH584" t="s">
        <v>44</v>
      </c>
    </row>
    <row r="585" spans="1:34" ht="15" customHeight="1" x14ac:dyDescent="0.35">
      <c r="A585">
        <v>7547676</v>
      </c>
      <c r="B585">
        <v>690929</v>
      </c>
      <c r="C585" t="s">
        <v>34</v>
      </c>
      <c r="D585" t="s">
        <v>35</v>
      </c>
      <c r="E585" s="6" t="s">
        <v>34</v>
      </c>
      <c r="F585" t="s">
        <v>1865</v>
      </c>
      <c r="H585" t="s">
        <v>38</v>
      </c>
      <c r="I585" t="s">
        <v>1866</v>
      </c>
      <c r="J585" t="s">
        <v>40</v>
      </c>
      <c r="K585">
        <v>2</v>
      </c>
      <c r="L585" t="s">
        <v>41</v>
      </c>
      <c r="M585" t="s">
        <v>42</v>
      </c>
      <c r="N585" t="s">
        <v>43</v>
      </c>
      <c r="O585" s="7">
        <v>1</v>
      </c>
      <c r="P585" s="8">
        <v>45288.584641203706</v>
      </c>
      <c r="Q585" s="9">
        <v>45289</v>
      </c>
      <c r="S585" t="s">
        <v>44</v>
      </c>
      <c r="T585" t="s">
        <v>45</v>
      </c>
      <c r="U585" t="s">
        <v>68</v>
      </c>
      <c r="V585" t="s">
        <v>1867</v>
      </c>
      <c r="W585">
        <v>42920</v>
      </c>
      <c r="X585" t="s">
        <v>44</v>
      </c>
      <c r="Y585" t="s">
        <v>1230</v>
      </c>
      <c r="Z585" t="s">
        <v>49</v>
      </c>
      <c r="AA585" s="10">
        <f>IF(O585&lt;=1,7,7+0.8*ROUNDUP(O585-1,0))</f>
        <v>7</v>
      </c>
      <c r="AB585" s="11">
        <v>0</v>
      </c>
      <c r="AC585" s="11">
        <v>0</v>
      </c>
      <c r="AD585" s="11">
        <v>0</v>
      </c>
      <c r="AE585" s="11">
        <v>0</v>
      </c>
      <c r="AF585" s="11">
        <f t="shared" si="18"/>
        <v>0.42</v>
      </c>
      <c r="AG585" s="11">
        <f t="shared" si="19"/>
        <v>7.42</v>
      </c>
      <c r="AH585" t="s">
        <v>44</v>
      </c>
    </row>
    <row r="586" spans="1:34" ht="15" customHeight="1" x14ac:dyDescent="0.35">
      <c r="A586">
        <v>7547676</v>
      </c>
      <c r="B586">
        <v>690929</v>
      </c>
      <c r="C586" t="s">
        <v>34</v>
      </c>
      <c r="D586" t="s">
        <v>35</v>
      </c>
      <c r="E586" s="6" t="s">
        <v>34</v>
      </c>
      <c r="F586" t="s">
        <v>1868</v>
      </c>
      <c r="H586" t="s">
        <v>38</v>
      </c>
      <c r="I586" t="s">
        <v>1869</v>
      </c>
      <c r="J586" t="s">
        <v>40</v>
      </c>
      <c r="K586">
        <v>2</v>
      </c>
      <c r="L586" t="s">
        <v>41</v>
      </c>
      <c r="M586" t="s">
        <v>42</v>
      </c>
      <c r="N586" t="s">
        <v>43</v>
      </c>
      <c r="O586" s="7">
        <v>1</v>
      </c>
      <c r="P586" s="8">
        <v>45287.768611111111</v>
      </c>
      <c r="Q586" s="9">
        <v>45289</v>
      </c>
      <c r="S586" t="s">
        <v>44</v>
      </c>
      <c r="T586" t="s">
        <v>45</v>
      </c>
      <c r="U586" t="s">
        <v>258</v>
      </c>
      <c r="V586" t="s">
        <v>1870</v>
      </c>
      <c r="W586">
        <v>21400</v>
      </c>
      <c r="X586" t="s">
        <v>44</v>
      </c>
      <c r="Y586" t="s">
        <v>260</v>
      </c>
      <c r="Z586" t="s">
        <v>49</v>
      </c>
      <c r="AA586" s="10">
        <f>IF(O586&lt;=1,7,7+0.8*ROUNDUP(O586-1,0))</f>
        <v>7</v>
      </c>
      <c r="AB586" s="11">
        <v>0</v>
      </c>
      <c r="AC586" s="11">
        <v>0</v>
      </c>
      <c r="AD586" s="11">
        <v>0</v>
      </c>
      <c r="AE586" s="11">
        <v>0</v>
      </c>
      <c r="AF586" s="11">
        <f t="shared" si="18"/>
        <v>0.42</v>
      </c>
      <c r="AG586" s="11">
        <f t="shared" si="19"/>
        <v>7.42</v>
      </c>
      <c r="AH586" t="s">
        <v>44</v>
      </c>
    </row>
    <row r="587" spans="1:34" ht="15" customHeight="1" x14ac:dyDescent="0.35">
      <c r="A587">
        <v>7547676</v>
      </c>
      <c r="B587">
        <v>690929</v>
      </c>
      <c r="C587" t="s">
        <v>34</v>
      </c>
      <c r="D587" t="s">
        <v>35</v>
      </c>
      <c r="E587" s="6" t="s">
        <v>34</v>
      </c>
      <c r="F587" t="s">
        <v>1871</v>
      </c>
      <c r="H587" t="s">
        <v>38</v>
      </c>
      <c r="I587" t="s">
        <v>1872</v>
      </c>
      <c r="J587" t="s">
        <v>40</v>
      </c>
      <c r="K587">
        <v>2</v>
      </c>
      <c r="L587" t="s">
        <v>41</v>
      </c>
      <c r="M587" t="s">
        <v>42</v>
      </c>
      <c r="N587" t="s">
        <v>43</v>
      </c>
      <c r="O587" s="7">
        <v>1</v>
      </c>
      <c r="P587" s="8">
        <v>45286.692291666666</v>
      </c>
      <c r="Q587" s="9">
        <v>45289</v>
      </c>
      <c r="S587" t="s">
        <v>44</v>
      </c>
      <c r="T587" t="s">
        <v>52</v>
      </c>
      <c r="U587" t="s">
        <v>77</v>
      </c>
      <c r="V587" t="s">
        <v>1873</v>
      </c>
      <c r="W587">
        <v>25200</v>
      </c>
      <c r="X587" t="s">
        <v>44</v>
      </c>
      <c r="Y587" t="s">
        <v>52</v>
      </c>
      <c r="Z587" t="s">
        <v>49</v>
      </c>
      <c r="AA587" s="10">
        <f>IF(O587&lt;=1,7,7+0.8*ROUNDUP(O587-1,0))</f>
        <v>7</v>
      </c>
      <c r="AB587" s="11">
        <v>0</v>
      </c>
      <c r="AC587" s="11">
        <v>0</v>
      </c>
      <c r="AD587" s="11">
        <v>0</v>
      </c>
      <c r="AE587" s="11">
        <v>0</v>
      </c>
      <c r="AF587" s="11">
        <f t="shared" si="18"/>
        <v>0.42</v>
      </c>
      <c r="AG587" s="11">
        <f t="shared" si="19"/>
        <v>7.42</v>
      </c>
      <c r="AH587" t="s">
        <v>44</v>
      </c>
    </row>
    <row r="588" spans="1:34" ht="15" customHeight="1" x14ac:dyDescent="0.35">
      <c r="A588">
        <v>7547676</v>
      </c>
      <c r="B588">
        <v>690929</v>
      </c>
      <c r="C588" t="s">
        <v>34</v>
      </c>
      <c r="D588" t="s">
        <v>35</v>
      </c>
      <c r="E588" s="6" t="s">
        <v>34</v>
      </c>
      <c r="F588" t="s">
        <v>1874</v>
      </c>
      <c r="H588" t="s">
        <v>38</v>
      </c>
      <c r="I588" t="s">
        <v>1875</v>
      </c>
      <c r="J588" t="s">
        <v>40</v>
      </c>
      <c r="K588">
        <v>2</v>
      </c>
      <c r="L588" t="s">
        <v>41</v>
      </c>
      <c r="M588" t="s">
        <v>42</v>
      </c>
      <c r="N588" t="s">
        <v>43</v>
      </c>
      <c r="O588" s="7">
        <v>2</v>
      </c>
      <c r="P588" s="8">
        <v>45287.647291666668</v>
      </c>
      <c r="Q588" s="9">
        <v>45289</v>
      </c>
      <c r="S588" t="s">
        <v>44</v>
      </c>
      <c r="T588" t="s">
        <v>45</v>
      </c>
      <c r="U588" t="s">
        <v>46</v>
      </c>
      <c r="V588" t="s">
        <v>1876</v>
      </c>
      <c r="W588">
        <v>81750</v>
      </c>
      <c r="X588" t="s">
        <v>44</v>
      </c>
      <c r="Y588" t="s">
        <v>1418</v>
      </c>
      <c r="Z588" t="s">
        <v>49</v>
      </c>
      <c r="AA588" s="10">
        <f>IF(O588&lt;=1,7,7+0.8*ROUNDUP(O588-1,0))</f>
        <v>7.8</v>
      </c>
      <c r="AB588" s="11">
        <v>0</v>
      </c>
      <c r="AC588" s="11">
        <v>0</v>
      </c>
      <c r="AD588" s="11">
        <v>0</v>
      </c>
      <c r="AE588" s="11">
        <v>0</v>
      </c>
      <c r="AF588" s="11">
        <f t="shared" si="18"/>
        <v>0.46799999999999997</v>
      </c>
      <c r="AG588" s="11">
        <f t="shared" si="19"/>
        <v>8.2680000000000007</v>
      </c>
      <c r="AH588" t="s">
        <v>44</v>
      </c>
    </row>
    <row r="589" spans="1:34" ht="15" customHeight="1" x14ac:dyDescent="0.35">
      <c r="A589">
        <v>7547676</v>
      </c>
      <c r="B589">
        <v>690929</v>
      </c>
      <c r="C589" t="s">
        <v>34</v>
      </c>
      <c r="D589" t="s">
        <v>35</v>
      </c>
      <c r="E589" s="6" t="s">
        <v>34</v>
      </c>
      <c r="F589" t="s">
        <v>1877</v>
      </c>
      <c r="H589" t="s">
        <v>38</v>
      </c>
      <c r="I589" t="s">
        <v>1878</v>
      </c>
      <c r="J589" t="s">
        <v>40</v>
      </c>
      <c r="K589">
        <v>2</v>
      </c>
      <c r="L589" t="s">
        <v>41</v>
      </c>
      <c r="M589" t="s">
        <v>42</v>
      </c>
      <c r="N589" t="s">
        <v>43</v>
      </c>
      <c r="O589" s="7">
        <v>2</v>
      </c>
      <c r="P589" s="8">
        <v>45288.652187500003</v>
      </c>
      <c r="Q589" s="9">
        <v>45289</v>
      </c>
      <c r="S589" t="s">
        <v>44</v>
      </c>
      <c r="T589" t="s">
        <v>45</v>
      </c>
      <c r="U589" t="s">
        <v>115</v>
      </c>
      <c r="V589" t="s">
        <v>1879</v>
      </c>
      <c r="W589">
        <v>18050</v>
      </c>
      <c r="X589" t="s">
        <v>44</v>
      </c>
      <c r="Y589" t="s">
        <v>76</v>
      </c>
      <c r="Z589" t="s">
        <v>49</v>
      </c>
      <c r="AA589" s="10">
        <f>IF(O589&lt;=1,7,7+0.8*ROUNDUP(O589-1,0))</f>
        <v>7.8</v>
      </c>
      <c r="AB589" s="11">
        <v>0</v>
      </c>
      <c r="AC589" s="11">
        <v>0</v>
      </c>
      <c r="AD589" s="11">
        <v>0</v>
      </c>
      <c r="AE589" s="11">
        <v>0</v>
      </c>
      <c r="AF589" s="11">
        <f t="shared" si="18"/>
        <v>0.46799999999999997</v>
      </c>
      <c r="AG589" s="11">
        <f t="shared" si="19"/>
        <v>8.2680000000000007</v>
      </c>
      <c r="AH589" t="s">
        <v>44</v>
      </c>
    </row>
    <row r="590" spans="1:34" ht="15" customHeight="1" x14ac:dyDescent="0.35">
      <c r="A590">
        <v>7547676</v>
      </c>
      <c r="B590">
        <v>690929</v>
      </c>
      <c r="C590" t="s">
        <v>34</v>
      </c>
      <c r="D590" t="s">
        <v>35</v>
      </c>
      <c r="E590" s="6" t="s">
        <v>34</v>
      </c>
      <c r="F590" t="s">
        <v>1880</v>
      </c>
      <c r="H590" t="s">
        <v>38</v>
      </c>
      <c r="I590" t="s">
        <v>171</v>
      </c>
      <c r="J590" t="s">
        <v>40</v>
      </c>
      <c r="K590">
        <v>2</v>
      </c>
      <c r="L590" t="s">
        <v>41</v>
      </c>
      <c r="M590" t="s">
        <v>42</v>
      </c>
      <c r="N590" t="s">
        <v>43</v>
      </c>
      <c r="O590" s="7">
        <v>1</v>
      </c>
      <c r="P590" s="8">
        <v>45288.619745370372</v>
      </c>
      <c r="Q590" s="9">
        <v>45289</v>
      </c>
      <c r="S590" t="s">
        <v>44</v>
      </c>
      <c r="T590" t="s">
        <v>45</v>
      </c>
      <c r="U590" t="s">
        <v>68</v>
      </c>
      <c r="V590" t="s">
        <v>172</v>
      </c>
      <c r="W590">
        <v>40000</v>
      </c>
      <c r="X590" t="s">
        <v>44</v>
      </c>
      <c r="Y590" t="s">
        <v>173</v>
      </c>
      <c r="Z590" t="s">
        <v>49</v>
      </c>
      <c r="AA590" s="10">
        <f>IF(O590&lt;=1,7,7+0.8*ROUNDUP(O590-1,0))</f>
        <v>7</v>
      </c>
      <c r="AB590" s="11">
        <v>0</v>
      </c>
      <c r="AC590" s="11">
        <v>0</v>
      </c>
      <c r="AD590" s="11">
        <v>0</v>
      </c>
      <c r="AE590" s="11">
        <v>0</v>
      </c>
      <c r="AF590" s="11">
        <f t="shared" si="18"/>
        <v>0.42</v>
      </c>
      <c r="AG590" s="11">
        <f t="shared" si="19"/>
        <v>7.42</v>
      </c>
      <c r="AH590" t="s">
        <v>44</v>
      </c>
    </row>
    <row r="591" spans="1:34" ht="15" customHeight="1" x14ac:dyDescent="0.35">
      <c r="A591">
        <v>7547676</v>
      </c>
      <c r="B591">
        <v>690929</v>
      </c>
      <c r="C591" t="s">
        <v>34</v>
      </c>
      <c r="D591" t="s">
        <v>35</v>
      </c>
      <c r="E591" s="6" t="s">
        <v>34</v>
      </c>
      <c r="F591" t="s">
        <v>1881</v>
      </c>
      <c r="H591" t="s">
        <v>38</v>
      </c>
      <c r="I591" t="s">
        <v>1882</v>
      </c>
      <c r="J591" t="s">
        <v>40</v>
      </c>
      <c r="K591">
        <v>2</v>
      </c>
      <c r="L591" t="s">
        <v>41</v>
      </c>
      <c r="M591" t="s">
        <v>42</v>
      </c>
      <c r="N591" t="s">
        <v>43</v>
      </c>
      <c r="O591" s="7">
        <v>1</v>
      </c>
      <c r="P591" s="8">
        <v>45286.658182870371</v>
      </c>
      <c r="Q591" s="9">
        <v>45289</v>
      </c>
      <c r="S591" t="s">
        <v>44</v>
      </c>
      <c r="T591" t="s">
        <v>52</v>
      </c>
      <c r="U591" t="s">
        <v>68</v>
      </c>
      <c r="V591" t="s">
        <v>1883</v>
      </c>
      <c r="W591">
        <v>47000</v>
      </c>
      <c r="X591" t="s">
        <v>44</v>
      </c>
      <c r="Y591" t="s">
        <v>52</v>
      </c>
      <c r="Z591" t="s">
        <v>49</v>
      </c>
      <c r="AA591" s="10">
        <f>IF(O591&lt;=1,7,7+0.8*ROUNDUP(O591-1,0))</f>
        <v>7</v>
      </c>
      <c r="AB591" s="11">
        <v>0</v>
      </c>
      <c r="AC591" s="11">
        <v>0</v>
      </c>
      <c r="AD591" s="11">
        <v>0</v>
      </c>
      <c r="AE591" s="11">
        <v>0</v>
      </c>
      <c r="AF591" s="11">
        <f t="shared" si="18"/>
        <v>0.42</v>
      </c>
      <c r="AG591" s="11">
        <f t="shared" si="19"/>
        <v>7.42</v>
      </c>
      <c r="AH591" t="s">
        <v>44</v>
      </c>
    </row>
    <row r="592" spans="1:34" ht="15" customHeight="1" x14ac:dyDescent="0.35">
      <c r="A592">
        <v>7547676</v>
      </c>
      <c r="B592">
        <v>690929</v>
      </c>
      <c r="C592" t="s">
        <v>34</v>
      </c>
      <c r="D592" t="s">
        <v>35</v>
      </c>
      <c r="E592" s="6" t="s">
        <v>34</v>
      </c>
      <c r="F592" t="s">
        <v>1884</v>
      </c>
      <c r="H592" t="s">
        <v>38</v>
      </c>
      <c r="I592" t="s">
        <v>1885</v>
      </c>
      <c r="J592" t="s">
        <v>40</v>
      </c>
      <c r="K592">
        <v>2</v>
      </c>
      <c r="L592" t="s">
        <v>41</v>
      </c>
      <c r="M592" t="s">
        <v>42</v>
      </c>
      <c r="N592" t="s">
        <v>43</v>
      </c>
      <c r="O592" s="7">
        <v>1</v>
      </c>
      <c r="P592" s="8">
        <v>45286.875694444447</v>
      </c>
      <c r="Q592" s="9">
        <v>45289</v>
      </c>
      <c r="S592" t="s">
        <v>44</v>
      </c>
      <c r="T592" t="s">
        <v>45</v>
      </c>
      <c r="U592" t="s">
        <v>46</v>
      </c>
      <c r="V592" t="s">
        <v>1886</v>
      </c>
      <c r="W592">
        <v>81930</v>
      </c>
      <c r="X592" t="s">
        <v>44</v>
      </c>
      <c r="Y592" t="s">
        <v>829</v>
      </c>
      <c r="Z592" t="s">
        <v>49</v>
      </c>
      <c r="AA592" s="10">
        <f>IF(O592&lt;=1,7,7+0.8*ROUNDUP(O592-1,0))</f>
        <v>7</v>
      </c>
      <c r="AB592" s="11">
        <v>0</v>
      </c>
      <c r="AC592" s="11">
        <v>0</v>
      </c>
      <c r="AD592" s="11">
        <v>0</v>
      </c>
      <c r="AE592" s="11">
        <v>0</v>
      </c>
      <c r="AF592" s="11">
        <f t="shared" si="18"/>
        <v>0.42</v>
      </c>
      <c r="AG592" s="11">
        <f t="shared" si="19"/>
        <v>7.42</v>
      </c>
      <c r="AH592" t="s">
        <v>44</v>
      </c>
    </row>
    <row r="593" spans="1:34" ht="15" customHeight="1" x14ac:dyDescent="0.35">
      <c r="A593">
        <v>7547676</v>
      </c>
      <c r="B593">
        <v>690929</v>
      </c>
      <c r="C593" t="s">
        <v>34</v>
      </c>
      <c r="D593" t="s">
        <v>35</v>
      </c>
      <c r="E593" s="6" t="s">
        <v>34</v>
      </c>
      <c r="F593" t="s">
        <v>1887</v>
      </c>
      <c r="H593" t="s">
        <v>38</v>
      </c>
      <c r="I593" t="s">
        <v>1888</v>
      </c>
      <c r="J593" t="s">
        <v>40</v>
      </c>
      <c r="K593">
        <v>2</v>
      </c>
      <c r="L593" t="s">
        <v>41</v>
      </c>
      <c r="M593" t="s">
        <v>42</v>
      </c>
      <c r="N593" t="s">
        <v>43</v>
      </c>
      <c r="O593" s="7">
        <v>1</v>
      </c>
      <c r="P593" s="8">
        <v>45287.743483796294</v>
      </c>
      <c r="Q593" s="9">
        <v>45289</v>
      </c>
      <c r="S593" t="s">
        <v>44</v>
      </c>
      <c r="T593" t="s">
        <v>45</v>
      </c>
      <c r="U593" t="s">
        <v>68</v>
      </c>
      <c r="V593" t="s">
        <v>1889</v>
      </c>
      <c r="W593">
        <v>43000</v>
      </c>
      <c r="X593" t="s">
        <v>44</v>
      </c>
      <c r="Y593" t="s">
        <v>1292</v>
      </c>
      <c r="Z593" t="s">
        <v>49</v>
      </c>
      <c r="AA593" s="10">
        <f>IF(O593&lt;=1,7,7+0.8*ROUNDUP(O593-1,0))</f>
        <v>7</v>
      </c>
      <c r="AB593" s="11">
        <v>0</v>
      </c>
      <c r="AC593" s="11">
        <v>0</v>
      </c>
      <c r="AD593" s="11">
        <v>0</v>
      </c>
      <c r="AE593" s="11">
        <v>0</v>
      </c>
      <c r="AF593" s="11">
        <f t="shared" si="18"/>
        <v>0.42</v>
      </c>
      <c r="AG593" s="11">
        <f t="shared" si="19"/>
        <v>7.42</v>
      </c>
      <c r="AH593" t="s">
        <v>44</v>
      </c>
    </row>
    <row r="594" spans="1:34" ht="15" customHeight="1" x14ac:dyDescent="0.35">
      <c r="A594">
        <v>7547676</v>
      </c>
      <c r="B594">
        <v>690929</v>
      </c>
      <c r="C594" t="s">
        <v>34</v>
      </c>
      <c r="D594" t="s">
        <v>35</v>
      </c>
      <c r="E594" s="6" t="s">
        <v>34</v>
      </c>
      <c r="F594" t="s">
        <v>1890</v>
      </c>
      <c r="H594" t="s">
        <v>38</v>
      </c>
      <c r="I594" t="s">
        <v>1891</v>
      </c>
      <c r="J594" t="s">
        <v>40</v>
      </c>
      <c r="K594">
        <v>2</v>
      </c>
      <c r="L594" t="s">
        <v>41</v>
      </c>
      <c r="M594" t="s">
        <v>42</v>
      </c>
      <c r="N594" t="s">
        <v>43</v>
      </c>
      <c r="O594" s="7">
        <v>1</v>
      </c>
      <c r="P594" s="8">
        <v>45286.494745370372</v>
      </c>
      <c r="Q594" s="9">
        <v>45289</v>
      </c>
      <c r="S594" t="s">
        <v>44</v>
      </c>
      <c r="T594" t="s">
        <v>52</v>
      </c>
      <c r="U594" t="s">
        <v>77</v>
      </c>
      <c r="V594" t="s">
        <v>1892</v>
      </c>
      <c r="W594">
        <v>27600</v>
      </c>
      <c r="X594" t="s">
        <v>44</v>
      </c>
      <c r="Y594" t="s">
        <v>52</v>
      </c>
      <c r="Z594" t="s">
        <v>49</v>
      </c>
      <c r="AA594" s="10">
        <f>IF(O594&lt;=1,7,7+0.8*ROUNDUP(O594-1,0))</f>
        <v>7</v>
      </c>
      <c r="AB594" s="11">
        <v>0</v>
      </c>
      <c r="AC594" s="11">
        <v>0</v>
      </c>
      <c r="AD594" s="11">
        <v>0</v>
      </c>
      <c r="AE594" s="11">
        <v>0</v>
      </c>
      <c r="AF594" s="11">
        <f t="shared" si="18"/>
        <v>0.42</v>
      </c>
      <c r="AG594" s="11">
        <f t="shared" si="19"/>
        <v>7.42</v>
      </c>
      <c r="AH594" t="s">
        <v>44</v>
      </c>
    </row>
    <row r="595" spans="1:34" ht="15" customHeight="1" x14ac:dyDescent="0.35">
      <c r="A595">
        <v>7547676</v>
      </c>
      <c r="B595">
        <v>690929</v>
      </c>
      <c r="C595" t="s">
        <v>34</v>
      </c>
      <c r="D595" t="s">
        <v>35</v>
      </c>
      <c r="E595" s="6" t="s">
        <v>34</v>
      </c>
      <c r="F595" t="s">
        <v>1893</v>
      </c>
      <c r="H595" t="s">
        <v>38</v>
      </c>
      <c r="I595" t="s">
        <v>1894</v>
      </c>
      <c r="J595" t="s">
        <v>40</v>
      </c>
      <c r="K595">
        <v>2</v>
      </c>
      <c r="L595" t="s">
        <v>41</v>
      </c>
      <c r="M595" t="s">
        <v>42</v>
      </c>
      <c r="N595" t="s">
        <v>43</v>
      </c>
      <c r="O595" s="7">
        <v>1</v>
      </c>
      <c r="P595" s="8">
        <v>45287.667511574073</v>
      </c>
      <c r="Q595" s="9">
        <v>45289</v>
      </c>
      <c r="S595" t="s">
        <v>44</v>
      </c>
      <c r="T595" t="s">
        <v>45</v>
      </c>
      <c r="U595" t="s">
        <v>46</v>
      </c>
      <c r="V595" t="s">
        <v>1895</v>
      </c>
      <c r="W595">
        <v>80250</v>
      </c>
      <c r="X595" t="s">
        <v>44</v>
      </c>
      <c r="Y595" t="s">
        <v>190</v>
      </c>
      <c r="Z595" t="s">
        <v>49</v>
      </c>
      <c r="AA595" s="10">
        <f>IF(O595&lt;=1,7,7+0.8*ROUNDUP(O595-1,0))</f>
        <v>7</v>
      </c>
      <c r="AB595" s="11">
        <v>0</v>
      </c>
      <c r="AC595" s="11">
        <v>0</v>
      </c>
      <c r="AD595" s="11">
        <v>0</v>
      </c>
      <c r="AE595" s="11">
        <v>0</v>
      </c>
      <c r="AF595" s="11">
        <f t="shared" si="18"/>
        <v>0.42</v>
      </c>
      <c r="AG595" s="11">
        <f t="shared" si="19"/>
        <v>7.42</v>
      </c>
      <c r="AH595" t="s">
        <v>44</v>
      </c>
    </row>
    <row r="596" spans="1:34" ht="15" customHeight="1" x14ac:dyDescent="0.35">
      <c r="A596">
        <v>7547676</v>
      </c>
      <c r="B596">
        <v>690929</v>
      </c>
      <c r="C596" t="s">
        <v>34</v>
      </c>
      <c r="D596" t="s">
        <v>35</v>
      </c>
      <c r="E596" s="6" t="s">
        <v>34</v>
      </c>
      <c r="F596" t="s">
        <v>1896</v>
      </c>
      <c r="H596" t="s">
        <v>38</v>
      </c>
      <c r="I596" t="s">
        <v>1897</v>
      </c>
      <c r="J596" t="s">
        <v>40</v>
      </c>
      <c r="K596">
        <v>2</v>
      </c>
      <c r="L596" t="s">
        <v>41</v>
      </c>
      <c r="M596" t="s">
        <v>42</v>
      </c>
      <c r="N596" t="s">
        <v>43</v>
      </c>
      <c r="O596" s="7">
        <v>1</v>
      </c>
      <c r="P596" s="8">
        <v>45287.692048611112</v>
      </c>
      <c r="Q596" s="9">
        <v>45289</v>
      </c>
      <c r="S596" t="s">
        <v>44</v>
      </c>
      <c r="T596" t="s">
        <v>45</v>
      </c>
      <c r="U596" t="s">
        <v>46</v>
      </c>
      <c r="V596" t="s">
        <v>1898</v>
      </c>
      <c r="W596">
        <v>81200</v>
      </c>
      <c r="X596" t="s">
        <v>44</v>
      </c>
      <c r="Y596" t="s">
        <v>52</v>
      </c>
      <c r="Z596" t="s">
        <v>49</v>
      </c>
      <c r="AA596" s="10">
        <f>IF(O596&lt;=1,7,7+0.8*ROUNDUP(O596-1,0))</f>
        <v>7</v>
      </c>
      <c r="AB596" s="11">
        <v>0</v>
      </c>
      <c r="AC596" s="11">
        <v>0</v>
      </c>
      <c r="AD596" s="11">
        <v>0</v>
      </c>
      <c r="AE596" s="11">
        <v>0</v>
      </c>
      <c r="AF596" s="11">
        <f t="shared" si="18"/>
        <v>0.42</v>
      </c>
      <c r="AG596" s="11">
        <f t="shared" si="19"/>
        <v>7.42</v>
      </c>
      <c r="AH596" t="s">
        <v>44</v>
      </c>
    </row>
    <row r="597" spans="1:34" ht="15" customHeight="1" x14ac:dyDescent="0.35">
      <c r="A597">
        <v>7547676</v>
      </c>
      <c r="B597">
        <v>690929</v>
      </c>
      <c r="C597" t="s">
        <v>34</v>
      </c>
      <c r="D597" t="s">
        <v>35</v>
      </c>
      <c r="E597" s="6" t="s">
        <v>34</v>
      </c>
      <c r="F597" t="s">
        <v>1899</v>
      </c>
      <c r="H597" t="s">
        <v>38</v>
      </c>
      <c r="I597" t="s">
        <v>1900</v>
      </c>
      <c r="J597" t="s">
        <v>40</v>
      </c>
      <c r="K597">
        <v>2</v>
      </c>
      <c r="L597" t="s">
        <v>41</v>
      </c>
      <c r="M597" t="s">
        <v>42</v>
      </c>
      <c r="N597" t="s">
        <v>43</v>
      </c>
      <c r="O597" s="7">
        <v>1</v>
      </c>
      <c r="P597" s="8">
        <v>45288.475208333337</v>
      </c>
      <c r="Q597" s="9">
        <v>45290</v>
      </c>
      <c r="S597" t="s">
        <v>44</v>
      </c>
      <c r="T597" t="s">
        <v>45</v>
      </c>
      <c r="U597" t="s">
        <v>63</v>
      </c>
      <c r="V597" t="s">
        <v>1901</v>
      </c>
      <c r="W597">
        <v>75050</v>
      </c>
      <c r="X597" t="s">
        <v>44</v>
      </c>
      <c r="Y597" t="s">
        <v>52</v>
      </c>
      <c r="Z597" t="s">
        <v>49</v>
      </c>
      <c r="AA597" s="10">
        <f>IF(O597&lt;=1,7,7+0.8*ROUNDUP(O597-1,0))</f>
        <v>7</v>
      </c>
      <c r="AB597" s="11">
        <v>0</v>
      </c>
      <c r="AC597" s="11">
        <v>0</v>
      </c>
      <c r="AD597" s="11">
        <v>0</v>
      </c>
      <c r="AE597" s="11">
        <v>0</v>
      </c>
      <c r="AF597" s="11">
        <f t="shared" si="18"/>
        <v>0.42</v>
      </c>
      <c r="AG597" s="11">
        <f t="shared" si="19"/>
        <v>7.42</v>
      </c>
      <c r="AH597" t="s">
        <v>44</v>
      </c>
    </row>
    <row r="598" spans="1:34" ht="15" customHeight="1" x14ac:dyDescent="0.35">
      <c r="A598">
        <v>7547676</v>
      </c>
      <c r="B598">
        <v>690929</v>
      </c>
      <c r="C598" t="s">
        <v>34</v>
      </c>
      <c r="D598" t="s">
        <v>35</v>
      </c>
      <c r="E598" s="6" t="s">
        <v>34</v>
      </c>
      <c r="F598" t="s">
        <v>1902</v>
      </c>
      <c r="H598" t="s">
        <v>38</v>
      </c>
      <c r="I598" t="s">
        <v>1903</v>
      </c>
      <c r="J598" t="s">
        <v>40</v>
      </c>
      <c r="K598">
        <v>2</v>
      </c>
      <c r="L598" t="s">
        <v>41</v>
      </c>
      <c r="M598" t="s">
        <v>42</v>
      </c>
      <c r="N598" t="s">
        <v>43</v>
      </c>
      <c r="O598" s="7">
        <v>1</v>
      </c>
      <c r="P598" s="8">
        <v>45288.671932870369</v>
      </c>
      <c r="Q598" s="9">
        <v>45290</v>
      </c>
      <c r="S598" t="s">
        <v>44</v>
      </c>
      <c r="T598" t="s">
        <v>45</v>
      </c>
      <c r="U598" t="s">
        <v>68</v>
      </c>
      <c r="V598" t="s">
        <v>1904</v>
      </c>
      <c r="W598">
        <v>45800</v>
      </c>
      <c r="X598" t="s">
        <v>44</v>
      </c>
      <c r="Y598" t="s">
        <v>52</v>
      </c>
      <c r="Z598" t="s">
        <v>49</v>
      </c>
      <c r="AA598" s="10">
        <f>IF(O598&lt;=1,7,7+0.8*ROUNDUP(O598-1,0))</f>
        <v>7</v>
      </c>
      <c r="AB598" s="11">
        <v>0</v>
      </c>
      <c r="AC598" s="11">
        <v>0</v>
      </c>
      <c r="AD598" s="11">
        <v>0</v>
      </c>
      <c r="AE598" s="11">
        <v>0</v>
      </c>
      <c r="AF598" s="11">
        <f t="shared" si="18"/>
        <v>0.42</v>
      </c>
      <c r="AG598" s="11">
        <f t="shared" si="19"/>
        <v>7.42</v>
      </c>
      <c r="AH598" t="s">
        <v>44</v>
      </c>
    </row>
    <row r="599" spans="1:34" ht="15" customHeight="1" x14ac:dyDescent="0.35">
      <c r="A599">
        <v>7547676</v>
      </c>
      <c r="B599">
        <v>690929</v>
      </c>
      <c r="C599" t="s">
        <v>34</v>
      </c>
      <c r="D599" t="s">
        <v>35</v>
      </c>
      <c r="E599" s="6" t="s">
        <v>34</v>
      </c>
      <c r="F599" t="s">
        <v>1905</v>
      </c>
      <c r="H599" t="s">
        <v>38</v>
      </c>
      <c r="I599" t="s">
        <v>1906</v>
      </c>
      <c r="J599" t="s">
        <v>40</v>
      </c>
      <c r="K599">
        <v>2</v>
      </c>
      <c r="L599" t="s">
        <v>41</v>
      </c>
      <c r="M599" t="s">
        <v>42</v>
      </c>
      <c r="N599" t="s">
        <v>43</v>
      </c>
      <c r="O599" s="7">
        <v>1</v>
      </c>
      <c r="P599" s="8">
        <v>45288.699386574073</v>
      </c>
      <c r="Q599" s="9">
        <v>45290</v>
      </c>
      <c r="S599" t="s">
        <v>44</v>
      </c>
      <c r="T599" t="s">
        <v>45</v>
      </c>
      <c r="U599" t="s">
        <v>258</v>
      </c>
      <c r="V599" t="s">
        <v>1907</v>
      </c>
      <c r="W599">
        <v>21030</v>
      </c>
      <c r="X599" t="s">
        <v>44</v>
      </c>
      <c r="Y599" t="s">
        <v>260</v>
      </c>
      <c r="Z599" t="s">
        <v>49</v>
      </c>
      <c r="AA599" s="10">
        <f>IF(O599&lt;=1,7,7+0.8*ROUNDUP(O599-1,0))</f>
        <v>7</v>
      </c>
      <c r="AB599" s="11">
        <v>0</v>
      </c>
      <c r="AC599" s="11">
        <v>0</v>
      </c>
      <c r="AD599" s="11">
        <v>0</v>
      </c>
      <c r="AE599" s="11">
        <v>0</v>
      </c>
      <c r="AF599" s="11">
        <f t="shared" si="18"/>
        <v>0.42</v>
      </c>
      <c r="AG599" s="11">
        <f t="shared" si="19"/>
        <v>7.42</v>
      </c>
      <c r="AH599" t="s">
        <v>44</v>
      </c>
    </row>
    <row r="600" spans="1:34" ht="15" customHeight="1" x14ac:dyDescent="0.35">
      <c r="A600">
        <v>7547676</v>
      </c>
      <c r="B600">
        <v>690929</v>
      </c>
      <c r="C600" t="s">
        <v>34</v>
      </c>
      <c r="D600" t="s">
        <v>35</v>
      </c>
      <c r="E600" s="6" t="s">
        <v>34</v>
      </c>
      <c r="F600" t="s">
        <v>1908</v>
      </c>
      <c r="H600" t="s">
        <v>38</v>
      </c>
      <c r="I600" t="s">
        <v>1909</v>
      </c>
      <c r="J600" t="s">
        <v>40</v>
      </c>
      <c r="K600">
        <v>2</v>
      </c>
      <c r="L600" t="s">
        <v>41</v>
      </c>
      <c r="M600" t="s">
        <v>42</v>
      </c>
      <c r="N600" t="s">
        <v>43</v>
      </c>
      <c r="O600" s="7">
        <v>1</v>
      </c>
      <c r="P600" s="8">
        <v>45286.875694444447</v>
      </c>
      <c r="Q600" s="9">
        <v>45290</v>
      </c>
      <c r="S600" t="s">
        <v>44</v>
      </c>
      <c r="T600" t="s">
        <v>45</v>
      </c>
      <c r="U600" t="s">
        <v>1910</v>
      </c>
      <c r="V600" t="s">
        <v>1911</v>
      </c>
      <c r="W600">
        <v>87000</v>
      </c>
      <c r="X600" t="s">
        <v>242</v>
      </c>
      <c r="Y600" t="s">
        <v>52</v>
      </c>
      <c r="Z600" t="s">
        <v>49</v>
      </c>
      <c r="AA600" s="12">
        <f>IF(O600&lt;=1,13,IF(O600&lt;=2,23,IF(O600&lt;=3,35,IF(O600&lt;=4,43,IF(O600&lt;=5,53,IF(O600&lt;=6,63,IF(O600&lt;=7,71,IF(O600&lt;=8,79,IF(O600&lt;=9,87,IF(O600&lt;=10,95,IF(O600&lt;=11,105,IF(O600&lt;=12,114,IF(O600&lt;=13,119,IF(O600&lt;=14,127,IF(O600&lt;=15,135,IF(O600&lt;=16,143,IF(O600&lt;=17,153,IF(O600&lt;=18,163,IF(O600&lt;=19,171,IF(O600&lt;=20,185,IF(O600&lt;=21,193,IF(O600&lt;=22,201,IF(O600&lt;=23,210,IF(O600&lt;=24,220,IF(O600&lt;=25,230,IF(O600&lt;=26,240,IF(O600&lt;=27,250,IF(O600&lt;=28,260,IF(O600&lt;=29,270,IF(O600&lt;=30,280,280+10*ROUNDUP(O600-30,0)))))))))))))))))))))))))))))))</f>
        <v>13</v>
      </c>
      <c r="AB600" s="11">
        <v>0</v>
      </c>
      <c r="AC600" s="11">
        <v>0</v>
      </c>
      <c r="AD600" s="11">
        <v>0</v>
      </c>
      <c r="AE600" s="11">
        <v>0</v>
      </c>
      <c r="AF600" s="11">
        <f t="shared" si="18"/>
        <v>0.78</v>
      </c>
      <c r="AG600" s="11">
        <f t="shared" si="19"/>
        <v>13.78</v>
      </c>
      <c r="AH600" t="s">
        <v>242</v>
      </c>
    </row>
    <row r="601" spans="1:34" ht="15" customHeight="1" x14ac:dyDescent="0.35">
      <c r="A601">
        <v>7547676</v>
      </c>
      <c r="B601">
        <v>690929</v>
      </c>
      <c r="C601" t="s">
        <v>34</v>
      </c>
      <c r="D601" t="s">
        <v>35</v>
      </c>
      <c r="E601" s="6" t="s">
        <v>34</v>
      </c>
      <c r="F601" t="s">
        <v>1912</v>
      </c>
      <c r="H601" t="s">
        <v>38</v>
      </c>
      <c r="I601" t="s">
        <v>1913</v>
      </c>
      <c r="J601" t="s">
        <v>40</v>
      </c>
      <c r="K601">
        <v>2</v>
      </c>
      <c r="L601" t="s">
        <v>41</v>
      </c>
      <c r="M601" t="s">
        <v>42</v>
      </c>
      <c r="N601" t="s">
        <v>43</v>
      </c>
      <c r="O601" s="7">
        <v>2</v>
      </c>
      <c r="P601" s="8">
        <v>45288.652187500003</v>
      </c>
      <c r="Q601" s="9">
        <v>45290</v>
      </c>
      <c r="S601" t="s">
        <v>44</v>
      </c>
      <c r="T601" t="s">
        <v>45</v>
      </c>
      <c r="U601" t="s">
        <v>46</v>
      </c>
      <c r="V601" t="s">
        <v>1914</v>
      </c>
      <c r="W601">
        <v>81300</v>
      </c>
      <c r="X601" t="s">
        <v>44</v>
      </c>
      <c r="Y601" t="s">
        <v>52</v>
      </c>
      <c r="Z601" t="s">
        <v>49</v>
      </c>
      <c r="AA601" s="10">
        <f>IF(O601&lt;=1,7,7+0.8*ROUNDUP(O601-1,0))</f>
        <v>7.8</v>
      </c>
      <c r="AB601" s="11">
        <v>0</v>
      </c>
      <c r="AC601" s="11">
        <v>0</v>
      </c>
      <c r="AD601" s="11">
        <v>0</v>
      </c>
      <c r="AE601" s="11">
        <v>0</v>
      </c>
      <c r="AF601" s="11">
        <f t="shared" si="18"/>
        <v>0.46799999999999997</v>
      </c>
      <c r="AG601" s="11">
        <f t="shared" si="19"/>
        <v>8.2680000000000007</v>
      </c>
      <c r="AH601" t="s">
        <v>44</v>
      </c>
    </row>
    <row r="602" spans="1:34" ht="15" customHeight="1" x14ac:dyDescent="0.35">
      <c r="A602">
        <v>7547676</v>
      </c>
      <c r="B602">
        <v>690929</v>
      </c>
      <c r="C602" t="s">
        <v>34</v>
      </c>
      <c r="D602" t="s">
        <v>35</v>
      </c>
      <c r="E602" s="6" t="s">
        <v>34</v>
      </c>
      <c r="F602" t="s">
        <v>1915</v>
      </c>
      <c r="H602" t="s">
        <v>38</v>
      </c>
      <c r="I602" t="s">
        <v>1916</v>
      </c>
      <c r="J602" t="s">
        <v>40</v>
      </c>
      <c r="K602">
        <v>2</v>
      </c>
      <c r="L602" t="s">
        <v>41</v>
      </c>
      <c r="M602" t="s">
        <v>42</v>
      </c>
      <c r="N602" t="s">
        <v>43</v>
      </c>
      <c r="O602" s="7">
        <v>1</v>
      </c>
      <c r="P602" s="8">
        <v>45287.768611111111</v>
      </c>
      <c r="Q602" s="9">
        <v>45290</v>
      </c>
      <c r="S602" t="s">
        <v>44</v>
      </c>
      <c r="T602" t="s">
        <v>45</v>
      </c>
      <c r="U602" t="s">
        <v>159</v>
      </c>
      <c r="V602" t="s">
        <v>1917</v>
      </c>
      <c r="W602">
        <v>31250</v>
      </c>
      <c r="X602" t="s">
        <v>44</v>
      </c>
      <c r="Y602" t="s">
        <v>564</v>
      </c>
      <c r="Z602" t="s">
        <v>49</v>
      </c>
      <c r="AA602" s="10">
        <f>IF(O602&lt;=1,7,7+0.8*ROUNDUP(O602-1,0))</f>
        <v>7</v>
      </c>
      <c r="AB602" s="11">
        <v>0</v>
      </c>
      <c r="AC602" s="11">
        <v>0</v>
      </c>
      <c r="AD602" s="11">
        <v>0</v>
      </c>
      <c r="AE602" s="11">
        <v>0</v>
      </c>
      <c r="AF602" s="11">
        <f t="shared" si="18"/>
        <v>0.42</v>
      </c>
      <c r="AG602" s="11">
        <f t="shared" si="19"/>
        <v>7.42</v>
      </c>
      <c r="AH602" t="s">
        <v>44</v>
      </c>
    </row>
    <row r="603" spans="1:34" ht="15" customHeight="1" x14ac:dyDescent="0.35">
      <c r="A603">
        <v>7547676</v>
      </c>
      <c r="B603">
        <v>690929</v>
      </c>
      <c r="C603" t="s">
        <v>34</v>
      </c>
      <c r="D603" t="s">
        <v>35</v>
      </c>
      <c r="E603" s="6" t="s">
        <v>34</v>
      </c>
      <c r="F603" t="s">
        <v>1918</v>
      </c>
      <c r="H603" t="s">
        <v>38</v>
      </c>
      <c r="I603" t="s">
        <v>1919</v>
      </c>
      <c r="J603" t="s">
        <v>40</v>
      </c>
      <c r="K603">
        <v>2</v>
      </c>
      <c r="L603" t="s">
        <v>41</v>
      </c>
      <c r="M603" t="s">
        <v>42</v>
      </c>
      <c r="N603" t="s">
        <v>43</v>
      </c>
      <c r="O603" s="7">
        <v>1</v>
      </c>
      <c r="P603" s="8">
        <v>45284.708645833336</v>
      </c>
      <c r="Q603" s="9">
        <v>45290</v>
      </c>
      <c r="S603" t="s">
        <v>44</v>
      </c>
      <c r="T603" t="s">
        <v>45</v>
      </c>
      <c r="U603" t="s">
        <v>159</v>
      </c>
      <c r="V603" t="s">
        <v>1920</v>
      </c>
      <c r="W603">
        <v>31150</v>
      </c>
      <c r="X603" t="s">
        <v>44</v>
      </c>
      <c r="Y603" t="s">
        <v>52</v>
      </c>
      <c r="Z603" t="s">
        <v>49</v>
      </c>
      <c r="AA603" s="10">
        <f>IF(O603&lt;=1,7,7+0.8*ROUNDUP(O603-1,0))</f>
        <v>7</v>
      </c>
      <c r="AB603" s="11">
        <v>0</v>
      </c>
      <c r="AC603" s="11">
        <v>0</v>
      </c>
      <c r="AD603" s="11">
        <v>0</v>
      </c>
      <c r="AE603" s="11">
        <v>0</v>
      </c>
      <c r="AF603" s="11">
        <f t="shared" si="18"/>
        <v>0.42</v>
      </c>
      <c r="AG603" s="11">
        <f t="shared" si="19"/>
        <v>7.42</v>
      </c>
      <c r="AH603" t="s">
        <v>44</v>
      </c>
    </row>
    <row r="604" spans="1:34" ht="15" customHeight="1" x14ac:dyDescent="0.35">
      <c r="A604">
        <v>7547676</v>
      </c>
      <c r="B604">
        <v>690929</v>
      </c>
      <c r="C604" t="s">
        <v>34</v>
      </c>
      <c r="D604" t="s">
        <v>35</v>
      </c>
      <c r="E604" s="6" t="s">
        <v>34</v>
      </c>
      <c r="F604" t="s">
        <v>1921</v>
      </c>
      <c r="H604" t="s">
        <v>38</v>
      </c>
      <c r="I604" t="s">
        <v>1922</v>
      </c>
      <c r="J604" t="s">
        <v>40</v>
      </c>
      <c r="K604">
        <v>2</v>
      </c>
      <c r="L604" t="s">
        <v>41</v>
      </c>
      <c r="M604" t="s">
        <v>42</v>
      </c>
      <c r="N604" t="s">
        <v>43</v>
      </c>
      <c r="O604" s="7">
        <v>1</v>
      </c>
      <c r="P604" s="8">
        <v>45287.743483796294</v>
      </c>
      <c r="Q604" s="9">
        <v>45290</v>
      </c>
      <c r="S604" t="s">
        <v>44</v>
      </c>
      <c r="T604" t="s">
        <v>45</v>
      </c>
      <c r="U604" t="s">
        <v>94</v>
      </c>
      <c r="V604" t="s">
        <v>1923</v>
      </c>
      <c r="W604">
        <v>13800</v>
      </c>
      <c r="X604" t="s">
        <v>44</v>
      </c>
      <c r="Y604" t="s">
        <v>534</v>
      </c>
      <c r="Z604" t="s">
        <v>49</v>
      </c>
      <c r="AA604" s="10">
        <f>IF(O604&lt;=1,7,7+0.8*ROUNDUP(O604-1,0))</f>
        <v>7</v>
      </c>
      <c r="AB604" s="11">
        <v>0</v>
      </c>
      <c r="AC604" s="11">
        <v>0</v>
      </c>
      <c r="AD604" s="11">
        <v>0</v>
      </c>
      <c r="AE604" s="11">
        <v>0</v>
      </c>
      <c r="AF604" s="11">
        <f t="shared" si="18"/>
        <v>0.42</v>
      </c>
      <c r="AG604" s="11">
        <f t="shared" si="19"/>
        <v>7.42</v>
      </c>
      <c r="AH604" t="s">
        <v>44</v>
      </c>
    </row>
    <row r="605" spans="1:34" ht="15" customHeight="1" x14ac:dyDescent="0.35">
      <c r="A605">
        <v>7547676</v>
      </c>
      <c r="B605">
        <v>690929</v>
      </c>
      <c r="C605" t="s">
        <v>34</v>
      </c>
      <c r="D605" t="s">
        <v>35</v>
      </c>
      <c r="E605" s="6" t="s">
        <v>34</v>
      </c>
      <c r="F605" t="s">
        <v>1924</v>
      </c>
      <c r="H605" t="s">
        <v>38</v>
      </c>
      <c r="I605" t="s">
        <v>1925</v>
      </c>
      <c r="J605" t="s">
        <v>40</v>
      </c>
      <c r="K605">
        <v>2</v>
      </c>
      <c r="L605" t="s">
        <v>41</v>
      </c>
      <c r="M605" t="s">
        <v>42</v>
      </c>
      <c r="N605" t="s">
        <v>43</v>
      </c>
      <c r="O605" s="7">
        <v>1</v>
      </c>
      <c r="P605" s="8">
        <v>45287.757777777777</v>
      </c>
      <c r="Q605" s="9">
        <v>45290</v>
      </c>
      <c r="S605" t="s">
        <v>44</v>
      </c>
      <c r="T605" t="s">
        <v>45</v>
      </c>
      <c r="U605" t="s">
        <v>63</v>
      </c>
      <c r="V605" t="s">
        <v>1926</v>
      </c>
      <c r="W605">
        <v>75400</v>
      </c>
      <c r="X605" t="s">
        <v>44</v>
      </c>
      <c r="Y605" t="s">
        <v>52</v>
      </c>
      <c r="Z605" t="s">
        <v>49</v>
      </c>
      <c r="AA605" s="10">
        <f>IF(O605&lt;=1,7,7+0.8*ROUNDUP(O605-1,0))</f>
        <v>7</v>
      </c>
      <c r="AB605" s="11">
        <v>0</v>
      </c>
      <c r="AC605" s="11">
        <v>0</v>
      </c>
      <c r="AD605" s="11">
        <v>0</v>
      </c>
      <c r="AE605" s="11">
        <v>0</v>
      </c>
      <c r="AF605" s="11">
        <f t="shared" si="18"/>
        <v>0.42</v>
      </c>
      <c r="AG605" s="11">
        <f t="shared" si="19"/>
        <v>7.42</v>
      </c>
      <c r="AH605" t="s">
        <v>44</v>
      </c>
    </row>
    <row r="606" spans="1:34" ht="15" customHeight="1" x14ac:dyDescent="0.35">
      <c r="A606">
        <v>7547676</v>
      </c>
      <c r="B606">
        <v>690929</v>
      </c>
      <c r="C606" t="s">
        <v>34</v>
      </c>
      <c r="D606" t="s">
        <v>35</v>
      </c>
      <c r="E606" s="6" t="s">
        <v>34</v>
      </c>
      <c r="F606" t="s">
        <v>1927</v>
      </c>
      <c r="H606" t="s">
        <v>38</v>
      </c>
      <c r="I606" t="s">
        <v>1928</v>
      </c>
      <c r="J606" t="s">
        <v>40</v>
      </c>
      <c r="K606">
        <v>2</v>
      </c>
      <c r="L606" t="s">
        <v>41</v>
      </c>
      <c r="M606" t="s">
        <v>42</v>
      </c>
      <c r="N606" t="s">
        <v>43</v>
      </c>
      <c r="O606" s="7">
        <v>7</v>
      </c>
      <c r="P606" s="8">
        <v>45290.427847222221</v>
      </c>
      <c r="Q606" s="9">
        <v>45291</v>
      </c>
      <c r="S606" t="s">
        <v>44</v>
      </c>
      <c r="T606" t="s">
        <v>45</v>
      </c>
      <c r="U606" t="s">
        <v>77</v>
      </c>
      <c r="V606" t="s">
        <v>1929</v>
      </c>
      <c r="W606">
        <v>26060</v>
      </c>
      <c r="X606" t="s">
        <v>44</v>
      </c>
      <c r="Y606" t="s">
        <v>373</v>
      </c>
      <c r="Z606" t="s">
        <v>49</v>
      </c>
      <c r="AA606" s="10">
        <f>IF(O606&lt;=1,7,7+0.8*ROUNDUP(O606-1,0))</f>
        <v>11.8</v>
      </c>
      <c r="AB606" s="11">
        <v>0</v>
      </c>
      <c r="AC606" s="11">
        <v>0</v>
      </c>
      <c r="AD606" s="11">
        <v>0</v>
      </c>
      <c r="AE606" s="11">
        <v>0</v>
      </c>
      <c r="AF606" s="11">
        <f t="shared" si="18"/>
        <v>0.70799999999999996</v>
      </c>
      <c r="AG606" s="11">
        <f t="shared" si="19"/>
        <v>12.508000000000001</v>
      </c>
      <c r="AH606" t="s">
        <v>44</v>
      </c>
    </row>
    <row r="607" spans="1:34" ht="15" customHeight="1" x14ac:dyDescent="0.35">
      <c r="A607">
        <v>7547676</v>
      </c>
      <c r="B607">
        <v>690929</v>
      </c>
      <c r="C607" t="s">
        <v>34</v>
      </c>
      <c r="D607" t="s">
        <v>35</v>
      </c>
      <c r="E607" s="6" t="s">
        <v>34</v>
      </c>
      <c r="F607" t="s">
        <v>1930</v>
      </c>
      <c r="H607" t="s">
        <v>38</v>
      </c>
      <c r="I607" t="s">
        <v>1931</v>
      </c>
      <c r="J607" t="s">
        <v>40</v>
      </c>
      <c r="K607">
        <v>2</v>
      </c>
      <c r="L607" t="s">
        <v>41</v>
      </c>
      <c r="M607" t="s">
        <v>42</v>
      </c>
      <c r="N607" t="s">
        <v>43</v>
      </c>
      <c r="O607" s="7">
        <v>1</v>
      </c>
      <c r="P607" s="8">
        <v>45290.645046296297</v>
      </c>
      <c r="Q607" s="9">
        <v>45291</v>
      </c>
      <c r="S607" t="s">
        <v>44</v>
      </c>
      <c r="T607" t="s">
        <v>45</v>
      </c>
      <c r="U607" t="s">
        <v>68</v>
      </c>
      <c r="V607" t="s">
        <v>1932</v>
      </c>
      <c r="W607">
        <v>40000</v>
      </c>
      <c r="X607" t="s">
        <v>44</v>
      </c>
      <c r="Y607" t="s">
        <v>173</v>
      </c>
      <c r="Z607" t="s">
        <v>49</v>
      </c>
      <c r="AA607" s="10">
        <f>IF(O607&lt;=1,7,7+0.8*ROUNDUP(O607-1,0))</f>
        <v>7</v>
      </c>
      <c r="AB607" s="11">
        <v>0</v>
      </c>
      <c r="AC607" s="11">
        <v>0</v>
      </c>
      <c r="AD607" s="11">
        <v>0</v>
      </c>
      <c r="AE607" s="11">
        <v>0</v>
      </c>
      <c r="AF607" s="11">
        <f t="shared" si="18"/>
        <v>0.42</v>
      </c>
      <c r="AG607" s="11">
        <f t="shared" si="19"/>
        <v>7.42</v>
      </c>
      <c r="AH607" t="s">
        <v>44</v>
      </c>
    </row>
    <row r="608" spans="1:34" ht="15" customHeight="1" x14ac:dyDescent="0.35">
      <c r="A608">
        <v>7547676</v>
      </c>
      <c r="B608">
        <v>690929</v>
      </c>
      <c r="C608" t="s">
        <v>34</v>
      </c>
      <c r="D608" t="s">
        <v>35</v>
      </c>
      <c r="E608" s="6" t="s">
        <v>34</v>
      </c>
      <c r="F608" t="s">
        <v>1933</v>
      </c>
      <c r="H608" t="s">
        <v>38</v>
      </c>
      <c r="I608" t="s">
        <v>147</v>
      </c>
      <c r="J608" t="s">
        <v>40</v>
      </c>
      <c r="K608">
        <v>2</v>
      </c>
      <c r="L608" t="s">
        <v>41</v>
      </c>
      <c r="M608" t="s">
        <v>42</v>
      </c>
      <c r="N608" t="s">
        <v>43</v>
      </c>
      <c r="O608" s="7">
        <v>7</v>
      </c>
      <c r="P608" s="8">
        <v>45288.734386574077</v>
      </c>
      <c r="Q608" s="9">
        <v>45291</v>
      </c>
      <c r="S608" t="s">
        <v>44</v>
      </c>
      <c r="T608" t="s">
        <v>76</v>
      </c>
      <c r="U608" t="s">
        <v>77</v>
      </c>
      <c r="V608" t="s">
        <v>148</v>
      </c>
      <c r="W608">
        <v>39100</v>
      </c>
      <c r="X608" t="s">
        <v>44</v>
      </c>
      <c r="Y608" t="s">
        <v>149</v>
      </c>
      <c r="Z608" t="s">
        <v>49</v>
      </c>
      <c r="AA608" s="10">
        <f>IF(O608&lt;=1,7,7+0.8*ROUNDUP(O608-1,0))</f>
        <v>11.8</v>
      </c>
      <c r="AB608" s="11">
        <v>0</v>
      </c>
      <c r="AC608" s="11">
        <v>0</v>
      </c>
      <c r="AD608" s="11">
        <v>0</v>
      </c>
      <c r="AE608" s="11">
        <v>0</v>
      </c>
      <c r="AF608" s="11">
        <f t="shared" si="18"/>
        <v>0.70799999999999996</v>
      </c>
      <c r="AG608" s="11">
        <f t="shared" si="19"/>
        <v>12.508000000000001</v>
      </c>
      <c r="AH608" t="s">
        <v>44</v>
      </c>
    </row>
    <row r="609" spans="1:34" ht="15" customHeight="1" x14ac:dyDescent="0.35">
      <c r="A609">
        <v>7547676</v>
      </c>
      <c r="B609">
        <v>690929</v>
      </c>
      <c r="C609" t="s">
        <v>34</v>
      </c>
      <c r="D609" t="s">
        <v>35</v>
      </c>
      <c r="E609" s="6" t="s">
        <v>34</v>
      </c>
      <c r="F609" t="s">
        <v>1934</v>
      </c>
      <c r="H609" t="s">
        <v>38</v>
      </c>
      <c r="I609" t="s">
        <v>1935</v>
      </c>
      <c r="J609" t="s">
        <v>40</v>
      </c>
      <c r="K609">
        <v>2</v>
      </c>
      <c r="L609" t="s">
        <v>41</v>
      </c>
      <c r="M609" t="s">
        <v>42</v>
      </c>
      <c r="N609" t="s">
        <v>43</v>
      </c>
      <c r="O609" s="7">
        <v>1</v>
      </c>
      <c r="P609" s="8">
        <v>45288.768391203703</v>
      </c>
      <c r="Q609" s="9">
        <v>45291</v>
      </c>
      <c r="S609" t="s">
        <v>44</v>
      </c>
      <c r="T609" t="s">
        <v>76</v>
      </c>
      <c r="U609" t="s">
        <v>258</v>
      </c>
      <c r="V609" t="s">
        <v>1936</v>
      </c>
      <c r="W609">
        <v>24300</v>
      </c>
      <c r="X609" t="s">
        <v>44</v>
      </c>
      <c r="Y609" t="s">
        <v>76</v>
      </c>
      <c r="Z609" t="s">
        <v>49</v>
      </c>
      <c r="AA609" s="10">
        <f>IF(O609&lt;=1,7,7+0.8*ROUNDUP(O609-1,0))</f>
        <v>7</v>
      </c>
      <c r="AB609" s="11">
        <v>0</v>
      </c>
      <c r="AC609" s="11">
        <v>0</v>
      </c>
      <c r="AD609" s="11">
        <v>0</v>
      </c>
      <c r="AE609" s="11">
        <v>0</v>
      </c>
      <c r="AF609" s="11">
        <f t="shared" si="18"/>
        <v>0.42</v>
      </c>
      <c r="AG609" s="11">
        <f t="shared" si="19"/>
        <v>7.42</v>
      </c>
      <c r="AH609" t="s">
        <v>44</v>
      </c>
    </row>
    <row r="610" spans="1:34" ht="15" customHeight="1" x14ac:dyDescent="0.35">
      <c r="A610">
        <v>7547676</v>
      </c>
      <c r="B610">
        <v>690929</v>
      </c>
      <c r="C610" t="s">
        <v>34</v>
      </c>
      <c r="D610" t="s">
        <v>35</v>
      </c>
      <c r="E610" s="6" t="s">
        <v>34</v>
      </c>
      <c r="F610" t="s">
        <v>1937</v>
      </c>
      <c r="H610" t="s">
        <v>38</v>
      </c>
      <c r="I610" t="s">
        <v>1938</v>
      </c>
      <c r="J610" t="s">
        <v>40</v>
      </c>
      <c r="K610">
        <v>2</v>
      </c>
      <c r="L610" t="s">
        <v>41</v>
      </c>
      <c r="M610" t="s">
        <v>42</v>
      </c>
      <c r="N610" t="s">
        <v>43</v>
      </c>
      <c r="O610" s="7">
        <v>1</v>
      </c>
      <c r="P610" s="8">
        <v>45289.704016203701</v>
      </c>
      <c r="Q610" s="9">
        <v>45291</v>
      </c>
      <c r="S610" t="s">
        <v>44</v>
      </c>
      <c r="T610" t="s">
        <v>45</v>
      </c>
      <c r="U610" t="s">
        <v>68</v>
      </c>
      <c r="V610" t="s">
        <v>1939</v>
      </c>
      <c r="W610">
        <v>42600</v>
      </c>
      <c r="X610" t="s">
        <v>44</v>
      </c>
      <c r="Y610" t="s">
        <v>104</v>
      </c>
      <c r="Z610" t="s">
        <v>49</v>
      </c>
      <c r="AA610" s="10">
        <f>IF(O610&lt;=1,7,7+0.8*ROUNDUP(O610-1,0))</f>
        <v>7</v>
      </c>
      <c r="AB610" s="11">
        <v>0</v>
      </c>
      <c r="AC610" s="11">
        <v>0</v>
      </c>
      <c r="AD610" s="11">
        <v>0</v>
      </c>
      <c r="AE610" s="11">
        <v>0</v>
      </c>
      <c r="AF610" s="11">
        <f t="shared" si="18"/>
        <v>0.42</v>
      </c>
      <c r="AG610" s="11">
        <f t="shared" si="19"/>
        <v>7.42</v>
      </c>
      <c r="AH610" t="s">
        <v>44</v>
      </c>
    </row>
    <row r="611" spans="1:34" ht="15" customHeight="1" x14ac:dyDescent="0.35">
      <c r="A611">
        <v>7547676</v>
      </c>
      <c r="B611">
        <v>690929</v>
      </c>
      <c r="C611" t="s">
        <v>34</v>
      </c>
      <c r="D611" t="s">
        <v>35</v>
      </c>
      <c r="E611" s="6" t="s">
        <v>34</v>
      </c>
      <c r="F611" t="s">
        <v>1940</v>
      </c>
      <c r="H611" t="s">
        <v>38</v>
      </c>
      <c r="I611" t="s">
        <v>1941</v>
      </c>
      <c r="J611" t="s">
        <v>40</v>
      </c>
      <c r="K611">
        <v>2</v>
      </c>
      <c r="L611" t="s">
        <v>41</v>
      </c>
      <c r="M611" t="s">
        <v>42</v>
      </c>
      <c r="N611" t="s">
        <v>43</v>
      </c>
      <c r="O611" s="7">
        <v>1</v>
      </c>
      <c r="P611" s="8">
        <v>45290.680428240739</v>
      </c>
      <c r="Q611" s="9">
        <v>45291</v>
      </c>
      <c r="S611" t="s">
        <v>44</v>
      </c>
      <c r="T611" t="s">
        <v>45</v>
      </c>
      <c r="U611" t="s">
        <v>68</v>
      </c>
      <c r="V611" t="s">
        <v>1942</v>
      </c>
      <c r="W611">
        <v>40100</v>
      </c>
      <c r="X611" t="s">
        <v>44</v>
      </c>
      <c r="Y611" t="s">
        <v>427</v>
      </c>
      <c r="Z611" t="s">
        <v>49</v>
      </c>
      <c r="AA611" s="10">
        <f>IF(O611&lt;=1,7,7+0.8*ROUNDUP(O611-1,0))</f>
        <v>7</v>
      </c>
      <c r="AB611" s="11">
        <v>0</v>
      </c>
      <c r="AC611" s="11">
        <v>0</v>
      </c>
      <c r="AD611" s="11">
        <v>0</v>
      </c>
      <c r="AE611" s="11">
        <v>0</v>
      </c>
      <c r="AF611" s="11">
        <f t="shared" si="18"/>
        <v>0.42</v>
      </c>
      <c r="AG611" s="11">
        <f t="shared" si="19"/>
        <v>7.42</v>
      </c>
      <c r="AH611" t="s">
        <v>44</v>
      </c>
    </row>
    <row r="612" spans="1:34" ht="15" customHeight="1" x14ac:dyDescent="0.35">
      <c r="A612">
        <v>7547676</v>
      </c>
      <c r="B612">
        <v>690929</v>
      </c>
      <c r="C612" t="s">
        <v>34</v>
      </c>
      <c r="D612" t="s">
        <v>35</v>
      </c>
      <c r="E612" s="6" t="s">
        <v>34</v>
      </c>
      <c r="F612" t="s">
        <v>1943</v>
      </c>
      <c r="H612" t="s">
        <v>38</v>
      </c>
      <c r="I612" t="s">
        <v>147</v>
      </c>
      <c r="J612" t="s">
        <v>40</v>
      </c>
      <c r="K612">
        <v>2</v>
      </c>
      <c r="L612" t="s">
        <v>41</v>
      </c>
      <c r="M612" t="s">
        <v>42</v>
      </c>
      <c r="N612" t="s">
        <v>43</v>
      </c>
      <c r="O612" s="7">
        <v>4</v>
      </c>
      <c r="P612" s="8">
        <v>45288.734386574077</v>
      </c>
      <c r="Q612" s="9">
        <v>45291</v>
      </c>
      <c r="S612" t="s">
        <v>44</v>
      </c>
      <c r="T612" t="s">
        <v>76</v>
      </c>
      <c r="U612" t="s">
        <v>77</v>
      </c>
      <c r="V612" t="s">
        <v>148</v>
      </c>
      <c r="W612">
        <v>39100</v>
      </c>
      <c r="X612" t="s">
        <v>44</v>
      </c>
      <c r="Y612" t="s">
        <v>149</v>
      </c>
      <c r="Z612" t="s">
        <v>49</v>
      </c>
      <c r="AA612" s="10">
        <f>IF(O612&lt;=1,7,7+0.8*ROUNDUP(O612-1,0))</f>
        <v>9.4</v>
      </c>
      <c r="AB612" s="11">
        <v>0</v>
      </c>
      <c r="AC612" s="11">
        <v>0</v>
      </c>
      <c r="AD612" s="11">
        <v>0</v>
      </c>
      <c r="AE612" s="11">
        <v>0</v>
      </c>
      <c r="AF612" s="11">
        <f t="shared" si="18"/>
        <v>0.56399999999999995</v>
      </c>
      <c r="AG612" s="11">
        <f t="shared" si="19"/>
        <v>9.9640000000000004</v>
      </c>
      <c r="AH612" t="s">
        <v>44</v>
      </c>
    </row>
    <row r="613" spans="1:34" ht="15" customHeight="1" x14ac:dyDescent="0.35">
      <c r="A613">
        <v>7547676</v>
      </c>
      <c r="B613">
        <v>690929</v>
      </c>
      <c r="C613" t="s">
        <v>34</v>
      </c>
      <c r="D613" t="s">
        <v>35</v>
      </c>
      <c r="E613" s="6" t="s">
        <v>34</v>
      </c>
      <c r="F613" t="s">
        <v>1944</v>
      </c>
      <c r="H613" t="s">
        <v>38</v>
      </c>
      <c r="I613" t="s">
        <v>1945</v>
      </c>
      <c r="J613" t="s">
        <v>40</v>
      </c>
      <c r="K613">
        <v>2</v>
      </c>
      <c r="L613" t="s">
        <v>41</v>
      </c>
      <c r="M613" t="s">
        <v>42</v>
      </c>
      <c r="N613" t="s">
        <v>43</v>
      </c>
      <c r="O613" s="7">
        <v>1</v>
      </c>
      <c r="P613" s="8">
        <v>45290.685694444444</v>
      </c>
      <c r="Q613" s="9">
        <v>45291</v>
      </c>
      <c r="S613" t="s">
        <v>44</v>
      </c>
      <c r="T613" t="s">
        <v>45</v>
      </c>
      <c r="U613" t="s">
        <v>115</v>
      </c>
      <c r="V613" t="s">
        <v>1946</v>
      </c>
      <c r="W613">
        <v>15150</v>
      </c>
      <c r="X613" t="s">
        <v>44</v>
      </c>
      <c r="Y613" t="s">
        <v>76</v>
      </c>
      <c r="Z613" t="s">
        <v>49</v>
      </c>
      <c r="AA613" s="10">
        <f>IF(O613&lt;=1,7,7+0.8*ROUNDUP(O613-1,0))</f>
        <v>7</v>
      </c>
      <c r="AB613" s="11">
        <v>0</v>
      </c>
      <c r="AC613" s="11">
        <v>0</v>
      </c>
      <c r="AD613" s="11">
        <v>0</v>
      </c>
      <c r="AE613" s="11">
        <v>0</v>
      </c>
      <c r="AF613" s="11">
        <f t="shared" si="18"/>
        <v>0.42</v>
      </c>
      <c r="AG613" s="11">
        <f t="shared" si="19"/>
        <v>7.42</v>
      </c>
      <c r="AH613" t="s">
        <v>44</v>
      </c>
    </row>
    <row r="614" spans="1:34" ht="15" customHeight="1" x14ac:dyDescent="0.35">
      <c r="A614">
        <v>7547676</v>
      </c>
      <c r="B614">
        <v>690929</v>
      </c>
      <c r="C614" t="s">
        <v>34</v>
      </c>
      <c r="D614" t="s">
        <v>35</v>
      </c>
      <c r="E614" s="6" t="s">
        <v>34</v>
      </c>
      <c r="F614" t="s">
        <v>1947</v>
      </c>
      <c r="H614" t="s">
        <v>38</v>
      </c>
      <c r="I614" t="s">
        <v>1948</v>
      </c>
      <c r="J614" t="s">
        <v>40</v>
      </c>
      <c r="K614">
        <v>2</v>
      </c>
      <c r="L614" t="s">
        <v>41</v>
      </c>
      <c r="M614" t="s">
        <v>42</v>
      </c>
      <c r="N614" t="s">
        <v>43</v>
      </c>
      <c r="O614" s="7">
        <v>1</v>
      </c>
      <c r="P614" s="8">
        <v>45286.875694444447</v>
      </c>
      <c r="Q614" s="9">
        <v>45291</v>
      </c>
      <c r="S614" t="s">
        <v>44</v>
      </c>
      <c r="T614" t="s">
        <v>45</v>
      </c>
      <c r="U614" t="s">
        <v>68</v>
      </c>
      <c r="V614" t="s">
        <v>1949</v>
      </c>
      <c r="W614">
        <v>42100</v>
      </c>
      <c r="X614" t="s">
        <v>44</v>
      </c>
      <c r="Y614" t="s">
        <v>226</v>
      </c>
      <c r="Z614" t="s">
        <v>49</v>
      </c>
      <c r="AA614" s="10">
        <f>IF(O614&lt;=1,7,7+0.8*ROUNDUP(O614-1,0))</f>
        <v>7</v>
      </c>
      <c r="AB614" s="11">
        <v>0</v>
      </c>
      <c r="AC614" s="11">
        <v>0</v>
      </c>
      <c r="AD614" s="11">
        <v>0</v>
      </c>
      <c r="AE614" s="11">
        <v>0</v>
      </c>
      <c r="AF614" s="11">
        <f t="shared" si="18"/>
        <v>0.42</v>
      </c>
      <c r="AG614" s="11">
        <f t="shared" si="19"/>
        <v>7.42</v>
      </c>
      <c r="AH614" t="s">
        <v>44</v>
      </c>
    </row>
    <row r="615" spans="1:34" ht="15" customHeight="1" x14ac:dyDescent="0.35">
      <c r="A615">
        <v>7547676</v>
      </c>
      <c r="B615">
        <v>690929</v>
      </c>
      <c r="C615" t="s">
        <v>34</v>
      </c>
      <c r="D615" t="s">
        <v>35</v>
      </c>
      <c r="E615" s="6" t="s">
        <v>34</v>
      </c>
      <c r="F615" t="s">
        <v>1950</v>
      </c>
      <c r="H615" t="s">
        <v>38</v>
      </c>
      <c r="I615" t="s">
        <v>1951</v>
      </c>
      <c r="J615" t="s">
        <v>40</v>
      </c>
      <c r="K615">
        <v>2</v>
      </c>
      <c r="L615" t="s">
        <v>41</v>
      </c>
      <c r="M615" t="s">
        <v>42</v>
      </c>
      <c r="N615" t="s">
        <v>43</v>
      </c>
      <c r="O615" s="7">
        <v>4</v>
      </c>
      <c r="P615" s="8">
        <v>45290.608252314814</v>
      </c>
      <c r="Q615" s="9">
        <v>45291</v>
      </c>
      <c r="S615" t="s">
        <v>44</v>
      </c>
      <c r="T615" t="s">
        <v>45</v>
      </c>
      <c r="U615" t="s">
        <v>68</v>
      </c>
      <c r="V615" t="s">
        <v>1952</v>
      </c>
      <c r="W615">
        <v>43650</v>
      </c>
      <c r="X615" t="s">
        <v>44</v>
      </c>
      <c r="Y615" t="s">
        <v>1292</v>
      </c>
      <c r="Z615" t="s">
        <v>49</v>
      </c>
      <c r="AA615" s="10">
        <f>IF(O615&lt;=1,7,7+0.8*ROUNDUP(O615-1,0))</f>
        <v>9.4</v>
      </c>
      <c r="AB615" s="11">
        <v>0</v>
      </c>
      <c r="AC615" s="11">
        <v>0</v>
      </c>
      <c r="AD615" s="11">
        <v>0</v>
      </c>
      <c r="AE615" s="11">
        <v>0</v>
      </c>
      <c r="AF615" s="11">
        <f t="shared" si="18"/>
        <v>0.56399999999999995</v>
      </c>
      <c r="AG615" s="11">
        <f t="shared" si="19"/>
        <v>9.9640000000000004</v>
      </c>
      <c r="AH615" t="s">
        <v>44</v>
      </c>
    </row>
    <row r="616" spans="1:34" ht="15" customHeight="1" x14ac:dyDescent="0.35">
      <c r="A616">
        <v>7547676</v>
      </c>
      <c r="B616">
        <v>690929</v>
      </c>
      <c r="C616" t="s">
        <v>34</v>
      </c>
      <c r="D616" t="s">
        <v>35</v>
      </c>
      <c r="E616" s="6" t="s">
        <v>34</v>
      </c>
      <c r="F616" t="s">
        <v>1953</v>
      </c>
      <c r="H616" t="s">
        <v>38</v>
      </c>
      <c r="I616" t="s">
        <v>1954</v>
      </c>
      <c r="J616" t="s">
        <v>40</v>
      </c>
      <c r="K616">
        <v>2</v>
      </c>
      <c r="L616" t="s">
        <v>41</v>
      </c>
      <c r="M616" t="s">
        <v>42</v>
      </c>
      <c r="N616" t="s">
        <v>43</v>
      </c>
      <c r="O616" s="7">
        <v>2</v>
      </c>
      <c r="P616" s="8">
        <v>45290.716469907406</v>
      </c>
      <c r="Q616" s="9">
        <v>45291</v>
      </c>
      <c r="S616" t="s">
        <v>44</v>
      </c>
      <c r="T616" t="s">
        <v>45</v>
      </c>
      <c r="U616" t="s">
        <v>77</v>
      </c>
      <c r="V616" t="s">
        <v>1955</v>
      </c>
      <c r="W616">
        <v>26600</v>
      </c>
      <c r="X616" t="s">
        <v>44</v>
      </c>
      <c r="Y616" t="s">
        <v>1791</v>
      </c>
      <c r="Z616" t="s">
        <v>49</v>
      </c>
      <c r="AA616" s="10">
        <f>IF(O616&lt;=1,7,7+0.8*ROUNDUP(O616-1,0))</f>
        <v>7.8</v>
      </c>
      <c r="AB616" s="11">
        <v>0</v>
      </c>
      <c r="AC616" s="11">
        <v>0</v>
      </c>
      <c r="AD616" s="11">
        <v>0</v>
      </c>
      <c r="AE616" s="11">
        <v>0</v>
      </c>
      <c r="AF616" s="11">
        <f t="shared" si="18"/>
        <v>0.46799999999999997</v>
      </c>
      <c r="AG616" s="11">
        <f t="shared" si="19"/>
        <v>8.2680000000000007</v>
      </c>
      <c r="AH616" t="s">
        <v>44</v>
      </c>
    </row>
    <row r="617" spans="1:34" ht="15" customHeight="1" x14ac:dyDescent="0.35">
      <c r="A617">
        <v>7547676</v>
      </c>
      <c r="B617">
        <v>690929</v>
      </c>
      <c r="C617" t="s">
        <v>34</v>
      </c>
      <c r="D617" t="s">
        <v>35</v>
      </c>
      <c r="E617" s="6" t="s">
        <v>34</v>
      </c>
      <c r="F617" t="s">
        <v>1956</v>
      </c>
      <c r="H617" t="s">
        <v>38</v>
      </c>
      <c r="I617" t="s">
        <v>1957</v>
      </c>
      <c r="J617" t="s">
        <v>40</v>
      </c>
      <c r="K617">
        <v>2</v>
      </c>
      <c r="L617" t="s">
        <v>41</v>
      </c>
      <c r="M617" t="s">
        <v>42</v>
      </c>
      <c r="N617" t="s">
        <v>43</v>
      </c>
      <c r="O617" s="7">
        <v>1</v>
      </c>
      <c r="P617" s="8">
        <v>45286.875694444447</v>
      </c>
      <c r="Q617" s="9">
        <v>45291</v>
      </c>
      <c r="S617" t="s">
        <v>44</v>
      </c>
      <c r="T617" t="s">
        <v>45</v>
      </c>
      <c r="U617" t="s">
        <v>68</v>
      </c>
      <c r="V617" t="s">
        <v>1958</v>
      </c>
      <c r="W617">
        <v>45500</v>
      </c>
      <c r="X617" t="s">
        <v>44</v>
      </c>
      <c r="Y617" t="s">
        <v>1959</v>
      </c>
      <c r="Z617" t="s">
        <v>49</v>
      </c>
      <c r="AA617" s="10">
        <f>IF(O617&lt;=1,7,7+0.8*ROUNDUP(O617-1,0))</f>
        <v>7</v>
      </c>
      <c r="AB617" s="11">
        <v>0</v>
      </c>
      <c r="AC617" s="11">
        <v>0</v>
      </c>
      <c r="AD617" s="11">
        <v>0</v>
      </c>
      <c r="AE617" s="11">
        <v>0</v>
      </c>
      <c r="AF617" s="11">
        <f t="shared" si="18"/>
        <v>0.42</v>
      </c>
      <c r="AG617" s="11">
        <f t="shared" si="19"/>
        <v>7.42</v>
      </c>
      <c r="AH617" t="s">
        <v>44</v>
      </c>
    </row>
    <row r="618" spans="1:34" ht="15" customHeight="1" x14ac:dyDescent="0.35">
      <c r="A618">
        <v>7547676</v>
      </c>
      <c r="B618">
        <v>690929</v>
      </c>
      <c r="C618" t="s">
        <v>34</v>
      </c>
      <c r="D618" t="s">
        <v>35</v>
      </c>
      <c r="E618" s="6" t="s">
        <v>34</v>
      </c>
      <c r="F618" t="s">
        <v>1960</v>
      </c>
      <c r="H618" t="s">
        <v>38</v>
      </c>
      <c r="I618" t="s">
        <v>1961</v>
      </c>
      <c r="J618" t="s">
        <v>40</v>
      </c>
      <c r="K618">
        <v>2</v>
      </c>
      <c r="L618" t="s">
        <v>41</v>
      </c>
      <c r="M618" t="s">
        <v>42</v>
      </c>
      <c r="N618" t="s">
        <v>43</v>
      </c>
      <c r="O618" s="7">
        <v>2</v>
      </c>
      <c r="P618" s="8">
        <v>45290.55296296296</v>
      </c>
      <c r="Q618" s="9">
        <v>45291</v>
      </c>
      <c r="S618" t="s">
        <v>44</v>
      </c>
      <c r="T618" t="s">
        <v>45</v>
      </c>
      <c r="U618" t="s">
        <v>258</v>
      </c>
      <c r="V618" t="s">
        <v>1962</v>
      </c>
      <c r="W618">
        <v>24000</v>
      </c>
      <c r="X618" t="s">
        <v>44</v>
      </c>
      <c r="Y618" t="s">
        <v>402</v>
      </c>
      <c r="Z618" t="s">
        <v>49</v>
      </c>
      <c r="AA618" s="10">
        <f>IF(O618&lt;=1,7,7+0.8*ROUNDUP(O618-1,0))</f>
        <v>7.8</v>
      </c>
      <c r="AB618" s="11">
        <v>0</v>
      </c>
      <c r="AC618" s="11">
        <v>0</v>
      </c>
      <c r="AD618" s="11">
        <v>0</v>
      </c>
      <c r="AE618" s="11">
        <v>0</v>
      </c>
      <c r="AF618" s="11">
        <f t="shared" si="18"/>
        <v>0.46799999999999997</v>
      </c>
      <c r="AG618" s="11">
        <f t="shared" si="19"/>
        <v>8.2680000000000007</v>
      </c>
      <c r="AH618" t="s">
        <v>44</v>
      </c>
    </row>
    <row r="620" spans="1:34" x14ac:dyDescent="0.35">
      <c r="AA620" s="13">
        <f>SUM(AA2:AA618)</f>
        <v>5472.0000000000082</v>
      </c>
      <c r="AB620" s="13">
        <f>SUM(AB2:AB618)</f>
        <v>0</v>
      </c>
      <c r="AC620" s="13">
        <f>SUM(AC2:AC618)</f>
        <v>0</v>
      </c>
      <c r="AD620" s="13">
        <f>SUM(AD2:AD618)</f>
        <v>0</v>
      </c>
      <c r="AE620" s="13">
        <f>SUM(AE2:AE618)</f>
        <v>0</v>
      </c>
      <c r="AF620" s="13">
        <f>SUM(AF2:AF618)</f>
        <v>328.31999999999971</v>
      </c>
      <c r="AG620" s="13">
        <f>SUM(AG2:AG618)</f>
        <v>5800.3200000000215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Bukhari</dc:creator>
  <cp:lastModifiedBy>Ahmad Bukhari</cp:lastModifiedBy>
  <dcterms:created xsi:type="dcterms:W3CDTF">2024-01-03T02:55:30Z</dcterms:created>
  <dcterms:modified xsi:type="dcterms:W3CDTF">2024-01-03T02:55:31Z</dcterms:modified>
</cp:coreProperties>
</file>