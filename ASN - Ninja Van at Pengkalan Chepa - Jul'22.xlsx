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2\July'22\Billing\ASN\Individual Partner\"/>
    </mc:Choice>
  </mc:AlternateContent>
  <xr:revisionPtr revIDLastSave="0" documentId="8_{3820416E-8EB6-4EF3-997E-40D744970AE4}" xr6:coauthVersionLast="47" xr6:coauthVersionMax="47" xr10:uidLastSave="{00000000-0000-0000-0000-000000000000}"/>
  <bookViews>
    <workbookView xWindow="28680" yWindow="480" windowWidth="29040" windowHeight="15840" xr2:uid="{F15E8246-22C5-44A8-AD27-FBD0F6D46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J816" i="1" l="1"/>
  <c r="AI816" i="1"/>
  <c r="AH816" i="1"/>
  <c r="AG816" i="1"/>
  <c r="AF816" i="1"/>
  <c r="AE816" i="1"/>
  <c r="AD816" i="1"/>
  <c r="AD814" i="1"/>
  <c r="AI814" i="1" s="1"/>
  <c r="AJ814" i="1" s="1"/>
  <c r="AI813" i="1"/>
  <c r="AD813" i="1"/>
  <c r="AJ813" i="1" s="1"/>
  <c r="AI812" i="1"/>
  <c r="AD812" i="1"/>
  <c r="AD811" i="1"/>
  <c r="AD810" i="1"/>
  <c r="AI810" i="1" s="1"/>
  <c r="AJ810" i="1" s="1"/>
  <c r="AJ809" i="1"/>
  <c r="AI809" i="1"/>
  <c r="AD809" i="1"/>
  <c r="AD808" i="1"/>
  <c r="AD807" i="1"/>
  <c r="AD806" i="1"/>
  <c r="AI806" i="1" s="1"/>
  <c r="AJ806" i="1" s="1"/>
  <c r="AI805" i="1"/>
  <c r="AD805" i="1"/>
  <c r="AJ805" i="1" s="1"/>
  <c r="AI804" i="1"/>
  <c r="AD804" i="1"/>
  <c r="AD803" i="1"/>
  <c r="AD802" i="1"/>
  <c r="AI802" i="1" s="1"/>
  <c r="AJ802" i="1" s="1"/>
  <c r="AJ801" i="1"/>
  <c r="AI801" i="1"/>
  <c r="AD801" i="1"/>
  <c r="AD800" i="1"/>
  <c r="AD799" i="1"/>
  <c r="AD798" i="1"/>
  <c r="AI798" i="1" s="1"/>
  <c r="AJ798" i="1" s="1"/>
  <c r="AI797" i="1"/>
  <c r="AJ797" i="1" s="1"/>
  <c r="AD797" i="1"/>
  <c r="AI796" i="1"/>
  <c r="AD796" i="1"/>
  <c r="AD795" i="1"/>
  <c r="AD794" i="1"/>
  <c r="AI794" i="1" s="1"/>
  <c r="AJ794" i="1" s="1"/>
  <c r="AJ793" i="1"/>
  <c r="AI793" i="1"/>
  <c r="AD793" i="1"/>
  <c r="AD792" i="1"/>
  <c r="AD791" i="1"/>
  <c r="AD790" i="1"/>
  <c r="AI790" i="1" s="1"/>
  <c r="AJ790" i="1" s="1"/>
  <c r="AI789" i="1"/>
  <c r="AJ789" i="1" s="1"/>
  <c r="AD789" i="1"/>
  <c r="AI788" i="1"/>
  <c r="AD788" i="1"/>
  <c r="AD787" i="1"/>
  <c r="AD786" i="1"/>
  <c r="AI786" i="1" s="1"/>
  <c r="AJ786" i="1" s="1"/>
  <c r="AJ785" i="1"/>
  <c r="AI785" i="1"/>
  <c r="AD785" i="1"/>
  <c r="AD784" i="1"/>
  <c r="AD783" i="1"/>
  <c r="AD782" i="1"/>
  <c r="AI782" i="1" s="1"/>
  <c r="AJ782" i="1" s="1"/>
  <c r="AI781" i="1"/>
  <c r="AJ781" i="1" s="1"/>
  <c r="AD781" i="1"/>
  <c r="AI780" i="1"/>
  <c r="AD780" i="1"/>
  <c r="AD779" i="1"/>
  <c r="AD778" i="1"/>
  <c r="AI778" i="1" s="1"/>
  <c r="AJ778" i="1" s="1"/>
  <c r="AJ777" i="1"/>
  <c r="AI777" i="1"/>
  <c r="AD777" i="1"/>
  <c r="AD776" i="1"/>
  <c r="AD775" i="1"/>
  <c r="AJ774" i="1"/>
  <c r="AI774" i="1"/>
  <c r="AD774" i="1"/>
  <c r="AI773" i="1"/>
  <c r="AJ773" i="1" s="1"/>
  <c r="AD773" i="1"/>
  <c r="AI772" i="1"/>
  <c r="AD772" i="1"/>
  <c r="AJ772" i="1" s="1"/>
  <c r="AD771" i="1"/>
  <c r="AD770" i="1"/>
  <c r="AI770" i="1" s="1"/>
  <c r="AJ770" i="1" s="1"/>
  <c r="AJ769" i="1"/>
  <c r="AI769" i="1"/>
  <c r="AD769" i="1"/>
  <c r="AD768" i="1"/>
  <c r="AD767" i="1"/>
  <c r="AJ766" i="1"/>
  <c r="AI766" i="1"/>
  <c r="AD766" i="1"/>
  <c r="AI765" i="1"/>
  <c r="AJ765" i="1" s="1"/>
  <c r="AD765" i="1"/>
  <c r="AI764" i="1"/>
  <c r="AD764" i="1"/>
  <c r="AD763" i="1"/>
  <c r="AD762" i="1"/>
  <c r="AI762" i="1" s="1"/>
  <c r="AJ762" i="1" s="1"/>
  <c r="AJ761" i="1"/>
  <c r="AI761" i="1"/>
  <c r="AD761" i="1"/>
  <c r="AD760" i="1"/>
  <c r="AD759" i="1"/>
  <c r="AJ758" i="1"/>
  <c r="AI758" i="1"/>
  <c r="AD758" i="1"/>
  <c r="AI757" i="1"/>
  <c r="AJ757" i="1" s="1"/>
  <c r="AD757" i="1"/>
  <c r="AI756" i="1"/>
  <c r="AD756" i="1"/>
  <c r="AJ756" i="1" s="1"/>
  <c r="AD755" i="1"/>
  <c r="AD754" i="1"/>
  <c r="AI754" i="1" s="1"/>
  <c r="AJ754" i="1" s="1"/>
  <c r="AJ753" i="1"/>
  <c r="AI753" i="1"/>
  <c r="AD753" i="1"/>
  <c r="AD752" i="1"/>
  <c r="AD751" i="1"/>
  <c r="AJ750" i="1"/>
  <c r="AI750" i="1"/>
  <c r="AD750" i="1"/>
  <c r="AI749" i="1"/>
  <c r="AJ749" i="1" s="1"/>
  <c r="AD749" i="1"/>
  <c r="AI748" i="1"/>
  <c r="AD748" i="1"/>
  <c r="AD747" i="1"/>
  <c r="AD746" i="1"/>
  <c r="AI746" i="1" s="1"/>
  <c r="AJ746" i="1" s="1"/>
  <c r="AJ745" i="1"/>
  <c r="AI745" i="1"/>
  <c r="AD745" i="1"/>
  <c r="AD744" i="1"/>
  <c r="AD743" i="1"/>
  <c r="AJ742" i="1"/>
  <c r="AI742" i="1"/>
  <c r="AD742" i="1"/>
  <c r="AI741" i="1"/>
  <c r="AJ741" i="1" s="1"/>
  <c r="AD741" i="1"/>
  <c r="AI740" i="1"/>
  <c r="AD740" i="1"/>
  <c r="AJ740" i="1" s="1"/>
  <c r="AD739" i="1"/>
  <c r="AD738" i="1"/>
  <c r="AI738" i="1" s="1"/>
  <c r="AJ738" i="1" s="1"/>
  <c r="AJ737" i="1"/>
  <c r="AI737" i="1"/>
  <c r="AD737" i="1"/>
  <c r="AD736" i="1"/>
  <c r="AD735" i="1"/>
  <c r="AJ734" i="1"/>
  <c r="AI734" i="1"/>
  <c r="AD734" i="1"/>
  <c r="AI733" i="1"/>
  <c r="AJ733" i="1" s="1"/>
  <c r="AD733" i="1"/>
  <c r="AI732" i="1"/>
  <c r="AD732" i="1"/>
  <c r="AD731" i="1"/>
  <c r="AD730" i="1"/>
  <c r="AI730" i="1" s="1"/>
  <c r="AJ730" i="1" s="1"/>
  <c r="AJ729" i="1"/>
  <c r="AI729" i="1"/>
  <c r="AD729" i="1"/>
  <c r="AD728" i="1"/>
  <c r="AD727" i="1"/>
  <c r="AJ726" i="1"/>
  <c r="AI726" i="1"/>
  <c r="AD726" i="1"/>
  <c r="AI725" i="1"/>
  <c r="AJ725" i="1" s="1"/>
  <c r="AD725" i="1"/>
  <c r="AI724" i="1"/>
  <c r="AD724" i="1"/>
  <c r="AJ724" i="1" s="1"/>
  <c r="AD723" i="1"/>
  <c r="AD722" i="1"/>
  <c r="AI722" i="1" s="1"/>
  <c r="AJ722" i="1" s="1"/>
  <c r="AJ721" i="1"/>
  <c r="AI721" i="1"/>
  <c r="AD721" i="1"/>
  <c r="AD720" i="1"/>
  <c r="AD719" i="1"/>
  <c r="AJ718" i="1"/>
  <c r="AI718" i="1"/>
  <c r="AD718" i="1"/>
  <c r="AI717" i="1"/>
  <c r="AJ717" i="1" s="1"/>
  <c r="AD717" i="1"/>
  <c r="AI716" i="1"/>
  <c r="AD716" i="1"/>
  <c r="AD715" i="1"/>
  <c r="AD714" i="1"/>
  <c r="AI714" i="1" s="1"/>
  <c r="AJ714" i="1" s="1"/>
  <c r="AJ713" i="1"/>
  <c r="AI713" i="1"/>
  <c r="AD713" i="1"/>
  <c r="AD712" i="1"/>
  <c r="AD711" i="1"/>
  <c r="AJ710" i="1"/>
  <c r="AI710" i="1"/>
  <c r="AD710" i="1"/>
  <c r="AI709" i="1"/>
  <c r="AJ709" i="1" s="1"/>
  <c r="AD709" i="1"/>
  <c r="AI708" i="1"/>
  <c r="AD708" i="1"/>
  <c r="AJ708" i="1" s="1"/>
  <c r="AD707" i="1"/>
  <c r="AI707" i="1" s="1"/>
  <c r="AJ707" i="1" s="1"/>
  <c r="AD706" i="1"/>
  <c r="AI706" i="1" s="1"/>
  <c r="AJ706" i="1" s="1"/>
  <c r="AJ705" i="1"/>
  <c r="AI705" i="1"/>
  <c r="AD705" i="1"/>
  <c r="AD704" i="1"/>
  <c r="AD703" i="1"/>
  <c r="AJ702" i="1"/>
  <c r="AI702" i="1"/>
  <c r="AD702" i="1"/>
  <c r="AI701" i="1"/>
  <c r="AJ701" i="1" s="1"/>
  <c r="AD701" i="1"/>
  <c r="AI700" i="1"/>
  <c r="AD700" i="1"/>
  <c r="AD699" i="1"/>
  <c r="AI699" i="1" s="1"/>
  <c r="AJ699" i="1" s="1"/>
  <c r="AD698" i="1"/>
  <c r="AI698" i="1" s="1"/>
  <c r="AJ698" i="1" s="1"/>
  <c r="AJ697" i="1"/>
  <c r="AI697" i="1"/>
  <c r="AD697" i="1"/>
  <c r="AD696" i="1"/>
  <c r="AD695" i="1"/>
  <c r="AJ694" i="1"/>
  <c r="AI694" i="1"/>
  <c r="AD694" i="1"/>
  <c r="AI693" i="1"/>
  <c r="AJ693" i="1" s="1"/>
  <c r="AD693" i="1"/>
  <c r="AI692" i="1"/>
  <c r="AD692" i="1"/>
  <c r="AJ692" i="1" s="1"/>
  <c r="AD691" i="1"/>
  <c r="AI691" i="1" s="1"/>
  <c r="AJ691" i="1" s="1"/>
  <c r="AD690" i="1"/>
  <c r="AI690" i="1" s="1"/>
  <c r="AJ690" i="1" s="1"/>
  <c r="AJ689" i="1"/>
  <c r="AI689" i="1"/>
  <c r="AD689" i="1"/>
  <c r="AD688" i="1"/>
  <c r="AD687" i="1"/>
  <c r="AJ686" i="1"/>
  <c r="AI686" i="1"/>
  <c r="AD686" i="1"/>
  <c r="AI685" i="1"/>
  <c r="AJ685" i="1" s="1"/>
  <c r="AD685" i="1"/>
  <c r="AI684" i="1"/>
  <c r="AD684" i="1"/>
  <c r="AD683" i="1"/>
  <c r="AI683" i="1" s="1"/>
  <c r="AJ683" i="1" s="1"/>
  <c r="AD682" i="1"/>
  <c r="AI682" i="1" s="1"/>
  <c r="AJ682" i="1" s="1"/>
  <c r="AJ681" i="1"/>
  <c r="AI681" i="1"/>
  <c r="AD681" i="1"/>
  <c r="AD680" i="1"/>
  <c r="AD679" i="1"/>
  <c r="AJ678" i="1"/>
  <c r="AI678" i="1"/>
  <c r="AD678" i="1"/>
  <c r="AI677" i="1"/>
  <c r="AJ677" i="1" s="1"/>
  <c r="AD677" i="1"/>
  <c r="AI676" i="1"/>
  <c r="AD676" i="1"/>
  <c r="AD675" i="1"/>
  <c r="AI675" i="1" s="1"/>
  <c r="AJ675" i="1" s="1"/>
  <c r="AD674" i="1"/>
  <c r="AI674" i="1" s="1"/>
  <c r="AJ674" i="1" s="1"/>
  <c r="AJ673" i="1"/>
  <c r="AI673" i="1"/>
  <c r="AD673" i="1"/>
  <c r="AD672" i="1"/>
  <c r="AD671" i="1"/>
  <c r="AJ670" i="1"/>
  <c r="AI670" i="1"/>
  <c r="AD670" i="1"/>
  <c r="AI669" i="1"/>
  <c r="AJ669" i="1" s="1"/>
  <c r="AD669" i="1"/>
  <c r="AI668" i="1"/>
  <c r="AD668" i="1"/>
  <c r="AD667" i="1"/>
  <c r="AI667" i="1" s="1"/>
  <c r="AJ667" i="1" s="1"/>
  <c r="AD666" i="1"/>
  <c r="AI666" i="1" s="1"/>
  <c r="AJ666" i="1" s="1"/>
  <c r="AJ665" i="1"/>
  <c r="AI665" i="1"/>
  <c r="AD665" i="1"/>
  <c r="AD664" i="1"/>
  <c r="AD663" i="1"/>
  <c r="AJ662" i="1"/>
  <c r="AI662" i="1"/>
  <c r="AD662" i="1"/>
  <c r="AI661" i="1"/>
  <c r="AJ661" i="1" s="1"/>
  <c r="AD661" i="1"/>
  <c r="AI660" i="1"/>
  <c r="AD660" i="1"/>
  <c r="AJ660" i="1" s="1"/>
  <c r="AD659" i="1"/>
  <c r="AI659" i="1" s="1"/>
  <c r="AJ659" i="1" s="1"/>
  <c r="AD658" i="1"/>
  <c r="AI658" i="1" s="1"/>
  <c r="AJ658" i="1" s="1"/>
  <c r="AJ657" i="1"/>
  <c r="AI657" i="1"/>
  <c r="AD657" i="1"/>
  <c r="AD656" i="1"/>
  <c r="AD655" i="1"/>
  <c r="AJ654" i="1"/>
  <c r="AI654" i="1"/>
  <c r="AD654" i="1"/>
  <c r="AI653" i="1"/>
  <c r="AJ653" i="1" s="1"/>
  <c r="AD653" i="1"/>
  <c r="AI652" i="1"/>
  <c r="AD652" i="1"/>
  <c r="AD651" i="1"/>
  <c r="AI651" i="1" s="1"/>
  <c r="AJ651" i="1" s="1"/>
  <c r="AD650" i="1"/>
  <c r="AI650" i="1" s="1"/>
  <c r="AJ650" i="1" s="1"/>
  <c r="AJ649" i="1"/>
  <c r="AI649" i="1"/>
  <c r="AD649" i="1"/>
  <c r="AD648" i="1"/>
  <c r="AD647" i="1"/>
  <c r="AJ646" i="1"/>
  <c r="AI646" i="1"/>
  <c r="AD646" i="1"/>
  <c r="AI645" i="1"/>
  <c r="AJ645" i="1" s="1"/>
  <c r="AD645" i="1"/>
  <c r="AI644" i="1"/>
  <c r="AD644" i="1"/>
  <c r="AD643" i="1"/>
  <c r="AI643" i="1" s="1"/>
  <c r="AJ643" i="1" s="1"/>
  <c r="AD642" i="1"/>
  <c r="AI642" i="1" s="1"/>
  <c r="AJ642" i="1" s="1"/>
  <c r="AJ641" i="1"/>
  <c r="AI641" i="1"/>
  <c r="AD641" i="1"/>
  <c r="AD640" i="1"/>
  <c r="AD639" i="1"/>
  <c r="AJ638" i="1"/>
  <c r="AI638" i="1"/>
  <c r="AD638" i="1"/>
  <c r="AI637" i="1"/>
  <c r="AJ637" i="1" s="1"/>
  <c r="AD637" i="1"/>
  <c r="AI636" i="1"/>
  <c r="AD636" i="1"/>
  <c r="AD635" i="1"/>
  <c r="AI635" i="1" s="1"/>
  <c r="AJ635" i="1" s="1"/>
  <c r="AD634" i="1"/>
  <c r="AI634" i="1" s="1"/>
  <c r="AJ634" i="1" s="1"/>
  <c r="AJ633" i="1"/>
  <c r="AI633" i="1"/>
  <c r="AD633" i="1"/>
  <c r="AD632" i="1"/>
  <c r="AD631" i="1"/>
  <c r="AJ630" i="1"/>
  <c r="AI630" i="1"/>
  <c r="AD630" i="1"/>
  <c r="AI629" i="1"/>
  <c r="AJ629" i="1" s="1"/>
  <c r="AD629" i="1"/>
  <c r="AI628" i="1"/>
  <c r="AD628" i="1"/>
  <c r="AJ628" i="1" s="1"/>
  <c r="AD627" i="1"/>
  <c r="AI627" i="1" s="1"/>
  <c r="AJ627" i="1" s="1"/>
  <c r="AD626" i="1"/>
  <c r="AI626" i="1" s="1"/>
  <c r="AJ626" i="1" s="1"/>
  <c r="AJ625" i="1"/>
  <c r="AI625" i="1"/>
  <c r="AD625" i="1"/>
  <c r="AD624" i="1"/>
  <c r="AD623" i="1"/>
  <c r="AJ622" i="1"/>
  <c r="AI622" i="1"/>
  <c r="AD622" i="1"/>
  <c r="AI621" i="1"/>
  <c r="AJ621" i="1" s="1"/>
  <c r="AD621" i="1"/>
  <c r="AI620" i="1"/>
  <c r="AD620" i="1"/>
  <c r="AD619" i="1"/>
  <c r="AI619" i="1" s="1"/>
  <c r="AJ619" i="1" s="1"/>
  <c r="AD618" i="1"/>
  <c r="AI618" i="1" s="1"/>
  <c r="AJ618" i="1" s="1"/>
  <c r="AJ617" i="1"/>
  <c r="AI617" i="1"/>
  <c r="AD617" i="1"/>
  <c r="AD616" i="1"/>
  <c r="AD615" i="1"/>
  <c r="AJ614" i="1"/>
  <c r="AI614" i="1"/>
  <c r="AD614" i="1"/>
  <c r="AI613" i="1"/>
  <c r="AJ613" i="1" s="1"/>
  <c r="AD613" i="1"/>
  <c r="AI612" i="1"/>
  <c r="AD612" i="1"/>
  <c r="AD611" i="1"/>
  <c r="AI611" i="1" s="1"/>
  <c r="AJ611" i="1" s="1"/>
  <c r="AD610" i="1"/>
  <c r="AI610" i="1" s="1"/>
  <c r="AJ610" i="1" s="1"/>
  <c r="AJ609" i="1"/>
  <c r="AI609" i="1"/>
  <c r="AD609" i="1"/>
  <c r="AD608" i="1"/>
  <c r="AD607" i="1"/>
  <c r="AJ606" i="1"/>
  <c r="AI606" i="1"/>
  <c r="AD606" i="1"/>
  <c r="AI605" i="1"/>
  <c r="AJ605" i="1" s="1"/>
  <c r="AD605" i="1"/>
  <c r="AI604" i="1"/>
  <c r="AD604" i="1"/>
  <c r="AD603" i="1"/>
  <c r="AI603" i="1" s="1"/>
  <c r="AJ603" i="1" s="1"/>
  <c r="AD602" i="1"/>
  <c r="AI602" i="1" s="1"/>
  <c r="AJ602" i="1" s="1"/>
  <c r="AJ601" i="1"/>
  <c r="AI601" i="1"/>
  <c r="AD601" i="1"/>
  <c r="AD600" i="1"/>
  <c r="AD599" i="1"/>
  <c r="AJ598" i="1"/>
  <c r="AI598" i="1"/>
  <c r="AD598" i="1"/>
  <c r="AI597" i="1"/>
  <c r="AD597" i="1"/>
  <c r="AJ597" i="1" s="1"/>
  <c r="AD596" i="1"/>
  <c r="AD595" i="1"/>
  <c r="AI595" i="1" s="1"/>
  <c r="AJ595" i="1" s="1"/>
  <c r="AD594" i="1"/>
  <c r="AI594" i="1" s="1"/>
  <c r="AJ594" i="1" s="1"/>
  <c r="AJ593" i="1"/>
  <c r="AI593" i="1"/>
  <c r="AD593" i="1"/>
  <c r="AD592" i="1"/>
  <c r="AD591" i="1"/>
  <c r="AJ590" i="1"/>
  <c r="AI590" i="1"/>
  <c r="AD590" i="1"/>
  <c r="AI589" i="1"/>
  <c r="AJ589" i="1" s="1"/>
  <c r="AD589" i="1"/>
  <c r="AI588" i="1"/>
  <c r="AD588" i="1"/>
  <c r="AD587" i="1"/>
  <c r="AI587" i="1" s="1"/>
  <c r="AJ587" i="1" s="1"/>
  <c r="AD586" i="1"/>
  <c r="AI586" i="1" s="1"/>
  <c r="AJ586" i="1" s="1"/>
  <c r="AI585" i="1"/>
  <c r="AJ585" i="1" s="1"/>
  <c r="AD585" i="1"/>
  <c r="AD584" i="1"/>
  <c r="AD583" i="1"/>
  <c r="AJ582" i="1"/>
  <c r="AI582" i="1"/>
  <c r="AD582" i="1"/>
  <c r="AI581" i="1"/>
  <c r="AD581" i="1"/>
  <c r="AJ581" i="1" s="1"/>
  <c r="AD580" i="1"/>
  <c r="AD579" i="1"/>
  <c r="AI579" i="1" s="1"/>
  <c r="AJ579" i="1" s="1"/>
  <c r="AD578" i="1"/>
  <c r="AI578" i="1" s="1"/>
  <c r="AJ578" i="1" s="1"/>
  <c r="AJ577" i="1"/>
  <c r="AI577" i="1"/>
  <c r="AD577" i="1"/>
  <c r="AD576" i="1"/>
  <c r="AD575" i="1"/>
  <c r="AJ574" i="1"/>
  <c r="AI574" i="1"/>
  <c r="AD574" i="1"/>
  <c r="AI573" i="1"/>
  <c r="AD573" i="1"/>
  <c r="AD572" i="1"/>
  <c r="AD571" i="1"/>
  <c r="AI571" i="1" s="1"/>
  <c r="AJ571" i="1" s="1"/>
  <c r="AD570" i="1"/>
  <c r="AI570" i="1" s="1"/>
  <c r="AJ570" i="1" s="1"/>
  <c r="AI569" i="1"/>
  <c r="AJ569" i="1" s="1"/>
  <c r="AD569" i="1"/>
  <c r="AD568" i="1"/>
  <c r="AD567" i="1"/>
  <c r="AJ566" i="1"/>
  <c r="AI566" i="1"/>
  <c r="AD566" i="1"/>
  <c r="AI565" i="1"/>
  <c r="AJ565" i="1" s="1"/>
  <c r="AD565" i="1"/>
  <c r="AD564" i="1"/>
  <c r="AD563" i="1"/>
  <c r="AI563" i="1" s="1"/>
  <c r="AJ563" i="1" s="1"/>
  <c r="AJ562" i="1"/>
  <c r="AD562" i="1"/>
  <c r="AI562" i="1" s="1"/>
  <c r="AI561" i="1"/>
  <c r="AJ561" i="1" s="1"/>
  <c r="AD561" i="1"/>
  <c r="AD560" i="1"/>
  <c r="AD559" i="1"/>
  <c r="AJ558" i="1"/>
  <c r="AI558" i="1"/>
  <c r="AD558" i="1"/>
  <c r="AI557" i="1"/>
  <c r="AD557" i="1"/>
  <c r="AJ557" i="1" s="1"/>
  <c r="AI556" i="1"/>
  <c r="AD556" i="1"/>
  <c r="AD555" i="1"/>
  <c r="AI555" i="1" s="1"/>
  <c r="AJ555" i="1" s="1"/>
  <c r="AD554" i="1"/>
  <c r="AI554" i="1" s="1"/>
  <c r="AJ554" i="1" s="1"/>
  <c r="AI553" i="1"/>
  <c r="AJ553" i="1" s="1"/>
  <c r="AD553" i="1"/>
  <c r="AD552" i="1"/>
  <c r="AD551" i="1"/>
  <c r="AJ550" i="1"/>
  <c r="AI550" i="1"/>
  <c r="AD550" i="1"/>
  <c r="AI549" i="1"/>
  <c r="AJ549" i="1" s="1"/>
  <c r="AD549" i="1"/>
  <c r="AD548" i="1"/>
  <c r="AD547" i="1"/>
  <c r="AI547" i="1" s="1"/>
  <c r="AJ547" i="1" s="1"/>
  <c r="AJ546" i="1"/>
  <c r="AD546" i="1"/>
  <c r="AI546" i="1" s="1"/>
  <c r="AJ545" i="1"/>
  <c r="AI545" i="1"/>
  <c r="AD545" i="1"/>
  <c r="AD544" i="1"/>
  <c r="AD543" i="1"/>
  <c r="AJ542" i="1"/>
  <c r="AI542" i="1"/>
  <c r="AD542" i="1"/>
  <c r="AI541" i="1"/>
  <c r="AJ541" i="1" s="1"/>
  <c r="AD541" i="1"/>
  <c r="AD540" i="1"/>
  <c r="AD539" i="1"/>
  <c r="AI539" i="1" s="1"/>
  <c r="AJ539" i="1" s="1"/>
  <c r="AD538" i="1"/>
  <c r="AI538" i="1" s="1"/>
  <c r="AJ538" i="1" s="1"/>
  <c r="AI537" i="1"/>
  <c r="AJ537" i="1" s="1"/>
  <c r="AD537" i="1"/>
  <c r="AD536" i="1"/>
  <c r="AD535" i="1"/>
  <c r="AJ534" i="1"/>
  <c r="AI534" i="1"/>
  <c r="AD534" i="1"/>
  <c r="AI533" i="1"/>
  <c r="AJ533" i="1" s="1"/>
  <c r="AD533" i="1"/>
  <c r="AD532" i="1"/>
  <c r="AD531" i="1"/>
  <c r="AI531" i="1" s="1"/>
  <c r="AJ531" i="1" s="1"/>
  <c r="AJ530" i="1"/>
  <c r="AD530" i="1"/>
  <c r="AI530" i="1" s="1"/>
  <c r="AJ529" i="1"/>
  <c r="AI529" i="1"/>
  <c r="AD529" i="1"/>
  <c r="AD528" i="1"/>
  <c r="AD527" i="1"/>
  <c r="AJ526" i="1"/>
  <c r="AI526" i="1"/>
  <c r="AD526" i="1"/>
  <c r="AI525" i="1"/>
  <c r="AJ525" i="1" s="1"/>
  <c r="AD525" i="1"/>
  <c r="AI524" i="1"/>
  <c r="AD524" i="1"/>
  <c r="AD523" i="1"/>
  <c r="AI523" i="1" s="1"/>
  <c r="AJ523" i="1" s="1"/>
  <c r="AD522" i="1"/>
  <c r="AI522" i="1" s="1"/>
  <c r="AJ522" i="1" s="1"/>
  <c r="AI521" i="1"/>
  <c r="AJ521" i="1" s="1"/>
  <c r="AD521" i="1"/>
  <c r="AD520" i="1"/>
  <c r="AD519" i="1"/>
  <c r="AJ518" i="1"/>
  <c r="AI518" i="1"/>
  <c r="AD518" i="1"/>
  <c r="AI517" i="1"/>
  <c r="AJ517" i="1" s="1"/>
  <c r="AD517" i="1"/>
  <c r="AD516" i="1"/>
  <c r="AD515" i="1"/>
  <c r="AI515" i="1" s="1"/>
  <c r="AJ515" i="1" s="1"/>
  <c r="AD514" i="1"/>
  <c r="AI514" i="1" s="1"/>
  <c r="AJ514" i="1" s="1"/>
  <c r="AI513" i="1"/>
  <c r="AD513" i="1"/>
  <c r="AJ513" i="1" s="1"/>
  <c r="AD512" i="1"/>
  <c r="AD511" i="1"/>
  <c r="AI510" i="1"/>
  <c r="AJ510" i="1" s="1"/>
  <c r="AD510" i="1"/>
  <c r="AI509" i="1"/>
  <c r="AD509" i="1"/>
  <c r="AD508" i="1"/>
  <c r="AD507" i="1"/>
  <c r="AI507" i="1" s="1"/>
  <c r="AJ507" i="1" s="1"/>
  <c r="AD506" i="1"/>
  <c r="AI506" i="1" s="1"/>
  <c r="AI505" i="1"/>
  <c r="AD505" i="1"/>
  <c r="AJ505" i="1" s="1"/>
  <c r="AD504" i="1"/>
  <c r="AD503" i="1"/>
  <c r="AI502" i="1"/>
  <c r="AJ502" i="1" s="1"/>
  <c r="AD502" i="1"/>
  <c r="AI501" i="1"/>
  <c r="AJ501" i="1" s="1"/>
  <c r="AD501" i="1"/>
  <c r="AD500" i="1"/>
  <c r="AJ499" i="1"/>
  <c r="AI499" i="1"/>
  <c r="AD499" i="1"/>
  <c r="AJ498" i="1"/>
  <c r="AD498" i="1"/>
  <c r="AI498" i="1" s="1"/>
  <c r="AD497" i="1"/>
  <c r="AD496" i="1"/>
  <c r="AI495" i="1"/>
  <c r="AD495" i="1"/>
  <c r="AJ494" i="1"/>
  <c r="AI494" i="1"/>
  <c r="AD494" i="1"/>
  <c r="AI493" i="1"/>
  <c r="AD493" i="1"/>
  <c r="AJ493" i="1" s="1"/>
  <c r="AI492" i="1"/>
  <c r="AD492" i="1"/>
  <c r="AJ492" i="1" s="1"/>
  <c r="AJ491" i="1"/>
  <c r="AI491" i="1"/>
  <c r="AD491" i="1"/>
  <c r="AD490" i="1"/>
  <c r="AI489" i="1"/>
  <c r="AD489" i="1"/>
  <c r="AJ489" i="1" s="1"/>
  <c r="AD488" i="1"/>
  <c r="AD487" i="1"/>
  <c r="AI486" i="1"/>
  <c r="AJ486" i="1" s="1"/>
  <c r="AD486" i="1"/>
  <c r="AI485" i="1"/>
  <c r="AD485" i="1"/>
  <c r="AD484" i="1"/>
  <c r="AJ483" i="1"/>
  <c r="AI483" i="1"/>
  <c r="AD483" i="1"/>
  <c r="AJ482" i="1"/>
  <c r="AD482" i="1"/>
  <c r="AI482" i="1" s="1"/>
  <c r="AD481" i="1"/>
  <c r="AD480" i="1"/>
  <c r="AD479" i="1"/>
  <c r="AI478" i="1"/>
  <c r="AD478" i="1"/>
  <c r="AJ478" i="1" s="1"/>
  <c r="AD477" i="1"/>
  <c r="AD476" i="1"/>
  <c r="AI476" i="1" s="1"/>
  <c r="AJ476" i="1" s="1"/>
  <c r="AI475" i="1"/>
  <c r="AD475" i="1"/>
  <c r="AJ475" i="1" s="1"/>
  <c r="AD474" i="1"/>
  <c r="AI473" i="1"/>
  <c r="AD473" i="1"/>
  <c r="AJ473" i="1" s="1"/>
  <c r="AD472" i="1"/>
  <c r="AI471" i="1"/>
  <c r="AJ471" i="1" s="1"/>
  <c r="AD471" i="1"/>
  <c r="AD470" i="1"/>
  <c r="AD469" i="1"/>
  <c r="AJ468" i="1"/>
  <c r="AD468" i="1"/>
  <c r="AI468" i="1" s="1"/>
  <c r="AI467" i="1"/>
  <c r="AD467" i="1"/>
  <c r="AJ467" i="1" s="1"/>
  <c r="AD466" i="1"/>
  <c r="AI465" i="1"/>
  <c r="AD465" i="1"/>
  <c r="AJ465" i="1" s="1"/>
  <c r="AD464" i="1"/>
  <c r="AI464" i="1" s="1"/>
  <c r="AJ464" i="1" s="1"/>
  <c r="AI463" i="1"/>
  <c r="AJ463" i="1" s="1"/>
  <c r="AD463" i="1"/>
  <c r="AD462" i="1"/>
  <c r="AD461" i="1"/>
  <c r="AD460" i="1"/>
  <c r="AI460" i="1" s="1"/>
  <c r="AJ460" i="1" s="1"/>
  <c r="AI459" i="1"/>
  <c r="AD459" i="1"/>
  <c r="AJ459" i="1" s="1"/>
  <c r="AD458" i="1"/>
  <c r="AI457" i="1"/>
  <c r="AD457" i="1"/>
  <c r="AJ457" i="1" s="1"/>
  <c r="AD456" i="1"/>
  <c r="AI456" i="1" s="1"/>
  <c r="AJ456" i="1" s="1"/>
  <c r="AI455" i="1"/>
  <c r="AJ455" i="1" s="1"/>
  <c r="AD455" i="1"/>
  <c r="AD454" i="1"/>
  <c r="AD453" i="1"/>
  <c r="AJ452" i="1"/>
  <c r="AD452" i="1"/>
  <c r="AI452" i="1" s="1"/>
  <c r="AI451" i="1"/>
  <c r="AD451" i="1"/>
  <c r="AJ451" i="1" s="1"/>
  <c r="AD450" i="1"/>
  <c r="AI449" i="1"/>
  <c r="AD449" i="1"/>
  <c r="AJ449" i="1" s="1"/>
  <c r="AD448" i="1"/>
  <c r="AI448" i="1" s="1"/>
  <c r="AJ448" i="1" s="1"/>
  <c r="AI447" i="1"/>
  <c r="AJ447" i="1" s="1"/>
  <c r="AD447" i="1"/>
  <c r="AD446" i="1"/>
  <c r="AD445" i="1"/>
  <c r="AD444" i="1"/>
  <c r="AI444" i="1" s="1"/>
  <c r="AJ444" i="1" s="1"/>
  <c r="AI443" i="1"/>
  <c r="AD443" i="1"/>
  <c r="AJ443" i="1" s="1"/>
  <c r="AD442" i="1"/>
  <c r="AI441" i="1"/>
  <c r="AD441" i="1"/>
  <c r="AJ441" i="1" s="1"/>
  <c r="AD440" i="1"/>
  <c r="AI440" i="1" s="1"/>
  <c r="AJ440" i="1" s="1"/>
  <c r="AI439" i="1"/>
  <c r="AJ439" i="1" s="1"/>
  <c r="AD439" i="1"/>
  <c r="AD438" i="1"/>
  <c r="AD437" i="1"/>
  <c r="AJ436" i="1"/>
  <c r="AD436" i="1"/>
  <c r="AI436" i="1" s="1"/>
  <c r="AI435" i="1"/>
  <c r="AD435" i="1"/>
  <c r="AJ435" i="1" s="1"/>
  <c r="AD434" i="1"/>
  <c r="AI433" i="1"/>
  <c r="AD433" i="1"/>
  <c r="AJ433" i="1" s="1"/>
  <c r="AD432" i="1"/>
  <c r="AI432" i="1" s="1"/>
  <c r="AJ432" i="1" s="1"/>
  <c r="AI431" i="1"/>
  <c r="AJ431" i="1" s="1"/>
  <c r="AD431" i="1"/>
  <c r="AD430" i="1"/>
  <c r="AD429" i="1"/>
  <c r="AD428" i="1"/>
  <c r="AI428" i="1" s="1"/>
  <c r="AJ428" i="1" s="1"/>
  <c r="AI427" i="1"/>
  <c r="AD427" i="1"/>
  <c r="AJ427" i="1" s="1"/>
  <c r="AD426" i="1"/>
  <c r="AI425" i="1"/>
  <c r="AD425" i="1"/>
  <c r="AJ425" i="1" s="1"/>
  <c r="AD424" i="1"/>
  <c r="AI424" i="1" s="1"/>
  <c r="AJ424" i="1" s="1"/>
  <c r="AI423" i="1"/>
  <c r="AJ423" i="1" s="1"/>
  <c r="AD423" i="1"/>
  <c r="AD422" i="1"/>
  <c r="AD421" i="1"/>
  <c r="AJ420" i="1"/>
  <c r="AD420" i="1"/>
  <c r="AI420" i="1" s="1"/>
  <c r="AI419" i="1"/>
  <c r="AD419" i="1"/>
  <c r="AJ419" i="1" s="1"/>
  <c r="AD418" i="1"/>
  <c r="AI417" i="1"/>
  <c r="AD417" i="1"/>
  <c r="AJ417" i="1" s="1"/>
  <c r="AD416" i="1"/>
  <c r="AI416" i="1" s="1"/>
  <c r="AJ416" i="1" s="1"/>
  <c r="AI415" i="1"/>
  <c r="AJ415" i="1" s="1"/>
  <c r="AD415" i="1"/>
  <c r="AD414" i="1"/>
  <c r="AD413" i="1"/>
  <c r="AD412" i="1"/>
  <c r="AI412" i="1" s="1"/>
  <c r="AJ412" i="1" s="1"/>
  <c r="AI411" i="1"/>
  <c r="AD411" i="1"/>
  <c r="AJ411" i="1" s="1"/>
  <c r="AD410" i="1"/>
  <c r="AI409" i="1"/>
  <c r="AD409" i="1"/>
  <c r="AJ409" i="1" s="1"/>
  <c r="AD408" i="1"/>
  <c r="AI408" i="1" s="1"/>
  <c r="AJ408" i="1" s="1"/>
  <c r="AI407" i="1"/>
  <c r="AJ407" i="1" s="1"/>
  <c r="AD407" i="1"/>
  <c r="AD406" i="1"/>
  <c r="AD405" i="1"/>
  <c r="AJ404" i="1"/>
  <c r="AD404" i="1"/>
  <c r="AI404" i="1" s="1"/>
  <c r="AI403" i="1"/>
  <c r="AD403" i="1"/>
  <c r="AJ403" i="1" s="1"/>
  <c r="AD402" i="1"/>
  <c r="AI401" i="1"/>
  <c r="AD401" i="1"/>
  <c r="AJ401" i="1" s="1"/>
  <c r="AD400" i="1"/>
  <c r="AI400" i="1" s="1"/>
  <c r="AJ400" i="1" s="1"/>
  <c r="AI399" i="1"/>
  <c r="AJ399" i="1" s="1"/>
  <c r="AD399" i="1"/>
  <c r="AD398" i="1"/>
  <c r="AD397" i="1"/>
  <c r="AD396" i="1"/>
  <c r="AI396" i="1" s="1"/>
  <c r="AJ396" i="1" s="1"/>
  <c r="AI395" i="1"/>
  <c r="AD395" i="1"/>
  <c r="AJ395" i="1" s="1"/>
  <c r="AD394" i="1"/>
  <c r="AI393" i="1"/>
  <c r="AD393" i="1"/>
  <c r="AJ393" i="1" s="1"/>
  <c r="AD392" i="1"/>
  <c r="AI392" i="1" s="1"/>
  <c r="AJ392" i="1" s="1"/>
  <c r="AI391" i="1"/>
  <c r="AJ391" i="1" s="1"/>
  <c r="AD391" i="1"/>
  <c r="AD390" i="1"/>
  <c r="AD389" i="1"/>
  <c r="AJ388" i="1"/>
  <c r="AD388" i="1"/>
  <c r="AI388" i="1" s="1"/>
  <c r="AI387" i="1"/>
  <c r="AD387" i="1"/>
  <c r="AJ387" i="1" s="1"/>
  <c r="AD386" i="1"/>
  <c r="AI385" i="1"/>
  <c r="AD385" i="1"/>
  <c r="AJ385" i="1" s="1"/>
  <c r="AD384" i="1"/>
  <c r="AI384" i="1" s="1"/>
  <c r="AJ384" i="1" s="1"/>
  <c r="AI383" i="1"/>
  <c r="AJ383" i="1" s="1"/>
  <c r="AD383" i="1"/>
  <c r="AD382" i="1"/>
  <c r="AD381" i="1"/>
  <c r="AD380" i="1"/>
  <c r="AI380" i="1" s="1"/>
  <c r="AJ380" i="1" s="1"/>
  <c r="AI379" i="1"/>
  <c r="AD379" i="1"/>
  <c r="AJ379" i="1" s="1"/>
  <c r="AD378" i="1"/>
  <c r="AI377" i="1"/>
  <c r="AD377" i="1"/>
  <c r="AJ377" i="1" s="1"/>
  <c r="AD376" i="1"/>
  <c r="AI376" i="1" s="1"/>
  <c r="AJ376" i="1" s="1"/>
  <c r="AI375" i="1"/>
  <c r="AJ375" i="1" s="1"/>
  <c r="AD375" i="1"/>
  <c r="AD374" i="1"/>
  <c r="AD373" i="1"/>
  <c r="AJ372" i="1"/>
  <c r="AD372" i="1"/>
  <c r="AI372" i="1" s="1"/>
  <c r="AI371" i="1"/>
  <c r="AD371" i="1"/>
  <c r="AJ371" i="1" s="1"/>
  <c r="AD370" i="1"/>
  <c r="AI369" i="1"/>
  <c r="AD369" i="1"/>
  <c r="AJ369" i="1" s="1"/>
  <c r="AD368" i="1"/>
  <c r="AI368" i="1" s="1"/>
  <c r="AJ368" i="1" s="1"/>
  <c r="AI367" i="1"/>
  <c r="AJ367" i="1" s="1"/>
  <c r="AD367" i="1"/>
  <c r="AD366" i="1"/>
  <c r="AD365" i="1"/>
  <c r="AD364" i="1"/>
  <c r="AI364" i="1" s="1"/>
  <c r="AJ364" i="1" s="1"/>
  <c r="AI363" i="1"/>
  <c r="AD363" i="1"/>
  <c r="AJ363" i="1" s="1"/>
  <c r="AD362" i="1"/>
  <c r="AI361" i="1"/>
  <c r="AD361" i="1"/>
  <c r="AJ361" i="1" s="1"/>
  <c r="AD360" i="1"/>
  <c r="AI360" i="1" s="1"/>
  <c r="AJ360" i="1" s="1"/>
  <c r="AI359" i="1"/>
  <c r="AJ359" i="1" s="1"/>
  <c r="AD359" i="1"/>
  <c r="AD358" i="1"/>
  <c r="AD357" i="1"/>
  <c r="AJ356" i="1"/>
  <c r="AD356" i="1"/>
  <c r="AI356" i="1" s="1"/>
  <c r="AI355" i="1"/>
  <c r="AD355" i="1"/>
  <c r="AJ355" i="1" s="1"/>
  <c r="AD354" i="1"/>
  <c r="AI353" i="1"/>
  <c r="AD353" i="1"/>
  <c r="AJ353" i="1" s="1"/>
  <c r="AD352" i="1"/>
  <c r="AI352" i="1" s="1"/>
  <c r="AJ352" i="1" s="1"/>
  <c r="AI351" i="1"/>
  <c r="AJ351" i="1" s="1"/>
  <c r="AD351" i="1"/>
  <c r="AD350" i="1"/>
  <c r="AD349" i="1"/>
  <c r="AD348" i="1"/>
  <c r="AI348" i="1" s="1"/>
  <c r="AJ348" i="1" s="1"/>
  <c r="AI347" i="1"/>
  <c r="AD347" i="1"/>
  <c r="AJ347" i="1" s="1"/>
  <c r="AD346" i="1"/>
  <c r="AI345" i="1"/>
  <c r="AJ345" i="1" s="1"/>
  <c r="AD345" i="1"/>
  <c r="AD344" i="1"/>
  <c r="AI344" i="1" s="1"/>
  <c r="AJ344" i="1" s="1"/>
  <c r="AI343" i="1"/>
  <c r="AJ343" i="1" s="1"/>
  <c r="AD343" i="1"/>
  <c r="AD342" i="1"/>
  <c r="AD341" i="1"/>
  <c r="AJ340" i="1"/>
  <c r="AD340" i="1"/>
  <c r="AI340" i="1" s="1"/>
  <c r="AI339" i="1"/>
  <c r="AD339" i="1"/>
  <c r="AJ339" i="1" s="1"/>
  <c r="AD338" i="1"/>
  <c r="AI337" i="1"/>
  <c r="AJ337" i="1" s="1"/>
  <c r="AD337" i="1"/>
  <c r="AD336" i="1"/>
  <c r="AI336" i="1" s="1"/>
  <c r="AJ336" i="1" s="1"/>
  <c r="AI335" i="1"/>
  <c r="AJ335" i="1" s="1"/>
  <c r="AD335" i="1"/>
  <c r="AD334" i="1"/>
  <c r="AD333" i="1"/>
  <c r="AD332" i="1"/>
  <c r="AI332" i="1" s="1"/>
  <c r="AJ332" i="1" s="1"/>
  <c r="AI331" i="1"/>
  <c r="AD331" i="1"/>
  <c r="AJ331" i="1" s="1"/>
  <c r="AD330" i="1"/>
  <c r="AI329" i="1"/>
  <c r="AJ329" i="1" s="1"/>
  <c r="AD329" i="1"/>
  <c r="AD328" i="1"/>
  <c r="AI328" i="1" s="1"/>
  <c r="AJ328" i="1" s="1"/>
  <c r="AI327" i="1"/>
  <c r="AJ327" i="1" s="1"/>
  <c r="AD327" i="1"/>
  <c r="AD326" i="1"/>
  <c r="AD325" i="1"/>
  <c r="AJ324" i="1"/>
  <c r="AD324" i="1"/>
  <c r="AI324" i="1" s="1"/>
  <c r="AI323" i="1"/>
  <c r="AD323" i="1"/>
  <c r="AJ323" i="1" s="1"/>
  <c r="AD322" i="1"/>
  <c r="AI321" i="1"/>
  <c r="AD321" i="1"/>
  <c r="AJ321" i="1" s="1"/>
  <c r="AD320" i="1"/>
  <c r="AI320" i="1" s="1"/>
  <c r="AJ320" i="1" s="1"/>
  <c r="AJ319" i="1"/>
  <c r="AI319" i="1"/>
  <c r="AD319" i="1"/>
  <c r="AD318" i="1"/>
  <c r="AD317" i="1"/>
  <c r="AD316" i="1"/>
  <c r="AI316" i="1" s="1"/>
  <c r="AJ316" i="1" s="1"/>
  <c r="AI315" i="1"/>
  <c r="AD315" i="1"/>
  <c r="AJ315" i="1" s="1"/>
  <c r="AD314" i="1"/>
  <c r="AI313" i="1"/>
  <c r="AD313" i="1"/>
  <c r="AJ313" i="1" s="1"/>
  <c r="AD312" i="1"/>
  <c r="AI312" i="1" s="1"/>
  <c r="AJ312" i="1" s="1"/>
  <c r="AJ311" i="1"/>
  <c r="AI311" i="1"/>
  <c r="AD311" i="1"/>
  <c r="AD310" i="1"/>
  <c r="AD309" i="1"/>
  <c r="AD308" i="1"/>
  <c r="AI308" i="1" s="1"/>
  <c r="AJ308" i="1" s="1"/>
  <c r="AI307" i="1"/>
  <c r="AD307" i="1"/>
  <c r="AJ307" i="1" s="1"/>
  <c r="AI306" i="1"/>
  <c r="AD306" i="1"/>
  <c r="AI305" i="1"/>
  <c r="AD305" i="1"/>
  <c r="AJ305" i="1" s="1"/>
  <c r="AD304" i="1"/>
  <c r="AI304" i="1" s="1"/>
  <c r="AJ304" i="1" s="1"/>
  <c r="AJ303" i="1"/>
  <c r="AI303" i="1"/>
  <c r="AD303" i="1"/>
  <c r="AD302" i="1"/>
  <c r="AD301" i="1"/>
  <c r="AD300" i="1"/>
  <c r="AI300" i="1" s="1"/>
  <c r="AJ300" i="1" s="1"/>
  <c r="AI299" i="1"/>
  <c r="AD299" i="1"/>
  <c r="AJ299" i="1" s="1"/>
  <c r="AD298" i="1"/>
  <c r="AI297" i="1"/>
  <c r="AD297" i="1"/>
  <c r="AJ297" i="1" s="1"/>
  <c r="AD296" i="1"/>
  <c r="AI296" i="1" s="1"/>
  <c r="AJ296" i="1" s="1"/>
  <c r="AI295" i="1"/>
  <c r="AJ295" i="1" s="1"/>
  <c r="AD295" i="1"/>
  <c r="AD294" i="1"/>
  <c r="AD293" i="1"/>
  <c r="AJ292" i="1"/>
  <c r="AD292" i="1"/>
  <c r="AI292" i="1" s="1"/>
  <c r="AI291" i="1"/>
  <c r="AD291" i="1"/>
  <c r="AJ291" i="1" s="1"/>
  <c r="AD290" i="1"/>
  <c r="AI289" i="1"/>
  <c r="AJ289" i="1" s="1"/>
  <c r="AD289" i="1"/>
  <c r="AD288" i="1"/>
  <c r="AI288" i="1" s="1"/>
  <c r="AJ288" i="1" s="1"/>
  <c r="AJ287" i="1"/>
  <c r="AI287" i="1"/>
  <c r="AD287" i="1"/>
  <c r="AD286" i="1"/>
  <c r="AD285" i="1"/>
  <c r="AD284" i="1"/>
  <c r="AI284" i="1" s="1"/>
  <c r="AJ284" i="1" s="1"/>
  <c r="AI283" i="1"/>
  <c r="AD283" i="1"/>
  <c r="AJ283" i="1" s="1"/>
  <c r="AD282" i="1"/>
  <c r="AI281" i="1"/>
  <c r="AJ281" i="1" s="1"/>
  <c r="AD281" i="1"/>
  <c r="AD280" i="1"/>
  <c r="AI280" i="1" s="1"/>
  <c r="AJ280" i="1" s="1"/>
  <c r="AJ279" i="1"/>
  <c r="AI279" i="1"/>
  <c r="AD279" i="1"/>
  <c r="AD278" i="1"/>
  <c r="AD277" i="1"/>
  <c r="AD276" i="1"/>
  <c r="AI276" i="1" s="1"/>
  <c r="AJ276" i="1" s="1"/>
  <c r="AI275" i="1"/>
  <c r="AD275" i="1"/>
  <c r="AJ275" i="1" s="1"/>
  <c r="AI274" i="1"/>
  <c r="AD274" i="1"/>
  <c r="AI273" i="1"/>
  <c r="AD273" i="1"/>
  <c r="AJ273" i="1" s="1"/>
  <c r="AD272" i="1"/>
  <c r="AI272" i="1" s="1"/>
  <c r="AJ272" i="1" s="1"/>
  <c r="AI271" i="1"/>
  <c r="AJ271" i="1" s="1"/>
  <c r="AD271" i="1"/>
  <c r="AJ270" i="1"/>
  <c r="AD270" i="1"/>
  <c r="AI270" i="1" s="1"/>
  <c r="AD269" i="1"/>
  <c r="AD268" i="1"/>
  <c r="AI267" i="1"/>
  <c r="AD267" i="1"/>
  <c r="AJ267" i="1" s="1"/>
  <c r="AI266" i="1"/>
  <c r="AD266" i="1"/>
  <c r="AI265" i="1"/>
  <c r="AD265" i="1"/>
  <c r="AJ265" i="1" s="1"/>
  <c r="AD264" i="1"/>
  <c r="AI263" i="1"/>
  <c r="AJ263" i="1" s="1"/>
  <c r="AD263" i="1"/>
  <c r="AJ262" i="1"/>
  <c r="AD262" i="1"/>
  <c r="AI262" i="1" s="1"/>
  <c r="AD261" i="1"/>
  <c r="AD260" i="1"/>
  <c r="AI259" i="1"/>
  <c r="AD259" i="1"/>
  <c r="AD258" i="1"/>
  <c r="AI257" i="1"/>
  <c r="AD257" i="1"/>
  <c r="AJ256" i="1"/>
  <c r="AI256" i="1"/>
  <c r="AD256" i="1"/>
  <c r="AI255" i="1"/>
  <c r="AJ255" i="1" s="1"/>
  <c r="AD255" i="1"/>
  <c r="AJ254" i="1"/>
  <c r="AD254" i="1"/>
  <c r="AI254" i="1" s="1"/>
  <c r="AJ253" i="1"/>
  <c r="AI253" i="1"/>
  <c r="AD253" i="1"/>
  <c r="AD252" i="1"/>
  <c r="AI252" i="1" s="1"/>
  <c r="AD251" i="1"/>
  <c r="AI250" i="1"/>
  <c r="AJ250" i="1" s="1"/>
  <c r="AD250" i="1"/>
  <c r="AI249" i="1"/>
  <c r="AD249" i="1"/>
  <c r="AD248" i="1"/>
  <c r="AI247" i="1"/>
  <c r="AJ247" i="1" s="1"/>
  <c r="AD247" i="1"/>
  <c r="AD246" i="1"/>
  <c r="AI245" i="1"/>
  <c r="AD245" i="1"/>
  <c r="AJ245" i="1" s="1"/>
  <c r="AJ244" i="1"/>
  <c r="AI244" i="1"/>
  <c r="AD244" i="1"/>
  <c r="AD243" i="1"/>
  <c r="AD242" i="1"/>
  <c r="AI242" i="1" s="1"/>
  <c r="AJ241" i="1"/>
  <c r="AI241" i="1"/>
  <c r="AD241" i="1"/>
  <c r="AD240" i="1"/>
  <c r="AI239" i="1"/>
  <c r="AJ239" i="1" s="1"/>
  <c r="AD239" i="1"/>
  <c r="AD238" i="1"/>
  <c r="AI237" i="1"/>
  <c r="AD237" i="1"/>
  <c r="AJ237" i="1" s="1"/>
  <c r="AJ236" i="1"/>
  <c r="AI236" i="1"/>
  <c r="AD236" i="1"/>
  <c r="AD235" i="1"/>
  <c r="AD234" i="1"/>
  <c r="AI234" i="1" s="1"/>
  <c r="AJ233" i="1"/>
  <c r="AI233" i="1"/>
  <c r="AD233" i="1"/>
  <c r="AD232" i="1"/>
  <c r="AI231" i="1"/>
  <c r="AJ231" i="1" s="1"/>
  <c r="AD231" i="1"/>
  <c r="AD230" i="1"/>
  <c r="AI229" i="1"/>
  <c r="AD229" i="1"/>
  <c r="AJ229" i="1" s="1"/>
  <c r="AJ228" i="1"/>
  <c r="AI228" i="1"/>
  <c r="AD228" i="1"/>
  <c r="AD227" i="1"/>
  <c r="AD226" i="1"/>
  <c r="AI226" i="1" s="1"/>
  <c r="AJ225" i="1"/>
  <c r="AI225" i="1"/>
  <c r="AD225" i="1"/>
  <c r="AD224" i="1"/>
  <c r="AI223" i="1"/>
  <c r="AJ223" i="1" s="1"/>
  <c r="AD223" i="1"/>
  <c r="AD222" i="1"/>
  <c r="AI221" i="1"/>
  <c r="AD221" i="1"/>
  <c r="AJ221" i="1" s="1"/>
  <c r="AJ220" i="1"/>
  <c r="AI220" i="1"/>
  <c r="AD220" i="1"/>
  <c r="AD219" i="1"/>
  <c r="AJ218" i="1"/>
  <c r="AD218" i="1"/>
  <c r="AI218" i="1" s="1"/>
  <c r="AJ217" i="1"/>
  <c r="AI217" i="1"/>
  <c r="AD217" i="1"/>
  <c r="AD216" i="1"/>
  <c r="AI215" i="1"/>
  <c r="AJ215" i="1" s="1"/>
  <c r="AD215" i="1"/>
  <c r="AD214" i="1"/>
  <c r="AI213" i="1"/>
  <c r="AD213" i="1"/>
  <c r="AJ212" i="1"/>
  <c r="AI212" i="1"/>
  <c r="AD212" i="1"/>
  <c r="AD211" i="1"/>
  <c r="AD210" i="1"/>
  <c r="AI210" i="1" s="1"/>
  <c r="AJ209" i="1"/>
  <c r="AI209" i="1"/>
  <c r="AD209" i="1"/>
  <c r="AD208" i="1"/>
  <c r="AI207" i="1"/>
  <c r="AJ207" i="1" s="1"/>
  <c r="AD207" i="1"/>
  <c r="AD206" i="1"/>
  <c r="AI205" i="1"/>
  <c r="AD205" i="1"/>
  <c r="AJ204" i="1"/>
  <c r="AI204" i="1"/>
  <c r="AD204" i="1"/>
  <c r="AD203" i="1"/>
  <c r="AD202" i="1"/>
  <c r="AI202" i="1" s="1"/>
  <c r="AJ201" i="1"/>
  <c r="AI201" i="1"/>
  <c r="AD201" i="1"/>
  <c r="AD200" i="1"/>
  <c r="AI199" i="1"/>
  <c r="AJ199" i="1" s="1"/>
  <c r="AD199" i="1"/>
  <c r="AD198" i="1"/>
  <c r="AI197" i="1"/>
  <c r="AD197" i="1"/>
  <c r="AJ196" i="1"/>
  <c r="AI196" i="1"/>
  <c r="AD196" i="1"/>
  <c r="AD195" i="1"/>
  <c r="AI194" i="1"/>
  <c r="AJ194" i="1" s="1"/>
  <c r="AD194" i="1"/>
  <c r="AJ193" i="1"/>
  <c r="AI193" i="1"/>
  <c r="AD193" i="1"/>
  <c r="AD192" i="1"/>
  <c r="AI191" i="1"/>
  <c r="AJ191" i="1" s="1"/>
  <c r="AD191" i="1"/>
  <c r="AD190" i="1"/>
  <c r="AD189" i="1"/>
  <c r="AJ188" i="1"/>
  <c r="AI188" i="1"/>
  <c r="AD188" i="1"/>
  <c r="AD187" i="1"/>
  <c r="AJ186" i="1"/>
  <c r="AI186" i="1"/>
  <c r="AD186" i="1"/>
  <c r="AJ185" i="1"/>
  <c r="AI185" i="1"/>
  <c r="AD185" i="1"/>
  <c r="AD184" i="1"/>
  <c r="AI183" i="1"/>
  <c r="AJ183" i="1" s="1"/>
  <c r="AD183" i="1"/>
  <c r="AD182" i="1"/>
  <c r="AD181" i="1"/>
  <c r="AJ180" i="1"/>
  <c r="AI180" i="1"/>
  <c r="AD180" i="1"/>
  <c r="AD179" i="1"/>
  <c r="AD178" i="1"/>
  <c r="AI178" i="1" s="1"/>
  <c r="AJ178" i="1" s="1"/>
  <c r="AJ177" i="1"/>
  <c r="AI177" i="1"/>
  <c r="AD177" i="1"/>
  <c r="AD176" i="1"/>
  <c r="AJ175" i="1"/>
  <c r="AI175" i="1"/>
  <c r="AD175" i="1"/>
  <c r="AD174" i="1"/>
  <c r="AD173" i="1"/>
  <c r="AJ172" i="1"/>
  <c r="AI172" i="1"/>
  <c r="AD172" i="1"/>
  <c r="AD171" i="1"/>
  <c r="AD170" i="1"/>
  <c r="AJ169" i="1"/>
  <c r="AI169" i="1"/>
  <c r="AD169" i="1"/>
  <c r="AD168" i="1"/>
  <c r="AJ167" i="1"/>
  <c r="AI167" i="1"/>
  <c r="AD167" i="1"/>
  <c r="AD166" i="1"/>
  <c r="AD165" i="1"/>
  <c r="AI165" i="1" s="1"/>
  <c r="AJ164" i="1"/>
  <c r="AI164" i="1"/>
  <c r="AD164" i="1"/>
  <c r="AD163" i="1"/>
  <c r="AD162" i="1"/>
  <c r="AJ161" i="1"/>
  <c r="AI161" i="1"/>
  <c r="AD161" i="1"/>
  <c r="AD160" i="1"/>
  <c r="AI159" i="1"/>
  <c r="AJ159" i="1" s="1"/>
  <c r="AD159" i="1"/>
  <c r="AD158" i="1"/>
  <c r="AD157" i="1"/>
  <c r="AJ156" i="1"/>
  <c r="AI156" i="1"/>
  <c r="AD156" i="1"/>
  <c r="AD155" i="1"/>
  <c r="AD154" i="1"/>
  <c r="AJ153" i="1"/>
  <c r="AI153" i="1"/>
  <c r="AD153" i="1"/>
  <c r="AD152" i="1"/>
  <c r="AI151" i="1"/>
  <c r="AJ151" i="1" s="1"/>
  <c r="AD151" i="1"/>
  <c r="AD150" i="1"/>
  <c r="AD149" i="1"/>
  <c r="AI149" i="1" s="1"/>
  <c r="AJ148" i="1"/>
  <c r="AI148" i="1"/>
  <c r="AD148" i="1"/>
  <c r="AD147" i="1"/>
  <c r="AD146" i="1"/>
  <c r="AI146" i="1" s="1"/>
  <c r="AJ145" i="1"/>
  <c r="AI145" i="1"/>
  <c r="AD145" i="1"/>
  <c r="AD144" i="1"/>
  <c r="AI143" i="1"/>
  <c r="AJ143" i="1" s="1"/>
  <c r="AD143" i="1"/>
  <c r="AD142" i="1"/>
  <c r="AI141" i="1"/>
  <c r="AD141" i="1"/>
  <c r="AJ140" i="1"/>
  <c r="AI140" i="1"/>
  <c r="AD140" i="1"/>
  <c r="AD139" i="1"/>
  <c r="AD138" i="1"/>
  <c r="AD137" i="1"/>
  <c r="AI137" i="1" s="1"/>
  <c r="AJ137" i="1" s="1"/>
  <c r="AD136" i="1"/>
  <c r="AI135" i="1"/>
  <c r="AJ135" i="1" s="1"/>
  <c r="AD135" i="1"/>
  <c r="AD134" i="1"/>
  <c r="AD133" i="1"/>
  <c r="AJ132" i="1"/>
  <c r="AI132" i="1"/>
  <c r="AD132" i="1"/>
  <c r="AD131" i="1"/>
  <c r="AD130" i="1"/>
  <c r="AI130" i="1" s="1"/>
  <c r="AD129" i="1"/>
  <c r="AI129" i="1" s="1"/>
  <c r="AJ129" i="1" s="1"/>
  <c r="AD128" i="1"/>
  <c r="AI127" i="1"/>
  <c r="AJ127" i="1" s="1"/>
  <c r="AD127" i="1"/>
  <c r="AD126" i="1"/>
  <c r="AD125" i="1"/>
  <c r="AI125" i="1" s="1"/>
  <c r="AJ124" i="1"/>
  <c r="AI124" i="1"/>
  <c r="AD124" i="1"/>
  <c r="AD123" i="1"/>
  <c r="AD122" i="1"/>
  <c r="AD121" i="1"/>
  <c r="AI121" i="1" s="1"/>
  <c r="AJ121" i="1" s="1"/>
  <c r="AD120" i="1"/>
  <c r="AJ119" i="1"/>
  <c r="AI119" i="1"/>
  <c r="AD119" i="1"/>
  <c r="AD118" i="1"/>
  <c r="AD117" i="1"/>
  <c r="AI117" i="1" s="1"/>
  <c r="AJ116" i="1"/>
  <c r="AI116" i="1"/>
  <c r="AD116" i="1"/>
  <c r="AD115" i="1"/>
  <c r="AD114" i="1"/>
  <c r="AJ113" i="1"/>
  <c r="AI113" i="1"/>
  <c r="AD113" i="1"/>
  <c r="AD112" i="1"/>
  <c r="AI111" i="1"/>
  <c r="AJ111" i="1" s="1"/>
  <c r="AD111" i="1"/>
  <c r="AJ110" i="1"/>
  <c r="AI110" i="1"/>
  <c r="AD110" i="1"/>
  <c r="AI109" i="1"/>
  <c r="AD109" i="1"/>
  <c r="AJ108" i="1"/>
  <c r="AI108" i="1"/>
  <c r="AD108" i="1"/>
  <c r="AD107" i="1"/>
  <c r="AD106" i="1"/>
  <c r="AJ105" i="1"/>
  <c r="AI105" i="1"/>
  <c r="AD105" i="1"/>
  <c r="AD104" i="1"/>
  <c r="AI103" i="1"/>
  <c r="AJ103" i="1" s="1"/>
  <c r="AD103" i="1"/>
  <c r="AD102" i="1"/>
  <c r="AI102" i="1" s="1"/>
  <c r="AJ102" i="1" s="1"/>
  <c r="AI101" i="1"/>
  <c r="AD101" i="1"/>
  <c r="AJ100" i="1"/>
  <c r="AI100" i="1"/>
  <c r="AD100" i="1"/>
  <c r="AD99" i="1"/>
  <c r="AI98" i="1"/>
  <c r="AJ98" i="1" s="1"/>
  <c r="AD98" i="1"/>
  <c r="AJ97" i="1"/>
  <c r="AI97" i="1"/>
  <c r="AD97" i="1"/>
  <c r="AD96" i="1"/>
  <c r="AI95" i="1"/>
  <c r="AJ95" i="1" s="1"/>
  <c r="AD95" i="1"/>
  <c r="AD94" i="1"/>
  <c r="AI94" i="1" s="1"/>
  <c r="AJ94" i="1" s="1"/>
  <c r="AD93" i="1"/>
  <c r="AJ92" i="1"/>
  <c r="AI92" i="1"/>
  <c r="AD92" i="1"/>
  <c r="AD91" i="1"/>
  <c r="AJ90" i="1"/>
  <c r="AI90" i="1"/>
  <c r="AD90" i="1"/>
  <c r="AJ89" i="1"/>
  <c r="AI89" i="1"/>
  <c r="AD89" i="1"/>
  <c r="AD88" i="1"/>
  <c r="AI87" i="1"/>
  <c r="AJ87" i="1" s="1"/>
  <c r="AD87" i="1"/>
  <c r="AD86" i="1"/>
  <c r="AI86" i="1" s="1"/>
  <c r="AJ86" i="1" s="1"/>
  <c r="AD85" i="1"/>
  <c r="AJ84" i="1"/>
  <c r="AI84" i="1"/>
  <c r="AD84" i="1"/>
  <c r="AD83" i="1"/>
  <c r="AD82" i="1"/>
  <c r="AI82" i="1" s="1"/>
  <c r="AJ82" i="1" s="1"/>
  <c r="AJ81" i="1"/>
  <c r="AI81" i="1"/>
  <c r="AD81" i="1"/>
  <c r="AD80" i="1"/>
  <c r="AJ79" i="1"/>
  <c r="AI79" i="1"/>
  <c r="AD79" i="1"/>
  <c r="AD78" i="1"/>
  <c r="AI78" i="1" s="1"/>
  <c r="AJ78" i="1" s="1"/>
  <c r="AD77" i="1"/>
  <c r="AJ76" i="1"/>
  <c r="AI76" i="1"/>
  <c r="AD76" i="1"/>
  <c r="AD75" i="1"/>
  <c r="AI74" i="1"/>
  <c r="AD74" i="1"/>
  <c r="AJ74" i="1" s="1"/>
  <c r="AJ73" i="1"/>
  <c r="AI73" i="1"/>
  <c r="AD73" i="1"/>
  <c r="AD72" i="1"/>
  <c r="AJ71" i="1"/>
  <c r="AI71" i="1"/>
  <c r="AD71" i="1"/>
  <c r="AJ70" i="1"/>
  <c r="AI70" i="1"/>
  <c r="AD70" i="1"/>
  <c r="AD69" i="1"/>
  <c r="AJ68" i="1"/>
  <c r="AI68" i="1"/>
  <c r="AD68" i="1"/>
  <c r="AD67" i="1"/>
  <c r="AD66" i="1"/>
  <c r="AI66" i="1" s="1"/>
  <c r="AJ65" i="1"/>
  <c r="AI65" i="1"/>
  <c r="AD65" i="1"/>
  <c r="AD64" i="1"/>
  <c r="AI63" i="1"/>
  <c r="AJ63" i="1" s="1"/>
  <c r="AD63" i="1"/>
  <c r="AD62" i="1"/>
  <c r="AI62" i="1" s="1"/>
  <c r="AJ62" i="1" s="1"/>
  <c r="AI61" i="1"/>
  <c r="AD61" i="1"/>
  <c r="AJ60" i="1"/>
  <c r="AI60" i="1"/>
  <c r="AD60" i="1"/>
  <c r="AD59" i="1"/>
  <c r="AD58" i="1"/>
  <c r="AI58" i="1" s="1"/>
  <c r="AJ57" i="1"/>
  <c r="AI57" i="1"/>
  <c r="AD57" i="1"/>
  <c r="AD56" i="1"/>
  <c r="AI55" i="1"/>
  <c r="AJ55" i="1" s="1"/>
  <c r="AD55" i="1"/>
  <c r="AD54" i="1"/>
  <c r="AI54" i="1" s="1"/>
  <c r="AJ54" i="1" s="1"/>
  <c r="AI53" i="1"/>
  <c r="AD53" i="1"/>
  <c r="AJ52" i="1"/>
  <c r="AI52" i="1"/>
  <c r="AD52" i="1"/>
  <c r="AD51" i="1"/>
  <c r="AI50" i="1"/>
  <c r="AJ50" i="1" s="1"/>
  <c r="AD50" i="1"/>
  <c r="AJ49" i="1"/>
  <c r="AI49" i="1"/>
  <c r="AD49" i="1"/>
  <c r="AD48" i="1"/>
  <c r="AI47" i="1"/>
  <c r="AJ47" i="1" s="1"/>
  <c r="AD47" i="1"/>
  <c r="AD46" i="1"/>
  <c r="AI46" i="1" s="1"/>
  <c r="AJ46" i="1" s="1"/>
  <c r="AD45" i="1"/>
  <c r="AJ44" i="1"/>
  <c r="AI44" i="1"/>
  <c r="AD44" i="1"/>
  <c r="AD43" i="1"/>
  <c r="AJ42" i="1"/>
  <c r="AI42" i="1"/>
  <c r="AD42" i="1"/>
  <c r="AJ41" i="1"/>
  <c r="AI41" i="1"/>
  <c r="AD41" i="1"/>
  <c r="AD40" i="1"/>
  <c r="AI39" i="1"/>
  <c r="AJ39" i="1" s="1"/>
  <c r="AD39" i="1"/>
  <c r="AD38" i="1"/>
  <c r="AI38" i="1" s="1"/>
  <c r="AJ38" i="1" s="1"/>
  <c r="AI37" i="1"/>
  <c r="AD37" i="1"/>
  <c r="AJ36" i="1"/>
  <c r="AI36" i="1"/>
  <c r="AD36" i="1"/>
  <c r="AD35" i="1"/>
  <c r="AD34" i="1"/>
  <c r="AI34" i="1" s="1"/>
  <c r="AJ34" i="1" s="1"/>
  <c r="AJ33" i="1"/>
  <c r="AI33" i="1"/>
  <c r="AD33" i="1"/>
  <c r="AD32" i="1"/>
  <c r="AJ31" i="1"/>
  <c r="AI31" i="1"/>
  <c r="AD31" i="1"/>
  <c r="AD30" i="1"/>
  <c r="AI30" i="1" s="1"/>
  <c r="AJ30" i="1" s="1"/>
  <c r="AD29" i="1"/>
  <c r="AJ28" i="1"/>
  <c r="AI28" i="1"/>
  <c r="AD28" i="1"/>
  <c r="AD27" i="1"/>
  <c r="AI26" i="1"/>
  <c r="AJ26" i="1" s="1"/>
  <c r="AD26" i="1"/>
  <c r="AJ25" i="1"/>
  <c r="AI25" i="1"/>
  <c r="AD25" i="1"/>
  <c r="AD24" i="1"/>
  <c r="AJ23" i="1"/>
  <c r="AI23" i="1"/>
  <c r="AD23" i="1"/>
  <c r="AD22" i="1"/>
  <c r="AI22" i="1" s="1"/>
  <c r="AJ22" i="1" s="1"/>
  <c r="AD21" i="1"/>
  <c r="AI21" i="1" s="1"/>
  <c r="AJ20" i="1"/>
  <c r="AI20" i="1"/>
  <c r="AD20" i="1"/>
  <c r="AD19" i="1"/>
  <c r="AD18" i="1"/>
  <c r="AJ17" i="1"/>
  <c r="AI17" i="1"/>
  <c r="AD17" i="1"/>
  <c r="AD16" i="1"/>
  <c r="AI15" i="1"/>
  <c r="AJ15" i="1" s="1"/>
  <c r="AD15" i="1"/>
  <c r="AD14" i="1"/>
  <c r="AI14" i="1" s="1"/>
  <c r="AJ14" i="1" s="1"/>
  <c r="AD13" i="1"/>
  <c r="AJ12" i="1"/>
  <c r="AI12" i="1"/>
  <c r="AD12" i="1"/>
  <c r="AD11" i="1"/>
  <c r="AD10" i="1"/>
  <c r="AJ9" i="1"/>
  <c r="AI9" i="1"/>
  <c r="AD9" i="1"/>
  <c r="AD8" i="1"/>
  <c r="AD7" i="1"/>
  <c r="AD6" i="1"/>
  <c r="AI6" i="1" s="1"/>
  <c r="AJ6" i="1" s="1"/>
  <c r="AD5" i="1"/>
  <c r="AI5" i="1" s="1"/>
  <c r="AI4" i="1"/>
  <c r="AJ4" i="1" s="1"/>
  <c r="AD4" i="1"/>
  <c r="AD3" i="1"/>
  <c r="AD2" i="1"/>
  <c r="AI2" i="1" s="1"/>
  <c r="AJ10" i="1" l="1"/>
  <c r="AJ138" i="1"/>
  <c r="AI138" i="1"/>
  <c r="AJ58" i="1"/>
  <c r="AJ723" i="1"/>
  <c r="AJ783" i="1"/>
  <c r="AI783" i="1"/>
  <c r="AI48" i="1"/>
  <c r="AJ48" i="1" s="1"/>
  <c r="AJ66" i="1"/>
  <c r="AJ77" i="1"/>
  <c r="AI96" i="1"/>
  <c r="AJ96" i="1" s="1"/>
  <c r="AI122" i="1"/>
  <c r="AJ122" i="1" s="1"/>
  <c r="AJ130" i="1"/>
  <c r="AJ146" i="1"/>
  <c r="AI154" i="1"/>
  <c r="AJ154" i="1" s="1"/>
  <c r="AI192" i="1"/>
  <c r="AJ192" i="1" s="1"/>
  <c r="AI216" i="1"/>
  <c r="AJ216" i="1" s="1"/>
  <c r="AI264" i="1"/>
  <c r="AJ264" i="1" s="1"/>
  <c r="AI24" i="1"/>
  <c r="AJ24" i="1" s="1"/>
  <c r="AJ72" i="1"/>
  <c r="AI72" i="1"/>
  <c r="AJ80" i="1"/>
  <c r="AI80" i="1"/>
  <c r="AI106" i="1"/>
  <c r="AJ106" i="1" s="1"/>
  <c r="AJ211" i="1"/>
  <c r="AJ727" i="1"/>
  <c r="AI727" i="1"/>
  <c r="AI10" i="1"/>
  <c r="AI7" i="1"/>
  <c r="AJ7" i="1" s="1"/>
  <c r="AI18" i="1"/>
  <c r="AJ18" i="1" s="1"/>
  <c r="AI29" i="1"/>
  <c r="AJ29" i="1" s="1"/>
  <c r="AJ37" i="1"/>
  <c r="AJ56" i="1"/>
  <c r="AI56" i="1"/>
  <c r="AI77" i="1"/>
  <c r="AI104" i="1"/>
  <c r="AJ104" i="1" s="1"/>
  <c r="AI114" i="1"/>
  <c r="AJ114" i="1" s="1"/>
  <c r="AI162" i="1"/>
  <c r="AJ162" i="1" s="1"/>
  <c r="AI173" i="1"/>
  <c r="AJ173" i="1" s="1"/>
  <c r="AI200" i="1"/>
  <c r="AJ200" i="1" s="1"/>
  <c r="AJ208" i="1"/>
  <c r="AI208" i="1"/>
  <c r="AI251" i="1"/>
  <c r="AJ251" i="1" s="1"/>
  <c r="AJ285" i="1"/>
  <c r="AI285" i="1"/>
  <c r="AJ290" i="1"/>
  <c r="AI290" i="1"/>
  <c r="AJ210" i="1"/>
  <c r="AJ21" i="1"/>
  <c r="AJ88" i="1"/>
  <c r="AI88" i="1"/>
  <c r="AJ117" i="1"/>
  <c r="AI157" i="1"/>
  <c r="AJ157" i="1" s="1"/>
  <c r="AI184" i="1"/>
  <c r="AJ184" i="1" s="1"/>
  <c r="AJ202" i="1"/>
  <c r="AI224" i="1"/>
  <c r="AJ224" i="1" s="1"/>
  <c r="AJ2" i="1"/>
  <c r="AI64" i="1"/>
  <c r="AJ64" i="1" s="1"/>
  <c r="AI85" i="1"/>
  <c r="AJ85" i="1" s="1"/>
  <c r="AJ144" i="1"/>
  <c r="AI144" i="1"/>
  <c r="AI170" i="1"/>
  <c r="AJ170" i="1" s="1"/>
  <c r="AI181" i="1"/>
  <c r="AJ181" i="1" s="1"/>
  <c r="AJ242" i="1"/>
  <c r="AI260" i="1"/>
  <c r="AJ260" i="1"/>
  <c r="AI317" i="1"/>
  <c r="AJ317" i="1" s="1"/>
  <c r="AJ322" i="1"/>
  <c r="AI322" i="1"/>
  <c r="AJ69" i="1"/>
  <c r="AI69" i="1"/>
  <c r="AJ125" i="1"/>
  <c r="AI133" i="1"/>
  <c r="AJ133" i="1" s="1"/>
  <c r="AJ219" i="1"/>
  <c r="AI40" i="1"/>
  <c r="AJ40" i="1" s="1"/>
  <c r="AI268" i="1"/>
  <c r="AJ268" i="1"/>
  <c r="AI631" i="1"/>
  <c r="AJ631" i="1" s="1"/>
  <c r="AJ695" i="1"/>
  <c r="AI695" i="1"/>
  <c r="AJ759" i="1"/>
  <c r="AI759" i="1"/>
  <c r="AI8" i="1"/>
  <c r="AJ8" i="1" s="1"/>
  <c r="AI45" i="1"/>
  <c r="AJ45" i="1" s="1"/>
  <c r="AJ53" i="1"/>
  <c r="AI93" i="1"/>
  <c r="AJ93" i="1" s="1"/>
  <c r="AJ101" i="1"/>
  <c r="AI136" i="1"/>
  <c r="AJ136" i="1" s="1"/>
  <c r="AI152" i="1"/>
  <c r="AJ152" i="1" s="1"/>
  <c r="AJ163" i="1"/>
  <c r="AI189" i="1"/>
  <c r="AJ189" i="1" s="1"/>
  <c r="AJ197" i="1"/>
  <c r="AJ213" i="1"/>
  <c r="AJ234" i="1"/>
  <c r="AJ261" i="1"/>
  <c r="AI261" i="1"/>
  <c r="AJ120" i="1"/>
  <c r="AI120" i="1"/>
  <c r="AI232" i="1"/>
  <c r="AJ232" i="1" s="1"/>
  <c r="AI13" i="1"/>
  <c r="AJ13" i="1" s="1"/>
  <c r="AJ165" i="1"/>
  <c r="AJ599" i="1"/>
  <c r="AI599" i="1"/>
  <c r="AI663" i="1"/>
  <c r="AJ663" i="1" s="1"/>
  <c r="AI16" i="1"/>
  <c r="AJ16" i="1" s="1"/>
  <c r="AJ27" i="1"/>
  <c r="AJ61" i="1"/>
  <c r="AJ109" i="1"/>
  <c r="AJ112" i="1"/>
  <c r="AI112" i="1"/>
  <c r="AI128" i="1"/>
  <c r="AJ128" i="1" s="1"/>
  <c r="AJ141" i="1"/>
  <c r="AJ160" i="1"/>
  <c r="AI160" i="1"/>
  <c r="AJ205" i="1"/>
  <c r="AJ226" i="1"/>
  <c r="AJ248" i="1"/>
  <c r="AI248" i="1"/>
  <c r="AJ149" i="1"/>
  <c r="AI240" i="1"/>
  <c r="AJ240" i="1" s="1"/>
  <c r="AJ5" i="1"/>
  <c r="AI168" i="1"/>
  <c r="AJ168" i="1" s="1"/>
  <c r="AJ32" i="1"/>
  <c r="AI32" i="1"/>
  <c r="AJ176" i="1"/>
  <c r="AI176" i="1"/>
  <c r="AJ318" i="1"/>
  <c r="AI338" i="1"/>
  <c r="AJ338" i="1" s="1"/>
  <c r="AJ354" i="1"/>
  <c r="AI354" i="1"/>
  <c r="AJ370" i="1"/>
  <c r="AI370" i="1"/>
  <c r="AI386" i="1"/>
  <c r="AJ386" i="1" s="1"/>
  <c r="AI402" i="1"/>
  <c r="AJ402" i="1" s="1"/>
  <c r="AJ418" i="1"/>
  <c r="AI418" i="1"/>
  <c r="AJ434" i="1"/>
  <c r="AI434" i="1"/>
  <c r="AI450" i="1"/>
  <c r="AJ450" i="1" s="1"/>
  <c r="AI466" i="1"/>
  <c r="AJ466" i="1" s="1"/>
  <c r="AI3" i="1"/>
  <c r="AJ3" i="1" s="1"/>
  <c r="AI11" i="1"/>
  <c r="AJ11" i="1" s="1"/>
  <c r="AI19" i="1"/>
  <c r="AJ19" i="1" s="1"/>
  <c r="AI27" i="1"/>
  <c r="AI35" i="1"/>
  <c r="AJ35" i="1" s="1"/>
  <c r="AI43" i="1"/>
  <c r="AJ43" i="1" s="1"/>
  <c r="AI51" i="1"/>
  <c r="AJ51" i="1" s="1"/>
  <c r="AI59" i="1"/>
  <c r="AJ59" i="1" s="1"/>
  <c r="AI67" i="1"/>
  <c r="AJ67" i="1" s="1"/>
  <c r="AI75" i="1"/>
  <c r="AJ75" i="1" s="1"/>
  <c r="AI83" i="1"/>
  <c r="AJ83" i="1" s="1"/>
  <c r="AI91" i="1"/>
  <c r="AJ91" i="1" s="1"/>
  <c r="AI99" i="1"/>
  <c r="AJ99" i="1" s="1"/>
  <c r="AI107" i="1"/>
  <c r="AJ107" i="1" s="1"/>
  <c r="AI115" i="1"/>
  <c r="AJ115" i="1" s="1"/>
  <c r="AI123" i="1"/>
  <c r="AJ123" i="1" s="1"/>
  <c r="AI131" i="1"/>
  <c r="AJ131" i="1" s="1"/>
  <c r="AI139" i="1"/>
  <c r="AJ139" i="1" s="1"/>
  <c r="AI147" i="1"/>
  <c r="AJ147" i="1" s="1"/>
  <c r="AI155" i="1"/>
  <c r="AJ155" i="1" s="1"/>
  <c r="AI163" i="1"/>
  <c r="AI171" i="1"/>
  <c r="AJ171" i="1" s="1"/>
  <c r="AI179" i="1"/>
  <c r="AJ179" i="1" s="1"/>
  <c r="AI187" i="1"/>
  <c r="AJ187" i="1" s="1"/>
  <c r="AI195" i="1"/>
  <c r="AJ195" i="1" s="1"/>
  <c r="AI203" i="1"/>
  <c r="AJ203" i="1" s="1"/>
  <c r="AI211" i="1"/>
  <c r="AI219" i="1"/>
  <c r="AI227" i="1"/>
  <c r="AJ227" i="1" s="1"/>
  <c r="AI235" i="1"/>
  <c r="AJ235" i="1" s="1"/>
  <c r="AI243" i="1"/>
  <c r="AJ243" i="1" s="1"/>
  <c r="AI258" i="1"/>
  <c r="AJ258" i="1" s="1"/>
  <c r="AJ269" i="1"/>
  <c r="AI269" i="1"/>
  <c r="AJ277" i="1"/>
  <c r="AI277" i="1"/>
  <c r="AJ282" i="1"/>
  <c r="AJ309" i="1"/>
  <c r="AI309" i="1"/>
  <c r="AJ413" i="1"/>
  <c r="AJ500" i="1"/>
  <c r="AI500" i="1"/>
  <c r="AI799" i="1"/>
  <c r="AJ799" i="1" s="1"/>
  <c r="AI118" i="1"/>
  <c r="AJ118" i="1" s="1"/>
  <c r="AI126" i="1"/>
  <c r="AJ126" i="1" s="1"/>
  <c r="AI134" i="1"/>
  <c r="AJ134" i="1" s="1"/>
  <c r="AI142" i="1"/>
  <c r="AJ142" i="1" s="1"/>
  <c r="AI150" i="1"/>
  <c r="AJ150" i="1" s="1"/>
  <c r="AI158" i="1"/>
  <c r="AJ158" i="1" s="1"/>
  <c r="AI166" i="1"/>
  <c r="AJ166" i="1" s="1"/>
  <c r="AI174" i="1"/>
  <c r="AJ174" i="1" s="1"/>
  <c r="AI182" i="1"/>
  <c r="AJ182" i="1" s="1"/>
  <c r="AI190" i="1"/>
  <c r="AJ190" i="1" s="1"/>
  <c r="AI198" i="1"/>
  <c r="AJ198" i="1" s="1"/>
  <c r="AI206" i="1"/>
  <c r="AJ206" i="1" s="1"/>
  <c r="AI214" i="1"/>
  <c r="AJ214" i="1" s="1"/>
  <c r="AI222" i="1"/>
  <c r="AJ222" i="1" s="1"/>
  <c r="AI230" i="1"/>
  <c r="AJ230" i="1" s="1"/>
  <c r="AI238" i="1"/>
  <c r="AJ238" i="1" s="1"/>
  <c r="AI246" i="1"/>
  <c r="AJ246" i="1" s="1"/>
  <c r="AJ249" i="1"/>
  <c r="AJ252" i="1"/>
  <c r="AI282" i="1"/>
  <c r="AI314" i="1"/>
  <c r="AJ314" i="1" s="1"/>
  <c r="AJ334" i="1"/>
  <c r="AJ462" i="1"/>
  <c r="AJ259" i="1"/>
  <c r="AJ266" i="1"/>
  <c r="AJ274" i="1"/>
  <c r="AJ301" i="1"/>
  <c r="AI301" i="1"/>
  <c r="AJ306" i="1"/>
  <c r="AI497" i="1"/>
  <c r="AJ497" i="1" s="1"/>
  <c r="AI552" i="1"/>
  <c r="AJ552" i="1" s="1"/>
  <c r="AJ330" i="1"/>
  <c r="AI330" i="1"/>
  <c r="AI346" i="1"/>
  <c r="AJ346" i="1" s="1"/>
  <c r="AJ362" i="1"/>
  <c r="AI362" i="1"/>
  <c r="AI378" i="1"/>
  <c r="AJ378" i="1" s="1"/>
  <c r="AJ394" i="1"/>
  <c r="AI394" i="1"/>
  <c r="AI410" i="1"/>
  <c r="AJ410" i="1" s="1"/>
  <c r="AJ426" i="1"/>
  <c r="AI426" i="1"/>
  <c r="AI442" i="1"/>
  <c r="AJ442" i="1" s="1"/>
  <c r="AJ458" i="1"/>
  <c r="AI458" i="1"/>
  <c r="AI474" i="1"/>
  <c r="AJ474" i="1" s="1"/>
  <c r="AI543" i="1"/>
  <c r="AJ543" i="1" s="1"/>
  <c r="AJ548" i="1"/>
  <c r="AI548" i="1"/>
  <c r="AI293" i="1"/>
  <c r="AJ293" i="1" s="1"/>
  <c r="AJ298" i="1"/>
  <c r="AJ325" i="1"/>
  <c r="AJ437" i="1"/>
  <c r="AJ453" i="1"/>
  <c r="AI480" i="1"/>
  <c r="AJ480" i="1" s="1"/>
  <c r="AI490" i="1"/>
  <c r="AJ490" i="1" s="1"/>
  <c r="AJ257" i="1"/>
  <c r="AJ294" i="1"/>
  <c r="AI298" i="1"/>
  <c r="AJ422" i="1"/>
  <c r="AI503" i="1"/>
  <c r="AJ503" i="1" s="1"/>
  <c r="AJ535" i="1"/>
  <c r="AI535" i="1"/>
  <c r="AJ544" i="1"/>
  <c r="AI544" i="1"/>
  <c r="AI325" i="1"/>
  <c r="AI333" i="1"/>
  <c r="AJ333" i="1" s="1"/>
  <c r="AI341" i="1"/>
  <c r="AJ341" i="1" s="1"/>
  <c r="AI349" i="1"/>
  <c r="AJ349" i="1" s="1"/>
  <c r="AI357" i="1"/>
  <c r="AJ357" i="1" s="1"/>
  <c r="AI365" i="1"/>
  <c r="AJ365" i="1" s="1"/>
  <c r="AI373" i="1"/>
  <c r="AJ373" i="1" s="1"/>
  <c r="AI381" i="1"/>
  <c r="AJ381" i="1" s="1"/>
  <c r="AI389" i="1"/>
  <c r="AJ389" i="1" s="1"/>
  <c r="AI397" i="1"/>
  <c r="AJ397" i="1" s="1"/>
  <c r="AI405" i="1"/>
  <c r="AJ405" i="1" s="1"/>
  <c r="AI413" i="1"/>
  <c r="AI421" i="1"/>
  <c r="AJ421" i="1" s="1"/>
  <c r="AI429" i="1"/>
  <c r="AJ429" i="1" s="1"/>
  <c r="AI437" i="1"/>
  <c r="AI445" i="1"/>
  <c r="AJ445" i="1" s="1"/>
  <c r="AI453" i="1"/>
  <c r="AI461" i="1"/>
  <c r="AJ461" i="1" s="1"/>
  <c r="AI469" i="1"/>
  <c r="AJ469" i="1" s="1"/>
  <c r="AI477" i="1"/>
  <c r="AJ477" i="1" s="1"/>
  <c r="AJ504" i="1"/>
  <c r="AI504" i="1"/>
  <c r="AI527" i="1"/>
  <c r="AJ527" i="1" s="1"/>
  <c r="AJ532" i="1"/>
  <c r="AI536" i="1"/>
  <c r="AJ536" i="1" s="1"/>
  <c r="AI540" i="1"/>
  <c r="AJ540" i="1" s="1"/>
  <c r="AJ591" i="1"/>
  <c r="AI591" i="1"/>
  <c r="AI596" i="1"/>
  <c r="AJ596" i="1" s="1"/>
  <c r="AI623" i="1"/>
  <c r="AJ623" i="1" s="1"/>
  <c r="AI655" i="1"/>
  <c r="AJ655" i="1" s="1"/>
  <c r="AJ687" i="1"/>
  <c r="AI687" i="1"/>
  <c r="AI719" i="1"/>
  <c r="AJ719" i="1" s="1"/>
  <c r="AJ747" i="1"/>
  <c r="AI751" i="1"/>
  <c r="AJ751" i="1" s="1"/>
  <c r="AI472" i="1"/>
  <c r="AJ472" i="1" s="1"/>
  <c r="AI481" i="1"/>
  <c r="AJ481" i="1" s="1"/>
  <c r="AI484" i="1"/>
  <c r="AJ484" i="1" s="1"/>
  <c r="AI487" i="1"/>
  <c r="AJ487" i="1" s="1"/>
  <c r="AI508" i="1"/>
  <c r="AJ508" i="1" s="1"/>
  <c r="AI511" i="1"/>
  <c r="AJ511" i="1" s="1"/>
  <c r="AJ519" i="1"/>
  <c r="AI519" i="1"/>
  <c r="AJ524" i="1"/>
  <c r="AI528" i="1"/>
  <c r="AJ528" i="1" s="1"/>
  <c r="AI532" i="1"/>
  <c r="AI583" i="1"/>
  <c r="AJ583" i="1" s="1"/>
  <c r="AJ588" i="1"/>
  <c r="AI592" i="1"/>
  <c r="AJ592" i="1" s="1"/>
  <c r="AJ620" i="1"/>
  <c r="AJ624" i="1"/>
  <c r="AJ652" i="1"/>
  <c r="AJ684" i="1"/>
  <c r="AJ716" i="1"/>
  <c r="AJ748" i="1"/>
  <c r="AJ752" i="1"/>
  <c r="AJ780" i="1"/>
  <c r="AJ796" i="1"/>
  <c r="AJ812" i="1"/>
  <c r="AJ488" i="1"/>
  <c r="AI488" i="1"/>
  <c r="AI512" i="1"/>
  <c r="AJ512" i="1" s="1"/>
  <c r="AJ516" i="1"/>
  <c r="AI520" i="1"/>
  <c r="AJ520" i="1" s="1"/>
  <c r="AJ575" i="1"/>
  <c r="AI575" i="1"/>
  <c r="AI584" i="1"/>
  <c r="AJ584" i="1" s="1"/>
  <c r="AJ615" i="1"/>
  <c r="AI615" i="1"/>
  <c r="AI647" i="1"/>
  <c r="AJ647" i="1" s="1"/>
  <c r="AJ679" i="1"/>
  <c r="AI679" i="1"/>
  <c r="AI711" i="1"/>
  <c r="AJ711" i="1" s="1"/>
  <c r="AJ739" i="1"/>
  <c r="AI743" i="1"/>
  <c r="AJ743" i="1" s="1"/>
  <c r="AJ775" i="1"/>
  <c r="AI775" i="1"/>
  <c r="AI791" i="1"/>
  <c r="AJ791" i="1" s="1"/>
  <c r="AJ807" i="1"/>
  <c r="AI807" i="1"/>
  <c r="AI278" i="1"/>
  <c r="AJ278" i="1" s="1"/>
  <c r="AI286" i="1"/>
  <c r="AJ286" i="1" s="1"/>
  <c r="AI294" i="1"/>
  <c r="AI302" i="1"/>
  <c r="AJ302" i="1" s="1"/>
  <c r="AI310" i="1"/>
  <c r="AJ310" i="1" s="1"/>
  <c r="AI318" i="1"/>
  <c r="AI326" i="1"/>
  <c r="AJ326" i="1" s="1"/>
  <c r="AI334" i="1"/>
  <c r="AI342" i="1"/>
  <c r="AJ342" i="1" s="1"/>
  <c r="AI350" i="1"/>
  <c r="AJ350" i="1" s="1"/>
  <c r="AI358" i="1"/>
  <c r="AJ358" i="1" s="1"/>
  <c r="AI366" i="1"/>
  <c r="AJ366" i="1" s="1"/>
  <c r="AI374" i="1"/>
  <c r="AJ374" i="1" s="1"/>
  <c r="AI382" i="1"/>
  <c r="AJ382" i="1" s="1"/>
  <c r="AI390" i="1"/>
  <c r="AJ390" i="1" s="1"/>
  <c r="AI398" i="1"/>
  <c r="AJ398" i="1" s="1"/>
  <c r="AI406" i="1"/>
  <c r="AJ406" i="1" s="1"/>
  <c r="AI414" i="1"/>
  <c r="AJ414" i="1" s="1"/>
  <c r="AI422" i="1"/>
  <c r="AI430" i="1"/>
  <c r="AJ430" i="1" s="1"/>
  <c r="AI438" i="1"/>
  <c r="AJ438" i="1" s="1"/>
  <c r="AI446" i="1"/>
  <c r="AJ446" i="1" s="1"/>
  <c r="AI454" i="1"/>
  <c r="AJ454" i="1" s="1"/>
  <c r="AI462" i="1"/>
  <c r="AI470" i="1"/>
  <c r="AJ470" i="1" s="1"/>
  <c r="AJ485" i="1"/>
  <c r="AJ495" i="1"/>
  <c r="AJ509" i="1"/>
  <c r="AI516" i="1"/>
  <c r="AI567" i="1"/>
  <c r="AJ567" i="1" s="1"/>
  <c r="AJ572" i="1"/>
  <c r="AI576" i="1"/>
  <c r="AJ576" i="1" s="1"/>
  <c r="AI580" i="1"/>
  <c r="AJ580" i="1" s="1"/>
  <c r="AJ612" i="1"/>
  <c r="AJ644" i="1"/>
  <c r="AJ648" i="1"/>
  <c r="AJ676" i="1"/>
  <c r="AJ712" i="1"/>
  <c r="AJ479" i="1"/>
  <c r="AI559" i="1"/>
  <c r="AJ559" i="1" s="1"/>
  <c r="AJ568" i="1"/>
  <c r="AI568" i="1"/>
  <c r="AI572" i="1"/>
  <c r="AI607" i="1"/>
  <c r="AJ607" i="1" s="1"/>
  <c r="AI639" i="1"/>
  <c r="AJ639" i="1" s="1"/>
  <c r="AJ671" i="1"/>
  <c r="AI671" i="1"/>
  <c r="AI703" i="1"/>
  <c r="AJ703" i="1" s="1"/>
  <c r="AJ731" i="1"/>
  <c r="AJ735" i="1"/>
  <c r="AI735" i="1"/>
  <c r="AJ767" i="1"/>
  <c r="AI767" i="1"/>
  <c r="AI479" i="1"/>
  <c r="AJ496" i="1"/>
  <c r="AI496" i="1"/>
  <c r="AJ506" i="1"/>
  <c r="AJ551" i="1"/>
  <c r="AI551" i="1"/>
  <c r="AJ556" i="1"/>
  <c r="AI560" i="1"/>
  <c r="AJ560" i="1" s="1"/>
  <c r="AI564" i="1"/>
  <c r="AJ564" i="1" s="1"/>
  <c r="AJ573" i="1"/>
  <c r="AJ604" i="1"/>
  <c r="AJ608" i="1"/>
  <c r="AJ636" i="1"/>
  <c r="AJ668" i="1"/>
  <c r="AJ700" i="1"/>
  <c r="AJ704" i="1"/>
  <c r="AJ732" i="1"/>
  <c r="AJ736" i="1"/>
  <c r="AJ764" i="1"/>
  <c r="AJ788" i="1"/>
  <c r="AJ804" i="1"/>
  <c r="AI600" i="1"/>
  <c r="AJ600" i="1" s="1"/>
  <c r="AI608" i="1"/>
  <c r="AI616" i="1"/>
  <c r="AJ616" i="1" s="1"/>
  <c r="AI624" i="1"/>
  <c r="AI632" i="1"/>
  <c r="AJ632" i="1" s="1"/>
  <c r="AI640" i="1"/>
  <c r="AJ640" i="1" s="1"/>
  <c r="AI648" i="1"/>
  <c r="AI656" i="1"/>
  <c r="AJ656" i="1" s="1"/>
  <c r="AI664" i="1"/>
  <c r="AJ664" i="1" s="1"/>
  <c r="AI672" i="1"/>
  <c r="AJ672" i="1" s="1"/>
  <c r="AI680" i="1"/>
  <c r="AJ680" i="1" s="1"/>
  <c r="AI688" i="1"/>
  <c r="AJ688" i="1" s="1"/>
  <c r="AI696" i="1"/>
  <c r="AJ696" i="1" s="1"/>
  <c r="AI704" i="1"/>
  <c r="AI712" i="1"/>
  <c r="AI720" i="1"/>
  <c r="AJ720" i="1" s="1"/>
  <c r="AI728" i="1"/>
  <c r="AJ728" i="1" s="1"/>
  <c r="AI736" i="1"/>
  <c r="AI744" i="1"/>
  <c r="AJ744" i="1" s="1"/>
  <c r="AI752" i="1"/>
  <c r="AI760" i="1"/>
  <c r="AJ760" i="1" s="1"/>
  <c r="AI768" i="1"/>
  <c r="AJ768" i="1" s="1"/>
  <c r="AI776" i="1"/>
  <c r="AJ776" i="1" s="1"/>
  <c r="AI784" i="1"/>
  <c r="AJ784" i="1" s="1"/>
  <c r="AI792" i="1"/>
  <c r="AJ792" i="1" s="1"/>
  <c r="AI800" i="1"/>
  <c r="AJ800" i="1" s="1"/>
  <c r="AI808" i="1"/>
  <c r="AJ808" i="1" s="1"/>
  <c r="AI715" i="1"/>
  <c r="AJ715" i="1" s="1"/>
  <c r="AI723" i="1"/>
  <c r="AI731" i="1"/>
  <c r="AI739" i="1"/>
  <c r="AI747" i="1"/>
  <c r="AI755" i="1"/>
  <c r="AJ755" i="1" s="1"/>
  <c r="AI763" i="1"/>
  <c r="AJ763" i="1" s="1"/>
  <c r="AI771" i="1"/>
  <c r="AJ771" i="1" s="1"/>
  <c r="AI779" i="1"/>
  <c r="AJ779" i="1" s="1"/>
  <c r="AI787" i="1"/>
  <c r="AJ787" i="1" s="1"/>
  <c r="AI795" i="1"/>
  <c r="AJ795" i="1" s="1"/>
  <c r="AI803" i="1"/>
  <c r="AJ803" i="1" s="1"/>
  <c r="AI811" i="1"/>
  <c r="AJ811" i="1" s="1"/>
</calcChain>
</file>

<file path=xl/sharedStrings.xml><?xml version="1.0" encoding="utf-8"?>
<sst xmlns="http://schemas.openxmlformats.org/spreadsheetml/2006/main" count="15484" uniqueCount="2482">
  <si>
    <t>Shipper ID</t>
  </si>
  <si>
    <t>Shipper Name</t>
  </si>
  <si>
    <t>Billing Name</t>
  </si>
  <si>
    <t>TYPE</t>
  </si>
  <si>
    <t>MAIN AGENT</t>
  </si>
  <si>
    <t>ASN AGENT FOR PREPAID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</si>
  <si>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</si>
  <si>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</si>
  <si>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</si>
  <si>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</si>
  <si>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</si>
  <si>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</si>
  <si>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</si>
  <si>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</si>
  <si>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</si>
  <si>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Original Weight</t>
  </si>
  <si>
    <t>Create Time</t>
  </si>
  <si>
    <t>Delivery Date</t>
  </si>
  <si>
    <t>From City</t>
  </si>
  <si>
    <t>From Billing Zone</t>
  </si>
  <si>
    <t>Origin Hub</t>
  </si>
  <si>
    <t>L1 Name</t>
  </si>
  <si>
    <t>L2 Name</t>
  </si>
  <si>
    <t>L3 Name</t>
  </si>
  <si>
    <t>To Address</t>
  </si>
  <si>
    <t>To Postcode</t>
  </si>
  <si>
    <t>To Billing Zone</t>
  </si>
  <si>
    <t>Destination Hub</t>
  </si>
  <si>
    <t>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</si>
  <si>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</si>
  <si>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</si>
  <si>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</si>
  <si>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</si>
  <si>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</si>
  <si>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</si>
  <si>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</si>
  <si>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</si>
  <si>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</si>
  <si>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</si>
  <si>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Partner</t>
  </si>
  <si>
    <t>NVMY34535000001067</t>
  </si>
  <si>
    <t>Completed</t>
  </si>
  <si>
    <t>MD RUNI BIN AG MATASAN</t>
  </si>
  <si>
    <t>DELIVERY_THREE_DAYS_ANYTIME</t>
  </si>
  <si>
    <t>Parcel</t>
  </si>
  <si>
    <t>STANDARD</t>
  </si>
  <si>
    <t>SMALL</t>
  </si>
  <si>
    <t>WMSIA</t>
  </si>
  <si>
    <t>KBR1-KBR1</t>
  </si>
  <si>
    <t>Labuan</t>
  </si>
  <si>
    <t>UMSKAL, JALAN SG PAGAR 87000 W.P LABUAN   Sabah  87000</t>
  </si>
  <si>
    <t>EMSIA</t>
  </si>
  <si>
    <t>15-LBN-111</t>
  </si>
  <si>
    <t>AHMAD ASN</t>
  </si>
  <si>
    <t>NVMY34535000001009</t>
  </si>
  <si>
    <t>BAYATI BT BASIR</t>
  </si>
  <si>
    <t>KEL-KEL</t>
  </si>
  <si>
    <t>Sabah</t>
  </si>
  <si>
    <t>KAMPUNG LINGKUNGAN 89800 BEAUFORT SABAH   Sabah  89800</t>
  </si>
  <si>
    <t>15A-BFT-155</t>
  </si>
  <si>
    <t>NVMY34535000001136</t>
  </si>
  <si>
    <t>SITI RAFIDAH BINTI MOHAMED HASSAN</t>
  </si>
  <si>
    <t>Johor</t>
  </si>
  <si>
    <t>NO 10, JALAN AUSTIN   PERDANA 4/1, TAMAN AUSTIN PERDANA 81100 JOHOR BAHRU, JOHOR   Johor  81100</t>
  </si>
  <si>
    <t>MM-MM</t>
  </si>
  <si>
    <t>NVMY34535000001165</t>
  </si>
  <si>
    <t>MUHAMMAD HAFEEZ IZZUDDEEN</t>
  </si>
  <si>
    <t>Pahang</t>
  </si>
  <si>
    <t>F13-04, KOLEJ KEDIAMAN 2, UNIVERSITY MALAYSIA PAHANG, LEBUHRAYA FUN RAZAK, 26300 GAMBANG PAHANG DARULMAKMUR MALAYSIA   Pahang  26300</t>
  </si>
  <si>
    <t>NVMY34535000001156</t>
  </si>
  <si>
    <t>HASLINA BINTI MOHD NOOR</t>
  </si>
  <si>
    <t>Kedah</t>
  </si>
  <si>
    <t>NO 36A JALAN SG. JAGUNG SG. LAYA, (DEPAN PUSAT MEMANCING LAGEND), 08000 SG. PETANI, KEDAH   Kedah  08000</t>
  </si>
  <si>
    <t>3-SPT-17</t>
  </si>
  <si>
    <t>NVMY34535000001173</t>
  </si>
  <si>
    <t>AMINAH BT SAID</t>
  </si>
  <si>
    <t>Terengganu</t>
  </si>
  <si>
    <t>LOT 3795 KG LEREK TEPOH 21060 KUALA NERUS TERENGGANU   Terengganu  21060</t>
  </si>
  <si>
    <t>NVMY34535000001153</t>
  </si>
  <si>
    <t>JUAN DANAR</t>
  </si>
  <si>
    <t>Sarawak</t>
  </si>
  <si>
    <t>10A LORONG OYA 8, 96000 SIBU SARAWAK   Sarawak  96000</t>
  </si>
  <si>
    <t>16-SBW-113</t>
  </si>
  <si>
    <t>NVMY34535000001154</t>
  </si>
  <si>
    <t>MUHAMMAD DANIELL BIN JALUDDIN</t>
  </si>
  <si>
    <t>Pulau Pinang</t>
  </si>
  <si>
    <t>2-11-1, PANGSAPURI SRI INTAN, LINTANG BAYAN 4, TAMAN TUNAS MUDA, SUNGAI ARA, 11900 BAYAN LEPAS, PULAU PINANG   Pulau Pinang  11900</t>
  </si>
  <si>
    <t>NVMY34535000001135</t>
  </si>
  <si>
    <t>NORBAITIE BT LUTFAR RAHMAN</t>
  </si>
  <si>
    <t>NO 1-B KAMPUNG PANTAI CICAR 09300 KUALA KETIL KEDAH DARUL AMAN   Kedah  09300</t>
  </si>
  <si>
    <t>NVMY34535000001158</t>
  </si>
  <si>
    <t>SITI ZULAIHA MUNIK</t>
  </si>
  <si>
    <t>NO.64 JLN BAHAGIA 4 TAMAN SRI BAHAGIA 81500 PEKAN NANAS JOHOR   Johor  81500</t>
  </si>
  <si>
    <t>4-PTN-21</t>
  </si>
  <si>
    <t>NVMY34535000001176</t>
  </si>
  <si>
    <t>SITI HAJAR MAZLAN</t>
  </si>
  <si>
    <t>Kelantan</t>
  </si>
  <si>
    <t>PT 543 VILLA LAOR JERINGAL , 16300 BACHOK, KELANTAN   Kelantan  16300</t>
  </si>
  <si>
    <t>NVMY34535000001138</t>
  </si>
  <si>
    <t>FARAH AYUNY</t>
  </si>
  <si>
    <t>Perak</t>
  </si>
  <si>
    <t>NO 30, LORONG BENDAHARA 5, TAMAN KERIAN TAMBAHAN 6, 34200 PARIT BUNTAR, PERAK   Perak  34200</t>
  </si>
  <si>
    <t>NVMY34535000001141</t>
  </si>
  <si>
    <t>NORAIN BT MD KHALID</t>
  </si>
  <si>
    <t>NO 5 JALAN KANGSAR 33000 KUALA KANGSAR PERAK   Perak  33000</t>
  </si>
  <si>
    <t>NVMY34535000001163</t>
  </si>
  <si>
    <t>ANITA BINTI MOKHTAZA</t>
  </si>
  <si>
    <t>LOT 1194 PEKAN SARI KAMPUNG AWAH 28000 TEMERLOH PAHANG   Pahang  28000</t>
  </si>
  <si>
    <t>NVMY34535000001107</t>
  </si>
  <si>
    <t>MOHAMAD ASIFAZAKI BIN MD NOOR</t>
  </si>
  <si>
    <t>PUSAT KRAFTANGAN EPAL KUCHING M24, ELECTRA HOUSE, POWER STREET, P.O BOX 209,93702 KUCHING SARAWAK   Sarawak  93702</t>
  </si>
  <si>
    <t>16-KCH-112</t>
  </si>
  <si>
    <t>NVMY34535000001177</t>
  </si>
  <si>
    <t>HARIZ NAJMI BIN MOHAMAD JAN</t>
  </si>
  <si>
    <t>Selangor</t>
  </si>
  <si>
    <t>LOT 3693 JALAN MERAK BATU 9 KEBUN BARU 42500 TELOK PANGLIMA GARANG SELANGOR   Selangor  42500</t>
  </si>
  <si>
    <t>NVMY34535000001143</t>
  </si>
  <si>
    <t>SYAZA NADHIRAH ZULKIFLI</t>
  </si>
  <si>
    <t>KAMPUNG MANGGUL TEMUCUT MUKIM GELONG 06000 JITRA KEDAH   Kedah  06000</t>
  </si>
  <si>
    <t>NVMY34535000001185</t>
  </si>
  <si>
    <t>NURUL ATIQAH</t>
  </si>
  <si>
    <t>NO 1 JALAN MERANTI PUTIH 3 TAMAN PERMAI 2 BATU 7 1/2 MERU KLANG 41050 SELANGOR   Selangor  41050</t>
  </si>
  <si>
    <t>12-MRU-90</t>
  </si>
  <si>
    <t>NVMY34535000001190</t>
  </si>
  <si>
    <t>HARRAZ SYAHMINRIZAL</t>
  </si>
  <si>
    <t>KAMPUNG AIR BAKUT BATU GAJAH TANAH MERAH 17500 KELANTAN   Kelantan  my 17500</t>
  </si>
  <si>
    <t>NVMY34535000001152</t>
  </si>
  <si>
    <t>ARNIS JULIANA ANUAR</t>
  </si>
  <si>
    <t>Kuala Lumpur</t>
  </si>
  <si>
    <t>KETUA EKSEKUTIF LEMBAGA TABUNG ANGKATAN TENTERA TINGKAT 12 JALAN BUKIT BINTANG 55100 KUALA LUMPUR   Kuala Lumpur  my 55100</t>
  </si>
  <si>
    <t>NVMY34535000001182</t>
  </si>
  <si>
    <t>AHMAD FADHLI BIN SHIHABUDIN</t>
  </si>
  <si>
    <t>C-2-10, PANGSAPURI LAMAN SURIA, JLN SEKSYEN 2/1, 43100 KAJANG, SELANGOR   Selangor  43100</t>
  </si>
  <si>
    <t>NVMY34535000001159</t>
  </si>
  <si>
    <t>QILA</t>
  </si>
  <si>
    <t>NO. 15 JALAN 2/4 TAMAN PGBF SIBOL (2) FELDA SUNGAI SIBOL 81440 BANDAR TENGGARA JOHOR   Johor  81440</t>
  </si>
  <si>
    <t>NVMY34535000001183</t>
  </si>
  <si>
    <t>MUHD HAIZRUL AMIN</t>
  </si>
  <si>
    <t>Negeri Sembilan</t>
  </si>
  <si>
    <t>230 PEKAN TANJUNG IPOH 71500 NEGERI SEMBILAN   Negeri Sembilan  71500</t>
  </si>
  <si>
    <t>NVMY34535000001203</t>
  </si>
  <si>
    <t>MUHAMMAD FAIZ BIN AMRAN</t>
  </si>
  <si>
    <t>NO 2, JALAN PASAR KAMPUNG RAJA 22200 BESUT TERENGGANU   Terengganu  22200</t>
  </si>
  <si>
    <t>1-JTH-6</t>
  </si>
  <si>
    <t>NVMY34535000001202</t>
  </si>
  <si>
    <t>NOR HASHIMI BIN ALI</t>
  </si>
  <si>
    <t>A-187 KAMPUNG WAKAF MEMPELAM 20050 KUALA TERENGGANU, TERENGGANU   Terengganu  20050</t>
  </si>
  <si>
    <t>2-PYG-170</t>
  </si>
  <si>
    <t>NVMY34535000001164</t>
  </si>
  <si>
    <t>NUR AIN AMIRAH BINTI MATSUPI</t>
  </si>
  <si>
    <t>NO.27, TAMAN BAHAGIA, KAMPUNG PARIT DATO, 82100, PONTIAN, JOHOR   Johor  82100</t>
  </si>
  <si>
    <t>NVMY34535000001174</t>
  </si>
  <si>
    <t>NUR AINA</t>
  </si>
  <si>
    <t>LOT 7940 BATU 18 KAMPUNG SUNGAI TANGKAS 43000 KAJANG SELANGOR   Selangor  43000</t>
  </si>
  <si>
    <t>NVMY34535000001170</t>
  </si>
  <si>
    <t>SAIFUL NIZAM@AZAM WAHAB</t>
  </si>
  <si>
    <t>NO 4 JALAN PERMATA TAMAN DAMAI JAYA BUKIT SIPUT 85000 SEGAMAT JOHOR   Johor  85000</t>
  </si>
  <si>
    <t>NVMY34535000001171</t>
  </si>
  <si>
    <t>NVMY34535000001172</t>
  </si>
  <si>
    <t>ASMIN NUR IZZATI</t>
  </si>
  <si>
    <t>MALAYSIAN SHEET GLASS SDN BHD 21KM, BANDAR BARU SUNGAI BULOH, 47000 SUNGAI BULOH, SELANGOR   Selangor  47000</t>
  </si>
  <si>
    <t>NVMY34535000001206</t>
  </si>
  <si>
    <t>FUAD</t>
  </si>
  <si>
    <t>LOT 3313 KG GONG KUA 16800 PASIR PUTEH KELANTAN   Kelantan  16800</t>
  </si>
  <si>
    <t>1-PTH-5</t>
  </si>
  <si>
    <t>NVMY34535000001198</t>
  </si>
  <si>
    <t>SITI YUSLINDA MD GHAZALI</t>
  </si>
  <si>
    <t>NO 30 KG NASI DINGIN 21700 KUALA BERANG TERENGGANU   Terengganu  21700</t>
  </si>
  <si>
    <t>NVMY34535000001166</t>
  </si>
  <si>
    <t>NOOR ERNIE ANISA BT MOHD PAUZI</t>
  </si>
  <si>
    <t>F560 KAMPUNG SEDAKA TENGAH, 06900 YAN KEDAH DARUL AMAN   Kedah  06900</t>
  </si>
  <si>
    <t>NVMY34535000001189</t>
  </si>
  <si>
    <t>ALYSHA AZMAN</t>
  </si>
  <si>
    <t>NO.5 JALAN SUTERA 9, TAMAN SUTERA KAMPUNG JAWA, 85000 SEGAMAT JOHOR   Johor  85000</t>
  </si>
  <si>
    <t>NVMY34535000001180</t>
  </si>
  <si>
    <t>RUSIDAH BINTI ABDUL SAMAD</t>
  </si>
  <si>
    <t>Melaka</t>
  </si>
  <si>
    <t>NO48 JALAN TP9,TAMAN TERENDAK PERMAI,76300 SUNGAI UDANG MELAKA   Melaka  76300</t>
  </si>
  <si>
    <t>NVMY34535000001088</t>
  </si>
  <si>
    <t>DEENA</t>
  </si>
  <si>
    <t>NO 1 GERAI PLB JALAN STATION KERETAPI ALOR PONGSU 34300 RAGAN SERAI PERAK  Perak  Perak  34300</t>
  </si>
  <si>
    <t>NVMY34535000001175</t>
  </si>
  <si>
    <t>NUR HIDAYAH BINTI SHUKRI</t>
  </si>
  <si>
    <t>NO 19, PERSIARAN KELISA, TAMAN KELISA, 33040 SAYONG, KUALA KANGSAR, PERAK   Perak  33040</t>
  </si>
  <si>
    <t>NVMY34535000001187</t>
  </si>
  <si>
    <t>RAJA MUHAMMAF AQIFF BIN RAJA HASSAN</t>
  </si>
  <si>
    <t>23-G-2, JALAN PERMATANG DAMAR LAUT, BAYAN LEPAS, 11960 PULAU PINANG   Pulau Pinang  11960</t>
  </si>
  <si>
    <t>NVMY34535000001181</t>
  </si>
  <si>
    <t>MOHAMAD NASIR BIN ABD HAMID</t>
  </si>
  <si>
    <t>NO 22 JALAN BUNGA CEMPA 09000 KULIM KEDAH   Kedah  09000</t>
  </si>
  <si>
    <t>NVMY34535000001197</t>
  </si>
  <si>
    <t>NURHAYATI BINTI GHANI</t>
  </si>
  <si>
    <t>SK JELI 1 17600 JELI KELANTAN   Kelantan  17600</t>
  </si>
  <si>
    <t>NVMY34535000001186</t>
  </si>
  <si>
    <t>NVMY34535000001179</t>
  </si>
  <si>
    <t>IDZLAN YUSUP BIN KASSIM</t>
  </si>
  <si>
    <t>LOT 310, LORONG 2C OFF JALAN TUDM KG.BARU SUBANG, 40150 SHAH ALAM SELANGOR   Selangor  40150</t>
  </si>
  <si>
    <t>NVMY34535000001178</t>
  </si>
  <si>
    <t>MUHAMMAD AFIFUDDIN BIN MOHD RAZALI</t>
  </si>
  <si>
    <t>1465 LORONG GUNUNG DATOK 36/1 TAMAN ANGSAMAS 70300 SEREMBANG NEGERI SEMBILAN   Negeri Sembilan  70300</t>
  </si>
  <si>
    <t>NVMY34535000001193</t>
  </si>
  <si>
    <t>NUR FARAILYIA BT SHAHARUDDIN</t>
  </si>
  <si>
    <t xml:space="preserve"> LOT 5108, KAMPUNG SEBERANG MEDAN, TEPOH, 21060 KUALA TERENGGANU, TERENGGANU   Terengganu  21060</t>
  </si>
  <si>
    <t>NVMY34535000001184</t>
  </si>
  <si>
    <t>NUR FARAHSYAWINA</t>
  </si>
  <si>
    <t>BF 1-28 PANGSA 610, JALAN PANDAN INDAH 5/20, PANDAN INDAH 55100 KUALA LUMPUR   Kuala Lumpur  55100</t>
  </si>
  <si>
    <t>NVMY34535000001188</t>
  </si>
  <si>
    <t>ALIF IKHWAN</t>
  </si>
  <si>
    <t>NO. 14 JALAN PERMAISURI 13/6 SECTION 6 BANDAR MAHKOTA CHERAS , HULU LANGAT , 43200 , SELANGOR   Selangor  43200</t>
  </si>
  <si>
    <t>NVMY34535000001222</t>
  </si>
  <si>
    <t>RAJA SITI NURAINI BINTI RAJA ADNAN</t>
  </si>
  <si>
    <t>106, JALAN GANGSA, KG MANEK URAI BARU, KUALA KRAI 18050 KELANTAN   Kelantan  18050</t>
  </si>
  <si>
    <t>1-RAI-4</t>
  </si>
  <si>
    <t>NVMY34535000001238</t>
  </si>
  <si>
    <t>MOHD NAJIB HAJI ISMAIL</t>
  </si>
  <si>
    <t>128 DESA DURIAN BATU RAKIT KUALA TERENGGANU 21020 TERENGGANU   Terengganu  21020</t>
  </si>
  <si>
    <t>NVMY34535000001169</t>
  </si>
  <si>
    <t>LISA IKHWAN</t>
  </si>
  <si>
    <t xml:space="preserve"> LOT 31, KAMPUNG BUKIT PIATU, BENUS 28700 BENTONG PAHANG   Pahang  28700</t>
  </si>
  <si>
    <t>NVMY34535000001195</t>
  </si>
  <si>
    <t>NORFAHANA BT MUHD NAZRI</t>
  </si>
  <si>
    <t>20, PERSIARAN BERCHAM UTARA 6 TAMAN RAMAI 31400 IPOH PERAK   Perak  31400</t>
  </si>
  <si>
    <t>NVMY34535000001204</t>
  </si>
  <si>
    <t>AZIM</t>
  </si>
  <si>
    <t>PENGURUSAN FELDA ARING 6 NO 11-B 18300 GUA MUSANG KELANTAN   Kelantan  18300</t>
  </si>
  <si>
    <t>1A-GUA-106</t>
  </si>
  <si>
    <t>NVMY34535000001205</t>
  </si>
  <si>
    <t>SULKEEFLEE SAMAEA</t>
  </si>
  <si>
    <t>NO 6, PERUMAHAN BANJIR RKT KESEDAR, LEBIR 18300 GUA MUSANG, KELANTAN   Kelantan  18300</t>
  </si>
  <si>
    <t>NVMY34535000001200</t>
  </si>
  <si>
    <t>AMIRAH RASHIQAH BINTI ABDUL RAHIM</t>
  </si>
  <si>
    <t xml:space="preserve"> TL/S2 60 KAMPUNG SEROM 2, 84400 SUNGAI MATI, JOHOR   Johor  84400</t>
  </si>
  <si>
    <t>NVMY34535000001194</t>
  </si>
  <si>
    <t>NOR SHAFINI BINTI SHAFIEE</t>
  </si>
  <si>
    <t>47, KAMPUNG JERAI KUALA SIN, BUKIT SELAMBAU 08010 SUNGAI PETANI KEDAH   Kedah  08010</t>
  </si>
  <si>
    <t>NVMY34535000001233</t>
  </si>
  <si>
    <t>NURUL NATASHA</t>
  </si>
  <si>
    <t>KEDAI NO 7 KOMPLEKS TOK GAJAH UITM CAWANGAN PAHANG KAMPUS JENGKA 26400 BANDAR JENGKA, PAHANG DARUL MAKMUR   Pahang  26400</t>
  </si>
  <si>
    <t>NVMY34535000001224</t>
  </si>
  <si>
    <t>TINI</t>
  </si>
  <si>
    <t>WAD KENCANA, HOSPITAL TEMENGGONG SERI MAHARAJA TUN IBRAHIM 81000 KULAI JOHOR   Johor  81000</t>
  </si>
  <si>
    <t>NVMY34535000001217</t>
  </si>
  <si>
    <t>SITI JUARIAH BT MOHAMMAD SHODEK</t>
  </si>
  <si>
    <t>NO 2 JALAN TEBUK HJ NOOR BT 36 DALAM SEKENDI 45200 SABAK BERNAM SELANGOR   Selangor  45200</t>
  </si>
  <si>
    <t>NVMY34535000001267</t>
  </si>
  <si>
    <t>SUHAIDI</t>
  </si>
  <si>
    <t>NO A-1 KUARTERS TNB, JALAN KILAT, KUALA ROMPIN 26800 ROMPIN PAHANG   Pahang  26800</t>
  </si>
  <si>
    <t>NVMY34535000001192</t>
  </si>
  <si>
    <t>NURR AZIRA SHARMIEZA BINTI TAJUDEN</t>
  </si>
  <si>
    <t>KAMPUNG RANGAWAN ULU SADONG JAYA 94600 ASAJAYA SARAWAK   Sarawak  94600</t>
  </si>
  <si>
    <t>16-SAM-149</t>
  </si>
  <si>
    <t>NVMY34535000001218</t>
  </si>
  <si>
    <t>MOHD SHAHRULNIZAM BIN M ZAIN</t>
  </si>
  <si>
    <t>B2-7-3 APT SRI SELAYANG JLN PS7, TAMAN PRIMA SELAYANG 68100 BATU CAVES, SELANGOR   Selangor  68100</t>
  </si>
  <si>
    <t>NVMY34535000001215</t>
  </si>
  <si>
    <t>NOR HAMIAH BT ABDUL HAMID</t>
  </si>
  <si>
    <t>95, LRG KETAPANG MUALIM 6, TAMAN KETAPANG MUALIM 26600 PEKAN PAHANG   Pahang  26600</t>
  </si>
  <si>
    <t>6-PKN-40</t>
  </si>
  <si>
    <t>NVMY34535000001278</t>
  </si>
  <si>
    <t>SITI NURHIDAYATUL</t>
  </si>
  <si>
    <t>NO 45 LORONG 3 KEMPADANG MAKMUR 26060 KUANTAN PAHANG   Pahang  26060</t>
  </si>
  <si>
    <t>NVMY34535000001214</t>
  </si>
  <si>
    <t>NORHIDAYU BT MOHD MOHID</t>
  </si>
  <si>
    <t>NO 34 KG PARIT ZAIN, BAKRI 84200 MUAR JOHOR   Johor  84200</t>
  </si>
  <si>
    <t>NVMY34535000001273</t>
  </si>
  <si>
    <t>MUHAMMAD HAFEEZ BIN MOHD SALLEH</t>
  </si>
  <si>
    <t>NO 9 PERUMAHAN KILANG SAWIT BUKIT BANDI 24000 KEMAMAN TERENGGANU   Terengganu  24000</t>
  </si>
  <si>
    <t>NVMY34535000001207</t>
  </si>
  <si>
    <t>SUHAIMI</t>
  </si>
  <si>
    <t>CABANG 3 PAGUT KAMPUNG PANGKAL KALONG 16450 KETEREH KELANTAN  Kelantan  Kelantan  16450</t>
  </si>
  <si>
    <t>1-KET-141</t>
  </si>
  <si>
    <t>NVMY34535000001211</t>
  </si>
  <si>
    <t>HALIMAH BINTI MOHAMMED</t>
  </si>
  <si>
    <t>845 KAMPUNG TANJUNG GENTING 86800 MERSING, JOHOR DARUL TAKZIM   Johor  86800</t>
  </si>
  <si>
    <t>NVMY34535000001279</t>
  </si>
  <si>
    <t>MUSLIHAH</t>
  </si>
  <si>
    <t>JALAN KUBANG KATAK, KAMPUNG KEPAS 18500 MACHANG KELANTAN   Kelantan  18500</t>
  </si>
  <si>
    <t>NVMY34535000001264</t>
  </si>
  <si>
    <t>AYIE</t>
  </si>
  <si>
    <t>GERAI BUAH LOT 311 JLN SURAU HAJI MAT ZIN MARANG 21400 TERENGGANU   Terengganu  21400</t>
  </si>
  <si>
    <t>NVMY34535000001270</t>
  </si>
  <si>
    <t>ARYANTO AHMAD (HONEY_BBU)</t>
  </si>
  <si>
    <t>NO 151 TAMAN PERMATANG SHAH BANDAR, LORONG 8 BANDAR PUSAT JENGKA 26400 PAHANG DARUL MAKMUR   Pahang  26400</t>
  </si>
  <si>
    <t>NVMY34535000001289</t>
  </si>
  <si>
    <t>AHMAD IKHWAN</t>
  </si>
  <si>
    <t>LOT 8969-B JALAN KEMAMAN KAMPUNG DARAT SUNGAI ULAR 26080 KUANTAN PAHANG   Pahang  26080</t>
  </si>
  <si>
    <t>NVMY34535000001230</t>
  </si>
  <si>
    <t>ELMI BINTI MOHAMMAD</t>
  </si>
  <si>
    <t>LOT 854, (RUMAH KE2) BATU 3, JALAN KAPAR, 42100 KLANG, SELANGOR   Selangor  42100</t>
  </si>
  <si>
    <t>NVMY34535000001219</t>
  </si>
  <si>
    <t>ROSNI BINTI MOHAMED</t>
  </si>
  <si>
    <t>32, TAMAN CEMPAKA FASA 4, SENAWANG 70450 SEREMBAN, NEGERI SEMBILAN   Negeri Sembilan  70450</t>
  </si>
  <si>
    <t>NVMY34535000001232</t>
  </si>
  <si>
    <t>ALIAH NRHANI</t>
  </si>
  <si>
    <t>BATU 19 KAMPUNG PONDOK KEMPAS, SELANDAR 77500 JASIN MELAKA   Melaka  77500</t>
  </si>
  <si>
    <t>NVMY34535000001262</t>
  </si>
  <si>
    <t>MOHD AZRUL AMREE BIN CHE BORHAN</t>
  </si>
  <si>
    <t>NO 10122 KAMPUNG TANJUNG BATU RAKIT 21020 KUALA TERENGGANU   Terengganu  21020</t>
  </si>
  <si>
    <t>NVMY34535000001247</t>
  </si>
  <si>
    <t>DIDI</t>
  </si>
  <si>
    <t>DUBUYO SDN BHD(830339-U)LOT NO,LG-44,LOWER GROUND FLOOR,IOI CITY MALL,LEBUH IRC IOI RESORT CITY,62502 PUTRAJAYA,SELANGOR   Selangor  62502</t>
  </si>
  <si>
    <t>NVMY34535000001221</t>
  </si>
  <si>
    <t>ASMAH BT HASHIM</t>
  </si>
  <si>
    <t>NO 41 TAMAN SEROJA,28700 BENTONG, PAHANG DARUL MAKMUR   Pahang  28700</t>
  </si>
  <si>
    <t>NVMY34535000001199</t>
  </si>
  <si>
    <t>SYAZATUL SYAZWANI BINTI MOHD ZAHIR</t>
  </si>
  <si>
    <t>87 KAMPUNG PASIR HITAM MUKIM AYER HANGAT 07000 LANGKAWI KEDAH   Kedah  07000</t>
  </si>
  <si>
    <t>NVMY34535000001244</t>
  </si>
  <si>
    <t>UMI KALSOM BINTI RAHIM</t>
  </si>
  <si>
    <t>LOT 663 JLN HAJI NASIR, KG BUKIT BADONG 45600 BATANG BERJUNTAI SELANGOR   Selangor  45600</t>
  </si>
  <si>
    <t>NVMY34535000001243</t>
  </si>
  <si>
    <t>ADLAN</t>
  </si>
  <si>
    <t xml:space="preserve"> LOT 390 KG BENDANG PAUH 17060 PASIR MAS KELANTAN    Kelantan  17060</t>
  </si>
  <si>
    <t>NVMY34535000001208</t>
  </si>
  <si>
    <t>HALIJAH AHMAD ROPAI</t>
  </si>
  <si>
    <t>NO 23 SUNGAI PANCING SELATAN 26010 KUANTAN PAHANG   Pahang  26010</t>
  </si>
  <si>
    <t>NVMY34535000001201</t>
  </si>
  <si>
    <t>NOH KHAL</t>
  </si>
  <si>
    <t>LAKE FIELDS, NO. 13-2, JALAN TASIK UTAMA 3 , MEDAN NIAGA TASIK DAMAI THE TRILLIUM, SUNGAI BESI 57000 KUALA LUMPUR   Kuala Lumpur  57000</t>
  </si>
  <si>
    <t>12-BTR-88</t>
  </si>
  <si>
    <t>NVMY34535000001210</t>
  </si>
  <si>
    <t>NORIZAN BT ABDUL RAZAK</t>
  </si>
  <si>
    <t>BLOK C-3-4 APARTMENT LAGUNA BIRU 1, JALN TASEK BIRU 17, TAMAN TASIK BIRU, 48050 KUNDANG RAWANG, SELANGOR   Selangor  48050</t>
  </si>
  <si>
    <t>NVMY34535000001213</t>
  </si>
  <si>
    <t>NURUL AZIDA MOHAMAD</t>
  </si>
  <si>
    <t>C-3-9 PANGSAPURI LAGUNA BIRU 1, JLN TASIK BIRU 17 KUNDANG 48050 RAWANG SELANGOR   Selangor  48050</t>
  </si>
  <si>
    <t>10-SBZ-69</t>
  </si>
  <si>
    <t>NVMY34535000001237</t>
  </si>
  <si>
    <t>WAN NADIAH BT WAN MAMAT</t>
  </si>
  <si>
    <t>LOT 60269 KAMPUNG SRI KEMUNTING 22300 KUALA BESUT, TERENGGANU   Terengganu  22300</t>
  </si>
  <si>
    <t>NVMY34535000001225</t>
  </si>
  <si>
    <t>NORHALIEZA OTHMAN</t>
  </si>
  <si>
    <t>NO 26 JLN RAYA 8/5A, TAMAN JAYA 8, 28000 TEMERLOH PAHANG   Pahang  28000</t>
  </si>
  <si>
    <t>NVMY34535000001300</t>
  </si>
  <si>
    <t>BLOK C-3-4 APARTMENT LAGUNA BIRU 1, JALAN TASEK BIRU 17, TAMAN TASIK BIRU 48050 KUNDANG RAWANG, SELANGOR   Selangor  48050</t>
  </si>
  <si>
    <t>NVMY34535000001302</t>
  </si>
  <si>
    <t>MUHAMMAD SYAFIQ BIN ABDULLAH</t>
  </si>
  <si>
    <t>MY ANGKASA AMANAH BERHAD, SUITE C401, BLOK C, GLOMAC BUSINESS CENTRE JALAN SS6/1, KELANA JAYA 47301 PETALING JAYA, SELANGOR   Selangor  47301</t>
  </si>
  <si>
    <t>NVMY34535000001191</t>
  </si>
  <si>
    <t>SYAFIQ ABDULLAH</t>
  </si>
  <si>
    <t>MYANGKASA AMANAH BERHAD SUITE C401 BLOK C GLOMAC BUSINESS CENTRE JALAN SS 6/1 KELANA JAYA 47301 PETALING JAYA SELANGOR   Selangor  47301</t>
  </si>
  <si>
    <t>NVMY34535000001168</t>
  </si>
  <si>
    <t>AZRIQ AZHAR</t>
  </si>
  <si>
    <t>3 JLN TAMPIN KUALA PILAH 72000 NEGERI SEMBILAN   Negeri Sembilan  72000</t>
  </si>
  <si>
    <t>NVMY34535000001226</t>
  </si>
  <si>
    <t>NUR FARIHAH MD ISA</t>
  </si>
  <si>
    <t>291 JALAN BUKIT PUTERI 1/2 BANDAR PUTERI JAYA 08000 SUNGAI PETANI, KEDAH   Kedah  08000</t>
  </si>
  <si>
    <t>NVMY34535000001196</t>
  </si>
  <si>
    <t>NOR PADATUL ATIRAH BINTI ABDULLAH</t>
  </si>
  <si>
    <t>NO39 LORONG HALAMAN INDAH 25, TAMAN HALAMAN INDAH SUNGAI JAWI 14200 SEBERANG PERAI SELATAN PULAU PINANG    Pulau Pinang  14200</t>
  </si>
  <si>
    <t>NVMY34535000001223</t>
  </si>
  <si>
    <t>NURAINI YUSUF</t>
  </si>
  <si>
    <t>NO 69 JALAN LUMPIT 4, TAMAN TERATAI 81110 SKUDAI JOHOR BAHRU   Johor  81110</t>
  </si>
  <si>
    <t>NVMY34535000001263</t>
  </si>
  <si>
    <t>NORHAFIZAN BIN MOHD ROSLI</t>
  </si>
  <si>
    <t>LOT 451 JALAN ABDUL AZIZ BATU 8 IJOK BESTARI JAYA   Selangor  45600</t>
  </si>
  <si>
    <t>NVMY34535000001212</t>
  </si>
  <si>
    <t>WAN MAZNAH</t>
  </si>
  <si>
    <t>CD ELECTRICAL ENGINEERING SDN BHD NO 6-1 JALAN TENGKU AMPUAN ZABEDAH A, SEC 9/A 40100 SHAH ALAM SELANGOR   Selangor  40100</t>
  </si>
  <si>
    <t>NVMY34535000001299</t>
  </si>
  <si>
    <t>AIDA HARYANI</t>
  </si>
  <si>
    <t>NO 16 KG CONTOH, PAYA PULAI TENGAH 28000 TEMERLOH PAHANG   Pahang  28000</t>
  </si>
  <si>
    <t>NVMY34535000001236</t>
  </si>
  <si>
    <t>RASYIDAH BT RAMLI</t>
  </si>
  <si>
    <t>NO15, JALAN SEMERBAK 21 TAMAN BUKIT DAHLIA 81700 PASIR GUDANG, JOHOR   Johor  81700</t>
  </si>
  <si>
    <t>NVMY34535000001167</t>
  </si>
  <si>
    <t>ABDUL WAFI</t>
  </si>
  <si>
    <t>JALAN DATAI KG LUBANG BADAK MK AYER HANGAT KUAH 07000 LANGKAWI KEDAH   Kedah  07000</t>
  </si>
  <si>
    <t>NVMY34535000001220</t>
  </si>
  <si>
    <t>AZILAH BT JOKARIAH</t>
  </si>
  <si>
    <t>NO 6 JALAN MUTIARA EMAS 10/7 AUSTIN RESIDENCE 81100 JOHOR BAHRU, JOHOR   Johor  81100</t>
  </si>
  <si>
    <t>NVMY34535000001271</t>
  </si>
  <si>
    <t>ZEYMIN</t>
  </si>
  <si>
    <t>LOT 124B JALAN 15/141 KG MALAYSIA TAMBAHAN 57100 SUNGAI BESI KUALA LUMPUR   Kuala Lumpur  57100</t>
  </si>
  <si>
    <t>NVMY34535000001280</t>
  </si>
  <si>
    <t>NORYASRI BIN ISHAK</t>
  </si>
  <si>
    <t>D0206 PANGSAPURI LILI JALAN PERSIARAN PRIMA UTAMA TAMAN PUCHONG PRIMA 47150 PUCHONG SELANGOR   Selangor  47150</t>
  </si>
  <si>
    <t>NVMY34535000001235</t>
  </si>
  <si>
    <t>MUHAMMAD FAHMI IZZUDIN</t>
  </si>
  <si>
    <t>NO 4, JALAN SEKAMAT SATU 27/18A TAMAN BUNGA NEGARA, 40400 SHAH ALAM, SELANGOR   Selangor  40400</t>
  </si>
  <si>
    <t>NVMY34535000001228</t>
  </si>
  <si>
    <t>NUR AFIQAH IZATI BINTI AMRAN</t>
  </si>
  <si>
    <t>A-25-08, RESIDENSI LOT 7, SEASONS GARDEN RESIDENCES, JALAN 1/27E, SEKSYEN 10, WANGSA MAJU 53300 KUALA LUMPUR   Kuala Lumpur  53300</t>
  </si>
  <si>
    <t>NVMY34535000001281</t>
  </si>
  <si>
    <t>MOHD AZINUDDIN</t>
  </si>
  <si>
    <t>LOT 2291, LRG RAJA ABDULLAH, KG KOTA 15100 KOTA BHARU KELANTAN   Kelantan  15100</t>
  </si>
  <si>
    <t>NVMY34535000001286</t>
  </si>
  <si>
    <t>MUHAMMAD SAIFUL</t>
  </si>
  <si>
    <t>NO 28 JALAN INDAH 22 TAMAN CHERAS INDAH 56100 KUALA LUMPUR WILAYAH PERSEKUTUAN   Kuala Lumpur  56100</t>
  </si>
  <si>
    <t>NVMY34535000001275</t>
  </si>
  <si>
    <t>KHAIRUL ANUAR BIN AHMAD</t>
  </si>
  <si>
    <t>LOT B1-2, JLN MAWAR 17, TMN MESTIKA 56100 CHERAS SELANGOR   Selangor  56100</t>
  </si>
  <si>
    <t>NVMY34535000001277</t>
  </si>
  <si>
    <t>HISHAM YAHYA</t>
  </si>
  <si>
    <t>LOT 1461 (A8) JALAN KEMAT, BATU 39 OLAK LEMPIT 42700 BANTING SELANGOR   Selangor  42700</t>
  </si>
  <si>
    <t>NVMY34535000001298</t>
  </si>
  <si>
    <t>SYAFIQAH SABRI</t>
  </si>
  <si>
    <t>NO 147 BLOK 7 FELDA JENGKA 24 26400 BANDAR JENGKA PAHANG   Pahang  26400</t>
  </si>
  <si>
    <t>NVMY34535000001291</t>
  </si>
  <si>
    <t>HAKQIM</t>
  </si>
  <si>
    <t>C-7-2 VILLA WANGSAMAS JALAN SERI WANGSA 2 53300 WANGSA MAJU KUALA LUMPUR   Kuala Lumpur  53300</t>
  </si>
  <si>
    <t>NVMY34535000001231</t>
  </si>
  <si>
    <t>SHANTHA SIVAKUMAR</t>
  </si>
  <si>
    <t>18-5-13 PANGSAPURI SRI NERVERLLIA 31/166 KOTA KEMUNING SHAH ALAM SELANGOR   Selangor  40460</t>
  </si>
  <si>
    <t>NVMY34535000001245</t>
  </si>
  <si>
    <t>NVMY34535000001290</t>
  </si>
  <si>
    <t>FADHLY BIN AMIN YUSOF</t>
  </si>
  <si>
    <t>NO 21 JALAN TANJAK 2A, TAMAN TANJAK 44000 KUALA KUBU BHARU SELANGOR   Selangor  my 44000</t>
  </si>
  <si>
    <t>NVMY34535000001227</t>
  </si>
  <si>
    <t>EMYLIA</t>
  </si>
  <si>
    <t>21, JALAN DAHLIA 27, TAMAN DAHLIA 81200 JOHOR BAHRU, JOHOR   Johor  81200</t>
  </si>
  <si>
    <t>NVMY34535000001288</t>
  </si>
  <si>
    <t>MUHAMAD SHUKRI BIN MUHAMAD JULAINI</t>
  </si>
  <si>
    <t>LOT 2251 JALAN HAJI MOKHTAR KAMPUNG JENJAROM 42600 SELANGOR   Selangor  42600</t>
  </si>
  <si>
    <t>NVMY34535000001285</t>
  </si>
  <si>
    <t>MUHAMMAD SAZWAN</t>
  </si>
  <si>
    <t>LOT 1791 LORONG HAJI MOHD AMIN KG BATU 4 1/2 JALAN KAPAR KLANG 42100 SELANGOR   Selangor  42100</t>
  </si>
  <si>
    <t>NVMY34535000001216</t>
  </si>
  <si>
    <t>NURHAYA BT OMAR</t>
  </si>
  <si>
    <t>NO 59, PERSIARAN VENICE INTAN 13, DESA MANJUNG RAYA 32040 SERI MANJUNG, PERAK   Perak  32040</t>
  </si>
  <si>
    <t>NVMY34535000001240</t>
  </si>
  <si>
    <t>ANIZZAH</t>
  </si>
  <si>
    <t>LOT 45 JALAN PERMAI 5, SELAYANG BARU 68100 BATU CAVES, SELANGOR DARUL EHSAN   Selangor  68100</t>
  </si>
  <si>
    <t>NVMY34535000001242</t>
  </si>
  <si>
    <t>ALIS</t>
  </si>
  <si>
    <t>NO 14 JALAN FAJAR 1 TAMAN FAJAR MUAR JOHOR 84000   Johor  84000</t>
  </si>
  <si>
    <t>NVMY34535000001269</t>
  </si>
  <si>
    <t>KHAIRUL HELMI BIN ROSLI</t>
  </si>
  <si>
    <t>C1-1704 STARVIEW BAY, PULAU SATU, FOREST CITY 81550 GELANG PATAH JOHOR   Johor  81550</t>
  </si>
  <si>
    <t>NVMY34535000001239</t>
  </si>
  <si>
    <t>NUR AIDA NADIYA BINTI AZMI</t>
  </si>
  <si>
    <t>NO 46, JALAN BADIK 13, TAMAN PUTERI WANGSA, 81800 ULU TIRAM, SELANGOR   Johor  81800</t>
  </si>
  <si>
    <t>NVMY34535000001294</t>
  </si>
  <si>
    <t>AMZAR HAFIS SAMSUDIN</t>
  </si>
  <si>
    <t>NO 22 JALAN SRI MAWAR FASA 2 JALAN 12 SENAWANG 70450 SEREMBAN NEGERI SEMBILAN   Negeri Sembilan  70450</t>
  </si>
  <si>
    <t>NVMY34535000001248</t>
  </si>
  <si>
    <t>FARID AMINUDIN</t>
  </si>
  <si>
    <t>NO 67, PARIT HAJI AMIN 34350 KUALA KURAU PERAK   Perak  34350</t>
  </si>
  <si>
    <t>NVMY34535000001266</t>
  </si>
  <si>
    <t>MOHAMAD SOFWAN</t>
  </si>
  <si>
    <t>NO 22M KAMPUNG ALOR GELINGGANG KOTA SARANG SEMUT 06800 ALOR SETAR KEDAH   Kedah  06800</t>
  </si>
  <si>
    <t>NVMY34535000001283</t>
  </si>
  <si>
    <t>EDDY EZWAN BIN MOHAMAD</t>
  </si>
  <si>
    <t>NO 12, JALAN HARMONI 7, TAMAN NUSA DAMAI 81700 PASIR GUDANG JOHOR BAHRU JOHOR   Johor  81700</t>
  </si>
  <si>
    <t>NVMY34535000001296</t>
  </si>
  <si>
    <t>AYU</t>
  </si>
  <si>
    <t>NO 26 JALAN PJU 10/14H SAUJANA DAMANSARA PJU10 47830 PETALING JAYA   Selangor  47830</t>
  </si>
  <si>
    <t>NVMY34535000001255</t>
  </si>
  <si>
    <t>NOUFAH BT ABDULLAH HAJI BILANG</t>
  </si>
  <si>
    <t>Perlis</t>
  </si>
  <si>
    <t>682 BATU 4 1/4 JLN KAKI BUKIT KANGAR 01000 PERLIS   Perlis  01000</t>
  </si>
  <si>
    <t>NVMY34535000001318</t>
  </si>
  <si>
    <t>MOHD HAFIZ BIN RAMLI</t>
  </si>
  <si>
    <t>RKAT BLOK G1-3-03, JALAN TEBUAN 7, PENGKALAN UDARA KUANTAN 25990 KUANTAN PAHANG   Pahang  25990</t>
  </si>
  <si>
    <t>NVMY34535000001326</t>
  </si>
  <si>
    <t>AMIRUL TALIB</t>
  </si>
  <si>
    <t>A-2576 SRI KUANTAN LORONG 16 (BILIK NO 5) 25250 KUANTAN PAHANG   Pahang  25250</t>
  </si>
  <si>
    <t>NVMY34535000001295</t>
  </si>
  <si>
    <t>RUHAIMI RUSLAN</t>
  </si>
  <si>
    <t>NO 8, ARKED MPK JALAN PENGHULU KASSIM 86000 KLUANG JOHOR DARUL TAKZIM   Johor  86000</t>
  </si>
  <si>
    <t>NVMY34535000001360</t>
  </si>
  <si>
    <t>RIZAL</t>
  </si>
  <si>
    <t>BT 16 KG ALUR TUMAN 21600 MARANG TERENGGANU   Terengganu  21600</t>
  </si>
  <si>
    <t>NVMY34535000001254</t>
  </si>
  <si>
    <t>MOHD FARHAN BIN ALIAS</t>
  </si>
  <si>
    <t>11A PARIT 804 MATANG GERDU 34300 BAGAN SERAI PERAK   Perak  34300</t>
  </si>
  <si>
    <t>NVMY34535000001265</t>
  </si>
  <si>
    <t>FAIZ SAM</t>
  </si>
  <si>
    <t>NO 31 TL 34 KG PARIT WARIJO MK18 SERI MEDAN 83400 BATU PAHAT JOHOR   Johor  83400</t>
  </si>
  <si>
    <t>NVMY34535000001276</t>
  </si>
  <si>
    <t>MOHD FIRDAUS BIN ZULKIFLI</t>
  </si>
  <si>
    <t>NO 7, PARIT HAJI AMAN 34300 BAGAN SERAI PERAK   Perak  34300</t>
  </si>
  <si>
    <t>NVMY34535000001284</t>
  </si>
  <si>
    <t>MOHD HARZANI BIN MANSOR</t>
  </si>
  <si>
    <t>BALAI POLIS PASIR PINJI, JALAN SEKOLAH 31650 IPOH PERAK   Perak  31650</t>
  </si>
  <si>
    <t>NVMY34535000001343</t>
  </si>
  <si>
    <t>MASITAH ZULKIFLI</t>
  </si>
  <si>
    <t>8A KAMPUNG BUKIT MALI BUKIT PAYUNG 22010 JERTEH TERENGGANU   Terengganu  22010</t>
  </si>
  <si>
    <t>NVMY34535000001257</t>
  </si>
  <si>
    <t>MOHD AKHMAR BIN RADZI</t>
  </si>
  <si>
    <t>F234 SUNGAI KOTA BAGAN TIANG 34250 TANJUNG PIANDANG PERAK   Perak  34250</t>
  </si>
  <si>
    <t>NVMY34535000001301</t>
  </si>
  <si>
    <t>WAFA MALIK</t>
  </si>
  <si>
    <t>NO 7 JALAN BAYU, TAMAN SERI BAYU 86200 SIMPANG RENGGAM, JOHOR   Johor  86200</t>
  </si>
  <si>
    <t>NVMY34535000001329</t>
  </si>
  <si>
    <t>HAFIZAH ABDUL SALAM</t>
  </si>
  <si>
    <t>LOT 1322 KG MAT KILAU 1 27000 JERANTUT PAHANG   Pahang  27000</t>
  </si>
  <si>
    <t>NVMY34535000001234</t>
  </si>
  <si>
    <t>NUR ATHIRAH</t>
  </si>
  <si>
    <t>LORONG KEPALA DUSUN 2 KAMPUNG PINANG MUKIM PEDU 06300 KUALA NERANG KEDAH DARUL AMAN   Kedah  06300</t>
  </si>
  <si>
    <t>NVMY34535000001310</t>
  </si>
  <si>
    <t>MAT ROPI BIN DERAMAN</t>
  </si>
  <si>
    <t>B86 KAMPUNG RAWA BECHAH LAUT 17500 TANAH MERAH KELANTAN   Kelantan  17500</t>
  </si>
  <si>
    <t>NVMY34535000001297</t>
  </si>
  <si>
    <t>ALMA BAZLAA SYIFAZANA</t>
  </si>
  <si>
    <t>YEOH MAZLINA &amp; PARTNERS A-22-13 LEVEL 22 MENARA UOA BANGSAR, NO 5 JALAN BANGSAR UTAMA 1 59000 KUALA LUMPUR   Kuala Lumpur  59000</t>
  </si>
  <si>
    <t>NVMY34535000001256</t>
  </si>
  <si>
    <t>MUHAMMAD FARIS ADHAM</t>
  </si>
  <si>
    <t>NO 42 LORONG 2 TAMAN INDAH RIA, 32400 AYER TAWAR PERAK   Perak  32400</t>
  </si>
  <si>
    <t>NVMY34535000001260</t>
  </si>
  <si>
    <t>AHMAD HAFIZI BIN ZULAIMI</t>
  </si>
  <si>
    <t>PERMATA NIAGA VENTURES, LOT 1 TINGKAT BAWAH PANGSAPURI PPAM PALMA 62300 PUTRAJAYA WILAYAH PERSEKUTUAN   Kuala Lumpur  62300</t>
  </si>
  <si>
    <t>NVMY34535000001293</t>
  </si>
  <si>
    <t>ZULKARNAIN BIN ABDUL MANAP (MIMIEKIKO)</t>
  </si>
  <si>
    <t>ST1-25-03 MENARA SOLSTICE 1 PERSIARAN BESTARI CYVER 11 63000 CYBERJAYA SELANGOR   Selangor  63000</t>
  </si>
  <si>
    <t>NVMY34535000001261</t>
  </si>
  <si>
    <t>MUHAMMAD UMEIR AIMAN BIN MOHD ROLI</t>
  </si>
  <si>
    <t>NO 10 KAMPUNG KLEDANG, KOTA LAMA KANAN 33040 KUALA KANGSAR PERAK   Perak  33040</t>
  </si>
  <si>
    <t>NVMY34535000001274</t>
  </si>
  <si>
    <t>AIMAN</t>
  </si>
  <si>
    <t>NO 6671 MK 16 KAMPUNG TASEK JUNJUNG 14120 SIMPANG AMPAT PULAU PINANG   Pulau Pinang  14120</t>
  </si>
  <si>
    <t>NVMY34535000001253</t>
  </si>
  <si>
    <t>NAIM</t>
  </si>
  <si>
    <t>N057 KAMPUNG PANTAI BESAR 34520 BATU KURAU PERAK   Perak  34520</t>
  </si>
  <si>
    <t>NVMY34535000001312</t>
  </si>
  <si>
    <t>AFIFI KALIK</t>
  </si>
  <si>
    <t>LOT 2552-6 LORONG IMAN HJ KALIK, KG SRI BUYONG BUKIT BUNGA LEBUHRAYA TIMUR-BARAT 17500 TANAH MERAH KELANTAN   Kelantan  17500</t>
  </si>
  <si>
    <t>NVMY34535000001325</t>
  </si>
  <si>
    <t>MUHAMMAD SHAIFUDDIN BIN ZULKIFLI</t>
  </si>
  <si>
    <t>PP 65 KAMPUNG PADANG MANGGIS 26600 PEKAN PAHANG   Pahang  26600</t>
  </si>
  <si>
    <t>NVMY34535000001354</t>
  </si>
  <si>
    <t>MOHD AZRIEYMAN BIN MOHAMAD ASRI</t>
  </si>
  <si>
    <t>LOT 1428 BATU 16 JALAN PAGAR SASAK 27100 PADANG TENGKU KUALA LIPIS, PAHANG   Pahang  27100</t>
  </si>
  <si>
    <t>NVMY34535000001246</t>
  </si>
  <si>
    <t>MOHD HAFIZ ASHRAF BIN ABDUL RAHMAN</t>
  </si>
  <si>
    <t>NO 5271 JALAN SJ 7/1A TAMAN SEREMBAN JAYA 70450 NEGERI SEMBILAN   Negeri Sembilan  70450</t>
  </si>
  <si>
    <t>NVMY34535000001321</t>
  </si>
  <si>
    <t>MOHD FIKRI BIN MOHAMAD YUSOFF</t>
  </si>
  <si>
    <t>NO 11, JLN 29/15A TAMAN MAWAR 1 OFF JLN LOMBONG PERAK 3 SEKSYEN 29 40460 SHAH ALAM SELANGOR   Selangor  40460</t>
  </si>
  <si>
    <t>NVMY34535000001335</t>
  </si>
  <si>
    <t>ROHAYA BT ABU</t>
  </si>
  <si>
    <t>PT 671, KAMPUNG SEMERTING, SIMPANG PELANGAI 28740  BENTONG PAHANG   Pahang  28740</t>
  </si>
  <si>
    <t>6-TRI-36</t>
  </si>
  <si>
    <t>NVMY34535000001353</t>
  </si>
  <si>
    <t>MOHD SHARUL HAIRI BIN RAJALI</t>
  </si>
  <si>
    <t>NO 62 JALAN KEDAH FELDA SUNGAI RETANG 27000 JERANTUT PAHANG   Pahang  27000</t>
  </si>
  <si>
    <t>NVMY34535000001268</t>
  </si>
  <si>
    <t>AZIZUL</t>
  </si>
  <si>
    <t>31 JALAN PERMATANG 5, KEMPAS PERMATANG 81200 JOHOR BAHRU, JOHOR   Johor  81200</t>
  </si>
  <si>
    <t>NVMY34535000001249</t>
  </si>
  <si>
    <t>FAIZREEEN</t>
  </si>
  <si>
    <t>NO 42 LORONG ANJUNG 5 TAMAN ANJUNG SEMARAK POKOK ASSAM 34000 TAIPING PERAK   Perak  34000</t>
  </si>
  <si>
    <t>NVMY34535000001362</t>
  </si>
  <si>
    <t>MOHD AZRUN AZHIM BIN WAHAB</t>
  </si>
  <si>
    <t>NO 61 FELDA KERTEH 06 KETENGAH JAYA 23100 DUNGUN, TERENGGANU   Terengganu  23100</t>
  </si>
  <si>
    <t>NVMY34535000001356</t>
  </si>
  <si>
    <t>MUHAMMAD ALIFF HAMKA BIN ABDULLAH</t>
  </si>
  <si>
    <t>KAMPUNG JONGOK BATU, 23000@23200 DUNGUN TERENGGANU, DUNGUN 23200 TERENGGANU   Terengganu  23200</t>
  </si>
  <si>
    <t>NVMY34535000001250</t>
  </si>
  <si>
    <t>MOHD IFTITAH BIN ABDUL AZIZ</t>
  </si>
  <si>
    <t>PEJABAT STAF DIVISYEN DAN TAKTIK, ATD-KOLEJ PEGAWAI, KEM SEGENTING 71050 PORT DICKSON NEGERI SEMBILAN   Negeri Sembilan  71050</t>
  </si>
  <si>
    <t>NVMY34535000001292</t>
  </si>
  <si>
    <t>NURUL HAFIDA BINTI HARIS</t>
  </si>
  <si>
    <t>LOT 2442, PLOT 17 JALAN SEPAKAT, KG PARIT MAHANG JERAM 45800 KUALA SELANGOR, SELANGOR   Selangor  45800</t>
  </si>
  <si>
    <t>NVMY34535000001259</t>
  </si>
  <si>
    <t>AIN SYAZREN</t>
  </si>
  <si>
    <t>LOT 487 RTB KAMPUNG LIMAU MANIS SUNGAI MERAB 43000 KAJANG SELANGOR   Selangor  43000</t>
  </si>
  <si>
    <t>NVMY34535000001272</t>
  </si>
  <si>
    <t>NAJMI</t>
  </si>
  <si>
    <t>NO 11, JALAN BP11/2 TAMAN BUKIT PERMATA 68100 BATU CAVES SELANGOR   Selangor  68100</t>
  </si>
  <si>
    <t>NVMY34535000001287</t>
  </si>
  <si>
    <t>ARIFF ADLI</t>
  </si>
  <si>
    <t>C-36-08 KLTS JALAN GOMBAK 53000 SETAPAK KUALA LUMPUR   Kuala Lumpur  53000</t>
  </si>
  <si>
    <t>NVMY34535000001258</t>
  </si>
  <si>
    <t>NURUL HAZWANI BINTI ABDULLAH</t>
  </si>
  <si>
    <t>360 FELDA BUKIT TANGGA 06050 BANDAR BUKIT KAYU HITAM KEDAH   Kedah  06050</t>
  </si>
  <si>
    <t>NVMY34535000001252</t>
  </si>
  <si>
    <t>NORAFICA BINTI ZINALABIDIN</t>
  </si>
  <si>
    <t>NO 26B LORONG HAJI MARHABAN KAMPUNG PARIT JELUTONG 86400 PARIT RAJA BATU PAHAT JOHOR   Johor  86400</t>
  </si>
  <si>
    <t>NVMY34535000001241</t>
  </si>
  <si>
    <t>IZNI HAIRINA BT MOHAMAD</t>
  </si>
  <si>
    <t>NO 25, T/L 60 KAMPUNG PARIT RASIPAN 86400 PARIT RAJA BATU PAHAT JOHOR   Johor  86400</t>
  </si>
  <si>
    <t>NVMY34535000001282</t>
  </si>
  <si>
    <t>MUHD SHAHAR AHMAD</t>
  </si>
  <si>
    <t>NO 1129A, LORONG ASTANA 29/3 BANDAR SERI ASTANA 08000 SUNGAI PETANI KEDAH   Kedah  08000</t>
  </si>
  <si>
    <t>NVMY34535000001251</t>
  </si>
  <si>
    <t>FATIHAH</t>
  </si>
  <si>
    <t>B5 JOHOR STREET MARKET JALAN NENAS PUSAT BANDAR TAMPOI 81200 JOHOR BAHRU JOHOR   Johor  81200</t>
  </si>
  <si>
    <t>NVMY34535000001316</t>
  </si>
  <si>
    <t>MUHAMMAD HAFIZ BIN ROSDI</t>
  </si>
  <si>
    <t>NO 7 JALAN KAJANG MEWAH 16, TAMAN KAJANG MEWAH 43000 KAJANG SELANGOR   Selangor  43000</t>
  </si>
  <si>
    <t>NVMY34535000001385</t>
  </si>
  <si>
    <t>SITI NOR DIANA BT MAT LAZIM</t>
  </si>
  <si>
    <t>LOT 1347 LORONG SITI ZUBAIDAH KG LAY OUT TOK SABOH 22300 BESUT TERENGGANU   Terengganu  22300</t>
  </si>
  <si>
    <t>NVMY34535000001399</t>
  </si>
  <si>
    <t>NOR ELISYA MAISARAH</t>
  </si>
  <si>
    <t>LOT486 KAMPUNG GAUNG TIMUR LATI 17000 PASIR MAS KELANTAN   Kelantan  17000</t>
  </si>
  <si>
    <t>NVMY34535000001340</t>
  </si>
  <si>
    <t>SITI NORAIN</t>
  </si>
  <si>
    <t>NO 2 JALAN ASLI 19 TAMAN PASIR PUTIH 81700 PASIR GUDANG JOHOR   Johor  81700</t>
  </si>
  <si>
    <t>MM-Prio</t>
  </si>
  <si>
    <t>NVMY34535000001309</t>
  </si>
  <si>
    <t>KHAIRULZAMAN</t>
  </si>
  <si>
    <t>NO 18 JALAN MURAI 8, TAMAN SCIENTEX, 81700 PASIR GUDANG JOHOR   Johor  81700</t>
  </si>
  <si>
    <t>NVMY34535000001313</t>
  </si>
  <si>
    <t>MOHD HAIREEN AZREEN</t>
  </si>
  <si>
    <t>NO 9 JALAN PERUBATAN 46 TAMAN UNIVERSITI 81300 SKUDAI JOHOR   Johor  81300</t>
  </si>
  <si>
    <t>NVMY34535000001347</t>
  </si>
  <si>
    <t>SERI DALINA BINTI AZMAN</t>
  </si>
  <si>
    <t>136, JALAN GADONG JAYA 2/8 TAMAN GADONG JAYA 71900 SEREMBAN NEGERI SEMBILAN   Negeri Sembilan  71900</t>
  </si>
  <si>
    <t>NVMY34535000001338</t>
  </si>
  <si>
    <t>AIFFA ROZITA ABDULLAH</t>
  </si>
  <si>
    <t>NO 22, LORONG PERMAI 28, TAMAN TEKAH PERMAI 34000 TAIPING PERAK   Perak  34000</t>
  </si>
  <si>
    <t>NVMY34535000001351</t>
  </si>
  <si>
    <t>AMIR</t>
  </si>
  <si>
    <t>NO 80 KESEDAR RENOK BARU, 18300 GUA MUSANG, KELANTAN   Kelantan  18300</t>
  </si>
  <si>
    <t>NVMY34535000001350</t>
  </si>
  <si>
    <t>NAJMA</t>
  </si>
  <si>
    <t>LOT 3900 KG ALOR PULAI JELAWAT 16070 BACHOK KELANTAN   Kelantan  16070</t>
  </si>
  <si>
    <t>NVMY34535000001369</t>
  </si>
  <si>
    <t>NORIZAN BINTI MAHMOD</t>
  </si>
  <si>
    <t>KAMPUNG BERANGAN SELISING 16810 PASIR PUTEH, KELANTAN   Kelantan  16810</t>
  </si>
  <si>
    <t>NVMY34535000001395</t>
  </si>
  <si>
    <t>NURFATIHAH ZULKHAIRI</t>
  </si>
  <si>
    <t>NO 17 LORONG PANDAN PERDAN 1/4 BATU 8 JALAN GAMBANG 25150 KUANTAN PAHANG   Pahang  25150</t>
  </si>
  <si>
    <t>NVMY34535000001330</t>
  </si>
  <si>
    <t>HABIBAH BINTI TALIB</t>
  </si>
  <si>
    <t>25 KAMPUNG JALAN PERSISIRAN PANTAI 02000 KUALA PERLIS, PERLIS   Perlis  02000</t>
  </si>
  <si>
    <t>NVMY34535000001339</t>
  </si>
  <si>
    <t>FARADILLA</t>
  </si>
  <si>
    <t>NO 3, JALAN PUNCAK BESTARI 2/4, AZALEA, PUNCAK BESTARI 2 42300 BANDAR PUNCAK ALAM, SELANGOR   Selangor  42300</t>
  </si>
  <si>
    <t>NVMY34535000001394</t>
  </si>
  <si>
    <t>NOOR AFFIQAKH NAJWA BINTI MOHD PAUZI</t>
  </si>
  <si>
    <t>NO 55 KAMPUNG KEDAP 17200 RANTAU PANJANG KELANTAN   Kelantan  17200</t>
  </si>
  <si>
    <t>NVMY34535000001346</t>
  </si>
  <si>
    <t>SHAZLYANA AMIERA</t>
  </si>
  <si>
    <t>5A-T08-U02 FASA 5&amp;6, JALAN P9B, PRESINT 9 62250 PUTRAJAYA   Putrajaya  62250</t>
  </si>
  <si>
    <t>NVMY34535000001320</t>
  </si>
  <si>
    <t>DATO' NORHISHAM BIN NASROM</t>
  </si>
  <si>
    <t>114, PARIT HAJI AMAN 34300 BAGAN SERAI PERAK   Perak  34300</t>
  </si>
  <si>
    <t>NVMY34535000001333</t>
  </si>
  <si>
    <t>NURUL AKMAL BTE ABU KASIM</t>
  </si>
  <si>
    <t>NO 16B BLOK E FLAT SRI PERLIS 2 DATO KERAMAT 54000 KUALA LUMPUR   Kuala Lumpur  54000</t>
  </si>
  <si>
    <t>NVMY34535000001322</t>
  </si>
  <si>
    <t>MOHD SHAHDAN BIN AB KADIR</t>
  </si>
  <si>
    <t>NO 28, JALAN ALAM SURIA 16/56 BANDAR PUNCAK ALAM 42300 KUALA SELANGOR, SELANGOR   Selangor  42300</t>
  </si>
  <si>
    <t>NVMY34535000001332</t>
  </si>
  <si>
    <t>KHATIRAVAN</t>
  </si>
  <si>
    <t>NO H6 BATU 4 LADANG SELABA JALAN CHANGKAT JONG 36000 TELUK INTAN PERAK   Perak  36000</t>
  </si>
  <si>
    <t>NVMY34535000001328</t>
  </si>
  <si>
    <t>M/S ALAN KANG &amp; CO</t>
  </si>
  <si>
    <t>5.06, 5th FLOOR, PLAZA PRIMA JALAN KELANG LAMA 58200 KUALA LUMPUR   Kuala Lumpur  58200</t>
  </si>
  <si>
    <t>NVMY34535000001314</t>
  </si>
  <si>
    <t>MUHAMMAD HAFIZZUDIN BIN MAT SAAD</t>
  </si>
  <si>
    <t>NO 12, LORONG TAN SRI DATO MUHAMMAD TAIB 6E/KS13, TAMAN SUNGAI PINANG 42920 PULAU INDAH SELANGOR   Selangor  my 42920</t>
  </si>
  <si>
    <t>NVMY34535000001331</t>
  </si>
  <si>
    <t>BALQIS BT HAIZUL</t>
  </si>
  <si>
    <t>LOT 2031 KAMPUNG SINGAPURA TANJUNG SEDILI 81900 KOTA TINGGI JOHOR   Johor  81900</t>
  </si>
  <si>
    <t>NVMY34535000001324</t>
  </si>
  <si>
    <t>AHMATRUDI</t>
  </si>
  <si>
    <t>NO 14, JALAN DUKONG 8 TAMAN KOTA MASAI 81700 PASIR GUDANG JOHOR    Johor  81700</t>
  </si>
  <si>
    <t>NVMY34535000001317</t>
  </si>
  <si>
    <t>MOHD SHAFIQ FIKRI BIN AHMAD KAMIL</t>
  </si>
  <si>
    <t>A-04-22, JLN LEMBAH JAYA, TMN INDUSTRI LEMBAH JAYA 68000 AMPANG SELANGOR DARUL EHSAN   Selangor  68000</t>
  </si>
  <si>
    <t>NVMY34535000001378</t>
  </si>
  <si>
    <t>NORAZIMA</t>
  </si>
  <si>
    <t>LOT 1002, SHOPPLEX TREEUNDER (BUBBLEBEE) PANTAI TELUK CEMPEDAK 25000 KUANTAN PAHANG   Pahang  25000</t>
  </si>
  <si>
    <t>NVMY34535000001361</t>
  </si>
  <si>
    <t>MUHAMMAD SYAMIL</t>
  </si>
  <si>
    <t>NO 11 4447 BARBER SHOP, JALAN DESA JAYA, TAMAN DESA KUALA LUMPUR 58100   Kuala Lumpur  58100</t>
  </si>
  <si>
    <t>NVMY34535000001388</t>
  </si>
  <si>
    <t>SITI NURBAYAH</t>
  </si>
  <si>
    <t>M-2-4 PANGSAPURI PANGSA KG DUYONG KECIL KUALA TERENGGANU 20100 TERENGGANU    Terengganu  20100</t>
  </si>
  <si>
    <t>NVMY34535000001308</t>
  </si>
  <si>
    <t>WAN NURASYIKIN</t>
  </si>
  <si>
    <t>NO 3, LORONG 7, JALAN CEMPAKA, KG MELAYU MAJIDI 81100 JOHOR BAHRU   Johor  81100</t>
  </si>
  <si>
    <t>NVMY34535000001304</t>
  </si>
  <si>
    <t>SAIFUL NIZAM BIN WAHAB</t>
  </si>
  <si>
    <t>NVMY34535000001303</t>
  </si>
  <si>
    <t>NVMY34535000001305</t>
  </si>
  <si>
    <t>NVMY34535000001319</t>
  </si>
  <si>
    <t>ADIBAH OTHMAN</t>
  </si>
  <si>
    <t>NO 2 JALAN MP10, MELAKA PERDANA RESORT HOMES, 75450 AYER KEROH MELAKA   Melaka  75450</t>
  </si>
  <si>
    <t>NVMY34535000001337</t>
  </si>
  <si>
    <t>AZIZAH BINTI FADZIL</t>
  </si>
  <si>
    <t>1022 PERMATANG RAMBAI 13100 PENAGA SEBERANG PERAI UTARA PULAU PINANG   Pulau Pinang  13100</t>
  </si>
  <si>
    <t>NVMY34535000001307</t>
  </si>
  <si>
    <t>ANNE BY TUNS MARKETING</t>
  </si>
  <si>
    <t>48 JALAN SETIA IMPIAN U13/8C SETIA ALAM 40170 SHAH ALAM SELANGOR   Selangor  40170</t>
  </si>
  <si>
    <t>NVMY34535000001396</t>
  </si>
  <si>
    <t>HAFIZAH MD SHAH</t>
  </si>
  <si>
    <t>KN TOP, LOT PT 3592, TINGKAT 3, JALAN SULTAN ZAINAL ABIDIN 20000 KUALA TERENGGANU, TERENGGANU   Terengganu  20000</t>
  </si>
  <si>
    <t>NVMY34535000001306</t>
  </si>
  <si>
    <t>NVMY34535000001390</t>
  </si>
  <si>
    <t>ANISHARNISAL BT MAT AIL</t>
  </si>
  <si>
    <t>KAMPUNG PULAI CHICHA TINGGI 17000 PASIR MAS, KELANTAN   Kelantan  17000</t>
  </si>
  <si>
    <t>NVMY34535000001336</t>
  </si>
  <si>
    <t>HOMESTAY ANIKA JUNAINI KOSNAN</t>
  </si>
  <si>
    <t>NO 3 JALAN MANIS 6, TAMAN MANIS 86400 PARIT RAJA, BATU PAHAT JOHOR   Johor  86400</t>
  </si>
  <si>
    <t>NVMY34535000001348</t>
  </si>
  <si>
    <t>RAHMAT MOSH</t>
  </si>
  <si>
    <t>6-17-24 PPR DESA TUN RAZAK JALAN 9/118B CHERAS 56000 KUALA LUMPUR WILAYAH PERSEKUTUAN    Kuala Lumpur  56000</t>
  </si>
  <si>
    <t>NVMY34535000001344</t>
  </si>
  <si>
    <t>EMILEE</t>
  </si>
  <si>
    <t>934 MK6 PERMATANG TIMBUL 11000 BALIK PULAU, PULAU PINANG   Pulau Pinang  11000</t>
  </si>
  <si>
    <t>NVMY34535000001355</t>
  </si>
  <si>
    <t>ABDUL RAHIM BIN JALUDDIN</t>
  </si>
  <si>
    <t>NO 198 TAMAN TEJA FASA 1 06010 CHANGLUN KEDAH   Kedah  06010</t>
  </si>
  <si>
    <t>NVMY34535000001341</t>
  </si>
  <si>
    <t>NOOR IZAH</t>
  </si>
  <si>
    <t>NO 3-A JALAN KEKWA 7, TAMAN KEKWA, KAMPUNG TENGAH 85000 SEGAMAT JOHOR   Johor  85000</t>
  </si>
  <si>
    <t>NVMY34535000001386</t>
  </si>
  <si>
    <t>NUR SURIA ANIS BINTI MAT ZAID</t>
  </si>
  <si>
    <t>(PEACE PREMIUM STORE) F09&amp;F10, TINGKAT 1, GIANT HYPERMATKET 21100 KUALA TERENGGANU, TERENGGANU   Terengganu  21100</t>
  </si>
  <si>
    <t>NVMY34535000001342</t>
  </si>
  <si>
    <t>NORAINI ARIFFIN</t>
  </si>
  <si>
    <t>NO 8 JALAN CEMPAKA 17, TAMAN ROS MEWAH 70450 SEREMBAN SENAWANG NEGERI SEMBILAN    Negeri Sembilan  70450</t>
  </si>
  <si>
    <t>NVMY34535000001397</t>
  </si>
  <si>
    <t>ZULKARNAIN BIN ISMAIL</t>
  </si>
  <si>
    <t>NO 407 BAILEYS COURT APARTMENT JALAN HAJI AHMAD 25300 KUANTAN PAHANG   Pahang  25300</t>
  </si>
  <si>
    <t>NVMY34535000001359</t>
  </si>
  <si>
    <t>MUHAMMAD DANIEL HAKIMI</t>
  </si>
  <si>
    <t>NO 4-01 PANGSAPURI SERI CAHAYA, JALAN PANDAN CAHAYA 1/2, PANDAN CAHAYA 68000 AMPANG SELANGOR   Selangor  68000</t>
  </si>
  <si>
    <t>NVMY34535000001352</t>
  </si>
  <si>
    <t>AMIRUL HIDAYAT</t>
  </si>
  <si>
    <t>NO 10 JALAN LAPANGAN SSI 6 TAMAN LAPANGAN SSI 31650 IPOH PERAK   Perak  31650</t>
  </si>
  <si>
    <t>NVMY34535000001349</t>
  </si>
  <si>
    <t>MOHAMAD FADZIL AL HAFIZ BIN ZULKIFRUDIN</t>
  </si>
  <si>
    <t>NO 171-B KAMPUNG KETIOR DALAM 33000 KUALA KANGSAR PERAK   Perak  33000</t>
  </si>
  <si>
    <t>NVMY34535000001358</t>
  </si>
  <si>
    <t>MUHAMMAD IRFAN</t>
  </si>
  <si>
    <t>LOT 2916 JALAN RDU2 KAMPUNG LABOHAN DAGANG 42700 BANTING SELANGOR   Selangor  42700</t>
  </si>
  <si>
    <t>NVMY34535000001383</t>
  </si>
  <si>
    <t>MUHAMMAD AIMAN FARHAN MOHD NASSIR</t>
  </si>
  <si>
    <t>A260 TAMAN MAKA 17500 TANAH MERAH KELANTAN   Kelantan  17500</t>
  </si>
  <si>
    <t>NVMY34535000001334</t>
  </si>
  <si>
    <t>NUR ASSYIRAH BINTI OTHMAN</t>
  </si>
  <si>
    <t>NO 14, JALAN BK 4/1E BANDAR KINRARA PUCHONG 47100 SELANGOR   Selangor  47100</t>
  </si>
  <si>
    <t>NVMY34535000001367</t>
  </si>
  <si>
    <t>NORATHIRAH ELLYNA</t>
  </si>
  <si>
    <t>NO 11 JALAN 62, SELAYANG BARU 68100 BATU CAVES, SELANGOR   Selangor  68100</t>
  </si>
  <si>
    <t>NVMY34535000001323</t>
  </si>
  <si>
    <t>MOHD SUHAIRI BIN MOHD DAHAN</t>
  </si>
  <si>
    <t>MAAHAD TAHFIZ AL-QURAN MISBAHUL FALAH, NO 7 JALAN ENGGANG TAMAN KERAMAT 54200 KUALA LUMPUR   Kuala Lumpur  54200</t>
  </si>
  <si>
    <t>NVMY34535000001311</t>
  </si>
  <si>
    <t>MOHD DANIAL BIN MOHD YUSOF</t>
  </si>
  <si>
    <t>31-11-1 SURIA AVENUE JALAN DAWAI 16/2 SEKSYEN 16 SHAH ALAM  40200 SELANGOR   Selangor  40200</t>
  </si>
  <si>
    <t>NVMY34535000001431</t>
  </si>
  <si>
    <t>HAKIMY NAWI</t>
  </si>
  <si>
    <t>PT 1855 TAMAN DARUL SALAM, KOK LANAS, 16450 KETEREH, KELANTAN   Kelantan  16450</t>
  </si>
  <si>
    <t>NVMY34535000001371</t>
  </si>
  <si>
    <t>NORLINA SADIKIN</t>
  </si>
  <si>
    <t>B3 06 APARTMENT ROSE VILLA, TAMAN PUTERI KULAI 81000 JOHOR   Johor  81000</t>
  </si>
  <si>
    <t>NVMY34535000001364</t>
  </si>
  <si>
    <t>FEBRI DWI CAHYONO</t>
  </si>
  <si>
    <t>NO 15 TINGKAT 1 JLN HANG TUAH 4/3, TMN MUHIBBAH KLUANG 86000 JOHOR   Johor  86000</t>
  </si>
  <si>
    <t>NVMY34535000001382</t>
  </si>
  <si>
    <t>FARAH AFINA</t>
  </si>
  <si>
    <t>NO 58 JALAN KOPERASI 38, TAMAN PERPADUAN KOPERASI 31150 ULU KINTA PERAK   Perak  31150</t>
  </si>
  <si>
    <t>NVMY34535000001391</t>
  </si>
  <si>
    <t>NUR FARAH AIEN</t>
  </si>
  <si>
    <t>NO 20 JALAN TEKNOLOGI 4, TAMAN TEKNOLOGI JOHOR 81400 SENAI JOHOR   Johor  81400</t>
  </si>
  <si>
    <t>NVMY34535000001372</t>
  </si>
  <si>
    <t>RUSHARINI AIZA BINTI ROZALI</t>
  </si>
  <si>
    <t>KAMPUNG BENDANG DALAM MUKIM BINJAL 06000 JITRA KEDAH   Kedah  06000</t>
  </si>
  <si>
    <t>NVMY34535000001373</t>
  </si>
  <si>
    <t>KAMPUNG BENDANG DALAM MUKIM BINJAL 06000 JITRA KEDAH   Kedah  my 06000</t>
  </si>
  <si>
    <t>NVMY34535000001407</t>
  </si>
  <si>
    <t>MOHD SHAHREN BIN ZULKIFLI</t>
  </si>
  <si>
    <t>LOT 600 KG. SELISING  PASIR PUTEH  16810,KELANTAN   Kelantan  16810</t>
  </si>
  <si>
    <t>NVMY34535000001424</t>
  </si>
  <si>
    <t>MUHAMMAD YUSRIZAL</t>
  </si>
  <si>
    <t xml:space="preserve"> A4 RUMAH KILANG FELDA BUKIT KEPAYANG 28330 BERA PAHANG   Pahang  28330</t>
  </si>
  <si>
    <t>NVMY34535000001404</t>
  </si>
  <si>
    <t>TAN KUI CHIN</t>
  </si>
  <si>
    <t>500 LORONG 6 KAMPUNG TENGAH KERTEH 24300 KEMAMAN TERENGGANU   Terengganu  24300</t>
  </si>
  <si>
    <t>NVMY34535000001392</t>
  </si>
  <si>
    <t>MASYITAHH RAIHAN</t>
  </si>
  <si>
    <t>NO 18 LORONG MUDA 4 TAMAN KUALA MUDA 13110 PENAGA PULAU PINANG   Pulau Pinang  13110</t>
  </si>
  <si>
    <t>NVMY34535000001428</t>
  </si>
  <si>
    <t>AIEZUL HAFIZ BIN MOHAMAD</t>
  </si>
  <si>
    <t>KAMPUNG NIBONG LEMAL, 17000 PASIR MAS, KELANTAN   Kelantan  17000</t>
  </si>
  <si>
    <t>NVMY34535000001379</t>
  </si>
  <si>
    <t>NOR AZILIN BT MOHD RASIDI</t>
  </si>
  <si>
    <t>NO 18 JALAN HARMONI 4/23 TAMAN DESA HARMONI 81100 JOHOR BAHRU, JOHOR   Johor  81100</t>
  </si>
  <si>
    <t>NVMY34535000001398</t>
  </si>
  <si>
    <t>SYIFA' AUNI</t>
  </si>
  <si>
    <t>170 JALAN BPJ 2/9 SEKSYEN 2 BANDAR PUTERI JAYA 08000 SUNGAI PETANI KEDAH   Kedah  08000</t>
  </si>
  <si>
    <t>NVMY34535000001374</t>
  </si>
  <si>
    <t>AMIRA</t>
  </si>
  <si>
    <t>KG SG RELONG POS MENSON 39200 RINGLET CAMERON HIGHLANDS, PAHANG   Pahang  my 39200</t>
  </si>
  <si>
    <t>NVMY34535000001375</t>
  </si>
  <si>
    <t>JIHA</t>
  </si>
  <si>
    <t>E-G-7 FLAT MUTIARA JAYA JALAN PUTERI GUNUNG 1 BANDAR TASEK MUTIARA 14120 SIMPANG AMPAT PULAU PINANG   Pulau Pinang  14120</t>
  </si>
  <si>
    <t>NVMY34535000001380</t>
  </si>
  <si>
    <t>SARAFIAH NATURAL RESOURCES SDN BHD NO 118 LOT 158550 JALAN SUNGAI PINANG 4/21/KS 11 PHASE 2C SELANGOR HALAL HUB 42920 PULAU INDAH, SELANGOR   Selangor  42920</t>
  </si>
  <si>
    <t>NVMY34535000001393</t>
  </si>
  <si>
    <t>NUR AINI</t>
  </si>
  <si>
    <t>NO 37 BATU 2 1/4 JALAN KUALA KURAU 34300 BAGAN SERAI PERAK   Perak  34300</t>
  </si>
  <si>
    <t>NVMY34535000001377</t>
  </si>
  <si>
    <t>NAQIBAH HAZIMAH</t>
  </si>
  <si>
    <t>98H LORONG B4 TAMAN INTAN 08000 SUNGAI PETANI KEDAH   Kedah  08000</t>
  </si>
  <si>
    <t>NVMY34535000001229</t>
  </si>
  <si>
    <t>SYARMIMI BINTI LINGKATAN</t>
  </si>
  <si>
    <t>TAMAN PELANGI LOT C69, PETI SURAT 189,91308 SEMPORNA, SABAH   Sabah  91308</t>
  </si>
  <si>
    <t>NVMY34535000001366</t>
  </si>
  <si>
    <t>MOHAMAD AFIQ FARHAN</t>
  </si>
  <si>
    <t>LOT 5928 KG TOK SING BANGGOL ENGGOK, BALING 09300 KEDAH   Kedah  09300</t>
  </si>
  <si>
    <t>NVMY34535000001403</t>
  </si>
  <si>
    <t>TETUAN ZULFIKAR HEKMI &amp; CO</t>
  </si>
  <si>
    <t>PT 667 (A) KG GUAL TINGGI 17200 RANTAU PANJANG KELANTAN   Kelantan  17200</t>
  </si>
  <si>
    <t>NVMY34535000001327</t>
  </si>
  <si>
    <t>MASNI ADURA</t>
  </si>
  <si>
    <t>NO 19 JALAN LUNDU 5, TAMAN BERINGIN, JINJANG UTARA 52000 KUALA LUMPUR   Kuala Lumpur  52000</t>
  </si>
  <si>
    <t>NVMY34535000001064</t>
  </si>
  <si>
    <t>SAIFUL</t>
  </si>
  <si>
    <t>(SBH 744) RSSA ENTERPRISE, BLOK A, LOT 3, PEKAN BARU TUNGKU, 91109 LAHAD DATU, SABAH   Sabah  91109</t>
  </si>
  <si>
    <t>MM-XDK</t>
  </si>
  <si>
    <t>NVMY34535000001387</t>
  </si>
  <si>
    <t>LOSINI A/P YOGENDRAN</t>
  </si>
  <si>
    <t>NO 03-10-10 FLAT SRI SELANGOR, JALAN SAN PENG 55200 KUALA LUMPUR   Kuala Lumpur  55200</t>
  </si>
  <si>
    <t>NVMY34535000001370</t>
  </si>
  <si>
    <t>ABDUL HAKIM ASMADI</t>
  </si>
  <si>
    <t>NO 888 KG SENTUA, UTAN AJI 01000 KANGAR PERLIS   Perlis  01000</t>
  </si>
  <si>
    <t>NVMY34535000001345</t>
  </si>
  <si>
    <t>HASRAF RADZI</t>
  </si>
  <si>
    <t>169 A TAMAN GUNUNG BONGSU FASA 2 05400 ALOR SETAR, KEDAH    Kedah  05400</t>
  </si>
  <si>
    <t>NVMY34535000001406</t>
  </si>
  <si>
    <t>RAJA NOR AZZARINA</t>
  </si>
  <si>
    <t>LOT 964 JALAN KUBUE BUNUT RENDANG, KG GONG DATUK, 16800 PASIR PUTEH, KELANTAN   Kelantan  16800</t>
  </si>
  <si>
    <t>NVMY34535000001381</t>
  </si>
  <si>
    <t>NORAMIRA BINTI SHAHIZAN</t>
  </si>
  <si>
    <t>1149 KAMPUNG TASEK CEMPEDAK 14120 SIMPANG AMPAT PULAU PINANG   Pulau Pinang  my 14120</t>
  </si>
  <si>
    <t>NVMY34535000001408</t>
  </si>
  <si>
    <t>PRENESH A/L SHANKAR</t>
  </si>
  <si>
    <t>LOT 7016 JALAN WAN AHMAD  TANAH MERAH  17500,KELANTAN   Kelantan  17500</t>
  </si>
  <si>
    <t>1-MAC-3</t>
  </si>
  <si>
    <t>NVMY34535000001422</t>
  </si>
  <si>
    <t>MUHAMMAD AIZAT BIN AHAZALAN</t>
  </si>
  <si>
    <t>DR 60 LORONG JENAHAK PERUMAHAN KOMUNITI BERSEPADU KAMPUNG KUALA PAHANG 26660 PEKAN PAHANG   Pahang  26660</t>
  </si>
  <si>
    <t>NVMY34535000001426</t>
  </si>
  <si>
    <t>MOHD DANNIEL BIN MOHD SUKRI</t>
  </si>
  <si>
    <t>NO 186 FELADA BUKIT SAGU 01 26103 KUANTAN PAHANG   Pahang  26103</t>
  </si>
  <si>
    <t>NVMY34535000001384</t>
  </si>
  <si>
    <t>NURUL FIKRIYAH BINTI YUSOFF</t>
  </si>
  <si>
    <t>E4-01 LORONG MACHANG BUBOK, 34 TAMAN MACHANG BUBOK 14000 BUKIT MERTAJAM, PULAU PINANG   Pulau Pinang  14000</t>
  </si>
  <si>
    <t>NVMY34535000001365</t>
  </si>
  <si>
    <t>AHMED IZZREE BIN ROSDI</t>
  </si>
  <si>
    <t>NO 627 LORONG 10 TAMAN DESA WIRA JALAN BATU KAWAH 93250 KUCHING SARAWAK   Sarawak  93250</t>
  </si>
  <si>
    <t>NVMY34535000001357</t>
  </si>
  <si>
    <t>ABDUL SHAHRIL</t>
  </si>
  <si>
    <t>LOT 1720-R JALAN TELUK MENENGUN KAMPUNG JAWA, KLANG SELANGOR 41000 SELANGOR   Selangor  41000</t>
  </si>
  <si>
    <t>NVMY34535000001411</t>
  </si>
  <si>
    <t>FARAH DINA BT ZAMROD</t>
  </si>
  <si>
    <t>NO16 JALAN BAYU IMPIAN 6/9KS 42000 KLANG SELANGOR  , Selangor Selangor MY 42000</t>
  </si>
  <si>
    <t>NVMY34535000001419</t>
  </si>
  <si>
    <t>NO16 JALAN BAYU IMPIAN 6/9KS 42000 KLANG SELANGOR   Selangor  42000</t>
  </si>
  <si>
    <t>NVMY34535000001420</t>
  </si>
  <si>
    <t>NVMY34535000001471</t>
  </si>
  <si>
    <t>AINA NAZIRA BT ISKANDAR</t>
  </si>
  <si>
    <t>BROJAT STORE, NO.21 TINGKAT BAWAH JALAN PENJARA, KUANTAN, 25000 PAHANG   Pahang  25000</t>
  </si>
  <si>
    <t>NVMY34535000001451</t>
  </si>
  <si>
    <t>AZMA HAFIZAN AHMAD</t>
  </si>
  <si>
    <t>PT 20316 K TAMAN PERMINT PERDANA FASA 3 KG BATIN 21300 KUALA NERUS TERENGGANU   Terengganu  21300</t>
  </si>
  <si>
    <t>NVMY34535000001465</t>
  </si>
  <si>
    <t>SITI ZALEHA BINTI RAZALI</t>
  </si>
  <si>
    <t>LOT 1315 KAMPUNG BELUKAR KUBUR JALAN DEWAN BATU 23 18500 MACHANG KELANTAN   Kelantan  18500</t>
  </si>
  <si>
    <t>NVMY34535000001389</t>
  </si>
  <si>
    <t>NURIN TASLIM</t>
  </si>
  <si>
    <t>NO 23, PERSIARAN PUTRA 6, BANDAR BARU PUTRA 31400 IPOH PERAK   Perak  31400</t>
  </si>
  <si>
    <t>NVMY34535000001516</t>
  </si>
  <si>
    <t>NOR ASHIKIN BINTI AHNAD</t>
  </si>
  <si>
    <t>LOT 1550 KAMPUNG PULAU SERAI, JALAN BENTAN 26600 PEKAN, PAHANG   Pahang  26600</t>
  </si>
  <si>
    <t>NVMY34535000001436</t>
  </si>
  <si>
    <t>AFIFAH NAJWA</t>
  </si>
  <si>
    <t>NO.305 , JALAN HARMONI 13 , TAMAN HARMONI 28700 BENTONG PAHANG   Pahang  28700</t>
  </si>
  <si>
    <t>NVMY34535000001434</t>
  </si>
  <si>
    <t>ZAIM ZULANI</t>
  </si>
  <si>
    <t>KAMPUNG PONG MUKIM PADANG TERAP KIRI PADANG TERAP 06300 KEDAH   Kedah  06300</t>
  </si>
  <si>
    <t>NVMY34535000001437</t>
  </si>
  <si>
    <t>DAYANG</t>
  </si>
  <si>
    <t>BLOCK Q ,  G10, DAHLIA APARTMENT, JALAN PANDAN INDAH 24, PANDAN INDAH, 55100, AMPANG, KUALA LUMPUR   Kuala Lumpur  55100</t>
  </si>
  <si>
    <t>NVMY34535000001368</t>
  </si>
  <si>
    <t>NORSILA BINTI HASSAN</t>
  </si>
  <si>
    <t>UNCLE BOB NO, B-27 BASEMENT FLOOR INANAM MALL JALAN NOUNTON INANAM NEW TOWNSHIP 88450 KOTA KINABALU, SABAH   Sabah  88450</t>
  </si>
  <si>
    <t>NVMY34535000001505</t>
  </si>
  <si>
    <t>NOR AZUANI ZAKARIA</t>
  </si>
  <si>
    <t>M 16-7, JALAN 3/93A, WARISAN CITYVIEW, OFF BATU 2 1/2, JALAN CHERAS, 56100 KUALA LUMPUR   Kuala Lumpur  56100</t>
  </si>
  <si>
    <t>NVMY34535000001463</t>
  </si>
  <si>
    <t>WAN NURUL ADILA</t>
  </si>
  <si>
    <t>PT2144 TAMAN AYUNI BATU 10 17500 TANAH MERAH KELANTAN   Kelantan  17500</t>
  </si>
  <si>
    <t>NVMY34535000001475</t>
  </si>
  <si>
    <t>CAMI</t>
  </si>
  <si>
    <t>NO.33, JALAN PUJ 2/2, TAMAN PUNCAK JALIL, 43300 SERI KEMBANGAN, SELANGOR   Selangor  43300</t>
  </si>
  <si>
    <t>NVMY34535000001435</t>
  </si>
  <si>
    <t>AZFAR BIN MOHAMAD</t>
  </si>
  <si>
    <t>1423-2 KM16 KG. PAYA RUMPUT JAYA 76300 SUNGAI UDANG MELAKA   Melaka  76300</t>
  </si>
  <si>
    <t>NVMY34535000001427</t>
  </si>
  <si>
    <t>SULAIMAN BIN MAIMATHU</t>
  </si>
  <si>
    <t>NO 606 JALAN WAWASAN 23 TAMAN WAWASAN 86800 MERSING JOHOR   Johor  86800</t>
  </si>
  <si>
    <t>NVMY34535000001417</t>
  </si>
  <si>
    <t>NUR MADIHAH MAHZOR</t>
  </si>
  <si>
    <t>PLOT 2, LOT 2503, LORONG KENANGA, BT 18,KUANG, 48050 RAWANG SELANGOR   Selangor  48050</t>
  </si>
  <si>
    <t>NVMY34535000001416</t>
  </si>
  <si>
    <t>B2-7-3, APT SRI SELAYANG, JLN PS 7, TMN PRIMA SELAYANG,  68100 BATU CAVES SELANGOR   Selangor  68100</t>
  </si>
  <si>
    <t>NVMY34535000001474</t>
  </si>
  <si>
    <t>AUNI NADZIRAH</t>
  </si>
  <si>
    <t xml:space="preserve"> LOT 989 KG JAYA SETIA JLN PCB 15350 KOTA BHARU KELANTAN   Kelantan  15350</t>
  </si>
  <si>
    <t>NVMY34535000001497</t>
  </si>
  <si>
    <t>AZIZAN</t>
  </si>
  <si>
    <t>A-113 BANDAR SERI BANDI 24200 KEMAMAN TERENGGANU   Terengganu  24200</t>
  </si>
  <si>
    <t>NVMY34535000001504</t>
  </si>
  <si>
    <t>ZARINA MOHD YUNUS</t>
  </si>
  <si>
    <t>KAFE CENGKIH HOTEL UITM, FPHP UiTM KAMPUS PUNCAK ALAM, 42300 BANDAR PUNCAK ALAM, SELANGOR   Selangor  42300</t>
  </si>
  <si>
    <t>NVMY34535000001363</t>
  </si>
  <si>
    <t>ABOY</t>
  </si>
  <si>
    <t>NO 4 JALAN KANCIL 9, TAMAN NUSA DAMAI, PASIR GUDANG 81700 JOHOR BAHRU   Johor  81700</t>
  </si>
  <si>
    <t>NVMY34535000001461</t>
  </si>
  <si>
    <t>NORNAZIPAH BINTI CHE GHANI</t>
  </si>
  <si>
    <t>UNIT KECEMASAN KLINIK KESIHATAN KUALA SELANGOR, JALAN KLINIK 45000 KUALA SELANGOR, SELANGOR   Selangor  45000</t>
  </si>
  <si>
    <t>NVMY34535000001459</t>
  </si>
  <si>
    <t>SUNISA</t>
  </si>
  <si>
    <t>BATU 2 1/2 LOT 814 JALAN TANJUNG KARANG, PASIR PENAMBANG, 45000 KUALA SELANGOR   Selangor  45000</t>
  </si>
  <si>
    <t>NVMY34535000001467</t>
  </si>
  <si>
    <t>NOOR AKMA MAT DESA</t>
  </si>
  <si>
    <t>18 JALAN SP9/26, BANDAR SAUJANA PUTRA, 42610 JENJAROM, KUALA LANGAT, SELANGOR   Selangor  42610</t>
  </si>
  <si>
    <t>NVMY34535000001509</t>
  </si>
  <si>
    <t>MOHD DIN BIN ISMAIL</t>
  </si>
  <si>
    <t>135 KAMPUNG BANIR BELIKONG SELISING 16800 PASIR PUTEH KELANTAN   Kelantan  my 16800</t>
  </si>
  <si>
    <t>NVMY34535000001423</t>
  </si>
  <si>
    <t>AISYA NABILA BINTI AZIZAN</t>
  </si>
  <si>
    <t>NO 6 JALAN 3 TAMAN SETIA WARISAN KAMPUNG MELAYU SUBANG 40150 SHAH ALAM SELANGOR   Selangor  40150</t>
  </si>
  <si>
    <t>NVMY34535000001409</t>
  </si>
  <si>
    <t>CHOIZES CONCEPT STORE SDN BHD</t>
  </si>
  <si>
    <t>UNIT NO D6-3A-17 BANGUNAN PERDAGANGAN D6, SENTUL RAYA, 801 JLN SENTUL 51100 KUALA LUMPUR   Kuala Lumpur  51100</t>
  </si>
  <si>
    <t>NVMY34535000001506</t>
  </si>
  <si>
    <t>MUHAMMAD ZULFAZRIN BIN BUSTANI</t>
  </si>
  <si>
    <t>NO-17 FELDA SELANCAR 03 26700 MUADZAM SHAH, PAHANG   Pahang  26700</t>
  </si>
  <si>
    <t>NVMY34535000001460</t>
  </si>
  <si>
    <t>ZISS NANA</t>
  </si>
  <si>
    <t>15 JALAN CENGAL 4/1 TAMAN MELAWATI JAYA 45000 KUALA SELANGOR, SELANGOR   Selangor  45000</t>
  </si>
  <si>
    <t>NVMY34535000001472</t>
  </si>
  <si>
    <t>HAJAR</t>
  </si>
  <si>
    <t>NO1 LOT 2973, LORONG HAJI SAMSI, KG. DATO’ ABU BAKAR BAGINDA, 43000 KAJANG, SELANGOR   Selangor  43000</t>
  </si>
  <si>
    <t>NVMY34535000001473</t>
  </si>
  <si>
    <t>IEKA</t>
  </si>
  <si>
    <t>LOT 3056 , JALAN TERATAI , KG. DATO ABU BAKAR BAGINDA , 43000 KAJANG , SELANGOR   Selangor  43000</t>
  </si>
  <si>
    <t>NVMY34535000001449</t>
  </si>
  <si>
    <t>NOOR NABILA</t>
  </si>
  <si>
    <t>NO 10 PT 13898 TAMAN SAUJANA JALAN SEK TEBING TEMBAH 23100 PAKA , DUNGUN TRG   Terengganu  23100</t>
  </si>
  <si>
    <t>NVMY34535000001418</t>
  </si>
  <si>
    <t>NO 3 JALAN MANIS 6 TAMAN MANIS 86400 PARIT RAJA BATU PAHAT JOHOR    Johor  86400</t>
  </si>
  <si>
    <t>NVMY34535000001432</t>
  </si>
  <si>
    <t>AKHIRUDIN</t>
  </si>
  <si>
    <t>843 JALAN 9/6 TAMAN SEREMBAN JAYA 70450 SEREMBAN NEGERI SEMBILAN DARUL KHUSUS   Negeri Sembilan  70450</t>
  </si>
  <si>
    <t>NVMY34535000001468</t>
  </si>
  <si>
    <t>DIANA IMAN</t>
  </si>
  <si>
    <t>KAY CORPORATION SDN. BHD. No.74, Jalan PBS 14/4 TAMAN PERINDUSTRIAN, BUKIT SERDANG, 43300 SERI KEMBANGAN, SELANGOR DARUL EHSAN   Selangor  43300</t>
  </si>
  <si>
    <t>NVMY34535000001480</t>
  </si>
  <si>
    <t>ATASHA NADHIRAH</t>
  </si>
  <si>
    <t>LOT 9/1359 BATU 8 JAALN GAMBANG 25150 KUANTAN PAHANG   Pahang  25150</t>
  </si>
  <si>
    <t>NVMY34535000001430</t>
  </si>
  <si>
    <t>LUQMAN HAKIM</t>
  </si>
  <si>
    <t>NO 76 CHANGKAT LOBAK 34310 BAGAN SERAI PERAK   Perak  34310</t>
  </si>
  <si>
    <t>NVMY34535000001410</t>
  </si>
  <si>
    <t>ROSNANI BT MOHAMED @ DAUD</t>
  </si>
  <si>
    <t>SEKOLAH KEBANGSAAN KUALA ATOK, 27660 RAUB PAHANG   Pahang  27660</t>
  </si>
  <si>
    <t>6-LIP-105</t>
  </si>
  <si>
    <t>NVMY34535000001445</t>
  </si>
  <si>
    <t>NUR HIDAYAH HASSAN</t>
  </si>
  <si>
    <t>A2-09-08 (MAILBOX/POPBOX), RESIDENSI HIJAUAN 4, JALAN BUDIMAN 22/3, 40300 SHAH ALAM SELANGOR   Selangor  40300</t>
  </si>
  <si>
    <t>NVMY34535000001429</t>
  </si>
  <si>
    <t>MUHAMMAD HAZIQ BIN BURHAN</t>
  </si>
  <si>
    <t>NO 3 JALAN 4  TAMAN MAJU JAYA  35500 BIDOR PERAK   Perak  35500</t>
  </si>
  <si>
    <t>NVMY34535000001440</t>
  </si>
  <si>
    <t>NURUL FAREHA</t>
  </si>
  <si>
    <t>NO 21, 3/9 JALAN DESA IDAMAN, TAMAN DESA IDAMAN, OLAK LEMPIT, 42700 BANTING SELANGOR   Selangor  42700</t>
  </si>
  <si>
    <t>NVMY34535000001376</t>
  </si>
  <si>
    <t>NURUL NAJWA BINTI YUSOF</t>
  </si>
  <si>
    <t>NO 39 KAMPUNG TELUK SUNGAI DURIAN BALING 09100 KEDAH  Kedah   Kedah  my 09100</t>
  </si>
  <si>
    <t>NVMY34535000001491</t>
  </si>
  <si>
    <t>MUHAMAD DINI ASHRAF</t>
  </si>
  <si>
    <t>NO 29 1c/12 JALAN ANGKASA BANDAR MAHKOTA BANTING 42700  BANTING SELANGOR   Selangor  42700</t>
  </si>
  <si>
    <t>NVMY34535000001412</t>
  </si>
  <si>
    <t>SITI AMINAH BINTI ABD HAMID</t>
  </si>
  <si>
    <t>NO 21, JALAN GEMILANG 2/2B, TAMAN BANANG JAYA, 83000 BATU PAHAT, JOHOR   Johor  83000</t>
  </si>
  <si>
    <t>7-BPT-47</t>
  </si>
  <si>
    <t>NVMY34535000001438</t>
  </si>
  <si>
    <t>ABDUL MUTALIB MOHAMAD</t>
  </si>
  <si>
    <t>82 KAMPUNG PASIR TINGGI 21400 BUKIT PAYUNG MARANG TERENGGANU   Terengganu  21400</t>
  </si>
  <si>
    <t>NVMY34535000001425</t>
  </si>
  <si>
    <t>NIQ HAFIY</t>
  </si>
  <si>
    <t xml:space="preserve"> NO 10 JALAN PUTERA INDAH 2/2 BANDAR PUTERA INDAH TONGKANG PECHAH 83050 BATU PAHAT JOHOR   Johor  83050</t>
  </si>
  <si>
    <t>NVMY34535000001458</t>
  </si>
  <si>
    <t>MUHD FIRDAUS BIN MUHD RUSDI</t>
  </si>
  <si>
    <t>KAMPUNG SUNGAI PETAI 16800 PASIR PUTEH KELANTAN   Kelantan  16800</t>
  </si>
  <si>
    <t>NVMY34535000001413</t>
  </si>
  <si>
    <t>ROSLINDA ABDULLAH</t>
  </si>
  <si>
    <t>NO 401 BLOK 2  JALAN 18/3 SEKSYEN 18  40000 SHAH ALAM SELANGOR   Selangor  40000</t>
  </si>
  <si>
    <t>NVMY34535000001487</t>
  </si>
  <si>
    <t>MOHD SAIFUDDIN BIN MOHD ZAN</t>
  </si>
  <si>
    <t>NO 1 (A) FELDA BUKIT MENDI 28320 TRIANG PAHANG DARUL MAKMUR   Pahang  28320</t>
  </si>
  <si>
    <t>NVMY34535000001515</t>
  </si>
  <si>
    <t>NORHAFIZAH BINTI KHAMIS</t>
  </si>
  <si>
    <t>NO 23 KAMPUNG OLAK BATU MUKIM 7 86400 PARIT RAJA BATU PAHAT JOHOR   Johor  86400</t>
  </si>
  <si>
    <t>NVMY34535000001484</t>
  </si>
  <si>
    <t>IZZAH NABILAH BT ZURAIMI</t>
  </si>
  <si>
    <t>POS 03, JALAN JAAFAR, KAMPUNG SAGIL PARIT 1, SAGIL, 84020, TANGKAK, JOHOR   Johor  84020</t>
  </si>
  <si>
    <t>NVMY34535000001457</t>
  </si>
  <si>
    <t>NURUL FATIHAH BT NOOR ASLAM</t>
  </si>
  <si>
    <t>NO 15 , JALAN BKD 43 75450 AYER KEROH , MELAKA   Melaka  75450</t>
  </si>
  <si>
    <t>NVMY34535000001433</t>
  </si>
  <si>
    <t>SYED MOHAMAD HAIQALHAN BIN WAN MAHMUD</t>
  </si>
  <si>
    <t xml:space="preserve"> LOT 1629 LORONG CAHYA DAMAI 6D,BANDAR BARU SAMARIANG,93050 KUCHING,SARAWAK    Sarawak  93050</t>
  </si>
  <si>
    <t>NVMY34535000001486</t>
  </si>
  <si>
    <t>MUHD ADZRAI</t>
  </si>
  <si>
    <t>NO 20 JALAN PULAI 3, ESCADIA TAMAN DESARU UTAMA 81930 BANDAR PENAWAR JOHOR   Johor  81930</t>
  </si>
  <si>
    <t>NVMY34535000001415</t>
  </si>
  <si>
    <t>NO 41 TAMAN SEROJA, 28700 BENTONG, PAHANG DARUL MAKMUR  Pahang  Pahang  28700</t>
  </si>
  <si>
    <t>NVMY34535000001489</t>
  </si>
  <si>
    <t>MUHAMAD ZULTUAH</t>
  </si>
  <si>
    <t>NO.19 JALAN 1/3B SEKSYEN 1, 43650 BANDAR BARU BANGI SELANGOR    Selangor  43650</t>
  </si>
  <si>
    <t>NVMY34535000001519</t>
  </si>
  <si>
    <t>FAIZAL BURHAN</t>
  </si>
  <si>
    <t>NO 292 O, JALAN JERANGAU KG HULU LEREK, BUKIT DIMAN, AJIL HULU TERENGGANU 21800 TERENGGANU   Terengganu  21800</t>
  </si>
  <si>
    <t>2-AJL-9</t>
  </si>
  <si>
    <t>NVMY34535000001466</t>
  </si>
  <si>
    <t>NVMY34535000001454</t>
  </si>
  <si>
    <t>NOR KHALIDA</t>
  </si>
  <si>
    <t>2-07 RUMAH PANGSA DESA PROMINENCE LORONG PERDA UTAMA 16 TAMAN PROMINENCE 14000 BUKIT MERTAJAM PULAU PINANG   Pulau Pinang  14000</t>
  </si>
  <si>
    <t>NVMY34535000001502</t>
  </si>
  <si>
    <t>MUHAMMAD BADRILMUNIR BIN MAT ISA</t>
  </si>
  <si>
    <t>(PROWHEELS M SDN BHD) NO5, KM5 JALAN PUTRA, 06250 ALOR SETAR KEDAH   Kedah  06250</t>
  </si>
  <si>
    <t>NVMY34535000001315</t>
  </si>
  <si>
    <t>MUNAWARAH</t>
  </si>
  <si>
    <t>RESTOREN EDEN HAMKA LOT 3136 JALAN ULU ARA MAMBAU 70300 SEREMBAN NEGERI SEMBILAN  Negeri Sembilan  Negeri Sembilan  70300</t>
  </si>
  <si>
    <t>NVMY34535000001455</t>
  </si>
  <si>
    <t>SITI NOR MAISARAH BT MOHD AZMI</t>
  </si>
  <si>
    <t>348-B KUARTERS JKR 39100 BRINCHANG CAMERON HIGHLANDS PAHANG   Pahang  39100</t>
  </si>
  <si>
    <t>NVMY34535000001518</t>
  </si>
  <si>
    <t>MOHD ZAIRIE BIIN SARIF</t>
  </si>
  <si>
    <t>NO 36, TAMAN AGROPOLITAN PANCUR BEDERU, KG BUKIT PUTERA 21450 SETIU, TERENGGANU   Terengganu  21450</t>
  </si>
  <si>
    <t>2-STU-11</t>
  </si>
  <si>
    <t>NVMY34535000001492</t>
  </si>
  <si>
    <t>ABDUL IZZAT BIN MAT ALI</t>
  </si>
  <si>
    <t>780 JALAN BOHOR PENGAPIT KAMPUNG CHEMUMAR 02700 SIMPANG AMPAT PERLIS   Perlis  02700</t>
  </si>
  <si>
    <t>NVMY34535000001464</t>
  </si>
  <si>
    <t>SHAKIRAH SHUKOR</t>
  </si>
  <si>
    <t>NO 151 DESA KEDA TANJUNG SETOL FASA 3,BUKIT JENUN  06720 PENDANG KEDAH   Kedah  06720</t>
  </si>
  <si>
    <t>NVMY34535000001442</t>
  </si>
  <si>
    <t>NO6 JALAN TABAH 25/24 TAMAN SRI MUDA 40400 SHAH ALAM SELANGOR   Selangor  40400</t>
  </si>
  <si>
    <t>NVMY34535000001401</t>
  </si>
  <si>
    <t>ANITA MOHAMMAD</t>
  </si>
  <si>
    <t>LOT 2777 JALAN MERBAU 9A KPG RAMPANGI FASA 2 JALAN SANTUBONG 93050 KUCHING SARAWAK   Sarawak  93050</t>
  </si>
  <si>
    <t>NVMY34535000001479</t>
  </si>
  <si>
    <t>JASRIN KAUR</t>
  </si>
  <si>
    <t>NO 71, PERSIARAN SLIM PERMAI 7, 35800 SLIM RIVER, PERAK   Perak  35800</t>
  </si>
  <si>
    <t>NVMY34535000001490</t>
  </si>
  <si>
    <t>MUHAMAD RAFIE BIN HUSSIN</t>
  </si>
  <si>
    <t>NO71 KG BARU AWAT, BATU ANAM 85100 SEGAMAT JOHOR   Johor  85100</t>
  </si>
  <si>
    <t>NVMY34535000001448</t>
  </si>
  <si>
    <t>NUR SHAFIEKAH</t>
  </si>
  <si>
    <t>NO 64 TAMAN SERI PEKULA FASA 1 , 08600 TIKAM BATU SUNGAI PETANI KEDAH   Kedah  08600</t>
  </si>
  <si>
    <t>NVMY34535000001450</t>
  </si>
  <si>
    <t>SHARIFAH ALAWEYAH</t>
  </si>
  <si>
    <t>:JM 19 KN,LRG 2,JLN MANGGIS ,KG MAJU JAYA,PEKAN NANAS 81500 PONTIAN JOHOR.   Johor  81500</t>
  </si>
  <si>
    <t>NVMY34535000001441</t>
  </si>
  <si>
    <t>AHMAD AIZAT</t>
  </si>
  <si>
    <t>NO51 TAMAN HIJRAH JALAN HIJRAH  17, 01000 KANGAR PERLIS   Perlis  01000</t>
  </si>
  <si>
    <t>NVMY34535000001494</t>
  </si>
  <si>
    <t>ADIB FIKRI MOHD RODZI</t>
  </si>
  <si>
    <t>NO.3, LORONG DESA RAKYAT 3, TAMAN DESA RAKYAT, 13300 TASEK GELUGOR PULAU PINANG   Pulau Pinang  13300</t>
  </si>
  <si>
    <t>NVMY34535000001446</t>
  </si>
  <si>
    <t>SITI NUR AISYAH</t>
  </si>
  <si>
    <t>NO 273 JALAN ZAMRUD 9 TAMAN ZAMRUD 72200 BATU KIKIR NEGERI SEMBILAN   Negeri Sembilan  72200</t>
  </si>
  <si>
    <t>NVMY34535000001512</t>
  </si>
  <si>
    <t>SAYYID RIFAA</t>
  </si>
  <si>
    <t>2-04-08, THE PINES RESIDENCE, KAMPUNG PAYA MENGKUANG, 81550 GELANG PATAH JOHOR   Johor  81550</t>
  </si>
  <si>
    <t>NVMY34535000001488</t>
  </si>
  <si>
    <t>MUHAMMAD IRSYAD SYAFIQ</t>
  </si>
  <si>
    <t>NO233,KAMPUNG PARIT NIPAH DARAT, 86400 PARIT RAJA JOHOR   Johor  86400</t>
  </si>
  <si>
    <t>NVMY34535000001439</t>
  </si>
  <si>
    <t>MUHAMAD BADRUL ASRAF BIN MOHD SABRI (SKTN)</t>
  </si>
  <si>
    <t>SRI KUANTAN PANGKALAN TLDM TAJUNG GELANG 25990 KUANTAN PAHANG   Pahang  25990</t>
  </si>
  <si>
    <t>6-KUA-33</t>
  </si>
  <si>
    <t>NVMY34535000001501</t>
  </si>
  <si>
    <t>NUR ALYANA</t>
  </si>
  <si>
    <t>NO 1 , JALAN PGBF 2/5 , TAMAN PGBF SG SIBOL 2 , 81440 BANDAR TENGGARA , KULAI, JOHOR   Johor  81440</t>
  </si>
  <si>
    <t>NVMY34535000001453</t>
  </si>
  <si>
    <t>KHAIRU NAJJAH BT OMAR</t>
  </si>
  <si>
    <t>NO 82 KG PADANG BESAR 09300 KUALA KETIL KEDAH   Kedah  09300</t>
  </si>
  <si>
    <t>NVMY34535000001493</t>
  </si>
  <si>
    <t>SRI MOHAMAD KAMAL BIN MAHUSIN</t>
  </si>
  <si>
    <t>NO15 LORONG 9 TAMAN CEMPAKA PUTIH RPA TAMBUN TULANG 02600 ARAU PERLIS   Perlis  02600</t>
  </si>
  <si>
    <t>NVMY34535000001499</t>
  </si>
  <si>
    <t>LAL SABRI</t>
  </si>
  <si>
    <t>1117-1 LORONG PULAI INDAH BUKIT PULAU BUKIT BARU 75150 MELAKA   Melaka  75150</t>
  </si>
  <si>
    <t>NVMY34535000001508</t>
  </si>
  <si>
    <t>ASFIYAH</t>
  </si>
  <si>
    <t>NO 11, JaALAN DIAMOND B4/4, DIAMOND RESIDENCE, 43500 SEMENYIH, SELANGOR   Selangor  43500</t>
  </si>
  <si>
    <t>NVMY34535000001514</t>
  </si>
  <si>
    <t>ELEENA BINTI JAIHAN</t>
  </si>
  <si>
    <t>POS 255 PARIT MOIN 2 BAGAN 83000 BATU PAHAT JOHOR   Johor  83000</t>
  </si>
  <si>
    <t>NVMY34535000001496</t>
  </si>
  <si>
    <t>JAMIE AZNIZI</t>
  </si>
  <si>
    <t>NO 20 JALAN MELATI 3 TAMAN BUKIT MELATI SIPUT 85000 SEGAMAT JOHOR   Johor  85000</t>
  </si>
  <si>
    <t>NVMY34535000001444</t>
  </si>
  <si>
    <t>SARAH</t>
  </si>
  <si>
    <t xml:space="preserve"> NO 7 BLOK 26, JALAN SINARAN 7 TAMAN SINARAN KEMPAS , JOHOR    Johor  81200</t>
  </si>
  <si>
    <t>NVMY34535000001482</t>
  </si>
  <si>
    <t>NUR SYAHIRA</t>
  </si>
  <si>
    <t>DE WAN 1958 BANGI GOLF RESORT,NO 1 PERSIARAN BANDAR SEKSYEN 1 , BANDAR BARU BANGI SELANGOR    Selangor  43650</t>
  </si>
  <si>
    <t>NVMY34535000001414</t>
  </si>
  <si>
    <t>NORIZAH BT YUSOFF</t>
  </si>
  <si>
    <t>202 BATU 16, AYER TAWAR 32400 PERAK   Perak  32400</t>
  </si>
  <si>
    <t>8-ATW-138</t>
  </si>
  <si>
    <t>NVMY34535000001513</t>
  </si>
  <si>
    <t>AZIE ADZHAR</t>
  </si>
  <si>
    <t>NO.31JALAN TTS 6/9 TAMAN TASIK SEMENYIH 43500 SEMENYIH SELANGOR   Selangor  43500</t>
  </si>
  <si>
    <t>NVMY34535000001447</t>
  </si>
  <si>
    <t>NUR RAIHANA BINTI HAZMI</t>
  </si>
  <si>
    <t>NO.49, JALAN CS 9, TAMAN CHENG SETIA, 76450 MELAKA   Melaka  76450</t>
  </si>
  <si>
    <t>NVMY34535000001469</t>
  </si>
  <si>
    <t>HAZEERA</t>
  </si>
  <si>
    <t xml:space="preserve"> A-15-5 1 SENTUL CONDOMINIUM, JALAN SENTUL RIA,51200 KUALA LUMPUR   Kuala Lumpur  51200</t>
  </si>
  <si>
    <t>NVMY34535000001495</t>
  </si>
  <si>
    <t>ADIB NIYAZI</t>
  </si>
  <si>
    <t>NO 44, JALAN UP 3/7f, UKAY PERDANA, AMPANG 68000 SELANGOR   Selangor  68000</t>
  </si>
  <si>
    <t>NVMY34535000001462</t>
  </si>
  <si>
    <t>NURUL INSYIRAH</t>
  </si>
  <si>
    <t>NO 44 , KAMPUNG BANGGOL BERANGAN, LABU BESAR, 09010, KULIM, KEDAH   Kedah  my 09010</t>
  </si>
  <si>
    <t>NVMY34535000001477</t>
  </si>
  <si>
    <t>ALYA ZAHIRAH AZIZUL</t>
  </si>
  <si>
    <t>NO 170 JALAN 1/4 TAMAN BANDAR EKAR RANTAU ,71200 RANTAU , NEGERI SEMBILAN   Negeri Sembilan  71200</t>
  </si>
  <si>
    <t>NVMY34535000001510</t>
  </si>
  <si>
    <t>NOR HAZROL NOR AZIZAN</t>
  </si>
  <si>
    <t>NO21, JALAN BUKIT BERLIAN 3, TAMAN BUKIT BERLIAN, 70200 SEREMBAN NEGERI SEMBILAN   Negeri Sembilan  70200</t>
  </si>
  <si>
    <t>NVMY34535000001456</t>
  </si>
  <si>
    <t>WANI</t>
  </si>
  <si>
    <t>NO 14 JALAN BUKIT KEMPAS 1/10 TAMAN BUKIT KEMPAS 81200 JOHOR   Johor  81200</t>
  </si>
  <si>
    <t>NVMY34535000001522</t>
  </si>
  <si>
    <t>ISMAWI BIN ISMAIL</t>
  </si>
  <si>
    <t>LOT 2A KAMPUNG BARU SUNGAI CHEDONG MARAN 26500 PAHANG   Pahang  26500</t>
  </si>
  <si>
    <t>NVMY34535000001503</t>
  </si>
  <si>
    <t>MUHAMMAD NIZAM BIN ASLAM</t>
  </si>
  <si>
    <t>NO25 JALAN DESA PINGITAN 2, TAMAN DESA PINGITAN 71050 PORT DICKSON NEGERI SEMBILAN  Negeri Sembilan  Negeri Sembilan  71050</t>
  </si>
  <si>
    <t>NVMY34535000001521</t>
  </si>
  <si>
    <t>EMAH</t>
  </si>
  <si>
    <t>KEDAI BUNGA YONGHO POTREY DEPAN CALTEX, LOT 367 JALAN MAHSAN 72100 BAHAU, NEGERI SEMBILAN   Negeri Sembilan  72100</t>
  </si>
  <si>
    <t>NVMY34535000001481</t>
  </si>
  <si>
    <t>HELMI</t>
  </si>
  <si>
    <t>NO.23, LORONG BUKIT JURU 7, TAMAN BUKIT JURU, 14100 SIMPANG AMPAT, PENANG   Pulau Pinang  14100</t>
  </si>
  <si>
    <t>NVMY34535000001530</t>
  </si>
  <si>
    <t>NURFAGHIRA SYAZA</t>
  </si>
  <si>
    <t>NO A3 JALAN KEMUNING 2 TAMAN KEMUNING 42700 BANTING SELANGOR   Selangor  42700</t>
  </si>
  <si>
    <t>NVMY34535000001551</t>
  </si>
  <si>
    <t>SHASHA</t>
  </si>
  <si>
    <t xml:space="preserve"> LOT 127 , TAMAN NESA SG TERAP , 34100 SELAMA PERAK   Perak  34100</t>
  </si>
  <si>
    <t>NVMY34535000001500</t>
  </si>
  <si>
    <t>NURUL ADILA</t>
  </si>
  <si>
    <t>KG KUNDOR TENGAH, JALAN BUKIT KERAMAT, 71400 PEDAS, NEGERI SEMBILAN   Negeri Sembilan  71400</t>
  </si>
  <si>
    <t>NVMY34535000001507</t>
  </si>
  <si>
    <t>NOR SHAHIDA</t>
  </si>
  <si>
    <t>NO48. JALAN21 TAMAN BUNGA RAYA 33000, KUALA KANGSAR PERAK  Perak  Perak  33000</t>
  </si>
  <si>
    <t>NVMY34535000001526</t>
  </si>
  <si>
    <t>MUHD ASYRAFF</t>
  </si>
  <si>
    <t>NO 29, RUMAH KILAT KOTA KECIL, KOTA TINGGI 81900 JOHOR   Johor  81900</t>
  </si>
  <si>
    <t>NVMY34535000001543</t>
  </si>
  <si>
    <t>NORIZA BT DAUD</t>
  </si>
  <si>
    <t>A-7-20 PPR SERI MALAYSIA JALAN 1/125A DESA PETALING 57100 KUAAL LUMPUR   Kuala Lumpur  57100</t>
  </si>
  <si>
    <t>NVMY34535000001554</t>
  </si>
  <si>
    <t>AHMAD DAINURI BIN MOHD NARIZAN</t>
  </si>
  <si>
    <t>BATU 16 KAMPUNG ALUR TUMAN 21600 MARANG TERENGGANU   Terengganu  21600</t>
  </si>
  <si>
    <t>NVMY34535000001544</t>
  </si>
  <si>
    <t>MOHD FAUZI</t>
  </si>
  <si>
    <t>NO.13 PERUMAHAN KAKITANGAN KILANG SAWIT FELCRA NASARUDDIN 32600 BOTA KANAN PERAK   Perak  32600</t>
  </si>
  <si>
    <t>NVMY34535000001541</t>
  </si>
  <si>
    <t>VICTOR WONG</t>
  </si>
  <si>
    <t>NO 8 JALAN DESA MAJU TAMAN DESA KUALA LUMPUR   Kuala Lumpur  58100</t>
  </si>
  <si>
    <t>11-DSA-86</t>
  </si>
  <si>
    <t>NVMY34535000001443</t>
  </si>
  <si>
    <t>NISHA HAZREEN</t>
  </si>
  <si>
    <t>NO 13, JALAN BACANG 21, TAMAN KOTA MASAI, 81700 PAIR GUDANG, JOHOR   Johor  81700</t>
  </si>
  <si>
    <t>NVMY34535000001476</t>
  </si>
  <si>
    <t>HAIKAL KAMRY</t>
  </si>
  <si>
    <t xml:space="preserve"> NO 26 JALAN SRI SULONG 39 TAMAN INDUSTRI SRI SULONG 83500 BATU PAHAT JOHOR   Johor  83500</t>
  </si>
  <si>
    <t>NVMY34535000001402</t>
  </si>
  <si>
    <t>MOHAMAD AMIRUL</t>
  </si>
  <si>
    <t>T3-47 BLOK 1 TAMAN DESA RAKYAT PERDANA 81700 PASIR GUDANG JOHOR   Johor  81700</t>
  </si>
  <si>
    <t>NVMY34535000001532</t>
  </si>
  <si>
    <t>HAZREEN (MAK)</t>
  </si>
  <si>
    <t>NO 215 JALAN TAMAN BIDARA 1/7, TAMAN BIDARA 68100 BATU CAVES SELANGOR   Selangor  my 68100</t>
  </si>
  <si>
    <t>NVMY34535000001535</t>
  </si>
  <si>
    <t>NORSYAMILA BT MUKHTAR</t>
  </si>
  <si>
    <t>NO 7 PERSIARAN BAHAGIA 1/2 A, TAMAN BAHAGIA COURT 28000 TEMERLOH PAHANG   Pahang  28000</t>
  </si>
  <si>
    <t>NVMY34535000001520</t>
  </si>
  <si>
    <t>MUHAMAD SHAHRULRIZZUAN BIN ISMAIL</t>
  </si>
  <si>
    <t>809A BAGAN LEBAI TAHIR 13050 BUTTERWORTH PULAU PINANG   Pulau Pinang  13050</t>
  </si>
  <si>
    <t>NVMY34535000001527</t>
  </si>
  <si>
    <t>HAZIEYANTI BINTI SOEGIJONO</t>
  </si>
  <si>
    <t>NO 21 JALAN KIAMBANGSARI 3 BANDAR SG BUAYA 48010 RAWANG SELANGOR   Selangor  48010</t>
  </si>
  <si>
    <t>NVMY34535000001547</t>
  </si>
  <si>
    <t>MUHAMMAD KHAIR AMIRUL BIN MUHAMMAD AKMAL</t>
  </si>
  <si>
    <t>BATU 22 1/2 KG PADANG KEMUNTING, PENGKALAN BALAK, 78300 MASJID TANAH MELAKA   Melaka  78300</t>
  </si>
  <si>
    <t>NVMY34535000001537</t>
  </si>
  <si>
    <t>NVMY34535000001542</t>
  </si>
  <si>
    <t>MOHD NEDZAM MUSTAPHA KAMAL</t>
  </si>
  <si>
    <t>NO 42 JALAN ZAPIN 4, TAMAN SKUDAI BARU, SKUDAI JOHOR   Johor  81300</t>
  </si>
  <si>
    <t>NVMY34535000001529</t>
  </si>
  <si>
    <t>MASHITOH BINTI ALIAS</t>
  </si>
  <si>
    <t>KAMPUNG KUBANG PALAS 06300 KUALA NERANG, KEDAH DARUL AMAN   Kedah  06300</t>
  </si>
  <si>
    <t>NVMY34535000001405</t>
  </si>
  <si>
    <t>ROZARINA GANI</t>
  </si>
  <si>
    <t>KFC BATARAS, LOT G1,G2&amp;G3, JALAN DATUK CHONG THEIN VUN 91007 TAWAU SABAH   Sabah  91007</t>
  </si>
  <si>
    <t>NVMY34535000001539</t>
  </si>
  <si>
    <t>MUHD RAHMAT</t>
  </si>
  <si>
    <t>NO 8 JALAN SI8 TAMAN SAUJANA INDAH BUKIT KATIL MELAKA   Melaka  75450</t>
  </si>
  <si>
    <t>NVMY34535000001546</t>
  </si>
  <si>
    <t>AKMAL HAKKHA</t>
  </si>
  <si>
    <t>KS34D JALAN BENDAHARA 1 ,FELCRA CHANGKAT LADA, 36800 KG GAJAH, PERAK   Perak  36800</t>
  </si>
  <si>
    <t>NVMY34535000001523</t>
  </si>
  <si>
    <t>MUHAMMAD KHAIRUL AZMAN BIN ARMAMUR</t>
  </si>
  <si>
    <t>PANGSAPURI IXORA, JALAN RUSA 55100 KUALA LUMPUR   Kuala Lumpur  55100</t>
  </si>
  <si>
    <t>NVMY34535000001524</t>
  </si>
  <si>
    <t>AMIR WAFI</t>
  </si>
  <si>
    <t>NO 2 LORONG SEPADU 28 TAMAN SEPADU 13300 TASEK GELUGOR PULAU PINANG   Pulau Pinang  13300</t>
  </si>
  <si>
    <t>NVMY34535000001552</t>
  </si>
  <si>
    <t>MUHAMMAD DARWI BIN KHARUDIN</t>
  </si>
  <si>
    <t>KAMPUNG BUKIT HITAM 09110 BALING KEDAH   Kedah  09110</t>
  </si>
  <si>
    <t>NVMY34535000001538</t>
  </si>
  <si>
    <t>LOW BOK KEONG</t>
  </si>
  <si>
    <t>NO 14 JALAN BUKIT JATI 2, TAMAN BUKIT JATI, 41000 KLANG SELANGOR   Selangor  41000</t>
  </si>
  <si>
    <t>11-KLG-83</t>
  </si>
  <si>
    <t>NVMY34535000001421</t>
  </si>
  <si>
    <t>MOHD ADAM HAIQAL BIN ERAZLAN</t>
  </si>
  <si>
    <t>BLOK 6B , LOT 10 , TAMAN WAWASAN II BEAUFORT , 89800 SABAH   Sabah  89800</t>
  </si>
  <si>
    <t>NVMY34535000001536</t>
  </si>
  <si>
    <t>AHMAD NABIL</t>
  </si>
  <si>
    <t>SELANGOR TURF CLUB JALAN SUNGAI BESI KUALA LUMPUR   Kuala Lumpur  57100</t>
  </si>
  <si>
    <t>NVMY34535000001511</t>
  </si>
  <si>
    <t>MUHAMMAD NOOR AZIM</t>
  </si>
  <si>
    <t>NO 29,31,33 JALAN CANGGIH 5, TAMAN PERINDUSTRIAN CEMERLANG, 81800 ULU TIRAM, JOHOR   Johor  81800</t>
  </si>
  <si>
    <t>NVMY34535000001553</t>
  </si>
  <si>
    <t>ADAM FARISH</t>
  </si>
  <si>
    <t xml:space="preserve"> 2 - 12B , RUMAH PANGSA TROPIKAL, LORONG MACANG BUBOK 34 ,14000 BUKIT MERTAJAM , PULAU PINANG  Pulau Pinang  Pulau Pinang  14000</t>
  </si>
  <si>
    <t>NVMY34535000001528</t>
  </si>
  <si>
    <t>LILY SUHANA BTE HUSAIN</t>
  </si>
  <si>
    <t>WIPRO UNZA MANUFACTURING SERVICE SDN BHD, LOT 5755/1 KAMPUNG BUKIT ANGKAT, SUNGAI CHUA 43000 KAJANG SELANGOR   Selangor  43000</t>
  </si>
  <si>
    <t>NVMY34535000001533</t>
  </si>
  <si>
    <t>MOHAMAD AIZULHAKIM BIN ALIAS</t>
  </si>
  <si>
    <t>JALAN KUBUR BUNUT RENDANG, KG GONG DATOK 16800 PASIR PUTEH, KELANTAN   Kelantan  16800</t>
  </si>
  <si>
    <t>NVMY34535000001517</t>
  </si>
  <si>
    <t>NOR BINTI ABAS</t>
  </si>
  <si>
    <t>NO 9 JALAN SEKSYEN 1/10 TAMAN KAJANG UTAMA 43000 KAJANG SELANGOR   Selangor  43000</t>
  </si>
  <si>
    <t>NVMY34535000001549</t>
  </si>
  <si>
    <t>MUHAMAD SHAHRUL EZZAT BIN MURAT</t>
  </si>
  <si>
    <t>NO 60 BATU 12 SUNGAI BAHARU 34350 KUALA KURAU PERAK   Perak  my 34350</t>
  </si>
  <si>
    <t>NVMY34535000001531</t>
  </si>
  <si>
    <t>FAKRUL HELMY</t>
  </si>
  <si>
    <t>NO 103C JALAN KUPANG 4 1/2 SKUDAI KIRI 81200 JOHOR BAHRU, JOHOR  Johor  Johor  81200</t>
  </si>
  <si>
    <t>NVMY34535000001209</t>
  </si>
  <si>
    <t>NORAZIAH BT RONI</t>
  </si>
  <si>
    <t>SINGER KUDAT NO BANGUNAN 1286 BLOK F PEKAN TOMBORUNGUS KUDAT 89058 SABAH   Sabah  89058</t>
  </si>
  <si>
    <t>NVMY34535000001550</t>
  </si>
  <si>
    <t>MUHD IQMAL BIN ABDUL HALIM</t>
  </si>
  <si>
    <t>PT153081, LORONG PANDAN DAMAI 2/25, KG LUBUK PUYU, KUANTAN 25150, PAHANG    Pahang  25150</t>
  </si>
  <si>
    <t>NVMY34535000001452</t>
  </si>
  <si>
    <t>ROZIAH BINTI AMAN</t>
  </si>
  <si>
    <t>D83 KG MELAYU SRI KUNDANG 48050 RAWANG SELANGOR   Selangor  48050</t>
  </si>
  <si>
    <t>NVMY34535000001478</t>
  </si>
  <si>
    <t>RICHELLE</t>
  </si>
  <si>
    <t>SISWAPOST UMT LOT 6&amp;7 STUDENT MALL COMPLEX UNIVERSITI MALAYSIA TERENGGANU 21030 KUALA NERUS TERENGGANU   Terengganu  21030</t>
  </si>
  <si>
    <t>NVMY34535000001548</t>
  </si>
  <si>
    <t>MAIYUDARNI</t>
  </si>
  <si>
    <t>BATU 18 LORONG KEMBOJA LOT 2425 KUANG 48050 SELANGOR   Selangor  my 48050</t>
  </si>
  <si>
    <t>NVMY34535000001540</t>
  </si>
  <si>
    <t>JURIANA MAT YUSOFF</t>
  </si>
  <si>
    <t>NO 955-I KG LEMBAH SG CHOH RAWANG SELANGOR   Selangor  48000</t>
  </si>
  <si>
    <t>NVMY34535000001400</t>
  </si>
  <si>
    <t>GILBERT AK JACKIE</t>
  </si>
  <si>
    <t>NO 93B LORONG KARANG B KAMPUNG PICHIN 94750 TEBAKANG SERIAN SARAWAK   Sarawak  my 94750</t>
  </si>
  <si>
    <t>NVMY34535000001576</t>
  </si>
  <si>
    <t>AMIR IKHWAN</t>
  </si>
  <si>
    <t xml:space="preserve"> LOT 760 PADANG PALOH 20050 KUALA TERNGGANU   Terengganu  20050</t>
  </si>
  <si>
    <t>NVMY34535000001485</t>
  </si>
  <si>
    <t>FARISHAH ASHIRA</t>
  </si>
  <si>
    <t xml:space="preserve"> JA 5685, JALAN BB 2b, TAMAN BEMBAN BARU 77200 BEMBAN JASIN MELAKA, JASIN, 77200, MELAKA   Melaka  77200</t>
  </si>
  <si>
    <t>NVMY34535000001564</t>
  </si>
  <si>
    <t>MUHAMMAD ZAKIRUL HISHAM BIN MD GHANI</t>
  </si>
  <si>
    <t>A1344 KAMPUNG PADANG NENAS MENGABANG TELIPOT 21030 KUALA TERENGGANU, TERENGGANU   Terengganu  my 21030</t>
  </si>
  <si>
    <t>NVMY34535000001556</t>
  </si>
  <si>
    <t>CHE NUR ARNI NAZIRA</t>
  </si>
  <si>
    <t>145-A KG MASJID HAJI KADIR JLN PASIR PANJANG 21100 KUALA TERENGGANU, TERENGGANU   Terengganu  21100</t>
  </si>
  <si>
    <t>NVMY34535000001555</t>
  </si>
  <si>
    <t>HALIM BIN ABDULLAH</t>
  </si>
  <si>
    <t>MRSM TUN GHAZALI SHAFIE KM7, JALAN KUALA LIPIS 27200 KUALA LIPIS, PAHANG   Pahang  27200</t>
  </si>
  <si>
    <t>NVMY34535000001560</t>
  </si>
  <si>
    <t>SALMA ADRIANA</t>
  </si>
  <si>
    <t>LOT 692, KG BAUNG, LORONG MASJID DALAM, PENGKALAN CHEPA 16100 KOTA BHARU, KELANTAN   Kelantan  16100</t>
  </si>
  <si>
    <t>NVMY34535000001498</t>
  </si>
  <si>
    <t>MUHD QHAIYYUM</t>
  </si>
  <si>
    <t xml:space="preserve"> 2178-01, TKT SG. GELUGOR 8, 11700, GELUGOR, PULAU PINANG   Pulau Pinang  11700</t>
  </si>
  <si>
    <t>NVMY34535000001570</t>
  </si>
  <si>
    <t>FARRA EDRINA</t>
  </si>
  <si>
    <t>LOT 1049, TAMAN SRI JIAS,17000 PASIR MAS, KELANTAN   Kelantan  17000</t>
  </si>
  <si>
    <t>NVMY34535000001525</t>
  </si>
  <si>
    <t>MUHAMMAD NURFIKRI</t>
  </si>
  <si>
    <t>LOT 127, KAMPUNG SUNGAI PINANG DALAM BATU 2 JALAN KAPAR 41400 KLANG, SELANGOR   Selangor  41400</t>
  </si>
  <si>
    <t>NVMY34535000001568</t>
  </si>
  <si>
    <t>MUHAMMAD SUFI</t>
  </si>
  <si>
    <t>NO 2 RUMAH SEJAHTERA KAMPUNG TELOK MELATI CHENOR 28100 PAHANG   Pahang  28100</t>
  </si>
  <si>
    <t>NVMY34535000001571</t>
  </si>
  <si>
    <t>ISKANDAR</t>
  </si>
  <si>
    <t>18-3-9 Pangsapuri Indah Mas, Jalan Ikan Emas,  56000 Cheras, KL   Kuala Lumpur  56000</t>
  </si>
  <si>
    <t>NVMY34535000001575</t>
  </si>
  <si>
    <t>YAZZERI</t>
  </si>
  <si>
    <t>287 LORONG MESRA 14 TAMAN RIA MESRA 08300 GURUN KEDAH   Kedah  08300</t>
  </si>
  <si>
    <t>NVMY34535000001470</t>
  </si>
  <si>
    <t>ROSE DIANA JUNID</t>
  </si>
  <si>
    <t>DOREMART SDN BHD @ K07  GROUND FLOOR, LOT1958-1964, BLOCK233 KNID, NO.208-215, PEKA N BATU 7 (KOTA SAMARAHAN) 93250 KUCHING, SARAWAK   Sarawak  93250</t>
  </si>
  <si>
    <t>NVMY34535000001596</t>
  </si>
  <si>
    <t>SURAYA BINTI REMIN</t>
  </si>
  <si>
    <t>NO 10 LORONG MEWAH 14 BANDAR TUN RAZAK 56000 CHERAS KUALA LUMPUR   Kuala Lumpur  56000</t>
  </si>
  <si>
    <t>NVMY34535000001590</t>
  </si>
  <si>
    <t>MOHD SHAHROL HANIF BIN IBRAHIM</t>
  </si>
  <si>
    <t>B181 PERINGKAT 3 BANDAR CHENEH BARU 24000 KEMAMAN TERENGGANU   Terengganu  24000</t>
  </si>
  <si>
    <t>NVMY34535000001567</t>
  </si>
  <si>
    <t>NUR WASHIDAH ABD RAHIM</t>
  </si>
  <si>
    <t>16-01 PURI TOWER PERSIARAN SAUJANA PUCHONG BANDAR BUKIT PUCHONG PETALING JAYA  47100 SELANGOR   Selangor  47100</t>
  </si>
  <si>
    <t>NVMY34535000001561</t>
  </si>
  <si>
    <t>MEKLIN</t>
  </si>
  <si>
    <t>POS48, TL74 KAMPUNG PARIT KUDA, 83600 SEMERAH, BATU PAHAT, JOHOR   Johor  83600</t>
  </si>
  <si>
    <t>NVMY34535000001545</t>
  </si>
  <si>
    <t>MELNA ASAKIL AMAN</t>
  </si>
  <si>
    <t>PPR TAMAN HARMONI BLOK I TINGKAT 4 LOT 12 BATU 3 JALAN BOMBA 90000 SANDAKAN SABAH   Sabah  90000</t>
  </si>
  <si>
    <t>NVMY34535000001574</t>
  </si>
  <si>
    <t>MUHAMMAD AKASYAH BIN MOHD NAZRI</t>
  </si>
  <si>
    <t>NO 110-6 KAMPUNG SUNGAI DURIAN 82300 KUKUP PONTIAN JOHOR   Johor  82300</t>
  </si>
  <si>
    <t>NVMY34535000001562</t>
  </si>
  <si>
    <t>INSP NUR FATIN NADIRA BINTI ROSDI</t>
  </si>
  <si>
    <t>BAHAGIAN SIASATAN JENAYAH NARKOTIK, IBU PEJABAT POLIS DAERAH KUALA LANGAT 42700 BANTING, SELANGOR   Selangor  42700</t>
  </si>
  <si>
    <t>NVMY34535000001583</t>
  </si>
  <si>
    <t>MUHAMMAD AMIRUL RAFIKI BIN MOHD YUSOF</t>
  </si>
  <si>
    <t>LOT 6053 GONG PASIR LORONG 2 KIRI DUNGUN 23000 TERENGGANU   Terengganu  my 23000</t>
  </si>
  <si>
    <t>NVMY34535000001573</t>
  </si>
  <si>
    <t>IZYAN FARHANAH</t>
  </si>
  <si>
    <t>NO26, JALAN 4 TAMAN GOMBAK, 68100 BATU CAVES, SELANGOR   Selangor  68100</t>
  </si>
  <si>
    <t>NVMY34535000001569</t>
  </si>
  <si>
    <t>NURUL AZMIZA NATASHA</t>
  </si>
  <si>
    <t>NO 14 BATU 35 KAMPUNG SRI SEMPURNA JALAN LAYANG LAYANG BUKIT BATU 81000 KULAI JOHOR   Johor  81000</t>
  </si>
  <si>
    <t>NVMY34535000001585</t>
  </si>
  <si>
    <t>AMIN</t>
  </si>
  <si>
    <t>NO 5 BUKIT PERMAI UTAMA 1 (J&amp;TEXPRESS SGR311), KUALA LUMPUR, 56100, KUALA LUMPUR   Kuala Lumpur  56100</t>
  </si>
  <si>
    <t>NVMY34535000001594</t>
  </si>
  <si>
    <t>NOOR FAZIRA BT ROSLAN</t>
  </si>
  <si>
    <t>LOT 3674-27 LORONG IKAN LAMPAN 1 KG. BUKIT LANCONG 40400 SHAH ALAM SELANGOR   Selangor  40400</t>
  </si>
  <si>
    <t>NVMY34535000001557</t>
  </si>
  <si>
    <t>FARAH ANID</t>
  </si>
  <si>
    <t>BLOCK 3-5-13, MUTIARA COURT, TAMAN BUKIT PERMAI 56100 CHERAS, KUALA LUMPUR   Kuala Lumpur  56100</t>
  </si>
  <si>
    <t>NVMY34535000001584</t>
  </si>
  <si>
    <t>AFNAN FARHI HAKIMI</t>
  </si>
  <si>
    <t>NO.5, JALAN 3/27, SEKSYEN 3, 43650, BANDAR BARU BANGI, SELANGOR   Selangor  43650</t>
  </si>
  <si>
    <t>NVMY34535000001589</t>
  </si>
  <si>
    <t>AHMAD MUHSIN BIN MD.YUSOFF</t>
  </si>
  <si>
    <t>PT7890 KAMPUNG SUNGAI BUAYA,DUNGUN,TERENGGANU   Terengganu  23000</t>
  </si>
  <si>
    <t>NVMY34535000001565</t>
  </si>
  <si>
    <t>INTAN FARHANA BINTI ADANAN</t>
  </si>
  <si>
    <t>LOT 685 KAMPUNG SUNGAI MACHANG HILIR 71750 LENGGENG MANTIN NEGERI SEMBILAN   Negeri Sembilan  71750</t>
  </si>
  <si>
    <t>NVMY34535000001586</t>
  </si>
  <si>
    <t>MUHAMMAD KHAIRUL AZHAR BIN MOHD GHAZALI</t>
  </si>
  <si>
    <t>A-3-5 PANGSAPURI PERMAI JALAN PJS 1/25 PETALING UTAMA 7 46000 PETALING JAYA SELANGOR   Selangor  my 46000</t>
  </si>
  <si>
    <t>NVMY34535000001572</t>
  </si>
  <si>
    <t>NORRUZILA BINTI NIK ISMAIL</t>
  </si>
  <si>
    <t>NOM1 LORONG CEMPEDAK 10 TAMAN CEMPEDAK 13300 TASEK GELUGOR PULAU PINANG   Pulau Pinang  13300</t>
  </si>
  <si>
    <t>NVMY34535000001566</t>
  </si>
  <si>
    <t>ZURINA</t>
  </si>
  <si>
    <t>45 KAMPUNG TERSUSUN PARIT SERAYA 82200 BENUT PONTIAN JOHOR    Johor  82200</t>
  </si>
  <si>
    <t>NVMY34535000001559</t>
  </si>
  <si>
    <t>NURUL AIN NATASHA BINTI AZMAN</t>
  </si>
  <si>
    <t>NO 40 JALAN BM 2/7 SEKSYEN 2 BANDAR BUKIT MAHKOTA BANGI 43000 KAJANG, SELANGOR   Selangor  43000</t>
  </si>
  <si>
    <t>NVMY34535000001563</t>
  </si>
  <si>
    <t>NURUL AIN BT KHAZALI</t>
  </si>
  <si>
    <t>NO A51, JALAN TAMAN UNIVERSITI 6, 08100 BEDONG, KEDAH DARUL AMAN   Kedah  08100</t>
  </si>
  <si>
    <t>NVMY34535000001558</t>
  </si>
  <si>
    <t>FARAH ZULKIFLI</t>
  </si>
  <si>
    <t>NO 9 JLN PGBF 2/1 TAMAN PGBF SUNGAI SIBOL 2 81440 BANDAR TENGGARA, JOHOR   Johor  81440</t>
  </si>
  <si>
    <t>NVMY34535000001577</t>
  </si>
  <si>
    <t>FAZIL BIN MOHD REEZAl</t>
  </si>
  <si>
    <t>A-09-15 PPR PEKAN BATU, BATU 5 JALAN IPOH 51200 PERAK   Perak  51200</t>
  </si>
  <si>
    <t>NVMY34535000001597</t>
  </si>
  <si>
    <t>ZARITH NADIA BT MOHD NOH</t>
  </si>
  <si>
    <t>IMPERIAL HERITAGE HOTEL NO.1 JALAN MERDEKA 1 TAMAN MELAKA RAYA 75000 MELAKA   Melaka  75000</t>
  </si>
  <si>
    <t>NVMY34535000001587</t>
  </si>
  <si>
    <t>MUHAMMAD NUR HILMI BIN MAZLAN</t>
  </si>
  <si>
    <t>MITC HOTEL, MELAKA INTERNATIONAL TRADE CENTRE, AYER KEROH, 75450 MELAKA   Melaka  75450</t>
  </si>
  <si>
    <t>NVMY34535000001588</t>
  </si>
  <si>
    <t>KEDAI BUNGA YONGHO POTREY DEPAN CALTEX LOT 367 JALAN MAHSAN, 72100, BAHAU, NEGERI SEMBILAN   Negeri Sembilan  72100</t>
  </si>
  <si>
    <t>NVMY34535000001592</t>
  </si>
  <si>
    <t>ALWINA EDWARD</t>
  </si>
  <si>
    <t>KIMS MART 7 &amp; 9 JALAN SOLARIS 2, SOLARIS MONT KIARA 50480 KUALA LUMPUR   Kuala Lumpur  50480</t>
  </si>
  <si>
    <t>NVMY34535000001534</t>
  </si>
  <si>
    <t>FATIMAH BINTI SALLEH</t>
  </si>
  <si>
    <t>TAMAN SUTERA, LORONG 2, LOT 47B 91309 SEMPORNA SABAH   Sabah  91309</t>
  </si>
  <si>
    <t>NVMY34535000001636</t>
  </si>
  <si>
    <t>EZRIN BINTI ISMAIL</t>
  </si>
  <si>
    <t>NO 5 JALAN DAHLIA 3 TAMAN DAHLIA 26800 KUALA ROMPIN PAHANG   Pahang  26800</t>
  </si>
  <si>
    <t>NVMY34535000001602</t>
  </si>
  <si>
    <t>NOR AIDANI IBRAHIM</t>
  </si>
  <si>
    <t>D-09-02 APARTMEN PUDINA BLOK D, NO 2 JALAN KASTURI, PRESINT 17 62150 PUTRAJAYA   Putrajaya  62150</t>
  </si>
  <si>
    <t>NVMY34535000001620</t>
  </si>
  <si>
    <t>NUREEN AQILAH</t>
  </si>
  <si>
    <t>NO 83 FASA 1A TAMAN MURNI PERDANA 23100 PAKA TERENGGANU   Terengganu  23100</t>
  </si>
  <si>
    <t>NVMY34535000001622</t>
  </si>
  <si>
    <t>SUHAIDA BT IBRAHIM</t>
  </si>
  <si>
    <t>A-186 FELDA JENGKA 6 26410 BANDAR JENGKA PAHANG   Pahang  26410</t>
  </si>
  <si>
    <t>NVMY34535000001612</t>
  </si>
  <si>
    <t>ALIA FARHANA BINTI AHMAD</t>
  </si>
  <si>
    <t>NO 38, JALAN AIR MANIS 4, TAMAN AIR MANIS, 45200, SABAK BERNAM, SELANGOR   Selangor  45200</t>
  </si>
  <si>
    <t>NVMY34535000001611</t>
  </si>
  <si>
    <t>CT NURHAINI</t>
  </si>
  <si>
    <t>PT 3620, JALAN PANGKAL KALONG, TAMAN YAYASAN ISLAM KELANTAN (YIK), KOK LANAS, 16450 KOTA BHARU, KELANTAN   Kelantan  my 16450</t>
  </si>
  <si>
    <t>NVMY34535000001599</t>
  </si>
  <si>
    <t>SYAFIQAH</t>
  </si>
  <si>
    <t>NO 2371 JALAN BPJ 1/20 BANDAR PUTERI JAYA 08000 SUNGAI PETANI KEDAH   Kedah  08000</t>
  </si>
  <si>
    <t>NVMY34535000001617</t>
  </si>
  <si>
    <t>NAJWA</t>
  </si>
  <si>
    <t>274, KAMPUNG RAHMAT, CHALOK 21450 SETIU TERENGGANU   Terengganu  21450</t>
  </si>
  <si>
    <t>NVMY34535000001591</t>
  </si>
  <si>
    <t>AMIR MUIZ</t>
  </si>
  <si>
    <t>NO 24, TAMAN KESEDAR PUTRA 18300 GUA MUSANG KELANTAN   Kelantan  18300</t>
  </si>
  <si>
    <t>NVMY34535000001601</t>
  </si>
  <si>
    <t>ALIYY</t>
  </si>
  <si>
    <t>B-01-10 PANGSAPURI DAMAI SENJA JALAN PJS1/52 TAMAN PETALING UTAMA 46000 PETALING JAYA SELANGOR   Selangor  46000</t>
  </si>
  <si>
    <t>NVMY34535000001621</t>
  </si>
  <si>
    <t>WAN ADRIANA</t>
  </si>
  <si>
    <t xml:space="preserve"> LOT 7666 JALAN BESAR KAMPUNG NYIOR 23100 PAKA ,TERENGGANU   Terengganu  23100</t>
  </si>
  <si>
    <t>NVMY34535000001579</t>
  </si>
  <si>
    <t>NUR NASZIERA BT ZALI</t>
  </si>
  <si>
    <t>BATU 4, LORONG BUKIT DUYUNG 5, 75460 MELAKA   Melaka  75460</t>
  </si>
  <si>
    <t>NVMY34535000001600</t>
  </si>
  <si>
    <t>NAZATUL IRMA JAAFAR</t>
  </si>
  <si>
    <t>NO 18 - G - 3 DESA WANGSA, JALAN PERMATANG DAMAR LAUT, 11960 BAYAN LEPAS PULAU PINANG   Pulau Pinang  11960</t>
  </si>
  <si>
    <t>NVMY34535000001582</t>
  </si>
  <si>
    <t>FAUZAN IZANEE</t>
  </si>
  <si>
    <t>NO233 JALAN SEKOLAH TUN ISMAIL 86400 PARIT RAJA BATU PAHAT JOHOR   Johor  86400</t>
  </si>
  <si>
    <t>NVMY34535000001625</t>
  </si>
  <si>
    <t>WAN</t>
  </si>
  <si>
    <t xml:space="preserve"> ARAS 1 NO 219 JALAN 18/23 TAMAN SERI SERDANG SERI KEMBANGAN 43300 SELANGOR   Selangor  43300</t>
  </si>
  <si>
    <t>NVMY34535000001578</t>
  </si>
  <si>
    <t>ANWAR</t>
  </si>
  <si>
    <t xml:space="preserve"> B-5-7 PANGSAPURI CARMILA JALAN SEPAH PUTERI 5/1 SEKSYEN 5 KOTA DAMANSARA 47810 PETALING JAYA, SELANGOR   Selangor  47810</t>
  </si>
  <si>
    <t>NVMY34535000001598</t>
  </si>
  <si>
    <t>NURUL AINI SOFIA BT ABDUL SAMAD</t>
  </si>
  <si>
    <t xml:space="preserve"> LOT190695 JALAN BUNGA RAYA, KAMPUNG TASEK, 31400 IPOH, PERAK   Perak  31400</t>
  </si>
  <si>
    <t>NVMY34535000001613</t>
  </si>
  <si>
    <t>HAILIYANA HAZWANI</t>
  </si>
  <si>
    <t>8-21-01 RUMAHPANGSA PPR DESA TUN RAZAK JLN 9/118B CHERAS 56000 KUALA LUMPUR   Kuala Lumpur  56000</t>
  </si>
  <si>
    <t>NVMY34535000001581</t>
  </si>
  <si>
    <t>MUHAMMAD SYAHID</t>
  </si>
  <si>
    <t>BATU 17 1/2 KAMPUNG MELEKAK 78000 ALOR GAJAH MELAKA   Melaka  78000</t>
  </si>
  <si>
    <t>NVMY34535000001623</t>
  </si>
  <si>
    <t>NURUL HUDA BT IBRAHIM</t>
  </si>
  <si>
    <t>NO 65 JALAN PULASAN 2 TAMAN KOTA MASAT 81700 PASIR GUDANG JOHOR   Johor  81700</t>
  </si>
  <si>
    <t>JHB-JHB</t>
  </si>
  <si>
    <t>NVMY34535000001633</t>
  </si>
  <si>
    <t>MOHD ZULFAHMI BIN MAHSIM</t>
  </si>
  <si>
    <t>NO 44 JALAN PALMA 1/2 BANDAR HILLPARK 42300 PUNCAK ALAM SELANGOR   Selangor  42300</t>
  </si>
  <si>
    <t>NVMY34535000001580</t>
  </si>
  <si>
    <t>NAZMAN JENG</t>
  </si>
  <si>
    <t>KIRAMAX SABAH SDN BHD 1113 JALAN DOMINIC 91000 TAWAU SABAH   Sabah  91000</t>
  </si>
  <si>
    <t>NVMY34535000001614</t>
  </si>
  <si>
    <t>VIGNESH</t>
  </si>
  <si>
    <t>04-03 BLOK W JALAN CANTIK 7 TAMAN PELANGI INDAH 81800 ULU TIRAM JOHOR   Johor  81800</t>
  </si>
  <si>
    <t>NVMY34535000001608</t>
  </si>
  <si>
    <t>NVMY34535000001628</t>
  </si>
  <si>
    <t>MUHAMAD ALIF AKMAL BIN ABDUL RASSID</t>
  </si>
  <si>
    <t>NO 46 JALAN BESTARI 2 TAMAN BESTARI KULIM 09000 KEDAH   Kedah  09000</t>
  </si>
  <si>
    <t>5-KLM-27</t>
  </si>
  <si>
    <t>NVMY34535000001638</t>
  </si>
  <si>
    <t>HAFIZI</t>
  </si>
  <si>
    <t>LOT 414, KAMPUNG ALOR PASIR BINTANG 22040 SETIU, TERENGGANU   Terengganu  22040</t>
  </si>
  <si>
    <t>NVMY34535000001618</t>
  </si>
  <si>
    <t>FATNIN</t>
  </si>
  <si>
    <t>269 , JALAN M0ARGOSA 9 TAMAN BUKIT MARGOSA 70400 SEREMBAN NEGERI SEMBILAN   Negeri Sembilan  70400</t>
  </si>
  <si>
    <t>NVMY34535000001607</t>
  </si>
  <si>
    <t>ZULKARNAIN ZULKAFLI</t>
  </si>
  <si>
    <t>TOWER A 2201 WOODSBURY SUITES JALAN CHAIN FERRY 12100 BUTTERWORTH PENANG   Pulau Pinang  12100</t>
  </si>
  <si>
    <t>5-BWH-28</t>
  </si>
  <si>
    <t>NVMY34535000001605</t>
  </si>
  <si>
    <t>NAZERA</t>
  </si>
  <si>
    <t>NO.37,  A KAMPUNG PERAH 33300 GERIK PERAK   Perak  33300</t>
  </si>
  <si>
    <t>NVMY34535000001483</t>
  </si>
  <si>
    <t>NANA NIESYA</t>
  </si>
  <si>
    <t>NO 159 TAMAN AMAN ANAK BUKIT 06550 ALOR SETAR KEDAH  Kedah  Kedah  06550</t>
  </si>
  <si>
    <t>NVMY34535000001629</t>
  </si>
  <si>
    <t>NURADIBAH SAFIAH BAHARI</t>
  </si>
  <si>
    <t>NO 10 LVL 11 PANGSAPURI PUETRI EMAS (FEMALE HOSTEL) LOT PT 17010 PERSIARAN SERIEMAS KOTA SERIEMAS SEREMBAN NEGERI SEMBILAN   Negeri Sembilan  71800</t>
  </si>
  <si>
    <t>NVMY34535000001603</t>
  </si>
  <si>
    <t>SITI AISYAH BINTI MOHD RHOZDI</t>
  </si>
  <si>
    <t>29A-25-17 JLN PAYA TERUBONG GOLDEN TRIANGLE 11900 BAYAN LEPAS PENANG    Pulau Pinang  11900</t>
  </si>
  <si>
    <t>5-BAY-32</t>
  </si>
  <si>
    <t>NVMY34535000001634</t>
  </si>
  <si>
    <t>LAILA BINTI AHMAD</t>
  </si>
  <si>
    <t>1043 JALAN SENTOSA TAMAN SEJAHTERA 09600 LUNAS KEDAH   Kedah  09600</t>
  </si>
  <si>
    <t>NVMY34535000001604</t>
  </si>
  <si>
    <t>FARAH NADIA</t>
  </si>
  <si>
    <t>NO 17 JALAN SG 7/14 TAMAN SERI GOMBAK 68100 BATU CAVES SELANGOR   Selangor  68100</t>
  </si>
  <si>
    <t>NVMY34535000001631</t>
  </si>
  <si>
    <t>SOFEA MEDISPA</t>
  </si>
  <si>
    <t>NO 5-1F JALAN SETIA PERDANA BB U13/BA SETIA ALAM SEKSYEN U13 40170 SHAH ALAM SELANGOR   Selangor  40170</t>
  </si>
  <si>
    <t>NVMY34535000001630</t>
  </si>
  <si>
    <t>NVMY34535000001642</t>
  </si>
  <si>
    <t>SITI MARYAM ABDUL HALIM</t>
  </si>
  <si>
    <t>NO 46 JALAN 5 TAMAN SENTRAL JAYA 28200 BANDAR BERA PAHANG   Pahang  28200</t>
  </si>
  <si>
    <t>NVMY34535000001615</t>
  </si>
  <si>
    <t>FAKHRUSY SYAKIRIN</t>
  </si>
  <si>
    <t>NO.16-50B BATU 1 1/2 JALAN BULOH KASAP, 85000 SEGAMAT, JOHOR  Johor  Johor  85000</t>
  </si>
  <si>
    <t>YPG-YPG</t>
  </si>
  <si>
    <t>NVMY34535000001610</t>
  </si>
  <si>
    <t>NURUL FATIN ZAMILAH BT ZAMZURI</t>
  </si>
  <si>
    <t>NO 13 TAMAN BAHAGIA BALAI BARU 02400 BERSERI PERLIS  , Perlis  Perlis MY 02400</t>
  </si>
  <si>
    <t>KDH-KDH</t>
  </si>
  <si>
    <t>NVMY34535000001653</t>
  </si>
  <si>
    <t>NORRA BT A RAZAK</t>
  </si>
  <si>
    <t>1614, KG BUKIT DEPU, JALAN PASIR PANJANG 21100 KUALA TERENGGANU, TERENGGANU   Terengganu  21100</t>
  </si>
  <si>
    <t>NVMY34535000001648</t>
  </si>
  <si>
    <t>SUHADARINA BT MOHD SUKRI</t>
  </si>
  <si>
    <t>LOT 1210 KAMPUNG ATAS PINGGIR 17030 PASIR MAS, KELANTAN   Kelantan  17030</t>
  </si>
  <si>
    <t>NVMY34535000001637</t>
  </si>
  <si>
    <t>HALIM JUSOH</t>
  </si>
  <si>
    <t>LIQUID PALM MILER SDN BHD, KILANG SAWIT LPM, LADANG KUALA BETIS 18300 GUA MUSANG, KELANTAN   Kelantan  18300</t>
  </si>
  <si>
    <t>NVMY34535000001645</t>
  </si>
  <si>
    <t>WAN AZMA AFIZA</t>
  </si>
  <si>
    <t>NO 58 BATU 9 JALAN JERTIH 22300 KUALA BESUT, TERENGGANU   Terengganu  22300</t>
  </si>
  <si>
    <t>NVMY34535000001627</t>
  </si>
  <si>
    <t>DANIAL</t>
  </si>
  <si>
    <t>NO 580 KAMPUNG SEMATANG SERDANG 02700  SIMAPNG AMPAT PERLIS   Perlis  02700</t>
  </si>
  <si>
    <t>3-KGR-12</t>
  </si>
  <si>
    <t>NVMY34535000001652</t>
  </si>
  <si>
    <t>ALEESYA SYAHIRA</t>
  </si>
  <si>
    <t>ASRAMA SMK ZAINAB 1, JALAN TELIPOT 15050 KOTA BHARU KELANTAN   Kelantan  15050</t>
  </si>
  <si>
    <t>NVMY34535000001626</t>
  </si>
  <si>
    <t>RAJA MUHAMMAD SAFWAN BIN RAJA SHAHARUL AMRI</t>
  </si>
  <si>
    <t>NO 597 LORONG NAWA 17 BANDAR UTAMA 08000 SUNGAI PETANI KEDAH   Kedah  08000</t>
  </si>
  <si>
    <t>NVMY34535000001595</t>
  </si>
  <si>
    <t>HIZANI BIN ABDULLAH</t>
  </si>
  <si>
    <t>BLOCK B12 ARAS 2 PEJABAT AM FAKULTI ALAM BINA DAN UKUR 81310 UNIVERSITI TEKNOLOGI MALAYSIA SKUDAI JOHOR  Johor  Johor  81310</t>
  </si>
  <si>
    <t>NVMY34535000001619</t>
  </si>
  <si>
    <t>AZIMUDDIN MOHAMMAD</t>
  </si>
  <si>
    <t>NO 88 KAMPUNG ALOR GANU, 06200 KEPALA BATAS, KEDAH   Kedah  06200</t>
  </si>
  <si>
    <t>3-JIT-13</t>
  </si>
  <si>
    <t>NVMY34535000001677</t>
  </si>
  <si>
    <t>SAZIRA BINTI ABDUL SAMAD @ SAEDIN</t>
  </si>
  <si>
    <t>NO 5 LORONG IM 2/91, TAMAN INDERA MAHKOTA 2, 25200 KUANTAN    Pahang  25200</t>
  </si>
  <si>
    <t>NVMY34535000001655</t>
  </si>
  <si>
    <t>NIK FARID (SODEK)</t>
  </si>
  <si>
    <t>NO 2 JALAN PADI MAHSURI 12,BANDAR BARU UDA 81200 JOHOR BAHRU JOHOR   Johor  81200</t>
  </si>
  <si>
    <t>4-KEM-22</t>
  </si>
  <si>
    <t>NVMY34535000001656</t>
  </si>
  <si>
    <t>NVMY34535000001651</t>
  </si>
  <si>
    <t>SITI SHAMIMI NAJIHA BINTI JAIS</t>
  </si>
  <si>
    <t>POS 56-C1B BELAKANG PASAR SAMERAH, 83600 SEMERAH, BATU PAHAT JOHOR   Johor  83600</t>
  </si>
  <si>
    <t>NVMY34535000001647</t>
  </si>
  <si>
    <t>NUR SYAMIMI BTE CHE UDA</t>
  </si>
  <si>
    <t>NO 1849 JALAN MUTIARA 13/4 TAMAN MUTIARA 09700 KARANGAN, KEDAH   Kedah  09700</t>
  </si>
  <si>
    <t>NVMY34535000001646</t>
  </si>
  <si>
    <t>SHAKIRA KAMARUDDIN</t>
  </si>
  <si>
    <t>123, LORONG SEBERANG BALOK 104, PERUMAHAN BALOK PUTRA 26100 KUANTAN, PAHANG   Pahang  26100</t>
  </si>
  <si>
    <t>NVMY34535000001694</t>
  </si>
  <si>
    <t>SHERYNASYAFIQ</t>
  </si>
  <si>
    <t>NO34 LORONG GD 15, TAMAN GAMBANG DAMAI 26300 KUANTAN GAMBANG   Pahang  26300</t>
  </si>
  <si>
    <t>NVMY34535000001649</t>
  </si>
  <si>
    <t>SYIMAJOLIE</t>
  </si>
  <si>
    <t>NO 2 JALAN DUA KAMPUNG PALEMBANG BARU 86000 KLUANG JOHOR   Johor  86000</t>
  </si>
  <si>
    <t>NVMY34535000001684</t>
  </si>
  <si>
    <t>SITI NUR SYAFIKAH BINTI ZAKARIA</t>
  </si>
  <si>
    <t xml:space="preserve"> LOT 592, KAMPUNG KUCHELONG, BEKELAM, 16070 BACHOK, KELANTAN   Kelantan  16070</t>
  </si>
  <si>
    <t>NVMY34535000001698</t>
  </si>
  <si>
    <t>ROHAINIE NAJWA ROHAZDY</t>
  </si>
  <si>
    <t>126 JALAN ANAK BALAI BESAR 23000 DUNGUN TERENGGANU   Terengganu  23000</t>
  </si>
  <si>
    <t>NVMY34535000001660</t>
  </si>
  <si>
    <t>MOHD SAIDI BIN AZEMI</t>
  </si>
  <si>
    <t>KG SUNGAI KEPA KAWASAN INDUSTRI PULAI GUA MUSANG   Kelantan  18300</t>
  </si>
  <si>
    <t>NVMY34535000001639</t>
  </si>
  <si>
    <t>AZIE ZAKARIA</t>
  </si>
  <si>
    <t>TINGKAT 2 BANGUNAN UMNO JALAN HAJI ABDUL AZIZ 25000 KUANTAN PAHANG   Pahang  25000</t>
  </si>
  <si>
    <t>NVMY34535000001641</t>
  </si>
  <si>
    <t>SHARONI BIN SULAIMAN</t>
  </si>
  <si>
    <t>SHIMA VILLA LOT 1951 BATU 3 JALAN MARAN 28000 TEMERLOH PAHANG   Pahang  28000</t>
  </si>
  <si>
    <t>NVMY34535000001658</t>
  </si>
  <si>
    <t>AZIERANI BINTI JUSOH</t>
  </si>
  <si>
    <t>J1-6 BLOCK JERAI KOMPLEKS PENGUATKUASAAN KASTAM SG.PULAI GELANG PATAH 81560 GELANG PATAH ,JOHOR   Johor  81560</t>
  </si>
  <si>
    <t>NVMY34535000001643</t>
  </si>
  <si>
    <t>ZUREEN</t>
  </si>
  <si>
    <t>NO 2,4&amp;6 JALAN PEGAGA A U12/A DESA ALAM 40170 SHAH ALAM SELANGOR   Selangor  40170</t>
  </si>
  <si>
    <t>NVMY34535000001635</t>
  </si>
  <si>
    <t>MAZNI YUSUF</t>
  </si>
  <si>
    <t>KG TUALANG BATU 30 1/2 32700 BERUAS PERAK  Perak  Perak  32700</t>
  </si>
  <si>
    <t>NVMY34535000001657</t>
  </si>
  <si>
    <t>KAMILAZIM</t>
  </si>
  <si>
    <t>SYSTEM CONSULTANCY SERVICES SDN BHD 36,JALAN WANGSA DELIMA 6,PUSAT BANDAR WANGSA MAJU 53300 KUALA LUMPUR   Kuala Lumpur  53300</t>
  </si>
  <si>
    <t>NVMY34535000001654</t>
  </si>
  <si>
    <t>DESSY PURNAMA SARI</t>
  </si>
  <si>
    <t>6, SOLOK BERINGIN 1, PERMATANG DAMAR LAUT, BATU MAUNG 11900 BAYAN LEPAS, PULAU PINANG   Pulau Pinang  11900</t>
  </si>
  <si>
    <t>NVMY34535000001692</t>
  </si>
  <si>
    <t>mohamad safwan bin che noh</t>
  </si>
  <si>
    <t>ONE TEAM TIMBER SDN. BHD(1226854_A)PT 4777 MUKIM TELEKONG CHE WALL 18000 KUALA KRAI KELANTAN   Kelantan  18000</t>
  </si>
  <si>
    <t>NVMY34535000001632</t>
  </si>
  <si>
    <t>SITI SYAFIQAH BINTI AB KADIR</t>
  </si>
  <si>
    <t>B-03A-03 SOHO EMPIRE JALAN SS16/1 SECTION 16 47500 SUBANG JAYA SELANGOR   Selangor  47500</t>
  </si>
  <si>
    <t>NVMY34535000001697</t>
  </si>
  <si>
    <t>IZATI BINTI ISMAIL</t>
  </si>
  <si>
    <t>LOT 1289-B, LORONG INDAH 8/1, KG. AMPANG INDAH, LEMBAH JAYA SELATAN, 68000 AMPANG SELANGOR   Selangor  68000</t>
  </si>
  <si>
    <t>NVMY34535000001663</t>
  </si>
  <si>
    <t>MUHAMMAD ISKANDAR</t>
  </si>
  <si>
    <t>A05-04, SUNWAY WATERFRONT RESIDENCE SOUTH QUAY 47500 SUNWAY SELANGOR   Selangor  47500</t>
  </si>
  <si>
    <t>NVMY34535000001624</t>
  </si>
  <si>
    <t>MOHD. IKWAN BIN SALMAN</t>
  </si>
  <si>
    <t>TAMAN PERDANA VILLA NO.1 , BEAUFORT,  89808 SABAH   Sabah  89808</t>
  </si>
  <si>
    <t>NVMY34535000001682</t>
  </si>
  <si>
    <t>Nurin Jazlina</t>
  </si>
  <si>
    <t>No 101, Jalan Utama 13, Taman Mutiara Rini, 81300 Skudai, Johor Bahru,Johor   Johor  81300</t>
  </si>
  <si>
    <t>4-NSJ-20</t>
  </si>
  <si>
    <t>NVMY34535000001703</t>
  </si>
  <si>
    <t>JULIANI BINTI MANSOR</t>
  </si>
  <si>
    <t>29 KAMPUNG BUKIT JABAR 21800 AJIL TERENGGANU   Terengganu  21800</t>
  </si>
  <si>
    <t>NVMY34535000001699</t>
  </si>
  <si>
    <t>KANTIN PERTUBUHAN PELADANG GUA MUSANG, JALAN IBU PEJABAT KESEDAR, GUA MUSANG, 18300 KELANTAN   Kelantan  18300</t>
  </si>
  <si>
    <t>NVMY34535000001672</t>
  </si>
  <si>
    <t>SHAFIQ</t>
  </si>
  <si>
    <t>708 MUKIM 3, BUKIT INDRA MUDA , BUKIT MERTAJAM 14000 PULAU PINANG   Pulau Pinang  14000</t>
  </si>
  <si>
    <t>PEN-PEN</t>
  </si>
  <si>
    <t>NVMY34535000001671</t>
  </si>
  <si>
    <t>IROYHIM BIIN MARMIN</t>
  </si>
  <si>
    <t>113 KAMPUNG BARU NELAYAN LORONG 7 SUNGAI BESAR SELANGOR   Selangor  45300</t>
  </si>
  <si>
    <t>NVMY34535000001700</t>
  </si>
  <si>
    <t>NIK NUR MAISARAH BINTI NIK MAZLANI</t>
  </si>
  <si>
    <t>75, JALAN CEMPAKA SARI, TAMAN SRI CEMPAKA, 84000 MUAR JOHOR   Johor  84000</t>
  </si>
  <si>
    <t>NVMY34535000001640</t>
  </si>
  <si>
    <t>NVMY34535000001686</t>
  </si>
  <si>
    <t>Irfan Zulfakhry TAK</t>
  </si>
  <si>
    <t xml:space="preserve"> Institut kemahiran mara jasin Km.32, jalan chinchin, simpang kerayong, peti surat 141, 77008 jasin, melaka.   Melaka  77008</t>
  </si>
  <si>
    <t>9A-JAS-66</t>
  </si>
  <si>
    <t>NVMY34535000001662</t>
  </si>
  <si>
    <t>TT DENTAL LABORATORY</t>
  </si>
  <si>
    <t>NO 20-1F(1) JALAN ORKID 4 TAMAN ORKID 43200 CHERAS SELANGOR DARUL EHSAN   Selangor  43200</t>
  </si>
  <si>
    <t>NVMY34535000001661</t>
  </si>
  <si>
    <t>MUHAMMAD AZRI</t>
  </si>
  <si>
    <t>NO 20 JALAN LAMAN SETIA 2-18 TAMAN LAMAN SETIA JALAN ECO GARDEN 81550 GELANG PATAH JOHOR   Johor  81550</t>
  </si>
  <si>
    <t>NVMY34535000001679</t>
  </si>
  <si>
    <t>MILLAHANA PULUT KEDAH, NO128A KAMPUNG BERAPIT TIKAM BATU 08600 SUNGAI PETANI KEDAH   Kedah  08600</t>
  </si>
  <si>
    <t>NVMY34535000001696</t>
  </si>
  <si>
    <t>NURUL FATIN WAHIDA BINTI ARMANISHAMHADI</t>
  </si>
  <si>
    <t>PETI SURAT 91, JALAN TAMBUN TULANG, 02600 ARAU PERLIS   Perlis  02600</t>
  </si>
  <si>
    <t>NVMY34535000001664</t>
  </si>
  <si>
    <t>MUHAMMAD HAFIZ BIN ROSLY</t>
  </si>
  <si>
    <t>828 JALAN MELATI 18 TAMAN DUSUN SETIA 70100 SEREMBAN NEGERI SEMBILAN   Negeri Sembilan  my 70100</t>
  </si>
  <si>
    <t>NVMY34535000001702</t>
  </si>
  <si>
    <t>RARA ANNABELLA AZIZ</t>
  </si>
  <si>
    <t>C38, KG BANGGOL BESI MUKIM GUAR KEPAYANG 06700 PENDANG KEDAH   Kedah  06700</t>
  </si>
  <si>
    <t>NVMY34535000001675</t>
  </si>
  <si>
    <t>NO 21 JALAN TANJAK 2A, TAMAN TANJAK 44000 KUALA KUBU BHARU SELANGOR   Selangor  44000</t>
  </si>
  <si>
    <t>NVMY34535000001665</t>
  </si>
  <si>
    <t>MOHAMAD AIDID BIN RIDZUAN</t>
  </si>
  <si>
    <t>56, JALAN ABADI 17, RINI HOMES 2, TAMAN MUTIARA RINI, 81300 SKUDAI JOHOR   Johor  81300</t>
  </si>
  <si>
    <t>NVMY34535000001678</t>
  </si>
  <si>
    <t>MOHAMAD MAHDHIR BIN MOHD GHAZALI</t>
  </si>
  <si>
    <t>NO. 36 (ARKED MPKK), JALAN DAENG SELILI, 33000 KUALA KANGSAR, PERAK   Perak  33000</t>
  </si>
  <si>
    <t>PRK-PRK</t>
  </si>
  <si>
    <t>NVMY34535000001668</t>
  </si>
  <si>
    <t>MOHAMAD SHARAFUDDIN BIN ANUAR</t>
  </si>
  <si>
    <t>NO 250-A1 JALAN 48A KAMPUNG CHERAS BARU BUKIT B 56100 CHERAS KUALA LUMPUR   Kuala Lumpur  56100</t>
  </si>
  <si>
    <t>NVMY34535000001701</t>
  </si>
  <si>
    <t>NORAZIERA BINTI NASRI</t>
  </si>
  <si>
    <t>1181 BLOK 8 FELDA TUNGGAL KOTA TINGGI 81900  JOHOR   Johor  81900</t>
  </si>
  <si>
    <t>NVMY34535000001666</t>
  </si>
  <si>
    <t>MRS. JAUHANA (HANA)</t>
  </si>
  <si>
    <t>NICL DEPARTMENT LEVEL 1, CVSKL HOSPITAL, JALAN STESEN SENTRAL 5, KUALA LUMPUR SENTRAL, 50470 KUALA LUMPUR   Kuala Lumpur  50470</t>
  </si>
  <si>
    <t>NVMY34535000001683</t>
  </si>
  <si>
    <t>Zulhusni Helmi</t>
  </si>
  <si>
    <t>Lot 7557, Kampung Banjar, 36000 Teluk Intan, Perak.   Perak  36000</t>
  </si>
  <si>
    <t>NVMY34535000001691</t>
  </si>
  <si>
    <t>MUHAMMAD ATHIF ASYRAF</t>
  </si>
  <si>
    <t>711-2-66 mk11 teluk kumbar, taman emas, pulau pinang Teluk Kumbar, Penang   Pulau Pinang  11920</t>
  </si>
  <si>
    <t>NVMY34535000001688</t>
  </si>
  <si>
    <t>Mohammad alif</t>
  </si>
  <si>
    <t>No 95 kampung parit jawa Kayu ara pasong 82000 pontian johor   Johor  82000</t>
  </si>
  <si>
    <t>NVMY34535000001650</t>
  </si>
  <si>
    <t>AYLEEN ABU BAKAR</t>
  </si>
  <si>
    <t>HOLIDAY INN EXPRESS &amp; SUITE JOHOR BAHRU, LOT 512 JALAN SYED MOHD MUFTI 80000 JOHOR BAHRU, JOHOR   Johor  80000</t>
  </si>
  <si>
    <t>NVMY34535000001693</t>
  </si>
  <si>
    <t>NUR INTAN LIYANA</t>
  </si>
  <si>
    <t>NO72 A KAMPUNG BATU 6, CHANGKAT JERING, 34850 TAIPING PERAK   Perak  34850</t>
  </si>
  <si>
    <t>NVMY34535000001685</t>
  </si>
  <si>
    <t>Ratna Humaira' Zafirah</t>
  </si>
  <si>
    <t>12, lorong bp 1/1, taman bukit permata, 68100, batu caves selangor   Selangor  68100</t>
  </si>
  <si>
    <t>NVMY34535000001616</t>
  </si>
  <si>
    <t>EMELYDA</t>
  </si>
  <si>
    <t>LOT 2318, JALAN ISKANDAR, KG BUKIT KAPAR , 42200 KAPAR, KLANG , SELANGOR   Selangor  42200</t>
  </si>
  <si>
    <t>NVMY34535000001673</t>
  </si>
  <si>
    <t>MOHD HAIRUL SHAMIL BIN MOHAMADIAH</t>
  </si>
  <si>
    <t>NO 28 KAMPUNG BARU BUKIT KARANGAN 09400 PADANG SERAI KULIM KEDAH   Kedah  09400</t>
  </si>
  <si>
    <t>NVMY34535000001674</t>
  </si>
  <si>
    <t>MUHAMMAD HANIFF BIN MOHAMED RAZALI</t>
  </si>
  <si>
    <t>KUATERS B, KLINIK KESIHATAN PAYA MENGKUANG 81560 GELANG PATAH JOHOR   Johor  81560</t>
  </si>
  <si>
    <t>4-GLG-136</t>
  </si>
  <si>
    <t>NVMY34535000001667</t>
  </si>
  <si>
    <t>ZIAUDEEN BIN NAINA MOHAMED</t>
  </si>
  <si>
    <t>BLOCK F.00.02. JALAN BATU NILAM 35 BUKIT TINGGI 2 KLANG 41200 SELANGOR   Selangor  41200</t>
  </si>
  <si>
    <t>NVMY34535000001670</t>
  </si>
  <si>
    <t>ROSNITA BINTI ZAINAL ABIDIN</t>
  </si>
  <si>
    <t>SCA G 16, FLAT SRI CEMPAKA JALAN CEMPAKA 1C SEKSYEN BS2 BUKIT SENTOSA 48300 RAWANG SELANGOR   Selangor  48300</t>
  </si>
  <si>
    <t>NVMY34535000001669</t>
  </si>
  <si>
    <t>MUHAMMAD FAIZ</t>
  </si>
  <si>
    <t>PPR PINGGIRAN BUKIT JALIL JALAN BUKIT JALIL INDAH C-7-7 57000 KUALA LUMPUR   Kuala Lumpur  57000</t>
  </si>
  <si>
    <t>NVMY34535000001690</t>
  </si>
  <si>
    <t>Mohd hairie</t>
  </si>
  <si>
    <t>Halaman tenggiri 1 blok E2-02-206 seberang jaya 13700 Pulai Pinang   Pulau Pinang  13700</t>
  </si>
  <si>
    <t>NVMY34535000001593</t>
  </si>
  <si>
    <t>SYAHABUDIN BIN NGAH</t>
  </si>
  <si>
    <t>NO 33 TAMAN KEJORA JALAN PASAR LAMA TATAU 97200 TATAU BINTULU SARAWAK   Sarawak  97200</t>
  </si>
  <si>
    <t>NVMY34535000001659</t>
  </si>
  <si>
    <t>RABIATUL ADAWIYAH BT HASSAN</t>
  </si>
  <si>
    <t>NO 32 KAMPUNG TABUAN LOT PANGKALAN AWANG GHANIE 93450 KUCHING SARAWAK   Sarawak  93450</t>
  </si>
  <si>
    <t>NVMY34535000001710</t>
  </si>
  <si>
    <t>MAD FAZREE SAM</t>
  </si>
  <si>
    <t>7037 TAMAN FIKRI 2 FASA 5 24000 KEMAMAN TERENGGANU   Terengganu  24000</t>
  </si>
  <si>
    <t>NVMY34535000001695</t>
  </si>
  <si>
    <t>NOR AZRIN BINTI MOHD RAPEIN</t>
  </si>
  <si>
    <t>NO 17 JALAN SERAI PERMAI 1, TAMAN SERAI PERMAI KERIAN 34300 PERAK   Perak  34300</t>
  </si>
  <si>
    <t>NVMY34535000001708</t>
  </si>
  <si>
    <t>INTAN DALINA</t>
  </si>
  <si>
    <t>SAB 010C, SAB, KOLEJ KEDIAMAN C) JALAN UNIVERSITI OFF, KM12, JALAN MUAR, 85000 SEGAMAT, JOHOR   Johor  85000</t>
  </si>
  <si>
    <t>NVMY34535000001704</t>
  </si>
  <si>
    <t>KAK MIE</t>
  </si>
  <si>
    <t>NO 10, JALAN PRB 15, TAMAN PAYA RUMPUT BESTARI, 76450 MELAKA   Melaka  76450</t>
  </si>
  <si>
    <t>MKZ-MKZ</t>
  </si>
  <si>
    <t>NVMY34535000001606</t>
  </si>
  <si>
    <t>ALICE</t>
  </si>
  <si>
    <t>MAXIS SDN BHD TB4314 FAJAR COMPLEX, TAWAU SABAH   Sabah  91000</t>
  </si>
  <si>
    <t>NVMY34535000001738</t>
  </si>
  <si>
    <t>NOR ASMA MASLIZA MAMAT</t>
  </si>
  <si>
    <t>PT 20426 TAMAN PERMINT PERDANA FASA 2, KAMPUNG BATIN, 21300 KUALA NERUS TERENGGANU   Terengganu  21300</t>
  </si>
  <si>
    <t>2-GBK-8</t>
  </si>
  <si>
    <t>NVMY34535000001711</t>
  </si>
  <si>
    <t>NIK ADLEENA NIK OTHMAN</t>
  </si>
  <si>
    <t>STESEN MINYAK SHELL KOTA KUBANG LABU 16250 WAKAF BAHRU KELANTAN   Kelantan  16250</t>
  </si>
  <si>
    <t>NVMY34535000001709</t>
  </si>
  <si>
    <t>NVMY34535000001705</t>
  </si>
  <si>
    <t>NOR NADIRAH BINTI ROSLAN</t>
  </si>
  <si>
    <t>KAMPUNG BUKIT BERANGAN MUKIM BINJAI 06000 JITRA KEDAH   Kedah  06000</t>
  </si>
  <si>
    <t>NVMY34535000001741</t>
  </si>
  <si>
    <t>AMALINA</t>
  </si>
  <si>
    <t>AHMAD ZAKISDN BHD SITE OFFICE LOT 2824 JALAN KUARI SG LONG BATU 12 HULU LANGAT 43100 SELANGOR   Selangor  43100</t>
  </si>
  <si>
    <t>14-BMC-120</t>
  </si>
  <si>
    <t>NVMY34535000001742</t>
  </si>
  <si>
    <t>NVMY34535000001706</t>
  </si>
  <si>
    <t>AZIZAH BINTI AHMAD SAKRI</t>
  </si>
  <si>
    <t>NO 6/A3 TAMAN PERGURUAN KG LAMA 82200 BENUT PONTIAN JOHOR   Johor  82200</t>
  </si>
  <si>
    <t>NVMY34535000001724</t>
  </si>
  <si>
    <t>95, LRGKETAPANG MUALIM 6, TAMAN KETAPANG MUALIM, 26600 PEKAN PAHANG   Pahang  26600</t>
  </si>
  <si>
    <t>NVMY34535000001609</t>
  </si>
  <si>
    <t>NUR HAYATI BT MARZUKI</t>
  </si>
  <si>
    <t>LOT 2002 SKIM PEMBESARAN KAMPUMAM 94300 KOTA SEMARAHAN SARAWAK   Sarawak  94300</t>
  </si>
  <si>
    <t>NVMY34535000001720</t>
  </si>
  <si>
    <t>NORLIZA ISMAIL</t>
  </si>
  <si>
    <t>NO 823 KG SETAJAM 26820 KUALA ROMPIN PAHANG   Pahang  26820</t>
  </si>
  <si>
    <t>NVMY34535000001681</t>
  </si>
  <si>
    <t>SITI AISHAH BINTI BAHARUM</t>
  </si>
  <si>
    <t>PT 13313, JALAN KAMPUNG SILAU HILIR 71200 RANTAU NEGERI SEMBILAN   Negeri Sembilan  71200</t>
  </si>
  <si>
    <t>NVMY34535000001707</t>
  </si>
  <si>
    <t>HAZWANI HAMZAH</t>
  </si>
  <si>
    <t>NO 8, JALAN PELANGI 2, TAMAN PELANGI 48000 RAWANG, SELANGOR   Selangor  48000</t>
  </si>
  <si>
    <t>NVMY34535000001740</t>
  </si>
  <si>
    <t>WAN HASNIZAM BIN WAN HASSAN</t>
  </si>
  <si>
    <t>NO 6 JALAN 4/9P SEK 4 TAMBAHAN BANDAR BARU BANGI 43650 SELANGOR   Selangor  43650</t>
  </si>
  <si>
    <t>NVMY34535000001736</t>
  </si>
  <si>
    <t>HAN</t>
  </si>
  <si>
    <t>12D Jalan BS9,  BUKIT SEGAR JAYA, 43200 CHERAS, SELANGOR   Selangor  43200</t>
  </si>
  <si>
    <t>12-CHE-89</t>
  </si>
  <si>
    <t>NVMY34535000001752</t>
  </si>
  <si>
    <t>ANTASYA FARHANA</t>
  </si>
  <si>
    <t xml:space="preserve"> C21-3 JALAN KUBUR KAMPUNG TANJUNG TAPU 21040 MARANG TERENGGANU   Terengganu  21040</t>
  </si>
  <si>
    <t>NVMY34535000001750</t>
  </si>
  <si>
    <t>NOOR IRMA BT AMIRUN</t>
  </si>
  <si>
    <t>NO 64 FELDA BUKIT KEPAYANG 28200 BERA PAHANG   Pahang  28200</t>
  </si>
  <si>
    <t>NVMY34535000001717</t>
  </si>
  <si>
    <t>13-SBR-103</t>
  </si>
  <si>
    <t>NVMY34535000001719</t>
  </si>
  <si>
    <t>MIMI SUHANA KARIM</t>
  </si>
  <si>
    <t>61 JLN MATAHARI 2 TAMAN MATAHARI HEIGHT 70450 SENAWANG NEGERI SEMBILAN   Negeri Sembilan  70450</t>
  </si>
  <si>
    <t>9-SWG-60</t>
  </si>
  <si>
    <t>NVMY34535000001735</t>
  </si>
  <si>
    <t>FARAH FATHILA BINTI MOHD ISA</t>
  </si>
  <si>
    <t>SASA LOT P-05, NO 60, JALAN SRI HARTAMAS 1, SRI HARTAMAS, KUALA LUMPUR, 50480, KUALA LUMPUR   Kuala Lumpur  50480</t>
  </si>
  <si>
    <t>11-PJY-78</t>
  </si>
  <si>
    <t>NVMY34535000001767</t>
  </si>
  <si>
    <t>ROSLINA YUSOFF</t>
  </si>
  <si>
    <t>LOT 1235 KG SRIKEMUNTING 16090 GUNUNG BACHOK KELANTAN   Kelantan  16090</t>
  </si>
  <si>
    <t>NVMY34535000001712</t>
  </si>
  <si>
    <t>AINUR PAZZIAH BT MOHD RIDZUAN</t>
  </si>
  <si>
    <t>BLOK-1-32 BLOOK 10 DESA MENTARI 2 JALAN PJS 2B/1 46050 PETALING JAYA SELANGOR   Selangor  46050</t>
  </si>
  <si>
    <t>NVMY34535000001734</t>
  </si>
  <si>
    <t>CD ELECTRICAL ENGINEERING SDN BHD NO 6-1 JALAN TENGKU AMPUAN ZABEDAH A, SEC 9/A, 40100 SHAH ALAM SELANGOR   Selangor  40100</t>
  </si>
  <si>
    <t>NVMY34535000001737</t>
  </si>
  <si>
    <t>NVMY34535000001760</t>
  </si>
  <si>
    <t>MUHAMMAD LUQMAN</t>
  </si>
  <si>
    <t>LOT 17520P KAMPUNG GONG GUCHER , BUKIT TOK BENG , SEBERANG TAKIR , 21300 , KUALA TERENGGANU , TERENGGANU   Terengganu  21300</t>
  </si>
  <si>
    <t>NVMY34535000001723</t>
  </si>
  <si>
    <t>SYIMA DK NIZZMA</t>
  </si>
  <si>
    <t>NO 337 JALAN AMAN 2  TAMAN DESA AMAN  72000 KUALA PILAH  NEGERI SEMBILAN   Negeri Sembilan  72000</t>
  </si>
  <si>
    <t>NVMY34535000001716</t>
  </si>
  <si>
    <t>AZLINAWATI BT IBRAHIM</t>
  </si>
  <si>
    <t>J5432 JALAN TDA 3 TAMAN DATO AZIZ 77300 MERLIMAU MELAKA   Melaka  77300</t>
  </si>
  <si>
    <t>NVMY34535000001730</t>
  </si>
  <si>
    <t>NORHIDAYANI BINTI SAID</t>
  </si>
  <si>
    <t>KOLEJ KOMUNITI TELUK INTAN, 10-20 PERSIARAN INTANOVA, TAMAN INTANOVA, 36000 TELUK INTAN, PERAK   Perak  36000</t>
  </si>
  <si>
    <t>8-TIN-53</t>
  </si>
  <si>
    <t>NVMY34535000001722</t>
  </si>
  <si>
    <t>NVMY34535000001766</t>
  </si>
  <si>
    <t>WAN AFZAN BIN WAN MUKHTAR</t>
  </si>
  <si>
    <t>CAWANGAN (DIO) FORENSIK JABATAN SIASATAN JENAYAH KOMPLEKS POLIS ALOR AKAR 25250 ALOR AKAR KUANTAN PAHANG   Pahang  25250</t>
  </si>
  <si>
    <t>NVMY34535000001743</t>
  </si>
  <si>
    <t>SYAHIDAH OTHMAN</t>
  </si>
  <si>
    <t>TL 25/6 KAMPUNG PERPAT LAUT 83100 RENGIT BATU PAHAT JOHOR   Johor  83100</t>
  </si>
  <si>
    <t>NVMY34535000001733</t>
  </si>
  <si>
    <t>NO.3, JALAN PUNCAK BESTAR 2/4, AZALEA, Puncak Bestari 2, 42300 Bandar PUNCAK ALAM SELANGOR   Selangor  42300</t>
  </si>
  <si>
    <t>13-PCK-101</t>
  </si>
  <si>
    <t>NVMY34535000001761</t>
  </si>
  <si>
    <t>ZURIA ISMAIL</t>
  </si>
  <si>
    <t>KG BARU BUKIT KECHIK TANAAH MERAH KELATAN 17500   Kelantan  17500</t>
  </si>
  <si>
    <t>NVMY34535000001749</t>
  </si>
  <si>
    <t>SAKINAH YUSOFF</t>
  </si>
  <si>
    <t>NO 16 LORONG BUKIT RANGIN PERDANA 2/29, PERUMAHAN BUKIT RANGIN, 25150 KUANTAN PAHANG   Pahang  25150</t>
  </si>
  <si>
    <t>NVMY34535000001713</t>
  </si>
  <si>
    <t>NORLIZAWATI BINTI MAHAMUD</t>
  </si>
  <si>
    <t>LOT 1359-H LORONG JALAN LADANG , KG JAYA SETIA 45600 BESTARI JAYA SELANGOR   Selangor  45600</t>
  </si>
  <si>
    <t>NVMY34535000001729</t>
  </si>
  <si>
    <t>202 BATU 16, 32400 AYER TAWAR PERAK   Perak  32400</t>
  </si>
  <si>
    <t>NVMY34535000001714</t>
  </si>
  <si>
    <t>ANITA ALI</t>
  </si>
  <si>
    <t>NO 2 JALAN ELEKTRON U16/93 DENAI ALAM 40160 SHAH ALAM SELANGOR   Selangor  40160</t>
  </si>
  <si>
    <t>NVMY34535000001739</t>
  </si>
  <si>
    <t>AZILAH BINTI JOKARIAH</t>
  </si>
  <si>
    <t>NVMY34535000001727</t>
  </si>
  <si>
    <t>NVMY34535000001728</t>
  </si>
  <si>
    <t>NVMY34535000001725</t>
  </si>
  <si>
    <t>NVMY34535000001726</t>
  </si>
  <si>
    <t>NVMY34535000001731</t>
  </si>
  <si>
    <t>NORASLINDA BINTI JOHOR</t>
  </si>
  <si>
    <t>LOT 3673/1, JALAN AMAN, KAMPUNG SUNGAI MERAB LUAR 43000 KALANG SELANGOR   Selangor  43000</t>
  </si>
  <si>
    <t>12-BGI-91</t>
  </si>
  <si>
    <t>NVMY34535000001744</t>
  </si>
  <si>
    <t>SURIA BT OMAR (FB; SOFIA R-MN)</t>
  </si>
  <si>
    <t>LOT 2412 KG SIMPANGAN 16200 TUMPAT KELANTAN   Kelantan  16200</t>
  </si>
  <si>
    <t>NVMY34535000001732</t>
  </si>
  <si>
    <t>AZWAN</t>
  </si>
  <si>
    <t>PUSAT KECERMELANGAN PARALIMPIK KG PANDAN JALAN PERWIRA 55100 KUALA LUMPUR   Kuala Lumpur  55100</t>
  </si>
  <si>
    <t>NVMY34535000001762</t>
  </si>
  <si>
    <t>ELLA</t>
  </si>
  <si>
    <t>BB328 JALAN NYIOR CABANG 16300 BACHOK KELANTAN   Kelantan  16300</t>
  </si>
  <si>
    <t>NVMY34535000001768</t>
  </si>
  <si>
    <t>AV RICH BUSINESS</t>
  </si>
  <si>
    <t>LOT 1455 JALAN ORKID LORONG BAHAGIA BATU 1 KG SIJANGKANG 42500 TELOK PANGLIMA GARANG SELANGOR   Selangor  42500</t>
  </si>
  <si>
    <t>NVMY34535000001764</t>
  </si>
  <si>
    <t>MUHAMMAD HAFIZ IKRAM BIN ZAKARIA</t>
  </si>
  <si>
    <t>114 RUMAH KOS RENDAH BUKIT BESI 23200 DUNGUN TERENGGANU   Terengganu  23200</t>
  </si>
  <si>
    <t>NVMY34535000001721</t>
  </si>
  <si>
    <t>HALIMATUS SAADIAH BINTI SUDIRMAN</t>
  </si>
  <si>
    <t>NO 80 JALAN TAMAN GOMBAK, TAMAN GOMBAK, 68100 BATU CAVES, SELANGOR   Selangor  68100</t>
  </si>
  <si>
    <t>NVMY34535000001687</t>
  </si>
  <si>
    <t>Azlina Binti Othman</t>
  </si>
  <si>
    <t>No 13, Taman Tanah Putih 2, 26600, Pekan, Pahang   Pahang  26600</t>
  </si>
  <si>
    <t>NVMY34535000001676</t>
  </si>
  <si>
    <t>MOHD RASHID</t>
  </si>
  <si>
    <t>917-3, LORONG KAMPUNGKU SAYANG 3, KAMPUNGKU SAYANG BUKIT BARU 75150 MELAKA   Melaka  75150</t>
  </si>
  <si>
    <t>9A-MTG-65</t>
  </si>
  <si>
    <t>NVMY34535000001718</t>
  </si>
  <si>
    <t>SHAFINA BUANG</t>
  </si>
  <si>
    <t>NO 49, JALAN PULAI RIA 17, BANDAR BARU KANGKAR PULAI, 81300 JOHOR BAHRU, JOHOR   Johor  81300</t>
  </si>
  <si>
    <t>NVMY34535000001689</t>
  </si>
  <si>
    <t>Hanz</t>
  </si>
  <si>
    <t>Pasar sri tanjung, jalan dunlop, pasar ayam gerai no.15. 91000, tawau sabah   Sabah  91000</t>
  </si>
  <si>
    <t>NVMY34535000001753</t>
  </si>
  <si>
    <t>PUTERI SAIDATUL</t>
  </si>
  <si>
    <t xml:space="preserve"> VLB-11-06 VILLA LAGENDA CONDOMINIUM, TMN DESA BAKTI, 68100 SELAYANG, SELANGOR   Selangor  68100</t>
  </si>
  <si>
    <t>NVMY34535000001755</t>
  </si>
  <si>
    <t>IRFAN BNGIN</t>
  </si>
  <si>
    <t>NO.23, JALAN VANADIUM 7/34, SEKSYEN 7, 40000 SHAH ALAM SELANGOR   Selangor  40000</t>
  </si>
  <si>
    <t>NVMY34535000001763</t>
  </si>
  <si>
    <t>ABDUL RAHMAN BIN ABDUL RASHID</t>
  </si>
  <si>
    <t>4448 , TAMAN SRI INTAN 73200 GEMENCHEH NEGERI SEMBILAN   Negeri Sembilan  73200</t>
  </si>
  <si>
    <t>NVMY34535000001759</t>
  </si>
  <si>
    <t>RAJA EISHQEENA RAJA ISWAN</t>
  </si>
  <si>
    <t>NO 40 JLN M39 TMN MERDEKA HANG TUAH JAYA MELAKA 75350   Melaka  75350</t>
  </si>
  <si>
    <t>NVMY34535000001771</t>
  </si>
  <si>
    <t>HARITH HARIRY</t>
  </si>
  <si>
    <t>NO 56 PERINGKAT 1 FECLRA SERI MAKMUR 26500 MARAN PAHANG   Pahang  26500</t>
  </si>
  <si>
    <t>NVMY34535000001756</t>
  </si>
  <si>
    <t>SYARIFAH SYAHENAH</t>
  </si>
  <si>
    <t>NO 25/3F JALAN MAJU 1/14, TAMAN LEMBAH MAJU 68000 AMPANG SELANGOR   Selangor  68000</t>
  </si>
  <si>
    <t>NVMY34535000001747</t>
  </si>
  <si>
    <t>NOOR FAEEZAH BINTI ZOL</t>
  </si>
  <si>
    <t xml:space="preserve"> E-4-8 PANGSAPURI PERMAI, JALAN LANDAI PERMAI, 57100 SG BESI KUALA LUMPUR   Kuala Lumpur  57100</t>
  </si>
  <si>
    <t>NVMY34535000001757</t>
  </si>
  <si>
    <t>AMIRA EIZZA</t>
  </si>
  <si>
    <t xml:space="preserve"> NO.42, JALAN SERI EMAS 9, TAMAN SERI TELOK MAS, 75460 MELAKA   Melaka  75460</t>
  </si>
  <si>
    <t>NVMY34535000001751</t>
  </si>
  <si>
    <t>SHARIFAH IZAH</t>
  </si>
  <si>
    <t>9 JALAN TPK 2/7 SEKSYEN 2 TAMAN PERINDUSTRIAN KINRARA 47100 PUCHONG SELANGOR   Selangor  47100</t>
  </si>
  <si>
    <t>NVMY34535000001680</t>
  </si>
  <si>
    <t>MUHD AMIRUL ARIEF</t>
  </si>
  <si>
    <t>J&amp;T BALUNG NO29 LOT 58 BLOCK B TAMAN SAWIT LORONG 2/3 SUNGAI BALUNG 91010 TAWAU SABAH   Sabah  91010</t>
  </si>
  <si>
    <t>15-TWU-109</t>
  </si>
  <si>
    <t>NVMY34535000001748</t>
  </si>
  <si>
    <t>ZANARIAH BINTI ZAMROS</t>
  </si>
  <si>
    <t>178,BLOK 8 FELDA JELAI 1, 73480 GEMAS NEGERI SEMBILAN   Negeri Sembilan  73480</t>
  </si>
  <si>
    <t>NVMY34535000001758</t>
  </si>
  <si>
    <t>NVMY34535000001754</t>
  </si>
  <si>
    <t>SABRINA</t>
  </si>
  <si>
    <t xml:space="preserve"> C-5-5 SUNWAY SUTERA CONDOMINIUM, SUNWAY DAMANSARA, JALAN TROPICANA UTARA, 47410, PETALING JAYA, SELANGOR   Selangor  47410</t>
  </si>
  <si>
    <t>NVMY34535000001765</t>
  </si>
  <si>
    <t>IZANA BT IZANI</t>
  </si>
  <si>
    <t>NO 48 FASA ID2 SERI MANJUNG PERAK   Perak  32040</t>
  </si>
  <si>
    <t>NVMY34535000001715</t>
  </si>
  <si>
    <t>JOHARI BIN OTHMAN</t>
  </si>
  <si>
    <t>PEJABAT PERUMAHAN RANCANGAN PADANG TEMBAK AIR HITAM BLOK H 10600 PULAU PINANG  Pulau Pinang  Pulau Pinang  10600</t>
  </si>
  <si>
    <t>NVMY34535000001769</t>
  </si>
  <si>
    <t>SALMAWATI BT CHICHU</t>
  </si>
  <si>
    <t>NO 0203 KASUARINA SALJU JALAN RESIDENSI WARNASARI 13/1 42300 BANDAR PUNCAK ALAM SELANGOR   Selangor  42300</t>
  </si>
  <si>
    <t>NVMY34535000001773</t>
  </si>
  <si>
    <t>KAK NURAAQILLA (KEK CAWAN)</t>
  </si>
  <si>
    <t>NO 66E, KAMPUNG BUKIT RAYA DALAM, 06700 PENDANG KEDAH DARUL AMAN   Kedah  06700</t>
  </si>
  <si>
    <t>NVMY34535000001770</t>
  </si>
  <si>
    <t>KIRTIKAA A/P MOSAN</t>
  </si>
  <si>
    <t>671 JALAN TAKONG JELAPANG IPOH 30020 PERAK   Perak  30020</t>
  </si>
  <si>
    <t>NVMY34535000001776</t>
  </si>
  <si>
    <t>NOR JALILAH MD YUSOP</t>
  </si>
  <si>
    <t>NO 67-1 JALAN CB 1/1 CASA BLUEBALL CYBERSOUTH 43800 DENGKIL SELANGOR   Selangor  43800</t>
  </si>
  <si>
    <t>13-STG-99</t>
  </si>
  <si>
    <t>NVMY34535000001774</t>
  </si>
  <si>
    <t>SHAHIRUL FAIZ</t>
  </si>
  <si>
    <t>KOLEJ SEPULUH, UNIVERSITI PUTRA MALAYSIA, PETALING JAYA, 43400 SELANGOR   Selangor  43400</t>
  </si>
  <si>
    <t>NVMY34535000001772</t>
  </si>
  <si>
    <t>MUHD KAMARUL HAIKAL</t>
  </si>
  <si>
    <t>NO 3 JALAN YOGA UNIT 437 BRUNSFILED 40100 SHAH ALAM SELANGOR   Selangor  my 40100</t>
  </si>
  <si>
    <t>NVMY34535000001644</t>
  </si>
  <si>
    <t>JENNY AWANG AHMAD</t>
  </si>
  <si>
    <t>HOSPITAL KOTA BELUD UNIT PENGURUSAN PETI SURAT 159 89158 KOTA BELUD SABAH   Sabah  89158</t>
  </si>
  <si>
    <t>NVMY34535000001794</t>
  </si>
  <si>
    <t>NORZELA BT MAMAT</t>
  </si>
  <si>
    <t>PT 1071 TAMAN PERISAI WIRA LORONG 6 18000 KUALA KRAI KELANTAN   Kelantan  18000</t>
  </si>
  <si>
    <t>NVMY34535000001791</t>
  </si>
  <si>
    <t>H DRINK MINIMART</t>
  </si>
  <si>
    <t>LOT 2720-B, JLN BACHOK KG JEJULOK, 16150 KOTA BHARU KELANTAN   Kelantan  16150</t>
  </si>
  <si>
    <t>NVMY34535000001787</t>
  </si>
  <si>
    <t>AISYA FAZIELAH ALI</t>
  </si>
  <si>
    <t>NO 148 KG DARAT TOK WIL MERANG 21010 SETIU, BANDAR PERMAISURI TERENGGANU   Terengganu  21010</t>
  </si>
  <si>
    <t>NVMY34535000001795</t>
  </si>
  <si>
    <t>FARAH HANANI</t>
  </si>
  <si>
    <t>227 JALAN KENANGA, TAMAN GUCHIL JAYA, 18000 KUALA KRAI KELANTAN   Kelantan  18000</t>
  </si>
  <si>
    <t>NVMY34535000001784</t>
  </si>
  <si>
    <t>NUR BASYIRAH BINTI ZAIDI</t>
  </si>
  <si>
    <t>LOT 393 JALAN TEMERLOH JERANTUT KAMPUNG BUKIT DINDING 27000 JERANTUT PAHANG   Pahang  27000</t>
  </si>
  <si>
    <t>NVMY34535000001780</t>
  </si>
  <si>
    <t>NUR KAMILIA AMILIN</t>
  </si>
  <si>
    <t>NO 4 BANGLO PERUMAHAN TNB JELI 17600 JELI, KELANTAN   Kelantan  17600</t>
  </si>
  <si>
    <t>NVMY34535000001779</t>
  </si>
  <si>
    <t>RABIATUL ADAWIYAH BINTI ABD RAFAR</t>
  </si>
  <si>
    <t>LOT 1357 KAMPUNG KELAT RENDANG 26600 PEKAN PAHANG   Pahang  26600</t>
  </si>
  <si>
    <t>NVMY34535000001777</t>
  </si>
  <si>
    <t>PENGARAH</t>
  </si>
  <si>
    <t>INSTITUT PENYELIDIKAN KESELAMATAN JALAN RAYA MALAYSIA LOT 125-135 JALAN TKS 1 TAMAN KAJANG SENTRAL 43000 KAJANG SELANGOR   Selangor  43000</t>
  </si>
  <si>
    <t>NVMY34535000001799</t>
  </si>
  <si>
    <t>MOHAMAD ZAINUDDIN BIN MOHAMAD ZAWNI</t>
  </si>
  <si>
    <t>NO 100 LORONG TODAK, KG BARU NELAYAN, 16200 TUMPAT KELANTAN   Kelantan  16200</t>
  </si>
  <si>
    <t>NVMY34535000001786</t>
  </si>
  <si>
    <t>WAN NUR RAYANI</t>
  </si>
  <si>
    <t>BLOK C12 TAMAN SRI PAUH 18400 TEMANGAN KELANTAN   Kelantan  18400</t>
  </si>
  <si>
    <t>NVMY34535000001815</t>
  </si>
  <si>
    <t>SITI NUR EZZATI BT ALIAS</t>
  </si>
  <si>
    <t>TAMAN PERISAI WIRA, LOT 2078 LORONG AL FARISI 3, TAMAN AL FARISI 18000 KUALA KRAI KELANTAN   Kelantan  18000</t>
  </si>
  <si>
    <t>NVMY34535000001790</t>
  </si>
  <si>
    <t>ABDUL MANAN BIN REDZUAN</t>
  </si>
  <si>
    <t>NO1163, KAMPUNG PARIT RAJA LAUT, JALAN JONED, MUAR, 84000 JOHOR   Johor  84000</t>
  </si>
  <si>
    <t>NVMY34535000001781</t>
  </si>
  <si>
    <t>ALEYA ALISHA HAZIRA BINTI AZMAN</t>
  </si>
  <si>
    <t>135, JALAN MELATI TAMAN SENTOSA 31900 KAMPAR, PERAK   Perak  31900</t>
  </si>
  <si>
    <t>NVMY34535000001797</t>
  </si>
  <si>
    <t>MUHAMMAD YAZID</t>
  </si>
  <si>
    <t>121, PMTG SAGA, PINANG TUNGGAL 13210 KEPLA BATAS PULAU PINANG   Pulau Pinang  13210</t>
  </si>
  <si>
    <t>NVMY34535000001793</t>
  </si>
  <si>
    <t>NORASIAH BINTI SALLEH</t>
  </si>
  <si>
    <t>NO 512A JALAN SS9A/11 SUNGAI WAY, 47300 PETALING JAYA SELANGOR   Selangor  47300</t>
  </si>
  <si>
    <t>NVMY34535000001814</t>
  </si>
  <si>
    <t>AZIMAH BT MUSA</t>
  </si>
  <si>
    <t>NO 5,JALAN STESYAN BERANGAN, TUMPAT, 16200, KELANTAN   Kelantan  16200</t>
  </si>
  <si>
    <t>NVMY34535000001792</t>
  </si>
  <si>
    <t>MUHAMMAD SYUKRI (ASRAMA)</t>
  </si>
  <si>
    <t>ASRAMA SMA REMBAU, 71300, REMBAU, NEGERI SEMBILAN   Negeri Sembilan  71300</t>
  </si>
  <si>
    <t>NVMY34535000001801</t>
  </si>
  <si>
    <t>NORKHAZWA KHALID</t>
  </si>
  <si>
    <t>NO 52, KG DURIAN GULING 21040 MARANG, TERENGGANU   Terengganu  21040</t>
  </si>
  <si>
    <t>NVMY34535000001806</t>
  </si>
  <si>
    <t>NAFIZ NASZERI</t>
  </si>
  <si>
    <t>CIMB BANK @ TELUK PANGLIMA GARANG JALAN J/U2 TAMAN JAYA UTAMA KUALA LANGAT 42600 SELANGOR    Selangor  42600</t>
  </si>
  <si>
    <t>14-RBY-116</t>
  </si>
  <si>
    <t>NVMY34535000001788</t>
  </si>
  <si>
    <t>ROSNI BINTI KAMARUDDIN</t>
  </si>
  <si>
    <t>17-00-05 FLAT SRI JOHOR CHERAS, 56100 KUALA LUMPUR   Kuala Lumpur  56100</t>
  </si>
  <si>
    <t>NVMY34535000001775</t>
  </si>
  <si>
    <t>JABATAN KETUA PENGARAH TANAH DAN GALIAN (PERSEKUTUAN) NEGERI SELANGOR PERSIARAN BUKIT RAJA 1/KU 1 BANDAR BARU KLANG SELANGOR  (U/P : UNIT PUSAKA)   Selangor  41150</t>
  </si>
  <si>
    <t>NVMY34535000001782</t>
  </si>
  <si>
    <t>(A) LETAK DEPAN PINTU</t>
  </si>
  <si>
    <t>112 FASA 1 TAMAN LAKA SERI TEMIN 06050 BUKIT KAYU HITAM, KEDAH   Kedah  my 06050</t>
  </si>
  <si>
    <t>NVMY34535000001778</t>
  </si>
  <si>
    <t>HILMI MUJAHID</t>
  </si>
  <si>
    <t>NO. 7 &amp; 8, JALAN CYBER VALLEY 1A/3 CYBER VALLEY COMMERCIAL CENTER DENGKIL 43800 SELANGOR   Selangor  43800</t>
  </si>
  <si>
    <t>NVMY34535000001783</t>
  </si>
  <si>
    <t>MOHAMAD NOOR BIN BUIMEN</t>
  </si>
  <si>
    <t>NO 14, JALAN PUTERA INDAH 15/1E TAMAN PUTERA INDAH 83010 BATU PAHAT, JOHOR   Johor  83010</t>
  </si>
  <si>
    <t>NVMY34535000001785</t>
  </si>
  <si>
    <t>ROSSUHAILA BT ABDUL RAHMAN</t>
  </si>
  <si>
    <t>SRI TERNAK MART (SK) SDN BHD LOT 3 KOMPLEKS PERNIAGAAN PASAR BORONG SELANGOR, KM10 JALAN SERI KEMBANGAN 43300 SELANGOR   Selangor  43300</t>
  </si>
  <si>
    <t>NVMY34535000001800</t>
  </si>
  <si>
    <t>ADI SYAZ</t>
  </si>
  <si>
    <t>C-01-13 BLOCK C JALAN CU 1A TAMAN CHERAS UTAMA 56000 CHERAS KUALA  LUMPUR   Kuala Lumpur  56000</t>
  </si>
  <si>
    <t>NVMY34535000001796</t>
  </si>
  <si>
    <t>NOR FATASHA BT YA'COB</t>
  </si>
  <si>
    <t>LOT 42 LORONG TERATAI KG RTB BUKIT CHANGGANG 42700 BANTING SELANGOR   Selangor  42700</t>
  </si>
  <si>
    <t>NVMY34535000001810</t>
  </si>
  <si>
    <t>AINA SYAMIMI</t>
  </si>
  <si>
    <t>NO 20 BLOK PASIR PUTEH 17700 AYER LANAS KELANTAN   Kelantan  17700</t>
  </si>
  <si>
    <t>NVMY34535000001812</t>
  </si>
  <si>
    <t>NUR NAZURAH BINTI ABDUL AZIZ</t>
  </si>
  <si>
    <t>LEVEL 16-11,RESIDENSI TERATAI, JALAN 6/23F TAMAN TERATAI MEWAH, SETAPAK, 53100, WILAYAH PERSEKUTUAN KUALA LUMPUR   Kuala Lumpur  53100</t>
  </si>
  <si>
    <t>NVMY34535000001818</t>
  </si>
  <si>
    <t>NINA KHARTINI BT ZAKARIA</t>
  </si>
  <si>
    <t>NO 1JALAN TAHIR MANAN KAMPUNG BUKIT KUCHING TENGAH 45800 JERAM SELANGOR   Selangor  45800</t>
  </si>
  <si>
    <t>NVMY34535000001789</t>
  </si>
  <si>
    <t>CUEPACS LIVING CARE</t>
  </si>
  <si>
    <t>LEVEL 3 BANGUNAN PSM NO 17B JALAN BANGSAR 59200 KUALA LUMPUR   Kuala Lumpur  my 59200</t>
  </si>
  <si>
    <t>NVMY34535000001798</t>
  </si>
  <si>
    <t>MUHAMMAD ALIFF SYAMIM</t>
  </si>
  <si>
    <t>BAHAGIAN PENGANGKUTAN JABATAN LOGISTIK DAN TEKNOLOGI KONTIJEN KUALA LUMPUR, JALAN PUDU CHERAS 55100 KUALA LUMPUR   Kuala Lumpur  55100</t>
  </si>
  <si>
    <t>NVMY34535000001808</t>
  </si>
  <si>
    <t>NO 401 BLOK 2  JALAN 18/3 SEKSYEN 18 40000 SHAH ALAM SELANGOR   Selangor  40000</t>
  </si>
  <si>
    <t>10-SHA-70</t>
  </si>
  <si>
    <t>NVMY34535000001745</t>
  </si>
  <si>
    <t>MAZLINA MOHAMMAD</t>
  </si>
  <si>
    <t>JLN PUSAT TERNAKAN LEMBU KG BOMBOL 89000 KENINGAU SABAH   Sabah  89000</t>
  </si>
  <si>
    <t>15-KGU-125</t>
  </si>
  <si>
    <t>NVMY34535000001816</t>
  </si>
  <si>
    <t>ROHANA BINTI ABDUL RAHIM</t>
  </si>
  <si>
    <t>NO 9 JALAN PJU 7/9 MUTIARA DAMANSARA 47800 PETALING JAYA SELANGOR   Selangor  47800</t>
  </si>
  <si>
    <t>NVMY34535000001845</t>
  </si>
  <si>
    <t>ZEFRI ZAMRI</t>
  </si>
  <si>
    <t>NO.28, JALAN SUNGAI KELUBI 32/106 BUKIT RIMAU, KOTA KEMUNING 40460 SHAH ALAM SELANGOR   Selangor  40460</t>
  </si>
  <si>
    <t>NVMY34535000001853</t>
  </si>
  <si>
    <t>Y&amp;S SHOE AND FASHION CENTER</t>
  </si>
  <si>
    <t>NO 10 (G) JALAN PAK SAKO 6 28000 TEMERLOH PAHANG   Pahang  28000</t>
  </si>
  <si>
    <t>NVMY34535000001826</t>
  </si>
  <si>
    <t>ABANG</t>
  </si>
  <si>
    <t>LOT 4513 JALAN HAJI AWANG KG TELUK PASU MANIR,21200 KUALA TERENGGANU   Terengganu  21200</t>
  </si>
  <si>
    <t>NVMY34535000001803</t>
  </si>
  <si>
    <t>AZLIN BINTI IDRIS</t>
  </si>
  <si>
    <t xml:space="preserve"> J&amp;T EXPRESS PASIR TUMBUH K19&amp;K20 BANDAR SATELIT ISLAM PASIR TUMBUH 16150 KOTA BHARU KELANTAN   Kelantan  16150</t>
  </si>
  <si>
    <t>NVMY34535000001838</t>
  </si>
  <si>
    <t>FAIRUL MUSA</t>
  </si>
  <si>
    <t>19 JALAN DESA BONGSU 2 TAMAN DESA BONGSU 28500 LANCHANG PAHANG   Pahang  28500</t>
  </si>
  <si>
    <t>NVMY34535000001843</t>
  </si>
  <si>
    <t>FATIN KADIM</t>
  </si>
  <si>
    <t>NO 3 JALAN KARYAWAN BESTARI PUNCAK BESTARI 42300 BANDAR PUNCAK ALAM SELANGOR   Selangor  42300</t>
  </si>
  <si>
    <t>NVMY34535000001809</t>
  </si>
  <si>
    <t>SHARIFAH SHAHWAL</t>
  </si>
  <si>
    <t>NO5 JALAN TEMBAGA MERAH 4 TAMAN SRI SKUDAI 81300 JOHOR   Johor  81300</t>
  </si>
  <si>
    <t>NVMY34535000001820</t>
  </si>
  <si>
    <t>ASLI TARIGAN</t>
  </si>
  <si>
    <t>HOSTEL FINISAR PERSIARAN PERINDUSTRIAN KHANTAN 1 KHANTAN CHEMOR IPOH 31200 PERAK   Perak  31200</t>
  </si>
  <si>
    <t>NVMY34535000001807</t>
  </si>
  <si>
    <t>MIMI</t>
  </si>
  <si>
    <t>30B KG SEBERANG ALOR GUNUNG, MUKIM ANAK BUKIT, 05150 ALOR SETAR KEDAH   Kedah  05150</t>
  </si>
  <si>
    <t>NVMY34535000001819</t>
  </si>
  <si>
    <t>OLYNN FAIMIN</t>
  </si>
  <si>
    <t>LOT667C JALAN TANJUNG KERAYONG, KAMPUNG TANJUNG KERAYONG, 28400 MENTAKAB PAHANG  Pahang  Pahang  28400</t>
  </si>
  <si>
    <t>NVMY34535000001851</t>
  </si>
  <si>
    <t>10-ALM-158</t>
  </si>
  <si>
    <t>NVMY34535000001825</t>
  </si>
  <si>
    <t>MOHD YAAKOB BIN ATAN</t>
  </si>
  <si>
    <t>160 FELDA KOTA GELANGGI1 27000 JERANTUT PAHANG   Pahang  my 27000</t>
  </si>
  <si>
    <t>NVMY34535000001837</t>
  </si>
  <si>
    <t>ABDUL QAMAR</t>
  </si>
  <si>
    <t>LOT 521 BATU 22 1/2 KANCHONG DARAT 42700 BANTING SELANGOR   Selangor  42700</t>
  </si>
  <si>
    <t>NVMY34535000001828</t>
  </si>
  <si>
    <t>MUHAMAD ASRI</t>
  </si>
  <si>
    <t>JABATAN BANTUAN GUAMAN NEGERI PAHANG TINGKAT 8 WISMA PERSEKUTUAN JALAN GAMBUT 25000 KUANTAN PAHANG   Pahang  25000</t>
  </si>
  <si>
    <t>NVMY34535000001830</t>
  </si>
  <si>
    <t>MUHAMAD BIN HASSAN</t>
  </si>
  <si>
    <t>NO.2 JALAN USJ 1/2D 47620 SUBANG JAYA SELANGOR   Selangor  47620</t>
  </si>
  <si>
    <t>NVMY34535000001802</t>
  </si>
  <si>
    <t>NURIZWAH BT IBRAHIM</t>
  </si>
  <si>
    <t>15 BT 3 KAMPUNG PADANG 2 TANJUNG SEDILI 81900 KOTA TINGGI JOHOR   Johor  81900</t>
  </si>
  <si>
    <t>NVMY34535000001813</t>
  </si>
  <si>
    <t>NUR NABIHAH BT SHAFIE</t>
  </si>
  <si>
    <t>KAMPUNG GUAR BATU HITAM PROJEK LIMAU BALI 06100 KODIANG KEDAH   Kedah  06100</t>
  </si>
  <si>
    <t>NVMY34535000001817</t>
  </si>
  <si>
    <t>SHIMAH BASRI</t>
  </si>
  <si>
    <t>15 JALAN TN SRI LANANG 81900 KOTA TINGGI JOHOR   Johor  81900</t>
  </si>
  <si>
    <t>NVMY34535000001852</t>
  </si>
  <si>
    <t>FATIN AMALINA</t>
  </si>
  <si>
    <t>UNIT 505, BLK D17 JLN 4/27A SEK 2, 53300 WANGSA MAJU KUALA LUMPUR   Kuala Lumpur  53300</t>
  </si>
  <si>
    <t>10-WMJ-73</t>
  </si>
  <si>
    <t>NVMY34535000001831</t>
  </si>
  <si>
    <t>SIDEK JAAFAR</t>
  </si>
  <si>
    <t>403 FELDA CHINI 3 26690, PEKAN PAHANG   Pahang  26690</t>
  </si>
  <si>
    <t>NVMY34535000001846</t>
  </si>
  <si>
    <t>AZRIEN</t>
  </si>
  <si>
    <t>8 JLN MEGAH 9 TAMAN MEGAH BATU 9 CHERAS 43200 KAJANG SELANGOR   Selangor  43200</t>
  </si>
  <si>
    <t>NVMY34535000001848</t>
  </si>
  <si>
    <t>MUHAMAD ROZAINI BIN ROSMIN</t>
  </si>
  <si>
    <t>NO 8 JALAN 3 TAMAN BELIBIS ASSAM JAWA 45700 BUKIT ROTAN KUALA SELANGOR   Selangor  45700</t>
  </si>
  <si>
    <t>NVMY34535000001832</t>
  </si>
  <si>
    <t>MUHAMMAD ADDIN BIN MOHD SUKOR</t>
  </si>
  <si>
    <t>KG KUALA MAI KUALA KRAU 28050 TEMERLOH PAHANG   Pahang  28050</t>
  </si>
  <si>
    <t>NVMY34535000001841</t>
  </si>
  <si>
    <t>MOHD ASRUL AIN BIN AZHAR</t>
  </si>
  <si>
    <t>NO 9 JALAN HARMONI 19, TAMAN HARMONI 43500 SEMENYIH SELANGOR   Selangor  43500</t>
  </si>
  <si>
    <t>NVMY34535000001842</t>
  </si>
  <si>
    <t>HASNAH HASSAN</t>
  </si>
  <si>
    <t>331 LORONG 6 TAMAN PERUMAHAN PANELEX 24300 KERTIH TERENGGANU   Terengganu  24300</t>
  </si>
  <si>
    <t>NVMY34535000001823</t>
  </si>
  <si>
    <t>MOHD NADZLIE ADREEN</t>
  </si>
  <si>
    <t>BLOK J 01-06 JALAN PERMAS JAYA 7 BANDAR BARU MASAI  81750 JOHOR   Johor  81750</t>
  </si>
  <si>
    <t>NVMY34535000001857</t>
  </si>
  <si>
    <t>NUR HIDAYAH BINTI TAIB</t>
  </si>
  <si>
    <t>PT1/439 KAMPUNG CHERANG PASIR PANJANG 26600 PEKAN PAHANG   Pahang  26600</t>
  </si>
  <si>
    <t>NVMY34535000001850</t>
  </si>
  <si>
    <t>AMYRUL LEE</t>
  </si>
  <si>
    <t>LOT 236 KG HILIR SUNGAI DURI 14200 SUNGAI JAWI PULAU PINANG   Pulau Pinang  14200</t>
  </si>
  <si>
    <t>NVMY34535000001849</t>
  </si>
  <si>
    <t>UMI KALSUM BIN TAHIRUDDIN</t>
  </si>
  <si>
    <t>2-2-9 GEDUNG HEIGHT APARTMENT, CANGKAT MAYANG PASIR, 11950 BAYAN LEPAS PULAU PINANG   Pulau Pinang  11950</t>
  </si>
  <si>
    <t>NVMY34535000001836</t>
  </si>
  <si>
    <t>MOHD SHAHLAN</t>
  </si>
  <si>
    <t>LOT128 KAMPUNG RUSA JELAWAT16070 BACHOK KELANTAN  Kelantan  Kelantan  16070</t>
  </si>
  <si>
    <t>NVMY34535000001866</t>
  </si>
  <si>
    <t>BATU 2 1/2 LOT 814 JALAN TANJUNG KARANG, PASIR PENAMBANG, KUALA SELANGOR, 45000 SELANGOR   Selangor  45000</t>
  </si>
  <si>
    <t>NVMY34535000001859</t>
  </si>
  <si>
    <t>FILZAH RAZAK</t>
  </si>
  <si>
    <t>32-08 THE SKY RESIDENSI SHAMELIN NO.19, JALAN 6/91 TAMAN SHAMELIN PERKASA 56100 KUALA LUMPUR   Kuala Lumpur  56100</t>
  </si>
  <si>
    <t>NVMY34535000001856</t>
  </si>
  <si>
    <t>MIRA AZNAN</t>
  </si>
  <si>
    <t>NO 7, TAMAN DESA DARUL IMAN RUSILA 21080 MARANG TERENGGANU   Terengganu  21080</t>
  </si>
  <si>
    <t>NVMY34535000001805</t>
  </si>
  <si>
    <t>KHAIRUNNISA BINTI ABDUL RAZAK</t>
  </si>
  <si>
    <t>NO 198358, JALAN TANJUNG DAMAI 13, RPT TAPISAN AIR 31150 ULU KINTA PERAK   Perak  31150</t>
  </si>
  <si>
    <t>NVMY34535000001887</t>
  </si>
  <si>
    <t>MOHD ASYRAF B IBRAHIM</t>
  </si>
  <si>
    <t>NO 38 LORONG GEMILANG TAMAN DESA GEMILANG 27000 JERANTUT PAHANG   Pahang  27000</t>
  </si>
  <si>
    <t>NVMY34535000001829</t>
  </si>
  <si>
    <t>HAFIZUL BIN AHMAD SUPARI</t>
  </si>
  <si>
    <t>NO. 224 BLOK K, FELDA GUGUSAN RAJA ALIAS 3, 72120 BANDAR SERI JEMPOL, NEGERI SEMBILAN   Negeri Sembilan  72120</t>
  </si>
  <si>
    <t>NVMY34535000001833</t>
  </si>
  <si>
    <t>NELY EVANDA BINTI SUKERI</t>
  </si>
  <si>
    <t xml:space="preserve"> PEJABAT KESIHATAN DAERAH JEMPOL, 72120 BANDAR SERI JEMPOL, NEGERI SEMBILAN   Negeri Sembilan  72120</t>
  </si>
  <si>
    <t>NVMY34535000001880</t>
  </si>
  <si>
    <t>MUHAMMAD ZULQARNAIN</t>
  </si>
  <si>
    <t>NO 27, LORONG SUNGAI KAPAR INDAH 13C, TAMAN SUNGAI KAPAR INDAH 42200 KAPAR, SELANGOR   Selangor  42200</t>
  </si>
  <si>
    <t>NVMY34535000001821</t>
  </si>
  <si>
    <t>MOHD SHAFIAN</t>
  </si>
  <si>
    <t>4874 JLN SJ6/2A TAMAN SEREMBAN JAYA, 70450 SEREMBAN NEGERI SEMBILAN   Negeri Sembilan  70450</t>
  </si>
  <si>
    <t>NVMY34535000001854</t>
  </si>
  <si>
    <t>AHMAD AL MUKHLIS BIN SAIFUL AL BAHRI</t>
  </si>
  <si>
    <t>B/S KECIK CHERRY GARAGE LOT 2239 JALAN SENTOSA KAMPUNG PARIT MAHANG 45800 JERAM SELANGOR   Selangor  45800</t>
  </si>
  <si>
    <t>NVMY34535000001847</t>
  </si>
  <si>
    <t>HAMEED OSMAN</t>
  </si>
  <si>
    <t>NO. 22, LORONG 13/SS1, BANDAR TASEK MUTIARA, 14120 SIMPANG AMPAT PULAU PINANG   Pulau Pinang  14120</t>
  </si>
  <si>
    <t>5-SIM-30</t>
  </si>
  <si>
    <t>NVMY34535000001882</t>
  </si>
  <si>
    <t>NUR ZULAIQA BINTI ABD RAHMAN</t>
  </si>
  <si>
    <t>12 LORONG SP1/16 TMN SAUJAN PUTRA 27000 JERANTUT PAHANG   Pahang  27000</t>
  </si>
  <si>
    <t>NVMY34535000001892</t>
  </si>
  <si>
    <t>A1-06-05, SINAR RASA HOMESTAY I-SOHO, ICITY SOHO SUIT JALAN MULTIMEDIA I-CITY KLANG 40000 SHAH ALAM SELANGOR   Selangor  40000</t>
  </si>
  <si>
    <t>NVMY34535000001894</t>
  </si>
  <si>
    <t>MARIANA BT ALIAS</t>
  </si>
  <si>
    <t>6579 KG TOK PONG PENGADANG BULUH 21070 KUALA TERENGGANU   Terengganu  21070</t>
  </si>
  <si>
    <t>NVMY34535000001822</t>
  </si>
  <si>
    <t>MUHAMMAD HAIRI BIN NAHROB</t>
  </si>
  <si>
    <t>KB 104, LADANG SEMBRONG, LAYANG-LAYANG,81850 JOHOR   Johor  81850</t>
  </si>
  <si>
    <t>NVMY34535000001855</t>
  </si>
  <si>
    <t>ROSHROZA</t>
  </si>
  <si>
    <t>B4-05-02 DESA LEMBAH PERMAI LEMBAH JAYA UTARA 68000 AAMPANG SELANGOR   Selangor  68000</t>
  </si>
  <si>
    <t>NVMY34535000001883</t>
  </si>
  <si>
    <t>AZIRAH AZMI</t>
  </si>
  <si>
    <t>NVMY34535000001861</t>
  </si>
  <si>
    <t>SOFEA HANNA</t>
  </si>
  <si>
    <t>NO.18 JALAN PALOH LEBAI SEMAIL KAMPUNG SEBERANG TAYUR HULU KEMAMAN 24030 TERENGGANU   Terengganu  24030</t>
  </si>
  <si>
    <t>NVMY34535000001878</t>
  </si>
  <si>
    <t>TANIA MARSELLA</t>
  </si>
  <si>
    <t>D-2-11 APARTMENT SIANTAN, JALAN PUTRA PERDANA 3A, 47130 PUCHONG, SELANGOR   Selangor  47130</t>
  </si>
  <si>
    <t>NVMY34535000001824</t>
  </si>
  <si>
    <t>ABD LATIFF OTHMAN (ABAH)</t>
  </si>
  <si>
    <t>NO.311 KG.CHANGKAT KURNIA, BUKIT CHANDAN, 33000 KUALA KANGSAR PERAK   Perak  33000</t>
  </si>
  <si>
    <t>NVMY34535000001889</t>
  </si>
  <si>
    <t>MASTURAH BINTI MAZLAN</t>
  </si>
  <si>
    <t>NO 28 JALAN KOTA HARMONI 27/97 SEKSYEN 27 40400 SHAH ALAM SELANGOR   Selangor  40400</t>
  </si>
  <si>
    <t>NVMY34535000001835</t>
  </si>
  <si>
    <t>MUHAMMAD AMIRULZULFADLI BIN ABDUL MALIK</t>
  </si>
  <si>
    <t>NO68A, CEMPAKA SERI 1 TOWNVILLAS, JALAN LAMAN CEMPAKA 2, KOTA SERIEMAS NILAI 71800, NEGERI SEMBILAN   Negeri Sembilan  71800</t>
  </si>
  <si>
    <t>NVMY34535000001804</t>
  </si>
  <si>
    <t>BATRISYIA BALQIS</t>
  </si>
  <si>
    <t>BATU 19 3/4 JALAN AMAN KG DURIAN DAUN 78300 MASJID TANAH MELAKA   Melaka  my 78300</t>
  </si>
  <si>
    <t>NVMY34535000001840</t>
  </si>
  <si>
    <t>MOHAMAD NUH BIN ABDULLAH</t>
  </si>
  <si>
    <t>22 JALAN BUKIT KEMPAS 1/1 TAMAN BUKIT KEMPAS 81200 JOHOR BAHRU JOHOR   Johor  81200</t>
  </si>
  <si>
    <t>NVMY34535000001876</t>
  </si>
  <si>
    <t>MAHIRAH SIDEK</t>
  </si>
  <si>
    <t>NO 9 JALAN SIREH PINANG 4, TAMAN SG SIREH 42000 PELABUHAN KLANG, SELANGOR   Selangor  42000</t>
  </si>
  <si>
    <t>NVMY34535000001888</t>
  </si>
  <si>
    <t>NIK NUR AZNIERA BINTI NIK NAZIM</t>
  </si>
  <si>
    <t>LOT 221 KAMPUNG TIKAT JALAN PCB 15350 KOTA BHARU KELANTAN   Kelantan  15350</t>
  </si>
  <si>
    <t>NVMY34535000001827</t>
  </si>
  <si>
    <t>MOHD AFFIQ BIN MOHD KHAFIDZ</t>
  </si>
  <si>
    <t>LOT 6382, JALAN BATU, BUKIT KAPAR, 42200 KAPAR,  SELANGOR   Selangor  42200</t>
  </si>
  <si>
    <t>NVMY34535000001879</t>
  </si>
  <si>
    <t>AMJAD KHAN BIN MOHAMED NASSIM</t>
  </si>
  <si>
    <t>62-05-12 FLAT SRI SABAH 3B JALAN CHERAS 56100 KUALA LUMPUR   Kuala Lumpur  my 56100</t>
  </si>
  <si>
    <t>NVMY34535000001874</t>
  </si>
  <si>
    <t>NVMY34535000001871</t>
  </si>
  <si>
    <t>NIK AMIRUL AFENDI</t>
  </si>
  <si>
    <t>LOT 182 NO 4 JAALN PEGAWAI 17500 TANAH MERAH KELANTAN   Kelantan  17500</t>
  </si>
  <si>
    <t>NVMY34535000001844</t>
  </si>
  <si>
    <t>MOHAMAD FAUZAN BIN MOHAMED ROKANI</t>
  </si>
  <si>
    <t>NO 71 JALAN LIMAU BLOK 3 FELDA LINGGI 81900 KOTA TINGGI JOHOR   Johor  81900</t>
  </si>
  <si>
    <t>NVMY34535000001834</t>
  </si>
  <si>
    <t>MUHAMMAD HAZIQ HAFIY BIN MAT NOOR</t>
  </si>
  <si>
    <t>277 MK A SUNGAI PINANG 11010 BALIK PULAU PULAU PINANG    Pulau Pinang  11010</t>
  </si>
  <si>
    <t>NVMY34535000001911</t>
  </si>
  <si>
    <t>NIORFAIZA BINTI JAMRI</t>
  </si>
  <si>
    <t>NO 45, LORONG 35 PERUMAHAN MAKMUR INDERA PUTRAJAYA 25150 KUANTAN PAHANG   Pahang  25150</t>
  </si>
  <si>
    <t>NVMY34535000001875</t>
  </si>
  <si>
    <t>MUHAMMAD HELMI ISKANDAR</t>
  </si>
  <si>
    <t>NO 88, KAMPUNG PARIT LAPIS SUNGAI LURUS 83200 SENGGARANG, BATU PAHAT JOHOR   Johor  83200</t>
  </si>
  <si>
    <t>NVMY34535000001890</t>
  </si>
  <si>
    <t>NUR ERNISYA BINTI AZMI</t>
  </si>
  <si>
    <t>NO 25 DI 21 TAMAN DESA IDAMAN 3 DURIAN TUNGGAL 76100 MELAKA   Melaka  76100</t>
  </si>
  <si>
    <t>NVMY34535000001864</t>
  </si>
  <si>
    <t>ALEYA SYAFIQA</t>
  </si>
  <si>
    <t>1380 JALAN KUINI FELDA KAHANG BARAT, 86000 KLUANG, JOHOR DARUL TAKZIM   Johor  86000</t>
  </si>
  <si>
    <t>NVMY34535000001916</t>
  </si>
  <si>
    <t>FAIZ RIEZA(SCAFFOLDING)</t>
  </si>
  <si>
    <t>UBF MAINTENANCE (MELAKA BRANCH) LOT3936 JLN TP3, KAWASAN PERINDUSTRIAN BUKIT RAMBAI,FASA 6 BUKIT RAMBAI 75250 MELAKA    Melaka  75250</t>
  </si>
  <si>
    <t>NVMY34535000001905</t>
  </si>
  <si>
    <t>14-BTK-117</t>
  </si>
  <si>
    <t>NVMY34535000001895</t>
  </si>
  <si>
    <t>SUFIAN AUSSAURI BIN ABDUL HAMID</t>
  </si>
  <si>
    <t>EDGENTA MEDISERVE SDN BHD (BEMS DEPARTMENT) HOSPITAL PULAU PINANG 10990 GEORGETOWN PULAU PINANG   Pulau Pinang  10990</t>
  </si>
  <si>
    <t>5-GEO-31</t>
  </si>
  <si>
    <t>NVMY34535000001839</t>
  </si>
  <si>
    <t>MOHD ASIT BIN OTHMAN</t>
  </si>
  <si>
    <t>K6 A2 21 KUARTERS KLIA 71800 NILAI NEGERI SEMBILAN   Negeri Sembilan  71800</t>
  </si>
  <si>
    <t>NVMY34535000001811</t>
  </si>
  <si>
    <t>SITI NOORHUDA BT HASSAN</t>
  </si>
  <si>
    <t xml:space="preserve"> 8A-04-08 PSRN MAYANG PASIR 5 BAYAN BARU 11950 BAYAN LEPAS PULAU PINANG  Pulau Pinang  Pulau Pinang  11950</t>
  </si>
  <si>
    <t>NVMY34535000001867</t>
  </si>
  <si>
    <t>AIDAH BT SHAFII</t>
  </si>
  <si>
    <t>LOT B10 TINGKAT BAWAH BANGUNAN TABUNG HAJI BANDAR BARU 18300 GUA MUSANG KELANTAN   Kelantan  18300</t>
  </si>
  <si>
    <t>NVMY34535000001896</t>
  </si>
  <si>
    <t>NVMY34535000001881</t>
  </si>
  <si>
    <t>HJH AN-NISA'</t>
  </si>
  <si>
    <t>KILOMETER 5, JLN SG. MANIK 36000 TELUK INTAN, PERAK   Perak  36000</t>
  </si>
  <si>
    <t>NVMY34535000001877</t>
  </si>
  <si>
    <t>MOHD TAUFID BIN ISMAIL</t>
  </si>
  <si>
    <t>491 JALAN 2/3 TAMAN NUSARI BAYU 1, BANDAR SERI SENDAYAN 71950 SEREMBAN, NEGERI SEMBILAN   Negeri Sembilan  71950</t>
  </si>
  <si>
    <t>NVMY34535000001907</t>
  </si>
  <si>
    <t>AINURZAIMAH BINTI MAT RAHIM</t>
  </si>
  <si>
    <t>2C-G-04, PPAM SADERI, NO. 2, JALAN SADERI P16, PRESINT 16,  62150 PUTRAJAYA   Putrajaya  62150</t>
  </si>
  <si>
    <t>12-CJY-96</t>
  </si>
  <si>
    <t>NVMY34535000001893</t>
  </si>
  <si>
    <t>HALIMAH BINTI AHMADAN</t>
  </si>
  <si>
    <t>NO 59 FELDA KEMELAH 85040 SEGAMAT JOHOR   Johor  85040</t>
  </si>
  <si>
    <t>NVMY34535000001899</t>
  </si>
  <si>
    <t>NUR ALINA YOB RAMLI</t>
  </si>
  <si>
    <t>NO 4 LORONG 16/7C,  46350 PEALING JAYA SELANGOR   Selangor  46350</t>
  </si>
  <si>
    <t>NVMY34535000001858</t>
  </si>
  <si>
    <t>INTAN ZULAIKHA BNTI MOHD ZABRI</t>
  </si>
  <si>
    <t>742 LORONG SERAI SETIA 6/3 TAMAN SERAI SETIA 09400 PADANG SERAI KEDAH   Kedah  09400</t>
  </si>
  <si>
    <t>NVMY34535000001903</t>
  </si>
  <si>
    <t>NVMY34535000001870</t>
  </si>
  <si>
    <t>CHE SITI RAKIAH CHE WILL</t>
  </si>
  <si>
    <t>NO 207 TAMAN AGROPOLITAN RANTAU MANIS GUA MUSANG 18300 KELANTAN   Kelantan  18300</t>
  </si>
  <si>
    <t>NVMY34535000001869</t>
  </si>
  <si>
    <t>NUR HANISSA BINTI ABAS</t>
  </si>
  <si>
    <t>WISMA MALIK NO 23 &amp; 25 3RD FLOOR JALAN TUN TAN SIEW SIN 50050 KUALA LUMPUR    Kuala Lumpur  50050</t>
  </si>
  <si>
    <t>NVMY34535000001868</t>
  </si>
  <si>
    <t>HAFIZA (222)</t>
  </si>
  <si>
    <t>BLOK D23 PANGKALAN TLDM LUMUT, MANJUNG 32100 PERAK   Perak  32100</t>
  </si>
  <si>
    <t>NVMY34535000001913</t>
  </si>
  <si>
    <t>MANIRAH KASIM</t>
  </si>
  <si>
    <t>JLN AU3/8 TAMAN KERAMAT 54200 KUALA LUMPUR   Kuala Lumpur  54200</t>
  </si>
  <si>
    <t>10-MLT-74</t>
  </si>
  <si>
    <t>NVMY34535000001912</t>
  </si>
  <si>
    <t>LOT 1315 KAMPUNG BELUKAR KUBUR, JALAN DEWAN BATU 23 18500 MACHANG, KELANTAN   Kelantan  18500</t>
  </si>
  <si>
    <t>NVMY34535000001919</t>
  </si>
  <si>
    <t>QUDWAH DESIGN &amp; PRINT</t>
  </si>
  <si>
    <t>3311 SEBERANG JERTEH, 22000 JERTEH, TERENGGANU   Terengganu  22000</t>
  </si>
  <si>
    <t>NVMY34535000001885</t>
  </si>
  <si>
    <t>NUZUL FATIHAH BINTI ZULKIFLI</t>
  </si>
  <si>
    <t>NO 993 BLOK L TAMAN SERI PENGKALAN CHEPA 16100 KOTA BHARU KELANTAN   Kelantan  16100</t>
  </si>
  <si>
    <t>NVMY34535000001900</t>
  </si>
  <si>
    <t>NVMY34535000001914</t>
  </si>
  <si>
    <t>SITI ZALEHA BTE RAZALI</t>
  </si>
  <si>
    <t>NO 125 JALAN GAJUS FELDA SG TENGI SELATAN 44010 KUALA KUBU BHARU SELANGOR   Selangor  44010</t>
  </si>
  <si>
    <t>NVMY34535000001915</t>
  </si>
  <si>
    <t>NOR AINI BINTI CHE KAH</t>
  </si>
  <si>
    <t>PEJABAT TIMBALAN KETUA POLIS TERENGGANU IBU PEJABAT POLIS KONTINJEN TERENGGANU JALAN SULTAN OMAR 20918 KUALA TERENGGANU TERENGGANU   Terengganu  20918</t>
  </si>
  <si>
    <t>NVMY34535000001860</t>
  </si>
  <si>
    <t>NORAISHAH</t>
  </si>
  <si>
    <t>NO 24, JALAN SRI SENTOSA 4, TAMAN SRI SENTOSA 81500 PEKAN NANAS PONTIAN JOHOR   Johor  81500</t>
  </si>
  <si>
    <t>NVMY34535000001901</t>
  </si>
  <si>
    <t>NO41. TAMAN SEROJA 28700 BENTONG PAHANG DARUL MAKMUR   Pahang  28700</t>
  </si>
  <si>
    <t>14A-BEN-104</t>
  </si>
  <si>
    <t>NVMY34535000001904</t>
  </si>
  <si>
    <t>NVMY34535000001865</t>
  </si>
  <si>
    <t>NURULAIN SYAZWANI BT ZAIDI</t>
  </si>
  <si>
    <t>LOT631 KAMPUNG SUNGAI PINANG PALEKBANG 16040 TUMPAT KELANTAN   Kelantan  16040</t>
  </si>
  <si>
    <t>NVMY34535000001909</t>
  </si>
  <si>
    <t>RAFIZAH BINTI ABD RAHIM</t>
  </si>
  <si>
    <t>NO 174 JLN SENTOSA 19, TAMAN NUSA DAMAI 81700 PASIR GUDANG, JOHOR   Johor  81700</t>
  </si>
  <si>
    <t>NVMY34535000001931</t>
  </si>
  <si>
    <t>NUR SYARILA ANISA BINTI MOHD SUHAIRI</t>
  </si>
  <si>
    <t>NO.7 LORONG 1/12 TAMAN BALOK PERDANA 26100 KUANTAN, PAHANG   Pahang  26100</t>
  </si>
  <si>
    <t>NVMY34535000001906</t>
  </si>
  <si>
    <t>FIFI</t>
  </si>
  <si>
    <t>04-01 PERUMAHAN PDRM, IPD JOHOR BAHRU SELATAN, JALAN DATO JAAFAR, LARKIN 80350 JOHOR BAHRU   Johor  80350</t>
  </si>
  <si>
    <t>4-LKN-180</t>
  </si>
  <si>
    <t>NVMY34535000001925</t>
  </si>
  <si>
    <t>I STORE</t>
  </si>
  <si>
    <t>1754 JALAN DIWANGSA BANDAR BARU JERANTUT 27000 PAHANG   Pahang  27000</t>
  </si>
  <si>
    <t>NVMY34535000001746</t>
  </si>
  <si>
    <t>MISLIHA BINTI LATIP</t>
  </si>
  <si>
    <t>D/A SUJIMAN BIN KEMAN FGV REFINERIES OIL PRODUCT SAHABAT OIL PRODUCTS PETI SURAT 150 POS CENDERAWASIH 91150 LAHAD DATU SABAH   Sabah  91150</t>
  </si>
  <si>
    <t>NVMY34535000001897</t>
  </si>
  <si>
    <t>NOORLIYANA BINTI MAZILAN</t>
  </si>
  <si>
    <t>BAHAGIAN PENGURUSAN IBU PEJABAT POLIS DAERAH MUALLIM 35800 SLIM RIVER PERAK   Perak  my 35800</t>
  </si>
  <si>
    <t>8-SLM-56</t>
  </si>
  <si>
    <t>NVMY34535000001951</t>
  </si>
  <si>
    <t>AMY</t>
  </si>
  <si>
    <t>PT 628, JALAN 2 DESA DARULNAIM PASIR TUMBOH 16150 KOTA BHARU KELANTAN    Kelantan  16150</t>
  </si>
  <si>
    <t>NVMY34535000001902</t>
  </si>
  <si>
    <t>4-AUS-23</t>
  </si>
  <si>
    <t>NVMY34535000001918</t>
  </si>
  <si>
    <t>NUR SARAH</t>
  </si>
  <si>
    <t>08-03 BLOCK C SEASON LUXURY APARTMENT JALAN DATO JAAFAR TAMAN DATO ON JOHOR BAHRU  80350 JOHOR   Johor  80350</t>
  </si>
  <si>
    <t>NVMY34535000001949</t>
  </si>
  <si>
    <t>NUR SYALILAH BINTI SUKHAIRI</t>
  </si>
  <si>
    <t>BELAKANG SEKOLAH KEBANGSAAN KAMPUNG LUIT 26500 MARAN ,PAHANG   Pahang  26500</t>
  </si>
  <si>
    <t>NVMY34535000001942</t>
  </si>
  <si>
    <t>AMIR HARITH</t>
  </si>
  <si>
    <t>NO 12, JALAN SAMUDERA SELATAN TAMAN SAMUDERA 68100 BATU CAVES SELANGOR   Selangor  68100</t>
  </si>
  <si>
    <t>NVMY34535000001936</t>
  </si>
  <si>
    <t>NURUL SYAFIEQA SYZWANA BINTI JALIZAN</t>
  </si>
  <si>
    <t>LOT 1045 A KAMPUNG SBERANG MARANG, 21600 MARANG TERENGGANU   Terengganu  21600</t>
  </si>
  <si>
    <t>NVMY34535000001917</t>
  </si>
  <si>
    <t>MUHAMMAD HAMIZAN BIN HASHIM</t>
  </si>
  <si>
    <t>2031 KAMPUNG CHANGKAT BARUH 14300 NIBONG TEBAL PUALU PINANG   Pulau Pinang  14300</t>
  </si>
  <si>
    <t>NVMY34535000001922</t>
  </si>
  <si>
    <t>NO.3, JALAN PUNCAK BESTARI 2/4, AZALEA, PUNCAK BESTARI 2, 42300 BANDAR PUNCAK ALAM SELANGOR   Selangor  42300</t>
  </si>
  <si>
    <t>NVMY34535000001926</t>
  </si>
  <si>
    <t>HANANI MOHD ARSHAD</t>
  </si>
  <si>
    <t>STESEN MINYAK JAFNI (PETRONAS SELAYANG BARU) LOT 1051 JALAN BESAR SELAYANG BARU 68100 BATU CAVES SELANGOR   Selangor  68100</t>
  </si>
  <si>
    <t>NVMY34535000001952</t>
  </si>
  <si>
    <t>NVMY34535000001930</t>
  </si>
  <si>
    <t>ANWAR SALLEH</t>
  </si>
  <si>
    <t>NO 60 JALAN PINGGIRAN 1/5 TAMAN PINGGIRAN USJ 47620 SUBANG JAYA SELANGOR   Selangor  47620</t>
  </si>
  <si>
    <t>12-HTC-153</t>
  </si>
  <si>
    <t>NVMY34535000001947</t>
  </si>
  <si>
    <t>NORHAYATI BT MOHD NOR</t>
  </si>
  <si>
    <t>NO 26 A KG NASI DINGIN 21700 KUALA BERANG TERANGGANU    Terengganu  21700</t>
  </si>
  <si>
    <t>NVMY34535000001886</t>
  </si>
  <si>
    <t>NORHAZUANI BINTI AB WAHAB</t>
  </si>
  <si>
    <t>KLINIK PAKAR PERUBATAN AM ARAS 2 KOMPLEKS PAKAR DAN RAWATAN HARIAN HOSPITAL KUALA LUMPUR JLN PAHANG 50586 KUALA LUMPUR  Kuala Lumpur  Kuala Lumpur  50586</t>
  </si>
  <si>
    <t>NVMY34535000001898</t>
  </si>
  <si>
    <t>AYUU IBRAHIM</t>
  </si>
  <si>
    <t>54 LORONG SERI DESA 17 TAMAN SERI DESA 13300 TASEK GELUGOR PULAU PINANG   Pulau Pinang  13300</t>
  </si>
  <si>
    <t>5-BTS-29</t>
  </si>
  <si>
    <t>NVMY34535000001921</t>
  </si>
  <si>
    <t>HAYATI</t>
  </si>
  <si>
    <t>NO 4 JALAN RICHING 6/5C, BANDAR RINCHING 43500 SEMENYIH SELANGOR   Selangor  43500</t>
  </si>
  <si>
    <t>NVMY34535000001944</t>
  </si>
  <si>
    <t>AQIL IZDIHAR</t>
  </si>
  <si>
    <t>BLOK A MAHALLAH AS SIDDIQ, INTERNATIONAL ISLAMIC UNIVERSITY MALAYSIA,  JALAN GOMBAK 53100 GOMBAK SELANGOR   Selangor  53100</t>
  </si>
  <si>
    <t>NVMY34535000001950</t>
  </si>
  <si>
    <t>INTAN SAERAH</t>
  </si>
  <si>
    <t>NO 2A , LRG PJ UTAMA TAMAN PEDAH JAYA JERANTUT 27000 PAHANG   Pahang  27000</t>
  </si>
  <si>
    <t>NVMY34535000001948</t>
  </si>
  <si>
    <t>MUHAMMAD HAMIRUL HAKIMI</t>
  </si>
  <si>
    <t>B-521, PANGSAPURI DESA PALMA JALAN DESA PALMA TAMAN DESA PALMA NILAI SEREMBAN 71800, NEGERI SEMBILAN   Negeri Sembilan  71800</t>
  </si>
  <si>
    <t>NVMY34535000001954</t>
  </si>
  <si>
    <t>SITI ZULAIHA ABDULLAH</t>
  </si>
  <si>
    <t>NO 40 LORONG 24, PERKAMPUNGAN INDERA SEMPURNA 25150 KUANTAN PAHANG   Pahang  25150</t>
  </si>
  <si>
    <t>NVMY34535000001928</t>
  </si>
  <si>
    <t>FALISA</t>
  </si>
  <si>
    <t xml:space="preserve"> LOT 60865 LORONG DATO KG MANJOI 30020 IPOH PERAK   Perak  30020</t>
  </si>
  <si>
    <t>NVMY34535000001957</t>
  </si>
  <si>
    <t>ROSMAINI BT DOLLAH</t>
  </si>
  <si>
    <t>41, JALAN TANJUNG PENAWAR 30/115, TAMAN ALAM JAYA, SEKSYEN 30 40460 SHAH ALAM, SELANGOR   Selangor  40460</t>
  </si>
  <si>
    <t>NVMY34535000001932</t>
  </si>
  <si>
    <t>WAN NOORBIHAH BT WAN NOOR AHMAD</t>
  </si>
  <si>
    <t>NO 48, PERSIARAN PINJI SELATAN 23 TAMAN DESA PELANCONGAN 2 31500 LAHAT PERAK   Perak  31500</t>
  </si>
  <si>
    <t>NVMY34535000001934</t>
  </si>
  <si>
    <t>NURHUDA MUYASSARAH BINTI AZLI</t>
  </si>
  <si>
    <t>NO 2 LALUAN MERU INDAH B 5, GERBANG MERU INDAH 30020 IPOH PERAK.(rumah warna kuning)   Perak  30020</t>
  </si>
  <si>
    <t>NVMY34535000001923</t>
  </si>
  <si>
    <t>NUR SYAZWANI MOHD SHARIFF</t>
  </si>
  <si>
    <t xml:space="preserve"> NO 38 HALAMAN MAYANG 3, 11900 BAYAN BARU PULAU PINANG   Pulau Pinang  11900</t>
  </si>
  <si>
    <t>NVMY34535000001924</t>
  </si>
  <si>
    <t>SITI MALINI BT OTHMAN @ ABDULLAH</t>
  </si>
  <si>
    <t>NO 55 F2 KUARTERS KESIHATAN JALAN UTAMA 10450 GEOGTOWN PULAU PINANG   Pulau Pinang  10450</t>
  </si>
  <si>
    <t>NVMY34535000001935</t>
  </si>
  <si>
    <t>NORSYAKILA</t>
  </si>
  <si>
    <t>NO.11, KAMPUNG SUAK PONGGOR 31100 SG.SIPUT PERAK   Perak  31100</t>
  </si>
  <si>
    <t>NVMY34535000001920</t>
  </si>
  <si>
    <t>NVMY34535000001941</t>
  </si>
  <si>
    <t>ALYA NATASYA</t>
  </si>
  <si>
    <t>NO 181, KAMPUNG SUNGAI EMAS, 08500, KOTA KUALA MUDA KEDAH   Kedah  08500</t>
  </si>
  <si>
    <t>NVMY34535000001943</t>
  </si>
  <si>
    <t>THIRESYINIE TAMIL CHELVAM</t>
  </si>
  <si>
    <t>159, PERSIARAN PERDANA 6, KULIM PERDANA, KULIM HI-TECH PARK 09090 KEDAH   Kedah  09090</t>
  </si>
  <si>
    <t>NVMY34535000001863</t>
  </si>
  <si>
    <t>RIDHWAN RAZI</t>
  </si>
  <si>
    <t>B-2-2 AVENUE TWO PERSIARAN SUASANA BANDAR TUN HUSSIEN ONN 43200 CHERAS SELANGOR  Selangor  Selangor  43200</t>
  </si>
  <si>
    <t>NVMY34535000001873</t>
  </si>
  <si>
    <t>NANCY KONG</t>
  </si>
  <si>
    <t>NO 67 KPG SUDAT BATU 4 1/2 JALAN PENRISSEN 93250 KUCHING SARAWAK   Sarawak  93250</t>
  </si>
  <si>
    <t>NVMY34535000001872</t>
  </si>
  <si>
    <t>NO 67, KPG SUDAT BATU 4 1/2 JALAN PENRISSEN 93250 KUCHING SARAWAK   Sarawak  93250</t>
  </si>
  <si>
    <t>NVMY34535000001958</t>
  </si>
  <si>
    <t>NVMY34535000001940</t>
  </si>
  <si>
    <t>AINA HANIS</t>
  </si>
  <si>
    <t>LOT126, JALAN 11, SELAYANG PANDANG, 68100 BATU CAVES SELANGOR  Selangor  Selangor  68100</t>
  </si>
  <si>
    <t>NVMY34535000001953</t>
  </si>
  <si>
    <t>MARIANA MUSTAFFA</t>
  </si>
  <si>
    <t>PK 10, KG BEDU, PAMAH KULAT, HULU DONG 27600 RAUB PAHANG   Pahang  27600</t>
  </si>
  <si>
    <t>NVMY34535000001937</t>
  </si>
  <si>
    <t>HASRIZAM RAZALI</t>
  </si>
  <si>
    <t>PT 4085, JLN KERANJI 2/1, BANDAR UTAMA 18300 GUA MUSANG, KELANTAN   Kelantan  18300</t>
  </si>
  <si>
    <t>NVMY34535000001959</t>
  </si>
  <si>
    <t>IZWAN(IT)</t>
  </si>
  <si>
    <t>KELAB DARUL EHSAN,TAMAN TUN ABDUL RAZAK,JALAN KERJA AIR LAMA,AMPANG JAYA,68000 AMPANG,SELANGOR   Selangor  68000</t>
  </si>
  <si>
    <t>NVMY34535000001929</t>
  </si>
  <si>
    <t>NUR MANISHA BT CHE OMAR</t>
  </si>
  <si>
    <t xml:space="preserve"> NO.8 KAMPUNG KUBANG JAMBU 33400 LENGGONG PERAK   Perak  my 33400</t>
  </si>
  <si>
    <t>NVMY34535000001938</t>
  </si>
  <si>
    <t>MOHD HAFIZ BIN HASSAN</t>
  </si>
  <si>
    <t>NO 32 JALAN BELIAN 1, TAMAN BELIAN BATU 9 71050 PORT DICKSON, NEGERI SEMBILAN   Negeri Sembilan  71050</t>
  </si>
  <si>
    <t>9-PDS-62</t>
  </si>
  <si>
    <t>NVMY34535000001945</t>
  </si>
  <si>
    <t>WAN AB SAIFUL BAHRI</t>
  </si>
  <si>
    <t>140, KAMPUNG LUBOK BONGOR, KUALA BALAH 17610 JELI KELANTAN  Kelantan  Kelantan  17610</t>
  </si>
  <si>
    <t>NVMY34535000001961</t>
  </si>
  <si>
    <t>ABDUL RAHIM NORAZIZAN</t>
  </si>
  <si>
    <t>NO 48, KG KELAPA 44000 KUALA KUBU BHARU, HULU SELANGOR, SELANGOR   Selangor  44000</t>
  </si>
  <si>
    <t>NVMY34535000001982</t>
  </si>
  <si>
    <t>MOHD HANIF BIN SUAIB</t>
  </si>
  <si>
    <t>NO 6 JALAN PANDAN 6, PANDAN JAYA 55100 KUALA LUMPUR   Kuala Lumpur  55100</t>
  </si>
  <si>
    <t>NVMY34535000001992</t>
  </si>
  <si>
    <t>NIK NURUL ASYIRA</t>
  </si>
  <si>
    <t>NO 41 LORONG BUKIT RANGIN PERDANA, 2/4 PERUMAHAN BUKIT RANGIN PERDANA 2, 25150 KUANTAN PAHANG    Pahang  25150</t>
  </si>
  <si>
    <t>NVMY34535000001970</t>
  </si>
  <si>
    <t>MOHD JIZI SAFUAN BIN JAMALUDIN</t>
  </si>
  <si>
    <t>149 FELDA SERTING HILIR SATU BANDAR SERI JEMPOL 72120 NEGERI SEMBILAN   Negeri Sembilan  72120</t>
  </si>
  <si>
    <t>NVMY34535000002005</t>
  </si>
  <si>
    <t>HAIQAL</t>
  </si>
  <si>
    <t>NO 51 JALAN INAI 5 SEKSYEN BB3 BUKIT BERUNTUNG 48300 RAWANG SELANGOR   Selangor  48300</t>
  </si>
  <si>
    <t>NVMY34535000002010</t>
  </si>
  <si>
    <t>MUHD AZHAN BIN ABD YAZID</t>
  </si>
  <si>
    <t>LOT 2389 TAMAN SAUJANA PADANG LUAS 22000 JERTEH TERENGGANU   Terengganu  22000</t>
  </si>
  <si>
    <t>NVMY34535000001927</t>
  </si>
  <si>
    <t>NUR HIDAYAH BINTI MOHD ISPERI</t>
  </si>
  <si>
    <t>NO 2G , KM13 JALAN DATUK KUMBAR 05300 ALOR SETAR KEDAH    Kedah  05300</t>
  </si>
  <si>
    <t>NVMY34535000001967</t>
  </si>
  <si>
    <t>MUHAMMAD ZUHAIRI BIN ROSMAN</t>
  </si>
  <si>
    <t>JOHNSON CONTROLS HITACHI AIR CONDITIONING MALAYSIA SDN BHD, NO 10 JALAN KEMAJUAN BANGI INDUSTRIAL ESTATE 43650 BANDAR BARU BANGI, SELANGOR   Selangor  43650</t>
  </si>
  <si>
    <t>NVMY34535000001977</t>
  </si>
  <si>
    <t>NOOR AZURA BINTI IBRAHIM</t>
  </si>
  <si>
    <t>NO 7 JALAN IMPIAN MURNI 1/12 SAUJANA IMPIAN 43000 KAJANG, SELANGOR   Selangor  43000</t>
  </si>
  <si>
    <t>NVMY34535000001908</t>
  </si>
  <si>
    <t>3-AOR-14</t>
  </si>
  <si>
    <t>NVMY34535000001962</t>
  </si>
  <si>
    <t>MOHD JASMI BIN JOHARI</t>
  </si>
  <si>
    <t>NO 10 JALAN 4, TAMAN PERKASA 43100 HULU LANGAT, SELANGOR   Selangor  43100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</si>
</sst>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6" borderId="0" xfId="0" applyFont="1" applyFill="1"/>
    <xf numFmtId="164" fontId="3" fillId="7" borderId="0" xfId="0" applyNumberFormat="1" applyFont="1" applyFill="1" applyAlignment="1">
      <alignment horizontal="left"/>
    </xf>
    <xf numFmtId="0" fontId="3" fillId="8" borderId="0" xfId="0" applyFont="1" applyFill="1"/>
    <xf numFmtId="0" fontId="0" fillId="9" borderId="0" xfId="0" applyFill="1"/>
    <xf numFmtId="0" fontId="0" fillId="10" borderId="0" xfId="0" applyFill="1"/>
    <xf numFmtId="0" fontId="0" fillId="4" borderId="0" xfId="0" applyFill="1"/>
    <xf numFmtId="22" fontId="0" fillId="0" borderId="0" xfId="0" applyNumberFormat="1"/>
    <xf numFmtId="14" fontId="0" fillId="0" borderId="0" xfId="0" applyNumberFormat="1"/>
    <xf numFmtId="164" fontId="2" fillId="6" borderId="0" xfId="0" applyNumberFormat="1" applyFont="1" applyFill="1"/>
    <xf numFmtId="43" fontId="0" fillId="11" borderId="0" xfId="0" applyNumberFormat="1" applyFill="1"/>
    <xf numFmtId="43" fontId="2" fillId="7" borderId="0" xfId="0" applyNumberFormat="1" applyFont="1" applyFill="1"/>
    <xf numFmtId="16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4B89-AFAC-47A2-99F8-8F5420C0E942}">
  <dimension ref="A1:AK816"/>
  <sheetViews>
    <sheetView tabSelected="1" workbookViewId="0">
      <selection sqref="A1:AK814"/>
    </sheetView>
  </sheetViews>
  <sheetFormatPr defaultRowHeight="14.5" x14ac:dyDescent="0.35"/>
  <cols>
    <col min="1" max="37" width="9.08984375" customWidth="1"/>
  </cols>
  <sheetData>
    <row r="1" spans="1:37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 spans="1:37" ht="15" customHeight="1" x14ac:dyDescent="0.35">
      <c r="A2">
        <v>690929</v>
      </c>
      <c r="B2" t="s">
        <v>37</v>
      </c>
      <c r="C2" t="s">
        <v>38</v>
      </c>
      <c r="D2" s="9" t="s">
        <v>39</v>
      </c>
      <c r="E2" s="10" t="s">
        <v>37</v>
      </c>
      <c r="F2" s="11"/>
      <c r="G2" t="s">
        <v>40</v>
      </c>
      <c r="I2" t="s">
        <v>41</v>
      </c>
      <c r="J2" t="s">
        <v>42</v>
      </c>
      <c r="K2" t="s">
        <v>43</v>
      </c>
      <c r="L2">
        <v>2</v>
      </c>
      <c r="M2" t="s">
        <v>44</v>
      </c>
      <c r="N2" t="s">
        <v>45</v>
      </c>
      <c r="O2" t="s">
        <v>46</v>
      </c>
      <c r="P2" s="5">
        <v>2</v>
      </c>
      <c r="Q2" s="12">
        <v>44737.759131944447</v>
      </c>
      <c r="R2" s="13">
        <v>44743</v>
      </c>
      <c r="T2" t="s">
        <v>47</v>
      </c>
      <c r="U2" t="s">
        <v>48</v>
      </c>
      <c r="V2" t="s">
        <v>49</v>
      </c>
      <c r="Y2" t="s">
        <v>50</v>
      </c>
      <c r="Z2">
        <v>87000</v>
      </c>
      <c r="AA2" t="s">
        <v>51</v>
      </c>
      <c r="AB2" t="s">
        <v>52</v>
      </c>
      <c r="AC2" t="s">
        <v>53</v>
      </c>
      <c r="AD2" s="14">
        <f>IF(P2&lt;=1,13,IF(P2&lt;=2,23,IF(P2&lt;=3,35,IF(P2&lt;=4,43,IF(P2&lt;=5,53,IF(P2&lt;=6,63,IF(P2&lt;=7,71,IF(P2&lt;=8,79,IF(P2&lt;=9,87,IF(P2&lt;=10,95,IF(P2&lt;=11,105,IF(P2&lt;=12,114,IF(P2&lt;=13,119,IF(P2&lt;=14,127,IF(P2&lt;=15,135,IF(P2&lt;=16,143,IF(P2&lt;=17,153,IF(P2&lt;=18,163,IF(P2&lt;=19,171,IF(P2&lt;=20,185,IF(P2&lt;=21,193,IF(P2&lt;=22,201,IF(P2&lt;=23,210,IF(P2&lt;=24,220,IF(P2&lt;=25,230,IF(P2&lt;=26,240,IF(P2&lt;=27,250,IF(P2&lt;=28,260,IF(P2&lt;=29,270,IF(P2&lt;=30,280,280))))))))))))))))))))))))))))))</f>
        <v>23</v>
      </c>
      <c r="AE2" s="15">
        <v>0</v>
      </c>
      <c r="AF2" s="15">
        <v>0</v>
      </c>
      <c r="AG2" s="15">
        <v>0</v>
      </c>
      <c r="AH2" s="15">
        <v>0</v>
      </c>
      <c r="AI2" s="15">
        <f t="shared" ref="AI2:AI65" si="0">(AD2+AF2+AH2)*6%</f>
        <v>1.38</v>
      </c>
      <c r="AJ2" s="15">
        <f t="shared" ref="AJ2:AJ65" si="1">AD2+AF2+AH2+AI2</f>
        <v>24.38</v>
      </c>
      <c r="AK2" t="s">
        <v>51</v>
      </c>
    </row>
    <row r="3" spans="1:37" ht="15" customHeight="1" x14ac:dyDescent="0.35">
      <c r="A3">
        <v>690929</v>
      </c>
      <c r="B3" t="s">
        <v>37</v>
      </c>
      <c r="C3" t="s">
        <v>38</v>
      </c>
      <c r="D3" s="9" t="s">
        <v>39</v>
      </c>
      <c r="E3" s="10" t="s">
        <v>37</v>
      </c>
      <c r="F3" s="11"/>
      <c r="G3" t="s">
        <v>54</v>
      </c>
      <c r="I3" t="s">
        <v>41</v>
      </c>
      <c r="J3" t="s">
        <v>55</v>
      </c>
      <c r="K3" t="s">
        <v>43</v>
      </c>
      <c r="L3">
        <v>2</v>
      </c>
      <c r="M3" t="s">
        <v>44</v>
      </c>
      <c r="N3" t="s">
        <v>45</v>
      </c>
      <c r="O3" t="s">
        <v>46</v>
      </c>
      <c r="P3" s="5">
        <v>1</v>
      </c>
      <c r="Q3" s="12">
        <v>44735.675266203703</v>
      </c>
      <c r="R3" s="13">
        <v>44743</v>
      </c>
      <c r="T3" t="s">
        <v>47</v>
      </c>
      <c r="U3" t="s">
        <v>56</v>
      </c>
      <c r="V3" t="s">
        <v>57</v>
      </c>
      <c r="Y3" t="s">
        <v>58</v>
      </c>
      <c r="Z3">
        <v>89800</v>
      </c>
      <c r="AA3" t="s">
        <v>51</v>
      </c>
      <c r="AB3" t="s">
        <v>59</v>
      </c>
      <c r="AC3" t="s">
        <v>53</v>
      </c>
      <c r="AD3" s="14">
        <f>IF(P3&lt;=1,13,IF(P3&lt;=2,23,IF(P3&lt;=3,35,IF(P3&lt;=4,43,IF(P3&lt;=5,53,IF(P3&lt;=6,63,IF(P3&lt;=7,71,IF(P3&lt;=8,79,IF(P3&lt;=9,87,IF(P3&lt;=10,95,IF(P3&lt;=11,105,IF(P3&lt;=12,114,IF(P3&lt;=13,119,IF(P3&lt;=14,127,IF(P3&lt;=15,135,IF(P3&lt;=16,143,IF(P3&lt;=17,153,IF(P3&lt;=18,163,IF(P3&lt;=19,171,IF(P3&lt;=20,185,IF(P3&lt;=21,193,IF(P3&lt;=22,201,IF(P3&lt;=23,210,IF(P3&lt;=24,220,IF(P3&lt;=25,230,IF(P3&lt;=26,240,IF(P3&lt;=27,250,IF(P3&lt;=28,260,IF(P3&lt;=29,270,IF(P3&lt;=30,280,280))))))))))))))))))))))))))))))</f>
        <v>13</v>
      </c>
      <c r="AE3" s="15">
        <v>0</v>
      </c>
      <c r="AF3" s="15">
        <v>0</v>
      </c>
      <c r="AG3" s="15">
        <v>0</v>
      </c>
      <c r="AH3" s="15">
        <v>0</v>
      </c>
      <c r="AI3" s="15">
        <f t="shared" si="0"/>
        <v>0.78</v>
      </c>
      <c r="AJ3" s="15">
        <f t="shared" si="1"/>
        <v>13.78</v>
      </c>
      <c r="AK3" t="s">
        <v>51</v>
      </c>
    </row>
    <row r="4" spans="1:37" ht="15" customHeight="1" x14ac:dyDescent="0.35">
      <c r="A4">
        <v>690929</v>
      </c>
      <c r="B4" t="s">
        <v>37</v>
      </c>
      <c r="C4" t="s">
        <v>38</v>
      </c>
      <c r="D4" s="9" t="s">
        <v>39</v>
      </c>
      <c r="E4" s="10" t="s">
        <v>37</v>
      </c>
      <c r="F4" s="11"/>
      <c r="G4" t="s">
        <v>60</v>
      </c>
      <c r="I4" t="s">
        <v>41</v>
      </c>
      <c r="J4" t="s">
        <v>61</v>
      </c>
      <c r="K4" t="s">
        <v>43</v>
      </c>
      <c r="L4">
        <v>2</v>
      </c>
      <c r="M4" t="s">
        <v>44</v>
      </c>
      <c r="N4" t="s">
        <v>45</v>
      </c>
      <c r="O4" t="s">
        <v>46</v>
      </c>
      <c r="P4" s="5">
        <v>1</v>
      </c>
      <c r="Q4" s="12">
        <v>44740.438263888886</v>
      </c>
      <c r="R4" s="13">
        <v>44743</v>
      </c>
      <c r="T4" t="s">
        <v>47</v>
      </c>
      <c r="U4" t="s">
        <v>48</v>
      </c>
      <c r="V4" t="s">
        <v>62</v>
      </c>
      <c r="Y4" t="s">
        <v>63</v>
      </c>
      <c r="Z4">
        <v>81100</v>
      </c>
      <c r="AA4" t="s">
        <v>47</v>
      </c>
      <c r="AB4" t="s">
        <v>64</v>
      </c>
      <c r="AC4" t="s">
        <v>53</v>
      </c>
      <c r="AD4" s="16">
        <f t="shared" ref="AD4:AD7" si="2">IF(P4&lt;=1,4.9,4.9+0.8*ROUNDUP(P4-1,0))</f>
        <v>4.9000000000000004</v>
      </c>
      <c r="AE4" s="15">
        <v>0</v>
      </c>
      <c r="AF4" s="15">
        <v>0</v>
      </c>
      <c r="AG4" s="15">
        <v>0</v>
      </c>
      <c r="AH4" s="15">
        <v>0</v>
      </c>
      <c r="AI4" s="15">
        <f t="shared" si="0"/>
        <v>0.29399999999999998</v>
      </c>
      <c r="AJ4" s="15">
        <f t="shared" si="1"/>
        <v>5.194</v>
      </c>
      <c r="AK4" t="s">
        <v>47</v>
      </c>
    </row>
    <row r="5" spans="1:37" ht="15" customHeight="1" x14ac:dyDescent="0.35">
      <c r="A5">
        <v>690929</v>
      </c>
      <c r="B5" t="s">
        <v>37</v>
      </c>
      <c r="C5" t="s">
        <v>38</v>
      </c>
      <c r="D5" s="9" t="s">
        <v>39</v>
      </c>
      <c r="E5" s="10" t="s">
        <v>37</v>
      </c>
      <c r="F5" s="11"/>
      <c r="G5" t="s">
        <v>65</v>
      </c>
      <c r="I5" t="s">
        <v>41</v>
      </c>
      <c r="J5" t="s">
        <v>66</v>
      </c>
      <c r="K5" t="s">
        <v>43</v>
      </c>
      <c r="L5">
        <v>2</v>
      </c>
      <c r="M5" t="s">
        <v>44</v>
      </c>
      <c r="N5" t="s">
        <v>45</v>
      </c>
      <c r="O5" t="s">
        <v>46</v>
      </c>
      <c r="P5" s="5">
        <v>1</v>
      </c>
      <c r="Q5" s="12">
        <v>44742.580578703702</v>
      </c>
      <c r="R5" s="13">
        <v>44743</v>
      </c>
      <c r="T5" t="s">
        <v>47</v>
      </c>
      <c r="U5" t="s">
        <v>48</v>
      </c>
      <c r="V5" t="s">
        <v>67</v>
      </c>
      <c r="Y5" t="s">
        <v>68</v>
      </c>
      <c r="Z5">
        <v>26300</v>
      </c>
      <c r="AA5" t="s">
        <v>47</v>
      </c>
      <c r="AB5" t="s">
        <v>56</v>
      </c>
      <c r="AC5" t="s">
        <v>53</v>
      </c>
      <c r="AD5" s="16">
        <f t="shared" si="2"/>
        <v>4.9000000000000004</v>
      </c>
      <c r="AE5" s="15">
        <v>0</v>
      </c>
      <c r="AF5" s="15">
        <v>0</v>
      </c>
      <c r="AG5" s="15">
        <v>0</v>
      </c>
      <c r="AH5" s="15">
        <v>0</v>
      </c>
      <c r="AI5" s="15">
        <f t="shared" si="0"/>
        <v>0.29399999999999998</v>
      </c>
      <c r="AJ5" s="15">
        <f t="shared" si="1"/>
        <v>5.194</v>
      </c>
      <c r="AK5" t="s">
        <v>47</v>
      </c>
    </row>
    <row r="6" spans="1:37" ht="15" customHeight="1" x14ac:dyDescent="0.35">
      <c r="A6">
        <v>690929</v>
      </c>
      <c r="B6" t="s">
        <v>37</v>
      </c>
      <c r="C6" t="s">
        <v>38</v>
      </c>
      <c r="D6" s="9" t="s">
        <v>39</v>
      </c>
      <c r="E6" s="10" t="s">
        <v>37</v>
      </c>
      <c r="F6" s="11"/>
      <c r="G6" t="s">
        <v>69</v>
      </c>
      <c r="I6" t="s">
        <v>41</v>
      </c>
      <c r="J6" t="s">
        <v>70</v>
      </c>
      <c r="K6" t="s">
        <v>43</v>
      </c>
      <c r="L6">
        <v>2</v>
      </c>
      <c r="M6" t="s">
        <v>44</v>
      </c>
      <c r="N6" t="s">
        <v>45</v>
      </c>
      <c r="O6" t="s">
        <v>46</v>
      </c>
      <c r="P6" s="5">
        <v>4</v>
      </c>
      <c r="Q6" s="12">
        <v>44740.733495370368</v>
      </c>
      <c r="R6" s="13">
        <v>44743</v>
      </c>
      <c r="T6" t="s">
        <v>47</v>
      </c>
      <c r="U6" t="s">
        <v>48</v>
      </c>
      <c r="V6" t="s">
        <v>71</v>
      </c>
      <c r="Y6" t="s">
        <v>72</v>
      </c>
      <c r="Z6">
        <v>8000</v>
      </c>
      <c r="AA6" t="s">
        <v>47</v>
      </c>
      <c r="AB6" t="s">
        <v>73</v>
      </c>
      <c r="AC6" t="s">
        <v>53</v>
      </c>
      <c r="AD6" s="16">
        <f t="shared" si="2"/>
        <v>7.3000000000000007</v>
      </c>
      <c r="AE6" s="15">
        <v>0</v>
      </c>
      <c r="AF6" s="15">
        <v>0</v>
      </c>
      <c r="AG6" s="15">
        <v>0</v>
      </c>
      <c r="AH6" s="15">
        <v>0</v>
      </c>
      <c r="AI6" s="15">
        <f t="shared" si="0"/>
        <v>0.438</v>
      </c>
      <c r="AJ6" s="15">
        <f t="shared" si="1"/>
        <v>7.7380000000000004</v>
      </c>
      <c r="AK6" t="s">
        <v>47</v>
      </c>
    </row>
    <row r="7" spans="1:37" ht="15" customHeight="1" x14ac:dyDescent="0.35">
      <c r="A7">
        <v>690929</v>
      </c>
      <c r="B7" t="s">
        <v>37</v>
      </c>
      <c r="C7" t="s">
        <v>38</v>
      </c>
      <c r="D7" s="9" t="s">
        <v>39</v>
      </c>
      <c r="E7" s="10" t="s">
        <v>37</v>
      </c>
      <c r="F7" s="11"/>
      <c r="G7" t="s">
        <v>74</v>
      </c>
      <c r="I7" t="s">
        <v>41</v>
      </c>
      <c r="J7" t="s">
        <v>75</v>
      </c>
      <c r="K7" t="s">
        <v>43</v>
      </c>
      <c r="L7">
        <v>2</v>
      </c>
      <c r="M7" t="s">
        <v>44</v>
      </c>
      <c r="N7" t="s">
        <v>45</v>
      </c>
      <c r="O7" t="s">
        <v>46</v>
      </c>
      <c r="P7" s="5">
        <v>1</v>
      </c>
      <c r="Q7" s="12">
        <v>44742.59820601852</v>
      </c>
      <c r="R7" s="13">
        <v>44743</v>
      </c>
      <c r="T7" t="s">
        <v>47</v>
      </c>
      <c r="U7" t="s">
        <v>48</v>
      </c>
      <c r="V7" t="s">
        <v>76</v>
      </c>
      <c r="Y7" t="s">
        <v>77</v>
      </c>
      <c r="Z7">
        <v>21060</v>
      </c>
      <c r="AA7" t="s">
        <v>47</v>
      </c>
      <c r="AB7" t="s">
        <v>56</v>
      </c>
      <c r="AC7" t="s">
        <v>53</v>
      </c>
      <c r="AD7" s="16">
        <f t="shared" si="2"/>
        <v>4.9000000000000004</v>
      </c>
      <c r="AE7" s="15">
        <v>0</v>
      </c>
      <c r="AF7" s="15">
        <v>0</v>
      </c>
      <c r="AG7" s="15">
        <v>0</v>
      </c>
      <c r="AH7" s="15">
        <v>0</v>
      </c>
      <c r="AI7" s="15">
        <f t="shared" si="0"/>
        <v>0.29399999999999998</v>
      </c>
      <c r="AJ7" s="15">
        <f t="shared" si="1"/>
        <v>5.194</v>
      </c>
      <c r="AK7" t="s">
        <v>47</v>
      </c>
    </row>
    <row r="8" spans="1:37" ht="15" customHeight="1" x14ac:dyDescent="0.35">
      <c r="A8">
        <v>690929</v>
      </c>
      <c r="B8" t="s">
        <v>37</v>
      </c>
      <c r="C8" t="s">
        <v>38</v>
      </c>
      <c r="D8" s="9" t="s">
        <v>39</v>
      </c>
      <c r="E8" s="10" t="s">
        <v>37</v>
      </c>
      <c r="F8" s="11"/>
      <c r="G8" t="s">
        <v>78</v>
      </c>
      <c r="I8" t="s">
        <v>41</v>
      </c>
      <c r="J8" t="s">
        <v>79</v>
      </c>
      <c r="K8" t="s">
        <v>43</v>
      </c>
      <c r="L8">
        <v>2</v>
      </c>
      <c r="M8" t="s">
        <v>44</v>
      </c>
      <c r="N8" t="s">
        <v>45</v>
      </c>
      <c r="O8" t="s">
        <v>46</v>
      </c>
      <c r="P8" s="5">
        <v>19</v>
      </c>
      <c r="Q8" s="12">
        <v>44740.603310185186</v>
      </c>
      <c r="R8" s="13">
        <v>44743</v>
      </c>
      <c r="T8" t="s">
        <v>47</v>
      </c>
      <c r="U8" t="s">
        <v>48</v>
      </c>
      <c r="V8" t="s">
        <v>80</v>
      </c>
      <c r="Y8" t="s">
        <v>81</v>
      </c>
      <c r="Z8">
        <v>96000</v>
      </c>
      <c r="AA8" t="s">
        <v>51</v>
      </c>
      <c r="AB8" t="s">
        <v>82</v>
      </c>
      <c r="AC8" t="s">
        <v>53</v>
      </c>
      <c r="AD8" s="14">
        <f>IF(P8&lt;=1,13,IF(P8&lt;=2,23,IF(P8&lt;=3,35,IF(P8&lt;=4,43,IF(P8&lt;=5,53,IF(P8&lt;=6,63,IF(P8&lt;=7,71,IF(P8&lt;=8,79,IF(P8&lt;=9,87,IF(P8&lt;=10,95,IF(P8&lt;=11,105,IF(P8&lt;=12,114,IF(P8&lt;=13,119,IF(P8&lt;=14,127,IF(P8&lt;=15,135,IF(P8&lt;=16,143,IF(P8&lt;=17,153,IF(P8&lt;=18,163,IF(P8&lt;=19,171,IF(P8&lt;=20,185,IF(P8&lt;=21,193,IF(P8&lt;=22,201,IF(P8&lt;=23,210,IF(P8&lt;=24,220,IF(P8&lt;=25,230,IF(P8&lt;=26,240,IF(P8&lt;=27,250,IF(P8&lt;=28,260,IF(P8&lt;=29,270,IF(P8&lt;=30,280,280))))))))))))))))))))))))))))))</f>
        <v>171</v>
      </c>
      <c r="AE8" s="15">
        <v>0</v>
      </c>
      <c r="AF8" s="15">
        <v>0</v>
      </c>
      <c r="AG8" s="15">
        <v>0</v>
      </c>
      <c r="AH8" s="15">
        <v>0</v>
      </c>
      <c r="AI8" s="15">
        <f t="shared" si="0"/>
        <v>10.26</v>
      </c>
      <c r="AJ8" s="15">
        <f t="shared" si="1"/>
        <v>181.26</v>
      </c>
      <c r="AK8" t="s">
        <v>51</v>
      </c>
    </row>
    <row r="9" spans="1:37" ht="15" customHeight="1" x14ac:dyDescent="0.35">
      <c r="A9">
        <v>690929</v>
      </c>
      <c r="B9" t="s">
        <v>37</v>
      </c>
      <c r="C9" t="s">
        <v>38</v>
      </c>
      <c r="D9" s="9" t="s">
        <v>39</v>
      </c>
      <c r="E9" s="10" t="s">
        <v>37</v>
      </c>
      <c r="F9" s="11"/>
      <c r="G9" t="s">
        <v>83</v>
      </c>
      <c r="I9" t="s">
        <v>41</v>
      </c>
      <c r="J9" t="s">
        <v>84</v>
      </c>
      <c r="K9" t="s">
        <v>43</v>
      </c>
      <c r="L9">
        <v>2</v>
      </c>
      <c r="M9" t="s">
        <v>44</v>
      </c>
      <c r="N9" t="s">
        <v>45</v>
      </c>
      <c r="O9" t="s">
        <v>46</v>
      </c>
      <c r="P9" s="5">
        <v>1</v>
      </c>
      <c r="Q9" s="12">
        <v>44740.668854166666</v>
      </c>
      <c r="R9" s="13">
        <v>44743</v>
      </c>
      <c r="T9" t="s">
        <v>47</v>
      </c>
      <c r="U9" t="s">
        <v>48</v>
      </c>
      <c r="V9" t="s">
        <v>85</v>
      </c>
      <c r="Y9" t="s">
        <v>86</v>
      </c>
      <c r="Z9">
        <v>11900</v>
      </c>
      <c r="AA9" t="s">
        <v>47</v>
      </c>
      <c r="AB9" t="s">
        <v>64</v>
      </c>
      <c r="AC9" t="s">
        <v>53</v>
      </c>
      <c r="AD9" s="16">
        <f t="shared" ref="AD9:AD15" si="3">IF(P9&lt;=1,4.9,4.9+0.8*ROUNDUP(P9-1,0))</f>
        <v>4.9000000000000004</v>
      </c>
      <c r="AE9" s="15">
        <v>0</v>
      </c>
      <c r="AF9" s="15">
        <v>0</v>
      </c>
      <c r="AG9" s="15">
        <v>0</v>
      </c>
      <c r="AH9" s="15">
        <v>0</v>
      </c>
      <c r="AI9" s="15">
        <f t="shared" si="0"/>
        <v>0.29399999999999998</v>
      </c>
      <c r="AJ9" s="15">
        <f t="shared" si="1"/>
        <v>5.194</v>
      </c>
      <c r="AK9" t="s">
        <v>47</v>
      </c>
    </row>
    <row r="10" spans="1:37" ht="15" customHeight="1" x14ac:dyDescent="0.35">
      <c r="A10">
        <v>690929</v>
      </c>
      <c r="B10" t="s">
        <v>37</v>
      </c>
      <c r="C10" t="s">
        <v>38</v>
      </c>
      <c r="D10" s="9" t="s">
        <v>39</v>
      </c>
      <c r="E10" s="10" t="s">
        <v>37</v>
      </c>
      <c r="F10" s="11"/>
      <c r="G10" t="s">
        <v>87</v>
      </c>
      <c r="I10" t="s">
        <v>41</v>
      </c>
      <c r="J10" t="s">
        <v>88</v>
      </c>
      <c r="K10" t="s">
        <v>43</v>
      </c>
      <c r="L10">
        <v>2</v>
      </c>
      <c r="M10" t="s">
        <v>44</v>
      </c>
      <c r="N10" t="s">
        <v>45</v>
      </c>
      <c r="O10" t="s">
        <v>46</v>
      </c>
      <c r="P10" s="5">
        <v>1</v>
      </c>
      <c r="Q10" s="12">
        <v>44740.437476851854</v>
      </c>
      <c r="R10" s="13">
        <v>44743</v>
      </c>
      <c r="T10" t="s">
        <v>47</v>
      </c>
      <c r="U10" t="s">
        <v>48</v>
      </c>
      <c r="V10" t="s">
        <v>71</v>
      </c>
      <c r="Y10" t="s">
        <v>89</v>
      </c>
      <c r="Z10">
        <v>9300</v>
      </c>
      <c r="AA10" t="s">
        <v>47</v>
      </c>
      <c r="AB10" t="s">
        <v>64</v>
      </c>
      <c r="AC10" t="s">
        <v>53</v>
      </c>
      <c r="AD10" s="16">
        <f t="shared" si="3"/>
        <v>4.9000000000000004</v>
      </c>
      <c r="AE10" s="15">
        <v>0</v>
      </c>
      <c r="AF10" s="15">
        <v>0</v>
      </c>
      <c r="AG10" s="15">
        <v>0</v>
      </c>
      <c r="AH10" s="15">
        <v>0</v>
      </c>
      <c r="AI10" s="15">
        <f t="shared" si="0"/>
        <v>0.29399999999999998</v>
      </c>
      <c r="AJ10" s="15">
        <f t="shared" si="1"/>
        <v>5.194</v>
      </c>
      <c r="AK10" t="s">
        <v>47</v>
      </c>
    </row>
    <row r="11" spans="1:37" ht="15" customHeight="1" x14ac:dyDescent="0.35">
      <c r="A11">
        <v>690929</v>
      </c>
      <c r="B11" t="s">
        <v>37</v>
      </c>
      <c r="C11" t="s">
        <v>38</v>
      </c>
      <c r="D11" s="9" t="s">
        <v>39</v>
      </c>
      <c r="E11" s="10" t="s">
        <v>37</v>
      </c>
      <c r="F11" s="11"/>
      <c r="G11" t="s">
        <v>90</v>
      </c>
      <c r="I11" t="s">
        <v>41</v>
      </c>
      <c r="J11" t="s">
        <v>91</v>
      </c>
      <c r="K11" t="s">
        <v>43</v>
      </c>
      <c r="L11">
        <v>2</v>
      </c>
      <c r="M11" t="s">
        <v>44</v>
      </c>
      <c r="N11" t="s">
        <v>45</v>
      </c>
      <c r="O11" t="s">
        <v>46</v>
      </c>
      <c r="P11" s="5">
        <v>4</v>
      </c>
      <c r="Q11" s="12">
        <v>44741.534525462965</v>
      </c>
      <c r="R11" s="13">
        <v>44743</v>
      </c>
      <c r="T11" t="s">
        <v>47</v>
      </c>
      <c r="U11" t="s">
        <v>48</v>
      </c>
      <c r="V11" t="s">
        <v>62</v>
      </c>
      <c r="Y11" t="s">
        <v>92</v>
      </c>
      <c r="Z11">
        <v>81500</v>
      </c>
      <c r="AA11" t="s">
        <v>47</v>
      </c>
      <c r="AB11" t="s">
        <v>93</v>
      </c>
      <c r="AC11" t="s">
        <v>53</v>
      </c>
      <c r="AD11" s="16">
        <f t="shared" si="3"/>
        <v>7.3000000000000007</v>
      </c>
      <c r="AE11" s="15">
        <v>0</v>
      </c>
      <c r="AF11" s="15">
        <v>0</v>
      </c>
      <c r="AG11" s="15">
        <v>0</v>
      </c>
      <c r="AH11" s="15">
        <v>0</v>
      </c>
      <c r="AI11" s="15">
        <f t="shared" si="0"/>
        <v>0.438</v>
      </c>
      <c r="AJ11" s="15">
        <f t="shared" si="1"/>
        <v>7.7380000000000004</v>
      </c>
      <c r="AK11" t="s">
        <v>47</v>
      </c>
    </row>
    <row r="12" spans="1:37" ht="15" customHeight="1" x14ac:dyDescent="0.35">
      <c r="A12">
        <v>690929</v>
      </c>
      <c r="B12" t="s">
        <v>37</v>
      </c>
      <c r="C12" t="s">
        <v>38</v>
      </c>
      <c r="D12" s="9" t="s">
        <v>39</v>
      </c>
      <c r="E12" s="10" t="s">
        <v>37</v>
      </c>
      <c r="F12" s="11"/>
      <c r="G12" t="s">
        <v>94</v>
      </c>
      <c r="I12" t="s">
        <v>41</v>
      </c>
      <c r="J12" t="s">
        <v>95</v>
      </c>
      <c r="K12" t="s">
        <v>43</v>
      </c>
      <c r="L12">
        <v>2</v>
      </c>
      <c r="M12" t="s">
        <v>44</v>
      </c>
      <c r="N12" t="s">
        <v>45</v>
      </c>
      <c r="O12" t="s">
        <v>46</v>
      </c>
      <c r="P12" s="5">
        <v>1</v>
      </c>
      <c r="Q12" s="12">
        <v>44742.616423611114</v>
      </c>
      <c r="R12" s="13">
        <v>44743</v>
      </c>
      <c r="T12" t="s">
        <v>47</v>
      </c>
      <c r="U12" t="s">
        <v>48</v>
      </c>
      <c r="V12" t="s">
        <v>96</v>
      </c>
      <c r="Y12" t="s">
        <v>97</v>
      </c>
      <c r="Z12">
        <v>16300</v>
      </c>
      <c r="AA12" t="s">
        <v>47</v>
      </c>
      <c r="AB12" t="s">
        <v>56</v>
      </c>
      <c r="AC12" t="s">
        <v>53</v>
      </c>
      <c r="AD12" s="16">
        <f t="shared" si="3"/>
        <v>4.9000000000000004</v>
      </c>
      <c r="AE12" s="15">
        <v>0</v>
      </c>
      <c r="AF12" s="15">
        <v>0</v>
      </c>
      <c r="AG12" s="15">
        <v>0</v>
      </c>
      <c r="AH12" s="15">
        <v>0</v>
      </c>
      <c r="AI12" s="15">
        <f t="shared" si="0"/>
        <v>0.29399999999999998</v>
      </c>
      <c r="AJ12" s="15">
        <f t="shared" si="1"/>
        <v>5.194</v>
      </c>
      <c r="AK12" t="s">
        <v>47</v>
      </c>
    </row>
    <row r="13" spans="1:37" ht="15" customHeight="1" x14ac:dyDescent="0.35">
      <c r="A13">
        <v>690929</v>
      </c>
      <c r="B13" t="s">
        <v>37</v>
      </c>
      <c r="C13" t="s">
        <v>38</v>
      </c>
      <c r="D13" s="9" t="s">
        <v>39</v>
      </c>
      <c r="E13" s="10" t="s">
        <v>37</v>
      </c>
      <c r="F13" s="11"/>
      <c r="G13" t="s">
        <v>98</v>
      </c>
      <c r="I13" t="s">
        <v>41</v>
      </c>
      <c r="J13" t="s">
        <v>99</v>
      </c>
      <c r="K13" t="s">
        <v>43</v>
      </c>
      <c r="L13">
        <v>2</v>
      </c>
      <c r="M13" t="s">
        <v>44</v>
      </c>
      <c r="N13" t="s">
        <v>45</v>
      </c>
      <c r="O13" t="s">
        <v>46</v>
      </c>
      <c r="P13" s="5">
        <v>1</v>
      </c>
      <c r="Q13" s="12">
        <v>44740.441678240742</v>
      </c>
      <c r="R13" s="13">
        <v>44743</v>
      </c>
      <c r="T13" t="s">
        <v>47</v>
      </c>
      <c r="U13" t="s">
        <v>48</v>
      </c>
      <c r="V13" t="s">
        <v>100</v>
      </c>
      <c r="Y13" t="s">
        <v>101</v>
      </c>
      <c r="Z13">
        <v>34200</v>
      </c>
      <c r="AA13" t="s">
        <v>47</v>
      </c>
      <c r="AB13" t="s">
        <v>64</v>
      </c>
      <c r="AC13" t="s">
        <v>53</v>
      </c>
      <c r="AD13" s="16">
        <f t="shared" si="3"/>
        <v>4.9000000000000004</v>
      </c>
      <c r="AE13" s="15">
        <v>0</v>
      </c>
      <c r="AF13" s="15">
        <v>0</v>
      </c>
      <c r="AG13" s="15">
        <v>0</v>
      </c>
      <c r="AH13" s="15">
        <v>0</v>
      </c>
      <c r="AI13" s="15">
        <f t="shared" si="0"/>
        <v>0.29399999999999998</v>
      </c>
      <c r="AJ13" s="15">
        <f t="shared" si="1"/>
        <v>5.194</v>
      </c>
      <c r="AK13" t="s">
        <v>47</v>
      </c>
    </row>
    <row r="14" spans="1:37" ht="15" customHeight="1" x14ac:dyDescent="0.35">
      <c r="A14">
        <v>690929</v>
      </c>
      <c r="B14" t="s">
        <v>37</v>
      </c>
      <c r="C14" t="s">
        <v>38</v>
      </c>
      <c r="D14" s="9" t="s">
        <v>39</v>
      </c>
      <c r="E14" s="10" t="s">
        <v>37</v>
      </c>
      <c r="F14" s="11"/>
      <c r="G14" t="s">
        <v>102</v>
      </c>
      <c r="I14" t="s">
        <v>41</v>
      </c>
      <c r="J14" t="s">
        <v>103</v>
      </c>
      <c r="K14" t="s">
        <v>43</v>
      </c>
      <c r="L14">
        <v>2</v>
      </c>
      <c r="M14" t="s">
        <v>44</v>
      </c>
      <c r="N14" t="s">
        <v>45</v>
      </c>
      <c r="O14" t="s">
        <v>46</v>
      </c>
      <c r="P14" s="5">
        <v>1</v>
      </c>
      <c r="Q14" s="12">
        <v>44740.445729166669</v>
      </c>
      <c r="R14" s="13">
        <v>44743</v>
      </c>
      <c r="T14" t="s">
        <v>47</v>
      </c>
      <c r="U14" t="s">
        <v>48</v>
      </c>
      <c r="V14" t="s">
        <v>100</v>
      </c>
      <c r="Y14" t="s">
        <v>104</v>
      </c>
      <c r="Z14">
        <v>33000</v>
      </c>
      <c r="AA14" t="s">
        <v>47</v>
      </c>
      <c r="AB14" t="s">
        <v>64</v>
      </c>
      <c r="AC14" t="s">
        <v>53</v>
      </c>
      <c r="AD14" s="16">
        <f t="shared" si="3"/>
        <v>4.9000000000000004</v>
      </c>
      <c r="AE14" s="15">
        <v>0</v>
      </c>
      <c r="AF14" s="15">
        <v>0</v>
      </c>
      <c r="AG14" s="15">
        <v>0</v>
      </c>
      <c r="AH14" s="15">
        <v>0</v>
      </c>
      <c r="AI14" s="15">
        <f t="shared" si="0"/>
        <v>0.29399999999999998</v>
      </c>
      <c r="AJ14" s="15">
        <f t="shared" si="1"/>
        <v>5.194</v>
      </c>
      <c r="AK14" t="s">
        <v>47</v>
      </c>
    </row>
    <row r="15" spans="1:37" ht="15" customHeight="1" x14ac:dyDescent="0.35">
      <c r="A15">
        <v>690929</v>
      </c>
      <c r="B15" t="s">
        <v>37</v>
      </c>
      <c r="C15" t="s">
        <v>38</v>
      </c>
      <c r="D15" s="9" t="s">
        <v>39</v>
      </c>
      <c r="E15" s="10" t="s">
        <v>37</v>
      </c>
      <c r="F15" s="11"/>
      <c r="G15" t="s">
        <v>105</v>
      </c>
      <c r="I15" t="s">
        <v>41</v>
      </c>
      <c r="J15" t="s">
        <v>106</v>
      </c>
      <c r="K15" t="s">
        <v>43</v>
      </c>
      <c r="L15">
        <v>2</v>
      </c>
      <c r="M15" t="s">
        <v>44</v>
      </c>
      <c r="N15" t="s">
        <v>45</v>
      </c>
      <c r="O15" t="s">
        <v>46</v>
      </c>
      <c r="P15" s="5">
        <v>1</v>
      </c>
      <c r="Q15" s="12">
        <v>44742.416365740741</v>
      </c>
      <c r="R15" s="13">
        <v>44743</v>
      </c>
      <c r="T15" t="s">
        <v>47</v>
      </c>
      <c r="U15" t="s">
        <v>48</v>
      </c>
      <c r="V15" t="s">
        <v>67</v>
      </c>
      <c r="Y15" t="s">
        <v>107</v>
      </c>
      <c r="Z15">
        <v>28000</v>
      </c>
      <c r="AA15" t="s">
        <v>47</v>
      </c>
      <c r="AB15" t="s">
        <v>56</v>
      </c>
      <c r="AC15" t="s">
        <v>53</v>
      </c>
      <c r="AD15" s="16">
        <f t="shared" si="3"/>
        <v>4.9000000000000004</v>
      </c>
      <c r="AE15" s="15">
        <v>0</v>
      </c>
      <c r="AF15" s="15">
        <v>0</v>
      </c>
      <c r="AG15" s="15">
        <v>0</v>
      </c>
      <c r="AH15" s="15">
        <v>0</v>
      </c>
      <c r="AI15" s="15">
        <f t="shared" si="0"/>
        <v>0.29399999999999998</v>
      </c>
      <c r="AJ15" s="15">
        <f t="shared" si="1"/>
        <v>5.194</v>
      </c>
      <c r="AK15" t="s">
        <v>47</v>
      </c>
    </row>
    <row r="16" spans="1:37" ht="15" customHeight="1" x14ac:dyDescent="0.35">
      <c r="A16">
        <v>690929</v>
      </c>
      <c r="B16" t="s">
        <v>37</v>
      </c>
      <c r="C16" t="s">
        <v>38</v>
      </c>
      <c r="D16" s="9" t="s">
        <v>39</v>
      </c>
      <c r="E16" s="10" t="s">
        <v>37</v>
      </c>
      <c r="F16" s="11"/>
      <c r="G16" t="s">
        <v>108</v>
      </c>
      <c r="I16" t="s">
        <v>41</v>
      </c>
      <c r="J16" t="s">
        <v>109</v>
      </c>
      <c r="K16" t="s">
        <v>43</v>
      </c>
      <c r="L16">
        <v>2</v>
      </c>
      <c r="M16" t="s">
        <v>44</v>
      </c>
      <c r="N16" t="s">
        <v>45</v>
      </c>
      <c r="O16" t="s">
        <v>46</v>
      </c>
      <c r="P16" s="5">
        <v>1</v>
      </c>
      <c r="Q16" s="12">
        <v>44738.75513888889</v>
      </c>
      <c r="R16" s="13">
        <v>44743</v>
      </c>
      <c r="T16" t="s">
        <v>47</v>
      </c>
      <c r="U16" t="s">
        <v>48</v>
      </c>
      <c r="V16" t="s">
        <v>80</v>
      </c>
      <c r="Y16" t="s">
        <v>110</v>
      </c>
      <c r="Z16">
        <v>93702</v>
      </c>
      <c r="AA16" t="s">
        <v>51</v>
      </c>
      <c r="AB16" t="s">
        <v>111</v>
      </c>
      <c r="AC16" t="s">
        <v>53</v>
      </c>
      <c r="AD16" s="14">
        <f>IF(P16&lt;=1,13,IF(P16&lt;=2,23,IF(P16&lt;=3,35,IF(P16&lt;=4,43,IF(P16&lt;=5,53,IF(P16&lt;=6,63,IF(P16&lt;=7,71,IF(P16&lt;=8,79,IF(P16&lt;=9,87,IF(P16&lt;=10,95,IF(P16&lt;=11,105,IF(P16&lt;=12,114,IF(P16&lt;=13,119,IF(P16&lt;=14,127,IF(P16&lt;=15,135,IF(P16&lt;=16,143,IF(P16&lt;=17,153,IF(P16&lt;=18,163,IF(P16&lt;=19,171,IF(P16&lt;=20,185,IF(P16&lt;=21,193,IF(P16&lt;=22,201,IF(P16&lt;=23,210,IF(P16&lt;=24,220,IF(P16&lt;=25,230,IF(P16&lt;=26,240,IF(P16&lt;=27,250,IF(P16&lt;=28,260,IF(P16&lt;=29,270,IF(P16&lt;=30,280,280))))))))))))))))))))))))))))))</f>
        <v>13</v>
      </c>
      <c r="AE16" s="15">
        <v>0</v>
      </c>
      <c r="AF16" s="15">
        <v>0</v>
      </c>
      <c r="AG16" s="15">
        <v>0</v>
      </c>
      <c r="AH16" s="15">
        <v>0</v>
      </c>
      <c r="AI16" s="15">
        <f t="shared" si="0"/>
        <v>0.78</v>
      </c>
      <c r="AJ16" s="15">
        <f t="shared" si="1"/>
        <v>13.78</v>
      </c>
      <c r="AK16" t="s">
        <v>51</v>
      </c>
    </row>
    <row r="17" spans="1:37" ht="15" customHeight="1" x14ac:dyDescent="0.35">
      <c r="A17">
        <v>690929</v>
      </c>
      <c r="B17" t="s">
        <v>37</v>
      </c>
      <c r="C17" t="s">
        <v>38</v>
      </c>
      <c r="D17" s="9" t="s">
        <v>39</v>
      </c>
      <c r="E17" s="10" t="s">
        <v>37</v>
      </c>
      <c r="F17" s="11"/>
      <c r="G17" t="s">
        <v>112</v>
      </c>
      <c r="I17" t="s">
        <v>41</v>
      </c>
      <c r="J17" t="s">
        <v>113</v>
      </c>
      <c r="K17" t="s">
        <v>43</v>
      </c>
      <c r="L17">
        <v>2</v>
      </c>
      <c r="M17" t="s">
        <v>44</v>
      </c>
      <c r="N17" t="s">
        <v>45</v>
      </c>
      <c r="O17" t="s">
        <v>46</v>
      </c>
      <c r="P17" s="5">
        <v>1</v>
      </c>
      <c r="Q17" s="12">
        <v>44742.617962962962</v>
      </c>
      <c r="R17" s="13">
        <v>44743</v>
      </c>
      <c r="T17" t="s">
        <v>47</v>
      </c>
      <c r="U17" t="s">
        <v>48</v>
      </c>
      <c r="V17" t="s">
        <v>114</v>
      </c>
      <c r="Y17" t="s">
        <v>115</v>
      </c>
      <c r="Z17">
        <v>42500</v>
      </c>
      <c r="AA17" t="s">
        <v>47</v>
      </c>
      <c r="AB17" t="s">
        <v>64</v>
      </c>
      <c r="AC17" t="s">
        <v>53</v>
      </c>
      <c r="AD17" s="16">
        <f t="shared" ref="AD17:AD23" si="4">IF(P17&lt;=1,4.9,4.9+0.8*ROUNDUP(P17-1,0))</f>
        <v>4.9000000000000004</v>
      </c>
      <c r="AE17" s="15">
        <v>0</v>
      </c>
      <c r="AF17" s="15">
        <v>0</v>
      </c>
      <c r="AG17" s="15">
        <v>0</v>
      </c>
      <c r="AH17" s="15">
        <v>0</v>
      </c>
      <c r="AI17" s="15">
        <f t="shared" si="0"/>
        <v>0.29399999999999998</v>
      </c>
      <c r="AJ17" s="15">
        <f t="shared" si="1"/>
        <v>5.194</v>
      </c>
      <c r="AK17" t="s">
        <v>47</v>
      </c>
    </row>
    <row r="18" spans="1:37" ht="15" customHeight="1" x14ac:dyDescent="0.35">
      <c r="A18">
        <v>690929</v>
      </c>
      <c r="B18" t="s">
        <v>37</v>
      </c>
      <c r="C18" t="s">
        <v>38</v>
      </c>
      <c r="D18" s="9" t="s">
        <v>39</v>
      </c>
      <c r="E18" s="10" t="s">
        <v>37</v>
      </c>
      <c r="F18" s="11"/>
      <c r="G18" t="s">
        <v>116</v>
      </c>
      <c r="I18" t="s">
        <v>41</v>
      </c>
      <c r="J18" t="s">
        <v>117</v>
      </c>
      <c r="K18" t="s">
        <v>43</v>
      </c>
      <c r="L18">
        <v>2</v>
      </c>
      <c r="M18" t="s">
        <v>44</v>
      </c>
      <c r="N18" t="s">
        <v>45</v>
      </c>
      <c r="O18" t="s">
        <v>46</v>
      </c>
      <c r="P18" s="5">
        <v>1</v>
      </c>
      <c r="Q18" s="12">
        <v>44740.448831018519</v>
      </c>
      <c r="R18" s="13">
        <v>44743</v>
      </c>
      <c r="T18" t="s">
        <v>47</v>
      </c>
      <c r="U18" t="s">
        <v>48</v>
      </c>
      <c r="V18" t="s">
        <v>71</v>
      </c>
      <c r="Y18" t="s">
        <v>118</v>
      </c>
      <c r="Z18">
        <v>6000</v>
      </c>
      <c r="AA18" t="s">
        <v>47</v>
      </c>
      <c r="AB18" t="s">
        <v>64</v>
      </c>
      <c r="AC18" t="s">
        <v>53</v>
      </c>
      <c r="AD18" s="16">
        <f t="shared" si="4"/>
        <v>4.9000000000000004</v>
      </c>
      <c r="AE18" s="15">
        <v>0</v>
      </c>
      <c r="AF18" s="15">
        <v>0</v>
      </c>
      <c r="AG18" s="15">
        <v>0</v>
      </c>
      <c r="AH18" s="15">
        <v>0</v>
      </c>
      <c r="AI18" s="15">
        <f t="shared" si="0"/>
        <v>0.29399999999999998</v>
      </c>
      <c r="AJ18" s="15">
        <f t="shared" si="1"/>
        <v>5.194</v>
      </c>
      <c r="AK18" t="s">
        <v>47</v>
      </c>
    </row>
    <row r="19" spans="1:37" ht="15" customHeight="1" x14ac:dyDescent="0.35">
      <c r="A19">
        <v>690929</v>
      </c>
      <c r="B19" t="s">
        <v>37</v>
      </c>
      <c r="C19" t="s">
        <v>38</v>
      </c>
      <c r="D19" s="9" t="s">
        <v>39</v>
      </c>
      <c r="E19" s="10" t="s">
        <v>37</v>
      </c>
      <c r="F19" s="11"/>
      <c r="G19" t="s">
        <v>119</v>
      </c>
      <c r="I19" t="s">
        <v>41</v>
      </c>
      <c r="J19" t="s">
        <v>120</v>
      </c>
      <c r="K19" t="s">
        <v>43</v>
      </c>
      <c r="L19">
        <v>2</v>
      </c>
      <c r="M19" t="s">
        <v>44</v>
      </c>
      <c r="N19" t="s">
        <v>45</v>
      </c>
      <c r="O19" t="s">
        <v>46</v>
      </c>
      <c r="P19" s="5">
        <v>1</v>
      </c>
      <c r="Q19" s="12">
        <v>44742.631180555552</v>
      </c>
      <c r="R19" s="13">
        <v>44743</v>
      </c>
      <c r="T19" t="s">
        <v>47</v>
      </c>
      <c r="U19" t="s">
        <v>48</v>
      </c>
      <c r="V19" t="s">
        <v>114</v>
      </c>
      <c r="Y19" t="s">
        <v>121</v>
      </c>
      <c r="Z19">
        <v>41050</v>
      </c>
      <c r="AA19" t="s">
        <v>47</v>
      </c>
      <c r="AB19" t="s">
        <v>122</v>
      </c>
      <c r="AC19" t="s">
        <v>53</v>
      </c>
      <c r="AD19" s="16">
        <f t="shared" si="4"/>
        <v>4.9000000000000004</v>
      </c>
      <c r="AE19" s="15">
        <v>0</v>
      </c>
      <c r="AF19" s="15">
        <v>0</v>
      </c>
      <c r="AG19" s="15">
        <v>0</v>
      </c>
      <c r="AH19" s="15">
        <v>0</v>
      </c>
      <c r="AI19" s="15">
        <f t="shared" si="0"/>
        <v>0.29399999999999998</v>
      </c>
      <c r="AJ19" s="15">
        <f t="shared" si="1"/>
        <v>5.194</v>
      </c>
      <c r="AK19" t="s">
        <v>47</v>
      </c>
    </row>
    <row r="20" spans="1:37" ht="15" customHeight="1" x14ac:dyDescent="0.35">
      <c r="A20">
        <v>690929</v>
      </c>
      <c r="B20" t="s">
        <v>37</v>
      </c>
      <c r="C20" t="s">
        <v>38</v>
      </c>
      <c r="D20" s="9" t="s">
        <v>39</v>
      </c>
      <c r="E20" s="10" t="s">
        <v>37</v>
      </c>
      <c r="F20" s="11"/>
      <c r="G20" t="s">
        <v>123</v>
      </c>
      <c r="I20" t="s">
        <v>41</v>
      </c>
      <c r="J20" t="s">
        <v>124</v>
      </c>
      <c r="K20" t="s">
        <v>43</v>
      </c>
      <c r="L20">
        <v>2</v>
      </c>
      <c r="M20" t="s">
        <v>44</v>
      </c>
      <c r="N20" t="s">
        <v>45</v>
      </c>
      <c r="O20" t="s">
        <v>46</v>
      </c>
      <c r="P20" s="5">
        <v>1</v>
      </c>
      <c r="Q20" s="12">
        <v>44742.64230324074</v>
      </c>
      <c r="R20" s="13">
        <v>44743</v>
      </c>
      <c r="T20" t="s">
        <v>47</v>
      </c>
      <c r="U20" t="s">
        <v>48</v>
      </c>
      <c r="V20" t="s">
        <v>96</v>
      </c>
      <c r="Y20" t="s">
        <v>125</v>
      </c>
      <c r="Z20">
        <v>17500</v>
      </c>
      <c r="AA20" t="s">
        <v>47</v>
      </c>
      <c r="AB20" t="s">
        <v>56</v>
      </c>
      <c r="AC20" t="s">
        <v>53</v>
      </c>
      <c r="AD20" s="16">
        <f t="shared" si="4"/>
        <v>4.9000000000000004</v>
      </c>
      <c r="AE20" s="15">
        <v>0</v>
      </c>
      <c r="AF20" s="15">
        <v>0</v>
      </c>
      <c r="AG20" s="15">
        <v>0</v>
      </c>
      <c r="AH20" s="15">
        <v>0</v>
      </c>
      <c r="AI20" s="15">
        <f t="shared" si="0"/>
        <v>0.29399999999999998</v>
      </c>
      <c r="AJ20" s="15">
        <f t="shared" si="1"/>
        <v>5.194</v>
      </c>
      <c r="AK20" t="s">
        <v>47</v>
      </c>
    </row>
    <row r="21" spans="1:37" ht="15" customHeight="1" x14ac:dyDescent="0.35">
      <c r="A21">
        <v>690929</v>
      </c>
      <c r="B21" t="s">
        <v>37</v>
      </c>
      <c r="C21" t="s">
        <v>38</v>
      </c>
      <c r="D21" s="9" t="s">
        <v>39</v>
      </c>
      <c r="E21" s="10" t="s">
        <v>37</v>
      </c>
      <c r="F21" s="11"/>
      <c r="G21" t="s">
        <v>126</v>
      </c>
      <c r="I21" t="s">
        <v>41</v>
      </c>
      <c r="J21" t="s">
        <v>127</v>
      </c>
      <c r="K21" t="s">
        <v>43</v>
      </c>
      <c r="L21">
        <v>2</v>
      </c>
      <c r="M21" t="s">
        <v>44</v>
      </c>
      <c r="N21" t="s">
        <v>45</v>
      </c>
      <c r="O21" t="s">
        <v>46</v>
      </c>
      <c r="P21" s="5">
        <v>1</v>
      </c>
      <c r="Q21" s="12">
        <v>44740.602418981478</v>
      </c>
      <c r="R21" s="13">
        <v>44743</v>
      </c>
      <c r="T21" t="s">
        <v>47</v>
      </c>
      <c r="U21" t="s">
        <v>48</v>
      </c>
      <c r="V21" t="s">
        <v>128</v>
      </c>
      <c r="Y21" t="s">
        <v>129</v>
      </c>
      <c r="Z21">
        <v>55100</v>
      </c>
      <c r="AA21" t="s">
        <v>47</v>
      </c>
      <c r="AB21" t="s">
        <v>64</v>
      </c>
      <c r="AC21" t="s">
        <v>53</v>
      </c>
      <c r="AD21" s="16">
        <f t="shared" si="4"/>
        <v>4.9000000000000004</v>
      </c>
      <c r="AE21" s="15">
        <v>0</v>
      </c>
      <c r="AF21" s="15">
        <v>0</v>
      </c>
      <c r="AG21" s="15">
        <v>0</v>
      </c>
      <c r="AH21" s="15">
        <v>0</v>
      </c>
      <c r="AI21" s="15">
        <f t="shared" si="0"/>
        <v>0.29399999999999998</v>
      </c>
      <c r="AJ21" s="15">
        <f t="shared" si="1"/>
        <v>5.194</v>
      </c>
      <c r="AK21" t="s">
        <v>47</v>
      </c>
    </row>
    <row r="22" spans="1:37" ht="15" customHeight="1" x14ac:dyDescent="0.35">
      <c r="A22">
        <v>690929</v>
      </c>
      <c r="B22" t="s">
        <v>37</v>
      </c>
      <c r="C22" t="s">
        <v>38</v>
      </c>
      <c r="D22" s="9" t="s">
        <v>39</v>
      </c>
      <c r="E22" s="10" t="s">
        <v>37</v>
      </c>
      <c r="F22" s="11"/>
      <c r="G22" t="s">
        <v>130</v>
      </c>
      <c r="I22" t="s">
        <v>41</v>
      </c>
      <c r="J22" t="s">
        <v>131</v>
      </c>
      <c r="K22" t="s">
        <v>43</v>
      </c>
      <c r="L22">
        <v>2</v>
      </c>
      <c r="M22" t="s">
        <v>44</v>
      </c>
      <c r="N22" t="s">
        <v>45</v>
      </c>
      <c r="O22" t="s">
        <v>46</v>
      </c>
      <c r="P22" s="5">
        <v>1</v>
      </c>
      <c r="Q22" s="12">
        <v>44742.627523148149</v>
      </c>
      <c r="R22" s="13">
        <v>44743</v>
      </c>
      <c r="T22" t="s">
        <v>47</v>
      </c>
      <c r="U22" t="s">
        <v>48</v>
      </c>
      <c r="V22" t="s">
        <v>114</v>
      </c>
      <c r="Y22" t="s">
        <v>132</v>
      </c>
      <c r="Z22">
        <v>43100</v>
      </c>
      <c r="AA22" t="s">
        <v>47</v>
      </c>
      <c r="AB22" t="s">
        <v>64</v>
      </c>
      <c r="AC22" t="s">
        <v>53</v>
      </c>
      <c r="AD22" s="16">
        <f t="shared" si="4"/>
        <v>4.9000000000000004</v>
      </c>
      <c r="AE22" s="15">
        <v>0</v>
      </c>
      <c r="AF22" s="15">
        <v>0</v>
      </c>
      <c r="AG22" s="15">
        <v>0</v>
      </c>
      <c r="AH22" s="15">
        <v>0</v>
      </c>
      <c r="AI22" s="15">
        <f t="shared" si="0"/>
        <v>0.29399999999999998</v>
      </c>
      <c r="AJ22" s="15">
        <f t="shared" si="1"/>
        <v>5.194</v>
      </c>
      <c r="AK22" t="s">
        <v>47</v>
      </c>
    </row>
    <row r="23" spans="1:37" ht="15" customHeight="1" x14ac:dyDescent="0.35">
      <c r="A23">
        <v>690929</v>
      </c>
      <c r="B23" t="s">
        <v>37</v>
      </c>
      <c r="C23" t="s">
        <v>38</v>
      </c>
      <c r="D23" s="9" t="s">
        <v>39</v>
      </c>
      <c r="E23" s="10" t="s">
        <v>37</v>
      </c>
      <c r="F23" s="11"/>
      <c r="G23" t="s">
        <v>133</v>
      </c>
      <c r="I23" t="s">
        <v>41</v>
      </c>
      <c r="J23" t="s">
        <v>134</v>
      </c>
      <c r="K23" t="s">
        <v>43</v>
      </c>
      <c r="L23">
        <v>2</v>
      </c>
      <c r="M23" t="s">
        <v>44</v>
      </c>
      <c r="N23" t="s">
        <v>45</v>
      </c>
      <c r="O23" t="s">
        <v>46</v>
      </c>
      <c r="P23" s="5">
        <v>1</v>
      </c>
      <c r="Q23" s="12">
        <v>44741.577326388891</v>
      </c>
      <c r="R23" s="13">
        <v>44743</v>
      </c>
      <c r="T23" t="s">
        <v>47</v>
      </c>
      <c r="U23" t="s">
        <v>48</v>
      </c>
      <c r="V23" t="s">
        <v>62</v>
      </c>
      <c r="Y23" t="s">
        <v>135</v>
      </c>
      <c r="Z23">
        <v>81440</v>
      </c>
      <c r="AA23" t="s">
        <v>47</v>
      </c>
      <c r="AB23" t="s">
        <v>64</v>
      </c>
      <c r="AC23" t="s">
        <v>53</v>
      </c>
      <c r="AD23" s="16">
        <f t="shared" si="4"/>
        <v>4.9000000000000004</v>
      </c>
      <c r="AE23" s="15">
        <v>0</v>
      </c>
      <c r="AF23" s="15">
        <v>0</v>
      </c>
      <c r="AG23" s="15">
        <v>0</v>
      </c>
      <c r="AH23" s="15">
        <v>0</v>
      </c>
      <c r="AI23" s="15">
        <f t="shared" si="0"/>
        <v>0.29399999999999998</v>
      </c>
      <c r="AJ23" s="15">
        <f t="shared" si="1"/>
        <v>5.194</v>
      </c>
      <c r="AK23" t="s">
        <v>47</v>
      </c>
    </row>
    <row r="24" spans="1:37" ht="15" customHeight="1" x14ac:dyDescent="0.35">
      <c r="A24">
        <v>690929</v>
      </c>
      <c r="B24" t="s">
        <v>37</v>
      </c>
      <c r="C24" t="s">
        <v>38</v>
      </c>
      <c r="D24" s="9" t="s">
        <v>39</v>
      </c>
      <c r="E24" s="10" t="s">
        <v>37</v>
      </c>
      <c r="F24" s="11"/>
      <c r="G24" t="s">
        <v>136</v>
      </c>
      <c r="I24" t="s">
        <v>41</v>
      </c>
      <c r="J24" t="s">
        <v>137</v>
      </c>
      <c r="K24" t="s">
        <v>43</v>
      </c>
      <c r="L24">
        <v>2</v>
      </c>
      <c r="M24" t="s">
        <v>44</v>
      </c>
      <c r="N24" t="s">
        <v>45</v>
      </c>
      <c r="O24" t="s">
        <v>46</v>
      </c>
      <c r="P24" s="5">
        <v>1</v>
      </c>
      <c r="Q24" s="12">
        <v>44742.628657407404</v>
      </c>
      <c r="R24" s="13">
        <v>44744</v>
      </c>
      <c r="T24" t="s">
        <v>47</v>
      </c>
      <c r="U24" t="s">
        <v>48</v>
      </c>
      <c r="V24" t="s">
        <v>138</v>
      </c>
      <c r="Y24" t="s">
        <v>139</v>
      </c>
      <c r="Z24">
        <v>71500</v>
      </c>
      <c r="AA24" t="s">
        <v>47</v>
      </c>
      <c r="AB24" t="s">
        <v>64</v>
      </c>
      <c r="AC24" t="s">
        <v>53</v>
      </c>
      <c r="AD24" s="16">
        <f>IF(P24&lt;=1,4.9,4.9+0.8*ROUNDUP(P24-1,0))</f>
        <v>4.9000000000000004</v>
      </c>
      <c r="AE24" s="15">
        <v>0</v>
      </c>
      <c r="AF24" s="15">
        <v>0</v>
      </c>
      <c r="AG24" s="15">
        <v>0</v>
      </c>
      <c r="AH24" s="15">
        <v>0</v>
      </c>
      <c r="AI24" s="15">
        <f t="shared" si="0"/>
        <v>0.29399999999999998</v>
      </c>
      <c r="AJ24" s="15">
        <f t="shared" si="1"/>
        <v>5.194</v>
      </c>
      <c r="AK24" t="s">
        <v>47</v>
      </c>
    </row>
    <row r="25" spans="1:37" ht="15" customHeight="1" x14ac:dyDescent="0.35">
      <c r="A25">
        <v>690929</v>
      </c>
      <c r="B25" t="s">
        <v>37</v>
      </c>
      <c r="C25" t="s">
        <v>38</v>
      </c>
      <c r="D25" s="9" t="s">
        <v>39</v>
      </c>
      <c r="E25" s="10" t="s">
        <v>37</v>
      </c>
      <c r="F25" s="11"/>
      <c r="G25" t="s">
        <v>140</v>
      </c>
      <c r="I25" t="s">
        <v>41</v>
      </c>
      <c r="J25" t="s">
        <v>141</v>
      </c>
      <c r="K25" t="s">
        <v>43</v>
      </c>
      <c r="L25">
        <v>2</v>
      </c>
      <c r="M25" t="s">
        <v>44</v>
      </c>
      <c r="N25" t="s">
        <v>45</v>
      </c>
      <c r="O25" t="s">
        <v>46</v>
      </c>
      <c r="P25" s="5">
        <v>8</v>
      </c>
      <c r="Q25" s="12">
        <v>44743.443877314814</v>
      </c>
      <c r="R25" s="13">
        <v>44744</v>
      </c>
      <c r="T25" t="s">
        <v>47</v>
      </c>
      <c r="U25" t="s">
        <v>56</v>
      </c>
      <c r="V25" t="s">
        <v>76</v>
      </c>
      <c r="Y25" t="s">
        <v>142</v>
      </c>
      <c r="Z25">
        <v>22200</v>
      </c>
      <c r="AA25" t="s">
        <v>47</v>
      </c>
      <c r="AB25" t="s">
        <v>143</v>
      </c>
      <c r="AC25" t="s">
        <v>53</v>
      </c>
      <c r="AD25" s="16">
        <f>IF(P25&lt;=1,7,7+0.8*ROUNDUP(P25-1,0))</f>
        <v>12.600000000000001</v>
      </c>
      <c r="AE25" s="15">
        <v>0</v>
      </c>
      <c r="AF25" s="15">
        <v>0</v>
      </c>
      <c r="AG25" s="15">
        <v>0</v>
      </c>
      <c r="AH25" s="15">
        <v>0</v>
      </c>
      <c r="AI25" s="15">
        <f t="shared" si="0"/>
        <v>0.75600000000000001</v>
      </c>
      <c r="AJ25" s="15">
        <f t="shared" si="1"/>
        <v>13.356000000000002</v>
      </c>
      <c r="AK25" t="s">
        <v>47</v>
      </c>
    </row>
    <row r="26" spans="1:37" ht="15" customHeight="1" x14ac:dyDescent="0.35">
      <c r="A26">
        <v>690929</v>
      </c>
      <c r="B26" t="s">
        <v>37</v>
      </c>
      <c r="C26" t="s">
        <v>38</v>
      </c>
      <c r="D26" s="9" t="s">
        <v>39</v>
      </c>
      <c r="E26" s="10" t="s">
        <v>37</v>
      </c>
      <c r="F26" s="11"/>
      <c r="G26" t="s">
        <v>144</v>
      </c>
      <c r="I26" t="s">
        <v>41</v>
      </c>
      <c r="J26" t="s">
        <v>145</v>
      </c>
      <c r="K26" t="s">
        <v>43</v>
      </c>
      <c r="L26">
        <v>2</v>
      </c>
      <c r="M26" t="s">
        <v>44</v>
      </c>
      <c r="N26" t="s">
        <v>45</v>
      </c>
      <c r="O26" t="s">
        <v>46</v>
      </c>
      <c r="P26" s="5">
        <v>5</v>
      </c>
      <c r="Q26" s="12">
        <v>44743.440243055556</v>
      </c>
      <c r="R26" s="13">
        <v>44744</v>
      </c>
      <c r="T26" t="s">
        <v>47</v>
      </c>
      <c r="U26" t="s">
        <v>56</v>
      </c>
      <c r="V26" t="s">
        <v>76</v>
      </c>
      <c r="Y26" t="s">
        <v>146</v>
      </c>
      <c r="Z26">
        <v>20050</v>
      </c>
      <c r="AA26" t="s">
        <v>47</v>
      </c>
      <c r="AB26" t="s">
        <v>147</v>
      </c>
      <c r="AC26" t="s">
        <v>53</v>
      </c>
      <c r="AD26" s="16">
        <f>IF(P26&lt;=1,7,7+0.8*ROUNDUP(P26-1,0))</f>
        <v>10.199999999999999</v>
      </c>
      <c r="AE26" s="15">
        <v>0</v>
      </c>
      <c r="AF26" s="15">
        <v>0</v>
      </c>
      <c r="AG26" s="15">
        <v>0</v>
      </c>
      <c r="AH26" s="15">
        <v>0</v>
      </c>
      <c r="AI26" s="15">
        <f t="shared" si="0"/>
        <v>0.61199999999999999</v>
      </c>
      <c r="AJ26" s="15">
        <f t="shared" si="1"/>
        <v>10.811999999999999</v>
      </c>
      <c r="AK26" t="s">
        <v>47</v>
      </c>
    </row>
    <row r="27" spans="1:37" ht="15" customHeight="1" x14ac:dyDescent="0.35">
      <c r="A27">
        <v>690929</v>
      </c>
      <c r="B27" t="s">
        <v>37</v>
      </c>
      <c r="C27" t="s">
        <v>38</v>
      </c>
      <c r="D27" s="9" t="s">
        <v>39</v>
      </c>
      <c r="E27" s="10" t="s">
        <v>37</v>
      </c>
      <c r="F27" s="11"/>
      <c r="G27" t="s">
        <v>148</v>
      </c>
      <c r="I27" t="s">
        <v>41</v>
      </c>
      <c r="J27" t="s">
        <v>149</v>
      </c>
      <c r="K27" t="s">
        <v>43</v>
      </c>
      <c r="L27">
        <v>2</v>
      </c>
      <c r="M27" t="s">
        <v>44</v>
      </c>
      <c r="N27" t="s">
        <v>45</v>
      </c>
      <c r="O27" t="s">
        <v>46</v>
      </c>
      <c r="P27" s="5">
        <v>1</v>
      </c>
      <c r="Q27" s="12">
        <v>44742.576898148145</v>
      </c>
      <c r="R27" s="13">
        <v>44744</v>
      </c>
      <c r="T27" t="s">
        <v>47</v>
      </c>
      <c r="U27" t="s">
        <v>48</v>
      </c>
      <c r="V27" t="s">
        <v>62</v>
      </c>
      <c r="Y27" t="s">
        <v>150</v>
      </c>
      <c r="Z27">
        <v>82100</v>
      </c>
      <c r="AA27" t="s">
        <v>47</v>
      </c>
      <c r="AB27" t="s">
        <v>64</v>
      </c>
      <c r="AC27" t="s">
        <v>53</v>
      </c>
      <c r="AD27" s="16">
        <f t="shared" ref="AD27:AD30" si="5">IF(P27&lt;=1,4.9,4.9+0.8*ROUNDUP(P27-1,0))</f>
        <v>4.9000000000000004</v>
      </c>
      <c r="AE27" s="15">
        <v>0</v>
      </c>
      <c r="AF27" s="15">
        <v>0</v>
      </c>
      <c r="AG27" s="15">
        <v>0</v>
      </c>
      <c r="AH27" s="15">
        <v>0</v>
      </c>
      <c r="AI27" s="15">
        <f t="shared" si="0"/>
        <v>0.29399999999999998</v>
      </c>
      <c r="AJ27" s="15">
        <f t="shared" si="1"/>
        <v>5.194</v>
      </c>
      <c r="AK27" t="s">
        <v>47</v>
      </c>
    </row>
    <row r="28" spans="1:37" ht="15" customHeight="1" x14ac:dyDescent="0.35">
      <c r="A28">
        <v>690929</v>
      </c>
      <c r="B28" t="s">
        <v>37</v>
      </c>
      <c r="C28" t="s">
        <v>38</v>
      </c>
      <c r="D28" s="9" t="s">
        <v>39</v>
      </c>
      <c r="E28" s="10" t="s">
        <v>37</v>
      </c>
      <c r="F28" s="11"/>
      <c r="G28" t="s">
        <v>151</v>
      </c>
      <c r="I28" t="s">
        <v>41</v>
      </c>
      <c r="J28" t="s">
        <v>152</v>
      </c>
      <c r="K28" t="s">
        <v>43</v>
      </c>
      <c r="L28">
        <v>2</v>
      </c>
      <c r="M28" t="s">
        <v>44</v>
      </c>
      <c r="N28" t="s">
        <v>45</v>
      </c>
      <c r="O28" t="s">
        <v>46</v>
      </c>
      <c r="P28" s="5">
        <v>1</v>
      </c>
      <c r="Q28" s="12">
        <v>44742.614074074074</v>
      </c>
      <c r="R28" s="13">
        <v>44744</v>
      </c>
      <c r="T28" t="s">
        <v>47</v>
      </c>
      <c r="U28" t="s">
        <v>48</v>
      </c>
      <c r="V28" t="s">
        <v>114</v>
      </c>
      <c r="Y28" t="s">
        <v>153</v>
      </c>
      <c r="Z28">
        <v>43000</v>
      </c>
      <c r="AA28" t="s">
        <v>47</v>
      </c>
      <c r="AB28" t="s">
        <v>64</v>
      </c>
      <c r="AC28" t="s">
        <v>53</v>
      </c>
      <c r="AD28" s="16">
        <f t="shared" si="5"/>
        <v>4.9000000000000004</v>
      </c>
      <c r="AE28" s="15">
        <v>0</v>
      </c>
      <c r="AF28" s="15">
        <v>0</v>
      </c>
      <c r="AG28" s="15">
        <v>0</v>
      </c>
      <c r="AH28" s="15">
        <v>0</v>
      </c>
      <c r="AI28" s="15">
        <f t="shared" si="0"/>
        <v>0.29399999999999998</v>
      </c>
      <c r="AJ28" s="15">
        <f t="shared" si="1"/>
        <v>5.194</v>
      </c>
      <c r="AK28" t="s">
        <v>47</v>
      </c>
    </row>
    <row r="29" spans="1:37" ht="15" customHeight="1" x14ac:dyDescent="0.35">
      <c r="A29">
        <v>690929</v>
      </c>
      <c r="B29" t="s">
        <v>37</v>
      </c>
      <c r="C29" t="s">
        <v>38</v>
      </c>
      <c r="D29" s="9" t="s">
        <v>39</v>
      </c>
      <c r="E29" s="10" t="s">
        <v>37</v>
      </c>
      <c r="F29" s="11"/>
      <c r="G29" t="s">
        <v>154</v>
      </c>
      <c r="I29" t="s">
        <v>41</v>
      </c>
      <c r="J29" t="s">
        <v>155</v>
      </c>
      <c r="K29" t="s">
        <v>43</v>
      </c>
      <c r="L29">
        <v>2</v>
      </c>
      <c r="M29" t="s">
        <v>44</v>
      </c>
      <c r="N29" t="s">
        <v>45</v>
      </c>
      <c r="O29" t="s">
        <v>46</v>
      </c>
      <c r="P29" s="5">
        <v>18</v>
      </c>
      <c r="Q29" s="12">
        <v>44742.590520833335</v>
      </c>
      <c r="R29" s="13">
        <v>44744</v>
      </c>
      <c r="T29" t="s">
        <v>47</v>
      </c>
      <c r="U29" t="s">
        <v>48</v>
      </c>
      <c r="V29" t="s">
        <v>62</v>
      </c>
      <c r="Y29" t="s">
        <v>156</v>
      </c>
      <c r="Z29">
        <v>85000</v>
      </c>
      <c r="AA29" t="s">
        <v>47</v>
      </c>
      <c r="AB29" t="s">
        <v>64</v>
      </c>
      <c r="AC29" t="s">
        <v>53</v>
      </c>
      <c r="AD29" s="16">
        <f t="shared" si="5"/>
        <v>18.5</v>
      </c>
      <c r="AE29" s="15">
        <v>0</v>
      </c>
      <c r="AF29" s="15">
        <v>0</v>
      </c>
      <c r="AG29" s="15">
        <v>0</v>
      </c>
      <c r="AH29" s="15">
        <v>0</v>
      </c>
      <c r="AI29" s="15">
        <f t="shared" si="0"/>
        <v>1.1099999999999999</v>
      </c>
      <c r="AJ29" s="15">
        <f t="shared" si="1"/>
        <v>19.61</v>
      </c>
      <c r="AK29" t="s">
        <v>47</v>
      </c>
    </row>
    <row r="30" spans="1:37" ht="15" customHeight="1" x14ac:dyDescent="0.35">
      <c r="A30">
        <v>690929</v>
      </c>
      <c r="B30" t="s">
        <v>37</v>
      </c>
      <c r="C30" t="s">
        <v>38</v>
      </c>
      <c r="D30" s="9" t="s">
        <v>39</v>
      </c>
      <c r="E30" s="10" t="s">
        <v>37</v>
      </c>
      <c r="F30" s="11"/>
      <c r="G30" t="s">
        <v>157</v>
      </c>
      <c r="I30" t="s">
        <v>41</v>
      </c>
      <c r="J30" t="s">
        <v>155</v>
      </c>
      <c r="K30" t="s">
        <v>43</v>
      </c>
      <c r="L30">
        <v>2</v>
      </c>
      <c r="M30" t="s">
        <v>44</v>
      </c>
      <c r="N30" t="s">
        <v>45</v>
      </c>
      <c r="O30" t="s">
        <v>46</v>
      </c>
      <c r="P30" s="5">
        <v>18</v>
      </c>
      <c r="Q30" s="12">
        <v>44742.591307870367</v>
      </c>
      <c r="R30" s="13">
        <v>44744</v>
      </c>
      <c r="T30" t="s">
        <v>47</v>
      </c>
      <c r="U30" t="s">
        <v>48</v>
      </c>
      <c r="V30" t="s">
        <v>62</v>
      </c>
      <c r="Y30" t="s">
        <v>156</v>
      </c>
      <c r="Z30">
        <v>85000</v>
      </c>
      <c r="AA30" t="s">
        <v>47</v>
      </c>
      <c r="AB30" t="s">
        <v>64</v>
      </c>
      <c r="AC30" t="s">
        <v>53</v>
      </c>
      <c r="AD30" s="16">
        <f t="shared" si="5"/>
        <v>18.5</v>
      </c>
      <c r="AE30" s="15">
        <v>0</v>
      </c>
      <c r="AF30" s="15">
        <v>0</v>
      </c>
      <c r="AG30" s="15">
        <v>0</v>
      </c>
      <c r="AH30" s="15">
        <v>0</v>
      </c>
      <c r="AI30" s="15">
        <f t="shared" si="0"/>
        <v>1.1099999999999999</v>
      </c>
      <c r="AJ30" s="15">
        <f t="shared" si="1"/>
        <v>19.61</v>
      </c>
      <c r="AK30" t="s">
        <v>47</v>
      </c>
    </row>
    <row r="31" spans="1:37" ht="15" customHeight="1" x14ac:dyDescent="0.35">
      <c r="A31">
        <v>690929</v>
      </c>
      <c r="B31" t="s">
        <v>37</v>
      </c>
      <c r="C31" t="s">
        <v>38</v>
      </c>
      <c r="D31" s="9" t="s">
        <v>39</v>
      </c>
      <c r="E31" s="10" t="s">
        <v>37</v>
      </c>
      <c r="F31" s="11"/>
      <c r="G31" t="s">
        <v>158</v>
      </c>
      <c r="I31" t="s">
        <v>41</v>
      </c>
      <c r="J31" t="s">
        <v>159</v>
      </c>
      <c r="K31" t="s">
        <v>43</v>
      </c>
      <c r="L31">
        <v>2</v>
      </c>
      <c r="M31" t="s">
        <v>44</v>
      </c>
      <c r="N31" t="s">
        <v>45</v>
      </c>
      <c r="O31" t="s">
        <v>46</v>
      </c>
      <c r="P31" s="5">
        <v>4</v>
      </c>
      <c r="Q31" s="12">
        <v>44742.596701388888</v>
      </c>
      <c r="R31" s="13">
        <v>44744</v>
      </c>
      <c r="T31" t="s">
        <v>47</v>
      </c>
      <c r="U31" t="s">
        <v>48</v>
      </c>
      <c r="V31" t="s">
        <v>114</v>
      </c>
      <c r="Y31" t="s">
        <v>160</v>
      </c>
      <c r="Z31">
        <v>47000</v>
      </c>
      <c r="AA31" t="s">
        <v>47</v>
      </c>
      <c r="AB31" t="s">
        <v>64</v>
      </c>
      <c r="AC31" t="s">
        <v>53</v>
      </c>
      <c r="AD31" s="16">
        <f>IF(P31&lt;=1,4.9,4.9+0.8*ROUNDUP(P31-1,0))</f>
        <v>7.3000000000000007</v>
      </c>
      <c r="AE31" s="15">
        <v>0</v>
      </c>
      <c r="AF31" s="15">
        <v>0</v>
      </c>
      <c r="AG31" s="15">
        <v>0</v>
      </c>
      <c r="AH31" s="15">
        <v>0</v>
      </c>
      <c r="AI31" s="15">
        <f t="shared" si="0"/>
        <v>0.438</v>
      </c>
      <c r="AJ31" s="15">
        <f t="shared" si="1"/>
        <v>7.7380000000000004</v>
      </c>
      <c r="AK31" t="s">
        <v>47</v>
      </c>
    </row>
    <row r="32" spans="1:37" ht="15" customHeight="1" x14ac:dyDescent="0.35">
      <c r="A32">
        <v>690929</v>
      </c>
      <c r="B32" t="s">
        <v>37</v>
      </c>
      <c r="C32" t="s">
        <v>38</v>
      </c>
      <c r="D32" s="9" t="s">
        <v>39</v>
      </c>
      <c r="E32" s="10" t="s">
        <v>37</v>
      </c>
      <c r="F32" s="11"/>
      <c r="G32" t="s">
        <v>161</v>
      </c>
      <c r="I32" t="s">
        <v>41</v>
      </c>
      <c r="J32" t="s">
        <v>162</v>
      </c>
      <c r="K32" t="s">
        <v>43</v>
      </c>
      <c r="L32">
        <v>2</v>
      </c>
      <c r="M32" t="s">
        <v>44</v>
      </c>
      <c r="N32" t="s">
        <v>45</v>
      </c>
      <c r="O32" t="s">
        <v>46</v>
      </c>
      <c r="P32" s="5">
        <v>5</v>
      </c>
      <c r="Q32" s="12">
        <v>44743.451307870368</v>
      </c>
      <c r="R32" s="13">
        <v>44744</v>
      </c>
      <c r="T32" t="s">
        <v>47</v>
      </c>
      <c r="U32" t="s">
        <v>56</v>
      </c>
      <c r="V32" t="s">
        <v>96</v>
      </c>
      <c r="Y32" t="s">
        <v>163</v>
      </c>
      <c r="Z32">
        <v>16800</v>
      </c>
      <c r="AA32" t="s">
        <v>47</v>
      </c>
      <c r="AB32" t="s">
        <v>164</v>
      </c>
      <c r="AC32" t="s">
        <v>53</v>
      </c>
      <c r="AD32" s="16">
        <f>IF(P32&lt;=1,7,7+0.8*ROUNDUP(P32-1,0))</f>
        <v>10.199999999999999</v>
      </c>
      <c r="AE32" s="15">
        <v>0</v>
      </c>
      <c r="AF32" s="15">
        <v>0</v>
      </c>
      <c r="AG32" s="15">
        <v>0</v>
      </c>
      <c r="AH32" s="15">
        <v>0</v>
      </c>
      <c r="AI32" s="15">
        <f t="shared" si="0"/>
        <v>0.61199999999999999</v>
      </c>
      <c r="AJ32" s="15">
        <f t="shared" si="1"/>
        <v>10.811999999999999</v>
      </c>
      <c r="AK32" t="s">
        <v>47</v>
      </c>
    </row>
    <row r="33" spans="1:37" ht="15" customHeight="1" x14ac:dyDescent="0.35">
      <c r="A33">
        <v>690929</v>
      </c>
      <c r="B33" t="s">
        <v>37</v>
      </c>
      <c r="C33" t="s">
        <v>38</v>
      </c>
      <c r="D33" s="9" t="s">
        <v>39</v>
      </c>
      <c r="E33" s="10" t="s">
        <v>37</v>
      </c>
      <c r="F33" s="11"/>
      <c r="G33" t="s">
        <v>165</v>
      </c>
      <c r="I33" t="s">
        <v>41</v>
      </c>
      <c r="J33" t="s">
        <v>166</v>
      </c>
      <c r="K33" t="s">
        <v>43</v>
      </c>
      <c r="L33">
        <v>2</v>
      </c>
      <c r="M33" t="s">
        <v>44</v>
      </c>
      <c r="N33" t="s">
        <v>45</v>
      </c>
      <c r="O33" t="s">
        <v>46</v>
      </c>
      <c r="P33" s="5">
        <v>1</v>
      </c>
      <c r="Q33" s="12">
        <v>44742.732499999998</v>
      </c>
      <c r="R33" s="13">
        <v>44744</v>
      </c>
      <c r="T33" t="s">
        <v>47</v>
      </c>
      <c r="U33" t="s">
        <v>56</v>
      </c>
      <c r="V33" t="s">
        <v>76</v>
      </c>
      <c r="Y33" t="s">
        <v>167</v>
      </c>
      <c r="Z33">
        <v>21700</v>
      </c>
      <c r="AA33" t="s">
        <v>47</v>
      </c>
      <c r="AB33" t="s">
        <v>56</v>
      </c>
      <c r="AC33" t="s">
        <v>53</v>
      </c>
      <c r="AD33" s="16">
        <f>IF(P33&lt;=1,4.9,4.9+0.8*ROUNDUP(P33-1,0))</f>
        <v>4.9000000000000004</v>
      </c>
      <c r="AE33" s="15">
        <v>0</v>
      </c>
      <c r="AF33" s="15">
        <v>0</v>
      </c>
      <c r="AG33" s="15">
        <v>0</v>
      </c>
      <c r="AH33" s="15">
        <v>0</v>
      </c>
      <c r="AI33" s="15">
        <f t="shared" si="0"/>
        <v>0.29399999999999998</v>
      </c>
      <c r="AJ33" s="15">
        <f t="shared" si="1"/>
        <v>5.194</v>
      </c>
      <c r="AK33" t="s">
        <v>47</v>
      </c>
    </row>
    <row r="34" spans="1:37" ht="15" customHeight="1" x14ac:dyDescent="0.35">
      <c r="A34">
        <v>690929</v>
      </c>
      <c r="B34" t="s">
        <v>37</v>
      </c>
      <c r="C34" t="s">
        <v>38</v>
      </c>
      <c r="D34" s="9" t="s">
        <v>39</v>
      </c>
      <c r="E34" s="10" t="s">
        <v>37</v>
      </c>
      <c r="F34" s="11"/>
      <c r="G34" t="s">
        <v>168</v>
      </c>
      <c r="I34" t="s">
        <v>41</v>
      </c>
      <c r="J34" t="s">
        <v>169</v>
      </c>
      <c r="K34" t="s">
        <v>43</v>
      </c>
      <c r="L34">
        <v>2</v>
      </c>
      <c r="M34" t="s">
        <v>44</v>
      </c>
      <c r="N34" t="s">
        <v>45</v>
      </c>
      <c r="O34" t="s">
        <v>46</v>
      </c>
      <c r="P34" s="5">
        <v>1</v>
      </c>
      <c r="Q34" s="12">
        <v>44742.58222222222</v>
      </c>
      <c r="R34" s="13">
        <v>44744</v>
      </c>
      <c r="T34" t="s">
        <v>47</v>
      </c>
      <c r="U34" t="s">
        <v>48</v>
      </c>
      <c r="V34" t="s">
        <v>71</v>
      </c>
      <c r="Y34" t="s">
        <v>170</v>
      </c>
      <c r="Z34">
        <v>6900</v>
      </c>
      <c r="AA34" t="s">
        <v>47</v>
      </c>
      <c r="AB34" t="s">
        <v>64</v>
      </c>
      <c r="AC34" t="s">
        <v>53</v>
      </c>
      <c r="AD34" s="16">
        <f>IF(P34&lt;=1,4.9,4.9+0.8*ROUNDUP(P34-1,0))</f>
        <v>4.9000000000000004</v>
      </c>
      <c r="AE34" s="15">
        <v>0</v>
      </c>
      <c r="AF34" s="15">
        <v>0</v>
      </c>
      <c r="AG34" s="15">
        <v>0</v>
      </c>
      <c r="AH34" s="15">
        <v>0</v>
      </c>
      <c r="AI34" s="15">
        <f t="shared" si="0"/>
        <v>0.29399999999999998</v>
      </c>
      <c r="AJ34" s="15">
        <f t="shared" si="1"/>
        <v>5.194</v>
      </c>
      <c r="AK34" t="s">
        <v>47</v>
      </c>
    </row>
    <row r="35" spans="1:37" ht="15" customHeight="1" x14ac:dyDescent="0.35">
      <c r="A35">
        <v>690929</v>
      </c>
      <c r="B35" t="s">
        <v>37</v>
      </c>
      <c r="C35" t="s">
        <v>38</v>
      </c>
      <c r="D35" s="9" t="s">
        <v>39</v>
      </c>
      <c r="E35" s="10" t="s">
        <v>37</v>
      </c>
      <c r="F35" s="11"/>
      <c r="G35" t="s">
        <v>171</v>
      </c>
      <c r="I35" t="s">
        <v>41</v>
      </c>
      <c r="J35" t="s">
        <v>172</v>
      </c>
      <c r="K35" t="s">
        <v>43</v>
      </c>
      <c r="L35">
        <v>2</v>
      </c>
      <c r="M35" t="s">
        <v>44</v>
      </c>
      <c r="N35" t="s">
        <v>45</v>
      </c>
      <c r="O35" t="s">
        <v>46</v>
      </c>
      <c r="P35" s="5">
        <v>1</v>
      </c>
      <c r="Q35" s="12">
        <v>44742.640462962961</v>
      </c>
      <c r="R35" s="13">
        <v>44744</v>
      </c>
      <c r="T35" t="s">
        <v>47</v>
      </c>
      <c r="U35" t="s">
        <v>48</v>
      </c>
      <c r="V35" t="s">
        <v>62</v>
      </c>
      <c r="Y35" t="s">
        <v>173</v>
      </c>
      <c r="Z35">
        <v>85000</v>
      </c>
      <c r="AA35" t="s">
        <v>47</v>
      </c>
      <c r="AB35" t="s">
        <v>64</v>
      </c>
      <c r="AC35" t="s">
        <v>53</v>
      </c>
      <c r="AD35" s="16">
        <f t="shared" ref="AD35:AD37" si="6">IF(P35&lt;=1,4.9,4.9+0.8*ROUNDUP(P35-1,0))</f>
        <v>4.9000000000000004</v>
      </c>
      <c r="AE35" s="15">
        <v>0</v>
      </c>
      <c r="AF35" s="15">
        <v>0</v>
      </c>
      <c r="AG35" s="15">
        <v>0</v>
      </c>
      <c r="AH35" s="15">
        <v>0</v>
      </c>
      <c r="AI35" s="15">
        <f t="shared" si="0"/>
        <v>0.29399999999999998</v>
      </c>
      <c r="AJ35" s="15">
        <f t="shared" si="1"/>
        <v>5.194</v>
      </c>
      <c r="AK35" t="s">
        <v>47</v>
      </c>
    </row>
    <row r="36" spans="1:37" ht="15" customHeight="1" x14ac:dyDescent="0.35">
      <c r="A36">
        <v>690929</v>
      </c>
      <c r="B36" t="s">
        <v>37</v>
      </c>
      <c r="C36" t="s">
        <v>38</v>
      </c>
      <c r="D36" s="9" t="s">
        <v>39</v>
      </c>
      <c r="E36" s="10" t="s">
        <v>37</v>
      </c>
      <c r="F36" s="11"/>
      <c r="G36" t="s">
        <v>174</v>
      </c>
      <c r="I36" t="s">
        <v>41</v>
      </c>
      <c r="J36" t="s">
        <v>175</v>
      </c>
      <c r="K36" t="s">
        <v>43</v>
      </c>
      <c r="L36">
        <v>2</v>
      </c>
      <c r="M36" t="s">
        <v>44</v>
      </c>
      <c r="N36" t="s">
        <v>45</v>
      </c>
      <c r="O36" t="s">
        <v>46</v>
      </c>
      <c r="P36" s="5">
        <v>1</v>
      </c>
      <c r="Q36" s="12">
        <v>44742.62395833333</v>
      </c>
      <c r="R36" s="13">
        <v>44744</v>
      </c>
      <c r="T36" t="s">
        <v>47</v>
      </c>
      <c r="U36" t="s">
        <v>48</v>
      </c>
      <c r="V36" t="s">
        <v>176</v>
      </c>
      <c r="Y36" t="s">
        <v>177</v>
      </c>
      <c r="Z36">
        <v>76300</v>
      </c>
      <c r="AA36" t="s">
        <v>47</v>
      </c>
      <c r="AB36" t="s">
        <v>64</v>
      </c>
      <c r="AC36" t="s">
        <v>53</v>
      </c>
      <c r="AD36" s="16">
        <f t="shared" si="6"/>
        <v>4.9000000000000004</v>
      </c>
      <c r="AE36" s="15">
        <v>0</v>
      </c>
      <c r="AF36" s="15">
        <v>0</v>
      </c>
      <c r="AG36" s="15">
        <v>0</v>
      </c>
      <c r="AH36" s="15">
        <v>0</v>
      </c>
      <c r="AI36" s="15">
        <f t="shared" si="0"/>
        <v>0.29399999999999998</v>
      </c>
      <c r="AJ36" s="15">
        <f t="shared" si="1"/>
        <v>5.194</v>
      </c>
      <c r="AK36" t="s">
        <v>47</v>
      </c>
    </row>
    <row r="37" spans="1:37" ht="15" customHeight="1" x14ac:dyDescent="0.35">
      <c r="A37">
        <v>690929</v>
      </c>
      <c r="B37" t="s">
        <v>37</v>
      </c>
      <c r="C37" t="s">
        <v>38</v>
      </c>
      <c r="D37" s="9" t="s">
        <v>39</v>
      </c>
      <c r="E37" s="10" t="s">
        <v>37</v>
      </c>
      <c r="F37" s="11"/>
      <c r="G37" t="s">
        <v>178</v>
      </c>
      <c r="I37" t="s">
        <v>41</v>
      </c>
      <c r="J37" t="s">
        <v>179</v>
      </c>
      <c r="K37" t="s">
        <v>43</v>
      </c>
      <c r="L37">
        <v>2</v>
      </c>
      <c r="M37" t="s">
        <v>44</v>
      </c>
      <c r="N37" t="s">
        <v>45</v>
      </c>
      <c r="O37" t="s">
        <v>46</v>
      </c>
      <c r="P37" s="5">
        <v>1</v>
      </c>
      <c r="Q37" s="12">
        <v>44738.713854166665</v>
      </c>
      <c r="R37" s="13">
        <v>44744</v>
      </c>
      <c r="T37" t="s">
        <v>47</v>
      </c>
      <c r="U37" t="s">
        <v>56</v>
      </c>
      <c r="V37" t="s">
        <v>100</v>
      </c>
      <c r="Y37" t="s">
        <v>180</v>
      </c>
      <c r="Z37">
        <v>34300</v>
      </c>
      <c r="AA37" t="s">
        <v>47</v>
      </c>
      <c r="AB37" t="s">
        <v>56</v>
      </c>
      <c r="AC37" t="s">
        <v>53</v>
      </c>
      <c r="AD37" s="16">
        <f t="shared" si="6"/>
        <v>4.9000000000000004</v>
      </c>
      <c r="AE37" s="15">
        <v>0</v>
      </c>
      <c r="AF37" s="15">
        <v>0</v>
      </c>
      <c r="AG37" s="15">
        <v>0</v>
      </c>
      <c r="AH37" s="15">
        <v>0</v>
      </c>
      <c r="AI37" s="15">
        <f t="shared" si="0"/>
        <v>0.29399999999999998</v>
      </c>
      <c r="AJ37" s="15">
        <f t="shared" si="1"/>
        <v>5.194</v>
      </c>
      <c r="AK37" t="s">
        <v>47</v>
      </c>
    </row>
    <row r="38" spans="1:37" ht="15" customHeight="1" x14ac:dyDescent="0.35">
      <c r="A38">
        <v>690929</v>
      </c>
      <c r="B38" t="s">
        <v>37</v>
      </c>
      <c r="C38" t="s">
        <v>38</v>
      </c>
      <c r="D38" s="9" t="s">
        <v>39</v>
      </c>
      <c r="E38" s="10" t="s">
        <v>37</v>
      </c>
      <c r="F38" s="11"/>
      <c r="G38" t="s">
        <v>181</v>
      </c>
      <c r="I38" t="s">
        <v>41</v>
      </c>
      <c r="J38" t="s">
        <v>182</v>
      </c>
      <c r="K38" t="s">
        <v>43</v>
      </c>
      <c r="L38">
        <v>2</v>
      </c>
      <c r="M38" t="s">
        <v>44</v>
      </c>
      <c r="N38" t="s">
        <v>45</v>
      </c>
      <c r="O38" t="s">
        <v>46</v>
      </c>
      <c r="P38" s="5">
        <v>1</v>
      </c>
      <c r="Q38" s="12">
        <v>44742.615324074075</v>
      </c>
      <c r="R38" s="13">
        <v>44744</v>
      </c>
      <c r="T38" t="s">
        <v>47</v>
      </c>
      <c r="U38" t="s">
        <v>48</v>
      </c>
      <c r="V38" t="s">
        <v>100</v>
      </c>
      <c r="Y38" t="s">
        <v>183</v>
      </c>
      <c r="Z38">
        <v>33040</v>
      </c>
      <c r="AA38" t="s">
        <v>47</v>
      </c>
      <c r="AB38" t="s">
        <v>64</v>
      </c>
      <c r="AC38" t="s">
        <v>53</v>
      </c>
      <c r="AD38" s="16">
        <f>IF(P38&lt;=1,4.9,4.9+0.8*ROUNDUP(P38-1,0))</f>
        <v>4.9000000000000004</v>
      </c>
      <c r="AE38" s="15">
        <v>0</v>
      </c>
      <c r="AF38" s="15">
        <v>0</v>
      </c>
      <c r="AG38" s="15">
        <v>0</v>
      </c>
      <c r="AH38" s="15">
        <v>0</v>
      </c>
      <c r="AI38" s="15">
        <f t="shared" si="0"/>
        <v>0.29399999999999998</v>
      </c>
      <c r="AJ38" s="15">
        <f t="shared" si="1"/>
        <v>5.194</v>
      </c>
      <c r="AK38" t="s">
        <v>47</v>
      </c>
    </row>
    <row r="39" spans="1:37" ht="15" customHeight="1" x14ac:dyDescent="0.35">
      <c r="A39">
        <v>690929</v>
      </c>
      <c r="B39" t="s">
        <v>37</v>
      </c>
      <c r="C39" t="s">
        <v>38</v>
      </c>
      <c r="D39" s="9" t="s">
        <v>39</v>
      </c>
      <c r="E39" s="10" t="s">
        <v>37</v>
      </c>
      <c r="F39" s="11"/>
      <c r="G39" t="s">
        <v>184</v>
      </c>
      <c r="I39" t="s">
        <v>41</v>
      </c>
      <c r="J39" t="s">
        <v>185</v>
      </c>
      <c r="K39" t="s">
        <v>43</v>
      </c>
      <c r="L39">
        <v>2</v>
      </c>
      <c r="M39" t="s">
        <v>44</v>
      </c>
      <c r="N39" t="s">
        <v>45</v>
      </c>
      <c r="O39" t="s">
        <v>46</v>
      </c>
      <c r="P39" s="5">
        <v>1</v>
      </c>
      <c r="Q39" s="12">
        <v>44742.636932870373</v>
      </c>
      <c r="R39" s="13">
        <v>44744</v>
      </c>
      <c r="T39" t="s">
        <v>47</v>
      </c>
      <c r="U39" t="s">
        <v>48</v>
      </c>
      <c r="V39" t="s">
        <v>85</v>
      </c>
      <c r="Y39" t="s">
        <v>186</v>
      </c>
      <c r="Z39">
        <v>11960</v>
      </c>
      <c r="AA39" t="s">
        <v>47</v>
      </c>
      <c r="AB39" t="s">
        <v>64</v>
      </c>
      <c r="AC39" t="s">
        <v>53</v>
      </c>
      <c r="AD39" s="16">
        <f>IF(P39&lt;=1,4.9,4.9+0.8*ROUNDUP(P39-1,0))</f>
        <v>4.9000000000000004</v>
      </c>
      <c r="AE39" s="15">
        <v>0</v>
      </c>
      <c r="AF39" s="15">
        <v>0</v>
      </c>
      <c r="AG39" s="15">
        <v>0</v>
      </c>
      <c r="AH39" s="15">
        <v>0</v>
      </c>
      <c r="AI39" s="15">
        <f t="shared" si="0"/>
        <v>0.29399999999999998</v>
      </c>
      <c r="AJ39" s="15">
        <f t="shared" si="1"/>
        <v>5.194</v>
      </c>
      <c r="AK39" t="s">
        <v>47</v>
      </c>
    </row>
    <row r="40" spans="1:37" ht="15" customHeight="1" x14ac:dyDescent="0.35">
      <c r="A40">
        <v>690929</v>
      </c>
      <c r="B40" t="s">
        <v>37</v>
      </c>
      <c r="C40" t="s">
        <v>38</v>
      </c>
      <c r="D40" s="9" t="s">
        <v>39</v>
      </c>
      <c r="E40" s="10" t="s">
        <v>37</v>
      </c>
      <c r="F40" s="11"/>
      <c r="G40" t="s">
        <v>187</v>
      </c>
      <c r="I40" t="s">
        <v>41</v>
      </c>
      <c r="J40" t="s">
        <v>188</v>
      </c>
      <c r="K40" t="s">
        <v>43</v>
      </c>
      <c r="L40">
        <v>2</v>
      </c>
      <c r="M40" t="s">
        <v>44</v>
      </c>
      <c r="N40" t="s">
        <v>45</v>
      </c>
      <c r="O40" t="s">
        <v>46</v>
      </c>
      <c r="P40" s="5">
        <v>1</v>
      </c>
      <c r="Q40" s="12">
        <v>44742.625891203701</v>
      </c>
      <c r="R40" s="13">
        <v>44744</v>
      </c>
      <c r="T40" t="s">
        <v>47</v>
      </c>
      <c r="U40" t="s">
        <v>48</v>
      </c>
      <c r="V40" t="s">
        <v>71</v>
      </c>
      <c r="Y40" t="s">
        <v>189</v>
      </c>
      <c r="Z40">
        <v>9000</v>
      </c>
      <c r="AA40" t="s">
        <v>47</v>
      </c>
      <c r="AB40" t="s">
        <v>64</v>
      </c>
      <c r="AC40" t="s">
        <v>53</v>
      </c>
      <c r="AD40" s="16">
        <f>IF(P40&lt;=1,4.9,4.9+0.8*ROUNDUP(P40-1,0))</f>
        <v>4.9000000000000004</v>
      </c>
      <c r="AE40" s="15">
        <v>0</v>
      </c>
      <c r="AF40" s="15">
        <v>0</v>
      </c>
      <c r="AG40" s="15">
        <v>0</v>
      </c>
      <c r="AH40" s="15">
        <v>0</v>
      </c>
      <c r="AI40" s="15">
        <f t="shared" si="0"/>
        <v>0.29399999999999998</v>
      </c>
      <c r="AJ40" s="15">
        <f t="shared" si="1"/>
        <v>5.194</v>
      </c>
      <c r="AK40" t="s">
        <v>47</v>
      </c>
    </row>
    <row r="41" spans="1:37" ht="15" customHeight="1" x14ac:dyDescent="0.35">
      <c r="A41">
        <v>690929</v>
      </c>
      <c r="B41" t="s">
        <v>37</v>
      </c>
      <c r="C41" t="s">
        <v>38</v>
      </c>
      <c r="D41" s="9" t="s">
        <v>39</v>
      </c>
      <c r="E41" s="10" t="s">
        <v>37</v>
      </c>
      <c r="F41" s="11"/>
      <c r="G41" t="s">
        <v>190</v>
      </c>
      <c r="I41" t="s">
        <v>41</v>
      </c>
      <c r="J41" t="s">
        <v>191</v>
      </c>
      <c r="K41" t="s">
        <v>43</v>
      </c>
      <c r="L41">
        <v>2</v>
      </c>
      <c r="M41" t="s">
        <v>44</v>
      </c>
      <c r="N41" t="s">
        <v>45</v>
      </c>
      <c r="O41" t="s">
        <v>46</v>
      </c>
      <c r="P41" s="5">
        <v>1</v>
      </c>
      <c r="Q41" s="12">
        <v>44742.731296296297</v>
      </c>
      <c r="R41" s="13">
        <v>44744</v>
      </c>
      <c r="T41" t="s">
        <v>47</v>
      </c>
      <c r="U41" t="s">
        <v>56</v>
      </c>
      <c r="V41" t="s">
        <v>96</v>
      </c>
      <c r="Y41" t="s">
        <v>192</v>
      </c>
      <c r="Z41">
        <v>17600</v>
      </c>
      <c r="AA41" t="s">
        <v>47</v>
      </c>
      <c r="AB41" t="s">
        <v>56</v>
      </c>
      <c r="AC41" t="s">
        <v>53</v>
      </c>
      <c r="AD41" s="16">
        <f>IF(P41&lt;=1,4.9,4.9+0.8*ROUNDUP(P41-1,0))</f>
        <v>4.9000000000000004</v>
      </c>
      <c r="AE41" s="15">
        <v>0</v>
      </c>
      <c r="AF41" s="15">
        <v>0</v>
      </c>
      <c r="AG41" s="15">
        <v>0</v>
      </c>
      <c r="AH41" s="15">
        <v>0</v>
      </c>
      <c r="AI41" s="15">
        <f t="shared" si="0"/>
        <v>0.29399999999999998</v>
      </c>
      <c r="AJ41" s="15">
        <f t="shared" si="1"/>
        <v>5.194</v>
      </c>
      <c r="AK41" t="s">
        <v>47</v>
      </c>
    </row>
    <row r="42" spans="1:37" ht="15" customHeight="1" x14ac:dyDescent="0.35">
      <c r="A42">
        <v>690929</v>
      </c>
      <c r="B42" t="s">
        <v>37</v>
      </c>
      <c r="C42" t="s">
        <v>38</v>
      </c>
      <c r="D42" s="9" t="s">
        <v>39</v>
      </c>
      <c r="E42" s="10" t="s">
        <v>37</v>
      </c>
      <c r="F42" s="11"/>
      <c r="G42" t="s">
        <v>193</v>
      </c>
      <c r="I42" t="s">
        <v>41</v>
      </c>
      <c r="J42" t="s">
        <v>120</v>
      </c>
      <c r="K42" t="s">
        <v>43</v>
      </c>
      <c r="L42">
        <v>2</v>
      </c>
      <c r="M42" t="s">
        <v>44</v>
      </c>
      <c r="N42" t="s">
        <v>45</v>
      </c>
      <c r="O42" t="s">
        <v>46</v>
      </c>
      <c r="P42" s="5">
        <v>8</v>
      </c>
      <c r="Q42" s="12">
        <v>44742.632627314815</v>
      </c>
      <c r="R42" s="13">
        <v>44744</v>
      </c>
      <c r="T42" t="s">
        <v>47</v>
      </c>
      <c r="U42" t="s">
        <v>48</v>
      </c>
      <c r="V42" t="s">
        <v>114</v>
      </c>
      <c r="Y42" t="s">
        <v>121</v>
      </c>
      <c r="Z42">
        <v>41050</v>
      </c>
      <c r="AA42" t="s">
        <v>47</v>
      </c>
      <c r="AB42" t="s">
        <v>64</v>
      </c>
      <c r="AC42" t="s">
        <v>53</v>
      </c>
      <c r="AD42" s="16">
        <f t="shared" ref="AD42" si="7">IF(P42&lt;=1,4.9,4.9+0.8*ROUNDUP(P42-1,0))</f>
        <v>10.5</v>
      </c>
      <c r="AE42" s="15">
        <v>0</v>
      </c>
      <c r="AF42" s="15">
        <v>0</v>
      </c>
      <c r="AG42" s="15">
        <v>0</v>
      </c>
      <c r="AH42" s="15">
        <v>0</v>
      </c>
      <c r="AI42" s="15">
        <f t="shared" si="0"/>
        <v>0.63</v>
      </c>
      <c r="AJ42" s="15">
        <f t="shared" si="1"/>
        <v>11.13</v>
      </c>
      <c r="AK42" t="s">
        <v>47</v>
      </c>
    </row>
    <row r="43" spans="1:37" ht="15" customHeight="1" x14ac:dyDescent="0.35">
      <c r="A43">
        <v>690929</v>
      </c>
      <c r="B43" t="s">
        <v>37</v>
      </c>
      <c r="C43" t="s">
        <v>38</v>
      </c>
      <c r="D43" s="9" t="s">
        <v>39</v>
      </c>
      <c r="E43" s="10" t="s">
        <v>37</v>
      </c>
      <c r="F43" s="11"/>
      <c r="G43" t="s">
        <v>194</v>
      </c>
      <c r="I43" t="s">
        <v>41</v>
      </c>
      <c r="J43" t="s">
        <v>195</v>
      </c>
      <c r="K43" t="s">
        <v>43</v>
      </c>
      <c r="L43">
        <v>2</v>
      </c>
      <c r="M43" t="s">
        <v>44</v>
      </c>
      <c r="N43" t="s">
        <v>45</v>
      </c>
      <c r="O43" t="s">
        <v>46</v>
      </c>
      <c r="P43" s="5">
        <v>1</v>
      </c>
      <c r="Q43" s="12">
        <v>44742.622766203705</v>
      </c>
      <c r="R43" s="13">
        <v>44744</v>
      </c>
      <c r="T43" t="s">
        <v>47</v>
      </c>
      <c r="U43" t="s">
        <v>48</v>
      </c>
      <c r="V43" t="s">
        <v>114</v>
      </c>
      <c r="Y43" t="s">
        <v>196</v>
      </c>
      <c r="Z43">
        <v>40150</v>
      </c>
      <c r="AA43" t="s">
        <v>47</v>
      </c>
      <c r="AB43" t="s">
        <v>64</v>
      </c>
      <c r="AC43" t="s">
        <v>53</v>
      </c>
      <c r="AD43" s="16">
        <f>IF(P43&lt;=1,4.9,4.9+0.8*ROUNDUP(P43-1,0))</f>
        <v>4.9000000000000004</v>
      </c>
      <c r="AE43" s="15">
        <v>0</v>
      </c>
      <c r="AF43" s="15">
        <v>0</v>
      </c>
      <c r="AG43" s="15">
        <v>0</v>
      </c>
      <c r="AH43" s="15">
        <v>0</v>
      </c>
      <c r="AI43" s="15">
        <f t="shared" si="0"/>
        <v>0.29399999999999998</v>
      </c>
      <c r="AJ43" s="15">
        <f t="shared" si="1"/>
        <v>5.194</v>
      </c>
      <c r="AK43" t="s">
        <v>47</v>
      </c>
    </row>
    <row r="44" spans="1:37" ht="15" customHeight="1" x14ac:dyDescent="0.35">
      <c r="A44">
        <v>690929</v>
      </c>
      <c r="B44" t="s">
        <v>37</v>
      </c>
      <c r="C44" t="s">
        <v>38</v>
      </c>
      <c r="D44" s="9" t="s">
        <v>39</v>
      </c>
      <c r="E44" s="10" t="s">
        <v>37</v>
      </c>
      <c r="F44" s="11"/>
      <c r="G44" t="s">
        <v>197</v>
      </c>
      <c r="I44" t="s">
        <v>41</v>
      </c>
      <c r="J44" t="s">
        <v>198</v>
      </c>
      <c r="K44" t="s">
        <v>43</v>
      </c>
      <c r="L44">
        <v>2</v>
      </c>
      <c r="M44" t="s">
        <v>44</v>
      </c>
      <c r="N44" t="s">
        <v>45</v>
      </c>
      <c r="O44" t="s">
        <v>46</v>
      </c>
      <c r="P44" s="5">
        <v>1</v>
      </c>
      <c r="Q44" s="12">
        <v>44742.621307870373</v>
      </c>
      <c r="R44" s="13">
        <v>44744</v>
      </c>
      <c r="T44" t="s">
        <v>47</v>
      </c>
      <c r="U44" t="s">
        <v>48</v>
      </c>
      <c r="V44" t="s">
        <v>138</v>
      </c>
      <c r="Y44" t="s">
        <v>199</v>
      </c>
      <c r="Z44">
        <v>70300</v>
      </c>
      <c r="AA44" t="s">
        <v>47</v>
      </c>
      <c r="AB44" t="s">
        <v>64</v>
      </c>
      <c r="AC44" t="s">
        <v>53</v>
      </c>
      <c r="AD44" s="16">
        <f>IF(P44&lt;=1,4.9,4.9+0.8*ROUNDUP(P44-1,0))</f>
        <v>4.9000000000000004</v>
      </c>
      <c r="AE44" s="15">
        <v>0</v>
      </c>
      <c r="AF44" s="15">
        <v>0</v>
      </c>
      <c r="AG44" s="15">
        <v>0</v>
      </c>
      <c r="AH44" s="15">
        <v>0</v>
      </c>
      <c r="AI44" s="15">
        <f t="shared" si="0"/>
        <v>0.29399999999999998</v>
      </c>
      <c r="AJ44" s="15">
        <f t="shared" si="1"/>
        <v>5.194</v>
      </c>
      <c r="AK44" t="s">
        <v>47</v>
      </c>
    </row>
    <row r="45" spans="1:37" ht="15" customHeight="1" x14ac:dyDescent="0.35">
      <c r="A45">
        <v>690929</v>
      </c>
      <c r="B45" t="s">
        <v>37</v>
      </c>
      <c r="C45" t="s">
        <v>38</v>
      </c>
      <c r="D45" s="9" t="s">
        <v>39</v>
      </c>
      <c r="E45" s="10" t="s">
        <v>37</v>
      </c>
      <c r="F45" s="11"/>
      <c r="G45" t="s">
        <v>200</v>
      </c>
      <c r="I45" t="s">
        <v>41</v>
      </c>
      <c r="J45" t="s">
        <v>201</v>
      </c>
      <c r="K45" t="s">
        <v>43</v>
      </c>
      <c r="L45">
        <v>2</v>
      </c>
      <c r="M45" t="s">
        <v>44</v>
      </c>
      <c r="N45" t="s">
        <v>45</v>
      </c>
      <c r="O45" t="s">
        <v>46</v>
      </c>
      <c r="P45" s="5">
        <v>1</v>
      </c>
      <c r="Q45" s="12">
        <v>44742.724699074075</v>
      </c>
      <c r="R45" s="13">
        <v>44744</v>
      </c>
      <c r="T45" t="s">
        <v>47</v>
      </c>
      <c r="U45" t="s">
        <v>56</v>
      </c>
      <c r="V45" t="s">
        <v>76</v>
      </c>
      <c r="Y45" t="s">
        <v>202</v>
      </c>
      <c r="Z45">
        <v>21060</v>
      </c>
      <c r="AA45" t="s">
        <v>47</v>
      </c>
      <c r="AB45" t="s">
        <v>56</v>
      </c>
      <c r="AC45" t="s">
        <v>53</v>
      </c>
      <c r="AD45" s="16">
        <f t="shared" ref="AD45:AD46" si="8">IF(P45&lt;=1,4.9,4.9+0.8*ROUNDUP(P45-1,0))</f>
        <v>4.9000000000000004</v>
      </c>
      <c r="AE45" s="15">
        <v>0</v>
      </c>
      <c r="AF45" s="15">
        <v>0</v>
      </c>
      <c r="AG45" s="15">
        <v>0</v>
      </c>
      <c r="AH45" s="15">
        <v>0</v>
      </c>
      <c r="AI45" s="15">
        <f t="shared" si="0"/>
        <v>0.29399999999999998</v>
      </c>
      <c r="AJ45" s="15">
        <f t="shared" si="1"/>
        <v>5.194</v>
      </c>
      <c r="AK45" t="s">
        <v>47</v>
      </c>
    </row>
    <row r="46" spans="1:37" ht="15" customHeight="1" x14ac:dyDescent="0.35">
      <c r="A46">
        <v>690929</v>
      </c>
      <c r="B46" t="s">
        <v>37</v>
      </c>
      <c r="C46" t="s">
        <v>38</v>
      </c>
      <c r="D46" s="9" t="s">
        <v>39</v>
      </c>
      <c r="E46" s="10" t="s">
        <v>37</v>
      </c>
      <c r="F46" s="11"/>
      <c r="G46" t="s">
        <v>203</v>
      </c>
      <c r="I46" t="s">
        <v>41</v>
      </c>
      <c r="J46" t="s">
        <v>204</v>
      </c>
      <c r="K46" t="s">
        <v>43</v>
      </c>
      <c r="L46">
        <v>2</v>
      </c>
      <c r="M46" t="s">
        <v>44</v>
      </c>
      <c r="N46" t="s">
        <v>45</v>
      </c>
      <c r="O46" t="s">
        <v>46</v>
      </c>
      <c r="P46" s="5">
        <v>1</v>
      </c>
      <c r="Q46" s="12">
        <v>44742.63</v>
      </c>
      <c r="R46" s="13">
        <v>44744</v>
      </c>
      <c r="T46" t="s">
        <v>47</v>
      </c>
      <c r="U46" t="s">
        <v>48</v>
      </c>
      <c r="V46" t="s">
        <v>114</v>
      </c>
      <c r="Y46" t="s">
        <v>205</v>
      </c>
      <c r="Z46">
        <v>55100</v>
      </c>
      <c r="AA46" t="s">
        <v>47</v>
      </c>
      <c r="AB46" t="s">
        <v>64</v>
      </c>
      <c r="AC46" t="s">
        <v>53</v>
      </c>
      <c r="AD46" s="16">
        <f t="shared" si="8"/>
        <v>4.9000000000000004</v>
      </c>
      <c r="AE46" s="15">
        <v>0</v>
      </c>
      <c r="AF46" s="15">
        <v>0</v>
      </c>
      <c r="AG46" s="15">
        <v>0</v>
      </c>
      <c r="AH46" s="15">
        <v>0</v>
      </c>
      <c r="AI46" s="15">
        <f t="shared" si="0"/>
        <v>0.29399999999999998</v>
      </c>
      <c r="AJ46" s="15">
        <f t="shared" si="1"/>
        <v>5.194</v>
      </c>
      <c r="AK46" t="s">
        <v>47</v>
      </c>
    </row>
    <row r="47" spans="1:37" ht="15" customHeight="1" x14ac:dyDescent="0.35">
      <c r="A47">
        <v>690929</v>
      </c>
      <c r="B47" t="s">
        <v>37</v>
      </c>
      <c r="C47" t="s">
        <v>38</v>
      </c>
      <c r="D47" s="9" t="s">
        <v>39</v>
      </c>
      <c r="E47" s="10" t="s">
        <v>37</v>
      </c>
      <c r="F47" s="11"/>
      <c r="G47" t="s">
        <v>206</v>
      </c>
      <c r="I47" t="s">
        <v>41</v>
      </c>
      <c r="J47" t="s">
        <v>207</v>
      </c>
      <c r="K47" t="s">
        <v>43</v>
      </c>
      <c r="L47">
        <v>2</v>
      </c>
      <c r="M47" t="s">
        <v>44</v>
      </c>
      <c r="N47" t="s">
        <v>45</v>
      </c>
      <c r="O47" t="s">
        <v>46</v>
      </c>
      <c r="P47" s="5">
        <v>1</v>
      </c>
      <c r="Q47" s="12">
        <v>44742.638287037036</v>
      </c>
      <c r="R47" s="13">
        <v>44744</v>
      </c>
      <c r="T47" t="s">
        <v>47</v>
      </c>
      <c r="U47" t="s">
        <v>48</v>
      </c>
      <c r="V47" t="s">
        <v>114</v>
      </c>
      <c r="Y47" t="s">
        <v>208</v>
      </c>
      <c r="Z47">
        <v>43200</v>
      </c>
      <c r="AA47" t="s">
        <v>47</v>
      </c>
      <c r="AB47" t="s">
        <v>64</v>
      </c>
      <c r="AC47" t="s">
        <v>53</v>
      </c>
      <c r="AD47" s="16">
        <f>IF(P47&lt;=1,4.9,4.9+0.8*ROUNDUP(P47-1,0))</f>
        <v>4.9000000000000004</v>
      </c>
      <c r="AE47" s="15">
        <v>0</v>
      </c>
      <c r="AF47" s="15">
        <v>0</v>
      </c>
      <c r="AG47" s="15">
        <v>0</v>
      </c>
      <c r="AH47" s="15">
        <v>0</v>
      </c>
      <c r="AI47" s="15">
        <f t="shared" si="0"/>
        <v>0.29399999999999998</v>
      </c>
      <c r="AJ47" s="15">
        <f t="shared" si="1"/>
        <v>5.194</v>
      </c>
      <c r="AK47" t="s">
        <v>47</v>
      </c>
    </row>
    <row r="48" spans="1:37" ht="15" customHeight="1" x14ac:dyDescent="0.35">
      <c r="A48">
        <v>690929</v>
      </c>
      <c r="B48" t="s">
        <v>37</v>
      </c>
      <c r="C48" t="s">
        <v>38</v>
      </c>
      <c r="D48" s="9" t="s">
        <v>39</v>
      </c>
      <c r="E48" s="10" t="s">
        <v>37</v>
      </c>
      <c r="F48" s="11"/>
      <c r="G48" t="s">
        <v>209</v>
      </c>
      <c r="I48" t="s">
        <v>41</v>
      </c>
      <c r="J48" t="s">
        <v>210</v>
      </c>
      <c r="K48" t="s">
        <v>43</v>
      </c>
      <c r="L48">
        <v>2</v>
      </c>
      <c r="M48" t="s">
        <v>44</v>
      </c>
      <c r="N48" t="s">
        <v>45</v>
      </c>
      <c r="O48" t="s">
        <v>46</v>
      </c>
      <c r="P48" s="5">
        <v>3</v>
      </c>
      <c r="Q48" s="12">
        <v>44744.504652777781</v>
      </c>
      <c r="R48" s="13">
        <v>44745</v>
      </c>
      <c r="T48" t="s">
        <v>47</v>
      </c>
      <c r="U48" t="s">
        <v>48</v>
      </c>
      <c r="V48" t="s">
        <v>96</v>
      </c>
      <c r="Y48" t="s">
        <v>211</v>
      </c>
      <c r="Z48">
        <v>18050</v>
      </c>
      <c r="AA48" t="s">
        <v>47</v>
      </c>
      <c r="AB48" t="s">
        <v>212</v>
      </c>
      <c r="AC48" t="s">
        <v>53</v>
      </c>
      <c r="AD48" s="16">
        <f t="shared" ref="AD48:AD49" si="9">IF(P48&lt;=1,7,7+0.8*ROUNDUP(P48-1,0))</f>
        <v>8.6</v>
      </c>
      <c r="AE48" s="15">
        <v>0</v>
      </c>
      <c r="AF48" s="15">
        <v>0</v>
      </c>
      <c r="AG48" s="15">
        <v>0</v>
      </c>
      <c r="AH48" s="15">
        <v>0</v>
      </c>
      <c r="AI48" s="15">
        <f t="shared" si="0"/>
        <v>0.51600000000000001</v>
      </c>
      <c r="AJ48" s="15">
        <f t="shared" si="1"/>
        <v>9.1159999999999997</v>
      </c>
      <c r="AK48" t="s">
        <v>47</v>
      </c>
    </row>
    <row r="49" spans="1:37" ht="15" customHeight="1" x14ac:dyDescent="0.35">
      <c r="A49">
        <v>690929</v>
      </c>
      <c r="B49" t="s">
        <v>37</v>
      </c>
      <c r="C49" t="s">
        <v>38</v>
      </c>
      <c r="D49" s="9" t="s">
        <v>39</v>
      </c>
      <c r="E49" s="10" t="s">
        <v>37</v>
      </c>
      <c r="F49" s="11"/>
      <c r="G49" t="s">
        <v>213</v>
      </c>
      <c r="I49" t="s">
        <v>41</v>
      </c>
      <c r="J49" t="s">
        <v>214</v>
      </c>
      <c r="K49" t="s">
        <v>43</v>
      </c>
      <c r="L49">
        <v>2</v>
      </c>
      <c r="M49" t="s">
        <v>44</v>
      </c>
      <c r="N49" t="s">
        <v>45</v>
      </c>
      <c r="O49" t="s">
        <v>46</v>
      </c>
      <c r="P49" s="5">
        <v>1</v>
      </c>
      <c r="Q49" s="12">
        <v>44744.657650462963</v>
      </c>
      <c r="R49" s="13">
        <v>44745</v>
      </c>
      <c r="T49" t="s">
        <v>47</v>
      </c>
      <c r="U49" t="s">
        <v>48</v>
      </c>
      <c r="V49" t="s">
        <v>76</v>
      </c>
      <c r="Y49" t="s">
        <v>215</v>
      </c>
      <c r="Z49">
        <v>21020</v>
      </c>
      <c r="AA49" t="s">
        <v>47</v>
      </c>
      <c r="AB49" t="s">
        <v>48</v>
      </c>
      <c r="AC49" t="s">
        <v>53</v>
      </c>
      <c r="AD49" s="16">
        <f t="shared" si="9"/>
        <v>7</v>
      </c>
      <c r="AE49" s="15">
        <v>0</v>
      </c>
      <c r="AF49" s="15">
        <v>0</v>
      </c>
      <c r="AG49" s="15">
        <v>0</v>
      </c>
      <c r="AH49" s="15">
        <v>0</v>
      </c>
      <c r="AI49" s="15">
        <f t="shared" si="0"/>
        <v>0.42</v>
      </c>
      <c r="AJ49" s="15">
        <f t="shared" si="1"/>
        <v>7.42</v>
      </c>
      <c r="AK49" t="s">
        <v>47</v>
      </c>
    </row>
    <row r="50" spans="1:37" ht="15" customHeight="1" x14ac:dyDescent="0.35">
      <c r="A50">
        <v>690929</v>
      </c>
      <c r="B50" t="s">
        <v>37</v>
      </c>
      <c r="C50" t="s">
        <v>38</v>
      </c>
      <c r="D50" s="9" t="s">
        <v>39</v>
      </c>
      <c r="E50" s="10" t="s">
        <v>37</v>
      </c>
      <c r="F50" s="11"/>
      <c r="G50" t="s">
        <v>216</v>
      </c>
      <c r="I50" t="s">
        <v>41</v>
      </c>
      <c r="J50" t="s">
        <v>217</v>
      </c>
      <c r="K50" t="s">
        <v>43</v>
      </c>
      <c r="L50">
        <v>2</v>
      </c>
      <c r="M50" t="s">
        <v>44</v>
      </c>
      <c r="N50" t="s">
        <v>45</v>
      </c>
      <c r="O50" t="s">
        <v>46</v>
      </c>
      <c r="P50" s="5">
        <v>1</v>
      </c>
      <c r="Q50" s="12">
        <v>44742.586493055554</v>
      </c>
      <c r="R50" s="13">
        <v>44745</v>
      </c>
      <c r="T50" t="s">
        <v>47</v>
      </c>
      <c r="U50" t="s">
        <v>48</v>
      </c>
      <c r="V50" t="s">
        <v>67</v>
      </c>
      <c r="Y50" t="s">
        <v>218</v>
      </c>
      <c r="Z50">
        <v>28700</v>
      </c>
      <c r="AA50" t="s">
        <v>47</v>
      </c>
      <c r="AB50" t="s">
        <v>64</v>
      </c>
      <c r="AC50" t="s">
        <v>53</v>
      </c>
      <c r="AD50" s="16">
        <f>IF(P50&lt;=1,4.9,4.9+0.8*ROUNDUP(P50-1,0))</f>
        <v>4.9000000000000004</v>
      </c>
      <c r="AE50" s="15">
        <v>0</v>
      </c>
      <c r="AF50" s="15">
        <v>0</v>
      </c>
      <c r="AG50" s="15">
        <v>0</v>
      </c>
      <c r="AH50" s="15">
        <v>0</v>
      </c>
      <c r="AI50" s="15">
        <f t="shared" si="0"/>
        <v>0.29399999999999998</v>
      </c>
      <c r="AJ50" s="15">
        <f t="shared" si="1"/>
        <v>5.194</v>
      </c>
      <c r="AK50" t="s">
        <v>47</v>
      </c>
    </row>
    <row r="51" spans="1:37" ht="15" customHeight="1" x14ac:dyDescent="0.35">
      <c r="A51">
        <v>690929</v>
      </c>
      <c r="B51" t="s">
        <v>37</v>
      </c>
      <c r="C51" t="s">
        <v>38</v>
      </c>
      <c r="D51" s="9" t="s">
        <v>39</v>
      </c>
      <c r="E51" s="10" t="s">
        <v>37</v>
      </c>
      <c r="F51" s="11"/>
      <c r="G51" t="s">
        <v>219</v>
      </c>
      <c r="I51" t="s">
        <v>41</v>
      </c>
      <c r="J51" t="s">
        <v>220</v>
      </c>
      <c r="K51" t="s">
        <v>43</v>
      </c>
      <c r="L51">
        <v>2</v>
      </c>
      <c r="M51" t="s">
        <v>44</v>
      </c>
      <c r="N51" t="s">
        <v>45</v>
      </c>
      <c r="O51" t="s">
        <v>46</v>
      </c>
      <c r="P51" s="5">
        <v>1</v>
      </c>
      <c r="Q51" s="12">
        <v>44742.728738425925</v>
      </c>
      <c r="R51" s="13">
        <v>44745</v>
      </c>
      <c r="T51" t="s">
        <v>47</v>
      </c>
      <c r="U51" t="s">
        <v>56</v>
      </c>
      <c r="V51" t="s">
        <v>100</v>
      </c>
      <c r="Y51" t="s">
        <v>221</v>
      </c>
      <c r="Z51">
        <v>31400</v>
      </c>
      <c r="AA51" t="s">
        <v>47</v>
      </c>
      <c r="AB51" t="s">
        <v>64</v>
      </c>
      <c r="AC51" t="s">
        <v>53</v>
      </c>
      <c r="AD51" s="16">
        <f>IF(P51&lt;=1,4.9,4.9+0.8*ROUNDUP(P51-1,0))</f>
        <v>4.9000000000000004</v>
      </c>
      <c r="AE51" s="15">
        <v>0</v>
      </c>
      <c r="AF51" s="15">
        <v>0</v>
      </c>
      <c r="AG51" s="15">
        <v>0</v>
      </c>
      <c r="AH51" s="15">
        <v>0</v>
      </c>
      <c r="AI51" s="15">
        <f t="shared" si="0"/>
        <v>0.29399999999999998</v>
      </c>
      <c r="AJ51" s="15">
        <f t="shared" si="1"/>
        <v>5.194</v>
      </c>
      <c r="AK51" t="s">
        <v>47</v>
      </c>
    </row>
    <row r="52" spans="1:37" ht="15" customHeight="1" x14ac:dyDescent="0.35">
      <c r="A52">
        <v>690929</v>
      </c>
      <c r="B52" t="s">
        <v>37</v>
      </c>
      <c r="C52" t="s">
        <v>38</v>
      </c>
      <c r="D52" s="9" t="s">
        <v>39</v>
      </c>
      <c r="E52" s="10" t="s">
        <v>37</v>
      </c>
      <c r="F52" s="11"/>
      <c r="G52" t="s">
        <v>222</v>
      </c>
      <c r="I52" t="s">
        <v>41</v>
      </c>
      <c r="J52" t="s">
        <v>223</v>
      </c>
      <c r="K52" t="s">
        <v>43</v>
      </c>
      <c r="L52">
        <v>2</v>
      </c>
      <c r="M52" t="s">
        <v>44</v>
      </c>
      <c r="N52" t="s">
        <v>45</v>
      </c>
      <c r="O52" t="s">
        <v>46</v>
      </c>
      <c r="P52" s="5">
        <v>6</v>
      </c>
      <c r="Q52" s="12">
        <v>44743.446863425925</v>
      </c>
      <c r="R52" s="13">
        <v>44745</v>
      </c>
      <c r="T52" t="s">
        <v>47</v>
      </c>
      <c r="U52" t="s">
        <v>56</v>
      </c>
      <c r="V52" t="s">
        <v>96</v>
      </c>
      <c r="Y52" t="s">
        <v>224</v>
      </c>
      <c r="Z52">
        <v>18300</v>
      </c>
      <c r="AA52" t="s">
        <v>47</v>
      </c>
      <c r="AB52" t="s">
        <v>225</v>
      </c>
      <c r="AC52" t="s">
        <v>53</v>
      </c>
      <c r="AD52" s="16">
        <f>IF(P52&lt;=1,7,7+0.8*ROUNDUP(P52-1,0))</f>
        <v>11</v>
      </c>
      <c r="AE52" s="15">
        <v>0</v>
      </c>
      <c r="AF52" s="15">
        <v>0</v>
      </c>
      <c r="AG52" s="15">
        <v>0</v>
      </c>
      <c r="AH52" s="15">
        <v>0</v>
      </c>
      <c r="AI52" s="15">
        <f t="shared" si="0"/>
        <v>0.65999999999999992</v>
      </c>
      <c r="AJ52" s="15">
        <f t="shared" si="1"/>
        <v>11.66</v>
      </c>
      <c r="AK52" t="s">
        <v>47</v>
      </c>
    </row>
    <row r="53" spans="1:37" ht="15" customHeight="1" x14ac:dyDescent="0.35">
      <c r="A53">
        <v>690929</v>
      </c>
      <c r="B53" t="s">
        <v>37</v>
      </c>
      <c r="C53" t="s">
        <v>38</v>
      </c>
      <c r="D53" s="9" t="s">
        <v>39</v>
      </c>
      <c r="E53" s="10" t="s">
        <v>37</v>
      </c>
      <c r="F53" s="11"/>
      <c r="G53" t="s">
        <v>226</v>
      </c>
      <c r="I53" t="s">
        <v>41</v>
      </c>
      <c r="J53" t="s">
        <v>227</v>
      </c>
      <c r="K53" t="s">
        <v>43</v>
      </c>
      <c r="L53">
        <v>2</v>
      </c>
      <c r="M53" t="s">
        <v>44</v>
      </c>
      <c r="N53" t="s">
        <v>45</v>
      </c>
      <c r="O53" t="s">
        <v>46</v>
      </c>
      <c r="P53" s="5">
        <v>6</v>
      </c>
      <c r="Q53" s="12">
        <v>44743.448877314811</v>
      </c>
      <c r="R53" s="13">
        <v>44745</v>
      </c>
      <c r="T53" t="s">
        <v>47</v>
      </c>
      <c r="U53" t="s">
        <v>56</v>
      </c>
      <c r="V53" t="s">
        <v>96</v>
      </c>
      <c r="Y53" t="s">
        <v>228</v>
      </c>
      <c r="Z53">
        <v>18300</v>
      </c>
      <c r="AA53" t="s">
        <v>47</v>
      </c>
      <c r="AB53" t="s">
        <v>225</v>
      </c>
      <c r="AC53" t="s">
        <v>53</v>
      </c>
      <c r="AD53" s="16">
        <f>IF(P53&lt;=1,7,7+0.8*ROUNDUP(P53-1,0))</f>
        <v>11</v>
      </c>
      <c r="AE53" s="15">
        <v>0</v>
      </c>
      <c r="AF53" s="15">
        <v>0</v>
      </c>
      <c r="AG53" s="15">
        <v>0</v>
      </c>
      <c r="AH53" s="15">
        <v>0</v>
      </c>
      <c r="AI53" s="15">
        <f t="shared" si="0"/>
        <v>0.65999999999999992</v>
      </c>
      <c r="AJ53" s="15">
        <f t="shared" si="1"/>
        <v>11.66</v>
      </c>
      <c r="AK53" t="s">
        <v>47</v>
      </c>
    </row>
    <row r="54" spans="1:37" ht="15" customHeight="1" x14ac:dyDescent="0.35">
      <c r="A54">
        <v>690929</v>
      </c>
      <c r="B54" t="s">
        <v>37</v>
      </c>
      <c r="C54" t="s">
        <v>38</v>
      </c>
      <c r="D54" s="9" t="s">
        <v>39</v>
      </c>
      <c r="E54" s="10" t="s">
        <v>37</v>
      </c>
      <c r="F54" s="11"/>
      <c r="G54" t="s">
        <v>229</v>
      </c>
      <c r="I54" t="s">
        <v>41</v>
      </c>
      <c r="J54" t="s">
        <v>230</v>
      </c>
      <c r="K54" t="s">
        <v>43</v>
      </c>
      <c r="L54">
        <v>2</v>
      </c>
      <c r="M54" t="s">
        <v>44</v>
      </c>
      <c r="N54" t="s">
        <v>45</v>
      </c>
      <c r="O54" t="s">
        <v>46</v>
      </c>
      <c r="P54" s="5">
        <v>1</v>
      </c>
      <c r="Q54" s="12">
        <v>44742.736377314817</v>
      </c>
      <c r="R54" s="13">
        <v>44745</v>
      </c>
      <c r="T54" t="s">
        <v>47</v>
      </c>
      <c r="U54" t="s">
        <v>56</v>
      </c>
      <c r="V54" t="s">
        <v>62</v>
      </c>
      <c r="Y54" t="s">
        <v>231</v>
      </c>
      <c r="Z54">
        <v>84400</v>
      </c>
      <c r="AA54" t="s">
        <v>47</v>
      </c>
      <c r="AB54" t="s">
        <v>64</v>
      </c>
      <c r="AC54" t="s">
        <v>53</v>
      </c>
      <c r="AD54" s="16">
        <f>IF(P54&lt;=1,4.9,4.9+0.8*ROUNDUP(P54-1,0))</f>
        <v>4.9000000000000004</v>
      </c>
      <c r="AE54" s="15">
        <v>0</v>
      </c>
      <c r="AF54" s="15">
        <v>0</v>
      </c>
      <c r="AG54" s="15">
        <v>0</v>
      </c>
      <c r="AH54" s="15">
        <v>0</v>
      </c>
      <c r="AI54" s="15">
        <f t="shared" si="0"/>
        <v>0.29399999999999998</v>
      </c>
      <c r="AJ54" s="15">
        <f t="shared" si="1"/>
        <v>5.194</v>
      </c>
      <c r="AK54" t="s">
        <v>47</v>
      </c>
    </row>
    <row r="55" spans="1:37" ht="15" customHeight="1" x14ac:dyDescent="0.35">
      <c r="A55">
        <v>690929</v>
      </c>
      <c r="B55" t="s">
        <v>37</v>
      </c>
      <c r="C55" t="s">
        <v>38</v>
      </c>
      <c r="D55" s="9" t="s">
        <v>39</v>
      </c>
      <c r="E55" s="10" t="s">
        <v>37</v>
      </c>
      <c r="F55" s="11"/>
      <c r="G55" t="s">
        <v>232</v>
      </c>
      <c r="I55" t="s">
        <v>41</v>
      </c>
      <c r="J55" t="s">
        <v>233</v>
      </c>
      <c r="K55" t="s">
        <v>43</v>
      </c>
      <c r="L55">
        <v>2</v>
      </c>
      <c r="M55" t="s">
        <v>44</v>
      </c>
      <c r="N55" t="s">
        <v>45</v>
      </c>
      <c r="O55" t="s">
        <v>46</v>
      </c>
      <c r="P55" s="5">
        <v>1</v>
      </c>
      <c r="Q55" s="12">
        <v>44742.727013888885</v>
      </c>
      <c r="R55" s="13">
        <v>44745</v>
      </c>
      <c r="T55" t="s">
        <v>47</v>
      </c>
      <c r="U55" t="s">
        <v>56</v>
      </c>
      <c r="V55" t="s">
        <v>71</v>
      </c>
      <c r="Y55" t="s">
        <v>234</v>
      </c>
      <c r="Z55">
        <v>8010</v>
      </c>
      <c r="AA55" t="s">
        <v>47</v>
      </c>
      <c r="AB55" t="s">
        <v>64</v>
      </c>
      <c r="AC55" t="s">
        <v>53</v>
      </c>
      <c r="AD55" s="16">
        <f>IF(P55&lt;=1,4.9,4.9+0.8*ROUNDUP(P55-1,0))</f>
        <v>4.9000000000000004</v>
      </c>
      <c r="AE55" s="15">
        <v>0</v>
      </c>
      <c r="AF55" s="15">
        <v>0</v>
      </c>
      <c r="AG55" s="15">
        <v>0</v>
      </c>
      <c r="AH55" s="15">
        <v>0</v>
      </c>
      <c r="AI55" s="15">
        <f t="shared" si="0"/>
        <v>0.29399999999999998</v>
      </c>
      <c r="AJ55" s="15">
        <f t="shared" si="1"/>
        <v>5.194</v>
      </c>
      <c r="AK55" t="s">
        <v>47</v>
      </c>
    </row>
    <row r="56" spans="1:37" ht="15" customHeight="1" x14ac:dyDescent="0.35">
      <c r="A56">
        <v>690929</v>
      </c>
      <c r="B56" t="s">
        <v>37</v>
      </c>
      <c r="C56" t="s">
        <v>38</v>
      </c>
      <c r="D56" s="9" t="s">
        <v>39</v>
      </c>
      <c r="E56" s="10" t="s">
        <v>37</v>
      </c>
      <c r="F56" s="11"/>
      <c r="G56" t="s">
        <v>235</v>
      </c>
      <c r="I56" t="s">
        <v>41</v>
      </c>
      <c r="J56" t="s">
        <v>236</v>
      </c>
      <c r="K56" t="s">
        <v>43</v>
      </c>
      <c r="L56">
        <v>2</v>
      </c>
      <c r="M56" t="s">
        <v>44</v>
      </c>
      <c r="N56" t="s">
        <v>45</v>
      </c>
      <c r="O56" t="s">
        <v>46</v>
      </c>
      <c r="P56" s="5">
        <v>1</v>
      </c>
      <c r="Q56" s="12">
        <v>44744.63652777778</v>
      </c>
      <c r="R56" s="13">
        <v>44745</v>
      </c>
      <c r="T56" t="s">
        <v>47</v>
      </c>
      <c r="U56" t="s">
        <v>48</v>
      </c>
      <c r="V56" t="s">
        <v>67</v>
      </c>
      <c r="Y56" t="s">
        <v>237</v>
      </c>
      <c r="Z56">
        <v>26400</v>
      </c>
      <c r="AA56" t="s">
        <v>47</v>
      </c>
      <c r="AB56" t="s">
        <v>48</v>
      </c>
      <c r="AC56" t="s">
        <v>53</v>
      </c>
      <c r="AD56" s="16">
        <f>IF(P56&lt;=1,7,7+0.8*ROUNDUP(P56-1,0))</f>
        <v>7</v>
      </c>
      <c r="AE56" s="15">
        <v>0</v>
      </c>
      <c r="AF56" s="15">
        <v>0</v>
      </c>
      <c r="AG56" s="15">
        <v>0</v>
      </c>
      <c r="AH56" s="15">
        <v>0</v>
      </c>
      <c r="AI56" s="15">
        <f t="shared" si="0"/>
        <v>0.42</v>
      </c>
      <c r="AJ56" s="15">
        <f t="shared" si="1"/>
        <v>7.42</v>
      </c>
      <c r="AK56" t="s">
        <v>47</v>
      </c>
    </row>
    <row r="57" spans="1:37" ht="15" customHeight="1" x14ac:dyDescent="0.35">
      <c r="A57">
        <v>690929</v>
      </c>
      <c r="B57" t="s">
        <v>37</v>
      </c>
      <c r="C57" t="s">
        <v>38</v>
      </c>
      <c r="D57" s="9" t="s">
        <v>39</v>
      </c>
      <c r="E57" s="10" t="s">
        <v>37</v>
      </c>
      <c r="F57" s="11"/>
      <c r="G57" t="s">
        <v>238</v>
      </c>
      <c r="I57" t="s">
        <v>41</v>
      </c>
      <c r="J57" t="s">
        <v>239</v>
      </c>
      <c r="K57" t="s">
        <v>43</v>
      </c>
      <c r="L57">
        <v>2</v>
      </c>
      <c r="M57" t="s">
        <v>44</v>
      </c>
      <c r="N57" t="s">
        <v>45</v>
      </c>
      <c r="O57" t="s">
        <v>46</v>
      </c>
      <c r="P57" s="5">
        <v>1</v>
      </c>
      <c r="Q57" s="12">
        <v>44744.530335648145</v>
      </c>
      <c r="R57" s="13">
        <v>44746</v>
      </c>
      <c r="T57" t="s">
        <v>47</v>
      </c>
      <c r="U57" t="s">
        <v>48</v>
      </c>
      <c r="V57" t="s">
        <v>62</v>
      </c>
      <c r="Y57" t="s">
        <v>240</v>
      </c>
      <c r="Z57">
        <v>81000</v>
      </c>
      <c r="AA57" t="s">
        <v>47</v>
      </c>
      <c r="AB57" t="s">
        <v>64</v>
      </c>
      <c r="AC57" t="s">
        <v>53</v>
      </c>
      <c r="AD57" s="16">
        <f>IF(P57&lt;=1,7,7+0.8*ROUNDUP(P57-1,0))</f>
        <v>7</v>
      </c>
      <c r="AE57" s="15">
        <v>0</v>
      </c>
      <c r="AF57" s="15">
        <v>0</v>
      </c>
      <c r="AG57" s="15">
        <v>0</v>
      </c>
      <c r="AH57" s="15">
        <v>0</v>
      </c>
      <c r="AI57" s="15">
        <f t="shared" si="0"/>
        <v>0.42</v>
      </c>
      <c r="AJ57" s="15">
        <f t="shared" si="1"/>
        <v>7.42</v>
      </c>
      <c r="AK57" t="s">
        <v>47</v>
      </c>
    </row>
    <row r="58" spans="1:37" ht="15" customHeight="1" x14ac:dyDescent="0.35">
      <c r="A58">
        <v>690929</v>
      </c>
      <c r="B58" t="s">
        <v>37</v>
      </c>
      <c r="C58" t="s">
        <v>38</v>
      </c>
      <c r="D58" s="9" t="s">
        <v>39</v>
      </c>
      <c r="E58" s="10" t="s">
        <v>37</v>
      </c>
      <c r="F58" s="11"/>
      <c r="G58" t="s">
        <v>241</v>
      </c>
      <c r="I58" t="s">
        <v>41</v>
      </c>
      <c r="J58" t="s">
        <v>242</v>
      </c>
      <c r="K58" t="s">
        <v>43</v>
      </c>
      <c r="L58">
        <v>2</v>
      </c>
      <c r="M58" t="s">
        <v>44</v>
      </c>
      <c r="N58" t="s">
        <v>45</v>
      </c>
      <c r="O58" t="s">
        <v>46</v>
      </c>
      <c r="P58" s="5">
        <v>3</v>
      </c>
      <c r="Q58" s="12">
        <v>44744.484861111108</v>
      </c>
      <c r="R58" s="13">
        <v>44746</v>
      </c>
      <c r="T58" t="s">
        <v>47</v>
      </c>
      <c r="U58" t="s">
        <v>48</v>
      </c>
      <c r="V58" t="s">
        <v>114</v>
      </c>
      <c r="Y58" t="s">
        <v>243</v>
      </c>
      <c r="Z58">
        <v>45200</v>
      </c>
      <c r="AA58" t="s">
        <v>47</v>
      </c>
      <c r="AB58" t="s">
        <v>64</v>
      </c>
      <c r="AC58" t="s">
        <v>53</v>
      </c>
      <c r="AD58" s="16">
        <f>IF(P58&lt;=1,7,7+0.8*ROUNDUP(P58-1,0))</f>
        <v>8.6</v>
      </c>
      <c r="AE58" s="15">
        <v>0</v>
      </c>
      <c r="AF58" s="15">
        <v>0</v>
      </c>
      <c r="AG58" s="15">
        <v>0</v>
      </c>
      <c r="AH58" s="15">
        <v>0</v>
      </c>
      <c r="AI58" s="15">
        <f t="shared" si="0"/>
        <v>0.51600000000000001</v>
      </c>
      <c r="AJ58" s="15">
        <f t="shared" si="1"/>
        <v>9.1159999999999997</v>
      </c>
      <c r="AK58" t="s">
        <v>47</v>
      </c>
    </row>
    <row r="59" spans="1:37" ht="15" customHeight="1" x14ac:dyDescent="0.35">
      <c r="A59">
        <v>690929</v>
      </c>
      <c r="B59" t="s">
        <v>37</v>
      </c>
      <c r="C59" t="s">
        <v>38</v>
      </c>
      <c r="D59" s="9" t="s">
        <v>39</v>
      </c>
      <c r="E59" s="10" t="s">
        <v>37</v>
      </c>
      <c r="F59" s="11"/>
      <c r="G59" t="s">
        <v>244</v>
      </c>
      <c r="I59" t="s">
        <v>41</v>
      </c>
      <c r="J59" t="s">
        <v>245</v>
      </c>
      <c r="K59" t="s">
        <v>43</v>
      </c>
      <c r="L59">
        <v>2</v>
      </c>
      <c r="M59" t="s">
        <v>44</v>
      </c>
      <c r="N59" t="s">
        <v>45</v>
      </c>
      <c r="O59" t="s">
        <v>46</v>
      </c>
      <c r="P59" s="5">
        <v>1</v>
      </c>
      <c r="Q59" s="12">
        <v>44744.811921296299</v>
      </c>
      <c r="R59" s="13">
        <v>44746</v>
      </c>
      <c r="T59" t="s">
        <v>47</v>
      </c>
      <c r="U59" t="s">
        <v>48</v>
      </c>
      <c r="V59" t="s">
        <v>67</v>
      </c>
      <c r="Y59" t="s">
        <v>246</v>
      </c>
      <c r="Z59">
        <v>26800</v>
      </c>
      <c r="AA59" t="s">
        <v>47</v>
      </c>
      <c r="AB59" t="s">
        <v>48</v>
      </c>
      <c r="AC59" t="s">
        <v>53</v>
      </c>
      <c r="AD59" s="16">
        <f t="shared" ref="AD59" si="10">IF(P59&lt;=1,7,7+0.8*ROUNDUP(P59-1,0))</f>
        <v>7</v>
      </c>
      <c r="AE59" s="15">
        <v>0</v>
      </c>
      <c r="AF59" s="15">
        <v>0</v>
      </c>
      <c r="AG59" s="15">
        <v>0</v>
      </c>
      <c r="AH59" s="15">
        <v>0</v>
      </c>
      <c r="AI59" s="15">
        <f t="shared" si="0"/>
        <v>0.42</v>
      </c>
      <c r="AJ59" s="15">
        <f t="shared" si="1"/>
        <v>7.42</v>
      </c>
      <c r="AK59" t="s">
        <v>47</v>
      </c>
    </row>
    <row r="60" spans="1:37" ht="15" customHeight="1" x14ac:dyDescent="0.35">
      <c r="A60">
        <v>690929</v>
      </c>
      <c r="B60" t="s">
        <v>37</v>
      </c>
      <c r="C60" t="s">
        <v>38</v>
      </c>
      <c r="D60" s="9" t="s">
        <v>39</v>
      </c>
      <c r="E60" s="10" t="s">
        <v>37</v>
      </c>
      <c r="F60" s="11"/>
      <c r="G60" t="s">
        <v>247</v>
      </c>
      <c r="I60" t="s">
        <v>41</v>
      </c>
      <c r="J60" t="s">
        <v>248</v>
      </c>
      <c r="K60" t="s">
        <v>43</v>
      </c>
      <c r="L60">
        <v>2</v>
      </c>
      <c r="M60" t="s">
        <v>44</v>
      </c>
      <c r="N60" t="s">
        <v>45</v>
      </c>
      <c r="O60" t="s">
        <v>46</v>
      </c>
      <c r="P60" s="5">
        <v>1</v>
      </c>
      <c r="Q60" s="12">
        <v>44742.72148148148</v>
      </c>
      <c r="R60" s="13">
        <v>44746</v>
      </c>
      <c r="T60" t="s">
        <v>47</v>
      </c>
      <c r="U60" t="s">
        <v>56</v>
      </c>
      <c r="V60" t="s">
        <v>80</v>
      </c>
      <c r="Y60" t="s">
        <v>249</v>
      </c>
      <c r="Z60">
        <v>94600</v>
      </c>
      <c r="AA60" t="s">
        <v>51</v>
      </c>
      <c r="AB60" t="s">
        <v>250</v>
      </c>
      <c r="AC60" t="s">
        <v>53</v>
      </c>
      <c r="AD60" s="14">
        <f>IF(P60&lt;=1,13,IF(P60&lt;=2,23,IF(P60&lt;=3,35,IF(P60&lt;=4,43,IF(P60&lt;=5,53,IF(P60&lt;=6,63,IF(P60&lt;=7,71,IF(P60&lt;=8,79,IF(P60&lt;=9,87,IF(P60&lt;=10,95,IF(P60&lt;=11,105,IF(P60&lt;=12,114,IF(P60&lt;=13,119,IF(P60&lt;=14,127,IF(P60&lt;=15,135,IF(P60&lt;=16,143,IF(P60&lt;=17,153,IF(P60&lt;=18,163,IF(P60&lt;=19,171,IF(P60&lt;=20,185,IF(P60&lt;=21,193,IF(P60&lt;=22,201,IF(P60&lt;=23,210,IF(P60&lt;=24,220,IF(P60&lt;=25,230,IF(P60&lt;=26,240,IF(P60&lt;=27,250,IF(P60&lt;=28,260,IF(P60&lt;=29,270,IF(P60&lt;=30,280,280))))))))))))))))))))))))))))))</f>
        <v>13</v>
      </c>
      <c r="AE60" s="15">
        <v>0</v>
      </c>
      <c r="AF60" s="15">
        <v>0</v>
      </c>
      <c r="AG60" s="15">
        <v>0</v>
      </c>
      <c r="AH60" s="15">
        <v>0</v>
      </c>
      <c r="AI60" s="15">
        <f t="shared" si="0"/>
        <v>0.78</v>
      </c>
      <c r="AJ60" s="15">
        <f t="shared" si="1"/>
        <v>13.78</v>
      </c>
      <c r="AK60" t="s">
        <v>51</v>
      </c>
    </row>
    <row r="61" spans="1:37" ht="15" customHeight="1" x14ac:dyDescent="0.35">
      <c r="A61">
        <v>690929</v>
      </c>
      <c r="B61" t="s">
        <v>37</v>
      </c>
      <c r="C61" t="s">
        <v>38</v>
      </c>
      <c r="D61" s="9" t="s">
        <v>39</v>
      </c>
      <c r="E61" s="10" t="s">
        <v>37</v>
      </c>
      <c r="F61" s="11"/>
      <c r="G61" t="s">
        <v>251</v>
      </c>
      <c r="I61" t="s">
        <v>41</v>
      </c>
      <c r="J61" t="s">
        <v>252</v>
      </c>
      <c r="K61" t="s">
        <v>43</v>
      </c>
      <c r="L61">
        <v>2</v>
      </c>
      <c r="M61" t="s">
        <v>44</v>
      </c>
      <c r="N61" t="s">
        <v>45</v>
      </c>
      <c r="O61" t="s">
        <v>46</v>
      </c>
      <c r="P61" s="5">
        <v>1</v>
      </c>
      <c r="Q61" s="12">
        <v>44744.491886574076</v>
      </c>
      <c r="R61" s="13">
        <v>44746</v>
      </c>
      <c r="T61" t="s">
        <v>47</v>
      </c>
      <c r="U61" t="s">
        <v>48</v>
      </c>
      <c r="V61" t="s">
        <v>114</v>
      </c>
      <c r="Y61" t="s">
        <v>253</v>
      </c>
      <c r="Z61">
        <v>68100</v>
      </c>
      <c r="AA61" t="s">
        <v>47</v>
      </c>
      <c r="AB61" t="s">
        <v>64</v>
      </c>
      <c r="AC61" t="s">
        <v>53</v>
      </c>
      <c r="AD61" s="16">
        <f t="shared" ref="AD61:AD62" si="11">IF(P61&lt;=1,7,7+0.8*ROUNDUP(P61-1,0))</f>
        <v>7</v>
      </c>
      <c r="AE61" s="15">
        <v>0</v>
      </c>
      <c r="AF61" s="15">
        <v>0</v>
      </c>
      <c r="AG61" s="15">
        <v>0</v>
      </c>
      <c r="AH61" s="15">
        <v>0</v>
      </c>
      <c r="AI61" s="15">
        <f t="shared" si="0"/>
        <v>0.42</v>
      </c>
      <c r="AJ61" s="15">
        <f t="shared" si="1"/>
        <v>7.42</v>
      </c>
      <c r="AK61" t="s">
        <v>47</v>
      </c>
    </row>
    <row r="62" spans="1:37" ht="15" customHeight="1" x14ac:dyDescent="0.35">
      <c r="A62">
        <v>690929</v>
      </c>
      <c r="B62" t="s">
        <v>37</v>
      </c>
      <c r="C62" t="s">
        <v>38</v>
      </c>
      <c r="D62" s="9" t="s">
        <v>39</v>
      </c>
      <c r="E62" s="10" t="s">
        <v>37</v>
      </c>
      <c r="F62" s="11"/>
      <c r="G62" t="s">
        <v>254</v>
      </c>
      <c r="I62" t="s">
        <v>41</v>
      </c>
      <c r="J62" t="s">
        <v>255</v>
      </c>
      <c r="K62" t="s">
        <v>43</v>
      </c>
      <c r="L62">
        <v>2</v>
      </c>
      <c r="M62" t="s">
        <v>44</v>
      </c>
      <c r="N62" t="s">
        <v>45</v>
      </c>
      <c r="O62" t="s">
        <v>46</v>
      </c>
      <c r="P62" s="5">
        <v>6</v>
      </c>
      <c r="Q62" s="12">
        <v>44744.478564814817</v>
      </c>
      <c r="R62" s="13">
        <v>44746</v>
      </c>
      <c r="T62" t="s">
        <v>47</v>
      </c>
      <c r="U62" t="s">
        <v>48</v>
      </c>
      <c r="V62" t="s">
        <v>67</v>
      </c>
      <c r="Y62" t="s">
        <v>256</v>
      </c>
      <c r="Z62">
        <v>26600</v>
      </c>
      <c r="AA62" t="s">
        <v>47</v>
      </c>
      <c r="AB62" t="s">
        <v>257</v>
      </c>
      <c r="AC62" t="s">
        <v>53</v>
      </c>
      <c r="AD62" s="16">
        <f t="shared" si="11"/>
        <v>11</v>
      </c>
      <c r="AE62" s="15">
        <v>0</v>
      </c>
      <c r="AF62" s="15">
        <v>0</v>
      </c>
      <c r="AG62" s="15">
        <v>0</v>
      </c>
      <c r="AH62" s="15">
        <v>0</v>
      </c>
      <c r="AI62" s="15">
        <f t="shared" si="0"/>
        <v>0.65999999999999992</v>
      </c>
      <c r="AJ62" s="15">
        <f t="shared" si="1"/>
        <v>11.66</v>
      </c>
      <c r="AK62" t="s">
        <v>47</v>
      </c>
    </row>
    <row r="63" spans="1:37" ht="15" customHeight="1" x14ac:dyDescent="0.35">
      <c r="A63">
        <v>690929</v>
      </c>
      <c r="B63" t="s">
        <v>37</v>
      </c>
      <c r="C63" t="s">
        <v>38</v>
      </c>
      <c r="D63" s="9" t="s">
        <v>39</v>
      </c>
      <c r="E63" s="10" t="s">
        <v>37</v>
      </c>
      <c r="F63" s="11"/>
      <c r="G63" t="s">
        <v>258</v>
      </c>
      <c r="I63" t="s">
        <v>41</v>
      </c>
      <c r="J63" t="s">
        <v>259</v>
      </c>
      <c r="K63" t="s">
        <v>43</v>
      </c>
      <c r="L63">
        <v>2</v>
      </c>
      <c r="M63" t="s">
        <v>44</v>
      </c>
      <c r="N63" t="s">
        <v>45</v>
      </c>
      <c r="O63" t="s">
        <v>46</v>
      </c>
      <c r="P63" s="5">
        <v>2</v>
      </c>
      <c r="Q63" s="12">
        <v>44744.825706018521</v>
      </c>
      <c r="R63" s="13">
        <v>44746</v>
      </c>
      <c r="T63" t="s">
        <v>47</v>
      </c>
      <c r="U63" t="s">
        <v>48</v>
      </c>
      <c r="V63" t="s">
        <v>67</v>
      </c>
      <c r="Y63" t="s">
        <v>260</v>
      </c>
      <c r="Z63">
        <v>26060</v>
      </c>
      <c r="AA63" t="s">
        <v>47</v>
      </c>
      <c r="AB63" t="s">
        <v>48</v>
      </c>
      <c r="AC63" t="s">
        <v>53</v>
      </c>
      <c r="AD63" s="16">
        <f>IF(P63&lt;=1,7,7+0.8*ROUNDUP(P63-1,0))</f>
        <v>7.8</v>
      </c>
      <c r="AE63" s="15">
        <v>0</v>
      </c>
      <c r="AF63" s="15">
        <v>0</v>
      </c>
      <c r="AG63" s="15">
        <v>0</v>
      </c>
      <c r="AH63" s="15">
        <v>0</v>
      </c>
      <c r="AI63" s="15">
        <f t="shared" si="0"/>
        <v>0.46799999999999997</v>
      </c>
      <c r="AJ63" s="15">
        <f t="shared" si="1"/>
        <v>8.2680000000000007</v>
      </c>
      <c r="AK63" t="s">
        <v>47</v>
      </c>
    </row>
    <row r="64" spans="1:37" ht="15" customHeight="1" x14ac:dyDescent="0.35">
      <c r="A64">
        <v>690929</v>
      </c>
      <c r="B64" t="s">
        <v>37</v>
      </c>
      <c r="C64" t="s">
        <v>38</v>
      </c>
      <c r="D64" s="9" t="s">
        <v>39</v>
      </c>
      <c r="E64" s="10" t="s">
        <v>37</v>
      </c>
      <c r="F64" s="11"/>
      <c r="G64" t="s">
        <v>261</v>
      </c>
      <c r="I64" t="s">
        <v>41</v>
      </c>
      <c r="J64" t="s">
        <v>262</v>
      </c>
      <c r="K64" t="s">
        <v>43</v>
      </c>
      <c r="L64">
        <v>2</v>
      </c>
      <c r="M64" t="s">
        <v>44</v>
      </c>
      <c r="N64" t="s">
        <v>45</v>
      </c>
      <c r="O64" t="s">
        <v>46</v>
      </c>
      <c r="P64" s="5">
        <v>5</v>
      </c>
      <c r="Q64" s="12">
        <v>44744.474965277775</v>
      </c>
      <c r="R64" s="13">
        <v>44746</v>
      </c>
      <c r="T64" t="s">
        <v>47</v>
      </c>
      <c r="U64" t="s">
        <v>48</v>
      </c>
      <c r="V64" t="s">
        <v>62</v>
      </c>
      <c r="Y64" t="s">
        <v>263</v>
      </c>
      <c r="Z64">
        <v>84200</v>
      </c>
      <c r="AA64" t="s">
        <v>47</v>
      </c>
      <c r="AB64" t="s">
        <v>64</v>
      </c>
      <c r="AC64" t="s">
        <v>53</v>
      </c>
      <c r="AD64" s="16">
        <f>IF(P64&lt;=1,7,7+0.8*ROUNDUP(P64-1,0))</f>
        <v>10.199999999999999</v>
      </c>
      <c r="AE64" s="15">
        <v>0</v>
      </c>
      <c r="AF64" s="15">
        <v>0</v>
      </c>
      <c r="AG64" s="15">
        <v>0</v>
      </c>
      <c r="AH64" s="15">
        <v>0</v>
      </c>
      <c r="AI64" s="15">
        <f t="shared" si="0"/>
        <v>0.61199999999999999</v>
      </c>
      <c r="AJ64" s="15">
        <f t="shared" si="1"/>
        <v>10.811999999999999</v>
      </c>
      <c r="AK64" t="s">
        <v>47</v>
      </c>
    </row>
    <row r="65" spans="1:37" ht="15" customHeight="1" x14ac:dyDescent="0.35">
      <c r="A65">
        <v>690929</v>
      </c>
      <c r="B65" t="s">
        <v>37</v>
      </c>
      <c r="C65" t="s">
        <v>38</v>
      </c>
      <c r="D65" s="9" t="s">
        <v>39</v>
      </c>
      <c r="E65" s="10" t="s">
        <v>37</v>
      </c>
      <c r="F65" s="11"/>
      <c r="G65" t="s">
        <v>264</v>
      </c>
      <c r="I65" t="s">
        <v>41</v>
      </c>
      <c r="J65" t="s">
        <v>265</v>
      </c>
      <c r="K65" t="s">
        <v>43</v>
      </c>
      <c r="L65">
        <v>2</v>
      </c>
      <c r="M65" t="s">
        <v>44</v>
      </c>
      <c r="N65" t="s">
        <v>45</v>
      </c>
      <c r="O65" t="s">
        <v>46</v>
      </c>
      <c r="P65" s="5">
        <v>1</v>
      </c>
      <c r="Q65" s="12">
        <v>44744.81962962963</v>
      </c>
      <c r="R65" s="13">
        <v>44746</v>
      </c>
      <c r="T65" t="s">
        <v>47</v>
      </c>
      <c r="U65" t="s">
        <v>48</v>
      </c>
      <c r="V65" t="s">
        <v>76</v>
      </c>
      <c r="Y65" t="s">
        <v>266</v>
      </c>
      <c r="Z65">
        <v>24000</v>
      </c>
      <c r="AA65" t="s">
        <v>47</v>
      </c>
      <c r="AB65" t="s">
        <v>48</v>
      </c>
      <c r="AC65" t="s">
        <v>53</v>
      </c>
      <c r="AD65" s="16">
        <f>IF(P65&lt;=1,7,7+0.8*ROUNDUP(P65-1,0))</f>
        <v>7</v>
      </c>
      <c r="AE65" s="15">
        <v>0</v>
      </c>
      <c r="AF65" s="15">
        <v>0</v>
      </c>
      <c r="AG65" s="15">
        <v>0</v>
      </c>
      <c r="AH65" s="15">
        <v>0</v>
      </c>
      <c r="AI65" s="15">
        <f t="shared" si="0"/>
        <v>0.42</v>
      </c>
      <c r="AJ65" s="15">
        <f t="shared" si="1"/>
        <v>7.42</v>
      </c>
      <c r="AK65" t="s">
        <v>47</v>
      </c>
    </row>
    <row r="66" spans="1:37" ht="15" customHeight="1" x14ac:dyDescent="0.35">
      <c r="A66">
        <v>690929</v>
      </c>
      <c r="B66" t="s">
        <v>37</v>
      </c>
      <c r="C66" t="s">
        <v>38</v>
      </c>
      <c r="D66" s="9" t="s">
        <v>39</v>
      </c>
      <c r="E66" s="10" t="s">
        <v>37</v>
      </c>
      <c r="F66" s="11"/>
      <c r="G66" t="s">
        <v>267</v>
      </c>
      <c r="I66" t="s">
        <v>41</v>
      </c>
      <c r="J66" t="s">
        <v>268</v>
      </c>
      <c r="K66" t="s">
        <v>43</v>
      </c>
      <c r="L66">
        <v>2</v>
      </c>
      <c r="M66" t="s">
        <v>44</v>
      </c>
      <c r="N66" t="s">
        <v>45</v>
      </c>
      <c r="O66" t="s">
        <v>46</v>
      </c>
      <c r="P66" s="5">
        <v>5</v>
      </c>
      <c r="Q66" s="12">
        <v>44743.453657407408</v>
      </c>
      <c r="R66" s="13">
        <v>44746</v>
      </c>
      <c r="T66" t="s">
        <v>47</v>
      </c>
      <c r="U66" t="s">
        <v>56</v>
      </c>
      <c r="V66" t="s">
        <v>96</v>
      </c>
      <c r="Y66" t="s">
        <v>269</v>
      </c>
      <c r="Z66">
        <v>16450</v>
      </c>
      <c r="AA66" t="s">
        <v>47</v>
      </c>
      <c r="AB66" t="s">
        <v>270</v>
      </c>
      <c r="AC66" t="s">
        <v>53</v>
      </c>
      <c r="AD66" s="16">
        <f t="shared" ref="AD66:AD68" si="12">IF(P66&lt;=1,7,7+0.8*ROUNDUP(P66-1,0))</f>
        <v>10.199999999999999</v>
      </c>
      <c r="AE66" s="15">
        <v>0</v>
      </c>
      <c r="AF66" s="15">
        <v>0</v>
      </c>
      <c r="AG66" s="15">
        <v>0</v>
      </c>
      <c r="AH66" s="15">
        <v>0</v>
      </c>
      <c r="AI66" s="15">
        <f t="shared" ref="AI66:AI129" si="13">(AD66+AF66+AH66)*6%</f>
        <v>0.61199999999999999</v>
      </c>
      <c r="AJ66" s="15">
        <f t="shared" ref="AJ66:AJ129" si="14">AD66+AF66+AH66+AI66</f>
        <v>10.811999999999999</v>
      </c>
      <c r="AK66" t="s">
        <v>47</v>
      </c>
    </row>
    <row r="67" spans="1:37" ht="15" customHeight="1" x14ac:dyDescent="0.35">
      <c r="A67">
        <v>690929</v>
      </c>
      <c r="B67" t="s">
        <v>37</v>
      </c>
      <c r="C67" t="s">
        <v>38</v>
      </c>
      <c r="D67" s="9" t="s">
        <v>39</v>
      </c>
      <c r="E67" s="10" t="s">
        <v>37</v>
      </c>
      <c r="F67" s="11"/>
      <c r="G67" t="s">
        <v>271</v>
      </c>
      <c r="I67" t="s">
        <v>41</v>
      </c>
      <c r="J67" t="s">
        <v>272</v>
      </c>
      <c r="K67" t="s">
        <v>43</v>
      </c>
      <c r="L67">
        <v>2</v>
      </c>
      <c r="M67" t="s">
        <v>44</v>
      </c>
      <c r="N67" t="s">
        <v>45</v>
      </c>
      <c r="O67" t="s">
        <v>46</v>
      </c>
      <c r="P67" s="5">
        <v>1</v>
      </c>
      <c r="Q67" s="12">
        <v>44744.445347222223</v>
      </c>
      <c r="R67" s="13">
        <v>44746</v>
      </c>
      <c r="T67" t="s">
        <v>47</v>
      </c>
      <c r="U67" t="s">
        <v>48</v>
      </c>
      <c r="V67" t="s">
        <v>62</v>
      </c>
      <c r="Y67" t="s">
        <v>273</v>
      </c>
      <c r="Z67">
        <v>86800</v>
      </c>
      <c r="AA67" t="s">
        <v>47</v>
      </c>
      <c r="AB67" t="s">
        <v>64</v>
      </c>
      <c r="AC67" t="s">
        <v>53</v>
      </c>
      <c r="AD67" s="16">
        <f t="shared" si="12"/>
        <v>7</v>
      </c>
      <c r="AE67" s="15">
        <v>0</v>
      </c>
      <c r="AF67" s="15">
        <v>0</v>
      </c>
      <c r="AG67" s="15">
        <v>0</v>
      </c>
      <c r="AH67" s="15">
        <v>0</v>
      </c>
      <c r="AI67" s="15">
        <f t="shared" si="13"/>
        <v>0.42</v>
      </c>
      <c r="AJ67" s="15">
        <f t="shared" si="14"/>
        <v>7.42</v>
      </c>
      <c r="AK67" t="s">
        <v>47</v>
      </c>
    </row>
    <row r="68" spans="1:37" ht="15" customHeight="1" x14ac:dyDescent="0.35">
      <c r="A68">
        <v>690929</v>
      </c>
      <c r="B68" t="s">
        <v>37</v>
      </c>
      <c r="C68" t="s">
        <v>38</v>
      </c>
      <c r="D68" s="9" t="s">
        <v>39</v>
      </c>
      <c r="E68" s="10" t="s">
        <v>37</v>
      </c>
      <c r="F68" s="11"/>
      <c r="G68" t="s">
        <v>274</v>
      </c>
      <c r="I68" t="s">
        <v>41</v>
      </c>
      <c r="J68" t="s">
        <v>275</v>
      </c>
      <c r="K68" t="s">
        <v>43</v>
      </c>
      <c r="L68">
        <v>2</v>
      </c>
      <c r="M68" t="s">
        <v>44</v>
      </c>
      <c r="N68" t="s">
        <v>45</v>
      </c>
      <c r="O68" t="s">
        <v>46</v>
      </c>
      <c r="P68" s="5">
        <v>1</v>
      </c>
      <c r="Q68" s="12">
        <v>44744.827048611114</v>
      </c>
      <c r="R68" s="13">
        <v>44746</v>
      </c>
      <c r="T68" t="s">
        <v>47</v>
      </c>
      <c r="U68" t="s">
        <v>48</v>
      </c>
      <c r="V68" t="s">
        <v>96</v>
      </c>
      <c r="Y68" t="s">
        <v>276</v>
      </c>
      <c r="Z68">
        <v>18500</v>
      </c>
      <c r="AA68" t="s">
        <v>47</v>
      </c>
      <c r="AB68" t="s">
        <v>56</v>
      </c>
      <c r="AC68" t="s">
        <v>53</v>
      </c>
      <c r="AD68" s="16">
        <f t="shared" si="12"/>
        <v>7</v>
      </c>
      <c r="AE68" s="15">
        <v>0</v>
      </c>
      <c r="AF68" s="15">
        <v>0</v>
      </c>
      <c r="AG68" s="15">
        <v>0</v>
      </c>
      <c r="AH68" s="15">
        <v>0</v>
      </c>
      <c r="AI68" s="15">
        <f t="shared" si="13"/>
        <v>0.42</v>
      </c>
      <c r="AJ68" s="15">
        <f t="shared" si="14"/>
        <v>7.42</v>
      </c>
      <c r="AK68" t="s">
        <v>47</v>
      </c>
    </row>
    <row r="69" spans="1:37" ht="15" customHeight="1" x14ac:dyDescent="0.35">
      <c r="A69">
        <v>690929</v>
      </c>
      <c r="B69" t="s">
        <v>37</v>
      </c>
      <c r="C69" t="s">
        <v>38</v>
      </c>
      <c r="D69" s="9" t="s">
        <v>39</v>
      </c>
      <c r="E69" s="10" t="s">
        <v>37</v>
      </c>
      <c r="F69" s="11"/>
      <c r="G69" t="s">
        <v>277</v>
      </c>
      <c r="I69" t="s">
        <v>41</v>
      </c>
      <c r="J69" t="s">
        <v>278</v>
      </c>
      <c r="K69" t="s">
        <v>43</v>
      </c>
      <c r="L69">
        <v>2</v>
      </c>
      <c r="M69" t="s">
        <v>44</v>
      </c>
      <c r="N69" t="s">
        <v>45</v>
      </c>
      <c r="O69" t="s">
        <v>46</v>
      </c>
      <c r="P69" s="5">
        <v>1</v>
      </c>
      <c r="Q69" s="12">
        <v>44744.806990740741</v>
      </c>
      <c r="R69" s="13">
        <v>44746</v>
      </c>
      <c r="T69" t="s">
        <v>47</v>
      </c>
      <c r="U69" t="s">
        <v>48</v>
      </c>
      <c r="V69" t="s">
        <v>76</v>
      </c>
      <c r="Y69" t="s">
        <v>279</v>
      </c>
      <c r="Z69">
        <v>21400</v>
      </c>
      <c r="AA69" t="s">
        <v>47</v>
      </c>
      <c r="AB69" t="s">
        <v>48</v>
      </c>
      <c r="AC69" t="s">
        <v>53</v>
      </c>
      <c r="AD69" s="16">
        <f>IF(P69&lt;=1,7,7+0.8*ROUNDUP(P69-1,0))</f>
        <v>7</v>
      </c>
      <c r="AE69" s="15">
        <v>0</v>
      </c>
      <c r="AF69" s="15">
        <v>0</v>
      </c>
      <c r="AG69" s="15">
        <v>0</v>
      </c>
      <c r="AH69" s="15">
        <v>0</v>
      </c>
      <c r="AI69" s="15">
        <f t="shared" si="13"/>
        <v>0.42</v>
      </c>
      <c r="AJ69" s="15">
        <f t="shared" si="14"/>
        <v>7.42</v>
      </c>
      <c r="AK69" t="s">
        <v>47</v>
      </c>
    </row>
    <row r="70" spans="1:37" ht="15" customHeight="1" x14ac:dyDescent="0.35">
      <c r="A70">
        <v>690929</v>
      </c>
      <c r="B70" t="s">
        <v>37</v>
      </c>
      <c r="C70" t="s">
        <v>38</v>
      </c>
      <c r="D70" s="9" t="s">
        <v>39</v>
      </c>
      <c r="E70" s="10" t="s">
        <v>37</v>
      </c>
      <c r="F70" s="11"/>
      <c r="G70" t="s">
        <v>280</v>
      </c>
      <c r="I70" t="s">
        <v>41</v>
      </c>
      <c r="J70" t="s">
        <v>281</v>
      </c>
      <c r="K70" t="s">
        <v>43</v>
      </c>
      <c r="L70">
        <v>2</v>
      </c>
      <c r="M70" t="s">
        <v>44</v>
      </c>
      <c r="N70" t="s">
        <v>45</v>
      </c>
      <c r="O70" t="s">
        <v>46</v>
      </c>
      <c r="P70" s="5">
        <v>1</v>
      </c>
      <c r="Q70" s="12">
        <v>44744.815995370373</v>
      </c>
      <c r="R70" s="13">
        <v>44746</v>
      </c>
      <c r="T70" t="s">
        <v>47</v>
      </c>
      <c r="U70" t="s">
        <v>48</v>
      </c>
      <c r="V70" t="s">
        <v>67</v>
      </c>
      <c r="Y70" t="s">
        <v>282</v>
      </c>
      <c r="Z70">
        <v>26400</v>
      </c>
      <c r="AA70" t="s">
        <v>47</v>
      </c>
      <c r="AB70" t="s">
        <v>48</v>
      </c>
      <c r="AC70" t="s">
        <v>53</v>
      </c>
      <c r="AD70" s="16">
        <f>IF(P70&lt;=1,7,7+0.8*ROUNDUP(P70-1,0))</f>
        <v>7</v>
      </c>
      <c r="AE70" s="15">
        <v>0</v>
      </c>
      <c r="AF70" s="15">
        <v>0</v>
      </c>
      <c r="AG70" s="15">
        <v>0</v>
      </c>
      <c r="AH70" s="15">
        <v>0</v>
      </c>
      <c r="AI70" s="15">
        <f t="shared" si="13"/>
        <v>0.42</v>
      </c>
      <c r="AJ70" s="15">
        <f t="shared" si="14"/>
        <v>7.42</v>
      </c>
      <c r="AK70" t="s">
        <v>47</v>
      </c>
    </row>
    <row r="71" spans="1:37" ht="15" customHeight="1" x14ac:dyDescent="0.35">
      <c r="A71">
        <v>690929</v>
      </c>
      <c r="B71" t="s">
        <v>37</v>
      </c>
      <c r="C71" t="s">
        <v>38</v>
      </c>
      <c r="D71" s="9" t="s">
        <v>39</v>
      </c>
      <c r="E71" s="10" t="s">
        <v>37</v>
      </c>
      <c r="F71" s="11"/>
      <c r="G71" t="s">
        <v>283</v>
      </c>
      <c r="I71" t="s">
        <v>41</v>
      </c>
      <c r="J71" t="s">
        <v>284</v>
      </c>
      <c r="K71" t="s">
        <v>43</v>
      </c>
      <c r="L71">
        <v>2</v>
      </c>
      <c r="M71" t="s">
        <v>44</v>
      </c>
      <c r="N71" t="s">
        <v>45</v>
      </c>
      <c r="O71" t="s">
        <v>46</v>
      </c>
      <c r="P71" s="5">
        <v>1</v>
      </c>
      <c r="Q71" s="12">
        <v>44744.840995370374</v>
      </c>
      <c r="R71" s="13">
        <v>44746</v>
      </c>
      <c r="T71" t="s">
        <v>47</v>
      </c>
      <c r="U71" t="s">
        <v>48</v>
      </c>
      <c r="V71" t="s">
        <v>67</v>
      </c>
      <c r="Y71" t="s">
        <v>285</v>
      </c>
      <c r="Z71">
        <v>26080</v>
      </c>
      <c r="AA71" t="s">
        <v>47</v>
      </c>
      <c r="AB71" t="s">
        <v>48</v>
      </c>
      <c r="AC71" t="s">
        <v>53</v>
      </c>
      <c r="AD71" s="16">
        <f>IF(P71&lt;=1,7,7+0.8*ROUNDUP(P71-1,0))</f>
        <v>7</v>
      </c>
      <c r="AE71" s="15">
        <v>0</v>
      </c>
      <c r="AF71" s="15">
        <v>0</v>
      </c>
      <c r="AG71" s="15">
        <v>0</v>
      </c>
      <c r="AH71" s="15">
        <v>0</v>
      </c>
      <c r="AI71" s="15">
        <f t="shared" si="13"/>
        <v>0.42</v>
      </c>
      <c r="AJ71" s="15">
        <f t="shared" si="14"/>
        <v>7.42</v>
      </c>
      <c r="AK71" t="s">
        <v>47</v>
      </c>
    </row>
    <row r="72" spans="1:37" ht="15" customHeight="1" x14ac:dyDescent="0.35">
      <c r="A72">
        <v>690929</v>
      </c>
      <c r="B72" t="s">
        <v>37</v>
      </c>
      <c r="C72" t="s">
        <v>38</v>
      </c>
      <c r="D72" s="9" t="s">
        <v>39</v>
      </c>
      <c r="E72" s="10" t="s">
        <v>37</v>
      </c>
      <c r="F72" s="11"/>
      <c r="G72" t="s">
        <v>286</v>
      </c>
      <c r="I72" t="s">
        <v>41</v>
      </c>
      <c r="J72" t="s">
        <v>287</v>
      </c>
      <c r="K72" t="s">
        <v>43</v>
      </c>
      <c r="L72">
        <v>2</v>
      </c>
      <c r="M72" t="s">
        <v>44</v>
      </c>
      <c r="N72" t="s">
        <v>45</v>
      </c>
      <c r="O72" t="s">
        <v>46</v>
      </c>
      <c r="P72" s="5">
        <v>1</v>
      </c>
      <c r="Q72" s="12">
        <v>44744.605821759258</v>
      </c>
      <c r="R72" s="13">
        <v>44746</v>
      </c>
      <c r="T72" t="s">
        <v>47</v>
      </c>
      <c r="U72" t="s">
        <v>48</v>
      </c>
      <c r="V72" t="s">
        <v>114</v>
      </c>
      <c r="Y72" t="s">
        <v>288</v>
      </c>
      <c r="Z72">
        <v>42100</v>
      </c>
      <c r="AA72" t="s">
        <v>47</v>
      </c>
      <c r="AB72" t="s">
        <v>64</v>
      </c>
      <c r="AC72" t="s">
        <v>53</v>
      </c>
      <c r="AD72" s="16">
        <f t="shared" ref="AD72:AD76" si="15">IF(P72&lt;=1,7,7+0.8*ROUNDUP(P72-1,0))</f>
        <v>7</v>
      </c>
      <c r="AE72" s="15">
        <v>0</v>
      </c>
      <c r="AF72" s="15">
        <v>0</v>
      </c>
      <c r="AG72" s="15">
        <v>0</v>
      </c>
      <c r="AH72" s="15">
        <v>0</v>
      </c>
      <c r="AI72" s="15">
        <f t="shared" si="13"/>
        <v>0.42</v>
      </c>
      <c r="AJ72" s="15">
        <f t="shared" si="14"/>
        <v>7.42</v>
      </c>
      <c r="AK72" t="s">
        <v>47</v>
      </c>
    </row>
    <row r="73" spans="1:37" ht="15" customHeight="1" x14ac:dyDescent="0.35">
      <c r="A73">
        <v>690929</v>
      </c>
      <c r="B73" t="s">
        <v>37</v>
      </c>
      <c r="C73" t="s">
        <v>38</v>
      </c>
      <c r="D73" s="9" t="s">
        <v>39</v>
      </c>
      <c r="E73" s="10" t="s">
        <v>37</v>
      </c>
      <c r="F73" s="11"/>
      <c r="G73" t="s">
        <v>289</v>
      </c>
      <c r="I73" t="s">
        <v>41</v>
      </c>
      <c r="J73" t="s">
        <v>290</v>
      </c>
      <c r="K73" t="s">
        <v>43</v>
      </c>
      <c r="L73">
        <v>2</v>
      </c>
      <c r="M73" t="s">
        <v>44</v>
      </c>
      <c r="N73" t="s">
        <v>45</v>
      </c>
      <c r="O73" t="s">
        <v>46</v>
      </c>
      <c r="P73" s="5">
        <v>4</v>
      </c>
      <c r="Q73" s="12">
        <v>44744.495868055557</v>
      </c>
      <c r="R73" s="13">
        <v>44746</v>
      </c>
      <c r="T73" t="s">
        <v>47</v>
      </c>
      <c r="U73" t="s">
        <v>48</v>
      </c>
      <c r="V73" t="s">
        <v>138</v>
      </c>
      <c r="Y73" t="s">
        <v>291</v>
      </c>
      <c r="Z73">
        <v>70450</v>
      </c>
      <c r="AA73" t="s">
        <v>47</v>
      </c>
      <c r="AB73" t="s">
        <v>64</v>
      </c>
      <c r="AC73" t="s">
        <v>53</v>
      </c>
      <c r="AD73" s="16">
        <f t="shared" si="15"/>
        <v>9.4</v>
      </c>
      <c r="AE73" s="15">
        <v>0</v>
      </c>
      <c r="AF73" s="15">
        <v>0</v>
      </c>
      <c r="AG73" s="15">
        <v>0</v>
      </c>
      <c r="AH73" s="15">
        <v>0</v>
      </c>
      <c r="AI73" s="15">
        <f t="shared" si="13"/>
        <v>0.56399999999999995</v>
      </c>
      <c r="AJ73" s="15">
        <f t="shared" si="14"/>
        <v>9.9640000000000004</v>
      </c>
      <c r="AK73" t="s">
        <v>47</v>
      </c>
    </row>
    <row r="74" spans="1:37" ht="15" customHeight="1" x14ac:dyDescent="0.35">
      <c r="A74">
        <v>690929</v>
      </c>
      <c r="B74" t="s">
        <v>37</v>
      </c>
      <c r="C74" t="s">
        <v>38</v>
      </c>
      <c r="D74" s="9" t="s">
        <v>39</v>
      </c>
      <c r="E74" s="10" t="s">
        <v>37</v>
      </c>
      <c r="F74" s="11"/>
      <c r="G74" t="s">
        <v>292</v>
      </c>
      <c r="I74" t="s">
        <v>41</v>
      </c>
      <c r="J74" t="s">
        <v>293</v>
      </c>
      <c r="K74" t="s">
        <v>43</v>
      </c>
      <c r="L74">
        <v>2</v>
      </c>
      <c r="M74" t="s">
        <v>44</v>
      </c>
      <c r="N74" t="s">
        <v>45</v>
      </c>
      <c r="O74" t="s">
        <v>46</v>
      </c>
      <c r="P74" s="5">
        <v>1</v>
      </c>
      <c r="Q74" s="12">
        <v>44744.63380787037</v>
      </c>
      <c r="R74" s="13">
        <v>44746</v>
      </c>
      <c r="T74" t="s">
        <v>47</v>
      </c>
      <c r="U74" t="s">
        <v>48</v>
      </c>
      <c r="V74" t="s">
        <v>176</v>
      </c>
      <c r="Y74" t="s">
        <v>294</v>
      </c>
      <c r="Z74">
        <v>77500</v>
      </c>
      <c r="AA74" t="s">
        <v>47</v>
      </c>
      <c r="AB74" t="s">
        <v>64</v>
      </c>
      <c r="AC74" t="s">
        <v>53</v>
      </c>
      <c r="AD74" s="16">
        <f t="shared" si="15"/>
        <v>7</v>
      </c>
      <c r="AE74" s="15">
        <v>0</v>
      </c>
      <c r="AF74" s="15">
        <v>0</v>
      </c>
      <c r="AG74" s="15">
        <v>0</v>
      </c>
      <c r="AH74" s="15">
        <v>0</v>
      </c>
      <c r="AI74" s="15">
        <f t="shared" si="13"/>
        <v>0.42</v>
      </c>
      <c r="AJ74" s="15">
        <f t="shared" si="14"/>
        <v>7.42</v>
      </c>
      <c r="AK74" t="s">
        <v>47</v>
      </c>
    </row>
    <row r="75" spans="1:37" ht="15" customHeight="1" x14ac:dyDescent="0.35">
      <c r="A75">
        <v>690929</v>
      </c>
      <c r="B75" t="s">
        <v>37</v>
      </c>
      <c r="C75" t="s">
        <v>38</v>
      </c>
      <c r="D75" s="9" t="s">
        <v>39</v>
      </c>
      <c r="E75" s="10" t="s">
        <v>37</v>
      </c>
      <c r="F75" s="11"/>
      <c r="G75" t="s">
        <v>295</v>
      </c>
      <c r="I75" t="s">
        <v>41</v>
      </c>
      <c r="J75" t="s">
        <v>296</v>
      </c>
      <c r="K75" t="s">
        <v>43</v>
      </c>
      <c r="L75">
        <v>2</v>
      </c>
      <c r="M75" t="s">
        <v>44</v>
      </c>
      <c r="N75" t="s">
        <v>45</v>
      </c>
      <c r="O75" t="s">
        <v>46</v>
      </c>
      <c r="P75" s="5">
        <v>1</v>
      </c>
      <c r="Q75" s="12">
        <v>44744.772523148145</v>
      </c>
      <c r="R75" s="13">
        <v>44746</v>
      </c>
      <c r="T75" t="s">
        <v>47</v>
      </c>
      <c r="U75" t="s">
        <v>48</v>
      </c>
      <c r="V75" t="s">
        <v>76</v>
      </c>
      <c r="Y75" t="s">
        <v>297</v>
      </c>
      <c r="Z75">
        <v>21020</v>
      </c>
      <c r="AA75" t="s">
        <v>47</v>
      </c>
      <c r="AB75" t="s">
        <v>48</v>
      </c>
      <c r="AC75" t="s">
        <v>53</v>
      </c>
      <c r="AD75" s="16">
        <f t="shared" si="15"/>
        <v>7</v>
      </c>
      <c r="AE75" s="15">
        <v>0</v>
      </c>
      <c r="AF75" s="15">
        <v>0</v>
      </c>
      <c r="AG75" s="15">
        <v>0</v>
      </c>
      <c r="AH75" s="15">
        <v>0</v>
      </c>
      <c r="AI75" s="15">
        <f t="shared" si="13"/>
        <v>0.42</v>
      </c>
      <c r="AJ75" s="15">
        <f t="shared" si="14"/>
        <v>7.42</v>
      </c>
      <c r="AK75" t="s">
        <v>47</v>
      </c>
    </row>
    <row r="76" spans="1:37" ht="15" customHeight="1" x14ac:dyDescent="0.35">
      <c r="A76">
        <v>690929</v>
      </c>
      <c r="B76" t="s">
        <v>37</v>
      </c>
      <c r="C76" t="s">
        <v>38</v>
      </c>
      <c r="D76" s="9" t="s">
        <v>39</v>
      </c>
      <c r="E76" s="10" t="s">
        <v>37</v>
      </c>
      <c r="F76" s="11"/>
      <c r="G76" t="s">
        <v>298</v>
      </c>
      <c r="I76" t="s">
        <v>41</v>
      </c>
      <c r="J76" t="s">
        <v>299</v>
      </c>
      <c r="K76" t="s">
        <v>43</v>
      </c>
      <c r="L76">
        <v>2</v>
      </c>
      <c r="M76" t="s">
        <v>44</v>
      </c>
      <c r="N76" t="s">
        <v>45</v>
      </c>
      <c r="O76" t="s">
        <v>46</v>
      </c>
      <c r="P76" s="5">
        <v>1</v>
      </c>
      <c r="Q76" s="12">
        <v>44744.748530092591</v>
      </c>
      <c r="R76" s="13">
        <v>44746</v>
      </c>
      <c r="T76" t="s">
        <v>47</v>
      </c>
      <c r="U76" t="s">
        <v>48</v>
      </c>
      <c r="V76" t="s">
        <v>114</v>
      </c>
      <c r="Y76" t="s">
        <v>300</v>
      </c>
      <c r="Z76">
        <v>62502</v>
      </c>
      <c r="AA76" t="s">
        <v>47</v>
      </c>
      <c r="AB76" t="s">
        <v>64</v>
      </c>
      <c r="AC76" t="s">
        <v>53</v>
      </c>
      <c r="AD76" s="16">
        <f t="shared" si="15"/>
        <v>7</v>
      </c>
      <c r="AE76" s="15">
        <v>0</v>
      </c>
      <c r="AF76" s="15">
        <v>0</v>
      </c>
      <c r="AG76" s="15">
        <v>0</v>
      </c>
      <c r="AH76" s="15">
        <v>0</v>
      </c>
      <c r="AI76" s="15">
        <f t="shared" si="13"/>
        <v>0.42</v>
      </c>
      <c r="AJ76" s="15">
        <f t="shared" si="14"/>
        <v>7.42</v>
      </c>
      <c r="AK76" t="s">
        <v>47</v>
      </c>
    </row>
    <row r="77" spans="1:37" ht="15" customHeight="1" x14ac:dyDescent="0.35">
      <c r="A77">
        <v>690929</v>
      </c>
      <c r="B77" t="s">
        <v>37</v>
      </c>
      <c r="C77" t="s">
        <v>38</v>
      </c>
      <c r="D77" s="9" t="s">
        <v>39</v>
      </c>
      <c r="E77" s="10" t="s">
        <v>37</v>
      </c>
      <c r="F77" s="11"/>
      <c r="G77" t="s">
        <v>301</v>
      </c>
      <c r="I77" t="s">
        <v>41</v>
      </c>
      <c r="J77" t="s">
        <v>302</v>
      </c>
      <c r="K77" t="s">
        <v>43</v>
      </c>
      <c r="L77">
        <v>2</v>
      </c>
      <c r="M77" t="s">
        <v>44</v>
      </c>
      <c r="N77" t="s">
        <v>45</v>
      </c>
      <c r="O77" t="s">
        <v>46</v>
      </c>
      <c r="P77" s="5">
        <v>14</v>
      </c>
      <c r="Q77" s="12">
        <v>44744.501504629632</v>
      </c>
      <c r="R77" s="13">
        <v>44746</v>
      </c>
      <c r="T77" t="s">
        <v>47</v>
      </c>
      <c r="U77" t="s">
        <v>48</v>
      </c>
      <c r="V77" t="s">
        <v>67</v>
      </c>
      <c r="Y77" t="s">
        <v>303</v>
      </c>
      <c r="Z77">
        <v>28700</v>
      </c>
      <c r="AA77" t="s">
        <v>47</v>
      </c>
      <c r="AB77" t="s">
        <v>64</v>
      </c>
      <c r="AC77" t="s">
        <v>53</v>
      </c>
      <c r="AD77" s="16">
        <f>IF(P77&lt;=1,7,7+0.8*ROUNDUP(P77-1,0))</f>
        <v>17.399999999999999</v>
      </c>
      <c r="AE77" s="15">
        <v>0</v>
      </c>
      <c r="AF77" s="15">
        <v>0</v>
      </c>
      <c r="AG77" s="15">
        <v>0</v>
      </c>
      <c r="AH77" s="15">
        <v>0</v>
      </c>
      <c r="AI77" s="15">
        <f t="shared" si="13"/>
        <v>1.0439999999999998</v>
      </c>
      <c r="AJ77" s="15">
        <f t="shared" si="14"/>
        <v>18.443999999999999</v>
      </c>
      <c r="AK77" t="s">
        <v>47</v>
      </c>
    </row>
    <row r="78" spans="1:37" ht="15" customHeight="1" x14ac:dyDescent="0.35">
      <c r="A78">
        <v>690929</v>
      </c>
      <c r="B78" t="s">
        <v>37</v>
      </c>
      <c r="C78" t="s">
        <v>38</v>
      </c>
      <c r="D78" s="9" t="s">
        <v>39</v>
      </c>
      <c r="E78" s="10" t="s">
        <v>37</v>
      </c>
      <c r="F78" s="11"/>
      <c r="G78" t="s">
        <v>304</v>
      </c>
      <c r="I78" t="s">
        <v>41</v>
      </c>
      <c r="J78" t="s">
        <v>305</v>
      </c>
      <c r="K78" t="s">
        <v>43</v>
      </c>
      <c r="L78">
        <v>2</v>
      </c>
      <c r="M78" t="s">
        <v>44</v>
      </c>
      <c r="N78" t="s">
        <v>45</v>
      </c>
      <c r="O78" t="s">
        <v>46</v>
      </c>
      <c r="P78" s="5">
        <v>1</v>
      </c>
      <c r="Q78" s="12">
        <v>44742.734293981484</v>
      </c>
      <c r="R78" s="13">
        <v>44746</v>
      </c>
      <c r="T78" t="s">
        <v>47</v>
      </c>
      <c r="U78" t="s">
        <v>56</v>
      </c>
      <c r="V78" t="s">
        <v>71</v>
      </c>
      <c r="Y78" t="s">
        <v>306</v>
      </c>
      <c r="Z78">
        <v>7000</v>
      </c>
      <c r="AA78" t="s">
        <v>47</v>
      </c>
      <c r="AB78" t="s">
        <v>64</v>
      </c>
      <c r="AC78" t="s">
        <v>53</v>
      </c>
      <c r="AD78" s="16">
        <f>IF(P78&lt;=1,4.9,4.9+0.8*ROUNDUP(P78-1,0))</f>
        <v>4.9000000000000004</v>
      </c>
      <c r="AE78" s="15">
        <v>0</v>
      </c>
      <c r="AF78" s="15">
        <v>0</v>
      </c>
      <c r="AG78" s="15">
        <v>0</v>
      </c>
      <c r="AH78" s="15">
        <v>0</v>
      </c>
      <c r="AI78" s="15">
        <f t="shared" si="13"/>
        <v>0.29399999999999998</v>
      </c>
      <c r="AJ78" s="15">
        <f t="shared" si="14"/>
        <v>5.194</v>
      </c>
      <c r="AK78" t="s">
        <v>47</v>
      </c>
    </row>
    <row r="79" spans="1:37" ht="15" customHeight="1" x14ac:dyDescent="0.35">
      <c r="A79">
        <v>690929</v>
      </c>
      <c r="B79" t="s">
        <v>37</v>
      </c>
      <c r="C79" t="s">
        <v>38</v>
      </c>
      <c r="D79" s="9" t="s">
        <v>39</v>
      </c>
      <c r="E79" s="10" t="s">
        <v>37</v>
      </c>
      <c r="F79" s="11"/>
      <c r="G79" t="s">
        <v>307</v>
      </c>
      <c r="I79" t="s">
        <v>41</v>
      </c>
      <c r="J79" t="s">
        <v>308</v>
      </c>
      <c r="K79" t="s">
        <v>43</v>
      </c>
      <c r="L79">
        <v>2</v>
      </c>
      <c r="M79" t="s">
        <v>44</v>
      </c>
      <c r="N79" t="s">
        <v>45</v>
      </c>
      <c r="O79" t="s">
        <v>46</v>
      </c>
      <c r="P79" s="5">
        <v>1</v>
      </c>
      <c r="Q79" s="12">
        <v>44744.743854166663</v>
      </c>
      <c r="R79" s="13">
        <v>44746</v>
      </c>
      <c r="T79" t="s">
        <v>47</v>
      </c>
      <c r="U79" t="s">
        <v>48</v>
      </c>
      <c r="V79" t="s">
        <v>114</v>
      </c>
      <c r="Y79" t="s">
        <v>309</v>
      </c>
      <c r="Z79">
        <v>45600</v>
      </c>
      <c r="AA79" t="s">
        <v>47</v>
      </c>
      <c r="AB79" t="s">
        <v>64</v>
      </c>
      <c r="AC79" t="s">
        <v>53</v>
      </c>
      <c r="AD79" s="16">
        <f>IF(P79&lt;=1,7,7+0.8*ROUNDUP(P79-1,0))</f>
        <v>7</v>
      </c>
      <c r="AE79" s="15">
        <v>0</v>
      </c>
      <c r="AF79" s="15">
        <v>0</v>
      </c>
      <c r="AG79" s="15">
        <v>0</v>
      </c>
      <c r="AH79" s="15">
        <v>0</v>
      </c>
      <c r="AI79" s="15">
        <f t="shared" si="13"/>
        <v>0.42</v>
      </c>
      <c r="AJ79" s="15">
        <f t="shared" si="14"/>
        <v>7.42</v>
      </c>
      <c r="AK79" t="s">
        <v>47</v>
      </c>
    </row>
    <row r="80" spans="1:37" ht="15" customHeight="1" x14ac:dyDescent="0.35">
      <c r="A80">
        <v>690929</v>
      </c>
      <c r="B80" t="s">
        <v>37</v>
      </c>
      <c r="C80" t="s">
        <v>38</v>
      </c>
      <c r="D80" s="9" t="s">
        <v>39</v>
      </c>
      <c r="E80" s="10" t="s">
        <v>37</v>
      </c>
      <c r="F80" s="11"/>
      <c r="G80" t="s">
        <v>310</v>
      </c>
      <c r="I80" t="s">
        <v>41</v>
      </c>
      <c r="J80" t="s">
        <v>311</v>
      </c>
      <c r="K80" t="s">
        <v>43</v>
      </c>
      <c r="L80">
        <v>2</v>
      </c>
      <c r="M80" t="s">
        <v>44</v>
      </c>
      <c r="N80" t="s">
        <v>45</v>
      </c>
      <c r="O80" t="s">
        <v>46</v>
      </c>
      <c r="P80" s="5">
        <v>1</v>
      </c>
      <c r="Q80" s="12">
        <v>44744.740810185183</v>
      </c>
      <c r="R80" s="13">
        <v>44746</v>
      </c>
      <c r="T80" t="s">
        <v>47</v>
      </c>
      <c r="U80" t="s">
        <v>48</v>
      </c>
      <c r="V80" t="s">
        <v>96</v>
      </c>
      <c r="Y80" t="s">
        <v>312</v>
      </c>
      <c r="Z80">
        <v>17060</v>
      </c>
      <c r="AA80" t="s">
        <v>47</v>
      </c>
      <c r="AB80" t="s">
        <v>56</v>
      </c>
      <c r="AC80" t="s">
        <v>53</v>
      </c>
      <c r="AD80" s="16">
        <f>IF(P80&lt;=1,7,7+0.8*ROUNDUP(P80-1,0))</f>
        <v>7</v>
      </c>
      <c r="AE80" s="15">
        <v>0</v>
      </c>
      <c r="AF80" s="15">
        <v>0</v>
      </c>
      <c r="AG80" s="15">
        <v>0</v>
      </c>
      <c r="AH80" s="15">
        <v>0</v>
      </c>
      <c r="AI80" s="15">
        <f t="shared" si="13"/>
        <v>0.42</v>
      </c>
      <c r="AJ80" s="15">
        <f t="shared" si="14"/>
        <v>7.42</v>
      </c>
      <c r="AK80" t="s">
        <v>47</v>
      </c>
    </row>
    <row r="81" spans="1:37" ht="15" customHeight="1" x14ac:dyDescent="0.35">
      <c r="A81">
        <v>690929</v>
      </c>
      <c r="B81" t="s">
        <v>37</v>
      </c>
      <c r="C81" t="s">
        <v>38</v>
      </c>
      <c r="D81" s="9" t="s">
        <v>39</v>
      </c>
      <c r="E81" s="10" t="s">
        <v>37</v>
      </c>
      <c r="F81" s="11"/>
      <c r="G81" t="s">
        <v>313</v>
      </c>
      <c r="I81" t="s">
        <v>41</v>
      </c>
      <c r="J81" t="s">
        <v>314</v>
      </c>
      <c r="K81" t="s">
        <v>43</v>
      </c>
      <c r="L81">
        <v>2</v>
      </c>
      <c r="M81" t="s">
        <v>44</v>
      </c>
      <c r="N81" t="s">
        <v>45</v>
      </c>
      <c r="O81" t="s">
        <v>46</v>
      </c>
      <c r="P81" s="5">
        <v>1</v>
      </c>
      <c r="Q81" s="12">
        <v>44743.650081018517</v>
      </c>
      <c r="R81" s="13">
        <v>44746</v>
      </c>
      <c r="T81" t="s">
        <v>47</v>
      </c>
      <c r="U81" t="s">
        <v>48</v>
      </c>
      <c r="V81" t="s">
        <v>67</v>
      </c>
      <c r="Y81" t="s">
        <v>315</v>
      </c>
      <c r="Z81">
        <v>26010</v>
      </c>
      <c r="AA81" t="s">
        <v>47</v>
      </c>
      <c r="AB81" t="s">
        <v>48</v>
      </c>
      <c r="AC81" t="s">
        <v>53</v>
      </c>
      <c r="AD81" s="16">
        <f t="shared" ref="AD81" si="16">IF(P81&lt;=1,7,7+0.8*ROUNDUP(P81-1,0))</f>
        <v>7</v>
      </c>
      <c r="AE81" s="15">
        <v>0</v>
      </c>
      <c r="AF81" s="15">
        <v>0</v>
      </c>
      <c r="AG81" s="15">
        <v>0</v>
      </c>
      <c r="AH81" s="15">
        <v>0</v>
      </c>
      <c r="AI81" s="15">
        <f t="shared" si="13"/>
        <v>0.42</v>
      </c>
      <c r="AJ81" s="15">
        <f t="shared" si="14"/>
        <v>7.42</v>
      </c>
      <c r="AK81" t="s">
        <v>47</v>
      </c>
    </row>
    <row r="82" spans="1:37" ht="15" customHeight="1" x14ac:dyDescent="0.35">
      <c r="A82">
        <v>690929</v>
      </c>
      <c r="B82" t="s">
        <v>37</v>
      </c>
      <c r="C82" t="s">
        <v>38</v>
      </c>
      <c r="D82" s="9" t="s">
        <v>39</v>
      </c>
      <c r="E82" s="10" t="s">
        <v>37</v>
      </c>
      <c r="F82" s="11"/>
      <c r="G82" t="s">
        <v>316</v>
      </c>
      <c r="I82" t="s">
        <v>41</v>
      </c>
      <c r="J82" t="s">
        <v>317</v>
      </c>
      <c r="K82" t="s">
        <v>43</v>
      </c>
      <c r="L82">
        <v>2</v>
      </c>
      <c r="M82" t="s">
        <v>44</v>
      </c>
      <c r="N82" t="s">
        <v>45</v>
      </c>
      <c r="O82" t="s">
        <v>46</v>
      </c>
      <c r="P82" s="5">
        <v>2</v>
      </c>
      <c r="Q82" s="12">
        <v>44743.434548611112</v>
      </c>
      <c r="R82" s="13">
        <v>44746</v>
      </c>
      <c r="T82" t="s">
        <v>47</v>
      </c>
      <c r="U82" t="s">
        <v>56</v>
      </c>
      <c r="V82" t="s">
        <v>128</v>
      </c>
      <c r="Y82" t="s">
        <v>318</v>
      </c>
      <c r="Z82">
        <v>57000</v>
      </c>
      <c r="AA82" t="s">
        <v>47</v>
      </c>
      <c r="AB82" t="s">
        <v>319</v>
      </c>
      <c r="AC82" t="s">
        <v>53</v>
      </c>
      <c r="AD82" s="16">
        <f>IF(P82&lt;=1,7,7+0.8*ROUNDUP(P82-1,0))</f>
        <v>7.8</v>
      </c>
      <c r="AE82" s="15">
        <v>0</v>
      </c>
      <c r="AF82" s="15">
        <v>0</v>
      </c>
      <c r="AG82" s="15">
        <v>0</v>
      </c>
      <c r="AH82" s="15">
        <v>0</v>
      </c>
      <c r="AI82" s="15">
        <f t="shared" si="13"/>
        <v>0.46799999999999997</v>
      </c>
      <c r="AJ82" s="15">
        <f t="shared" si="14"/>
        <v>8.2680000000000007</v>
      </c>
      <c r="AK82" t="s">
        <v>47</v>
      </c>
    </row>
    <row r="83" spans="1:37" ht="15" customHeight="1" x14ac:dyDescent="0.35">
      <c r="A83">
        <v>690929</v>
      </c>
      <c r="B83" t="s">
        <v>37</v>
      </c>
      <c r="C83" t="s">
        <v>38</v>
      </c>
      <c r="D83" s="9" t="s">
        <v>39</v>
      </c>
      <c r="E83" s="10" t="s">
        <v>37</v>
      </c>
      <c r="F83" s="11"/>
      <c r="G83" t="s">
        <v>320</v>
      </c>
      <c r="I83" t="s">
        <v>41</v>
      </c>
      <c r="J83" t="s">
        <v>321</v>
      </c>
      <c r="K83" t="s">
        <v>43</v>
      </c>
      <c r="L83">
        <v>2</v>
      </c>
      <c r="M83" t="s">
        <v>44</v>
      </c>
      <c r="N83" t="s">
        <v>45</v>
      </c>
      <c r="O83" t="s">
        <v>46</v>
      </c>
      <c r="P83" s="5">
        <v>3</v>
      </c>
      <c r="Q83" s="12">
        <v>44743.688460648147</v>
      </c>
      <c r="R83" s="13">
        <v>44746</v>
      </c>
      <c r="T83" t="s">
        <v>47</v>
      </c>
      <c r="U83" t="s">
        <v>48</v>
      </c>
      <c r="V83" t="s">
        <v>114</v>
      </c>
      <c r="Y83" t="s">
        <v>322</v>
      </c>
      <c r="Z83">
        <v>48050</v>
      </c>
      <c r="AA83" t="s">
        <v>47</v>
      </c>
      <c r="AB83" t="s">
        <v>64</v>
      </c>
      <c r="AC83" t="s">
        <v>53</v>
      </c>
      <c r="AD83" s="16">
        <f t="shared" ref="AD83:AD84" si="17">IF(P83&lt;=1,7,7+0.8*ROUNDUP(P83-1,0))</f>
        <v>8.6</v>
      </c>
      <c r="AE83" s="15">
        <v>0</v>
      </c>
      <c r="AF83" s="15">
        <v>0</v>
      </c>
      <c r="AG83" s="15">
        <v>0</v>
      </c>
      <c r="AH83" s="15">
        <v>0</v>
      </c>
      <c r="AI83" s="15">
        <f t="shared" si="13"/>
        <v>0.51600000000000001</v>
      </c>
      <c r="AJ83" s="15">
        <f t="shared" si="14"/>
        <v>9.1159999999999997</v>
      </c>
      <c r="AK83" t="s">
        <v>47</v>
      </c>
    </row>
    <row r="84" spans="1:37" ht="15" customHeight="1" x14ac:dyDescent="0.35">
      <c r="A84">
        <v>690929</v>
      </c>
      <c r="B84" t="s">
        <v>37</v>
      </c>
      <c r="C84" t="s">
        <v>38</v>
      </c>
      <c r="D84" s="9" t="s">
        <v>39</v>
      </c>
      <c r="E84" s="10" t="s">
        <v>37</v>
      </c>
      <c r="F84" s="11"/>
      <c r="G84" t="s">
        <v>323</v>
      </c>
      <c r="I84" t="s">
        <v>41</v>
      </c>
      <c r="J84" t="s">
        <v>324</v>
      </c>
      <c r="K84" t="s">
        <v>43</v>
      </c>
      <c r="L84">
        <v>2</v>
      </c>
      <c r="M84" t="s">
        <v>44</v>
      </c>
      <c r="N84" t="s">
        <v>45</v>
      </c>
      <c r="O84" t="s">
        <v>46</v>
      </c>
      <c r="P84" s="5">
        <v>3</v>
      </c>
      <c r="Q84" s="12">
        <v>44744.470289351855</v>
      </c>
      <c r="R84" s="13">
        <v>44746</v>
      </c>
      <c r="T84" t="s">
        <v>47</v>
      </c>
      <c r="U84" t="s">
        <v>48</v>
      </c>
      <c r="V84" t="s">
        <v>114</v>
      </c>
      <c r="Y84" t="s">
        <v>325</v>
      </c>
      <c r="Z84">
        <v>48050</v>
      </c>
      <c r="AA84" t="s">
        <v>47</v>
      </c>
      <c r="AB84" t="s">
        <v>326</v>
      </c>
      <c r="AC84" t="s">
        <v>53</v>
      </c>
      <c r="AD84" s="16">
        <f t="shared" si="17"/>
        <v>8.6</v>
      </c>
      <c r="AE84" s="15">
        <v>0</v>
      </c>
      <c r="AF84" s="15">
        <v>0</v>
      </c>
      <c r="AG84" s="15">
        <v>0</v>
      </c>
      <c r="AH84" s="15">
        <v>0</v>
      </c>
      <c r="AI84" s="15">
        <f t="shared" si="13"/>
        <v>0.51600000000000001</v>
      </c>
      <c r="AJ84" s="15">
        <f t="shared" si="14"/>
        <v>9.1159999999999997</v>
      </c>
      <c r="AK84" t="s">
        <v>47</v>
      </c>
    </row>
    <row r="85" spans="1:37" ht="15" customHeight="1" x14ac:dyDescent="0.35">
      <c r="A85">
        <v>690929</v>
      </c>
      <c r="B85" t="s">
        <v>37</v>
      </c>
      <c r="C85" t="s">
        <v>38</v>
      </c>
      <c r="D85" s="9" t="s">
        <v>39</v>
      </c>
      <c r="E85" s="10" t="s">
        <v>37</v>
      </c>
      <c r="F85" s="11"/>
      <c r="G85" t="s">
        <v>327</v>
      </c>
      <c r="I85" t="s">
        <v>41</v>
      </c>
      <c r="J85" t="s">
        <v>328</v>
      </c>
      <c r="K85" t="s">
        <v>43</v>
      </c>
      <c r="L85">
        <v>2</v>
      </c>
      <c r="M85" t="s">
        <v>44</v>
      </c>
      <c r="N85" t="s">
        <v>45</v>
      </c>
      <c r="O85" t="s">
        <v>46</v>
      </c>
      <c r="P85" s="5">
        <v>1</v>
      </c>
      <c r="Q85" s="12">
        <v>44744.650185185186</v>
      </c>
      <c r="R85" s="13">
        <v>44746</v>
      </c>
      <c r="T85" t="s">
        <v>47</v>
      </c>
      <c r="U85" t="s">
        <v>48</v>
      </c>
      <c r="V85" t="s">
        <v>76</v>
      </c>
      <c r="Y85" t="s">
        <v>329</v>
      </c>
      <c r="Z85">
        <v>22300</v>
      </c>
      <c r="AA85" t="s">
        <v>47</v>
      </c>
      <c r="AB85" t="s">
        <v>64</v>
      </c>
      <c r="AC85" t="s">
        <v>53</v>
      </c>
      <c r="AD85" s="16">
        <f>IF(P85&lt;=1,7,7+0.8*ROUNDUP(P85-1,0))</f>
        <v>7</v>
      </c>
      <c r="AE85" s="15">
        <v>0</v>
      </c>
      <c r="AF85" s="15">
        <v>0</v>
      </c>
      <c r="AG85" s="15">
        <v>0</v>
      </c>
      <c r="AH85" s="15">
        <v>0</v>
      </c>
      <c r="AI85" s="15">
        <f t="shared" si="13"/>
        <v>0.42</v>
      </c>
      <c r="AJ85" s="15">
        <f t="shared" si="14"/>
        <v>7.42</v>
      </c>
      <c r="AK85" t="s">
        <v>47</v>
      </c>
    </row>
    <row r="86" spans="1:37" ht="15" customHeight="1" x14ac:dyDescent="0.35">
      <c r="A86">
        <v>690929</v>
      </c>
      <c r="B86" t="s">
        <v>37</v>
      </c>
      <c r="C86" t="s">
        <v>38</v>
      </c>
      <c r="D86" s="9" t="s">
        <v>39</v>
      </c>
      <c r="E86" s="10" t="s">
        <v>37</v>
      </c>
      <c r="F86" s="11"/>
      <c r="G86" t="s">
        <v>330</v>
      </c>
      <c r="I86" t="s">
        <v>41</v>
      </c>
      <c r="J86" t="s">
        <v>331</v>
      </c>
      <c r="K86" t="s">
        <v>43</v>
      </c>
      <c r="L86">
        <v>2</v>
      </c>
      <c r="M86" t="s">
        <v>44</v>
      </c>
      <c r="N86" t="s">
        <v>45</v>
      </c>
      <c r="O86" t="s">
        <v>46</v>
      </c>
      <c r="P86" s="5">
        <v>1</v>
      </c>
      <c r="Q86" s="12">
        <v>44744.531875000001</v>
      </c>
      <c r="R86" s="13">
        <v>44746</v>
      </c>
      <c r="T86" t="s">
        <v>47</v>
      </c>
      <c r="U86" t="s">
        <v>48</v>
      </c>
      <c r="V86" t="s">
        <v>67</v>
      </c>
      <c r="Y86" t="s">
        <v>332</v>
      </c>
      <c r="Z86">
        <v>28000</v>
      </c>
      <c r="AA86" t="s">
        <v>47</v>
      </c>
      <c r="AB86" t="s">
        <v>48</v>
      </c>
      <c r="AC86" t="s">
        <v>53</v>
      </c>
      <c r="AD86" s="16">
        <f t="shared" ref="AD86:AD88" si="18">IF(P86&lt;=1,7,7+0.8*ROUNDUP(P86-1,0))</f>
        <v>7</v>
      </c>
      <c r="AE86" s="15">
        <v>0</v>
      </c>
      <c r="AF86" s="15">
        <v>0</v>
      </c>
      <c r="AG86" s="15">
        <v>0</v>
      </c>
      <c r="AH86" s="15">
        <v>0</v>
      </c>
      <c r="AI86" s="15">
        <f t="shared" si="13"/>
        <v>0.42</v>
      </c>
      <c r="AJ86" s="15">
        <f t="shared" si="14"/>
        <v>7.42</v>
      </c>
      <c r="AK86" t="s">
        <v>47</v>
      </c>
    </row>
    <row r="87" spans="1:37" ht="15" customHeight="1" x14ac:dyDescent="0.35">
      <c r="A87">
        <v>690929</v>
      </c>
      <c r="B87" t="s">
        <v>37</v>
      </c>
      <c r="C87" t="s">
        <v>38</v>
      </c>
      <c r="D87" s="9" t="s">
        <v>39</v>
      </c>
      <c r="E87" s="10" t="s">
        <v>37</v>
      </c>
      <c r="F87" s="11"/>
      <c r="G87" t="s">
        <v>333</v>
      </c>
      <c r="I87" t="s">
        <v>41</v>
      </c>
      <c r="J87" t="s">
        <v>321</v>
      </c>
      <c r="K87" t="s">
        <v>43</v>
      </c>
      <c r="L87">
        <v>2</v>
      </c>
      <c r="M87" t="s">
        <v>44</v>
      </c>
      <c r="N87" t="s">
        <v>45</v>
      </c>
      <c r="O87" t="s">
        <v>46</v>
      </c>
      <c r="P87" s="5">
        <v>9</v>
      </c>
      <c r="Q87" s="12">
        <v>44745.58326388889</v>
      </c>
      <c r="R87" s="13">
        <v>44746</v>
      </c>
      <c r="T87" t="s">
        <v>47</v>
      </c>
      <c r="U87" t="s">
        <v>48</v>
      </c>
      <c r="V87" t="s">
        <v>114</v>
      </c>
      <c r="Y87" t="s">
        <v>334</v>
      </c>
      <c r="Z87">
        <v>48050</v>
      </c>
      <c r="AA87" t="s">
        <v>47</v>
      </c>
      <c r="AB87" t="s">
        <v>64</v>
      </c>
      <c r="AC87" t="s">
        <v>53</v>
      </c>
      <c r="AD87" s="16">
        <f t="shared" si="18"/>
        <v>13.4</v>
      </c>
      <c r="AE87" s="15">
        <v>0</v>
      </c>
      <c r="AF87" s="15">
        <v>0</v>
      </c>
      <c r="AG87" s="15">
        <v>0</v>
      </c>
      <c r="AH87" s="15">
        <v>0</v>
      </c>
      <c r="AI87" s="15">
        <f t="shared" si="13"/>
        <v>0.80399999999999994</v>
      </c>
      <c r="AJ87" s="15">
        <f t="shared" si="14"/>
        <v>14.204000000000001</v>
      </c>
      <c r="AK87" t="s">
        <v>47</v>
      </c>
    </row>
    <row r="88" spans="1:37" ht="15" customHeight="1" x14ac:dyDescent="0.35">
      <c r="A88">
        <v>690929</v>
      </c>
      <c r="B88" t="s">
        <v>37</v>
      </c>
      <c r="C88" t="s">
        <v>38</v>
      </c>
      <c r="D88" s="9" t="s">
        <v>39</v>
      </c>
      <c r="E88" s="10" t="s">
        <v>37</v>
      </c>
      <c r="F88" s="11"/>
      <c r="G88" t="s">
        <v>335</v>
      </c>
      <c r="I88" t="s">
        <v>41</v>
      </c>
      <c r="J88" t="s">
        <v>336</v>
      </c>
      <c r="K88" t="s">
        <v>43</v>
      </c>
      <c r="L88">
        <v>2</v>
      </c>
      <c r="M88" t="s">
        <v>44</v>
      </c>
      <c r="N88" t="s">
        <v>45</v>
      </c>
      <c r="O88" t="s">
        <v>46</v>
      </c>
      <c r="P88" s="5">
        <v>1</v>
      </c>
      <c r="Q88" s="12">
        <v>44745.666226851848</v>
      </c>
      <c r="R88" s="13">
        <v>44746</v>
      </c>
      <c r="T88" t="s">
        <v>47</v>
      </c>
      <c r="U88" t="s">
        <v>48</v>
      </c>
      <c r="V88" t="s">
        <v>114</v>
      </c>
      <c r="Y88" t="s">
        <v>337</v>
      </c>
      <c r="Z88">
        <v>47301</v>
      </c>
      <c r="AA88" t="s">
        <v>47</v>
      </c>
      <c r="AB88" t="s">
        <v>64</v>
      </c>
      <c r="AC88" t="s">
        <v>53</v>
      </c>
      <c r="AD88" s="16">
        <f t="shared" si="18"/>
        <v>7</v>
      </c>
      <c r="AE88" s="15">
        <v>0</v>
      </c>
      <c r="AF88" s="15">
        <v>0</v>
      </c>
      <c r="AG88" s="15">
        <v>0</v>
      </c>
      <c r="AH88" s="15">
        <v>0</v>
      </c>
      <c r="AI88" s="15">
        <f t="shared" si="13"/>
        <v>0.42</v>
      </c>
      <c r="AJ88" s="15">
        <f t="shared" si="14"/>
        <v>7.42</v>
      </c>
      <c r="AK88" t="s">
        <v>47</v>
      </c>
    </row>
    <row r="89" spans="1:37" ht="15" customHeight="1" x14ac:dyDescent="0.35">
      <c r="A89">
        <v>690929</v>
      </c>
      <c r="B89" t="s">
        <v>37</v>
      </c>
      <c r="C89" t="s">
        <v>38</v>
      </c>
      <c r="D89" s="9" t="s">
        <v>39</v>
      </c>
      <c r="E89" s="10" t="s">
        <v>37</v>
      </c>
      <c r="F89" s="11"/>
      <c r="G89" t="s">
        <v>338</v>
      </c>
      <c r="I89" t="s">
        <v>41</v>
      </c>
      <c r="J89" t="s">
        <v>339</v>
      </c>
      <c r="K89" t="s">
        <v>43</v>
      </c>
      <c r="L89">
        <v>2</v>
      </c>
      <c r="M89" t="s">
        <v>44</v>
      </c>
      <c r="N89" t="s">
        <v>45</v>
      </c>
      <c r="O89" t="s">
        <v>46</v>
      </c>
      <c r="P89" s="5">
        <v>1</v>
      </c>
      <c r="Q89" s="12">
        <v>44742.663842592592</v>
      </c>
      <c r="R89" s="13">
        <v>44746</v>
      </c>
      <c r="T89" t="s">
        <v>47</v>
      </c>
      <c r="U89" t="s">
        <v>48</v>
      </c>
      <c r="V89" t="s">
        <v>114</v>
      </c>
      <c r="Y89" t="s">
        <v>340</v>
      </c>
      <c r="Z89">
        <v>47301</v>
      </c>
      <c r="AA89" t="s">
        <v>47</v>
      </c>
      <c r="AB89" t="s">
        <v>64</v>
      </c>
      <c r="AC89" t="s">
        <v>53</v>
      </c>
      <c r="AD89" s="16">
        <f>IF(P89&lt;=1,4.9,4.9+0.8*ROUNDUP(P89-1,0))</f>
        <v>4.9000000000000004</v>
      </c>
      <c r="AE89" s="15">
        <v>0</v>
      </c>
      <c r="AF89" s="15">
        <v>0</v>
      </c>
      <c r="AG89" s="15">
        <v>0</v>
      </c>
      <c r="AH89" s="15">
        <v>0</v>
      </c>
      <c r="AI89" s="15">
        <f t="shared" si="13"/>
        <v>0.29399999999999998</v>
      </c>
      <c r="AJ89" s="15">
        <f t="shared" si="14"/>
        <v>5.194</v>
      </c>
      <c r="AK89" t="s">
        <v>47</v>
      </c>
    </row>
    <row r="90" spans="1:37" ht="15" customHeight="1" x14ac:dyDescent="0.35">
      <c r="A90">
        <v>690929</v>
      </c>
      <c r="B90" t="s">
        <v>37</v>
      </c>
      <c r="C90" t="s">
        <v>38</v>
      </c>
      <c r="D90" s="9" t="s">
        <v>39</v>
      </c>
      <c r="E90" s="10" t="s">
        <v>37</v>
      </c>
      <c r="F90" s="11"/>
      <c r="G90" t="s">
        <v>341</v>
      </c>
      <c r="I90" t="s">
        <v>41</v>
      </c>
      <c r="J90" t="s">
        <v>342</v>
      </c>
      <c r="K90" t="s">
        <v>43</v>
      </c>
      <c r="L90">
        <v>2</v>
      </c>
      <c r="M90" t="s">
        <v>44</v>
      </c>
      <c r="N90" t="s">
        <v>45</v>
      </c>
      <c r="O90" t="s">
        <v>46</v>
      </c>
      <c r="P90" s="5">
        <v>1</v>
      </c>
      <c r="Q90" s="12">
        <v>44742.585162037038</v>
      </c>
      <c r="R90" s="13">
        <v>44746</v>
      </c>
      <c r="T90" t="s">
        <v>47</v>
      </c>
      <c r="U90" t="s">
        <v>48</v>
      </c>
      <c r="V90" t="s">
        <v>138</v>
      </c>
      <c r="Y90" t="s">
        <v>343</v>
      </c>
      <c r="Z90">
        <v>72000</v>
      </c>
      <c r="AA90" t="s">
        <v>47</v>
      </c>
      <c r="AB90" t="s">
        <v>64</v>
      </c>
      <c r="AC90" t="s">
        <v>53</v>
      </c>
      <c r="AD90" s="16">
        <f>IF(P90&lt;=1,4.9,4.9+0.8*ROUNDUP(P90-1,0))</f>
        <v>4.9000000000000004</v>
      </c>
      <c r="AE90" s="15">
        <v>0</v>
      </c>
      <c r="AF90" s="15">
        <v>0</v>
      </c>
      <c r="AG90" s="15">
        <v>0</v>
      </c>
      <c r="AH90" s="15">
        <v>0</v>
      </c>
      <c r="AI90" s="15">
        <f t="shared" si="13"/>
        <v>0.29399999999999998</v>
      </c>
      <c r="AJ90" s="15">
        <f t="shared" si="14"/>
        <v>5.194</v>
      </c>
      <c r="AK90" t="s">
        <v>47</v>
      </c>
    </row>
    <row r="91" spans="1:37" ht="15" customHeight="1" x14ac:dyDescent="0.35">
      <c r="A91">
        <v>690929</v>
      </c>
      <c r="B91" t="s">
        <v>37</v>
      </c>
      <c r="C91" t="s">
        <v>38</v>
      </c>
      <c r="D91" s="9" t="s">
        <v>39</v>
      </c>
      <c r="E91" s="10" t="s">
        <v>37</v>
      </c>
      <c r="F91" s="11"/>
      <c r="G91" t="s">
        <v>344</v>
      </c>
      <c r="I91" t="s">
        <v>41</v>
      </c>
      <c r="J91" t="s">
        <v>345</v>
      </c>
      <c r="K91" t="s">
        <v>43</v>
      </c>
      <c r="L91">
        <v>2</v>
      </c>
      <c r="M91" t="s">
        <v>44</v>
      </c>
      <c r="N91" t="s">
        <v>45</v>
      </c>
      <c r="O91" t="s">
        <v>46</v>
      </c>
      <c r="P91" s="5">
        <v>1</v>
      </c>
      <c r="Q91" s="12">
        <v>44744.571689814817</v>
      </c>
      <c r="R91" s="13">
        <v>44746</v>
      </c>
      <c r="T91" t="s">
        <v>47</v>
      </c>
      <c r="U91" t="s">
        <v>48</v>
      </c>
      <c r="V91" t="s">
        <v>71</v>
      </c>
      <c r="Y91" t="s">
        <v>346</v>
      </c>
      <c r="Z91">
        <v>8000</v>
      </c>
      <c r="AA91" t="s">
        <v>47</v>
      </c>
      <c r="AB91" t="s">
        <v>64</v>
      </c>
      <c r="AC91" t="s">
        <v>53</v>
      </c>
      <c r="AD91" s="16">
        <f>IF(P91&lt;=1,7,7+0.8*ROUNDUP(P91-1,0))</f>
        <v>7</v>
      </c>
      <c r="AE91" s="15">
        <v>0</v>
      </c>
      <c r="AF91" s="15">
        <v>0</v>
      </c>
      <c r="AG91" s="15">
        <v>0</v>
      </c>
      <c r="AH91" s="15">
        <v>0</v>
      </c>
      <c r="AI91" s="15">
        <f t="shared" si="13"/>
        <v>0.42</v>
      </c>
      <c r="AJ91" s="15">
        <f t="shared" si="14"/>
        <v>7.42</v>
      </c>
      <c r="AK91" t="s">
        <v>47</v>
      </c>
    </row>
    <row r="92" spans="1:37" ht="15" customHeight="1" x14ac:dyDescent="0.35">
      <c r="A92">
        <v>690929</v>
      </c>
      <c r="B92" t="s">
        <v>37</v>
      </c>
      <c r="C92" t="s">
        <v>38</v>
      </c>
      <c r="D92" s="9" t="s">
        <v>39</v>
      </c>
      <c r="E92" s="10" t="s">
        <v>37</v>
      </c>
      <c r="F92" s="11"/>
      <c r="G92" t="s">
        <v>347</v>
      </c>
      <c r="I92" t="s">
        <v>41</v>
      </c>
      <c r="J92" t="s">
        <v>348</v>
      </c>
      <c r="K92" t="s">
        <v>43</v>
      </c>
      <c r="L92">
        <v>2</v>
      </c>
      <c r="M92" t="s">
        <v>44</v>
      </c>
      <c r="N92" t="s">
        <v>45</v>
      </c>
      <c r="O92" t="s">
        <v>46</v>
      </c>
      <c r="P92" s="5">
        <v>1</v>
      </c>
      <c r="Q92" s="12">
        <v>44742.730543981481</v>
      </c>
      <c r="R92" s="13">
        <v>44746</v>
      </c>
      <c r="T92" t="s">
        <v>47</v>
      </c>
      <c r="U92" t="s">
        <v>56</v>
      </c>
      <c r="V92" t="s">
        <v>85</v>
      </c>
      <c r="Y92" t="s">
        <v>349</v>
      </c>
      <c r="Z92">
        <v>14200</v>
      </c>
      <c r="AA92" t="s">
        <v>47</v>
      </c>
      <c r="AB92" t="s">
        <v>64</v>
      </c>
      <c r="AC92" t="s">
        <v>53</v>
      </c>
      <c r="AD92" s="16">
        <f>IF(P92&lt;=1,4.9,4.9+0.8*ROUNDUP(P92-1,0))</f>
        <v>4.9000000000000004</v>
      </c>
      <c r="AE92" s="15">
        <v>0</v>
      </c>
      <c r="AF92" s="15">
        <v>0</v>
      </c>
      <c r="AG92" s="15">
        <v>0</v>
      </c>
      <c r="AH92" s="15">
        <v>0</v>
      </c>
      <c r="AI92" s="15">
        <f t="shared" si="13"/>
        <v>0.29399999999999998</v>
      </c>
      <c r="AJ92" s="15">
        <f t="shared" si="14"/>
        <v>5.194</v>
      </c>
      <c r="AK92" t="s">
        <v>47</v>
      </c>
    </row>
    <row r="93" spans="1:37" ht="15" customHeight="1" x14ac:dyDescent="0.35">
      <c r="A93">
        <v>690929</v>
      </c>
      <c r="B93" t="s">
        <v>37</v>
      </c>
      <c r="C93" t="s">
        <v>38</v>
      </c>
      <c r="D93" s="9" t="s">
        <v>39</v>
      </c>
      <c r="E93" s="10" t="s">
        <v>37</v>
      </c>
      <c r="F93" s="11"/>
      <c r="G93" t="s">
        <v>350</v>
      </c>
      <c r="I93" t="s">
        <v>41</v>
      </c>
      <c r="J93" t="s">
        <v>351</v>
      </c>
      <c r="K93" t="s">
        <v>43</v>
      </c>
      <c r="L93">
        <v>2</v>
      </c>
      <c r="M93" t="s">
        <v>44</v>
      </c>
      <c r="N93" t="s">
        <v>45</v>
      </c>
      <c r="O93" t="s">
        <v>46</v>
      </c>
      <c r="P93" s="5">
        <v>1</v>
      </c>
      <c r="Q93" s="12">
        <v>44744.5077662037</v>
      </c>
      <c r="R93" s="13">
        <v>44746</v>
      </c>
      <c r="T93" t="s">
        <v>47</v>
      </c>
      <c r="U93" t="s">
        <v>48</v>
      </c>
      <c r="V93" t="s">
        <v>62</v>
      </c>
      <c r="Y93" t="s">
        <v>352</v>
      </c>
      <c r="Z93">
        <v>81110</v>
      </c>
      <c r="AA93" t="s">
        <v>47</v>
      </c>
      <c r="AB93" t="s">
        <v>64</v>
      </c>
      <c r="AC93" t="s">
        <v>53</v>
      </c>
      <c r="AD93" s="16">
        <f t="shared" ref="AD93:AD97" si="19">IF(P93&lt;=1,7,7+0.8*ROUNDUP(P93-1,0))</f>
        <v>7</v>
      </c>
      <c r="AE93" s="15">
        <v>0</v>
      </c>
      <c r="AF93" s="15">
        <v>0</v>
      </c>
      <c r="AG93" s="15">
        <v>0</v>
      </c>
      <c r="AH93" s="15">
        <v>0</v>
      </c>
      <c r="AI93" s="15">
        <f t="shared" si="13"/>
        <v>0.42</v>
      </c>
      <c r="AJ93" s="15">
        <f t="shared" si="14"/>
        <v>7.42</v>
      </c>
      <c r="AK93" t="s">
        <v>47</v>
      </c>
    </row>
    <row r="94" spans="1:37" ht="15" customHeight="1" x14ac:dyDescent="0.35">
      <c r="A94">
        <v>690929</v>
      </c>
      <c r="B94" t="s">
        <v>37</v>
      </c>
      <c r="C94" t="s">
        <v>38</v>
      </c>
      <c r="D94" s="9" t="s">
        <v>39</v>
      </c>
      <c r="E94" s="10" t="s">
        <v>37</v>
      </c>
      <c r="F94" s="11"/>
      <c r="G94" t="s">
        <v>353</v>
      </c>
      <c r="I94" t="s">
        <v>41</v>
      </c>
      <c r="J94" t="s">
        <v>354</v>
      </c>
      <c r="K94" t="s">
        <v>43</v>
      </c>
      <c r="L94">
        <v>2</v>
      </c>
      <c r="M94" t="s">
        <v>44</v>
      </c>
      <c r="N94" t="s">
        <v>45</v>
      </c>
      <c r="O94" t="s">
        <v>46</v>
      </c>
      <c r="P94" s="5">
        <v>1</v>
      </c>
      <c r="Q94" s="12">
        <v>44744.802881944444</v>
      </c>
      <c r="R94" s="13">
        <v>44746</v>
      </c>
      <c r="T94" t="s">
        <v>47</v>
      </c>
      <c r="U94" t="s">
        <v>48</v>
      </c>
      <c r="V94" t="s">
        <v>114</v>
      </c>
      <c r="Y94" t="s">
        <v>355</v>
      </c>
      <c r="Z94">
        <v>45600</v>
      </c>
      <c r="AA94" t="s">
        <v>47</v>
      </c>
      <c r="AB94" t="s">
        <v>64</v>
      </c>
      <c r="AC94" t="s">
        <v>53</v>
      </c>
      <c r="AD94" s="16">
        <f t="shared" si="19"/>
        <v>7</v>
      </c>
      <c r="AE94" s="15">
        <v>0</v>
      </c>
      <c r="AF94" s="15">
        <v>0</v>
      </c>
      <c r="AG94" s="15">
        <v>0</v>
      </c>
      <c r="AH94" s="15">
        <v>0</v>
      </c>
      <c r="AI94" s="15">
        <f t="shared" si="13"/>
        <v>0.42</v>
      </c>
      <c r="AJ94" s="15">
        <f t="shared" si="14"/>
        <v>7.42</v>
      </c>
      <c r="AK94" t="s">
        <v>47</v>
      </c>
    </row>
    <row r="95" spans="1:37" ht="15" customHeight="1" x14ac:dyDescent="0.35">
      <c r="A95">
        <v>690929</v>
      </c>
      <c r="B95" t="s">
        <v>37</v>
      </c>
      <c r="C95" t="s">
        <v>38</v>
      </c>
      <c r="D95" s="9" t="s">
        <v>39</v>
      </c>
      <c r="E95" s="10" t="s">
        <v>37</v>
      </c>
      <c r="F95" s="11"/>
      <c r="G95" t="s">
        <v>356</v>
      </c>
      <c r="I95" t="s">
        <v>41</v>
      </c>
      <c r="J95" t="s">
        <v>357</v>
      </c>
      <c r="K95" t="s">
        <v>43</v>
      </c>
      <c r="L95">
        <v>2</v>
      </c>
      <c r="M95" t="s">
        <v>44</v>
      </c>
      <c r="N95" t="s">
        <v>45</v>
      </c>
      <c r="O95" t="s">
        <v>46</v>
      </c>
      <c r="P95" s="5">
        <v>4</v>
      </c>
      <c r="Q95" s="12">
        <v>44744.460613425923</v>
      </c>
      <c r="R95" s="13">
        <v>44746</v>
      </c>
      <c r="T95" t="s">
        <v>47</v>
      </c>
      <c r="U95" t="s">
        <v>48</v>
      </c>
      <c r="V95" t="s">
        <v>114</v>
      </c>
      <c r="Y95" t="s">
        <v>358</v>
      </c>
      <c r="Z95">
        <v>40100</v>
      </c>
      <c r="AA95" t="s">
        <v>47</v>
      </c>
      <c r="AB95" t="s">
        <v>64</v>
      </c>
      <c r="AC95" t="s">
        <v>53</v>
      </c>
      <c r="AD95" s="16">
        <f t="shared" si="19"/>
        <v>9.4</v>
      </c>
      <c r="AE95" s="15">
        <v>0</v>
      </c>
      <c r="AF95" s="15">
        <v>0</v>
      </c>
      <c r="AG95" s="15">
        <v>0</v>
      </c>
      <c r="AH95" s="15">
        <v>0</v>
      </c>
      <c r="AI95" s="15">
        <f t="shared" si="13"/>
        <v>0.56399999999999995</v>
      </c>
      <c r="AJ95" s="15">
        <f t="shared" si="14"/>
        <v>9.9640000000000004</v>
      </c>
      <c r="AK95" t="s">
        <v>47</v>
      </c>
    </row>
    <row r="96" spans="1:37" ht="15" customHeight="1" x14ac:dyDescent="0.35">
      <c r="A96">
        <v>690929</v>
      </c>
      <c r="B96" t="s">
        <v>37</v>
      </c>
      <c r="C96" t="s">
        <v>38</v>
      </c>
      <c r="D96" s="9" t="s">
        <v>39</v>
      </c>
      <c r="E96" s="10" t="s">
        <v>37</v>
      </c>
      <c r="F96" s="11"/>
      <c r="G96" t="s">
        <v>359</v>
      </c>
      <c r="I96" t="s">
        <v>41</v>
      </c>
      <c r="J96" t="s">
        <v>360</v>
      </c>
      <c r="K96" t="s">
        <v>43</v>
      </c>
      <c r="L96">
        <v>2</v>
      </c>
      <c r="M96" t="s">
        <v>44</v>
      </c>
      <c r="N96" t="s">
        <v>45</v>
      </c>
      <c r="O96" t="s">
        <v>46</v>
      </c>
      <c r="P96" s="5">
        <v>1</v>
      </c>
      <c r="Q96" s="12">
        <v>44745.562164351853</v>
      </c>
      <c r="R96" s="13">
        <v>44746</v>
      </c>
      <c r="T96" t="s">
        <v>47</v>
      </c>
      <c r="U96" t="s">
        <v>48</v>
      </c>
      <c r="V96" t="s">
        <v>67</v>
      </c>
      <c r="Y96" t="s">
        <v>361</v>
      </c>
      <c r="Z96">
        <v>28000</v>
      </c>
      <c r="AA96" t="s">
        <v>47</v>
      </c>
      <c r="AB96" t="s">
        <v>48</v>
      </c>
      <c r="AC96" t="s">
        <v>53</v>
      </c>
      <c r="AD96" s="16">
        <f t="shared" si="19"/>
        <v>7</v>
      </c>
      <c r="AE96" s="15">
        <v>0</v>
      </c>
      <c r="AF96" s="15">
        <v>0</v>
      </c>
      <c r="AG96" s="15">
        <v>0</v>
      </c>
      <c r="AH96" s="15">
        <v>0</v>
      </c>
      <c r="AI96" s="15">
        <f t="shared" si="13"/>
        <v>0.42</v>
      </c>
      <c r="AJ96" s="15">
        <f t="shared" si="14"/>
        <v>7.42</v>
      </c>
      <c r="AK96" t="s">
        <v>47</v>
      </c>
    </row>
    <row r="97" spans="1:37" ht="15" customHeight="1" x14ac:dyDescent="0.35">
      <c r="A97">
        <v>690929</v>
      </c>
      <c r="B97" t="s">
        <v>37</v>
      </c>
      <c r="C97" t="s">
        <v>38</v>
      </c>
      <c r="D97" s="9" t="s">
        <v>39</v>
      </c>
      <c r="E97" s="10" t="s">
        <v>37</v>
      </c>
      <c r="F97" s="11"/>
      <c r="G97" t="s">
        <v>362</v>
      </c>
      <c r="I97" t="s">
        <v>41</v>
      </c>
      <c r="J97" t="s">
        <v>363</v>
      </c>
      <c r="K97" t="s">
        <v>43</v>
      </c>
      <c r="L97">
        <v>2</v>
      </c>
      <c r="M97" t="s">
        <v>44</v>
      </c>
      <c r="N97" t="s">
        <v>45</v>
      </c>
      <c r="O97" t="s">
        <v>46</v>
      </c>
      <c r="P97" s="5">
        <v>1</v>
      </c>
      <c r="Q97" s="12">
        <v>44744.648761574077</v>
      </c>
      <c r="R97" s="13">
        <v>44746</v>
      </c>
      <c r="T97" t="s">
        <v>47</v>
      </c>
      <c r="U97" t="s">
        <v>48</v>
      </c>
      <c r="V97" t="s">
        <v>62</v>
      </c>
      <c r="Y97" t="s">
        <v>364</v>
      </c>
      <c r="Z97">
        <v>81700</v>
      </c>
      <c r="AA97" t="s">
        <v>47</v>
      </c>
      <c r="AB97" t="s">
        <v>64</v>
      </c>
      <c r="AC97" t="s">
        <v>53</v>
      </c>
      <c r="AD97" s="16">
        <f t="shared" si="19"/>
        <v>7</v>
      </c>
      <c r="AE97" s="15">
        <v>0</v>
      </c>
      <c r="AF97" s="15">
        <v>0</v>
      </c>
      <c r="AG97" s="15">
        <v>0</v>
      </c>
      <c r="AH97" s="15">
        <v>0</v>
      </c>
      <c r="AI97" s="15">
        <f t="shared" si="13"/>
        <v>0.42</v>
      </c>
      <c r="AJ97" s="15">
        <f t="shared" si="14"/>
        <v>7.42</v>
      </c>
      <c r="AK97" t="s">
        <v>47</v>
      </c>
    </row>
    <row r="98" spans="1:37" ht="15" customHeight="1" x14ac:dyDescent="0.35">
      <c r="A98">
        <v>690929</v>
      </c>
      <c r="B98" t="s">
        <v>37</v>
      </c>
      <c r="C98" t="s">
        <v>38</v>
      </c>
      <c r="D98" s="9" t="s">
        <v>39</v>
      </c>
      <c r="E98" s="10" t="s">
        <v>37</v>
      </c>
      <c r="F98" s="11"/>
      <c r="G98" t="s">
        <v>365</v>
      </c>
      <c r="I98" t="s">
        <v>41</v>
      </c>
      <c r="J98" t="s">
        <v>366</v>
      </c>
      <c r="K98" t="s">
        <v>43</v>
      </c>
      <c r="L98">
        <v>2</v>
      </c>
      <c r="M98" t="s">
        <v>44</v>
      </c>
      <c r="N98" t="s">
        <v>45</v>
      </c>
      <c r="O98" t="s">
        <v>46</v>
      </c>
      <c r="P98" s="5">
        <v>1</v>
      </c>
      <c r="Q98" s="12">
        <v>44742.583622685182</v>
      </c>
      <c r="R98" s="13">
        <v>44746</v>
      </c>
      <c r="T98" t="s">
        <v>47</v>
      </c>
      <c r="U98" t="s">
        <v>48</v>
      </c>
      <c r="V98" t="s">
        <v>71</v>
      </c>
      <c r="Y98" t="s">
        <v>367</v>
      </c>
      <c r="Z98">
        <v>7000</v>
      </c>
      <c r="AA98" t="s">
        <v>47</v>
      </c>
      <c r="AB98" t="s">
        <v>64</v>
      </c>
      <c r="AC98" t="s">
        <v>53</v>
      </c>
      <c r="AD98" s="16">
        <f>IF(P98&lt;=1,4.9,4.9+0.8*ROUNDUP(P98-1,0))</f>
        <v>4.9000000000000004</v>
      </c>
      <c r="AE98" s="15">
        <v>0</v>
      </c>
      <c r="AF98" s="15">
        <v>0</v>
      </c>
      <c r="AG98" s="15">
        <v>0</v>
      </c>
      <c r="AH98" s="15">
        <v>0</v>
      </c>
      <c r="AI98" s="15">
        <f t="shared" si="13"/>
        <v>0.29399999999999998</v>
      </c>
      <c r="AJ98" s="15">
        <f t="shared" si="14"/>
        <v>5.194</v>
      </c>
      <c r="AK98" t="s">
        <v>47</v>
      </c>
    </row>
    <row r="99" spans="1:37" ht="15" customHeight="1" x14ac:dyDescent="0.35">
      <c r="A99">
        <v>690929</v>
      </c>
      <c r="B99" t="s">
        <v>37</v>
      </c>
      <c r="C99" t="s">
        <v>38</v>
      </c>
      <c r="D99" s="9" t="s">
        <v>39</v>
      </c>
      <c r="E99" s="10" t="s">
        <v>37</v>
      </c>
      <c r="F99" s="11"/>
      <c r="G99" t="s">
        <v>368</v>
      </c>
      <c r="I99" t="s">
        <v>41</v>
      </c>
      <c r="J99" t="s">
        <v>369</v>
      </c>
      <c r="K99" t="s">
        <v>43</v>
      </c>
      <c r="L99">
        <v>2</v>
      </c>
      <c r="M99" t="s">
        <v>44</v>
      </c>
      <c r="N99" t="s">
        <v>45</v>
      </c>
      <c r="O99" t="s">
        <v>46</v>
      </c>
      <c r="P99" s="5">
        <v>1</v>
      </c>
      <c r="Q99" s="12">
        <v>44744.498692129629</v>
      </c>
      <c r="R99" s="13">
        <v>44746</v>
      </c>
      <c r="T99" t="s">
        <v>47</v>
      </c>
      <c r="U99" t="s">
        <v>48</v>
      </c>
      <c r="V99" t="s">
        <v>62</v>
      </c>
      <c r="Y99" t="s">
        <v>370</v>
      </c>
      <c r="Z99">
        <v>81100</v>
      </c>
      <c r="AA99" t="s">
        <v>47</v>
      </c>
      <c r="AB99" t="s">
        <v>64</v>
      </c>
      <c r="AC99" t="s">
        <v>53</v>
      </c>
      <c r="AD99" s="16">
        <f t="shared" ref="AD99" si="20">IF(P99&lt;=1,7,7+0.8*ROUNDUP(P99-1,0))</f>
        <v>7</v>
      </c>
      <c r="AE99" s="15">
        <v>0</v>
      </c>
      <c r="AF99" s="15">
        <v>0</v>
      </c>
      <c r="AG99" s="15">
        <v>0</v>
      </c>
      <c r="AH99" s="15">
        <v>0</v>
      </c>
      <c r="AI99" s="15">
        <f t="shared" si="13"/>
        <v>0.42</v>
      </c>
      <c r="AJ99" s="15">
        <f t="shared" si="14"/>
        <v>7.42</v>
      </c>
      <c r="AK99" t="s">
        <v>47</v>
      </c>
    </row>
    <row r="100" spans="1:37" ht="15" customHeight="1" x14ac:dyDescent="0.35">
      <c r="A100">
        <v>690929</v>
      </c>
      <c r="B100" t="s">
        <v>37</v>
      </c>
      <c r="C100" t="s">
        <v>38</v>
      </c>
      <c r="D100" s="9" t="s">
        <v>39</v>
      </c>
      <c r="E100" s="10" t="s">
        <v>37</v>
      </c>
      <c r="F100" s="11"/>
      <c r="G100" t="s">
        <v>371</v>
      </c>
      <c r="I100" t="s">
        <v>41</v>
      </c>
      <c r="J100" t="s">
        <v>372</v>
      </c>
      <c r="K100" t="s">
        <v>43</v>
      </c>
      <c r="L100">
        <v>2</v>
      </c>
      <c r="M100" t="s">
        <v>44</v>
      </c>
      <c r="N100" t="s">
        <v>45</v>
      </c>
      <c r="O100" t="s">
        <v>46</v>
      </c>
      <c r="P100" s="5">
        <v>1</v>
      </c>
      <c r="Q100" s="12">
        <v>44744.817407407405</v>
      </c>
      <c r="R100" s="13">
        <v>44746</v>
      </c>
      <c r="T100" t="s">
        <v>47</v>
      </c>
      <c r="U100" t="s">
        <v>48</v>
      </c>
      <c r="V100" t="s">
        <v>128</v>
      </c>
      <c r="Y100" t="s">
        <v>373</v>
      </c>
      <c r="Z100">
        <v>57100</v>
      </c>
      <c r="AA100" t="s">
        <v>47</v>
      </c>
      <c r="AB100" t="s">
        <v>64</v>
      </c>
      <c r="AC100" t="s">
        <v>53</v>
      </c>
      <c r="AD100" s="16">
        <f>IF(P100&lt;=1,7,7+0.8*ROUNDUP(P100-1,0))</f>
        <v>7</v>
      </c>
      <c r="AE100" s="15">
        <v>0</v>
      </c>
      <c r="AF100" s="15">
        <v>0</v>
      </c>
      <c r="AG100" s="15">
        <v>0</v>
      </c>
      <c r="AH100" s="15">
        <v>0</v>
      </c>
      <c r="AI100" s="15">
        <f t="shared" si="13"/>
        <v>0.42</v>
      </c>
      <c r="AJ100" s="15">
        <f t="shared" si="14"/>
        <v>7.42</v>
      </c>
      <c r="AK100" t="s">
        <v>47</v>
      </c>
    </row>
    <row r="101" spans="1:37" ht="15" customHeight="1" x14ac:dyDescent="0.35">
      <c r="A101">
        <v>690929</v>
      </c>
      <c r="B101" t="s">
        <v>37</v>
      </c>
      <c r="C101" t="s">
        <v>38</v>
      </c>
      <c r="D101" s="9" t="s">
        <v>39</v>
      </c>
      <c r="E101" s="10" t="s">
        <v>37</v>
      </c>
      <c r="F101" s="11"/>
      <c r="G101" t="s">
        <v>374</v>
      </c>
      <c r="I101" t="s">
        <v>41</v>
      </c>
      <c r="J101" t="s">
        <v>375</v>
      </c>
      <c r="K101" t="s">
        <v>43</v>
      </c>
      <c r="L101">
        <v>2</v>
      </c>
      <c r="M101" t="s">
        <v>44</v>
      </c>
      <c r="N101" t="s">
        <v>45</v>
      </c>
      <c r="O101" t="s">
        <v>46</v>
      </c>
      <c r="P101" s="5">
        <v>1</v>
      </c>
      <c r="Q101" s="12">
        <v>44744.828657407408</v>
      </c>
      <c r="R101" s="13">
        <v>44746</v>
      </c>
      <c r="T101" t="s">
        <v>47</v>
      </c>
      <c r="U101" t="s">
        <v>48</v>
      </c>
      <c r="V101" t="s">
        <v>114</v>
      </c>
      <c r="Y101" t="s">
        <v>376</v>
      </c>
      <c r="Z101">
        <v>47150</v>
      </c>
      <c r="AA101" t="s">
        <v>47</v>
      </c>
      <c r="AB101" t="s">
        <v>64</v>
      </c>
      <c r="AC101" t="s">
        <v>53</v>
      </c>
      <c r="AD101" s="16">
        <f t="shared" ref="AD101:AD107" si="21">IF(P101&lt;=1,7,7+0.8*ROUNDUP(P101-1,0))</f>
        <v>7</v>
      </c>
      <c r="AE101" s="15">
        <v>0</v>
      </c>
      <c r="AF101" s="15">
        <v>0</v>
      </c>
      <c r="AG101" s="15">
        <v>0</v>
      </c>
      <c r="AH101" s="15">
        <v>0</v>
      </c>
      <c r="AI101" s="15">
        <f t="shared" si="13"/>
        <v>0.42</v>
      </c>
      <c r="AJ101" s="15">
        <f t="shared" si="14"/>
        <v>7.42</v>
      </c>
      <c r="AK101" t="s">
        <v>47</v>
      </c>
    </row>
    <row r="102" spans="1:37" ht="15" customHeight="1" x14ac:dyDescent="0.35">
      <c r="A102">
        <v>690929</v>
      </c>
      <c r="B102" t="s">
        <v>37</v>
      </c>
      <c r="C102" t="s">
        <v>38</v>
      </c>
      <c r="D102" s="9" t="s">
        <v>39</v>
      </c>
      <c r="E102" s="10" t="s">
        <v>37</v>
      </c>
      <c r="F102" s="11"/>
      <c r="G102" t="s">
        <v>377</v>
      </c>
      <c r="I102" t="s">
        <v>41</v>
      </c>
      <c r="J102" t="s">
        <v>378</v>
      </c>
      <c r="K102" t="s">
        <v>43</v>
      </c>
      <c r="L102">
        <v>2</v>
      </c>
      <c r="M102" t="s">
        <v>44</v>
      </c>
      <c r="N102" t="s">
        <v>45</v>
      </c>
      <c r="O102" t="s">
        <v>46</v>
      </c>
      <c r="P102" s="5">
        <v>1</v>
      </c>
      <c r="Q102" s="12">
        <v>44744.640023148146</v>
      </c>
      <c r="R102" s="13">
        <v>44746</v>
      </c>
      <c r="T102" t="s">
        <v>47</v>
      </c>
      <c r="U102" t="s">
        <v>48</v>
      </c>
      <c r="V102" t="s">
        <v>114</v>
      </c>
      <c r="Y102" t="s">
        <v>379</v>
      </c>
      <c r="Z102">
        <v>40400</v>
      </c>
      <c r="AA102" t="s">
        <v>47</v>
      </c>
      <c r="AB102" t="s">
        <v>64</v>
      </c>
      <c r="AC102" t="s">
        <v>53</v>
      </c>
      <c r="AD102" s="16">
        <f t="shared" si="21"/>
        <v>7</v>
      </c>
      <c r="AE102" s="15">
        <v>0</v>
      </c>
      <c r="AF102" s="15">
        <v>0</v>
      </c>
      <c r="AG102" s="15">
        <v>0</v>
      </c>
      <c r="AH102" s="15">
        <v>0</v>
      </c>
      <c r="AI102" s="15">
        <f t="shared" si="13"/>
        <v>0.42</v>
      </c>
      <c r="AJ102" s="15">
        <f t="shared" si="14"/>
        <v>7.42</v>
      </c>
      <c r="AK102" t="s">
        <v>47</v>
      </c>
    </row>
    <row r="103" spans="1:37" ht="15" customHeight="1" x14ac:dyDescent="0.35">
      <c r="A103">
        <v>690929</v>
      </c>
      <c r="B103" t="s">
        <v>37</v>
      </c>
      <c r="C103" t="s">
        <v>38</v>
      </c>
      <c r="D103" s="9" t="s">
        <v>39</v>
      </c>
      <c r="E103" s="10" t="s">
        <v>37</v>
      </c>
      <c r="F103" s="11"/>
      <c r="G103" t="s">
        <v>380</v>
      </c>
      <c r="I103" t="s">
        <v>41</v>
      </c>
      <c r="J103" t="s">
        <v>381</v>
      </c>
      <c r="K103" t="s">
        <v>43</v>
      </c>
      <c r="L103">
        <v>2</v>
      </c>
      <c r="M103" t="s">
        <v>44</v>
      </c>
      <c r="N103" t="s">
        <v>45</v>
      </c>
      <c r="O103" t="s">
        <v>46</v>
      </c>
      <c r="P103" s="5">
        <v>1</v>
      </c>
      <c r="Q103" s="12">
        <v>44744.581122685187</v>
      </c>
      <c r="R103" s="13">
        <v>44746</v>
      </c>
      <c r="T103" t="s">
        <v>47</v>
      </c>
      <c r="U103" t="s">
        <v>48</v>
      </c>
      <c r="V103" t="s">
        <v>128</v>
      </c>
      <c r="Y103" t="s">
        <v>382</v>
      </c>
      <c r="Z103">
        <v>53300</v>
      </c>
      <c r="AA103" t="s">
        <v>47</v>
      </c>
      <c r="AB103" t="s">
        <v>64</v>
      </c>
      <c r="AC103" t="s">
        <v>53</v>
      </c>
      <c r="AD103" s="16">
        <f t="shared" si="21"/>
        <v>7</v>
      </c>
      <c r="AE103" s="15">
        <v>0</v>
      </c>
      <c r="AF103" s="15">
        <v>0</v>
      </c>
      <c r="AG103" s="15">
        <v>0</v>
      </c>
      <c r="AH103" s="15">
        <v>0</v>
      </c>
      <c r="AI103" s="15">
        <f t="shared" si="13"/>
        <v>0.42</v>
      </c>
      <c r="AJ103" s="15">
        <f t="shared" si="14"/>
        <v>7.42</v>
      </c>
      <c r="AK103" t="s">
        <v>47</v>
      </c>
    </row>
    <row r="104" spans="1:37" ht="15" customHeight="1" x14ac:dyDescent="0.35">
      <c r="A104">
        <v>690929</v>
      </c>
      <c r="B104" t="s">
        <v>37</v>
      </c>
      <c r="C104" t="s">
        <v>38</v>
      </c>
      <c r="D104" s="9" t="s">
        <v>39</v>
      </c>
      <c r="E104" s="10" t="s">
        <v>37</v>
      </c>
      <c r="F104" s="11"/>
      <c r="G104" t="s">
        <v>383</v>
      </c>
      <c r="I104" t="s">
        <v>41</v>
      </c>
      <c r="J104" t="s">
        <v>384</v>
      </c>
      <c r="K104" t="s">
        <v>43</v>
      </c>
      <c r="L104">
        <v>2</v>
      </c>
      <c r="M104" t="s">
        <v>44</v>
      </c>
      <c r="N104" t="s">
        <v>45</v>
      </c>
      <c r="O104" t="s">
        <v>46</v>
      </c>
      <c r="P104" s="5">
        <v>1</v>
      </c>
      <c r="Q104" s="12">
        <v>44744.830625000002</v>
      </c>
      <c r="R104" s="13">
        <v>44746</v>
      </c>
      <c r="T104" t="s">
        <v>47</v>
      </c>
      <c r="U104" t="s">
        <v>48</v>
      </c>
      <c r="V104" t="s">
        <v>96</v>
      </c>
      <c r="Y104" t="s">
        <v>385</v>
      </c>
      <c r="Z104">
        <v>15100</v>
      </c>
      <c r="AA104" t="s">
        <v>47</v>
      </c>
      <c r="AB104" t="s">
        <v>56</v>
      </c>
      <c r="AC104" t="s">
        <v>53</v>
      </c>
      <c r="AD104" s="16">
        <f t="shared" si="21"/>
        <v>7</v>
      </c>
      <c r="AE104" s="15">
        <v>0</v>
      </c>
      <c r="AF104" s="15">
        <v>0</v>
      </c>
      <c r="AG104" s="15">
        <v>0</v>
      </c>
      <c r="AH104" s="15">
        <v>0</v>
      </c>
      <c r="AI104" s="15">
        <f t="shared" si="13"/>
        <v>0.42</v>
      </c>
      <c r="AJ104" s="15">
        <f t="shared" si="14"/>
        <v>7.42</v>
      </c>
      <c r="AK104" t="s">
        <v>47</v>
      </c>
    </row>
    <row r="105" spans="1:37" ht="15" customHeight="1" x14ac:dyDescent="0.35">
      <c r="A105">
        <v>690929</v>
      </c>
      <c r="B105" t="s">
        <v>37</v>
      </c>
      <c r="C105" t="s">
        <v>38</v>
      </c>
      <c r="D105" s="9" t="s">
        <v>39</v>
      </c>
      <c r="E105" s="10" t="s">
        <v>37</v>
      </c>
      <c r="F105" s="11"/>
      <c r="G105" t="s">
        <v>386</v>
      </c>
      <c r="I105" t="s">
        <v>41</v>
      </c>
      <c r="J105" t="s">
        <v>387</v>
      </c>
      <c r="K105" t="s">
        <v>43</v>
      </c>
      <c r="L105">
        <v>2</v>
      </c>
      <c r="M105" t="s">
        <v>44</v>
      </c>
      <c r="N105" t="s">
        <v>45</v>
      </c>
      <c r="O105" t="s">
        <v>46</v>
      </c>
      <c r="P105" s="5">
        <v>1</v>
      </c>
      <c r="Q105" s="12">
        <v>44744.836724537039</v>
      </c>
      <c r="R105" s="13">
        <v>44746</v>
      </c>
      <c r="T105" t="s">
        <v>47</v>
      </c>
      <c r="U105" t="s">
        <v>48</v>
      </c>
      <c r="V105" t="s">
        <v>114</v>
      </c>
      <c r="Y105" t="s">
        <v>388</v>
      </c>
      <c r="Z105">
        <v>56100</v>
      </c>
      <c r="AA105" t="s">
        <v>47</v>
      </c>
      <c r="AB105" t="s">
        <v>64</v>
      </c>
      <c r="AC105" t="s">
        <v>53</v>
      </c>
      <c r="AD105" s="16">
        <f t="shared" si="21"/>
        <v>7</v>
      </c>
      <c r="AE105" s="15">
        <v>0</v>
      </c>
      <c r="AF105" s="15">
        <v>0</v>
      </c>
      <c r="AG105" s="15">
        <v>0</v>
      </c>
      <c r="AH105" s="15">
        <v>0</v>
      </c>
      <c r="AI105" s="15">
        <f t="shared" si="13"/>
        <v>0.42</v>
      </c>
      <c r="AJ105" s="15">
        <f t="shared" si="14"/>
        <v>7.42</v>
      </c>
      <c r="AK105" t="s">
        <v>47</v>
      </c>
    </row>
    <row r="106" spans="1:37" ht="15" customHeight="1" x14ac:dyDescent="0.35">
      <c r="A106">
        <v>690929</v>
      </c>
      <c r="B106" t="s">
        <v>37</v>
      </c>
      <c r="C106" t="s">
        <v>38</v>
      </c>
      <c r="D106" s="9" t="s">
        <v>39</v>
      </c>
      <c r="E106" s="10" t="s">
        <v>37</v>
      </c>
      <c r="F106" s="11"/>
      <c r="G106" t="s">
        <v>389</v>
      </c>
      <c r="I106" t="s">
        <v>41</v>
      </c>
      <c r="J106" t="s">
        <v>390</v>
      </c>
      <c r="K106" t="s">
        <v>43</v>
      </c>
      <c r="L106">
        <v>2</v>
      </c>
      <c r="M106" t="s">
        <v>44</v>
      </c>
      <c r="N106" t="s">
        <v>45</v>
      </c>
      <c r="O106" t="s">
        <v>46</v>
      </c>
      <c r="P106" s="5">
        <v>1</v>
      </c>
      <c r="Q106" s="12">
        <v>44744.822048611109</v>
      </c>
      <c r="R106" s="13">
        <v>44746</v>
      </c>
      <c r="T106" t="s">
        <v>47</v>
      </c>
      <c r="U106" t="s">
        <v>48</v>
      </c>
      <c r="V106" t="s">
        <v>114</v>
      </c>
      <c r="Y106" t="s">
        <v>391</v>
      </c>
      <c r="Z106">
        <v>56100</v>
      </c>
      <c r="AA106" t="s">
        <v>47</v>
      </c>
      <c r="AB106" t="s">
        <v>64</v>
      </c>
      <c r="AC106" t="s">
        <v>53</v>
      </c>
      <c r="AD106" s="16">
        <f t="shared" si="21"/>
        <v>7</v>
      </c>
      <c r="AE106" s="15">
        <v>0</v>
      </c>
      <c r="AF106" s="15">
        <v>0</v>
      </c>
      <c r="AG106" s="15">
        <v>0</v>
      </c>
      <c r="AH106" s="15">
        <v>0</v>
      </c>
      <c r="AI106" s="15">
        <f t="shared" si="13"/>
        <v>0.42</v>
      </c>
      <c r="AJ106" s="15">
        <f t="shared" si="14"/>
        <v>7.42</v>
      </c>
      <c r="AK106" t="s">
        <v>47</v>
      </c>
    </row>
    <row r="107" spans="1:37" ht="15" customHeight="1" x14ac:dyDescent="0.35">
      <c r="A107">
        <v>690929</v>
      </c>
      <c r="B107" t="s">
        <v>37</v>
      </c>
      <c r="C107" t="s">
        <v>38</v>
      </c>
      <c r="D107" s="9" t="s">
        <v>39</v>
      </c>
      <c r="E107" s="10" t="s">
        <v>37</v>
      </c>
      <c r="F107" s="11"/>
      <c r="G107" t="s">
        <v>392</v>
      </c>
      <c r="I107" t="s">
        <v>41</v>
      </c>
      <c r="J107" t="s">
        <v>393</v>
      </c>
      <c r="K107" t="s">
        <v>43</v>
      </c>
      <c r="L107">
        <v>2</v>
      </c>
      <c r="M107" t="s">
        <v>44</v>
      </c>
      <c r="N107" t="s">
        <v>45</v>
      </c>
      <c r="O107" t="s">
        <v>46</v>
      </c>
      <c r="P107" s="5">
        <v>1</v>
      </c>
      <c r="Q107" s="12">
        <v>44744.824374999997</v>
      </c>
      <c r="R107" s="13">
        <v>44746</v>
      </c>
      <c r="T107" t="s">
        <v>47</v>
      </c>
      <c r="U107" t="s">
        <v>48</v>
      </c>
      <c r="V107" t="s">
        <v>114</v>
      </c>
      <c r="Y107" t="s">
        <v>394</v>
      </c>
      <c r="Z107">
        <v>42700</v>
      </c>
      <c r="AA107" t="s">
        <v>47</v>
      </c>
      <c r="AB107" t="s">
        <v>64</v>
      </c>
      <c r="AC107" t="s">
        <v>53</v>
      </c>
      <c r="AD107" s="16">
        <f t="shared" si="21"/>
        <v>7</v>
      </c>
      <c r="AE107" s="15">
        <v>0</v>
      </c>
      <c r="AF107" s="15">
        <v>0</v>
      </c>
      <c r="AG107" s="15">
        <v>0</v>
      </c>
      <c r="AH107" s="15">
        <v>0</v>
      </c>
      <c r="AI107" s="15">
        <f t="shared" si="13"/>
        <v>0.42</v>
      </c>
      <c r="AJ107" s="15">
        <f t="shared" si="14"/>
        <v>7.42</v>
      </c>
      <c r="AK107" t="s">
        <v>47</v>
      </c>
    </row>
    <row r="108" spans="1:37" ht="15" customHeight="1" x14ac:dyDescent="0.35">
      <c r="A108">
        <v>690929</v>
      </c>
      <c r="B108" t="s">
        <v>37</v>
      </c>
      <c r="C108" t="s">
        <v>38</v>
      </c>
      <c r="D108" s="9" t="s">
        <v>39</v>
      </c>
      <c r="E108" s="10" t="s">
        <v>37</v>
      </c>
      <c r="F108" s="11"/>
      <c r="G108" t="s">
        <v>395</v>
      </c>
      <c r="I108" t="s">
        <v>41</v>
      </c>
      <c r="J108" t="s">
        <v>396</v>
      </c>
      <c r="K108" t="s">
        <v>43</v>
      </c>
      <c r="L108">
        <v>2</v>
      </c>
      <c r="M108" t="s">
        <v>44</v>
      </c>
      <c r="N108" t="s">
        <v>45</v>
      </c>
      <c r="O108" t="s">
        <v>46</v>
      </c>
      <c r="P108" s="5">
        <v>1</v>
      </c>
      <c r="Q108" s="12">
        <v>44745.560949074075</v>
      </c>
      <c r="R108" s="13">
        <v>44746</v>
      </c>
      <c r="T108" t="s">
        <v>47</v>
      </c>
      <c r="U108" t="s">
        <v>48</v>
      </c>
      <c r="V108" t="s">
        <v>67</v>
      </c>
      <c r="Y108" t="s">
        <v>397</v>
      </c>
      <c r="Z108">
        <v>26400</v>
      </c>
      <c r="AA108" t="s">
        <v>47</v>
      </c>
      <c r="AB108" t="s">
        <v>48</v>
      </c>
      <c r="AC108" t="s">
        <v>53</v>
      </c>
      <c r="AD108" s="16">
        <f>IF(P108&lt;=1,7,7+0.8*ROUNDUP(P108-1,0))</f>
        <v>7</v>
      </c>
      <c r="AE108" s="15">
        <v>0</v>
      </c>
      <c r="AF108" s="15">
        <v>0</v>
      </c>
      <c r="AG108" s="15">
        <v>0</v>
      </c>
      <c r="AH108" s="15">
        <v>0</v>
      </c>
      <c r="AI108" s="15">
        <f t="shared" si="13"/>
        <v>0.42</v>
      </c>
      <c r="AJ108" s="15">
        <f t="shared" si="14"/>
        <v>7.42</v>
      </c>
      <c r="AK108" t="s">
        <v>47</v>
      </c>
    </row>
    <row r="109" spans="1:37" ht="15" customHeight="1" x14ac:dyDescent="0.35">
      <c r="A109">
        <v>690929</v>
      </c>
      <c r="B109" t="s">
        <v>37</v>
      </c>
      <c r="C109" t="s">
        <v>38</v>
      </c>
      <c r="D109" s="9" t="s">
        <v>39</v>
      </c>
      <c r="E109" s="10" t="s">
        <v>37</v>
      </c>
      <c r="F109" s="11"/>
      <c r="G109" t="s">
        <v>398</v>
      </c>
      <c r="I109" t="s">
        <v>41</v>
      </c>
      <c r="J109" t="s">
        <v>399</v>
      </c>
      <c r="K109" t="s">
        <v>43</v>
      </c>
      <c r="L109">
        <v>2</v>
      </c>
      <c r="M109" t="s">
        <v>44</v>
      </c>
      <c r="N109" t="s">
        <v>45</v>
      </c>
      <c r="O109" t="s">
        <v>46</v>
      </c>
      <c r="P109" s="5">
        <v>1</v>
      </c>
      <c r="Q109" s="12">
        <v>44744.849062499998</v>
      </c>
      <c r="R109" s="13">
        <v>44746</v>
      </c>
      <c r="T109" t="s">
        <v>47</v>
      </c>
      <c r="U109" t="s">
        <v>48</v>
      </c>
      <c r="V109" t="s">
        <v>128</v>
      </c>
      <c r="Y109" t="s">
        <v>400</v>
      </c>
      <c r="Z109">
        <v>53300</v>
      </c>
      <c r="AA109" t="s">
        <v>47</v>
      </c>
      <c r="AB109" t="s">
        <v>64</v>
      </c>
      <c r="AC109" t="s">
        <v>53</v>
      </c>
      <c r="AD109" s="16">
        <f>IF(P109&lt;=1,7,7+0.8*ROUNDUP(P109-1,0))</f>
        <v>7</v>
      </c>
      <c r="AE109" s="15">
        <v>0</v>
      </c>
      <c r="AF109" s="15">
        <v>0</v>
      </c>
      <c r="AG109" s="15">
        <v>0</v>
      </c>
      <c r="AH109" s="15">
        <v>0</v>
      </c>
      <c r="AI109" s="15">
        <f t="shared" si="13"/>
        <v>0.42</v>
      </c>
      <c r="AJ109" s="15">
        <f t="shared" si="14"/>
        <v>7.42</v>
      </c>
      <c r="AK109" t="s">
        <v>47</v>
      </c>
    </row>
    <row r="110" spans="1:37" ht="15" customHeight="1" x14ac:dyDescent="0.35">
      <c r="A110">
        <v>690929</v>
      </c>
      <c r="B110" t="s">
        <v>37</v>
      </c>
      <c r="C110" t="s">
        <v>38</v>
      </c>
      <c r="D110" s="9" t="s">
        <v>39</v>
      </c>
      <c r="E110" s="10" t="s">
        <v>37</v>
      </c>
      <c r="F110" s="11"/>
      <c r="G110" t="s">
        <v>401</v>
      </c>
      <c r="I110" t="s">
        <v>41</v>
      </c>
      <c r="J110" t="s">
        <v>402</v>
      </c>
      <c r="K110" t="s">
        <v>43</v>
      </c>
      <c r="L110">
        <v>2</v>
      </c>
      <c r="M110" t="s">
        <v>44</v>
      </c>
      <c r="N110" t="s">
        <v>45</v>
      </c>
      <c r="O110" t="s">
        <v>46</v>
      </c>
      <c r="P110" s="5">
        <v>1</v>
      </c>
      <c r="Q110" s="12">
        <v>44744.620011574072</v>
      </c>
      <c r="R110" s="13">
        <v>44746</v>
      </c>
      <c r="T110" t="s">
        <v>47</v>
      </c>
      <c r="U110" t="s">
        <v>48</v>
      </c>
      <c r="V110" t="s">
        <v>114</v>
      </c>
      <c r="Y110" t="s">
        <v>403</v>
      </c>
      <c r="Z110">
        <v>40460</v>
      </c>
      <c r="AA110" t="s">
        <v>47</v>
      </c>
      <c r="AB110" t="s">
        <v>64</v>
      </c>
      <c r="AC110" t="s">
        <v>53</v>
      </c>
      <c r="AD110" s="16">
        <f t="shared" ref="AD110" si="22">IF(P110&lt;=1,7,7+0.8*ROUNDUP(P110-1,0))</f>
        <v>7</v>
      </c>
      <c r="AE110" s="15">
        <v>0</v>
      </c>
      <c r="AF110" s="15">
        <v>0</v>
      </c>
      <c r="AG110" s="15">
        <v>0</v>
      </c>
      <c r="AH110" s="15">
        <v>0</v>
      </c>
      <c r="AI110" s="15">
        <f t="shared" si="13"/>
        <v>0.42</v>
      </c>
      <c r="AJ110" s="15">
        <f t="shared" si="14"/>
        <v>7.42</v>
      </c>
      <c r="AK110" t="s">
        <v>47</v>
      </c>
    </row>
    <row r="111" spans="1:37" ht="15" customHeight="1" x14ac:dyDescent="0.35">
      <c r="A111">
        <v>690929</v>
      </c>
      <c r="B111" t="s">
        <v>37</v>
      </c>
      <c r="C111" t="s">
        <v>38</v>
      </c>
      <c r="D111" s="9" t="s">
        <v>39</v>
      </c>
      <c r="E111" s="10" t="s">
        <v>37</v>
      </c>
      <c r="F111" s="11"/>
      <c r="G111" t="s">
        <v>404</v>
      </c>
      <c r="I111" t="s">
        <v>41</v>
      </c>
      <c r="J111" t="s">
        <v>204</v>
      </c>
      <c r="K111" t="s">
        <v>43</v>
      </c>
      <c r="L111">
        <v>2</v>
      </c>
      <c r="M111" t="s">
        <v>44</v>
      </c>
      <c r="N111" t="s">
        <v>45</v>
      </c>
      <c r="O111" t="s">
        <v>46</v>
      </c>
      <c r="P111" s="5">
        <v>1</v>
      </c>
      <c r="Q111" s="12">
        <v>44744.745787037034</v>
      </c>
      <c r="R111" s="13">
        <v>44746</v>
      </c>
      <c r="T111" t="s">
        <v>47</v>
      </c>
      <c r="U111" t="s">
        <v>48</v>
      </c>
      <c r="V111" t="s">
        <v>114</v>
      </c>
      <c r="Y111" t="s">
        <v>205</v>
      </c>
      <c r="Z111">
        <v>55100</v>
      </c>
      <c r="AA111" t="s">
        <v>47</v>
      </c>
      <c r="AB111" t="s">
        <v>64</v>
      </c>
      <c r="AC111" t="s">
        <v>53</v>
      </c>
      <c r="AD111" s="16">
        <f>IF(P111&lt;=1,7,7+0.8*ROUNDUP(P111-1,0))</f>
        <v>7</v>
      </c>
      <c r="AE111" s="15">
        <v>0</v>
      </c>
      <c r="AF111" s="15">
        <v>0</v>
      </c>
      <c r="AG111" s="15">
        <v>0</v>
      </c>
      <c r="AH111" s="15">
        <v>0</v>
      </c>
      <c r="AI111" s="15">
        <f t="shared" si="13"/>
        <v>0.42</v>
      </c>
      <c r="AJ111" s="15">
        <f t="shared" si="14"/>
        <v>7.42</v>
      </c>
      <c r="AK111" t="s">
        <v>47</v>
      </c>
    </row>
    <row r="112" spans="1:37" ht="15" customHeight="1" x14ac:dyDescent="0.35">
      <c r="A112">
        <v>690929</v>
      </c>
      <c r="B112" t="s">
        <v>37</v>
      </c>
      <c r="C112" t="s">
        <v>38</v>
      </c>
      <c r="D112" s="9" t="s">
        <v>39</v>
      </c>
      <c r="E112" s="10" t="s">
        <v>37</v>
      </c>
      <c r="F112" s="11"/>
      <c r="G112" t="s">
        <v>405</v>
      </c>
      <c r="I112" t="s">
        <v>41</v>
      </c>
      <c r="J112" t="s">
        <v>406</v>
      </c>
      <c r="K112" t="s">
        <v>43</v>
      </c>
      <c r="L112">
        <v>2</v>
      </c>
      <c r="M112" t="s">
        <v>44</v>
      </c>
      <c r="N112" t="s">
        <v>45</v>
      </c>
      <c r="O112" t="s">
        <v>46</v>
      </c>
      <c r="P112" s="5">
        <v>1</v>
      </c>
      <c r="Q112" s="12">
        <v>44744.842199074075</v>
      </c>
      <c r="R112" s="13">
        <v>44746</v>
      </c>
      <c r="T112" t="s">
        <v>47</v>
      </c>
      <c r="U112" t="s">
        <v>48</v>
      </c>
      <c r="V112" t="s">
        <v>114</v>
      </c>
      <c r="Y112" t="s">
        <v>407</v>
      </c>
      <c r="Z112">
        <v>44000</v>
      </c>
      <c r="AA112" t="s">
        <v>47</v>
      </c>
      <c r="AB112" t="s">
        <v>64</v>
      </c>
      <c r="AC112" t="s">
        <v>53</v>
      </c>
      <c r="AD112" s="16">
        <f>IF(P112&lt;=1,7,7+0.8*ROUNDUP(P112-1,0))</f>
        <v>7</v>
      </c>
      <c r="AE112" s="15">
        <v>0</v>
      </c>
      <c r="AF112" s="15">
        <v>0</v>
      </c>
      <c r="AG112" s="15">
        <v>0</v>
      </c>
      <c r="AH112" s="15">
        <v>0</v>
      </c>
      <c r="AI112" s="15">
        <f t="shared" si="13"/>
        <v>0.42</v>
      </c>
      <c r="AJ112" s="15">
        <f t="shared" si="14"/>
        <v>7.42</v>
      </c>
      <c r="AK112" t="s">
        <v>47</v>
      </c>
    </row>
    <row r="113" spans="1:37" ht="15" customHeight="1" x14ac:dyDescent="0.35">
      <c r="A113">
        <v>690929</v>
      </c>
      <c r="B113" t="s">
        <v>37</v>
      </c>
      <c r="C113" t="s">
        <v>38</v>
      </c>
      <c r="D113" s="9" t="s">
        <v>39</v>
      </c>
      <c r="E113" s="10" t="s">
        <v>37</v>
      </c>
      <c r="F113" s="11"/>
      <c r="G113" t="s">
        <v>408</v>
      </c>
      <c r="I113" t="s">
        <v>41</v>
      </c>
      <c r="J113" t="s">
        <v>409</v>
      </c>
      <c r="K113" t="s">
        <v>43</v>
      </c>
      <c r="L113">
        <v>2</v>
      </c>
      <c r="M113" t="s">
        <v>44</v>
      </c>
      <c r="N113" t="s">
        <v>45</v>
      </c>
      <c r="O113" t="s">
        <v>46</v>
      </c>
      <c r="P113" s="5">
        <v>2</v>
      </c>
      <c r="Q113" s="12">
        <v>44744.57309027778</v>
      </c>
      <c r="R113" s="13">
        <v>44746</v>
      </c>
      <c r="T113" t="s">
        <v>47</v>
      </c>
      <c r="U113" t="s">
        <v>48</v>
      </c>
      <c r="V113" t="s">
        <v>62</v>
      </c>
      <c r="Y113" t="s">
        <v>410</v>
      </c>
      <c r="Z113">
        <v>81200</v>
      </c>
      <c r="AA113" t="s">
        <v>47</v>
      </c>
      <c r="AB113" t="s">
        <v>64</v>
      </c>
      <c r="AC113" t="s">
        <v>53</v>
      </c>
      <c r="AD113" s="16">
        <f>IF(P113&lt;=1,7,7+0.8*ROUNDUP(P113-1,0))</f>
        <v>7.8</v>
      </c>
      <c r="AE113" s="15">
        <v>0</v>
      </c>
      <c r="AF113" s="15">
        <v>0</v>
      </c>
      <c r="AG113" s="15">
        <v>0</v>
      </c>
      <c r="AH113" s="15">
        <v>0</v>
      </c>
      <c r="AI113" s="15">
        <f t="shared" si="13"/>
        <v>0.46799999999999997</v>
      </c>
      <c r="AJ113" s="15">
        <f t="shared" si="14"/>
        <v>8.2680000000000007</v>
      </c>
      <c r="AK113" t="s">
        <v>47</v>
      </c>
    </row>
    <row r="114" spans="1:37" ht="15" customHeight="1" x14ac:dyDescent="0.35">
      <c r="A114">
        <v>690929</v>
      </c>
      <c r="B114" t="s">
        <v>37</v>
      </c>
      <c r="C114" t="s">
        <v>38</v>
      </c>
      <c r="D114" s="9" t="s">
        <v>39</v>
      </c>
      <c r="E114" s="10" t="s">
        <v>37</v>
      </c>
      <c r="F114" s="11"/>
      <c r="G114" t="s">
        <v>411</v>
      </c>
      <c r="I114" t="s">
        <v>41</v>
      </c>
      <c r="J114" t="s">
        <v>412</v>
      </c>
      <c r="K114" t="s">
        <v>43</v>
      </c>
      <c r="L114">
        <v>2</v>
      </c>
      <c r="M114" t="s">
        <v>44</v>
      </c>
      <c r="N114" t="s">
        <v>45</v>
      </c>
      <c r="O114" t="s">
        <v>46</v>
      </c>
      <c r="P114" s="5">
        <v>1</v>
      </c>
      <c r="Q114" s="12">
        <v>44744.839560185188</v>
      </c>
      <c r="R114" s="13">
        <v>44746</v>
      </c>
      <c r="T114" t="s">
        <v>47</v>
      </c>
      <c r="U114" t="s">
        <v>48</v>
      </c>
      <c r="V114" t="s">
        <v>114</v>
      </c>
      <c r="Y114" t="s">
        <v>413</v>
      </c>
      <c r="Z114">
        <v>42600</v>
      </c>
      <c r="AA114" t="s">
        <v>47</v>
      </c>
      <c r="AB114" t="s">
        <v>64</v>
      </c>
      <c r="AC114" t="s">
        <v>53</v>
      </c>
      <c r="AD114" s="16">
        <f>IF(P114&lt;=1,7,7+0.8*ROUNDUP(P114-1,0))</f>
        <v>7</v>
      </c>
      <c r="AE114" s="15">
        <v>0</v>
      </c>
      <c r="AF114" s="15">
        <v>0</v>
      </c>
      <c r="AG114" s="15">
        <v>0</v>
      </c>
      <c r="AH114" s="15">
        <v>0</v>
      </c>
      <c r="AI114" s="15">
        <f t="shared" si="13"/>
        <v>0.42</v>
      </c>
      <c r="AJ114" s="15">
        <f t="shared" si="14"/>
        <v>7.42</v>
      </c>
      <c r="AK114" t="s">
        <v>47</v>
      </c>
    </row>
    <row r="115" spans="1:37" ht="15" customHeight="1" x14ac:dyDescent="0.35">
      <c r="A115">
        <v>690929</v>
      </c>
      <c r="B115" t="s">
        <v>37</v>
      </c>
      <c r="C115" t="s">
        <v>38</v>
      </c>
      <c r="D115" s="9" t="s">
        <v>39</v>
      </c>
      <c r="E115" s="10" t="s">
        <v>37</v>
      </c>
      <c r="F115" s="11"/>
      <c r="G115" t="s">
        <v>414</v>
      </c>
      <c r="I115" t="s">
        <v>41</v>
      </c>
      <c r="J115" t="s">
        <v>415</v>
      </c>
      <c r="K115" t="s">
        <v>43</v>
      </c>
      <c r="L115">
        <v>2</v>
      </c>
      <c r="M115" t="s">
        <v>44</v>
      </c>
      <c r="N115" t="s">
        <v>45</v>
      </c>
      <c r="O115" t="s">
        <v>46</v>
      </c>
      <c r="P115" s="5">
        <v>1</v>
      </c>
      <c r="Q115" s="12">
        <v>44744.835555555554</v>
      </c>
      <c r="R115" s="13">
        <v>44746</v>
      </c>
      <c r="T115" t="s">
        <v>47</v>
      </c>
      <c r="U115" t="s">
        <v>48</v>
      </c>
      <c r="V115" t="s">
        <v>114</v>
      </c>
      <c r="Y115" t="s">
        <v>416</v>
      </c>
      <c r="Z115">
        <v>42100</v>
      </c>
      <c r="AA115" t="s">
        <v>47</v>
      </c>
      <c r="AB115" t="s">
        <v>64</v>
      </c>
      <c r="AC115" t="s">
        <v>53</v>
      </c>
      <c r="AD115" s="16">
        <f t="shared" ref="AD115" si="23">IF(P115&lt;=1,7,7+0.8*ROUNDUP(P115-1,0))</f>
        <v>7</v>
      </c>
      <c r="AE115" s="15">
        <v>0</v>
      </c>
      <c r="AF115" s="15">
        <v>0</v>
      </c>
      <c r="AG115" s="15">
        <v>0</v>
      </c>
      <c r="AH115" s="15">
        <v>0</v>
      </c>
      <c r="AI115" s="15">
        <f t="shared" si="13"/>
        <v>0.42</v>
      </c>
      <c r="AJ115" s="15">
        <f t="shared" si="14"/>
        <v>7.42</v>
      </c>
      <c r="AK115" t="s">
        <v>47</v>
      </c>
    </row>
    <row r="116" spans="1:37" ht="15" customHeight="1" x14ac:dyDescent="0.35">
      <c r="A116">
        <v>690929</v>
      </c>
      <c r="B116" t="s">
        <v>37</v>
      </c>
      <c r="C116" t="s">
        <v>38</v>
      </c>
      <c r="D116" s="9" t="s">
        <v>39</v>
      </c>
      <c r="E116" s="10" t="s">
        <v>37</v>
      </c>
      <c r="F116" s="11"/>
      <c r="G116" t="s">
        <v>417</v>
      </c>
      <c r="I116" t="s">
        <v>41</v>
      </c>
      <c r="J116" t="s">
        <v>418</v>
      </c>
      <c r="K116" t="s">
        <v>43</v>
      </c>
      <c r="L116">
        <v>2</v>
      </c>
      <c r="M116" t="s">
        <v>44</v>
      </c>
      <c r="N116" t="s">
        <v>45</v>
      </c>
      <c r="O116" t="s">
        <v>46</v>
      </c>
      <c r="P116" s="5">
        <v>3</v>
      </c>
      <c r="Q116" s="12">
        <v>44744.481585648151</v>
      </c>
      <c r="R116" s="13">
        <v>44746</v>
      </c>
      <c r="T116" t="s">
        <v>47</v>
      </c>
      <c r="U116" t="s">
        <v>48</v>
      </c>
      <c r="V116" t="s">
        <v>100</v>
      </c>
      <c r="Y116" t="s">
        <v>419</v>
      </c>
      <c r="Z116">
        <v>32040</v>
      </c>
      <c r="AA116" t="s">
        <v>47</v>
      </c>
      <c r="AB116" t="s">
        <v>64</v>
      </c>
      <c r="AC116" t="s">
        <v>53</v>
      </c>
      <c r="AD116" s="16">
        <f>IF(P116&lt;=1,7,7+0.8*ROUNDUP(P116-1,0))</f>
        <v>8.6</v>
      </c>
      <c r="AE116" s="15">
        <v>0</v>
      </c>
      <c r="AF116" s="15">
        <v>0</v>
      </c>
      <c r="AG116" s="15">
        <v>0</v>
      </c>
      <c r="AH116" s="15">
        <v>0</v>
      </c>
      <c r="AI116" s="15">
        <f t="shared" si="13"/>
        <v>0.51600000000000001</v>
      </c>
      <c r="AJ116" s="15">
        <f t="shared" si="14"/>
        <v>9.1159999999999997</v>
      </c>
      <c r="AK116" t="s">
        <v>47</v>
      </c>
    </row>
    <row r="117" spans="1:37" ht="15" customHeight="1" x14ac:dyDescent="0.35">
      <c r="A117">
        <v>690929</v>
      </c>
      <c r="B117" t="s">
        <v>37</v>
      </c>
      <c r="C117" t="s">
        <v>38</v>
      </c>
      <c r="D117" s="9" t="s">
        <v>39</v>
      </c>
      <c r="E117" s="10" t="s">
        <v>37</v>
      </c>
      <c r="F117" s="11"/>
      <c r="G117" t="s">
        <v>420</v>
      </c>
      <c r="I117" t="s">
        <v>41</v>
      </c>
      <c r="J117" t="s">
        <v>421</v>
      </c>
      <c r="K117" t="s">
        <v>43</v>
      </c>
      <c r="L117">
        <v>2</v>
      </c>
      <c r="M117" t="s">
        <v>44</v>
      </c>
      <c r="N117" t="s">
        <v>45</v>
      </c>
      <c r="O117" t="s">
        <v>46</v>
      </c>
      <c r="P117" s="5">
        <v>1</v>
      </c>
      <c r="Q117" s="12">
        <v>44744.711516203701</v>
      </c>
      <c r="R117" s="13">
        <v>44746</v>
      </c>
      <c r="T117" t="s">
        <v>47</v>
      </c>
      <c r="U117" t="s">
        <v>48</v>
      </c>
      <c r="V117" t="s">
        <v>114</v>
      </c>
      <c r="Y117" t="s">
        <v>422</v>
      </c>
      <c r="Z117">
        <v>68100</v>
      </c>
      <c r="AA117" t="s">
        <v>47</v>
      </c>
      <c r="AB117" t="s">
        <v>64</v>
      </c>
      <c r="AC117" t="s">
        <v>53</v>
      </c>
      <c r="AD117" s="16">
        <f>IF(P117&lt;=1,7,7+0.8*ROUNDUP(P117-1,0))</f>
        <v>7</v>
      </c>
      <c r="AE117" s="15">
        <v>0</v>
      </c>
      <c r="AF117" s="15">
        <v>0</v>
      </c>
      <c r="AG117" s="15">
        <v>0</v>
      </c>
      <c r="AH117" s="15">
        <v>0</v>
      </c>
      <c r="AI117" s="15">
        <f t="shared" si="13"/>
        <v>0.42</v>
      </c>
      <c r="AJ117" s="15">
        <f t="shared" si="14"/>
        <v>7.42</v>
      </c>
      <c r="AK117" t="s">
        <v>47</v>
      </c>
    </row>
    <row r="118" spans="1:37" ht="15" customHeight="1" x14ac:dyDescent="0.35">
      <c r="A118">
        <v>690929</v>
      </c>
      <c r="B118" t="s">
        <v>37</v>
      </c>
      <c r="C118" t="s">
        <v>38</v>
      </c>
      <c r="D118" s="9" t="s">
        <v>39</v>
      </c>
      <c r="E118" s="10" t="s">
        <v>37</v>
      </c>
      <c r="F118" s="11"/>
      <c r="G118" t="s">
        <v>423</v>
      </c>
      <c r="I118" t="s">
        <v>41</v>
      </c>
      <c r="J118" t="s">
        <v>424</v>
      </c>
      <c r="K118" t="s">
        <v>43</v>
      </c>
      <c r="L118">
        <v>2</v>
      </c>
      <c r="M118" t="s">
        <v>44</v>
      </c>
      <c r="N118" t="s">
        <v>45</v>
      </c>
      <c r="O118" t="s">
        <v>46</v>
      </c>
      <c r="P118" s="5">
        <v>1</v>
      </c>
      <c r="Q118" s="12">
        <v>44744.717268518521</v>
      </c>
      <c r="R118" s="13">
        <v>44747</v>
      </c>
      <c r="T118" t="s">
        <v>47</v>
      </c>
      <c r="U118" t="s">
        <v>48</v>
      </c>
      <c r="V118" t="s">
        <v>62</v>
      </c>
      <c r="Y118" t="s">
        <v>425</v>
      </c>
      <c r="Z118">
        <v>84000</v>
      </c>
      <c r="AA118" t="s">
        <v>47</v>
      </c>
      <c r="AB118" t="s">
        <v>64</v>
      </c>
      <c r="AC118" t="s">
        <v>53</v>
      </c>
      <c r="AD118" s="16">
        <f>IF(P118&lt;=1,7,7+0.8*ROUNDUP(P118-1,0))</f>
        <v>7</v>
      </c>
      <c r="AE118" s="15">
        <v>0</v>
      </c>
      <c r="AF118" s="15">
        <v>0</v>
      </c>
      <c r="AG118" s="15">
        <v>0</v>
      </c>
      <c r="AH118" s="15">
        <v>0</v>
      </c>
      <c r="AI118" s="15">
        <f t="shared" si="13"/>
        <v>0.42</v>
      </c>
      <c r="AJ118" s="15">
        <f t="shared" si="14"/>
        <v>7.42</v>
      </c>
      <c r="AK118" t="s">
        <v>47</v>
      </c>
    </row>
    <row r="119" spans="1:37" ht="15" customHeight="1" x14ac:dyDescent="0.35">
      <c r="A119">
        <v>690929</v>
      </c>
      <c r="B119" t="s">
        <v>37</v>
      </c>
      <c r="C119" t="s">
        <v>38</v>
      </c>
      <c r="D119" s="9" t="s">
        <v>39</v>
      </c>
      <c r="E119" s="10" t="s">
        <v>37</v>
      </c>
      <c r="F119" s="11"/>
      <c r="G119" t="s">
        <v>426</v>
      </c>
      <c r="I119" t="s">
        <v>41</v>
      </c>
      <c r="J119" t="s">
        <v>427</v>
      </c>
      <c r="K119" t="s">
        <v>43</v>
      </c>
      <c r="L119">
        <v>2</v>
      </c>
      <c r="M119" t="s">
        <v>44</v>
      </c>
      <c r="N119" t="s">
        <v>45</v>
      </c>
      <c r="O119" t="s">
        <v>46</v>
      </c>
      <c r="P119" s="5">
        <v>1</v>
      </c>
      <c r="Q119" s="12">
        <v>44744.814687500002</v>
      </c>
      <c r="R119" s="13">
        <v>44747</v>
      </c>
      <c r="T119" t="s">
        <v>47</v>
      </c>
      <c r="U119" t="s">
        <v>48</v>
      </c>
      <c r="V119" t="s">
        <v>62</v>
      </c>
      <c r="Y119" t="s">
        <v>428</v>
      </c>
      <c r="Z119">
        <v>81550</v>
      </c>
      <c r="AA119" t="s">
        <v>47</v>
      </c>
      <c r="AB119" t="s">
        <v>64</v>
      </c>
      <c r="AC119" t="s">
        <v>53</v>
      </c>
      <c r="AD119" s="16">
        <f t="shared" ref="AD119:AD121" si="24">IF(P119&lt;=1,7,7+0.8*ROUNDUP(P119-1,0))</f>
        <v>7</v>
      </c>
      <c r="AE119" s="15">
        <v>0</v>
      </c>
      <c r="AF119" s="15">
        <v>0</v>
      </c>
      <c r="AG119" s="15">
        <v>0</v>
      </c>
      <c r="AH119" s="15">
        <v>0</v>
      </c>
      <c r="AI119" s="15">
        <f t="shared" si="13"/>
        <v>0.42</v>
      </c>
      <c r="AJ119" s="15">
        <f t="shared" si="14"/>
        <v>7.42</v>
      </c>
      <c r="AK119" t="s">
        <v>47</v>
      </c>
    </row>
    <row r="120" spans="1:37" ht="15" customHeight="1" x14ac:dyDescent="0.35">
      <c r="A120">
        <v>690929</v>
      </c>
      <c r="B120" t="s">
        <v>37</v>
      </c>
      <c r="C120" t="s">
        <v>38</v>
      </c>
      <c r="D120" s="9" t="s">
        <v>39</v>
      </c>
      <c r="E120" s="10" t="s">
        <v>37</v>
      </c>
      <c r="F120" s="11"/>
      <c r="G120" t="s">
        <v>429</v>
      </c>
      <c r="I120" t="s">
        <v>41</v>
      </c>
      <c r="J120" t="s">
        <v>430</v>
      </c>
      <c r="K120" t="s">
        <v>43</v>
      </c>
      <c r="L120">
        <v>2</v>
      </c>
      <c r="M120" t="s">
        <v>44</v>
      </c>
      <c r="N120" t="s">
        <v>45</v>
      </c>
      <c r="O120" t="s">
        <v>46</v>
      </c>
      <c r="P120" s="5">
        <v>1</v>
      </c>
      <c r="Q120" s="12">
        <v>44744.69803240741</v>
      </c>
      <c r="R120" s="13">
        <v>44747</v>
      </c>
      <c r="T120" t="s">
        <v>47</v>
      </c>
      <c r="U120" t="s">
        <v>48</v>
      </c>
      <c r="V120" t="s">
        <v>62</v>
      </c>
      <c r="Y120" t="s">
        <v>431</v>
      </c>
      <c r="Z120">
        <v>81800</v>
      </c>
      <c r="AA120" t="s">
        <v>47</v>
      </c>
      <c r="AB120" t="s">
        <v>64</v>
      </c>
      <c r="AC120" t="s">
        <v>53</v>
      </c>
      <c r="AD120" s="16">
        <f t="shared" si="24"/>
        <v>7</v>
      </c>
      <c r="AE120" s="15">
        <v>0</v>
      </c>
      <c r="AF120" s="15">
        <v>0</v>
      </c>
      <c r="AG120" s="15">
        <v>0</v>
      </c>
      <c r="AH120" s="15">
        <v>0</v>
      </c>
      <c r="AI120" s="15">
        <f t="shared" si="13"/>
        <v>0.42</v>
      </c>
      <c r="AJ120" s="15">
        <f t="shared" si="14"/>
        <v>7.42</v>
      </c>
      <c r="AK120" t="s">
        <v>47</v>
      </c>
    </row>
    <row r="121" spans="1:37" ht="15" customHeight="1" x14ac:dyDescent="0.35">
      <c r="A121">
        <v>690929</v>
      </c>
      <c r="B121" t="s">
        <v>37</v>
      </c>
      <c r="C121" t="s">
        <v>38</v>
      </c>
      <c r="D121" s="9" t="s">
        <v>39</v>
      </c>
      <c r="E121" s="10" t="s">
        <v>37</v>
      </c>
      <c r="F121" s="11"/>
      <c r="G121" t="s">
        <v>432</v>
      </c>
      <c r="I121" t="s">
        <v>41</v>
      </c>
      <c r="J121" t="s">
        <v>433</v>
      </c>
      <c r="K121" t="s">
        <v>43</v>
      </c>
      <c r="L121">
        <v>2</v>
      </c>
      <c r="M121" t="s">
        <v>44</v>
      </c>
      <c r="N121" t="s">
        <v>45</v>
      </c>
      <c r="O121" t="s">
        <v>46</v>
      </c>
      <c r="P121" s="5">
        <v>1</v>
      </c>
      <c r="Q121" s="12">
        <v>44744.855266203704</v>
      </c>
      <c r="R121" s="13">
        <v>44747</v>
      </c>
      <c r="T121" t="s">
        <v>47</v>
      </c>
      <c r="U121" t="s">
        <v>48</v>
      </c>
      <c r="V121" t="s">
        <v>138</v>
      </c>
      <c r="Y121" t="s">
        <v>434</v>
      </c>
      <c r="Z121">
        <v>70450</v>
      </c>
      <c r="AA121" t="s">
        <v>47</v>
      </c>
      <c r="AB121" t="s">
        <v>64</v>
      </c>
      <c r="AC121" t="s">
        <v>53</v>
      </c>
      <c r="AD121" s="16">
        <f t="shared" si="24"/>
        <v>7</v>
      </c>
      <c r="AE121" s="15">
        <v>0</v>
      </c>
      <c r="AF121" s="15">
        <v>0</v>
      </c>
      <c r="AG121" s="15">
        <v>0</v>
      </c>
      <c r="AH121" s="15">
        <v>0</v>
      </c>
      <c r="AI121" s="15">
        <f t="shared" si="13"/>
        <v>0.42</v>
      </c>
      <c r="AJ121" s="15">
        <f t="shared" si="14"/>
        <v>7.42</v>
      </c>
      <c r="AK121" t="s">
        <v>47</v>
      </c>
    </row>
    <row r="122" spans="1:37" ht="15" customHeight="1" x14ac:dyDescent="0.35">
      <c r="A122">
        <v>690929</v>
      </c>
      <c r="B122" t="s">
        <v>37</v>
      </c>
      <c r="C122" t="s">
        <v>38</v>
      </c>
      <c r="D122" s="9" t="s">
        <v>39</v>
      </c>
      <c r="E122" s="10" t="s">
        <v>37</v>
      </c>
      <c r="F122" s="11"/>
      <c r="G122" t="s">
        <v>435</v>
      </c>
      <c r="I122" t="s">
        <v>41</v>
      </c>
      <c r="J122" t="s">
        <v>436</v>
      </c>
      <c r="K122" t="s">
        <v>43</v>
      </c>
      <c r="L122">
        <v>2</v>
      </c>
      <c r="M122" t="s">
        <v>44</v>
      </c>
      <c r="N122" t="s">
        <v>45</v>
      </c>
      <c r="O122" t="s">
        <v>46</v>
      </c>
      <c r="P122" s="5">
        <v>1</v>
      </c>
      <c r="Q122" s="12">
        <v>44744.749664351853</v>
      </c>
      <c r="R122" s="13">
        <v>44747</v>
      </c>
      <c r="T122" t="s">
        <v>47</v>
      </c>
      <c r="U122" t="s">
        <v>48</v>
      </c>
      <c r="V122" t="s">
        <v>100</v>
      </c>
      <c r="Y122" t="s">
        <v>437</v>
      </c>
      <c r="Z122">
        <v>34350</v>
      </c>
      <c r="AA122" t="s">
        <v>47</v>
      </c>
      <c r="AB122" t="s">
        <v>64</v>
      </c>
      <c r="AC122" t="s">
        <v>53</v>
      </c>
      <c r="AD122" s="16">
        <f>IF(P122&lt;=1,7,7+0.8*ROUNDUP(P122-1,0))</f>
        <v>7</v>
      </c>
      <c r="AE122" s="15">
        <v>0</v>
      </c>
      <c r="AF122" s="15">
        <v>0</v>
      </c>
      <c r="AG122" s="15">
        <v>0</v>
      </c>
      <c r="AH122" s="15">
        <v>0</v>
      </c>
      <c r="AI122" s="15">
        <f t="shared" si="13"/>
        <v>0.42</v>
      </c>
      <c r="AJ122" s="15">
        <f t="shared" si="14"/>
        <v>7.42</v>
      </c>
      <c r="AK122" t="s">
        <v>47</v>
      </c>
    </row>
    <row r="123" spans="1:37" ht="15" customHeight="1" x14ac:dyDescent="0.35">
      <c r="A123">
        <v>690929</v>
      </c>
      <c r="B123" t="s">
        <v>37</v>
      </c>
      <c r="C123" t="s">
        <v>38</v>
      </c>
      <c r="D123" s="9" t="s">
        <v>39</v>
      </c>
      <c r="E123" s="10" t="s">
        <v>37</v>
      </c>
      <c r="F123" s="11"/>
      <c r="G123" t="s">
        <v>438</v>
      </c>
      <c r="I123" t="s">
        <v>41</v>
      </c>
      <c r="J123" t="s">
        <v>439</v>
      </c>
      <c r="K123" t="s">
        <v>43</v>
      </c>
      <c r="L123">
        <v>2</v>
      </c>
      <c r="M123" t="s">
        <v>44</v>
      </c>
      <c r="N123" t="s">
        <v>45</v>
      </c>
      <c r="O123" t="s">
        <v>46</v>
      </c>
      <c r="P123" s="5">
        <v>1</v>
      </c>
      <c r="Q123" s="12">
        <v>44744.810706018521</v>
      </c>
      <c r="R123" s="13">
        <v>44747</v>
      </c>
      <c r="T123" t="s">
        <v>47</v>
      </c>
      <c r="U123" t="s">
        <v>48</v>
      </c>
      <c r="V123" t="s">
        <v>71</v>
      </c>
      <c r="Y123" t="s">
        <v>440</v>
      </c>
      <c r="Z123">
        <v>6800</v>
      </c>
      <c r="AA123" t="s">
        <v>47</v>
      </c>
      <c r="AB123" t="s">
        <v>64</v>
      </c>
      <c r="AC123" t="s">
        <v>53</v>
      </c>
      <c r="AD123" s="16">
        <f t="shared" ref="AD123:AD131" si="25">IF(P123&lt;=1,7,7+0.8*ROUNDUP(P123-1,0))</f>
        <v>7</v>
      </c>
      <c r="AE123" s="15">
        <v>0</v>
      </c>
      <c r="AF123" s="15">
        <v>0</v>
      </c>
      <c r="AG123" s="15">
        <v>0</v>
      </c>
      <c r="AH123" s="15">
        <v>0</v>
      </c>
      <c r="AI123" s="15">
        <f t="shared" si="13"/>
        <v>0.42</v>
      </c>
      <c r="AJ123" s="15">
        <f t="shared" si="14"/>
        <v>7.42</v>
      </c>
      <c r="AK123" t="s">
        <v>47</v>
      </c>
    </row>
    <row r="124" spans="1:37" ht="15" customHeight="1" x14ac:dyDescent="0.35">
      <c r="A124">
        <v>690929</v>
      </c>
      <c r="B124" t="s">
        <v>37</v>
      </c>
      <c r="C124" t="s">
        <v>38</v>
      </c>
      <c r="D124" s="9" t="s">
        <v>39</v>
      </c>
      <c r="E124" s="10" t="s">
        <v>37</v>
      </c>
      <c r="F124" s="11"/>
      <c r="G124" t="s">
        <v>441</v>
      </c>
      <c r="I124" t="s">
        <v>41</v>
      </c>
      <c r="J124" t="s">
        <v>442</v>
      </c>
      <c r="K124" t="s">
        <v>43</v>
      </c>
      <c r="L124">
        <v>2</v>
      </c>
      <c r="M124" t="s">
        <v>44</v>
      </c>
      <c r="N124" t="s">
        <v>45</v>
      </c>
      <c r="O124" t="s">
        <v>46</v>
      </c>
      <c r="P124" s="5">
        <v>1</v>
      </c>
      <c r="Q124" s="12">
        <v>44744.833402777775</v>
      </c>
      <c r="R124" s="13">
        <v>44747</v>
      </c>
      <c r="T124" t="s">
        <v>47</v>
      </c>
      <c r="U124" t="s">
        <v>48</v>
      </c>
      <c r="V124" t="s">
        <v>62</v>
      </c>
      <c r="Y124" t="s">
        <v>443</v>
      </c>
      <c r="Z124">
        <v>81700</v>
      </c>
      <c r="AA124" t="s">
        <v>47</v>
      </c>
      <c r="AB124" t="s">
        <v>64</v>
      </c>
      <c r="AC124" t="s">
        <v>53</v>
      </c>
      <c r="AD124" s="16">
        <f t="shared" si="25"/>
        <v>7</v>
      </c>
      <c r="AE124" s="15">
        <v>0</v>
      </c>
      <c r="AF124" s="15">
        <v>0</v>
      </c>
      <c r="AG124" s="15">
        <v>0</v>
      </c>
      <c r="AH124" s="15">
        <v>0</v>
      </c>
      <c r="AI124" s="15">
        <f t="shared" si="13"/>
        <v>0.42</v>
      </c>
      <c r="AJ124" s="15">
        <f t="shared" si="14"/>
        <v>7.42</v>
      </c>
      <c r="AK124" t="s">
        <v>47</v>
      </c>
    </row>
    <row r="125" spans="1:37" ht="15" customHeight="1" x14ac:dyDescent="0.35">
      <c r="A125">
        <v>690929</v>
      </c>
      <c r="B125" t="s">
        <v>37</v>
      </c>
      <c r="C125" t="s">
        <v>38</v>
      </c>
      <c r="D125" s="9" t="s">
        <v>39</v>
      </c>
      <c r="E125" s="10" t="s">
        <v>37</v>
      </c>
      <c r="F125" s="11"/>
      <c r="G125" t="s">
        <v>444</v>
      </c>
      <c r="I125" t="s">
        <v>41</v>
      </c>
      <c r="J125" t="s">
        <v>445</v>
      </c>
      <c r="K125" t="s">
        <v>43</v>
      </c>
      <c r="L125">
        <v>2</v>
      </c>
      <c r="M125" t="s">
        <v>44</v>
      </c>
      <c r="N125" t="s">
        <v>45</v>
      </c>
      <c r="O125" t="s">
        <v>46</v>
      </c>
      <c r="P125" s="5">
        <v>3</v>
      </c>
      <c r="Q125" s="12">
        <v>44744.857939814814</v>
      </c>
      <c r="R125" s="13">
        <v>44747</v>
      </c>
      <c r="T125" t="s">
        <v>47</v>
      </c>
      <c r="U125" t="s">
        <v>48</v>
      </c>
      <c r="V125" t="s">
        <v>114</v>
      </c>
      <c r="Y125" t="s">
        <v>446</v>
      </c>
      <c r="Z125">
        <v>47830</v>
      </c>
      <c r="AA125" t="s">
        <v>47</v>
      </c>
      <c r="AB125" t="s">
        <v>64</v>
      </c>
      <c r="AC125" t="s">
        <v>53</v>
      </c>
      <c r="AD125" s="16">
        <f t="shared" si="25"/>
        <v>8.6</v>
      </c>
      <c r="AE125" s="15">
        <v>0</v>
      </c>
      <c r="AF125" s="15">
        <v>0</v>
      </c>
      <c r="AG125" s="15">
        <v>0</v>
      </c>
      <c r="AH125" s="15">
        <v>0</v>
      </c>
      <c r="AI125" s="15">
        <f t="shared" si="13"/>
        <v>0.51600000000000001</v>
      </c>
      <c r="AJ125" s="15">
        <f t="shared" si="14"/>
        <v>9.1159999999999997</v>
      </c>
      <c r="AK125" t="s">
        <v>47</v>
      </c>
    </row>
    <row r="126" spans="1:37" ht="15" customHeight="1" x14ac:dyDescent="0.35">
      <c r="A126">
        <v>690929</v>
      </c>
      <c r="B126" t="s">
        <v>37</v>
      </c>
      <c r="C126" t="s">
        <v>38</v>
      </c>
      <c r="D126" s="9" t="s">
        <v>39</v>
      </c>
      <c r="E126" s="10" t="s">
        <v>37</v>
      </c>
      <c r="F126" s="11"/>
      <c r="G126" t="s">
        <v>447</v>
      </c>
      <c r="I126" t="s">
        <v>41</v>
      </c>
      <c r="J126" t="s">
        <v>448</v>
      </c>
      <c r="K126" t="s">
        <v>43</v>
      </c>
      <c r="L126">
        <v>2</v>
      </c>
      <c r="M126" t="s">
        <v>44</v>
      </c>
      <c r="N126" t="s">
        <v>45</v>
      </c>
      <c r="O126" t="s">
        <v>46</v>
      </c>
      <c r="P126" s="5">
        <v>1</v>
      </c>
      <c r="Q126" s="12">
        <v>44744.760254629633</v>
      </c>
      <c r="R126" s="13">
        <v>44747</v>
      </c>
      <c r="T126" t="s">
        <v>47</v>
      </c>
      <c r="U126" t="s">
        <v>48</v>
      </c>
      <c r="V126" t="s">
        <v>449</v>
      </c>
      <c r="Y126" t="s">
        <v>450</v>
      </c>
      <c r="Z126">
        <v>1000</v>
      </c>
      <c r="AA126" t="s">
        <v>47</v>
      </c>
      <c r="AB126" t="s">
        <v>64</v>
      </c>
      <c r="AC126" t="s">
        <v>53</v>
      </c>
      <c r="AD126" s="16">
        <f t="shared" si="25"/>
        <v>7</v>
      </c>
      <c r="AE126" s="15">
        <v>0</v>
      </c>
      <c r="AF126" s="15">
        <v>0</v>
      </c>
      <c r="AG126" s="15">
        <v>0</v>
      </c>
      <c r="AH126" s="15">
        <v>0</v>
      </c>
      <c r="AI126" s="15">
        <f t="shared" si="13"/>
        <v>0.42</v>
      </c>
      <c r="AJ126" s="15">
        <f t="shared" si="14"/>
        <v>7.42</v>
      </c>
      <c r="AK126" t="s">
        <v>47</v>
      </c>
    </row>
    <row r="127" spans="1:37" ht="15" customHeight="1" x14ac:dyDescent="0.35">
      <c r="A127">
        <v>690929</v>
      </c>
      <c r="B127" t="s">
        <v>37</v>
      </c>
      <c r="C127" t="s">
        <v>38</v>
      </c>
      <c r="D127" s="9" t="s">
        <v>39</v>
      </c>
      <c r="E127" s="10" t="s">
        <v>37</v>
      </c>
      <c r="F127" s="11"/>
      <c r="G127" t="s">
        <v>451</v>
      </c>
      <c r="I127" t="s">
        <v>41</v>
      </c>
      <c r="J127" t="s">
        <v>452</v>
      </c>
      <c r="K127" t="s">
        <v>43</v>
      </c>
      <c r="L127">
        <v>2</v>
      </c>
      <c r="M127" t="s">
        <v>44</v>
      </c>
      <c r="N127" t="s">
        <v>45</v>
      </c>
      <c r="O127" t="s">
        <v>46</v>
      </c>
      <c r="P127" s="5">
        <v>1</v>
      </c>
      <c r="Q127" s="12">
        <v>44745.780162037037</v>
      </c>
      <c r="R127" s="13">
        <v>44747</v>
      </c>
      <c r="T127" t="s">
        <v>47</v>
      </c>
      <c r="U127" t="s">
        <v>48</v>
      </c>
      <c r="V127" t="s">
        <v>67</v>
      </c>
      <c r="Y127" t="s">
        <v>453</v>
      </c>
      <c r="Z127">
        <v>25990</v>
      </c>
      <c r="AA127" t="s">
        <v>47</v>
      </c>
      <c r="AB127" t="s">
        <v>48</v>
      </c>
      <c r="AC127" t="s">
        <v>53</v>
      </c>
      <c r="AD127" s="16">
        <f t="shared" si="25"/>
        <v>7</v>
      </c>
      <c r="AE127" s="15">
        <v>0</v>
      </c>
      <c r="AF127" s="15">
        <v>0</v>
      </c>
      <c r="AG127" s="15">
        <v>0</v>
      </c>
      <c r="AH127" s="15">
        <v>0</v>
      </c>
      <c r="AI127" s="15">
        <f t="shared" si="13"/>
        <v>0.42</v>
      </c>
      <c r="AJ127" s="15">
        <f t="shared" si="14"/>
        <v>7.42</v>
      </c>
      <c r="AK127" t="s">
        <v>47</v>
      </c>
    </row>
    <row r="128" spans="1:37" ht="15" customHeight="1" x14ac:dyDescent="0.35">
      <c r="A128">
        <v>690929</v>
      </c>
      <c r="B128" t="s">
        <v>37</v>
      </c>
      <c r="C128" t="s">
        <v>38</v>
      </c>
      <c r="D128" s="9" t="s">
        <v>39</v>
      </c>
      <c r="E128" s="10" t="s">
        <v>37</v>
      </c>
      <c r="F128" s="11"/>
      <c r="G128" t="s">
        <v>454</v>
      </c>
      <c r="I128" t="s">
        <v>41</v>
      </c>
      <c r="J128" t="s">
        <v>455</v>
      </c>
      <c r="K128" t="s">
        <v>43</v>
      </c>
      <c r="L128">
        <v>2</v>
      </c>
      <c r="M128" t="s">
        <v>44</v>
      </c>
      <c r="N128" t="s">
        <v>45</v>
      </c>
      <c r="O128" t="s">
        <v>46</v>
      </c>
      <c r="P128" s="5">
        <v>1</v>
      </c>
      <c r="Q128" s="12">
        <v>44745.792754629627</v>
      </c>
      <c r="R128" s="13">
        <v>44747</v>
      </c>
      <c r="T128" t="s">
        <v>47</v>
      </c>
      <c r="U128" t="s">
        <v>48</v>
      </c>
      <c r="V128" t="s">
        <v>67</v>
      </c>
      <c r="Y128" t="s">
        <v>456</v>
      </c>
      <c r="Z128">
        <v>25250</v>
      </c>
      <c r="AA128" t="s">
        <v>47</v>
      </c>
      <c r="AB128" t="s">
        <v>48</v>
      </c>
      <c r="AC128" t="s">
        <v>53</v>
      </c>
      <c r="AD128" s="16">
        <f t="shared" si="25"/>
        <v>7</v>
      </c>
      <c r="AE128" s="15">
        <v>0</v>
      </c>
      <c r="AF128" s="15">
        <v>0</v>
      </c>
      <c r="AG128" s="15">
        <v>0</v>
      </c>
      <c r="AH128" s="15">
        <v>0</v>
      </c>
      <c r="AI128" s="15">
        <f t="shared" si="13"/>
        <v>0.42</v>
      </c>
      <c r="AJ128" s="15">
        <f t="shared" si="14"/>
        <v>7.42</v>
      </c>
      <c r="AK128" t="s">
        <v>47</v>
      </c>
    </row>
    <row r="129" spans="1:37" ht="15" customHeight="1" x14ac:dyDescent="0.35">
      <c r="A129">
        <v>690929</v>
      </c>
      <c r="B129" t="s">
        <v>37</v>
      </c>
      <c r="C129" t="s">
        <v>38</v>
      </c>
      <c r="D129" s="9" t="s">
        <v>39</v>
      </c>
      <c r="E129" s="10" t="s">
        <v>37</v>
      </c>
      <c r="F129" s="11"/>
      <c r="G129" t="s">
        <v>457</v>
      </c>
      <c r="I129" t="s">
        <v>41</v>
      </c>
      <c r="J129" t="s">
        <v>458</v>
      </c>
      <c r="K129" t="s">
        <v>43</v>
      </c>
      <c r="L129">
        <v>2</v>
      </c>
      <c r="M129" t="s">
        <v>44</v>
      </c>
      <c r="N129" t="s">
        <v>45</v>
      </c>
      <c r="O129" t="s">
        <v>46</v>
      </c>
      <c r="P129" s="5">
        <v>1</v>
      </c>
      <c r="Q129" s="12">
        <v>44744.856458333335</v>
      </c>
      <c r="R129" s="13">
        <v>44747</v>
      </c>
      <c r="T129" t="s">
        <v>47</v>
      </c>
      <c r="U129" t="s">
        <v>48</v>
      </c>
      <c r="V129" t="s">
        <v>62</v>
      </c>
      <c r="Y129" t="s">
        <v>459</v>
      </c>
      <c r="Z129">
        <v>86000</v>
      </c>
      <c r="AA129" t="s">
        <v>47</v>
      </c>
      <c r="AB129" t="s">
        <v>64</v>
      </c>
      <c r="AC129" t="s">
        <v>53</v>
      </c>
      <c r="AD129" s="16">
        <f t="shared" si="25"/>
        <v>7</v>
      </c>
      <c r="AE129" s="15">
        <v>0</v>
      </c>
      <c r="AF129" s="15">
        <v>0</v>
      </c>
      <c r="AG129" s="15">
        <v>0</v>
      </c>
      <c r="AH129" s="15">
        <v>0</v>
      </c>
      <c r="AI129" s="15">
        <f t="shared" si="13"/>
        <v>0.42</v>
      </c>
      <c r="AJ129" s="15">
        <f t="shared" si="14"/>
        <v>7.42</v>
      </c>
      <c r="AK129" t="s">
        <v>47</v>
      </c>
    </row>
    <row r="130" spans="1:37" ht="15" customHeight="1" x14ac:dyDescent="0.35">
      <c r="A130">
        <v>690929</v>
      </c>
      <c r="B130" t="s">
        <v>37</v>
      </c>
      <c r="C130" t="s">
        <v>38</v>
      </c>
      <c r="D130" s="9" t="s">
        <v>39</v>
      </c>
      <c r="E130" s="10" t="s">
        <v>37</v>
      </c>
      <c r="F130" s="11"/>
      <c r="G130" t="s">
        <v>460</v>
      </c>
      <c r="I130" t="s">
        <v>41</v>
      </c>
      <c r="J130" t="s">
        <v>461</v>
      </c>
      <c r="K130" t="s">
        <v>43</v>
      </c>
      <c r="L130">
        <v>2</v>
      </c>
      <c r="M130" t="s">
        <v>44</v>
      </c>
      <c r="N130" t="s">
        <v>45</v>
      </c>
      <c r="O130" t="s">
        <v>46</v>
      </c>
      <c r="P130" s="5">
        <v>1</v>
      </c>
      <c r="Q130" s="12">
        <v>44746.665231481478</v>
      </c>
      <c r="R130" s="13">
        <v>44747</v>
      </c>
      <c r="T130" t="s">
        <v>47</v>
      </c>
      <c r="U130" t="s">
        <v>48</v>
      </c>
      <c r="V130" t="s">
        <v>76</v>
      </c>
      <c r="Y130" t="s">
        <v>462</v>
      </c>
      <c r="Z130">
        <v>21600</v>
      </c>
      <c r="AA130" t="s">
        <v>47</v>
      </c>
      <c r="AB130" t="s">
        <v>48</v>
      </c>
      <c r="AC130" t="s">
        <v>53</v>
      </c>
      <c r="AD130" s="16">
        <f t="shared" si="25"/>
        <v>7</v>
      </c>
      <c r="AE130" s="15">
        <v>0</v>
      </c>
      <c r="AF130" s="15">
        <v>0</v>
      </c>
      <c r="AG130" s="15">
        <v>0</v>
      </c>
      <c r="AH130" s="15">
        <v>0</v>
      </c>
      <c r="AI130" s="15">
        <f t="shared" ref="AI130:AI193" si="26">(AD130+AF130+AH130)*6%</f>
        <v>0.42</v>
      </c>
      <c r="AJ130" s="15">
        <f t="shared" ref="AJ130:AJ193" si="27">AD130+AF130+AH130+AI130</f>
        <v>7.42</v>
      </c>
      <c r="AK130" t="s">
        <v>47</v>
      </c>
    </row>
    <row r="131" spans="1:37" ht="15" customHeight="1" x14ac:dyDescent="0.35">
      <c r="A131">
        <v>690929</v>
      </c>
      <c r="B131" t="s">
        <v>37</v>
      </c>
      <c r="C131" t="s">
        <v>38</v>
      </c>
      <c r="D131" s="9" t="s">
        <v>39</v>
      </c>
      <c r="E131" s="10" t="s">
        <v>37</v>
      </c>
      <c r="F131" s="11"/>
      <c r="G131" t="s">
        <v>463</v>
      </c>
      <c r="I131" t="s">
        <v>41</v>
      </c>
      <c r="J131" t="s">
        <v>464</v>
      </c>
      <c r="K131" t="s">
        <v>43</v>
      </c>
      <c r="L131">
        <v>2</v>
      </c>
      <c r="M131" t="s">
        <v>44</v>
      </c>
      <c r="N131" t="s">
        <v>45</v>
      </c>
      <c r="O131" t="s">
        <v>46</v>
      </c>
      <c r="P131" s="5">
        <v>1</v>
      </c>
      <c r="Q131" s="12">
        <v>44744.758391203701</v>
      </c>
      <c r="R131" s="13">
        <v>44747</v>
      </c>
      <c r="T131" t="s">
        <v>47</v>
      </c>
      <c r="U131" t="s">
        <v>48</v>
      </c>
      <c r="V131" t="s">
        <v>100</v>
      </c>
      <c r="Y131" t="s">
        <v>465</v>
      </c>
      <c r="Z131">
        <v>34300</v>
      </c>
      <c r="AA131" t="s">
        <v>47</v>
      </c>
      <c r="AB131" t="s">
        <v>64</v>
      </c>
      <c r="AC131" t="s">
        <v>53</v>
      </c>
      <c r="AD131" s="16">
        <f t="shared" si="25"/>
        <v>7</v>
      </c>
      <c r="AE131" s="15">
        <v>0</v>
      </c>
      <c r="AF131" s="15">
        <v>0</v>
      </c>
      <c r="AG131" s="15">
        <v>0</v>
      </c>
      <c r="AH131" s="15">
        <v>0</v>
      </c>
      <c r="AI131" s="15">
        <f t="shared" si="26"/>
        <v>0.42</v>
      </c>
      <c r="AJ131" s="15">
        <f t="shared" si="27"/>
        <v>7.42</v>
      </c>
      <c r="AK131" t="s">
        <v>47</v>
      </c>
    </row>
    <row r="132" spans="1:37" ht="15" customHeight="1" x14ac:dyDescent="0.35">
      <c r="A132">
        <v>690929</v>
      </c>
      <c r="B132" t="s">
        <v>37</v>
      </c>
      <c r="C132" t="s">
        <v>38</v>
      </c>
      <c r="D132" s="9" t="s">
        <v>39</v>
      </c>
      <c r="E132" s="10" t="s">
        <v>37</v>
      </c>
      <c r="F132" s="11"/>
      <c r="G132" t="s">
        <v>466</v>
      </c>
      <c r="I132" t="s">
        <v>41</v>
      </c>
      <c r="J132" t="s">
        <v>467</v>
      </c>
      <c r="K132" t="s">
        <v>43</v>
      </c>
      <c r="L132">
        <v>2</v>
      </c>
      <c r="M132" t="s">
        <v>44</v>
      </c>
      <c r="N132" t="s">
        <v>45</v>
      </c>
      <c r="O132" t="s">
        <v>46</v>
      </c>
      <c r="P132" s="5">
        <v>1</v>
      </c>
      <c r="Q132" s="12">
        <v>44744.809421296297</v>
      </c>
      <c r="R132" s="13">
        <v>44747</v>
      </c>
      <c r="T132" t="s">
        <v>47</v>
      </c>
      <c r="U132" t="s">
        <v>48</v>
      </c>
      <c r="V132" t="s">
        <v>62</v>
      </c>
      <c r="Y132" t="s">
        <v>468</v>
      </c>
      <c r="Z132">
        <v>83400</v>
      </c>
      <c r="AA132" t="s">
        <v>47</v>
      </c>
      <c r="AB132" t="s">
        <v>64</v>
      </c>
      <c r="AC132" t="s">
        <v>53</v>
      </c>
      <c r="AD132" s="16">
        <f>IF(P132&lt;=1,7,7+0.8*ROUNDUP(P132-1,0))</f>
        <v>7</v>
      </c>
      <c r="AE132" s="15">
        <v>0</v>
      </c>
      <c r="AF132" s="15">
        <v>0</v>
      </c>
      <c r="AG132" s="15">
        <v>0</v>
      </c>
      <c r="AH132" s="15">
        <v>0</v>
      </c>
      <c r="AI132" s="15">
        <f t="shared" si="26"/>
        <v>0.42</v>
      </c>
      <c r="AJ132" s="15">
        <f t="shared" si="27"/>
        <v>7.42</v>
      </c>
      <c r="AK132" t="s">
        <v>47</v>
      </c>
    </row>
    <row r="133" spans="1:37" ht="15" customHeight="1" x14ac:dyDescent="0.35">
      <c r="A133">
        <v>690929</v>
      </c>
      <c r="B133" t="s">
        <v>37</v>
      </c>
      <c r="C133" t="s">
        <v>38</v>
      </c>
      <c r="D133" s="9" t="s">
        <v>39</v>
      </c>
      <c r="E133" s="10" t="s">
        <v>37</v>
      </c>
      <c r="F133" s="11"/>
      <c r="G133" t="s">
        <v>469</v>
      </c>
      <c r="I133" t="s">
        <v>41</v>
      </c>
      <c r="J133" t="s">
        <v>470</v>
      </c>
      <c r="K133" t="s">
        <v>43</v>
      </c>
      <c r="L133">
        <v>2</v>
      </c>
      <c r="M133" t="s">
        <v>44</v>
      </c>
      <c r="N133" t="s">
        <v>45</v>
      </c>
      <c r="O133" t="s">
        <v>46</v>
      </c>
      <c r="P133" s="5">
        <v>1</v>
      </c>
      <c r="Q133" s="12">
        <v>44744.823101851849</v>
      </c>
      <c r="R133" s="13">
        <v>44747</v>
      </c>
      <c r="T133" t="s">
        <v>47</v>
      </c>
      <c r="U133" t="s">
        <v>48</v>
      </c>
      <c r="V133" t="s">
        <v>100</v>
      </c>
      <c r="Y133" t="s">
        <v>471</v>
      </c>
      <c r="Z133">
        <v>34300</v>
      </c>
      <c r="AA133" t="s">
        <v>47</v>
      </c>
      <c r="AB133" t="s">
        <v>64</v>
      </c>
      <c r="AC133" t="s">
        <v>53</v>
      </c>
      <c r="AD133" s="16">
        <f t="shared" ref="AD133:AD148" si="28">IF(P133&lt;=1,7,7+0.8*ROUNDUP(P133-1,0))</f>
        <v>7</v>
      </c>
      <c r="AE133" s="15">
        <v>0</v>
      </c>
      <c r="AF133" s="15">
        <v>0</v>
      </c>
      <c r="AG133" s="15">
        <v>0</v>
      </c>
      <c r="AH133" s="15">
        <v>0</v>
      </c>
      <c r="AI133" s="15">
        <f t="shared" si="26"/>
        <v>0.42</v>
      </c>
      <c r="AJ133" s="15">
        <f t="shared" si="27"/>
        <v>7.42</v>
      </c>
      <c r="AK133" t="s">
        <v>47</v>
      </c>
    </row>
    <row r="134" spans="1:37" ht="15" customHeight="1" x14ac:dyDescent="0.35">
      <c r="A134">
        <v>690929</v>
      </c>
      <c r="B134" t="s">
        <v>37</v>
      </c>
      <c r="C134" t="s">
        <v>38</v>
      </c>
      <c r="D134" s="9" t="s">
        <v>39</v>
      </c>
      <c r="E134" s="10" t="s">
        <v>37</v>
      </c>
      <c r="F134" s="11"/>
      <c r="G134" t="s">
        <v>472</v>
      </c>
      <c r="I134" t="s">
        <v>41</v>
      </c>
      <c r="J134" t="s">
        <v>473</v>
      </c>
      <c r="K134" t="s">
        <v>43</v>
      </c>
      <c r="L134">
        <v>2</v>
      </c>
      <c r="M134" t="s">
        <v>44</v>
      </c>
      <c r="N134" t="s">
        <v>45</v>
      </c>
      <c r="O134" t="s">
        <v>46</v>
      </c>
      <c r="P134" s="5">
        <v>1</v>
      </c>
      <c r="Q134" s="12">
        <v>44744.83452546296</v>
      </c>
      <c r="R134" s="13">
        <v>44747</v>
      </c>
      <c r="T134" t="s">
        <v>47</v>
      </c>
      <c r="U134" t="s">
        <v>48</v>
      </c>
      <c r="V134" t="s">
        <v>100</v>
      </c>
      <c r="Y134" t="s">
        <v>474</v>
      </c>
      <c r="Z134">
        <v>31650</v>
      </c>
      <c r="AA134" t="s">
        <v>47</v>
      </c>
      <c r="AB134" t="s">
        <v>64</v>
      </c>
      <c r="AC134" t="s">
        <v>53</v>
      </c>
      <c r="AD134" s="16">
        <f t="shared" si="28"/>
        <v>7</v>
      </c>
      <c r="AE134" s="15">
        <v>0</v>
      </c>
      <c r="AF134" s="15">
        <v>0</v>
      </c>
      <c r="AG134" s="15">
        <v>0</v>
      </c>
      <c r="AH134" s="15">
        <v>0</v>
      </c>
      <c r="AI134" s="15">
        <f t="shared" si="26"/>
        <v>0.42</v>
      </c>
      <c r="AJ134" s="15">
        <f t="shared" si="27"/>
        <v>7.42</v>
      </c>
      <c r="AK134" t="s">
        <v>47</v>
      </c>
    </row>
    <row r="135" spans="1:37" ht="15" customHeight="1" x14ac:dyDescent="0.35">
      <c r="A135">
        <v>690929</v>
      </c>
      <c r="B135" t="s">
        <v>37</v>
      </c>
      <c r="C135" t="s">
        <v>38</v>
      </c>
      <c r="D135" s="9" t="s">
        <v>39</v>
      </c>
      <c r="E135" s="10" t="s">
        <v>37</v>
      </c>
      <c r="F135" s="11"/>
      <c r="G135" t="s">
        <v>475</v>
      </c>
      <c r="I135" t="s">
        <v>41</v>
      </c>
      <c r="J135" t="s">
        <v>476</v>
      </c>
      <c r="K135" t="s">
        <v>43</v>
      </c>
      <c r="L135">
        <v>2</v>
      </c>
      <c r="M135" t="s">
        <v>44</v>
      </c>
      <c r="N135" t="s">
        <v>45</v>
      </c>
      <c r="O135" t="s">
        <v>46</v>
      </c>
      <c r="P135" s="5">
        <v>1</v>
      </c>
      <c r="Q135" s="12">
        <v>44746.532766203702</v>
      </c>
      <c r="R135" s="13">
        <v>44747</v>
      </c>
      <c r="T135" t="s">
        <v>47</v>
      </c>
      <c r="U135" t="s">
        <v>48</v>
      </c>
      <c r="V135" t="s">
        <v>76</v>
      </c>
      <c r="Y135" t="s">
        <v>477</v>
      </c>
      <c r="Z135">
        <v>22010</v>
      </c>
      <c r="AA135" t="s">
        <v>47</v>
      </c>
      <c r="AB135" t="s">
        <v>56</v>
      </c>
      <c r="AC135" t="s">
        <v>53</v>
      </c>
      <c r="AD135" s="16">
        <f t="shared" si="28"/>
        <v>7</v>
      </c>
      <c r="AE135" s="15">
        <v>0</v>
      </c>
      <c r="AF135" s="15">
        <v>0</v>
      </c>
      <c r="AG135" s="15">
        <v>0</v>
      </c>
      <c r="AH135" s="15">
        <v>0</v>
      </c>
      <c r="AI135" s="15">
        <f t="shared" si="26"/>
        <v>0.42</v>
      </c>
      <c r="AJ135" s="15">
        <f t="shared" si="27"/>
        <v>7.42</v>
      </c>
      <c r="AK135" t="s">
        <v>47</v>
      </c>
    </row>
    <row r="136" spans="1:37" ht="15" customHeight="1" x14ac:dyDescent="0.35">
      <c r="A136">
        <v>690929</v>
      </c>
      <c r="B136" t="s">
        <v>37</v>
      </c>
      <c r="C136" t="s">
        <v>38</v>
      </c>
      <c r="D136" s="9" t="s">
        <v>39</v>
      </c>
      <c r="E136" s="10" t="s">
        <v>37</v>
      </c>
      <c r="F136" s="11"/>
      <c r="G136" t="s">
        <v>478</v>
      </c>
      <c r="I136" t="s">
        <v>41</v>
      </c>
      <c r="J136" t="s">
        <v>479</v>
      </c>
      <c r="K136" t="s">
        <v>43</v>
      </c>
      <c r="L136">
        <v>2</v>
      </c>
      <c r="M136" t="s">
        <v>44</v>
      </c>
      <c r="N136" t="s">
        <v>45</v>
      </c>
      <c r="O136" t="s">
        <v>46</v>
      </c>
      <c r="P136" s="5">
        <v>1</v>
      </c>
      <c r="Q136" s="12">
        <v>44744.765081018515</v>
      </c>
      <c r="R136" s="13">
        <v>44747</v>
      </c>
      <c r="T136" t="s">
        <v>47</v>
      </c>
      <c r="U136" t="s">
        <v>48</v>
      </c>
      <c r="V136" t="s">
        <v>100</v>
      </c>
      <c r="Y136" t="s">
        <v>480</v>
      </c>
      <c r="Z136">
        <v>34250</v>
      </c>
      <c r="AA136" t="s">
        <v>47</v>
      </c>
      <c r="AB136" t="s">
        <v>64</v>
      </c>
      <c r="AC136" t="s">
        <v>53</v>
      </c>
      <c r="AD136" s="16">
        <f t="shared" si="28"/>
        <v>7</v>
      </c>
      <c r="AE136" s="15">
        <v>0</v>
      </c>
      <c r="AF136" s="15">
        <v>0</v>
      </c>
      <c r="AG136" s="15">
        <v>0</v>
      </c>
      <c r="AH136" s="15">
        <v>0</v>
      </c>
      <c r="AI136" s="15">
        <f t="shared" si="26"/>
        <v>0.42</v>
      </c>
      <c r="AJ136" s="15">
        <f t="shared" si="27"/>
        <v>7.42</v>
      </c>
      <c r="AK136" t="s">
        <v>47</v>
      </c>
    </row>
    <row r="137" spans="1:37" ht="15" customHeight="1" x14ac:dyDescent="0.35">
      <c r="A137">
        <v>690929</v>
      </c>
      <c r="B137" t="s">
        <v>37</v>
      </c>
      <c r="C137" t="s">
        <v>38</v>
      </c>
      <c r="D137" s="9" t="s">
        <v>39</v>
      </c>
      <c r="E137" s="10" t="s">
        <v>37</v>
      </c>
      <c r="F137" s="11"/>
      <c r="G137" t="s">
        <v>481</v>
      </c>
      <c r="I137" t="s">
        <v>41</v>
      </c>
      <c r="J137" t="s">
        <v>482</v>
      </c>
      <c r="K137" t="s">
        <v>43</v>
      </c>
      <c r="L137">
        <v>2</v>
      </c>
      <c r="M137" t="s">
        <v>44</v>
      </c>
      <c r="N137" t="s">
        <v>45</v>
      </c>
      <c r="O137" t="s">
        <v>46</v>
      </c>
      <c r="P137" s="5">
        <v>2</v>
      </c>
      <c r="Q137" s="12">
        <v>44745.629282407404</v>
      </c>
      <c r="R137" s="13">
        <v>44747</v>
      </c>
      <c r="T137" t="s">
        <v>47</v>
      </c>
      <c r="U137" t="s">
        <v>48</v>
      </c>
      <c r="V137" t="s">
        <v>62</v>
      </c>
      <c r="Y137" t="s">
        <v>483</v>
      </c>
      <c r="Z137">
        <v>86200</v>
      </c>
      <c r="AA137" t="s">
        <v>47</v>
      </c>
      <c r="AB137" t="s">
        <v>64</v>
      </c>
      <c r="AC137" t="s">
        <v>53</v>
      </c>
      <c r="AD137" s="16">
        <f t="shared" si="28"/>
        <v>7.8</v>
      </c>
      <c r="AE137" s="15">
        <v>0</v>
      </c>
      <c r="AF137" s="15">
        <v>0</v>
      </c>
      <c r="AG137" s="15">
        <v>0</v>
      </c>
      <c r="AH137" s="15">
        <v>0</v>
      </c>
      <c r="AI137" s="15">
        <f t="shared" si="26"/>
        <v>0.46799999999999997</v>
      </c>
      <c r="AJ137" s="15">
        <f t="shared" si="27"/>
        <v>8.2680000000000007</v>
      </c>
      <c r="AK137" t="s">
        <v>47</v>
      </c>
    </row>
    <row r="138" spans="1:37" ht="15" customHeight="1" x14ac:dyDescent="0.35">
      <c r="A138">
        <v>690929</v>
      </c>
      <c r="B138" t="s">
        <v>37</v>
      </c>
      <c r="C138" t="s">
        <v>38</v>
      </c>
      <c r="D138" s="9" t="s">
        <v>39</v>
      </c>
      <c r="E138" s="10" t="s">
        <v>37</v>
      </c>
      <c r="F138" s="11"/>
      <c r="G138" t="s">
        <v>484</v>
      </c>
      <c r="I138" t="s">
        <v>41</v>
      </c>
      <c r="J138" t="s">
        <v>485</v>
      </c>
      <c r="K138" t="s">
        <v>43</v>
      </c>
      <c r="L138">
        <v>2</v>
      </c>
      <c r="M138" t="s">
        <v>44</v>
      </c>
      <c r="N138" t="s">
        <v>45</v>
      </c>
      <c r="O138" t="s">
        <v>46</v>
      </c>
      <c r="P138" s="5">
        <v>2</v>
      </c>
      <c r="Q138" s="12">
        <v>44746.379490740743</v>
      </c>
      <c r="R138" s="13">
        <v>44747</v>
      </c>
      <c r="T138" t="s">
        <v>47</v>
      </c>
      <c r="U138" t="s">
        <v>48</v>
      </c>
      <c r="V138" t="s">
        <v>67</v>
      </c>
      <c r="Y138" t="s">
        <v>486</v>
      </c>
      <c r="Z138">
        <v>27000</v>
      </c>
      <c r="AA138" t="s">
        <v>47</v>
      </c>
      <c r="AB138" t="s">
        <v>48</v>
      </c>
      <c r="AC138" t="s">
        <v>53</v>
      </c>
      <c r="AD138" s="16">
        <f t="shared" si="28"/>
        <v>7.8</v>
      </c>
      <c r="AE138" s="15">
        <v>0</v>
      </c>
      <c r="AF138" s="15">
        <v>0</v>
      </c>
      <c r="AG138" s="15">
        <v>0</v>
      </c>
      <c r="AH138" s="15">
        <v>0</v>
      </c>
      <c r="AI138" s="15">
        <f t="shared" si="26"/>
        <v>0.46799999999999997</v>
      </c>
      <c r="AJ138" s="15">
        <f t="shared" si="27"/>
        <v>8.2680000000000007</v>
      </c>
      <c r="AK138" t="s">
        <v>47</v>
      </c>
    </row>
    <row r="139" spans="1:37" ht="15" customHeight="1" x14ac:dyDescent="0.35">
      <c r="A139">
        <v>690929</v>
      </c>
      <c r="B139" t="s">
        <v>37</v>
      </c>
      <c r="C139" t="s">
        <v>38</v>
      </c>
      <c r="D139" s="9" t="s">
        <v>39</v>
      </c>
      <c r="E139" s="10" t="s">
        <v>37</v>
      </c>
      <c r="F139" s="11"/>
      <c r="G139" t="s">
        <v>487</v>
      </c>
      <c r="I139" t="s">
        <v>41</v>
      </c>
      <c r="J139" t="s">
        <v>488</v>
      </c>
      <c r="K139" t="s">
        <v>43</v>
      </c>
      <c r="L139">
        <v>2</v>
      </c>
      <c r="M139" t="s">
        <v>44</v>
      </c>
      <c r="N139" t="s">
        <v>45</v>
      </c>
      <c r="O139" t="s">
        <v>46</v>
      </c>
      <c r="P139" s="5">
        <v>1</v>
      </c>
      <c r="Q139" s="12">
        <v>44744.638240740744</v>
      </c>
      <c r="R139" s="13">
        <v>44747</v>
      </c>
      <c r="T139" t="s">
        <v>47</v>
      </c>
      <c r="U139" t="s">
        <v>48</v>
      </c>
      <c r="V139" t="s">
        <v>71</v>
      </c>
      <c r="Y139" t="s">
        <v>489</v>
      </c>
      <c r="Z139">
        <v>6300</v>
      </c>
      <c r="AA139" t="s">
        <v>47</v>
      </c>
      <c r="AB139" t="s">
        <v>64</v>
      </c>
      <c r="AC139" t="s">
        <v>53</v>
      </c>
      <c r="AD139" s="16">
        <f t="shared" si="28"/>
        <v>7</v>
      </c>
      <c r="AE139" s="15">
        <v>0</v>
      </c>
      <c r="AF139" s="15">
        <v>0</v>
      </c>
      <c r="AG139" s="15">
        <v>0</v>
      </c>
      <c r="AH139" s="15">
        <v>0</v>
      </c>
      <c r="AI139" s="15">
        <f t="shared" si="26"/>
        <v>0.42</v>
      </c>
      <c r="AJ139" s="15">
        <f t="shared" si="27"/>
        <v>7.42</v>
      </c>
      <c r="AK139" t="s">
        <v>47</v>
      </c>
    </row>
    <row r="140" spans="1:37" ht="15" customHeight="1" x14ac:dyDescent="0.35">
      <c r="A140">
        <v>690929</v>
      </c>
      <c r="B140" t="s">
        <v>37</v>
      </c>
      <c r="C140" t="s">
        <v>38</v>
      </c>
      <c r="D140" s="9" t="s">
        <v>39</v>
      </c>
      <c r="E140" s="10" t="s">
        <v>37</v>
      </c>
      <c r="F140" s="11"/>
      <c r="G140" t="s">
        <v>490</v>
      </c>
      <c r="I140" t="s">
        <v>41</v>
      </c>
      <c r="J140" t="s">
        <v>491</v>
      </c>
      <c r="K140" t="s">
        <v>43</v>
      </c>
      <c r="L140">
        <v>2</v>
      </c>
      <c r="M140" t="s">
        <v>44</v>
      </c>
      <c r="N140" t="s">
        <v>45</v>
      </c>
      <c r="O140" t="s">
        <v>46</v>
      </c>
      <c r="P140" s="5">
        <v>1</v>
      </c>
      <c r="Q140" s="12">
        <v>44745.759965277779</v>
      </c>
      <c r="R140" s="13">
        <v>44747</v>
      </c>
      <c r="T140" t="s">
        <v>47</v>
      </c>
      <c r="U140" t="s">
        <v>48</v>
      </c>
      <c r="V140" t="s">
        <v>96</v>
      </c>
      <c r="Y140" t="s">
        <v>492</v>
      </c>
      <c r="Z140">
        <v>17500</v>
      </c>
      <c r="AA140" t="s">
        <v>47</v>
      </c>
      <c r="AB140" t="s">
        <v>56</v>
      </c>
      <c r="AC140" t="s">
        <v>53</v>
      </c>
      <c r="AD140" s="16">
        <f t="shared" si="28"/>
        <v>7</v>
      </c>
      <c r="AE140" s="15">
        <v>0</v>
      </c>
      <c r="AF140" s="15">
        <v>0</v>
      </c>
      <c r="AG140" s="15">
        <v>0</v>
      </c>
      <c r="AH140" s="15">
        <v>0</v>
      </c>
      <c r="AI140" s="15">
        <f t="shared" si="26"/>
        <v>0.42</v>
      </c>
      <c r="AJ140" s="15">
        <f t="shared" si="27"/>
        <v>7.42</v>
      </c>
      <c r="AK140" t="s">
        <v>47</v>
      </c>
    </row>
    <row r="141" spans="1:37" ht="15" customHeight="1" x14ac:dyDescent="0.35">
      <c r="A141">
        <v>690929</v>
      </c>
      <c r="B141" t="s">
        <v>37</v>
      </c>
      <c r="C141" t="s">
        <v>38</v>
      </c>
      <c r="D141" s="9" t="s">
        <v>39</v>
      </c>
      <c r="E141" s="10" t="s">
        <v>37</v>
      </c>
      <c r="F141" s="11"/>
      <c r="G141" t="s">
        <v>493</v>
      </c>
      <c r="I141" t="s">
        <v>41</v>
      </c>
      <c r="J141" t="s">
        <v>494</v>
      </c>
      <c r="K141" t="s">
        <v>43</v>
      </c>
      <c r="L141">
        <v>2</v>
      </c>
      <c r="M141" t="s">
        <v>44</v>
      </c>
      <c r="N141" t="s">
        <v>45</v>
      </c>
      <c r="O141" t="s">
        <v>46</v>
      </c>
      <c r="P141" s="5">
        <v>1</v>
      </c>
      <c r="Q141" s="12">
        <v>44745.559560185182</v>
      </c>
      <c r="R141" s="13">
        <v>44747</v>
      </c>
      <c r="T141" t="s">
        <v>47</v>
      </c>
      <c r="U141" t="s">
        <v>48</v>
      </c>
      <c r="V141" t="s">
        <v>128</v>
      </c>
      <c r="Y141" t="s">
        <v>495</v>
      </c>
      <c r="Z141">
        <v>59000</v>
      </c>
      <c r="AA141" t="s">
        <v>47</v>
      </c>
      <c r="AB141" t="s">
        <v>64</v>
      </c>
      <c r="AC141" t="s">
        <v>53</v>
      </c>
      <c r="AD141" s="16">
        <f t="shared" si="28"/>
        <v>7</v>
      </c>
      <c r="AE141" s="15">
        <v>0</v>
      </c>
      <c r="AF141" s="15">
        <v>0</v>
      </c>
      <c r="AG141" s="15">
        <v>0</v>
      </c>
      <c r="AH141" s="15">
        <v>0</v>
      </c>
      <c r="AI141" s="15">
        <f t="shared" si="26"/>
        <v>0.42</v>
      </c>
      <c r="AJ141" s="15">
        <f t="shared" si="27"/>
        <v>7.42</v>
      </c>
      <c r="AK141" t="s">
        <v>47</v>
      </c>
    </row>
    <row r="142" spans="1:37" ht="15" customHeight="1" x14ac:dyDescent="0.35">
      <c r="A142">
        <v>690929</v>
      </c>
      <c r="B142" t="s">
        <v>37</v>
      </c>
      <c r="C142" t="s">
        <v>38</v>
      </c>
      <c r="D142" s="9" t="s">
        <v>39</v>
      </c>
      <c r="E142" s="10" t="s">
        <v>37</v>
      </c>
      <c r="F142" s="11"/>
      <c r="G142" t="s">
        <v>496</v>
      </c>
      <c r="I142" t="s">
        <v>41</v>
      </c>
      <c r="J142" t="s">
        <v>497</v>
      </c>
      <c r="K142" t="s">
        <v>43</v>
      </c>
      <c r="L142">
        <v>2</v>
      </c>
      <c r="M142" t="s">
        <v>44</v>
      </c>
      <c r="N142" t="s">
        <v>45</v>
      </c>
      <c r="O142" t="s">
        <v>46</v>
      </c>
      <c r="P142" s="5">
        <v>1</v>
      </c>
      <c r="Q142" s="12">
        <v>44744.762175925927</v>
      </c>
      <c r="R142" s="13">
        <v>44747</v>
      </c>
      <c r="T142" t="s">
        <v>47</v>
      </c>
      <c r="U142" t="s">
        <v>48</v>
      </c>
      <c r="V142" t="s">
        <v>100</v>
      </c>
      <c r="Y142" t="s">
        <v>498</v>
      </c>
      <c r="Z142">
        <v>32400</v>
      </c>
      <c r="AA142" t="s">
        <v>47</v>
      </c>
      <c r="AB142" t="s">
        <v>64</v>
      </c>
      <c r="AC142" t="s">
        <v>53</v>
      </c>
      <c r="AD142" s="16">
        <f t="shared" si="28"/>
        <v>7</v>
      </c>
      <c r="AE142" s="15">
        <v>0</v>
      </c>
      <c r="AF142" s="15">
        <v>0</v>
      </c>
      <c r="AG142" s="15">
        <v>0</v>
      </c>
      <c r="AH142" s="15">
        <v>0</v>
      </c>
      <c r="AI142" s="15">
        <f t="shared" si="26"/>
        <v>0.42</v>
      </c>
      <c r="AJ142" s="15">
        <f t="shared" si="27"/>
        <v>7.42</v>
      </c>
      <c r="AK142" t="s">
        <v>47</v>
      </c>
    </row>
    <row r="143" spans="1:37" ht="15" customHeight="1" x14ac:dyDescent="0.35">
      <c r="A143">
        <v>690929</v>
      </c>
      <c r="B143" t="s">
        <v>37</v>
      </c>
      <c r="C143" t="s">
        <v>38</v>
      </c>
      <c r="D143" s="9" t="s">
        <v>39</v>
      </c>
      <c r="E143" s="10" t="s">
        <v>37</v>
      </c>
      <c r="F143" s="11"/>
      <c r="G143" t="s">
        <v>499</v>
      </c>
      <c r="I143" t="s">
        <v>41</v>
      </c>
      <c r="J143" t="s">
        <v>500</v>
      </c>
      <c r="K143" t="s">
        <v>43</v>
      </c>
      <c r="L143">
        <v>2</v>
      </c>
      <c r="M143" t="s">
        <v>44</v>
      </c>
      <c r="N143" t="s">
        <v>45</v>
      </c>
      <c r="O143" t="s">
        <v>46</v>
      </c>
      <c r="P143" s="5">
        <v>1</v>
      </c>
      <c r="Q143" s="12">
        <v>44744.769861111112</v>
      </c>
      <c r="R143" s="13">
        <v>44747</v>
      </c>
      <c r="T143" t="s">
        <v>47</v>
      </c>
      <c r="U143" t="s">
        <v>48</v>
      </c>
      <c r="V143" t="s">
        <v>114</v>
      </c>
      <c r="Y143" t="s">
        <v>501</v>
      </c>
      <c r="Z143">
        <v>62300</v>
      </c>
      <c r="AA143" t="s">
        <v>47</v>
      </c>
      <c r="AB143" t="s">
        <v>64</v>
      </c>
      <c r="AC143" t="s">
        <v>53</v>
      </c>
      <c r="AD143" s="16">
        <f t="shared" si="28"/>
        <v>7</v>
      </c>
      <c r="AE143" s="15">
        <v>0</v>
      </c>
      <c r="AF143" s="15">
        <v>0</v>
      </c>
      <c r="AG143" s="15">
        <v>0</v>
      </c>
      <c r="AH143" s="15">
        <v>0</v>
      </c>
      <c r="AI143" s="15">
        <f t="shared" si="26"/>
        <v>0.42</v>
      </c>
      <c r="AJ143" s="15">
        <f t="shared" si="27"/>
        <v>7.42</v>
      </c>
      <c r="AK143" t="s">
        <v>47</v>
      </c>
    </row>
    <row r="144" spans="1:37" ht="15" customHeight="1" x14ac:dyDescent="0.35">
      <c r="A144">
        <v>690929</v>
      </c>
      <c r="B144" t="s">
        <v>37</v>
      </c>
      <c r="C144" t="s">
        <v>38</v>
      </c>
      <c r="D144" s="9" t="s">
        <v>39</v>
      </c>
      <c r="E144" s="10" t="s">
        <v>37</v>
      </c>
      <c r="F144" s="11"/>
      <c r="G144" t="s">
        <v>502</v>
      </c>
      <c r="I144" t="s">
        <v>41</v>
      </c>
      <c r="J144" t="s">
        <v>503</v>
      </c>
      <c r="K144" t="s">
        <v>43</v>
      </c>
      <c r="L144">
        <v>2</v>
      </c>
      <c r="M144" t="s">
        <v>44</v>
      </c>
      <c r="N144" t="s">
        <v>45</v>
      </c>
      <c r="O144" t="s">
        <v>46</v>
      </c>
      <c r="P144" s="5">
        <v>1</v>
      </c>
      <c r="Q144" s="12">
        <v>44744.852824074071</v>
      </c>
      <c r="R144" s="13">
        <v>44747</v>
      </c>
      <c r="T144" t="s">
        <v>47</v>
      </c>
      <c r="U144" t="s">
        <v>48</v>
      </c>
      <c r="V144" t="s">
        <v>114</v>
      </c>
      <c r="Y144" t="s">
        <v>504</v>
      </c>
      <c r="Z144">
        <v>63000</v>
      </c>
      <c r="AA144" t="s">
        <v>47</v>
      </c>
      <c r="AB144" t="s">
        <v>64</v>
      </c>
      <c r="AC144" t="s">
        <v>53</v>
      </c>
      <c r="AD144" s="16">
        <f t="shared" si="28"/>
        <v>7</v>
      </c>
      <c r="AE144" s="15">
        <v>0</v>
      </c>
      <c r="AF144" s="15">
        <v>0</v>
      </c>
      <c r="AG144" s="15">
        <v>0</v>
      </c>
      <c r="AH144" s="15">
        <v>0</v>
      </c>
      <c r="AI144" s="15">
        <f t="shared" si="26"/>
        <v>0.42</v>
      </c>
      <c r="AJ144" s="15">
        <f t="shared" si="27"/>
        <v>7.42</v>
      </c>
      <c r="AK144" t="s">
        <v>47</v>
      </c>
    </row>
    <row r="145" spans="1:37" ht="15" customHeight="1" x14ac:dyDescent="0.35">
      <c r="A145">
        <v>690929</v>
      </c>
      <c r="B145" t="s">
        <v>37</v>
      </c>
      <c r="C145" t="s">
        <v>38</v>
      </c>
      <c r="D145" s="9" t="s">
        <v>39</v>
      </c>
      <c r="E145" s="10" t="s">
        <v>37</v>
      </c>
      <c r="F145" s="11"/>
      <c r="G145" t="s">
        <v>505</v>
      </c>
      <c r="I145" t="s">
        <v>41</v>
      </c>
      <c r="J145" t="s">
        <v>506</v>
      </c>
      <c r="K145" t="s">
        <v>43</v>
      </c>
      <c r="L145">
        <v>2</v>
      </c>
      <c r="M145" t="s">
        <v>44</v>
      </c>
      <c r="N145" t="s">
        <v>45</v>
      </c>
      <c r="O145" t="s">
        <v>46</v>
      </c>
      <c r="P145" s="5">
        <v>1</v>
      </c>
      <c r="Q145" s="12">
        <v>44744.77144675926</v>
      </c>
      <c r="R145" s="13">
        <v>44747</v>
      </c>
      <c r="T145" t="s">
        <v>47</v>
      </c>
      <c r="U145" t="s">
        <v>48</v>
      </c>
      <c r="V145" t="s">
        <v>100</v>
      </c>
      <c r="Y145" t="s">
        <v>507</v>
      </c>
      <c r="Z145">
        <v>33040</v>
      </c>
      <c r="AA145" t="s">
        <v>47</v>
      </c>
      <c r="AB145" t="s">
        <v>64</v>
      </c>
      <c r="AC145" t="s">
        <v>53</v>
      </c>
      <c r="AD145" s="16">
        <f t="shared" si="28"/>
        <v>7</v>
      </c>
      <c r="AE145" s="15">
        <v>0</v>
      </c>
      <c r="AF145" s="15">
        <v>0</v>
      </c>
      <c r="AG145" s="15">
        <v>0</v>
      </c>
      <c r="AH145" s="15">
        <v>0</v>
      </c>
      <c r="AI145" s="15">
        <f t="shared" si="26"/>
        <v>0.42</v>
      </c>
      <c r="AJ145" s="15">
        <f t="shared" si="27"/>
        <v>7.42</v>
      </c>
      <c r="AK145" t="s">
        <v>47</v>
      </c>
    </row>
    <row r="146" spans="1:37" ht="15" customHeight="1" x14ac:dyDescent="0.35">
      <c r="A146">
        <v>690929</v>
      </c>
      <c r="B146" t="s">
        <v>37</v>
      </c>
      <c r="C146" t="s">
        <v>38</v>
      </c>
      <c r="D146" s="9" t="s">
        <v>39</v>
      </c>
      <c r="E146" s="10" t="s">
        <v>37</v>
      </c>
      <c r="F146" s="11"/>
      <c r="G146" t="s">
        <v>508</v>
      </c>
      <c r="I146" t="s">
        <v>41</v>
      </c>
      <c r="J146" t="s">
        <v>509</v>
      </c>
      <c r="K146" t="s">
        <v>43</v>
      </c>
      <c r="L146">
        <v>2</v>
      </c>
      <c r="M146" t="s">
        <v>44</v>
      </c>
      <c r="N146" t="s">
        <v>45</v>
      </c>
      <c r="O146" t="s">
        <v>46</v>
      </c>
      <c r="P146" s="5">
        <v>1</v>
      </c>
      <c r="Q146" s="12">
        <v>44744.820810185185</v>
      </c>
      <c r="R146" s="13">
        <v>44747</v>
      </c>
      <c r="T146" t="s">
        <v>47</v>
      </c>
      <c r="U146" t="s">
        <v>48</v>
      </c>
      <c r="V146" t="s">
        <v>85</v>
      </c>
      <c r="Y146" t="s">
        <v>510</v>
      </c>
      <c r="Z146">
        <v>14120</v>
      </c>
      <c r="AA146" t="s">
        <v>47</v>
      </c>
      <c r="AB146" t="s">
        <v>64</v>
      </c>
      <c r="AC146" t="s">
        <v>53</v>
      </c>
      <c r="AD146" s="16">
        <f t="shared" si="28"/>
        <v>7</v>
      </c>
      <c r="AE146" s="15">
        <v>0</v>
      </c>
      <c r="AF146" s="15">
        <v>0</v>
      </c>
      <c r="AG146" s="15">
        <v>0</v>
      </c>
      <c r="AH146" s="15">
        <v>0</v>
      </c>
      <c r="AI146" s="15">
        <f t="shared" si="26"/>
        <v>0.42</v>
      </c>
      <c r="AJ146" s="15">
        <f t="shared" si="27"/>
        <v>7.42</v>
      </c>
      <c r="AK146" t="s">
        <v>47</v>
      </c>
    </row>
    <row r="147" spans="1:37" ht="15" customHeight="1" x14ac:dyDescent="0.35">
      <c r="A147">
        <v>690929</v>
      </c>
      <c r="B147" t="s">
        <v>37</v>
      </c>
      <c r="C147" t="s">
        <v>38</v>
      </c>
      <c r="D147" s="9" t="s">
        <v>39</v>
      </c>
      <c r="E147" s="10" t="s">
        <v>37</v>
      </c>
      <c r="F147" s="11"/>
      <c r="G147" t="s">
        <v>511</v>
      </c>
      <c r="I147" t="s">
        <v>41</v>
      </c>
      <c r="J147" t="s">
        <v>512</v>
      </c>
      <c r="K147" t="s">
        <v>43</v>
      </c>
      <c r="L147">
        <v>2</v>
      </c>
      <c r="M147" t="s">
        <v>44</v>
      </c>
      <c r="N147" t="s">
        <v>45</v>
      </c>
      <c r="O147" t="s">
        <v>46</v>
      </c>
      <c r="P147" s="5">
        <v>1</v>
      </c>
      <c r="Q147" s="12">
        <v>44744.757256944446</v>
      </c>
      <c r="R147" s="13">
        <v>44747</v>
      </c>
      <c r="T147" t="s">
        <v>47</v>
      </c>
      <c r="U147" t="s">
        <v>48</v>
      </c>
      <c r="V147" t="s">
        <v>100</v>
      </c>
      <c r="Y147" t="s">
        <v>513</v>
      </c>
      <c r="Z147">
        <v>34520</v>
      </c>
      <c r="AA147" t="s">
        <v>47</v>
      </c>
      <c r="AB147" t="s">
        <v>64</v>
      </c>
      <c r="AC147" t="s">
        <v>53</v>
      </c>
      <c r="AD147" s="16">
        <f t="shared" si="28"/>
        <v>7</v>
      </c>
      <c r="AE147" s="15">
        <v>0</v>
      </c>
      <c r="AF147" s="15">
        <v>0</v>
      </c>
      <c r="AG147" s="15">
        <v>0</v>
      </c>
      <c r="AH147" s="15">
        <v>0</v>
      </c>
      <c r="AI147" s="15">
        <f t="shared" si="26"/>
        <v>0.42</v>
      </c>
      <c r="AJ147" s="15">
        <f t="shared" si="27"/>
        <v>7.42</v>
      </c>
      <c r="AK147" t="s">
        <v>47</v>
      </c>
    </row>
    <row r="148" spans="1:37" ht="15" customHeight="1" x14ac:dyDescent="0.35">
      <c r="A148">
        <v>690929</v>
      </c>
      <c r="B148" t="s">
        <v>37</v>
      </c>
      <c r="C148" t="s">
        <v>38</v>
      </c>
      <c r="D148" s="9" t="s">
        <v>39</v>
      </c>
      <c r="E148" s="10" t="s">
        <v>37</v>
      </c>
      <c r="F148" s="11"/>
      <c r="G148" t="s">
        <v>514</v>
      </c>
      <c r="I148" t="s">
        <v>41</v>
      </c>
      <c r="J148" t="s">
        <v>515</v>
      </c>
      <c r="K148" t="s">
        <v>43</v>
      </c>
      <c r="L148">
        <v>2</v>
      </c>
      <c r="M148" t="s">
        <v>44</v>
      </c>
      <c r="N148" t="s">
        <v>45</v>
      </c>
      <c r="O148" t="s">
        <v>46</v>
      </c>
      <c r="P148" s="5">
        <v>1</v>
      </c>
      <c r="Q148" s="12">
        <v>44745.763738425929</v>
      </c>
      <c r="R148" s="13">
        <v>44747</v>
      </c>
      <c r="T148" t="s">
        <v>47</v>
      </c>
      <c r="U148" t="s">
        <v>48</v>
      </c>
      <c r="V148" t="s">
        <v>96</v>
      </c>
      <c r="Y148" t="s">
        <v>516</v>
      </c>
      <c r="Z148">
        <v>17500</v>
      </c>
      <c r="AA148" t="s">
        <v>47</v>
      </c>
      <c r="AB148" t="s">
        <v>56</v>
      </c>
      <c r="AC148" t="s">
        <v>53</v>
      </c>
      <c r="AD148" s="16">
        <f t="shared" si="28"/>
        <v>7</v>
      </c>
      <c r="AE148" s="15">
        <v>0</v>
      </c>
      <c r="AF148" s="15">
        <v>0</v>
      </c>
      <c r="AG148" s="15">
        <v>0</v>
      </c>
      <c r="AH148" s="15">
        <v>0</v>
      </c>
      <c r="AI148" s="15">
        <f t="shared" si="26"/>
        <v>0.42</v>
      </c>
      <c r="AJ148" s="15">
        <f t="shared" si="27"/>
        <v>7.42</v>
      </c>
      <c r="AK148" t="s">
        <v>47</v>
      </c>
    </row>
    <row r="149" spans="1:37" ht="15" customHeight="1" x14ac:dyDescent="0.35">
      <c r="A149">
        <v>690929</v>
      </c>
      <c r="B149" t="s">
        <v>37</v>
      </c>
      <c r="C149" t="s">
        <v>38</v>
      </c>
      <c r="D149" s="9" t="s">
        <v>39</v>
      </c>
      <c r="E149" s="10" t="s">
        <v>37</v>
      </c>
      <c r="F149" s="11"/>
      <c r="G149" t="s">
        <v>517</v>
      </c>
      <c r="I149" t="s">
        <v>41</v>
      </c>
      <c r="J149" t="s">
        <v>518</v>
      </c>
      <c r="K149" t="s">
        <v>43</v>
      </c>
      <c r="L149">
        <v>2</v>
      </c>
      <c r="M149" t="s">
        <v>44</v>
      </c>
      <c r="N149" t="s">
        <v>45</v>
      </c>
      <c r="O149" t="s">
        <v>46</v>
      </c>
      <c r="P149" s="5">
        <v>1</v>
      </c>
      <c r="Q149" s="12">
        <v>44745.791527777779</v>
      </c>
      <c r="R149" s="13">
        <v>44747</v>
      </c>
      <c r="T149" t="s">
        <v>47</v>
      </c>
      <c r="U149" t="s">
        <v>48</v>
      </c>
      <c r="V149" t="s">
        <v>67</v>
      </c>
      <c r="Y149" t="s">
        <v>519</v>
      </c>
      <c r="Z149">
        <v>26600</v>
      </c>
      <c r="AA149" t="s">
        <v>47</v>
      </c>
      <c r="AB149" t="s">
        <v>48</v>
      </c>
      <c r="AC149" t="s">
        <v>53</v>
      </c>
      <c r="AD149" s="16">
        <f>IF(P149&lt;=1,7,7+0.8*ROUNDUP(P149-1,0))</f>
        <v>7</v>
      </c>
      <c r="AE149" s="15">
        <v>0</v>
      </c>
      <c r="AF149" s="15">
        <v>0</v>
      </c>
      <c r="AG149" s="15">
        <v>0</v>
      </c>
      <c r="AH149" s="15">
        <v>0</v>
      </c>
      <c r="AI149" s="15">
        <f t="shared" si="26"/>
        <v>0.42</v>
      </c>
      <c r="AJ149" s="15">
        <f t="shared" si="27"/>
        <v>7.42</v>
      </c>
      <c r="AK149" t="s">
        <v>47</v>
      </c>
    </row>
    <row r="150" spans="1:37" ht="15" customHeight="1" x14ac:dyDescent="0.35">
      <c r="A150">
        <v>690929</v>
      </c>
      <c r="B150" t="s">
        <v>37</v>
      </c>
      <c r="C150" t="s">
        <v>38</v>
      </c>
      <c r="D150" s="9" t="s">
        <v>39</v>
      </c>
      <c r="E150" s="10" t="s">
        <v>37</v>
      </c>
      <c r="F150" s="11"/>
      <c r="G150" t="s">
        <v>520</v>
      </c>
      <c r="I150" t="s">
        <v>41</v>
      </c>
      <c r="J150" t="s">
        <v>521</v>
      </c>
      <c r="K150" t="s">
        <v>43</v>
      </c>
      <c r="L150">
        <v>2</v>
      </c>
      <c r="M150" t="s">
        <v>44</v>
      </c>
      <c r="N150" t="s">
        <v>45</v>
      </c>
      <c r="O150" t="s">
        <v>46</v>
      </c>
      <c r="P150" s="5">
        <v>1</v>
      </c>
      <c r="Q150" s="12">
        <v>44746.649988425925</v>
      </c>
      <c r="R150" s="13">
        <v>44747</v>
      </c>
      <c r="T150" t="s">
        <v>47</v>
      </c>
      <c r="U150" t="s">
        <v>48</v>
      </c>
      <c r="V150" t="s">
        <v>67</v>
      </c>
      <c r="Y150" t="s">
        <v>522</v>
      </c>
      <c r="Z150">
        <v>27100</v>
      </c>
      <c r="AA150" t="s">
        <v>47</v>
      </c>
      <c r="AB150" t="s">
        <v>48</v>
      </c>
      <c r="AC150" t="s">
        <v>53</v>
      </c>
      <c r="AD150" s="16">
        <f t="shared" ref="AD150:AD151" si="29">IF(P150&lt;=1,7,7+0.8*ROUNDUP(P150-1,0))</f>
        <v>7</v>
      </c>
      <c r="AE150" s="15">
        <v>0</v>
      </c>
      <c r="AF150" s="15">
        <v>0</v>
      </c>
      <c r="AG150" s="15">
        <v>0</v>
      </c>
      <c r="AH150" s="15">
        <v>0</v>
      </c>
      <c r="AI150" s="15">
        <f t="shared" si="26"/>
        <v>0.42</v>
      </c>
      <c r="AJ150" s="15">
        <f t="shared" si="27"/>
        <v>7.42</v>
      </c>
      <c r="AK150" t="s">
        <v>47</v>
      </c>
    </row>
    <row r="151" spans="1:37" ht="15" customHeight="1" x14ac:dyDescent="0.35">
      <c r="A151">
        <v>690929</v>
      </c>
      <c r="B151" t="s">
        <v>37</v>
      </c>
      <c r="C151" t="s">
        <v>38</v>
      </c>
      <c r="D151" s="9" t="s">
        <v>39</v>
      </c>
      <c r="E151" s="10" t="s">
        <v>37</v>
      </c>
      <c r="F151" s="11"/>
      <c r="G151" t="s">
        <v>523</v>
      </c>
      <c r="I151" t="s">
        <v>41</v>
      </c>
      <c r="J151" t="s">
        <v>524</v>
      </c>
      <c r="K151" t="s">
        <v>43</v>
      </c>
      <c r="L151">
        <v>2</v>
      </c>
      <c r="M151" t="s">
        <v>44</v>
      </c>
      <c r="N151" t="s">
        <v>45</v>
      </c>
      <c r="O151" t="s">
        <v>46</v>
      </c>
      <c r="P151" s="5">
        <v>1</v>
      </c>
      <c r="Q151" s="12">
        <v>44744.747314814813</v>
      </c>
      <c r="R151" s="13">
        <v>44747</v>
      </c>
      <c r="T151" t="s">
        <v>47</v>
      </c>
      <c r="U151" t="s">
        <v>48</v>
      </c>
      <c r="V151" t="s">
        <v>138</v>
      </c>
      <c r="Y151" t="s">
        <v>525</v>
      </c>
      <c r="Z151">
        <v>70450</v>
      </c>
      <c r="AA151" t="s">
        <v>47</v>
      </c>
      <c r="AB151" t="s">
        <v>64</v>
      </c>
      <c r="AC151" t="s">
        <v>53</v>
      </c>
      <c r="AD151" s="16">
        <f t="shared" si="29"/>
        <v>7</v>
      </c>
      <c r="AE151" s="15">
        <v>0</v>
      </c>
      <c r="AF151" s="15">
        <v>0</v>
      </c>
      <c r="AG151" s="15">
        <v>0</v>
      </c>
      <c r="AH151" s="15">
        <v>0</v>
      </c>
      <c r="AI151" s="15">
        <f t="shared" si="26"/>
        <v>0.42</v>
      </c>
      <c r="AJ151" s="15">
        <f t="shared" si="27"/>
        <v>7.42</v>
      </c>
      <c r="AK151" t="s">
        <v>47</v>
      </c>
    </row>
    <row r="152" spans="1:37" ht="15" customHeight="1" x14ac:dyDescent="0.35">
      <c r="A152">
        <v>690929</v>
      </c>
      <c r="B152" t="s">
        <v>37</v>
      </c>
      <c r="C152" t="s">
        <v>38</v>
      </c>
      <c r="D152" s="9" t="s">
        <v>39</v>
      </c>
      <c r="E152" s="10" t="s">
        <v>37</v>
      </c>
      <c r="F152" s="11"/>
      <c r="G152" t="s">
        <v>526</v>
      </c>
      <c r="I152" t="s">
        <v>41</v>
      </c>
      <c r="J152" t="s">
        <v>527</v>
      </c>
      <c r="K152" t="s">
        <v>43</v>
      </c>
      <c r="L152">
        <v>2</v>
      </c>
      <c r="M152" t="s">
        <v>44</v>
      </c>
      <c r="N152" t="s">
        <v>45</v>
      </c>
      <c r="O152" t="s">
        <v>46</v>
      </c>
      <c r="P152" s="5">
        <v>1</v>
      </c>
      <c r="Q152" s="12">
        <v>44745.784189814818</v>
      </c>
      <c r="R152" s="13">
        <v>44747</v>
      </c>
      <c r="T152" t="s">
        <v>47</v>
      </c>
      <c r="U152" t="s">
        <v>48</v>
      </c>
      <c r="V152" t="s">
        <v>114</v>
      </c>
      <c r="Y152" t="s">
        <v>528</v>
      </c>
      <c r="Z152">
        <v>40460</v>
      </c>
      <c r="AA152" t="s">
        <v>47</v>
      </c>
      <c r="AB152" t="s">
        <v>64</v>
      </c>
      <c r="AC152" t="s">
        <v>53</v>
      </c>
      <c r="AD152" s="16">
        <f>IF(P152&lt;=1,7,7+0.8*ROUNDUP(P152-1,0))</f>
        <v>7</v>
      </c>
      <c r="AE152" s="15">
        <v>0</v>
      </c>
      <c r="AF152" s="15">
        <v>0</v>
      </c>
      <c r="AG152" s="15">
        <v>0</v>
      </c>
      <c r="AH152" s="15">
        <v>0</v>
      </c>
      <c r="AI152" s="15">
        <f t="shared" si="26"/>
        <v>0.42</v>
      </c>
      <c r="AJ152" s="15">
        <f t="shared" si="27"/>
        <v>7.42</v>
      </c>
      <c r="AK152" t="s">
        <v>47</v>
      </c>
    </row>
    <row r="153" spans="1:37" ht="15" customHeight="1" x14ac:dyDescent="0.35">
      <c r="A153">
        <v>690929</v>
      </c>
      <c r="B153" t="s">
        <v>37</v>
      </c>
      <c r="C153" t="s">
        <v>38</v>
      </c>
      <c r="D153" s="9" t="s">
        <v>39</v>
      </c>
      <c r="E153" s="10" t="s">
        <v>37</v>
      </c>
      <c r="F153" s="11"/>
      <c r="G153" t="s">
        <v>529</v>
      </c>
      <c r="I153" t="s">
        <v>41</v>
      </c>
      <c r="J153" t="s">
        <v>530</v>
      </c>
      <c r="K153" t="s">
        <v>43</v>
      </c>
      <c r="L153">
        <v>2</v>
      </c>
      <c r="M153" t="s">
        <v>44</v>
      </c>
      <c r="N153" t="s">
        <v>45</v>
      </c>
      <c r="O153" t="s">
        <v>46</v>
      </c>
      <c r="P153" s="5">
        <v>11</v>
      </c>
      <c r="Q153" s="12">
        <v>44746.512881944444</v>
      </c>
      <c r="R153" s="13">
        <v>44747</v>
      </c>
      <c r="T153" t="s">
        <v>47</v>
      </c>
      <c r="U153" t="s">
        <v>48</v>
      </c>
      <c r="V153" t="s">
        <v>67</v>
      </c>
      <c r="Y153" t="s">
        <v>531</v>
      </c>
      <c r="Z153">
        <v>28740</v>
      </c>
      <c r="AA153" t="s">
        <v>47</v>
      </c>
      <c r="AB153" t="s">
        <v>532</v>
      </c>
      <c r="AC153" t="s">
        <v>53</v>
      </c>
      <c r="AD153" s="16">
        <f t="shared" ref="AD153:AD154" si="30">IF(P153&lt;=1,7,7+0.8*ROUNDUP(P153-1,0))</f>
        <v>15</v>
      </c>
      <c r="AE153" s="15">
        <v>0</v>
      </c>
      <c r="AF153" s="15">
        <v>0</v>
      </c>
      <c r="AG153" s="15">
        <v>0</v>
      </c>
      <c r="AH153" s="15">
        <v>0</v>
      </c>
      <c r="AI153" s="15">
        <f t="shared" si="26"/>
        <v>0.89999999999999991</v>
      </c>
      <c r="AJ153" s="15">
        <f t="shared" si="27"/>
        <v>15.9</v>
      </c>
      <c r="AK153" t="s">
        <v>47</v>
      </c>
    </row>
    <row r="154" spans="1:37" ht="15" customHeight="1" x14ac:dyDescent="0.35">
      <c r="A154">
        <v>690929</v>
      </c>
      <c r="B154" t="s">
        <v>37</v>
      </c>
      <c r="C154" t="s">
        <v>38</v>
      </c>
      <c r="D154" s="9" t="s">
        <v>39</v>
      </c>
      <c r="E154" s="10" t="s">
        <v>37</v>
      </c>
      <c r="F154" s="11"/>
      <c r="G154" t="s">
        <v>533</v>
      </c>
      <c r="I154" t="s">
        <v>41</v>
      </c>
      <c r="J154" t="s">
        <v>534</v>
      </c>
      <c r="K154" t="s">
        <v>43</v>
      </c>
      <c r="L154">
        <v>2</v>
      </c>
      <c r="M154" t="s">
        <v>44</v>
      </c>
      <c r="N154" t="s">
        <v>45</v>
      </c>
      <c r="O154" t="s">
        <v>46</v>
      </c>
      <c r="P154" s="5">
        <v>1</v>
      </c>
      <c r="Q154" s="12">
        <v>44746.647326388891</v>
      </c>
      <c r="R154" s="13">
        <v>44747</v>
      </c>
      <c r="T154" t="s">
        <v>47</v>
      </c>
      <c r="U154" t="s">
        <v>48</v>
      </c>
      <c r="V154" t="s">
        <v>67</v>
      </c>
      <c r="Y154" t="s">
        <v>535</v>
      </c>
      <c r="Z154">
        <v>27000</v>
      </c>
      <c r="AA154" t="s">
        <v>47</v>
      </c>
      <c r="AB154" t="s">
        <v>48</v>
      </c>
      <c r="AC154" t="s">
        <v>53</v>
      </c>
      <c r="AD154" s="16">
        <f t="shared" si="30"/>
        <v>7</v>
      </c>
      <c r="AE154" s="15">
        <v>0</v>
      </c>
      <c r="AF154" s="15">
        <v>0</v>
      </c>
      <c r="AG154" s="15">
        <v>0</v>
      </c>
      <c r="AH154" s="15">
        <v>0</v>
      </c>
      <c r="AI154" s="15">
        <f t="shared" si="26"/>
        <v>0.42</v>
      </c>
      <c r="AJ154" s="15">
        <f t="shared" si="27"/>
        <v>7.42</v>
      </c>
      <c r="AK154" t="s">
        <v>47</v>
      </c>
    </row>
    <row r="155" spans="1:37" ht="15" customHeight="1" x14ac:dyDescent="0.35">
      <c r="A155">
        <v>690929</v>
      </c>
      <c r="B155" t="s">
        <v>37</v>
      </c>
      <c r="C155" t="s">
        <v>38</v>
      </c>
      <c r="D155" s="9" t="s">
        <v>39</v>
      </c>
      <c r="E155" s="10" t="s">
        <v>37</v>
      </c>
      <c r="F155" s="11"/>
      <c r="G155" t="s">
        <v>536</v>
      </c>
      <c r="I155" t="s">
        <v>41</v>
      </c>
      <c r="J155" t="s">
        <v>537</v>
      </c>
      <c r="K155" t="s">
        <v>43</v>
      </c>
      <c r="L155">
        <v>2</v>
      </c>
      <c r="M155" t="s">
        <v>44</v>
      </c>
      <c r="N155" t="s">
        <v>45</v>
      </c>
      <c r="O155" t="s">
        <v>46</v>
      </c>
      <c r="P155" s="5">
        <v>1</v>
      </c>
      <c r="Q155" s="12">
        <v>44744.813321759262</v>
      </c>
      <c r="R155" s="13">
        <v>44747</v>
      </c>
      <c r="T155" t="s">
        <v>47</v>
      </c>
      <c r="U155" t="s">
        <v>48</v>
      </c>
      <c r="V155" t="s">
        <v>62</v>
      </c>
      <c r="Y155" t="s">
        <v>538</v>
      </c>
      <c r="Z155">
        <v>81200</v>
      </c>
      <c r="AA155" t="s">
        <v>47</v>
      </c>
      <c r="AB155" t="s">
        <v>64</v>
      </c>
      <c r="AC155" t="s">
        <v>53</v>
      </c>
      <c r="AD155" s="16">
        <f>IF(P155&lt;=1,7,7+0.8*ROUNDUP(P155-1,0))</f>
        <v>7</v>
      </c>
      <c r="AE155" s="15">
        <v>0</v>
      </c>
      <c r="AF155" s="15">
        <v>0</v>
      </c>
      <c r="AG155" s="15">
        <v>0</v>
      </c>
      <c r="AH155" s="15">
        <v>0</v>
      </c>
      <c r="AI155" s="15">
        <f t="shared" si="26"/>
        <v>0.42</v>
      </c>
      <c r="AJ155" s="15">
        <f t="shared" si="27"/>
        <v>7.42</v>
      </c>
      <c r="AK155" t="s">
        <v>47</v>
      </c>
    </row>
    <row r="156" spans="1:37" ht="15" customHeight="1" x14ac:dyDescent="0.35">
      <c r="A156">
        <v>690929</v>
      </c>
      <c r="B156" t="s">
        <v>37</v>
      </c>
      <c r="C156" t="s">
        <v>38</v>
      </c>
      <c r="D156" s="9" t="s">
        <v>39</v>
      </c>
      <c r="E156" s="10" t="s">
        <v>37</v>
      </c>
      <c r="F156" s="11"/>
      <c r="G156" t="s">
        <v>539</v>
      </c>
      <c r="I156" t="s">
        <v>41</v>
      </c>
      <c r="J156" t="s">
        <v>540</v>
      </c>
      <c r="K156" t="s">
        <v>43</v>
      </c>
      <c r="L156">
        <v>2</v>
      </c>
      <c r="M156" t="s">
        <v>44</v>
      </c>
      <c r="N156" t="s">
        <v>45</v>
      </c>
      <c r="O156" t="s">
        <v>46</v>
      </c>
      <c r="P156" s="5">
        <v>1</v>
      </c>
      <c r="Q156" s="12">
        <v>44744.751099537039</v>
      </c>
      <c r="R156" s="13">
        <v>44747</v>
      </c>
      <c r="T156" t="s">
        <v>47</v>
      </c>
      <c r="U156" t="s">
        <v>48</v>
      </c>
      <c r="V156" t="s">
        <v>100</v>
      </c>
      <c r="Y156" t="s">
        <v>541</v>
      </c>
      <c r="Z156">
        <v>34000</v>
      </c>
      <c r="AA156" t="s">
        <v>47</v>
      </c>
      <c r="AB156" t="s">
        <v>64</v>
      </c>
      <c r="AC156" t="s">
        <v>53</v>
      </c>
      <c r="AD156" s="16">
        <f>IF(P156&lt;=1,7,7+0.8*ROUNDUP(P156-1,0))</f>
        <v>7</v>
      </c>
      <c r="AE156" s="15">
        <v>0</v>
      </c>
      <c r="AF156" s="15">
        <v>0</v>
      </c>
      <c r="AG156" s="15">
        <v>0</v>
      </c>
      <c r="AH156" s="15">
        <v>0</v>
      </c>
      <c r="AI156" s="15">
        <f t="shared" si="26"/>
        <v>0.42</v>
      </c>
      <c r="AJ156" s="15">
        <f t="shared" si="27"/>
        <v>7.42</v>
      </c>
      <c r="AK156" t="s">
        <v>47</v>
      </c>
    </row>
    <row r="157" spans="1:37" ht="15" customHeight="1" x14ac:dyDescent="0.35">
      <c r="A157">
        <v>690929</v>
      </c>
      <c r="B157" t="s">
        <v>37</v>
      </c>
      <c r="C157" t="s">
        <v>38</v>
      </c>
      <c r="D157" s="9" t="s">
        <v>39</v>
      </c>
      <c r="E157" s="10" t="s">
        <v>37</v>
      </c>
      <c r="F157" s="11"/>
      <c r="G157" t="s">
        <v>542</v>
      </c>
      <c r="I157" t="s">
        <v>41</v>
      </c>
      <c r="J157" t="s">
        <v>543</v>
      </c>
      <c r="K157" t="s">
        <v>43</v>
      </c>
      <c r="L157">
        <v>2</v>
      </c>
      <c r="M157" t="s">
        <v>44</v>
      </c>
      <c r="N157" t="s">
        <v>45</v>
      </c>
      <c r="O157" t="s">
        <v>46</v>
      </c>
      <c r="P157" s="5">
        <v>1</v>
      </c>
      <c r="Q157" s="12">
        <v>44746.669004629628</v>
      </c>
      <c r="R157" s="13">
        <v>44747</v>
      </c>
      <c r="T157" t="s">
        <v>47</v>
      </c>
      <c r="U157" t="s">
        <v>48</v>
      </c>
      <c r="V157" t="s">
        <v>76</v>
      </c>
      <c r="Y157" t="s">
        <v>544</v>
      </c>
      <c r="Z157">
        <v>23100</v>
      </c>
      <c r="AA157" t="s">
        <v>47</v>
      </c>
      <c r="AB157" t="s">
        <v>48</v>
      </c>
      <c r="AC157" t="s">
        <v>53</v>
      </c>
      <c r="AD157" s="16">
        <f t="shared" ref="AD157:AD162" si="31">IF(P157&lt;=1,7,7+0.8*ROUNDUP(P157-1,0))</f>
        <v>7</v>
      </c>
      <c r="AE157" s="15">
        <v>0</v>
      </c>
      <c r="AF157" s="15">
        <v>0</v>
      </c>
      <c r="AG157" s="15">
        <v>0</v>
      </c>
      <c r="AH157" s="15">
        <v>0</v>
      </c>
      <c r="AI157" s="15">
        <f t="shared" si="26"/>
        <v>0.42</v>
      </c>
      <c r="AJ157" s="15">
        <f t="shared" si="27"/>
        <v>7.42</v>
      </c>
      <c r="AK157" t="s">
        <v>47</v>
      </c>
    </row>
    <row r="158" spans="1:37" ht="15" customHeight="1" x14ac:dyDescent="0.35">
      <c r="A158">
        <v>690929</v>
      </c>
      <c r="B158" t="s">
        <v>37</v>
      </c>
      <c r="C158" t="s">
        <v>38</v>
      </c>
      <c r="D158" s="9" t="s">
        <v>39</v>
      </c>
      <c r="E158" s="10" t="s">
        <v>37</v>
      </c>
      <c r="F158" s="11"/>
      <c r="G158" t="s">
        <v>545</v>
      </c>
      <c r="I158" t="s">
        <v>41</v>
      </c>
      <c r="J158" t="s">
        <v>546</v>
      </c>
      <c r="K158" t="s">
        <v>43</v>
      </c>
      <c r="L158">
        <v>2</v>
      </c>
      <c r="M158" t="s">
        <v>44</v>
      </c>
      <c r="N158" t="s">
        <v>45</v>
      </c>
      <c r="O158" t="s">
        <v>46</v>
      </c>
      <c r="P158" s="5">
        <v>1</v>
      </c>
      <c r="Q158" s="12">
        <v>44746.660694444443</v>
      </c>
      <c r="R158" s="13">
        <v>44747</v>
      </c>
      <c r="T158" t="s">
        <v>47</v>
      </c>
      <c r="U158" t="s">
        <v>48</v>
      </c>
      <c r="V158" t="s">
        <v>76</v>
      </c>
      <c r="Y158" t="s">
        <v>547</v>
      </c>
      <c r="Z158">
        <v>23200</v>
      </c>
      <c r="AA158" t="s">
        <v>47</v>
      </c>
      <c r="AB158" t="s">
        <v>48</v>
      </c>
      <c r="AC158" t="s">
        <v>53</v>
      </c>
      <c r="AD158" s="16">
        <f t="shared" si="31"/>
        <v>7</v>
      </c>
      <c r="AE158" s="15">
        <v>0</v>
      </c>
      <c r="AF158" s="15">
        <v>0</v>
      </c>
      <c r="AG158" s="15">
        <v>0</v>
      </c>
      <c r="AH158" s="15">
        <v>0</v>
      </c>
      <c r="AI158" s="15">
        <f t="shared" si="26"/>
        <v>0.42</v>
      </c>
      <c r="AJ158" s="15">
        <f t="shared" si="27"/>
        <v>7.42</v>
      </c>
      <c r="AK158" t="s">
        <v>47</v>
      </c>
    </row>
    <row r="159" spans="1:37" ht="15" customHeight="1" x14ac:dyDescent="0.35">
      <c r="A159">
        <v>690929</v>
      </c>
      <c r="B159" t="s">
        <v>37</v>
      </c>
      <c r="C159" t="s">
        <v>38</v>
      </c>
      <c r="D159" s="9" t="s">
        <v>39</v>
      </c>
      <c r="E159" s="10" t="s">
        <v>37</v>
      </c>
      <c r="F159" s="11"/>
      <c r="G159" t="s">
        <v>548</v>
      </c>
      <c r="I159" t="s">
        <v>41</v>
      </c>
      <c r="J159" t="s">
        <v>549</v>
      </c>
      <c r="K159" t="s">
        <v>43</v>
      </c>
      <c r="L159">
        <v>2</v>
      </c>
      <c r="M159" t="s">
        <v>44</v>
      </c>
      <c r="N159" t="s">
        <v>45</v>
      </c>
      <c r="O159" t="s">
        <v>46</v>
      </c>
      <c r="P159" s="5">
        <v>1</v>
      </c>
      <c r="Q159" s="12">
        <v>44744.752430555556</v>
      </c>
      <c r="R159" s="13">
        <v>44747</v>
      </c>
      <c r="T159" t="s">
        <v>47</v>
      </c>
      <c r="U159" t="s">
        <v>48</v>
      </c>
      <c r="V159" t="s">
        <v>138</v>
      </c>
      <c r="Y159" t="s">
        <v>550</v>
      </c>
      <c r="Z159">
        <v>71050</v>
      </c>
      <c r="AA159" t="s">
        <v>47</v>
      </c>
      <c r="AB159" t="s">
        <v>64</v>
      </c>
      <c r="AC159" t="s">
        <v>53</v>
      </c>
      <c r="AD159" s="16">
        <f t="shared" si="31"/>
        <v>7</v>
      </c>
      <c r="AE159" s="15">
        <v>0</v>
      </c>
      <c r="AF159" s="15">
        <v>0</v>
      </c>
      <c r="AG159" s="15">
        <v>0</v>
      </c>
      <c r="AH159" s="15">
        <v>0</v>
      </c>
      <c r="AI159" s="15">
        <f t="shared" si="26"/>
        <v>0.42</v>
      </c>
      <c r="AJ159" s="15">
        <f t="shared" si="27"/>
        <v>7.42</v>
      </c>
      <c r="AK159" t="s">
        <v>47</v>
      </c>
    </row>
    <row r="160" spans="1:37" ht="15" customHeight="1" x14ac:dyDescent="0.35">
      <c r="A160">
        <v>690929</v>
      </c>
      <c r="B160" t="s">
        <v>37</v>
      </c>
      <c r="C160" t="s">
        <v>38</v>
      </c>
      <c r="D160" s="9" t="s">
        <v>39</v>
      </c>
      <c r="E160" s="10" t="s">
        <v>37</v>
      </c>
      <c r="F160" s="11"/>
      <c r="G160" t="s">
        <v>551</v>
      </c>
      <c r="I160" t="s">
        <v>41</v>
      </c>
      <c r="J160" t="s">
        <v>552</v>
      </c>
      <c r="K160" t="s">
        <v>43</v>
      </c>
      <c r="L160">
        <v>2</v>
      </c>
      <c r="M160" t="s">
        <v>44</v>
      </c>
      <c r="N160" t="s">
        <v>45</v>
      </c>
      <c r="O160" t="s">
        <v>46</v>
      </c>
      <c r="P160" s="5">
        <v>2</v>
      </c>
      <c r="Q160" s="12">
        <v>44744.851145833331</v>
      </c>
      <c r="R160" s="13">
        <v>44747</v>
      </c>
      <c r="T160" t="s">
        <v>47</v>
      </c>
      <c r="U160" t="s">
        <v>48</v>
      </c>
      <c r="V160" t="s">
        <v>114</v>
      </c>
      <c r="Y160" t="s">
        <v>553</v>
      </c>
      <c r="Z160">
        <v>45800</v>
      </c>
      <c r="AA160" t="s">
        <v>47</v>
      </c>
      <c r="AB160" t="s">
        <v>64</v>
      </c>
      <c r="AC160" t="s">
        <v>53</v>
      </c>
      <c r="AD160" s="16">
        <f t="shared" si="31"/>
        <v>7.8</v>
      </c>
      <c r="AE160" s="15">
        <v>0</v>
      </c>
      <c r="AF160" s="15">
        <v>0</v>
      </c>
      <c r="AG160" s="15">
        <v>0</v>
      </c>
      <c r="AH160" s="15">
        <v>0</v>
      </c>
      <c r="AI160" s="15">
        <f t="shared" si="26"/>
        <v>0.46799999999999997</v>
      </c>
      <c r="AJ160" s="15">
        <f t="shared" si="27"/>
        <v>8.2680000000000007</v>
      </c>
      <c r="AK160" t="s">
        <v>47</v>
      </c>
    </row>
    <row r="161" spans="1:37" ht="15" customHeight="1" x14ac:dyDescent="0.35">
      <c r="A161">
        <v>690929</v>
      </c>
      <c r="B161" t="s">
        <v>37</v>
      </c>
      <c r="C161" t="s">
        <v>38</v>
      </c>
      <c r="D161" s="9" t="s">
        <v>39</v>
      </c>
      <c r="E161" s="10" t="s">
        <v>37</v>
      </c>
      <c r="F161" s="11"/>
      <c r="G161" t="s">
        <v>554</v>
      </c>
      <c r="I161" t="s">
        <v>41</v>
      </c>
      <c r="J161" t="s">
        <v>555</v>
      </c>
      <c r="K161" t="s">
        <v>43</v>
      </c>
      <c r="L161">
        <v>2</v>
      </c>
      <c r="M161" t="s">
        <v>44</v>
      </c>
      <c r="N161" t="s">
        <v>45</v>
      </c>
      <c r="O161" t="s">
        <v>46</v>
      </c>
      <c r="P161" s="5">
        <v>1</v>
      </c>
      <c r="Q161" s="12">
        <v>44744.767974537041</v>
      </c>
      <c r="R161" s="13">
        <v>44747</v>
      </c>
      <c r="T161" t="s">
        <v>47</v>
      </c>
      <c r="U161" t="s">
        <v>48</v>
      </c>
      <c r="V161" t="s">
        <v>114</v>
      </c>
      <c r="Y161" t="s">
        <v>556</v>
      </c>
      <c r="Z161">
        <v>43000</v>
      </c>
      <c r="AA161" t="s">
        <v>47</v>
      </c>
      <c r="AB161" t="s">
        <v>64</v>
      </c>
      <c r="AC161" t="s">
        <v>53</v>
      </c>
      <c r="AD161" s="16">
        <f t="shared" si="31"/>
        <v>7</v>
      </c>
      <c r="AE161" s="15">
        <v>0</v>
      </c>
      <c r="AF161" s="15">
        <v>0</v>
      </c>
      <c r="AG161" s="15">
        <v>0</v>
      </c>
      <c r="AH161" s="15">
        <v>0</v>
      </c>
      <c r="AI161" s="15">
        <f t="shared" si="26"/>
        <v>0.42</v>
      </c>
      <c r="AJ161" s="15">
        <f t="shared" si="27"/>
        <v>7.42</v>
      </c>
      <c r="AK161" t="s">
        <v>47</v>
      </c>
    </row>
    <row r="162" spans="1:37" ht="15" customHeight="1" x14ac:dyDescent="0.35">
      <c r="A162">
        <v>690929</v>
      </c>
      <c r="B162" t="s">
        <v>37</v>
      </c>
      <c r="C162" t="s">
        <v>38</v>
      </c>
      <c r="D162" s="9" t="s">
        <v>39</v>
      </c>
      <c r="E162" s="10" t="s">
        <v>37</v>
      </c>
      <c r="F162" s="11"/>
      <c r="G162" t="s">
        <v>557</v>
      </c>
      <c r="I162" t="s">
        <v>41</v>
      </c>
      <c r="J162" t="s">
        <v>558</v>
      </c>
      <c r="K162" t="s">
        <v>43</v>
      </c>
      <c r="L162">
        <v>2</v>
      </c>
      <c r="M162" t="s">
        <v>44</v>
      </c>
      <c r="N162" t="s">
        <v>45</v>
      </c>
      <c r="O162" t="s">
        <v>46</v>
      </c>
      <c r="P162" s="5">
        <v>1</v>
      </c>
      <c r="Q162" s="12">
        <v>44744.818437499998</v>
      </c>
      <c r="R162" s="13">
        <v>44747</v>
      </c>
      <c r="T162" t="s">
        <v>47</v>
      </c>
      <c r="U162" t="s">
        <v>48</v>
      </c>
      <c r="V162" t="s">
        <v>114</v>
      </c>
      <c r="Y162" t="s">
        <v>559</v>
      </c>
      <c r="Z162">
        <v>68100</v>
      </c>
      <c r="AA162" t="s">
        <v>47</v>
      </c>
      <c r="AB162" t="s">
        <v>64</v>
      </c>
      <c r="AC162" t="s">
        <v>53</v>
      </c>
      <c r="AD162" s="16">
        <f t="shared" si="31"/>
        <v>7</v>
      </c>
      <c r="AE162" s="15">
        <v>0</v>
      </c>
      <c r="AF162" s="15">
        <v>0</v>
      </c>
      <c r="AG162" s="15">
        <v>0</v>
      </c>
      <c r="AH162" s="15">
        <v>0</v>
      </c>
      <c r="AI162" s="15">
        <f t="shared" si="26"/>
        <v>0.42</v>
      </c>
      <c r="AJ162" s="15">
        <f t="shared" si="27"/>
        <v>7.42</v>
      </c>
      <c r="AK162" t="s">
        <v>47</v>
      </c>
    </row>
    <row r="163" spans="1:37" ht="15" customHeight="1" x14ac:dyDescent="0.35">
      <c r="A163">
        <v>690929</v>
      </c>
      <c r="B163" t="s">
        <v>37</v>
      </c>
      <c r="C163" t="s">
        <v>38</v>
      </c>
      <c r="D163" s="9" t="s">
        <v>39</v>
      </c>
      <c r="E163" s="10" t="s">
        <v>37</v>
      </c>
      <c r="F163" s="11"/>
      <c r="G163" t="s">
        <v>560</v>
      </c>
      <c r="I163" t="s">
        <v>41</v>
      </c>
      <c r="J163" t="s">
        <v>561</v>
      </c>
      <c r="K163" t="s">
        <v>43</v>
      </c>
      <c r="L163">
        <v>2</v>
      </c>
      <c r="M163" t="s">
        <v>44</v>
      </c>
      <c r="N163" t="s">
        <v>45</v>
      </c>
      <c r="O163" t="s">
        <v>46</v>
      </c>
      <c r="P163" s="5">
        <v>2</v>
      </c>
      <c r="Q163" s="12">
        <v>44744.838113425925</v>
      </c>
      <c r="R163" s="13">
        <v>44747</v>
      </c>
      <c r="T163" t="s">
        <v>47</v>
      </c>
      <c r="U163" t="s">
        <v>48</v>
      </c>
      <c r="V163" t="s">
        <v>128</v>
      </c>
      <c r="Y163" t="s">
        <v>562</v>
      </c>
      <c r="Z163">
        <v>53000</v>
      </c>
      <c r="AA163" t="s">
        <v>47</v>
      </c>
      <c r="AB163" t="s">
        <v>64</v>
      </c>
      <c r="AC163" t="s">
        <v>53</v>
      </c>
      <c r="AD163" s="16">
        <f>IF(P163&lt;=1,7,7+0.8*ROUNDUP(P163-1,0))</f>
        <v>7.8</v>
      </c>
      <c r="AE163" s="15">
        <v>0</v>
      </c>
      <c r="AF163" s="15">
        <v>0</v>
      </c>
      <c r="AG163" s="15">
        <v>0</v>
      </c>
      <c r="AH163" s="15">
        <v>0</v>
      </c>
      <c r="AI163" s="15">
        <f t="shared" si="26"/>
        <v>0.46799999999999997</v>
      </c>
      <c r="AJ163" s="15">
        <f t="shared" si="27"/>
        <v>8.2680000000000007</v>
      </c>
      <c r="AK163" t="s">
        <v>47</v>
      </c>
    </row>
    <row r="164" spans="1:37" ht="15" customHeight="1" x14ac:dyDescent="0.35">
      <c r="A164">
        <v>690929</v>
      </c>
      <c r="B164" t="s">
        <v>37</v>
      </c>
      <c r="C164" t="s">
        <v>38</v>
      </c>
      <c r="D164" s="9" t="s">
        <v>39</v>
      </c>
      <c r="E164" s="10" t="s">
        <v>37</v>
      </c>
      <c r="F164" s="11"/>
      <c r="G164" t="s">
        <v>563</v>
      </c>
      <c r="I164" t="s">
        <v>41</v>
      </c>
      <c r="J164" t="s">
        <v>564</v>
      </c>
      <c r="K164" t="s">
        <v>43</v>
      </c>
      <c r="L164">
        <v>2</v>
      </c>
      <c r="M164" t="s">
        <v>44</v>
      </c>
      <c r="N164" t="s">
        <v>45</v>
      </c>
      <c r="O164" t="s">
        <v>46</v>
      </c>
      <c r="P164" s="5">
        <v>1</v>
      </c>
      <c r="Q164" s="12">
        <v>44744.766712962963</v>
      </c>
      <c r="R164" s="13">
        <v>44747</v>
      </c>
      <c r="T164" t="s">
        <v>47</v>
      </c>
      <c r="U164" t="s">
        <v>48</v>
      </c>
      <c r="V164" t="s">
        <v>71</v>
      </c>
      <c r="Y164" t="s">
        <v>565</v>
      </c>
      <c r="Z164">
        <v>6050</v>
      </c>
      <c r="AA164" t="s">
        <v>47</v>
      </c>
      <c r="AB164" t="s">
        <v>64</v>
      </c>
      <c r="AC164" t="s">
        <v>53</v>
      </c>
      <c r="AD164" s="16">
        <f t="shared" ref="AD164:AD167" si="32">IF(P164&lt;=1,7,7+0.8*ROUNDUP(P164-1,0))</f>
        <v>7</v>
      </c>
      <c r="AE164" s="15">
        <v>0</v>
      </c>
      <c r="AF164" s="15">
        <v>0</v>
      </c>
      <c r="AG164" s="15">
        <v>0</v>
      </c>
      <c r="AH164" s="15">
        <v>0</v>
      </c>
      <c r="AI164" s="15">
        <f t="shared" si="26"/>
        <v>0.42</v>
      </c>
      <c r="AJ164" s="15">
        <f t="shared" si="27"/>
        <v>7.42</v>
      </c>
      <c r="AK164" t="s">
        <v>47</v>
      </c>
    </row>
    <row r="165" spans="1:37" ht="15" customHeight="1" x14ac:dyDescent="0.35">
      <c r="A165">
        <v>690929</v>
      </c>
      <c r="B165" t="s">
        <v>37</v>
      </c>
      <c r="C165" t="s">
        <v>38</v>
      </c>
      <c r="D165" s="9" t="s">
        <v>39</v>
      </c>
      <c r="E165" s="10" t="s">
        <v>37</v>
      </c>
      <c r="F165" s="11"/>
      <c r="G165" t="s">
        <v>566</v>
      </c>
      <c r="I165" t="s">
        <v>41</v>
      </c>
      <c r="J165" t="s">
        <v>567</v>
      </c>
      <c r="K165" t="s">
        <v>43</v>
      </c>
      <c r="L165">
        <v>2</v>
      </c>
      <c r="M165" t="s">
        <v>44</v>
      </c>
      <c r="N165" t="s">
        <v>45</v>
      </c>
      <c r="O165" t="s">
        <v>46</v>
      </c>
      <c r="P165" s="5">
        <v>1</v>
      </c>
      <c r="Q165" s="12">
        <v>44744.756192129629</v>
      </c>
      <c r="R165" s="13">
        <v>44747</v>
      </c>
      <c r="T165" t="s">
        <v>47</v>
      </c>
      <c r="U165" t="s">
        <v>48</v>
      </c>
      <c r="V165" t="s">
        <v>62</v>
      </c>
      <c r="Y165" t="s">
        <v>568</v>
      </c>
      <c r="Z165">
        <v>86400</v>
      </c>
      <c r="AA165" t="s">
        <v>47</v>
      </c>
      <c r="AB165" t="s">
        <v>64</v>
      </c>
      <c r="AC165" t="s">
        <v>53</v>
      </c>
      <c r="AD165" s="16">
        <f t="shared" si="32"/>
        <v>7</v>
      </c>
      <c r="AE165" s="15">
        <v>0</v>
      </c>
      <c r="AF165" s="15">
        <v>0</v>
      </c>
      <c r="AG165" s="15">
        <v>0</v>
      </c>
      <c r="AH165" s="15">
        <v>0</v>
      </c>
      <c r="AI165" s="15">
        <f t="shared" si="26"/>
        <v>0.42</v>
      </c>
      <c r="AJ165" s="15">
        <f t="shared" si="27"/>
        <v>7.42</v>
      </c>
      <c r="AK165" t="s">
        <v>47</v>
      </c>
    </row>
    <row r="166" spans="1:37" ht="15" customHeight="1" x14ac:dyDescent="0.35">
      <c r="A166">
        <v>690929</v>
      </c>
      <c r="B166" t="s">
        <v>37</v>
      </c>
      <c r="C166" t="s">
        <v>38</v>
      </c>
      <c r="D166" s="9" t="s">
        <v>39</v>
      </c>
      <c r="E166" s="10" t="s">
        <v>37</v>
      </c>
      <c r="F166" s="11"/>
      <c r="G166" t="s">
        <v>569</v>
      </c>
      <c r="I166" t="s">
        <v>41</v>
      </c>
      <c r="J166" t="s">
        <v>570</v>
      </c>
      <c r="K166" t="s">
        <v>43</v>
      </c>
      <c r="L166">
        <v>2</v>
      </c>
      <c r="M166" t="s">
        <v>44</v>
      </c>
      <c r="N166" t="s">
        <v>45</v>
      </c>
      <c r="O166" t="s">
        <v>46</v>
      </c>
      <c r="P166" s="5">
        <v>1</v>
      </c>
      <c r="Q166" s="12">
        <v>44744.715613425928</v>
      </c>
      <c r="R166" s="13">
        <v>44747</v>
      </c>
      <c r="T166" t="s">
        <v>47</v>
      </c>
      <c r="U166" t="s">
        <v>48</v>
      </c>
      <c r="V166" t="s">
        <v>62</v>
      </c>
      <c r="Y166" t="s">
        <v>571</v>
      </c>
      <c r="Z166">
        <v>86400</v>
      </c>
      <c r="AA166" t="s">
        <v>47</v>
      </c>
      <c r="AB166" t="s">
        <v>64</v>
      </c>
      <c r="AC166" t="s">
        <v>53</v>
      </c>
      <c r="AD166" s="16">
        <f t="shared" si="32"/>
        <v>7</v>
      </c>
      <c r="AE166" s="15">
        <v>0</v>
      </c>
      <c r="AF166" s="15">
        <v>0</v>
      </c>
      <c r="AG166" s="15">
        <v>0</v>
      </c>
      <c r="AH166" s="15">
        <v>0</v>
      </c>
      <c r="AI166" s="15">
        <f t="shared" si="26"/>
        <v>0.42</v>
      </c>
      <c r="AJ166" s="15">
        <f t="shared" si="27"/>
        <v>7.42</v>
      </c>
      <c r="AK166" t="s">
        <v>47</v>
      </c>
    </row>
    <row r="167" spans="1:37" ht="15" customHeight="1" x14ac:dyDescent="0.35">
      <c r="A167">
        <v>690929</v>
      </c>
      <c r="B167" t="s">
        <v>37</v>
      </c>
      <c r="C167" t="s">
        <v>38</v>
      </c>
      <c r="D167" s="9" t="s">
        <v>39</v>
      </c>
      <c r="E167" s="10" t="s">
        <v>37</v>
      </c>
      <c r="F167" s="11"/>
      <c r="G167" t="s">
        <v>572</v>
      </c>
      <c r="I167" t="s">
        <v>41</v>
      </c>
      <c r="J167" t="s">
        <v>573</v>
      </c>
      <c r="K167" t="s">
        <v>43</v>
      </c>
      <c r="L167">
        <v>2</v>
      </c>
      <c r="M167" t="s">
        <v>44</v>
      </c>
      <c r="N167" t="s">
        <v>45</v>
      </c>
      <c r="O167" t="s">
        <v>46</v>
      </c>
      <c r="P167" s="5">
        <v>1</v>
      </c>
      <c r="Q167" s="12">
        <v>44744.832303240742</v>
      </c>
      <c r="R167" s="13">
        <v>44747</v>
      </c>
      <c r="T167" t="s">
        <v>47</v>
      </c>
      <c r="U167" t="s">
        <v>48</v>
      </c>
      <c r="V167" t="s">
        <v>71</v>
      </c>
      <c r="Y167" t="s">
        <v>574</v>
      </c>
      <c r="Z167">
        <v>8000</v>
      </c>
      <c r="AA167" t="s">
        <v>47</v>
      </c>
      <c r="AB167" t="s">
        <v>64</v>
      </c>
      <c r="AC167" t="s">
        <v>53</v>
      </c>
      <c r="AD167" s="16">
        <f t="shared" si="32"/>
        <v>7</v>
      </c>
      <c r="AE167" s="15">
        <v>0</v>
      </c>
      <c r="AF167" s="15">
        <v>0</v>
      </c>
      <c r="AG167" s="15">
        <v>0</v>
      </c>
      <c r="AH167" s="15">
        <v>0</v>
      </c>
      <c r="AI167" s="15">
        <f t="shared" si="26"/>
        <v>0.42</v>
      </c>
      <c r="AJ167" s="15">
        <f t="shared" si="27"/>
        <v>7.42</v>
      </c>
      <c r="AK167" t="s">
        <v>47</v>
      </c>
    </row>
    <row r="168" spans="1:37" ht="15" customHeight="1" x14ac:dyDescent="0.35">
      <c r="A168">
        <v>690929</v>
      </c>
      <c r="B168" t="s">
        <v>37</v>
      </c>
      <c r="C168" t="s">
        <v>38</v>
      </c>
      <c r="D168" s="9" t="s">
        <v>39</v>
      </c>
      <c r="E168" s="10" t="s">
        <v>37</v>
      </c>
      <c r="F168" s="11"/>
      <c r="G168" t="s">
        <v>575</v>
      </c>
      <c r="I168" t="s">
        <v>41</v>
      </c>
      <c r="J168" t="s">
        <v>576</v>
      </c>
      <c r="K168" t="s">
        <v>43</v>
      </c>
      <c r="L168">
        <v>2</v>
      </c>
      <c r="M168" t="s">
        <v>44</v>
      </c>
      <c r="N168" t="s">
        <v>45</v>
      </c>
      <c r="O168" t="s">
        <v>46</v>
      </c>
      <c r="P168" s="5">
        <v>1</v>
      </c>
      <c r="Q168" s="12">
        <v>44744.754849537036</v>
      </c>
      <c r="R168" s="13">
        <v>44747</v>
      </c>
      <c r="T168" t="s">
        <v>47</v>
      </c>
      <c r="U168" t="s">
        <v>48</v>
      </c>
      <c r="V168" t="s">
        <v>62</v>
      </c>
      <c r="Y168" t="s">
        <v>577</v>
      </c>
      <c r="Z168">
        <v>81200</v>
      </c>
      <c r="AA168" t="s">
        <v>47</v>
      </c>
      <c r="AB168" t="s">
        <v>64</v>
      </c>
      <c r="AC168" t="s">
        <v>53</v>
      </c>
      <c r="AD168" s="16">
        <f>IF(P168&lt;=1,7,7+0.8*ROUNDUP(P168-1,0))</f>
        <v>7</v>
      </c>
      <c r="AE168" s="15">
        <v>0</v>
      </c>
      <c r="AF168" s="15">
        <v>0</v>
      </c>
      <c r="AG168" s="15">
        <v>0</v>
      </c>
      <c r="AH168" s="15">
        <v>0</v>
      </c>
      <c r="AI168" s="15">
        <f t="shared" si="26"/>
        <v>0.42</v>
      </c>
      <c r="AJ168" s="15">
        <f t="shared" si="27"/>
        <v>7.42</v>
      </c>
      <c r="AK168" t="s">
        <v>47</v>
      </c>
    </row>
    <row r="169" spans="1:37" ht="15" customHeight="1" x14ac:dyDescent="0.35">
      <c r="A169">
        <v>690929</v>
      </c>
      <c r="B169" t="s">
        <v>37</v>
      </c>
      <c r="C169" t="s">
        <v>38</v>
      </c>
      <c r="D169" s="9" t="s">
        <v>39</v>
      </c>
      <c r="E169" s="10" t="s">
        <v>37</v>
      </c>
      <c r="F169" s="11"/>
      <c r="G169" t="s">
        <v>578</v>
      </c>
      <c r="I169" t="s">
        <v>41</v>
      </c>
      <c r="J169" t="s">
        <v>579</v>
      </c>
      <c r="K169" t="s">
        <v>43</v>
      </c>
      <c r="L169">
        <v>2</v>
      </c>
      <c r="M169" t="s">
        <v>44</v>
      </c>
      <c r="N169" t="s">
        <v>45</v>
      </c>
      <c r="O169" t="s">
        <v>46</v>
      </c>
      <c r="P169" s="5">
        <v>3</v>
      </c>
      <c r="Q169" s="12">
        <v>44745.777094907404</v>
      </c>
      <c r="R169" s="13">
        <v>44748</v>
      </c>
      <c r="T169" t="s">
        <v>47</v>
      </c>
      <c r="U169" t="s">
        <v>48</v>
      </c>
      <c r="V169" t="s">
        <v>114</v>
      </c>
      <c r="Y169" t="s">
        <v>580</v>
      </c>
      <c r="Z169">
        <v>43000</v>
      </c>
      <c r="AA169" t="s">
        <v>47</v>
      </c>
      <c r="AB169" t="s">
        <v>64</v>
      </c>
      <c r="AC169" t="s">
        <v>53</v>
      </c>
      <c r="AD169" s="16">
        <f>IF(P169&lt;=1,7,7+0.8*ROUNDUP(P169-1,0))</f>
        <v>8.6</v>
      </c>
      <c r="AE169" s="15">
        <v>0</v>
      </c>
      <c r="AF169" s="15">
        <v>0</v>
      </c>
      <c r="AG169" s="15">
        <v>0</v>
      </c>
      <c r="AH169" s="15">
        <v>0</v>
      </c>
      <c r="AI169" s="15">
        <f t="shared" si="26"/>
        <v>0.51600000000000001</v>
      </c>
      <c r="AJ169" s="15">
        <f t="shared" si="27"/>
        <v>9.1159999999999997</v>
      </c>
      <c r="AK169" t="s">
        <v>47</v>
      </c>
    </row>
    <row r="170" spans="1:37" ht="15" customHeight="1" x14ac:dyDescent="0.35">
      <c r="A170">
        <v>690929</v>
      </c>
      <c r="B170" t="s">
        <v>37</v>
      </c>
      <c r="C170" t="s">
        <v>38</v>
      </c>
      <c r="D170" s="9" t="s">
        <v>39</v>
      </c>
      <c r="E170" s="10" t="s">
        <v>37</v>
      </c>
      <c r="F170" s="11"/>
      <c r="G170" t="s">
        <v>581</v>
      </c>
      <c r="I170" t="s">
        <v>41</v>
      </c>
      <c r="J170" t="s">
        <v>582</v>
      </c>
      <c r="K170" t="s">
        <v>43</v>
      </c>
      <c r="L170">
        <v>2</v>
      </c>
      <c r="M170" t="s">
        <v>44</v>
      </c>
      <c r="N170" t="s">
        <v>45</v>
      </c>
      <c r="O170" t="s">
        <v>46</v>
      </c>
      <c r="P170" s="5">
        <v>1</v>
      </c>
      <c r="Q170" s="12">
        <v>44746.786041666666</v>
      </c>
      <c r="R170" s="13">
        <v>44748</v>
      </c>
      <c r="T170" t="s">
        <v>47</v>
      </c>
      <c r="U170" t="s">
        <v>48</v>
      </c>
      <c r="V170" t="s">
        <v>76</v>
      </c>
      <c r="Y170" t="s">
        <v>583</v>
      </c>
      <c r="Z170">
        <v>22300</v>
      </c>
      <c r="AA170" t="s">
        <v>47</v>
      </c>
      <c r="AB170" t="s">
        <v>56</v>
      </c>
      <c r="AC170" t="s">
        <v>53</v>
      </c>
      <c r="AD170" s="16">
        <f>IF(P170&lt;=1,7,7+0.8*ROUNDUP(P170-1,0))</f>
        <v>7</v>
      </c>
      <c r="AE170" s="15">
        <v>0</v>
      </c>
      <c r="AF170" s="15">
        <v>0</v>
      </c>
      <c r="AG170" s="15">
        <v>0</v>
      </c>
      <c r="AH170" s="15">
        <v>0</v>
      </c>
      <c r="AI170" s="15">
        <f t="shared" si="26"/>
        <v>0.42</v>
      </c>
      <c r="AJ170" s="15">
        <f t="shared" si="27"/>
        <v>7.42</v>
      </c>
      <c r="AK170" t="s">
        <v>47</v>
      </c>
    </row>
    <row r="171" spans="1:37" ht="15" customHeight="1" x14ac:dyDescent="0.35">
      <c r="A171">
        <v>690929</v>
      </c>
      <c r="B171" t="s">
        <v>37</v>
      </c>
      <c r="C171" t="s">
        <v>38</v>
      </c>
      <c r="D171" s="9" t="s">
        <v>39</v>
      </c>
      <c r="E171" s="10" t="s">
        <v>37</v>
      </c>
      <c r="F171" s="11"/>
      <c r="G171" t="s">
        <v>584</v>
      </c>
      <c r="I171" t="s">
        <v>41</v>
      </c>
      <c r="J171" t="s">
        <v>585</v>
      </c>
      <c r="K171" t="s">
        <v>43</v>
      </c>
      <c r="L171">
        <v>2</v>
      </c>
      <c r="M171" t="s">
        <v>44</v>
      </c>
      <c r="N171" t="s">
        <v>45</v>
      </c>
      <c r="O171" t="s">
        <v>46</v>
      </c>
      <c r="P171" s="5">
        <v>1</v>
      </c>
      <c r="Q171" s="12">
        <v>44747.605821759258</v>
      </c>
      <c r="R171" s="13">
        <v>44748</v>
      </c>
      <c r="T171" t="s">
        <v>47</v>
      </c>
      <c r="U171" t="s">
        <v>48</v>
      </c>
      <c r="V171" t="s">
        <v>96</v>
      </c>
      <c r="Y171" t="s">
        <v>586</v>
      </c>
      <c r="Z171">
        <v>17000</v>
      </c>
      <c r="AA171" t="s">
        <v>47</v>
      </c>
      <c r="AB171" t="s">
        <v>56</v>
      </c>
      <c r="AC171" t="s">
        <v>53</v>
      </c>
      <c r="AD171" s="16">
        <f t="shared" ref="AD171:AD191" si="33">IF(P171&lt;=1,7,7+0.8*ROUNDUP(P171-1,0))</f>
        <v>7</v>
      </c>
      <c r="AE171" s="15">
        <v>0</v>
      </c>
      <c r="AF171" s="15">
        <v>0</v>
      </c>
      <c r="AG171" s="15">
        <v>0</v>
      </c>
      <c r="AH171" s="15">
        <v>0</v>
      </c>
      <c r="AI171" s="15">
        <f t="shared" si="26"/>
        <v>0.42</v>
      </c>
      <c r="AJ171" s="15">
        <f t="shared" si="27"/>
        <v>7.42</v>
      </c>
      <c r="AK171" t="s">
        <v>47</v>
      </c>
    </row>
    <row r="172" spans="1:37" ht="15" customHeight="1" x14ac:dyDescent="0.35">
      <c r="A172">
        <v>690929</v>
      </c>
      <c r="B172" t="s">
        <v>37</v>
      </c>
      <c r="C172" t="s">
        <v>38</v>
      </c>
      <c r="D172" s="9" t="s">
        <v>39</v>
      </c>
      <c r="E172" s="10" t="s">
        <v>37</v>
      </c>
      <c r="F172" s="11"/>
      <c r="G172" t="s">
        <v>587</v>
      </c>
      <c r="I172" t="s">
        <v>41</v>
      </c>
      <c r="J172" t="s">
        <v>588</v>
      </c>
      <c r="K172" t="s">
        <v>43</v>
      </c>
      <c r="L172">
        <v>2</v>
      </c>
      <c r="M172" t="s">
        <v>44</v>
      </c>
      <c r="N172" t="s">
        <v>45</v>
      </c>
      <c r="O172" t="s">
        <v>46</v>
      </c>
      <c r="P172" s="5">
        <v>1</v>
      </c>
      <c r="Q172" s="12">
        <v>44746.525983796295</v>
      </c>
      <c r="R172" s="13">
        <v>44748</v>
      </c>
      <c r="T172" t="s">
        <v>47</v>
      </c>
      <c r="U172" t="s">
        <v>48</v>
      </c>
      <c r="V172" t="s">
        <v>62</v>
      </c>
      <c r="Y172" t="s">
        <v>589</v>
      </c>
      <c r="Z172">
        <v>81700</v>
      </c>
      <c r="AA172" t="s">
        <v>47</v>
      </c>
      <c r="AB172" t="s">
        <v>590</v>
      </c>
      <c r="AC172" t="s">
        <v>53</v>
      </c>
      <c r="AD172" s="16">
        <f t="shared" si="33"/>
        <v>7</v>
      </c>
      <c r="AE172" s="15">
        <v>0</v>
      </c>
      <c r="AF172" s="15">
        <v>0</v>
      </c>
      <c r="AG172" s="15">
        <v>0</v>
      </c>
      <c r="AH172" s="15">
        <v>0</v>
      </c>
      <c r="AI172" s="15">
        <f t="shared" si="26"/>
        <v>0.42</v>
      </c>
      <c r="AJ172" s="15">
        <f t="shared" si="27"/>
        <v>7.42</v>
      </c>
      <c r="AK172" t="s">
        <v>47</v>
      </c>
    </row>
    <row r="173" spans="1:37" ht="15" customHeight="1" x14ac:dyDescent="0.35">
      <c r="A173">
        <v>690929</v>
      </c>
      <c r="B173" t="s">
        <v>37</v>
      </c>
      <c r="C173" t="s">
        <v>38</v>
      </c>
      <c r="D173" s="9" t="s">
        <v>39</v>
      </c>
      <c r="E173" s="10" t="s">
        <v>37</v>
      </c>
      <c r="F173" s="11"/>
      <c r="G173" t="s">
        <v>591</v>
      </c>
      <c r="I173" t="s">
        <v>41</v>
      </c>
      <c r="J173" t="s">
        <v>592</v>
      </c>
      <c r="K173" t="s">
        <v>43</v>
      </c>
      <c r="L173">
        <v>2</v>
      </c>
      <c r="M173" t="s">
        <v>44</v>
      </c>
      <c r="N173" t="s">
        <v>45</v>
      </c>
      <c r="O173" t="s">
        <v>46</v>
      </c>
      <c r="P173" s="5">
        <v>1</v>
      </c>
      <c r="Q173" s="12">
        <v>44745.756631944445</v>
      </c>
      <c r="R173" s="13">
        <v>44748</v>
      </c>
      <c r="T173" t="s">
        <v>47</v>
      </c>
      <c r="U173" t="s">
        <v>48</v>
      </c>
      <c r="V173" t="s">
        <v>62</v>
      </c>
      <c r="Y173" t="s">
        <v>593</v>
      </c>
      <c r="Z173">
        <v>81700</v>
      </c>
      <c r="AA173" t="s">
        <v>47</v>
      </c>
      <c r="AB173" t="s">
        <v>64</v>
      </c>
      <c r="AC173" t="s">
        <v>53</v>
      </c>
      <c r="AD173" s="16">
        <f t="shared" si="33"/>
        <v>7</v>
      </c>
      <c r="AE173" s="15">
        <v>0</v>
      </c>
      <c r="AF173" s="15">
        <v>0</v>
      </c>
      <c r="AG173" s="15">
        <v>0</v>
      </c>
      <c r="AH173" s="15">
        <v>0</v>
      </c>
      <c r="AI173" s="15">
        <f t="shared" si="26"/>
        <v>0.42</v>
      </c>
      <c r="AJ173" s="15">
        <f t="shared" si="27"/>
        <v>7.42</v>
      </c>
      <c r="AK173" t="s">
        <v>47</v>
      </c>
    </row>
    <row r="174" spans="1:37" ht="15" customHeight="1" x14ac:dyDescent="0.35">
      <c r="A174">
        <v>690929</v>
      </c>
      <c r="B174" t="s">
        <v>37</v>
      </c>
      <c r="C174" t="s">
        <v>38</v>
      </c>
      <c r="D174" s="9" t="s">
        <v>39</v>
      </c>
      <c r="E174" s="10" t="s">
        <v>37</v>
      </c>
      <c r="F174" s="11"/>
      <c r="G174" t="s">
        <v>594</v>
      </c>
      <c r="I174" t="s">
        <v>41</v>
      </c>
      <c r="J174" t="s">
        <v>595</v>
      </c>
      <c r="K174" t="s">
        <v>43</v>
      </c>
      <c r="L174">
        <v>2</v>
      </c>
      <c r="M174" t="s">
        <v>44</v>
      </c>
      <c r="N174" t="s">
        <v>45</v>
      </c>
      <c r="O174" t="s">
        <v>46</v>
      </c>
      <c r="P174" s="5">
        <v>1</v>
      </c>
      <c r="Q174" s="12">
        <v>44745.766898148147</v>
      </c>
      <c r="R174" s="13">
        <v>44748</v>
      </c>
      <c r="T174" t="s">
        <v>47</v>
      </c>
      <c r="U174" t="s">
        <v>48</v>
      </c>
      <c r="V174" t="s">
        <v>62</v>
      </c>
      <c r="Y174" t="s">
        <v>596</v>
      </c>
      <c r="Z174">
        <v>81300</v>
      </c>
      <c r="AA174" t="s">
        <v>47</v>
      </c>
      <c r="AB174" t="s">
        <v>64</v>
      </c>
      <c r="AC174" t="s">
        <v>53</v>
      </c>
      <c r="AD174" s="16">
        <f t="shared" si="33"/>
        <v>7</v>
      </c>
      <c r="AE174" s="15">
        <v>0</v>
      </c>
      <c r="AF174" s="15">
        <v>0</v>
      </c>
      <c r="AG174" s="15">
        <v>0</v>
      </c>
      <c r="AH174" s="15">
        <v>0</v>
      </c>
      <c r="AI174" s="15">
        <f t="shared" si="26"/>
        <v>0.42</v>
      </c>
      <c r="AJ174" s="15">
        <f t="shared" si="27"/>
        <v>7.42</v>
      </c>
      <c r="AK174" t="s">
        <v>47</v>
      </c>
    </row>
    <row r="175" spans="1:37" ht="15" customHeight="1" x14ac:dyDescent="0.35">
      <c r="A175">
        <v>690929</v>
      </c>
      <c r="B175" t="s">
        <v>37</v>
      </c>
      <c r="C175" t="s">
        <v>38</v>
      </c>
      <c r="D175" s="9" t="s">
        <v>39</v>
      </c>
      <c r="E175" s="10" t="s">
        <v>37</v>
      </c>
      <c r="F175" s="11"/>
      <c r="G175" t="s">
        <v>597</v>
      </c>
      <c r="I175" t="s">
        <v>41</v>
      </c>
      <c r="J175" t="s">
        <v>598</v>
      </c>
      <c r="K175" t="s">
        <v>43</v>
      </c>
      <c r="L175">
        <v>2</v>
      </c>
      <c r="M175" t="s">
        <v>44</v>
      </c>
      <c r="N175" t="s">
        <v>45</v>
      </c>
      <c r="O175" t="s">
        <v>46</v>
      </c>
      <c r="P175" s="5">
        <v>1</v>
      </c>
      <c r="Q175" s="12">
        <v>44746.580937500003</v>
      </c>
      <c r="R175" s="13">
        <v>44748</v>
      </c>
      <c r="T175" t="s">
        <v>47</v>
      </c>
      <c r="U175" t="s">
        <v>48</v>
      </c>
      <c r="V175" t="s">
        <v>138</v>
      </c>
      <c r="Y175" t="s">
        <v>599</v>
      </c>
      <c r="Z175">
        <v>71900</v>
      </c>
      <c r="AA175" t="s">
        <v>47</v>
      </c>
      <c r="AB175" t="s">
        <v>64</v>
      </c>
      <c r="AC175" t="s">
        <v>53</v>
      </c>
      <c r="AD175" s="16">
        <f t="shared" si="33"/>
        <v>7</v>
      </c>
      <c r="AE175" s="15">
        <v>0</v>
      </c>
      <c r="AF175" s="15">
        <v>0</v>
      </c>
      <c r="AG175" s="15">
        <v>0</v>
      </c>
      <c r="AH175" s="15">
        <v>0</v>
      </c>
      <c r="AI175" s="15">
        <f t="shared" si="26"/>
        <v>0.42</v>
      </c>
      <c r="AJ175" s="15">
        <f t="shared" si="27"/>
        <v>7.42</v>
      </c>
      <c r="AK175" t="s">
        <v>47</v>
      </c>
    </row>
    <row r="176" spans="1:37" ht="15" customHeight="1" x14ac:dyDescent="0.35">
      <c r="A176">
        <v>690929</v>
      </c>
      <c r="B176" t="s">
        <v>37</v>
      </c>
      <c r="C176" t="s">
        <v>38</v>
      </c>
      <c r="D176" s="9" t="s">
        <v>39</v>
      </c>
      <c r="E176" s="10" t="s">
        <v>37</v>
      </c>
      <c r="F176" s="11"/>
      <c r="G176" t="s">
        <v>600</v>
      </c>
      <c r="I176" t="s">
        <v>41</v>
      </c>
      <c r="J176" t="s">
        <v>601</v>
      </c>
      <c r="K176" t="s">
        <v>43</v>
      </c>
      <c r="L176">
        <v>2</v>
      </c>
      <c r="M176" t="s">
        <v>44</v>
      </c>
      <c r="N176" t="s">
        <v>45</v>
      </c>
      <c r="O176" t="s">
        <v>46</v>
      </c>
      <c r="P176" s="5">
        <v>4</v>
      </c>
      <c r="Q176" s="12">
        <v>44746.520046296297</v>
      </c>
      <c r="R176" s="13">
        <v>44748</v>
      </c>
      <c r="T176" t="s">
        <v>47</v>
      </c>
      <c r="U176" t="s">
        <v>48</v>
      </c>
      <c r="V176" t="s">
        <v>100</v>
      </c>
      <c r="Y176" t="s">
        <v>602</v>
      </c>
      <c r="Z176">
        <v>34000</v>
      </c>
      <c r="AA176" t="s">
        <v>47</v>
      </c>
      <c r="AB176" t="s">
        <v>64</v>
      </c>
      <c r="AC176" t="s">
        <v>53</v>
      </c>
      <c r="AD176" s="16">
        <f t="shared" si="33"/>
        <v>9.4</v>
      </c>
      <c r="AE176" s="15">
        <v>0</v>
      </c>
      <c r="AF176" s="15">
        <v>0</v>
      </c>
      <c r="AG176" s="15">
        <v>0</v>
      </c>
      <c r="AH176" s="15">
        <v>0</v>
      </c>
      <c r="AI176" s="15">
        <f t="shared" si="26"/>
        <v>0.56399999999999995</v>
      </c>
      <c r="AJ176" s="15">
        <f t="shared" si="27"/>
        <v>9.9640000000000004</v>
      </c>
      <c r="AK176" t="s">
        <v>47</v>
      </c>
    </row>
    <row r="177" spans="1:37" ht="15" customHeight="1" x14ac:dyDescent="0.35">
      <c r="A177">
        <v>690929</v>
      </c>
      <c r="B177" t="s">
        <v>37</v>
      </c>
      <c r="C177" t="s">
        <v>38</v>
      </c>
      <c r="D177" s="9" t="s">
        <v>39</v>
      </c>
      <c r="E177" s="10" t="s">
        <v>37</v>
      </c>
      <c r="F177" s="11"/>
      <c r="G177" t="s">
        <v>603</v>
      </c>
      <c r="I177" t="s">
        <v>41</v>
      </c>
      <c r="J177" t="s">
        <v>604</v>
      </c>
      <c r="K177" t="s">
        <v>43</v>
      </c>
      <c r="L177">
        <v>2</v>
      </c>
      <c r="M177" t="s">
        <v>44</v>
      </c>
      <c r="N177" t="s">
        <v>45</v>
      </c>
      <c r="O177" t="s">
        <v>46</v>
      </c>
      <c r="P177" s="5">
        <v>19</v>
      </c>
      <c r="Q177" s="12">
        <v>44746.63858796296</v>
      </c>
      <c r="R177" s="13">
        <v>44748</v>
      </c>
      <c r="T177" t="s">
        <v>47</v>
      </c>
      <c r="U177" t="s">
        <v>48</v>
      </c>
      <c r="V177" t="s">
        <v>96</v>
      </c>
      <c r="Y177" t="s">
        <v>605</v>
      </c>
      <c r="Z177">
        <v>18300</v>
      </c>
      <c r="AA177" t="s">
        <v>47</v>
      </c>
      <c r="AB177" t="s">
        <v>225</v>
      </c>
      <c r="AC177" t="s">
        <v>53</v>
      </c>
      <c r="AD177" s="16">
        <f t="shared" si="33"/>
        <v>21.4</v>
      </c>
      <c r="AE177" s="15">
        <v>0</v>
      </c>
      <c r="AF177" s="15">
        <v>0</v>
      </c>
      <c r="AG177" s="15">
        <v>0</v>
      </c>
      <c r="AH177" s="15">
        <v>0</v>
      </c>
      <c r="AI177" s="15">
        <f t="shared" si="26"/>
        <v>1.2839999999999998</v>
      </c>
      <c r="AJ177" s="15">
        <f t="shared" si="27"/>
        <v>22.683999999999997</v>
      </c>
      <c r="AK177" t="s">
        <v>47</v>
      </c>
    </row>
    <row r="178" spans="1:37" ht="15" customHeight="1" x14ac:dyDescent="0.35">
      <c r="A178">
        <v>690929</v>
      </c>
      <c r="B178" t="s">
        <v>37</v>
      </c>
      <c r="C178" t="s">
        <v>38</v>
      </c>
      <c r="D178" s="9" t="s">
        <v>39</v>
      </c>
      <c r="E178" s="10" t="s">
        <v>37</v>
      </c>
      <c r="F178" s="11"/>
      <c r="G178" t="s">
        <v>606</v>
      </c>
      <c r="I178" t="s">
        <v>41</v>
      </c>
      <c r="J178" t="s">
        <v>607</v>
      </c>
      <c r="K178" t="s">
        <v>43</v>
      </c>
      <c r="L178">
        <v>2</v>
      </c>
      <c r="M178" t="s">
        <v>44</v>
      </c>
      <c r="N178" t="s">
        <v>45</v>
      </c>
      <c r="O178" t="s">
        <v>46</v>
      </c>
      <c r="P178" s="5">
        <v>1</v>
      </c>
      <c r="Q178" s="12">
        <v>44746.584421296298</v>
      </c>
      <c r="R178" s="13">
        <v>44748</v>
      </c>
      <c r="T178" t="s">
        <v>47</v>
      </c>
      <c r="U178" t="s">
        <v>48</v>
      </c>
      <c r="V178" t="s">
        <v>96</v>
      </c>
      <c r="Y178" t="s">
        <v>608</v>
      </c>
      <c r="Z178">
        <v>16070</v>
      </c>
      <c r="AA178" t="s">
        <v>47</v>
      </c>
      <c r="AB178" t="s">
        <v>56</v>
      </c>
      <c r="AC178" t="s">
        <v>53</v>
      </c>
      <c r="AD178" s="16">
        <f t="shared" si="33"/>
        <v>7</v>
      </c>
      <c r="AE178" s="15">
        <v>0</v>
      </c>
      <c r="AF178" s="15">
        <v>0</v>
      </c>
      <c r="AG178" s="15">
        <v>0</v>
      </c>
      <c r="AH178" s="15">
        <v>0</v>
      </c>
      <c r="AI178" s="15">
        <f t="shared" si="26"/>
        <v>0.42</v>
      </c>
      <c r="AJ178" s="15">
        <f t="shared" si="27"/>
        <v>7.42</v>
      </c>
      <c r="AK178" t="s">
        <v>47</v>
      </c>
    </row>
    <row r="179" spans="1:37" ht="15" customHeight="1" x14ac:dyDescent="0.35">
      <c r="A179">
        <v>690929</v>
      </c>
      <c r="B179" t="s">
        <v>37</v>
      </c>
      <c r="C179" t="s">
        <v>38</v>
      </c>
      <c r="D179" s="9" t="s">
        <v>39</v>
      </c>
      <c r="E179" s="10" t="s">
        <v>37</v>
      </c>
      <c r="F179" s="11"/>
      <c r="G179" t="s">
        <v>609</v>
      </c>
      <c r="I179" t="s">
        <v>41</v>
      </c>
      <c r="J179" t="s">
        <v>610</v>
      </c>
      <c r="K179" t="s">
        <v>43</v>
      </c>
      <c r="L179">
        <v>2</v>
      </c>
      <c r="M179" t="s">
        <v>44</v>
      </c>
      <c r="N179" t="s">
        <v>45</v>
      </c>
      <c r="O179" t="s">
        <v>46</v>
      </c>
      <c r="P179" s="5">
        <v>1</v>
      </c>
      <c r="Q179" s="12">
        <v>44746.69190972222</v>
      </c>
      <c r="R179" s="13">
        <v>44748</v>
      </c>
      <c r="T179" t="s">
        <v>47</v>
      </c>
      <c r="U179" t="s">
        <v>48</v>
      </c>
      <c r="V179" t="s">
        <v>96</v>
      </c>
      <c r="Y179" t="s">
        <v>611</v>
      </c>
      <c r="Z179">
        <v>16810</v>
      </c>
      <c r="AA179" t="s">
        <v>47</v>
      </c>
      <c r="AB179" t="s">
        <v>56</v>
      </c>
      <c r="AC179" t="s">
        <v>53</v>
      </c>
      <c r="AD179" s="16">
        <f t="shared" si="33"/>
        <v>7</v>
      </c>
      <c r="AE179" s="15">
        <v>0</v>
      </c>
      <c r="AF179" s="15">
        <v>0</v>
      </c>
      <c r="AG179" s="15">
        <v>0</v>
      </c>
      <c r="AH179" s="15">
        <v>0</v>
      </c>
      <c r="AI179" s="15">
        <f t="shared" si="26"/>
        <v>0.42</v>
      </c>
      <c r="AJ179" s="15">
        <f t="shared" si="27"/>
        <v>7.42</v>
      </c>
      <c r="AK179" t="s">
        <v>47</v>
      </c>
    </row>
    <row r="180" spans="1:37" ht="15" customHeight="1" x14ac:dyDescent="0.35">
      <c r="A180">
        <v>690929</v>
      </c>
      <c r="B180" t="s">
        <v>37</v>
      </c>
      <c r="C180" t="s">
        <v>38</v>
      </c>
      <c r="D180" s="9" t="s">
        <v>39</v>
      </c>
      <c r="E180" s="10" t="s">
        <v>37</v>
      </c>
      <c r="F180" s="11"/>
      <c r="G180" t="s">
        <v>612</v>
      </c>
      <c r="I180" t="s">
        <v>41</v>
      </c>
      <c r="J180" t="s">
        <v>613</v>
      </c>
      <c r="K180" t="s">
        <v>43</v>
      </c>
      <c r="L180">
        <v>2</v>
      </c>
      <c r="M180" t="s">
        <v>44</v>
      </c>
      <c r="N180" t="s">
        <v>45</v>
      </c>
      <c r="O180" t="s">
        <v>46</v>
      </c>
      <c r="P180" s="5">
        <v>1</v>
      </c>
      <c r="Q180" s="12">
        <v>44746.799664351849</v>
      </c>
      <c r="R180" s="13">
        <v>44748</v>
      </c>
      <c r="T180" t="s">
        <v>47</v>
      </c>
      <c r="U180" t="s">
        <v>48</v>
      </c>
      <c r="V180" t="s">
        <v>67</v>
      </c>
      <c r="Y180" t="s">
        <v>614</v>
      </c>
      <c r="Z180">
        <v>25150</v>
      </c>
      <c r="AA180" t="s">
        <v>47</v>
      </c>
      <c r="AB180" t="s">
        <v>48</v>
      </c>
      <c r="AC180" t="s">
        <v>53</v>
      </c>
      <c r="AD180" s="16">
        <f t="shared" si="33"/>
        <v>7</v>
      </c>
      <c r="AE180" s="15">
        <v>0</v>
      </c>
      <c r="AF180" s="15">
        <v>0</v>
      </c>
      <c r="AG180" s="15">
        <v>0</v>
      </c>
      <c r="AH180" s="15">
        <v>0</v>
      </c>
      <c r="AI180" s="15">
        <f t="shared" si="26"/>
        <v>0.42</v>
      </c>
      <c r="AJ180" s="15">
        <f t="shared" si="27"/>
        <v>7.42</v>
      </c>
      <c r="AK180" t="s">
        <v>47</v>
      </c>
    </row>
    <row r="181" spans="1:37" ht="15" customHeight="1" x14ac:dyDescent="0.35">
      <c r="A181">
        <v>690929</v>
      </c>
      <c r="B181" t="s">
        <v>37</v>
      </c>
      <c r="C181" t="s">
        <v>38</v>
      </c>
      <c r="D181" s="9" t="s">
        <v>39</v>
      </c>
      <c r="E181" s="10" t="s">
        <v>37</v>
      </c>
      <c r="F181" s="11"/>
      <c r="G181" t="s">
        <v>615</v>
      </c>
      <c r="I181" t="s">
        <v>41</v>
      </c>
      <c r="J181" t="s">
        <v>616</v>
      </c>
      <c r="K181" t="s">
        <v>43</v>
      </c>
      <c r="L181">
        <v>2</v>
      </c>
      <c r="M181" t="s">
        <v>44</v>
      </c>
      <c r="N181" t="s">
        <v>45</v>
      </c>
      <c r="O181" t="s">
        <v>46</v>
      </c>
      <c r="P181" s="5">
        <v>10</v>
      </c>
      <c r="Q181" s="12">
        <v>44746.492384259262</v>
      </c>
      <c r="R181" s="13">
        <v>44748</v>
      </c>
      <c r="T181" t="s">
        <v>47</v>
      </c>
      <c r="U181" t="s">
        <v>48</v>
      </c>
      <c r="V181" t="s">
        <v>449</v>
      </c>
      <c r="Y181" t="s">
        <v>617</v>
      </c>
      <c r="Z181">
        <v>2000</v>
      </c>
      <c r="AA181" t="s">
        <v>47</v>
      </c>
      <c r="AB181" t="s">
        <v>64</v>
      </c>
      <c r="AC181" t="s">
        <v>53</v>
      </c>
      <c r="AD181" s="16">
        <f t="shared" si="33"/>
        <v>14.2</v>
      </c>
      <c r="AE181" s="15">
        <v>0</v>
      </c>
      <c r="AF181" s="15">
        <v>0</v>
      </c>
      <c r="AG181" s="15">
        <v>0</v>
      </c>
      <c r="AH181" s="15">
        <v>0</v>
      </c>
      <c r="AI181" s="15">
        <f t="shared" si="26"/>
        <v>0.85199999999999998</v>
      </c>
      <c r="AJ181" s="15">
        <f t="shared" si="27"/>
        <v>15.052</v>
      </c>
      <c r="AK181" t="s">
        <v>47</v>
      </c>
    </row>
    <row r="182" spans="1:37" ht="15" customHeight="1" x14ac:dyDescent="0.35">
      <c r="A182">
        <v>690929</v>
      </c>
      <c r="B182" t="s">
        <v>37</v>
      </c>
      <c r="C182" t="s">
        <v>38</v>
      </c>
      <c r="D182" s="9" t="s">
        <v>39</v>
      </c>
      <c r="E182" s="10" t="s">
        <v>37</v>
      </c>
      <c r="F182" s="11"/>
      <c r="G182" t="s">
        <v>618</v>
      </c>
      <c r="I182" t="s">
        <v>41</v>
      </c>
      <c r="J182" t="s">
        <v>619</v>
      </c>
      <c r="K182" t="s">
        <v>43</v>
      </c>
      <c r="L182">
        <v>2</v>
      </c>
      <c r="M182" t="s">
        <v>44</v>
      </c>
      <c r="N182" t="s">
        <v>45</v>
      </c>
      <c r="O182" t="s">
        <v>46</v>
      </c>
      <c r="P182" s="5">
        <v>2</v>
      </c>
      <c r="Q182" s="12">
        <v>44746.524039351854</v>
      </c>
      <c r="R182" s="13">
        <v>44748</v>
      </c>
      <c r="T182" t="s">
        <v>47</v>
      </c>
      <c r="U182" t="s">
        <v>48</v>
      </c>
      <c r="V182" t="s">
        <v>114</v>
      </c>
      <c r="Y182" t="s">
        <v>620</v>
      </c>
      <c r="Z182">
        <v>42300</v>
      </c>
      <c r="AA182" t="s">
        <v>47</v>
      </c>
      <c r="AB182" t="s">
        <v>64</v>
      </c>
      <c r="AC182" t="s">
        <v>53</v>
      </c>
      <c r="AD182" s="16">
        <f t="shared" si="33"/>
        <v>7.8</v>
      </c>
      <c r="AE182" s="15">
        <v>0</v>
      </c>
      <c r="AF182" s="15">
        <v>0</v>
      </c>
      <c r="AG182" s="15">
        <v>0</v>
      </c>
      <c r="AH182" s="15">
        <v>0</v>
      </c>
      <c r="AI182" s="15">
        <f t="shared" si="26"/>
        <v>0.46799999999999997</v>
      </c>
      <c r="AJ182" s="15">
        <f t="shared" si="27"/>
        <v>8.2680000000000007</v>
      </c>
      <c r="AK182" t="s">
        <v>47</v>
      </c>
    </row>
    <row r="183" spans="1:37" ht="15" customHeight="1" x14ac:dyDescent="0.35">
      <c r="A183">
        <v>690929</v>
      </c>
      <c r="B183" t="s">
        <v>37</v>
      </c>
      <c r="C183" t="s">
        <v>38</v>
      </c>
      <c r="D183" s="9" t="s">
        <v>39</v>
      </c>
      <c r="E183" s="10" t="s">
        <v>37</v>
      </c>
      <c r="F183" s="11"/>
      <c r="G183" t="s">
        <v>621</v>
      </c>
      <c r="I183" t="s">
        <v>41</v>
      </c>
      <c r="J183" t="s">
        <v>622</v>
      </c>
      <c r="K183" t="s">
        <v>43</v>
      </c>
      <c r="L183">
        <v>2</v>
      </c>
      <c r="M183" t="s">
        <v>44</v>
      </c>
      <c r="N183" t="s">
        <v>45</v>
      </c>
      <c r="O183" t="s">
        <v>46</v>
      </c>
      <c r="P183" s="5">
        <v>1</v>
      </c>
      <c r="Q183" s="12">
        <v>44746.798333333332</v>
      </c>
      <c r="R183" s="13">
        <v>44748</v>
      </c>
      <c r="T183" t="s">
        <v>47</v>
      </c>
      <c r="U183" t="s">
        <v>48</v>
      </c>
      <c r="V183" t="s">
        <v>96</v>
      </c>
      <c r="Y183" t="s">
        <v>623</v>
      </c>
      <c r="Z183">
        <v>17200</v>
      </c>
      <c r="AA183" t="s">
        <v>47</v>
      </c>
      <c r="AB183" t="s">
        <v>56</v>
      </c>
      <c r="AC183" t="s">
        <v>53</v>
      </c>
      <c r="AD183" s="16">
        <f t="shared" si="33"/>
        <v>7</v>
      </c>
      <c r="AE183" s="15">
        <v>0</v>
      </c>
      <c r="AF183" s="15">
        <v>0</v>
      </c>
      <c r="AG183" s="15">
        <v>0</v>
      </c>
      <c r="AH183" s="15">
        <v>0</v>
      </c>
      <c r="AI183" s="15">
        <f t="shared" si="26"/>
        <v>0.42</v>
      </c>
      <c r="AJ183" s="15">
        <f t="shared" si="27"/>
        <v>7.42</v>
      </c>
      <c r="AK183" t="s">
        <v>47</v>
      </c>
    </row>
    <row r="184" spans="1:37" ht="15" customHeight="1" x14ac:dyDescent="0.35">
      <c r="A184">
        <v>690929</v>
      </c>
      <c r="B184" t="s">
        <v>37</v>
      </c>
      <c r="C184" t="s">
        <v>38</v>
      </c>
      <c r="D184" s="9" t="s">
        <v>39</v>
      </c>
      <c r="E184" s="10" t="s">
        <v>37</v>
      </c>
      <c r="F184" s="11"/>
      <c r="G184" t="s">
        <v>624</v>
      </c>
      <c r="I184" t="s">
        <v>41</v>
      </c>
      <c r="J184" t="s">
        <v>625</v>
      </c>
      <c r="K184" t="s">
        <v>43</v>
      </c>
      <c r="L184">
        <v>2</v>
      </c>
      <c r="M184" t="s">
        <v>44</v>
      </c>
      <c r="N184" t="s">
        <v>45</v>
      </c>
      <c r="O184" t="s">
        <v>46</v>
      </c>
      <c r="P184" s="5">
        <v>1</v>
      </c>
      <c r="Q184" s="12">
        <v>44746.579571759263</v>
      </c>
      <c r="R184" s="13">
        <v>44748</v>
      </c>
      <c r="T184" t="s">
        <v>47</v>
      </c>
      <c r="U184" t="s">
        <v>48</v>
      </c>
      <c r="V184" t="s">
        <v>114</v>
      </c>
      <c r="Y184" t="s">
        <v>626</v>
      </c>
      <c r="Z184">
        <v>62250</v>
      </c>
      <c r="AA184" t="s">
        <v>47</v>
      </c>
      <c r="AB184" t="s">
        <v>64</v>
      </c>
      <c r="AC184" t="s">
        <v>53</v>
      </c>
      <c r="AD184" s="16">
        <f t="shared" si="33"/>
        <v>7</v>
      </c>
      <c r="AE184" s="15">
        <v>0</v>
      </c>
      <c r="AF184" s="15">
        <v>0</v>
      </c>
      <c r="AG184" s="15">
        <v>0</v>
      </c>
      <c r="AH184" s="15">
        <v>0</v>
      </c>
      <c r="AI184" s="15">
        <f t="shared" si="26"/>
        <v>0.42</v>
      </c>
      <c r="AJ184" s="15">
        <f t="shared" si="27"/>
        <v>7.42</v>
      </c>
      <c r="AK184" t="s">
        <v>47</v>
      </c>
    </row>
    <row r="185" spans="1:37" ht="15" customHeight="1" x14ac:dyDescent="0.35">
      <c r="A185">
        <v>690929</v>
      </c>
      <c r="B185" t="s">
        <v>37</v>
      </c>
      <c r="C185" t="s">
        <v>38</v>
      </c>
      <c r="D185" s="9" t="s">
        <v>39</v>
      </c>
      <c r="E185" s="10" t="s">
        <v>37</v>
      </c>
      <c r="F185" s="11"/>
      <c r="G185" t="s">
        <v>627</v>
      </c>
      <c r="I185" t="s">
        <v>41</v>
      </c>
      <c r="J185" t="s">
        <v>628</v>
      </c>
      <c r="K185" t="s">
        <v>43</v>
      </c>
      <c r="L185">
        <v>2</v>
      </c>
      <c r="M185" t="s">
        <v>44</v>
      </c>
      <c r="N185" t="s">
        <v>45</v>
      </c>
      <c r="O185" t="s">
        <v>46</v>
      </c>
      <c r="P185" s="5">
        <v>1</v>
      </c>
      <c r="Q185" s="12">
        <v>44745.782789351855</v>
      </c>
      <c r="R185" s="13">
        <v>44748</v>
      </c>
      <c r="T185" t="s">
        <v>47</v>
      </c>
      <c r="U185" t="s">
        <v>48</v>
      </c>
      <c r="V185" t="s">
        <v>100</v>
      </c>
      <c r="Y185" t="s">
        <v>629</v>
      </c>
      <c r="Z185">
        <v>34300</v>
      </c>
      <c r="AA185" t="s">
        <v>47</v>
      </c>
      <c r="AB185" t="s">
        <v>64</v>
      </c>
      <c r="AC185" t="s">
        <v>53</v>
      </c>
      <c r="AD185" s="16">
        <f t="shared" si="33"/>
        <v>7</v>
      </c>
      <c r="AE185" s="15">
        <v>0</v>
      </c>
      <c r="AF185" s="15">
        <v>0</v>
      </c>
      <c r="AG185" s="15">
        <v>0</v>
      </c>
      <c r="AH185" s="15">
        <v>0</v>
      </c>
      <c r="AI185" s="15">
        <f t="shared" si="26"/>
        <v>0.42</v>
      </c>
      <c r="AJ185" s="15">
        <f t="shared" si="27"/>
        <v>7.42</v>
      </c>
      <c r="AK185" t="s">
        <v>47</v>
      </c>
    </row>
    <row r="186" spans="1:37" ht="15" customHeight="1" x14ac:dyDescent="0.35">
      <c r="A186">
        <v>690929</v>
      </c>
      <c r="B186" t="s">
        <v>37</v>
      </c>
      <c r="C186" t="s">
        <v>38</v>
      </c>
      <c r="D186" s="9" t="s">
        <v>39</v>
      </c>
      <c r="E186" s="10" t="s">
        <v>37</v>
      </c>
      <c r="F186" s="11"/>
      <c r="G186" t="s">
        <v>630</v>
      </c>
      <c r="I186" t="s">
        <v>41</v>
      </c>
      <c r="J186" t="s">
        <v>631</v>
      </c>
      <c r="K186" t="s">
        <v>43</v>
      </c>
      <c r="L186">
        <v>2</v>
      </c>
      <c r="M186" t="s">
        <v>44</v>
      </c>
      <c r="N186" t="s">
        <v>45</v>
      </c>
      <c r="O186" t="s">
        <v>46</v>
      </c>
      <c r="P186" s="5">
        <v>7</v>
      </c>
      <c r="Q186" s="12">
        <v>44746.506458333337</v>
      </c>
      <c r="R186" s="13">
        <v>44748</v>
      </c>
      <c r="T186" t="s">
        <v>47</v>
      </c>
      <c r="U186" t="s">
        <v>48</v>
      </c>
      <c r="V186" t="s">
        <v>128</v>
      </c>
      <c r="Y186" t="s">
        <v>632</v>
      </c>
      <c r="Z186">
        <v>54000</v>
      </c>
      <c r="AA186" t="s">
        <v>47</v>
      </c>
      <c r="AB186" t="s">
        <v>64</v>
      </c>
      <c r="AC186" t="s">
        <v>53</v>
      </c>
      <c r="AD186" s="16">
        <f t="shared" si="33"/>
        <v>11.8</v>
      </c>
      <c r="AE186" s="15">
        <v>0</v>
      </c>
      <c r="AF186" s="15">
        <v>0</v>
      </c>
      <c r="AG186" s="15">
        <v>0</v>
      </c>
      <c r="AH186" s="15">
        <v>0</v>
      </c>
      <c r="AI186" s="15">
        <f t="shared" si="26"/>
        <v>0.70799999999999996</v>
      </c>
      <c r="AJ186" s="15">
        <f t="shared" si="27"/>
        <v>12.508000000000001</v>
      </c>
      <c r="AK186" t="s">
        <v>47</v>
      </c>
    </row>
    <row r="187" spans="1:37" ht="15" customHeight="1" x14ac:dyDescent="0.35">
      <c r="A187">
        <v>690929</v>
      </c>
      <c r="B187" t="s">
        <v>37</v>
      </c>
      <c r="C187" t="s">
        <v>38</v>
      </c>
      <c r="D187" s="9" t="s">
        <v>39</v>
      </c>
      <c r="E187" s="10" t="s">
        <v>37</v>
      </c>
      <c r="F187" s="11"/>
      <c r="G187" t="s">
        <v>633</v>
      </c>
      <c r="I187" t="s">
        <v>41</v>
      </c>
      <c r="J187" t="s">
        <v>634</v>
      </c>
      <c r="K187" t="s">
        <v>43</v>
      </c>
      <c r="L187">
        <v>2</v>
      </c>
      <c r="M187" t="s">
        <v>44</v>
      </c>
      <c r="N187" t="s">
        <v>45</v>
      </c>
      <c r="O187" t="s">
        <v>46</v>
      </c>
      <c r="P187" s="5">
        <v>1</v>
      </c>
      <c r="Q187" s="12">
        <v>44745.785532407404</v>
      </c>
      <c r="R187" s="13">
        <v>44748</v>
      </c>
      <c r="T187" t="s">
        <v>47</v>
      </c>
      <c r="U187" t="s">
        <v>48</v>
      </c>
      <c r="V187" t="s">
        <v>114</v>
      </c>
      <c r="Y187" t="s">
        <v>635</v>
      </c>
      <c r="Z187">
        <v>42300</v>
      </c>
      <c r="AA187" t="s">
        <v>47</v>
      </c>
      <c r="AB187" t="s">
        <v>64</v>
      </c>
      <c r="AC187" t="s">
        <v>53</v>
      </c>
      <c r="AD187" s="16">
        <f t="shared" si="33"/>
        <v>7</v>
      </c>
      <c r="AE187" s="15">
        <v>0</v>
      </c>
      <c r="AF187" s="15">
        <v>0</v>
      </c>
      <c r="AG187" s="15">
        <v>0</v>
      </c>
      <c r="AH187" s="15">
        <v>0</v>
      </c>
      <c r="AI187" s="15">
        <f t="shared" si="26"/>
        <v>0.42</v>
      </c>
      <c r="AJ187" s="15">
        <f t="shared" si="27"/>
        <v>7.42</v>
      </c>
      <c r="AK187" t="s">
        <v>47</v>
      </c>
    </row>
    <row r="188" spans="1:37" ht="15" customHeight="1" x14ac:dyDescent="0.35">
      <c r="A188">
        <v>690929</v>
      </c>
      <c r="B188" t="s">
        <v>37</v>
      </c>
      <c r="C188" t="s">
        <v>38</v>
      </c>
      <c r="D188" s="9" t="s">
        <v>39</v>
      </c>
      <c r="E188" s="10" t="s">
        <v>37</v>
      </c>
      <c r="F188" s="11"/>
      <c r="G188" t="s">
        <v>636</v>
      </c>
      <c r="I188" t="s">
        <v>41</v>
      </c>
      <c r="J188" t="s">
        <v>637</v>
      </c>
      <c r="K188" t="s">
        <v>43</v>
      </c>
      <c r="L188">
        <v>2</v>
      </c>
      <c r="M188" t="s">
        <v>44</v>
      </c>
      <c r="N188" t="s">
        <v>45</v>
      </c>
      <c r="O188" t="s">
        <v>46</v>
      </c>
      <c r="P188" s="5">
        <v>1</v>
      </c>
      <c r="Q188" s="12">
        <v>44746.498171296298</v>
      </c>
      <c r="R188" s="13">
        <v>44748</v>
      </c>
      <c r="T188" t="s">
        <v>47</v>
      </c>
      <c r="U188" t="s">
        <v>48</v>
      </c>
      <c r="V188" t="s">
        <v>100</v>
      </c>
      <c r="Y188" t="s">
        <v>638</v>
      </c>
      <c r="Z188">
        <v>36000</v>
      </c>
      <c r="AA188" t="s">
        <v>47</v>
      </c>
      <c r="AB188" t="s">
        <v>64</v>
      </c>
      <c r="AC188" t="s">
        <v>53</v>
      </c>
      <c r="AD188" s="16">
        <f t="shared" si="33"/>
        <v>7</v>
      </c>
      <c r="AE188" s="15">
        <v>0</v>
      </c>
      <c r="AF188" s="15">
        <v>0</v>
      </c>
      <c r="AG188" s="15">
        <v>0</v>
      </c>
      <c r="AH188" s="15">
        <v>0</v>
      </c>
      <c r="AI188" s="15">
        <f t="shared" si="26"/>
        <v>0.42</v>
      </c>
      <c r="AJ188" s="15">
        <f t="shared" si="27"/>
        <v>7.42</v>
      </c>
      <c r="AK188" t="s">
        <v>47</v>
      </c>
    </row>
    <row r="189" spans="1:37" ht="15" customHeight="1" x14ac:dyDescent="0.35">
      <c r="A189">
        <v>690929</v>
      </c>
      <c r="B189" t="s">
        <v>37</v>
      </c>
      <c r="C189" t="s">
        <v>38</v>
      </c>
      <c r="D189" s="9" t="s">
        <v>39</v>
      </c>
      <c r="E189" s="10" t="s">
        <v>37</v>
      </c>
      <c r="F189" s="11"/>
      <c r="G189" t="s">
        <v>639</v>
      </c>
      <c r="I189" t="s">
        <v>41</v>
      </c>
      <c r="J189" t="s">
        <v>640</v>
      </c>
      <c r="K189" t="s">
        <v>43</v>
      </c>
      <c r="L189">
        <v>2</v>
      </c>
      <c r="M189" t="s">
        <v>44</v>
      </c>
      <c r="N189" t="s">
        <v>45</v>
      </c>
      <c r="O189" t="s">
        <v>46</v>
      </c>
      <c r="P189" s="5">
        <v>1</v>
      </c>
      <c r="Q189" s="12">
        <v>44745.80190972222</v>
      </c>
      <c r="R189" s="13">
        <v>44748</v>
      </c>
      <c r="T189" t="s">
        <v>47</v>
      </c>
      <c r="U189" t="s">
        <v>48</v>
      </c>
      <c r="V189" t="s">
        <v>128</v>
      </c>
      <c r="Y189" t="s">
        <v>641</v>
      </c>
      <c r="Z189">
        <v>58200</v>
      </c>
      <c r="AA189" t="s">
        <v>47</v>
      </c>
      <c r="AB189" t="s">
        <v>64</v>
      </c>
      <c r="AC189" t="s">
        <v>53</v>
      </c>
      <c r="AD189" s="16">
        <f t="shared" si="33"/>
        <v>7</v>
      </c>
      <c r="AE189" s="15">
        <v>0</v>
      </c>
      <c r="AF189" s="15">
        <v>0</v>
      </c>
      <c r="AG189" s="15">
        <v>0</v>
      </c>
      <c r="AH189" s="15">
        <v>0</v>
      </c>
      <c r="AI189" s="15">
        <f t="shared" si="26"/>
        <v>0.42</v>
      </c>
      <c r="AJ189" s="15">
        <f t="shared" si="27"/>
        <v>7.42</v>
      </c>
      <c r="AK189" t="s">
        <v>47</v>
      </c>
    </row>
    <row r="190" spans="1:37" ht="15" customHeight="1" x14ac:dyDescent="0.35">
      <c r="A190">
        <v>690929</v>
      </c>
      <c r="B190" t="s">
        <v>37</v>
      </c>
      <c r="C190" t="s">
        <v>38</v>
      </c>
      <c r="D190" s="9" t="s">
        <v>39</v>
      </c>
      <c r="E190" s="10" t="s">
        <v>37</v>
      </c>
      <c r="F190" s="11"/>
      <c r="G190" t="s">
        <v>642</v>
      </c>
      <c r="I190" t="s">
        <v>41</v>
      </c>
      <c r="J190" t="s">
        <v>643</v>
      </c>
      <c r="K190" t="s">
        <v>43</v>
      </c>
      <c r="L190">
        <v>2</v>
      </c>
      <c r="M190" t="s">
        <v>44</v>
      </c>
      <c r="N190" t="s">
        <v>45</v>
      </c>
      <c r="O190" t="s">
        <v>46</v>
      </c>
      <c r="P190" s="5">
        <v>1</v>
      </c>
      <c r="Q190" s="12">
        <v>44745.768067129633</v>
      </c>
      <c r="R190" s="13">
        <v>44748</v>
      </c>
      <c r="T190" t="s">
        <v>47</v>
      </c>
      <c r="U190" t="s">
        <v>48</v>
      </c>
      <c r="V190" t="s">
        <v>114</v>
      </c>
      <c r="Y190" t="s">
        <v>644</v>
      </c>
      <c r="Z190">
        <v>42920</v>
      </c>
      <c r="AA190" t="s">
        <v>47</v>
      </c>
      <c r="AB190" t="s">
        <v>64</v>
      </c>
      <c r="AC190" t="s">
        <v>53</v>
      </c>
      <c r="AD190" s="16">
        <f t="shared" si="33"/>
        <v>7</v>
      </c>
      <c r="AE190" s="15">
        <v>0</v>
      </c>
      <c r="AF190" s="15">
        <v>0</v>
      </c>
      <c r="AG190" s="15">
        <v>0</v>
      </c>
      <c r="AH190" s="15">
        <v>0</v>
      </c>
      <c r="AI190" s="15">
        <f t="shared" si="26"/>
        <v>0.42</v>
      </c>
      <c r="AJ190" s="15">
        <f t="shared" si="27"/>
        <v>7.42</v>
      </c>
      <c r="AK190" t="s">
        <v>47</v>
      </c>
    </row>
    <row r="191" spans="1:37" ht="15" customHeight="1" x14ac:dyDescent="0.35">
      <c r="A191">
        <v>690929</v>
      </c>
      <c r="B191" t="s">
        <v>37</v>
      </c>
      <c r="C191" t="s">
        <v>38</v>
      </c>
      <c r="D191" s="9" t="s">
        <v>39</v>
      </c>
      <c r="E191" s="10" t="s">
        <v>37</v>
      </c>
      <c r="F191" s="11"/>
      <c r="G191" t="s">
        <v>645</v>
      </c>
      <c r="I191" t="s">
        <v>41</v>
      </c>
      <c r="J191" t="s">
        <v>646</v>
      </c>
      <c r="K191" t="s">
        <v>43</v>
      </c>
      <c r="L191">
        <v>2</v>
      </c>
      <c r="M191" t="s">
        <v>44</v>
      </c>
      <c r="N191" t="s">
        <v>45</v>
      </c>
      <c r="O191" t="s">
        <v>46</v>
      </c>
      <c r="P191" s="5">
        <v>5</v>
      </c>
      <c r="Q191" s="12">
        <v>44746.496400462966</v>
      </c>
      <c r="R191" s="13">
        <v>44748</v>
      </c>
      <c r="T191" t="s">
        <v>47</v>
      </c>
      <c r="U191" t="s">
        <v>48</v>
      </c>
      <c r="V191" t="s">
        <v>62</v>
      </c>
      <c r="Y191" t="s">
        <v>647</v>
      </c>
      <c r="Z191">
        <v>81900</v>
      </c>
      <c r="AA191" t="s">
        <v>47</v>
      </c>
      <c r="AB191" t="s">
        <v>64</v>
      </c>
      <c r="AC191" t="s">
        <v>53</v>
      </c>
      <c r="AD191" s="16">
        <f t="shared" si="33"/>
        <v>10.199999999999999</v>
      </c>
      <c r="AE191" s="15">
        <v>0</v>
      </c>
      <c r="AF191" s="15">
        <v>0</v>
      </c>
      <c r="AG191" s="15">
        <v>0</v>
      </c>
      <c r="AH191" s="15">
        <v>0</v>
      </c>
      <c r="AI191" s="15">
        <f t="shared" si="26"/>
        <v>0.61199999999999999</v>
      </c>
      <c r="AJ191" s="15">
        <f t="shared" si="27"/>
        <v>10.811999999999999</v>
      </c>
      <c r="AK191" t="s">
        <v>47</v>
      </c>
    </row>
    <row r="192" spans="1:37" ht="15" customHeight="1" x14ac:dyDescent="0.35">
      <c r="A192">
        <v>690929</v>
      </c>
      <c r="B192" t="s">
        <v>37</v>
      </c>
      <c r="C192" t="s">
        <v>38</v>
      </c>
      <c r="D192" s="9" t="s">
        <v>39</v>
      </c>
      <c r="E192" s="10" t="s">
        <v>37</v>
      </c>
      <c r="F192" s="11"/>
      <c r="G192" t="s">
        <v>648</v>
      </c>
      <c r="I192" t="s">
        <v>41</v>
      </c>
      <c r="J192" t="s">
        <v>649</v>
      </c>
      <c r="K192" t="s">
        <v>43</v>
      </c>
      <c r="L192">
        <v>2</v>
      </c>
      <c r="M192" t="s">
        <v>44</v>
      </c>
      <c r="N192" t="s">
        <v>45</v>
      </c>
      <c r="O192" t="s">
        <v>46</v>
      </c>
      <c r="P192" s="5">
        <v>1</v>
      </c>
      <c r="Q192" s="12">
        <v>44745.789606481485</v>
      </c>
      <c r="R192" s="13">
        <v>44748</v>
      </c>
      <c r="T192" t="s">
        <v>47</v>
      </c>
      <c r="U192" t="s">
        <v>48</v>
      </c>
      <c r="V192" t="s">
        <v>62</v>
      </c>
      <c r="Y192" t="s">
        <v>650</v>
      </c>
      <c r="Z192">
        <v>81700</v>
      </c>
      <c r="AA192" t="s">
        <v>47</v>
      </c>
      <c r="AB192" t="s">
        <v>64</v>
      </c>
      <c r="AC192" t="s">
        <v>53</v>
      </c>
      <c r="AD192" s="16">
        <f>IF(P192&lt;=1,7,7+0.8*ROUNDUP(P192-1,0))</f>
        <v>7</v>
      </c>
      <c r="AE192" s="15">
        <v>0</v>
      </c>
      <c r="AF192" s="15">
        <v>0</v>
      </c>
      <c r="AG192" s="15">
        <v>0</v>
      </c>
      <c r="AH192" s="15">
        <v>0</v>
      </c>
      <c r="AI192" s="15">
        <f t="shared" si="26"/>
        <v>0.42</v>
      </c>
      <c r="AJ192" s="15">
        <f t="shared" si="27"/>
        <v>7.42</v>
      </c>
      <c r="AK192" t="s">
        <v>47</v>
      </c>
    </row>
    <row r="193" spans="1:37" ht="15" customHeight="1" x14ac:dyDescent="0.35">
      <c r="A193">
        <v>690929</v>
      </c>
      <c r="B193" t="s">
        <v>37</v>
      </c>
      <c r="C193" t="s">
        <v>38</v>
      </c>
      <c r="D193" s="9" t="s">
        <v>39</v>
      </c>
      <c r="E193" s="10" t="s">
        <v>37</v>
      </c>
      <c r="F193" s="11"/>
      <c r="G193" t="s">
        <v>651</v>
      </c>
      <c r="I193" t="s">
        <v>41</v>
      </c>
      <c r="J193" t="s">
        <v>652</v>
      </c>
      <c r="K193" t="s">
        <v>43</v>
      </c>
      <c r="L193">
        <v>2</v>
      </c>
      <c r="M193" t="s">
        <v>44</v>
      </c>
      <c r="N193" t="s">
        <v>45</v>
      </c>
      <c r="O193" t="s">
        <v>46</v>
      </c>
      <c r="P193" s="5">
        <v>1</v>
      </c>
      <c r="Q193" s="12">
        <v>44745.778703703705</v>
      </c>
      <c r="R193" s="13">
        <v>44748</v>
      </c>
      <c r="T193" t="s">
        <v>47</v>
      </c>
      <c r="U193" t="s">
        <v>48</v>
      </c>
      <c r="V193" t="s">
        <v>114</v>
      </c>
      <c r="Y193" t="s">
        <v>653</v>
      </c>
      <c r="Z193">
        <v>68000</v>
      </c>
      <c r="AA193" t="s">
        <v>47</v>
      </c>
      <c r="AB193" t="s">
        <v>64</v>
      </c>
      <c r="AC193" t="s">
        <v>53</v>
      </c>
      <c r="AD193" s="16">
        <f t="shared" ref="AD193:AD194" si="34">IF(P193&lt;=1,7,7+0.8*ROUNDUP(P193-1,0))</f>
        <v>7</v>
      </c>
      <c r="AE193" s="15">
        <v>0</v>
      </c>
      <c r="AF193" s="15">
        <v>0</v>
      </c>
      <c r="AG193" s="15">
        <v>0</v>
      </c>
      <c r="AH193" s="15">
        <v>0</v>
      </c>
      <c r="AI193" s="15">
        <f t="shared" si="26"/>
        <v>0.42</v>
      </c>
      <c r="AJ193" s="15">
        <f t="shared" si="27"/>
        <v>7.42</v>
      </c>
      <c r="AK193" t="s">
        <v>47</v>
      </c>
    </row>
    <row r="194" spans="1:37" ht="15" customHeight="1" x14ac:dyDescent="0.35">
      <c r="A194">
        <v>690929</v>
      </c>
      <c r="B194" t="s">
        <v>37</v>
      </c>
      <c r="C194" t="s">
        <v>38</v>
      </c>
      <c r="D194" s="9" t="s">
        <v>39</v>
      </c>
      <c r="E194" s="10" t="s">
        <v>37</v>
      </c>
      <c r="F194" s="11"/>
      <c r="G194" t="s">
        <v>654</v>
      </c>
      <c r="I194" t="s">
        <v>41</v>
      </c>
      <c r="J194" t="s">
        <v>655</v>
      </c>
      <c r="K194" t="s">
        <v>43</v>
      </c>
      <c r="L194">
        <v>2</v>
      </c>
      <c r="M194" t="s">
        <v>44</v>
      </c>
      <c r="N194" t="s">
        <v>45</v>
      </c>
      <c r="O194" t="s">
        <v>46</v>
      </c>
      <c r="P194" s="5">
        <v>1</v>
      </c>
      <c r="Q194" s="12">
        <v>44746.753298611111</v>
      </c>
      <c r="R194" s="13">
        <v>44748</v>
      </c>
      <c r="T194" t="s">
        <v>47</v>
      </c>
      <c r="U194" t="s">
        <v>48</v>
      </c>
      <c r="V194" t="s">
        <v>67</v>
      </c>
      <c r="Y194" t="s">
        <v>656</v>
      </c>
      <c r="Z194">
        <v>25000</v>
      </c>
      <c r="AA194" t="s">
        <v>47</v>
      </c>
      <c r="AB194" t="s">
        <v>48</v>
      </c>
      <c r="AC194" t="s">
        <v>53</v>
      </c>
      <c r="AD194" s="16">
        <f t="shared" si="34"/>
        <v>7</v>
      </c>
      <c r="AE194" s="15">
        <v>0</v>
      </c>
      <c r="AF194" s="15">
        <v>0</v>
      </c>
      <c r="AG194" s="15">
        <v>0</v>
      </c>
      <c r="AH194" s="15">
        <v>0</v>
      </c>
      <c r="AI194" s="15">
        <f t="shared" ref="AI194:AI257" si="35">(AD194+AF194+AH194)*6%</f>
        <v>0.42</v>
      </c>
      <c r="AJ194" s="15">
        <f t="shared" ref="AJ194:AJ257" si="36">AD194+AF194+AH194+AI194</f>
        <v>7.42</v>
      </c>
      <c r="AK194" t="s">
        <v>47</v>
      </c>
    </row>
    <row r="195" spans="1:37" ht="15" customHeight="1" x14ac:dyDescent="0.35">
      <c r="A195">
        <v>690929</v>
      </c>
      <c r="B195" t="s">
        <v>37</v>
      </c>
      <c r="C195" t="s">
        <v>38</v>
      </c>
      <c r="D195" s="9" t="s">
        <v>39</v>
      </c>
      <c r="E195" s="10" t="s">
        <v>37</v>
      </c>
      <c r="F195" s="11"/>
      <c r="G195" t="s">
        <v>657</v>
      </c>
      <c r="I195" t="s">
        <v>41</v>
      </c>
      <c r="J195" t="s">
        <v>658</v>
      </c>
      <c r="K195" t="s">
        <v>43</v>
      </c>
      <c r="L195">
        <v>2</v>
      </c>
      <c r="M195" t="s">
        <v>44</v>
      </c>
      <c r="N195" t="s">
        <v>45</v>
      </c>
      <c r="O195" t="s">
        <v>46</v>
      </c>
      <c r="P195" s="5">
        <v>1</v>
      </c>
      <c r="Q195" s="12">
        <v>44746.666458333333</v>
      </c>
      <c r="R195" s="13">
        <v>44748</v>
      </c>
      <c r="T195" t="s">
        <v>47</v>
      </c>
      <c r="U195" t="s">
        <v>48</v>
      </c>
      <c r="V195" t="s">
        <v>128</v>
      </c>
      <c r="Y195" t="s">
        <v>659</v>
      </c>
      <c r="Z195">
        <v>58100</v>
      </c>
      <c r="AA195" t="s">
        <v>47</v>
      </c>
      <c r="AB195" t="s">
        <v>64</v>
      </c>
      <c r="AC195" t="s">
        <v>53</v>
      </c>
      <c r="AD195" s="16">
        <f>IF(P195&lt;=1,7,7+0.8*ROUNDUP(P195-1,0))</f>
        <v>7</v>
      </c>
      <c r="AE195" s="15">
        <v>0</v>
      </c>
      <c r="AF195" s="15">
        <v>0</v>
      </c>
      <c r="AG195" s="15">
        <v>0</v>
      </c>
      <c r="AH195" s="15">
        <v>0</v>
      </c>
      <c r="AI195" s="15">
        <f t="shared" si="35"/>
        <v>0.42</v>
      </c>
      <c r="AJ195" s="15">
        <f t="shared" si="36"/>
        <v>7.42</v>
      </c>
      <c r="AK195" t="s">
        <v>47</v>
      </c>
    </row>
    <row r="196" spans="1:37" ht="15" customHeight="1" x14ac:dyDescent="0.35">
      <c r="A196">
        <v>690929</v>
      </c>
      <c r="B196" t="s">
        <v>37</v>
      </c>
      <c r="C196" t="s">
        <v>38</v>
      </c>
      <c r="D196" s="9" t="s">
        <v>39</v>
      </c>
      <c r="E196" s="10" t="s">
        <v>37</v>
      </c>
      <c r="F196" s="11"/>
      <c r="G196" t="s">
        <v>660</v>
      </c>
      <c r="I196" t="s">
        <v>41</v>
      </c>
      <c r="J196" t="s">
        <v>661</v>
      </c>
      <c r="K196" t="s">
        <v>43</v>
      </c>
      <c r="L196">
        <v>2</v>
      </c>
      <c r="M196" t="s">
        <v>44</v>
      </c>
      <c r="N196" t="s">
        <v>45</v>
      </c>
      <c r="O196" t="s">
        <v>46</v>
      </c>
      <c r="P196" s="5">
        <v>1</v>
      </c>
      <c r="Q196" s="12">
        <v>44746.791041666664</v>
      </c>
      <c r="R196" s="13">
        <v>44748</v>
      </c>
      <c r="T196" t="s">
        <v>47</v>
      </c>
      <c r="U196" t="s">
        <v>48</v>
      </c>
      <c r="V196" t="s">
        <v>76</v>
      </c>
      <c r="Y196" t="s">
        <v>662</v>
      </c>
      <c r="Z196">
        <v>20100</v>
      </c>
      <c r="AA196" t="s">
        <v>47</v>
      </c>
      <c r="AB196" t="s">
        <v>48</v>
      </c>
      <c r="AC196" t="s">
        <v>53</v>
      </c>
      <c r="AD196" s="16">
        <f t="shared" ref="AD196:AD223" si="37">IF(P196&lt;=1,7,7+0.8*ROUNDUP(P196-1,0))</f>
        <v>7</v>
      </c>
      <c r="AE196" s="15">
        <v>0</v>
      </c>
      <c r="AF196" s="15">
        <v>0</v>
      </c>
      <c r="AG196" s="15">
        <v>0</v>
      </c>
      <c r="AH196" s="15">
        <v>0</v>
      </c>
      <c r="AI196" s="15">
        <f t="shared" si="35"/>
        <v>0.42</v>
      </c>
      <c r="AJ196" s="15">
        <f t="shared" si="36"/>
        <v>7.42</v>
      </c>
      <c r="AK196" t="s">
        <v>47</v>
      </c>
    </row>
    <row r="197" spans="1:37" ht="15" customHeight="1" x14ac:dyDescent="0.35">
      <c r="A197">
        <v>690929</v>
      </c>
      <c r="B197" t="s">
        <v>37</v>
      </c>
      <c r="C197" t="s">
        <v>38</v>
      </c>
      <c r="D197" s="9" t="s">
        <v>39</v>
      </c>
      <c r="E197" s="10" t="s">
        <v>37</v>
      </c>
      <c r="F197" s="11"/>
      <c r="G197" t="s">
        <v>663</v>
      </c>
      <c r="I197" t="s">
        <v>41</v>
      </c>
      <c r="J197" t="s">
        <v>664</v>
      </c>
      <c r="K197" t="s">
        <v>43</v>
      </c>
      <c r="L197">
        <v>2</v>
      </c>
      <c r="M197" t="s">
        <v>44</v>
      </c>
      <c r="N197" t="s">
        <v>45</v>
      </c>
      <c r="O197" t="s">
        <v>46</v>
      </c>
      <c r="P197" s="5">
        <v>1</v>
      </c>
      <c r="Q197" s="12">
        <v>44745.727361111109</v>
      </c>
      <c r="R197" s="13">
        <v>44748</v>
      </c>
      <c r="T197" t="s">
        <v>47</v>
      </c>
      <c r="U197" t="s">
        <v>48</v>
      </c>
      <c r="V197" t="s">
        <v>62</v>
      </c>
      <c r="Y197" t="s">
        <v>665</v>
      </c>
      <c r="Z197">
        <v>81100</v>
      </c>
      <c r="AA197" t="s">
        <v>47</v>
      </c>
      <c r="AB197" t="s">
        <v>64</v>
      </c>
      <c r="AC197" t="s">
        <v>53</v>
      </c>
      <c r="AD197" s="16">
        <f t="shared" si="37"/>
        <v>7</v>
      </c>
      <c r="AE197" s="15">
        <v>0</v>
      </c>
      <c r="AF197" s="15">
        <v>0</v>
      </c>
      <c r="AG197" s="15">
        <v>0</v>
      </c>
      <c r="AH197" s="15">
        <v>0</v>
      </c>
      <c r="AI197" s="15">
        <f t="shared" si="35"/>
        <v>0.42</v>
      </c>
      <c r="AJ197" s="15">
        <f t="shared" si="36"/>
        <v>7.42</v>
      </c>
      <c r="AK197" t="s">
        <v>47</v>
      </c>
    </row>
    <row r="198" spans="1:37" ht="15" customHeight="1" x14ac:dyDescent="0.35">
      <c r="A198">
        <v>690929</v>
      </c>
      <c r="B198" t="s">
        <v>37</v>
      </c>
      <c r="C198" t="s">
        <v>38</v>
      </c>
      <c r="D198" s="9" t="s">
        <v>39</v>
      </c>
      <c r="E198" s="10" t="s">
        <v>37</v>
      </c>
      <c r="F198" s="11"/>
      <c r="G198" t="s">
        <v>666</v>
      </c>
      <c r="I198" t="s">
        <v>41</v>
      </c>
      <c r="J198" t="s">
        <v>667</v>
      </c>
      <c r="K198" t="s">
        <v>43</v>
      </c>
      <c r="L198">
        <v>2</v>
      </c>
      <c r="M198" t="s">
        <v>44</v>
      </c>
      <c r="N198" t="s">
        <v>45</v>
      </c>
      <c r="O198" t="s">
        <v>46</v>
      </c>
      <c r="P198" s="5">
        <v>14</v>
      </c>
      <c r="Q198" s="12">
        <v>44745.714409722219</v>
      </c>
      <c r="R198" s="13">
        <v>44748</v>
      </c>
      <c r="T198" t="s">
        <v>47</v>
      </c>
      <c r="U198" t="s">
        <v>48</v>
      </c>
      <c r="V198" t="s">
        <v>62</v>
      </c>
      <c r="Y198" t="s">
        <v>156</v>
      </c>
      <c r="Z198">
        <v>85000</v>
      </c>
      <c r="AA198" t="s">
        <v>47</v>
      </c>
      <c r="AB198" t="s">
        <v>64</v>
      </c>
      <c r="AC198" t="s">
        <v>53</v>
      </c>
      <c r="AD198" s="16">
        <f t="shared" si="37"/>
        <v>17.399999999999999</v>
      </c>
      <c r="AE198" s="15">
        <v>0</v>
      </c>
      <c r="AF198" s="15">
        <v>0</v>
      </c>
      <c r="AG198" s="15">
        <v>0</v>
      </c>
      <c r="AH198" s="15">
        <v>0</v>
      </c>
      <c r="AI198" s="15">
        <f t="shared" si="35"/>
        <v>1.0439999999999998</v>
      </c>
      <c r="AJ198" s="15">
        <f t="shared" si="36"/>
        <v>18.443999999999999</v>
      </c>
      <c r="AK198" t="s">
        <v>47</v>
      </c>
    </row>
    <row r="199" spans="1:37" ht="15" customHeight="1" x14ac:dyDescent="0.35">
      <c r="A199">
        <v>690929</v>
      </c>
      <c r="B199" t="s">
        <v>37</v>
      </c>
      <c r="C199" t="s">
        <v>38</v>
      </c>
      <c r="D199" s="9" t="s">
        <v>39</v>
      </c>
      <c r="E199" s="10" t="s">
        <v>37</v>
      </c>
      <c r="F199" s="11"/>
      <c r="G199" t="s">
        <v>668</v>
      </c>
      <c r="I199" t="s">
        <v>41</v>
      </c>
      <c r="J199" t="s">
        <v>667</v>
      </c>
      <c r="K199" t="s">
        <v>43</v>
      </c>
      <c r="L199">
        <v>2</v>
      </c>
      <c r="M199" t="s">
        <v>44</v>
      </c>
      <c r="N199" t="s">
        <v>45</v>
      </c>
      <c r="O199" t="s">
        <v>46</v>
      </c>
      <c r="P199" s="5">
        <v>11</v>
      </c>
      <c r="Q199" s="12">
        <v>44745.713229166664</v>
      </c>
      <c r="R199" s="13">
        <v>44748</v>
      </c>
      <c r="T199" t="s">
        <v>47</v>
      </c>
      <c r="U199" t="s">
        <v>48</v>
      </c>
      <c r="V199" t="s">
        <v>62</v>
      </c>
      <c r="Y199" t="s">
        <v>156</v>
      </c>
      <c r="Z199">
        <v>85000</v>
      </c>
      <c r="AA199" t="s">
        <v>47</v>
      </c>
      <c r="AB199" t="s">
        <v>64</v>
      </c>
      <c r="AC199" t="s">
        <v>53</v>
      </c>
      <c r="AD199" s="16">
        <f t="shared" si="37"/>
        <v>15</v>
      </c>
      <c r="AE199" s="15">
        <v>0</v>
      </c>
      <c r="AF199" s="15">
        <v>0</v>
      </c>
      <c r="AG199" s="15">
        <v>0</v>
      </c>
      <c r="AH199" s="15">
        <v>0</v>
      </c>
      <c r="AI199" s="15">
        <f t="shared" si="35"/>
        <v>0.89999999999999991</v>
      </c>
      <c r="AJ199" s="15">
        <f t="shared" si="36"/>
        <v>15.9</v>
      </c>
      <c r="AK199" t="s">
        <v>47</v>
      </c>
    </row>
    <row r="200" spans="1:37" ht="15" customHeight="1" x14ac:dyDescent="0.35">
      <c r="A200">
        <v>690929</v>
      </c>
      <c r="B200" t="s">
        <v>37</v>
      </c>
      <c r="C200" t="s">
        <v>38</v>
      </c>
      <c r="D200" s="9" t="s">
        <v>39</v>
      </c>
      <c r="E200" s="10" t="s">
        <v>37</v>
      </c>
      <c r="F200" s="11"/>
      <c r="G200" t="s">
        <v>669</v>
      </c>
      <c r="I200" t="s">
        <v>41</v>
      </c>
      <c r="J200" t="s">
        <v>667</v>
      </c>
      <c r="K200" t="s">
        <v>43</v>
      </c>
      <c r="L200">
        <v>2</v>
      </c>
      <c r="M200" t="s">
        <v>44</v>
      </c>
      <c r="N200" t="s">
        <v>45</v>
      </c>
      <c r="O200" t="s">
        <v>46</v>
      </c>
      <c r="P200" s="5">
        <v>18</v>
      </c>
      <c r="Q200" s="12">
        <v>44745.715810185182</v>
      </c>
      <c r="R200" s="13">
        <v>44748</v>
      </c>
      <c r="T200" t="s">
        <v>47</v>
      </c>
      <c r="U200" t="s">
        <v>48</v>
      </c>
      <c r="V200" t="s">
        <v>62</v>
      </c>
      <c r="Y200" t="s">
        <v>156</v>
      </c>
      <c r="Z200">
        <v>85000</v>
      </c>
      <c r="AA200" t="s">
        <v>47</v>
      </c>
      <c r="AB200" t="s">
        <v>64</v>
      </c>
      <c r="AC200" t="s">
        <v>53</v>
      </c>
      <c r="AD200" s="16">
        <f t="shared" si="37"/>
        <v>20.6</v>
      </c>
      <c r="AE200" s="15">
        <v>0</v>
      </c>
      <c r="AF200" s="15">
        <v>0</v>
      </c>
      <c r="AG200" s="15">
        <v>0</v>
      </c>
      <c r="AH200" s="15">
        <v>0</v>
      </c>
      <c r="AI200" s="15">
        <f t="shared" si="35"/>
        <v>1.236</v>
      </c>
      <c r="AJ200" s="15">
        <f t="shared" si="36"/>
        <v>21.836000000000002</v>
      </c>
      <c r="AK200" t="s">
        <v>47</v>
      </c>
    </row>
    <row r="201" spans="1:37" ht="15" customHeight="1" x14ac:dyDescent="0.35">
      <c r="A201">
        <v>690929</v>
      </c>
      <c r="B201" t="s">
        <v>37</v>
      </c>
      <c r="C201" t="s">
        <v>38</v>
      </c>
      <c r="D201" s="9" t="s">
        <v>39</v>
      </c>
      <c r="E201" s="10" t="s">
        <v>37</v>
      </c>
      <c r="F201" s="11"/>
      <c r="G201" t="s">
        <v>670</v>
      </c>
      <c r="I201" t="s">
        <v>41</v>
      </c>
      <c r="J201" t="s">
        <v>671</v>
      </c>
      <c r="K201" t="s">
        <v>43</v>
      </c>
      <c r="L201">
        <v>2</v>
      </c>
      <c r="M201" t="s">
        <v>44</v>
      </c>
      <c r="N201" t="s">
        <v>45</v>
      </c>
      <c r="O201" t="s">
        <v>46</v>
      </c>
      <c r="P201" s="5">
        <v>1</v>
      </c>
      <c r="Q201" s="12">
        <v>44745.7815162037</v>
      </c>
      <c r="R201" s="13">
        <v>44748</v>
      </c>
      <c r="T201" t="s">
        <v>47</v>
      </c>
      <c r="U201" t="s">
        <v>48</v>
      </c>
      <c r="V201" t="s">
        <v>176</v>
      </c>
      <c r="Y201" t="s">
        <v>672</v>
      </c>
      <c r="Z201">
        <v>75450</v>
      </c>
      <c r="AA201" t="s">
        <v>47</v>
      </c>
      <c r="AB201" t="s">
        <v>64</v>
      </c>
      <c r="AC201" t="s">
        <v>53</v>
      </c>
      <c r="AD201" s="16">
        <f t="shared" si="37"/>
        <v>7</v>
      </c>
      <c r="AE201" s="15">
        <v>0</v>
      </c>
      <c r="AF201" s="15">
        <v>0</v>
      </c>
      <c r="AG201" s="15">
        <v>0</v>
      </c>
      <c r="AH201" s="15">
        <v>0</v>
      </c>
      <c r="AI201" s="15">
        <f t="shared" si="35"/>
        <v>0.42</v>
      </c>
      <c r="AJ201" s="15">
        <f t="shared" si="36"/>
        <v>7.42</v>
      </c>
      <c r="AK201" t="s">
        <v>47</v>
      </c>
    </row>
    <row r="202" spans="1:37" ht="15" customHeight="1" x14ac:dyDescent="0.35">
      <c r="A202">
        <v>690929</v>
      </c>
      <c r="B202" t="s">
        <v>37</v>
      </c>
      <c r="C202" t="s">
        <v>38</v>
      </c>
      <c r="D202" s="9" t="s">
        <v>39</v>
      </c>
      <c r="E202" s="10" t="s">
        <v>37</v>
      </c>
      <c r="F202" s="11"/>
      <c r="G202" t="s">
        <v>673</v>
      </c>
      <c r="I202" t="s">
        <v>41</v>
      </c>
      <c r="J202" t="s">
        <v>674</v>
      </c>
      <c r="K202" t="s">
        <v>43</v>
      </c>
      <c r="L202">
        <v>2</v>
      </c>
      <c r="M202" t="s">
        <v>44</v>
      </c>
      <c r="N202" t="s">
        <v>45</v>
      </c>
      <c r="O202" t="s">
        <v>46</v>
      </c>
      <c r="P202" s="5">
        <v>5</v>
      </c>
      <c r="Q202" s="12">
        <v>44746.517870370371</v>
      </c>
      <c r="R202" s="13">
        <v>44748</v>
      </c>
      <c r="T202" t="s">
        <v>47</v>
      </c>
      <c r="U202" t="s">
        <v>48</v>
      </c>
      <c r="V202" t="s">
        <v>85</v>
      </c>
      <c r="Y202" t="s">
        <v>675</v>
      </c>
      <c r="Z202">
        <v>13100</v>
      </c>
      <c r="AA202" t="s">
        <v>47</v>
      </c>
      <c r="AB202" t="s">
        <v>64</v>
      </c>
      <c r="AC202" t="s">
        <v>53</v>
      </c>
      <c r="AD202" s="16">
        <f t="shared" si="37"/>
        <v>10.199999999999999</v>
      </c>
      <c r="AE202" s="15">
        <v>0</v>
      </c>
      <c r="AF202" s="15">
        <v>0</v>
      </c>
      <c r="AG202" s="15">
        <v>0</v>
      </c>
      <c r="AH202" s="15">
        <v>0</v>
      </c>
      <c r="AI202" s="15">
        <f t="shared" si="35"/>
        <v>0.61199999999999999</v>
      </c>
      <c r="AJ202" s="15">
        <f t="shared" si="36"/>
        <v>10.811999999999999</v>
      </c>
      <c r="AK202" t="s">
        <v>47</v>
      </c>
    </row>
    <row r="203" spans="1:37" ht="15" customHeight="1" x14ac:dyDescent="0.35">
      <c r="A203">
        <v>690929</v>
      </c>
      <c r="B203" t="s">
        <v>37</v>
      </c>
      <c r="C203" t="s">
        <v>38</v>
      </c>
      <c r="D203" s="9" t="s">
        <v>39</v>
      </c>
      <c r="E203" s="10" t="s">
        <v>37</v>
      </c>
      <c r="F203" s="11"/>
      <c r="G203" t="s">
        <v>676</v>
      </c>
      <c r="I203" t="s">
        <v>41</v>
      </c>
      <c r="J203" t="s">
        <v>677</v>
      </c>
      <c r="K203" t="s">
        <v>43</v>
      </c>
      <c r="L203">
        <v>2</v>
      </c>
      <c r="M203" t="s">
        <v>44</v>
      </c>
      <c r="N203" t="s">
        <v>45</v>
      </c>
      <c r="O203" t="s">
        <v>46</v>
      </c>
      <c r="P203" s="5">
        <v>1</v>
      </c>
      <c r="Q203" s="12">
        <v>44745.725532407407</v>
      </c>
      <c r="R203" s="13">
        <v>44748</v>
      </c>
      <c r="T203" t="s">
        <v>47</v>
      </c>
      <c r="U203" t="s">
        <v>48</v>
      </c>
      <c r="V203" t="s">
        <v>114</v>
      </c>
      <c r="Y203" t="s">
        <v>678</v>
      </c>
      <c r="Z203">
        <v>40170</v>
      </c>
      <c r="AA203" t="s">
        <v>47</v>
      </c>
      <c r="AB203" t="s">
        <v>64</v>
      </c>
      <c r="AC203" t="s">
        <v>53</v>
      </c>
      <c r="AD203" s="16">
        <f t="shared" si="37"/>
        <v>7</v>
      </c>
      <c r="AE203" s="15">
        <v>0</v>
      </c>
      <c r="AF203" s="15">
        <v>0</v>
      </c>
      <c r="AG203" s="15">
        <v>0</v>
      </c>
      <c r="AH203" s="15">
        <v>0</v>
      </c>
      <c r="AI203" s="15">
        <f t="shared" si="35"/>
        <v>0.42</v>
      </c>
      <c r="AJ203" s="15">
        <f t="shared" si="36"/>
        <v>7.42</v>
      </c>
      <c r="AK203" t="s">
        <v>47</v>
      </c>
    </row>
    <row r="204" spans="1:37" ht="15" customHeight="1" x14ac:dyDescent="0.35">
      <c r="A204">
        <v>690929</v>
      </c>
      <c r="B204" t="s">
        <v>37</v>
      </c>
      <c r="C204" t="s">
        <v>38</v>
      </c>
      <c r="D204" s="9" t="s">
        <v>39</v>
      </c>
      <c r="E204" s="10" t="s">
        <v>37</v>
      </c>
      <c r="F204" s="11"/>
      <c r="G204" t="s">
        <v>679</v>
      </c>
      <c r="I204" t="s">
        <v>41</v>
      </c>
      <c r="J204" t="s">
        <v>680</v>
      </c>
      <c r="K204" t="s">
        <v>43</v>
      </c>
      <c r="L204">
        <v>2</v>
      </c>
      <c r="M204" t="s">
        <v>44</v>
      </c>
      <c r="N204" t="s">
        <v>45</v>
      </c>
      <c r="O204" t="s">
        <v>46</v>
      </c>
      <c r="P204" s="5">
        <v>1</v>
      </c>
      <c r="Q204" s="12">
        <v>44746.800902777781</v>
      </c>
      <c r="R204" s="13">
        <v>44748</v>
      </c>
      <c r="T204" t="s">
        <v>47</v>
      </c>
      <c r="U204" t="s">
        <v>48</v>
      </c>
      <c r="V204" t="s">
        <v>76</v>
      </c>
      <c r="Y204" t="s">
        <v>681</v>
      </c>
      <c r="Z204">
        <v>20000</v>
      </c>
      <c r="AA204" t="s">
        <v>47</v>
      </c>
      <c r="AB204" t="s">
        <v>48</v>
      </c>
      <c r="AC204" t="s">
        <v>53</v>
      </c>
      <c r="AD204" s="16">
        <f t="shared" si="37"/>
        <v>7</v>
      </c>
      <c r="AE204" s="15">
        <v>0</v>
      </c>
      <c r="AF204" s="15">
        <v>0</v>
      </c>
      <c r="AG204" s="15">
        <v>0</v>
      </c>
      <c r="AH204" s="15">
        <v>0</v>
      </c>
      <c r="AI204" s="15">
        <f t="shared" si="35"/>
        <v>0.42</v>
      </c>
      <c r="AJ204" s="15">
        <f t="shared" si="36"/>
        <v>7.42</v>
      </c>
      <c r="AK204" t="s">
        <v>47</v>
      </c>
    </row>
    <row r="205" spans="1:37" ht="15" customHeight="1" x14ac:dyDescent="0.35">
      <c r="A205">
        <v>690929</v>
      </c>
      <c r="B205" t="s">
        <v>37</v>
      </c>
      <c r="C205" t="s">
        <v>38</v>
      </c>
      <c r="D205" s="9" t="s">
        <v>39</v>
      </c>
      <c r="E205" s="10" t="s">
        <v>37</v>
      </c>
      <c r="F205" s="11"/>
      <c r="G205" t="s">
        <v>682</v>
      </c>
      <c r="I205" t="s">
        <v>41</v>
      </c>
      <c r="J205" t="s">
        <v>667</v>
      </c>
      <c r="K205" t="s">
        <v>43</v>
      </c>
      <c r="L205">
        <v>2</v>
      </c>
      <c r="M205" t="s">
        <v>44</v>
      </c>
      <c r="N205" t="s">
        <v>45</v>
      </c>
      <c r="O205" t="s">
        <v>46</v>
      </c>
      <c r="P205" s="5">
        <v>18</v>
      </c>
      <c r="Q205" s="12">
        <v>44745.716909722221</v>
      </c>
      <c r="R205" s="13">
        <v>44748</v>
      </c>
      <c r="T205" t="s">
        <v>47</v>
      </c>
      <c r="U205" t="s">
        <v>48</v>
      </c>
      <c r="V205" t="s">
        <v>62</v>
      </c>
      <c r="Y205" t="s">
        <v>156</v>
      </c>
      <c r="Z205">
        <v>85000</v>
      </c>
      <c r="AA205" t="s">
        <v>47</v>
      </c>
      <c r="AB205" t="s">
        <v>64</v>
      </c>
      <c r="AC205" t="s">
        <v>53</v>
      </c>
      <c r="AD205" s="16">
        <f t="shared" si="37"/>
        <v>20.6</v>
      </c>
      <c r="AE205" s="15">
        <v>0</v>
      </c>
      <c r="AF205" s="15">
        <v>0</v>
      </c>
      <c r="AG205" s="15">
        <v>0</v>
      </c>
      <c r="AH205" s="15">
        <v>0</v>
      </c>
      <c r="AI205" s="15">
        <f t="shared" si="35"/>
        <v>1.236</v>
      </c>
      <c r="AJ205" s="15">
        <f t="shared" si="36"/>
        <v>21.836000000000002</v>
      </c>
      <c r="AK205" t="s">
        <v>47</v>
      </c>
    </row>
    <row r="206" spans="1:37" ht="15" customHeight="1" x14ac:dyDescent="0.35">
      <c r="A206">
        <v>690929</v>
      </c>
      <c r="B206" t="s">
        <v>37</v>
      </c>
      <c r="C206" t="s">
        <v>38</v>
      </c>
      <c r="D206" s="9" t="s">
        <v>39</v>
      </c>
      <c r="E206" s="10" t="s">
        <v>37</v>
      </c>
      <c r="F206" s="11"/>
      <c r="G206" t="s">
        <v>683</v>
      </c>
      <c r="I206" t="s">
        <v>41</v>
      </c>
      <c r="J206" t="s">
        <v>684</v>
      </c>
      <c r="K206" t="s">
        <v>43</v>
      </c>
      <c r="L206">
        <v>2</v>
      </c>
      <c r="M206" t="s">
        <v>44</v>
      </c>
      <c r="N206" t="s">
        <v>45</v>
      </c>
      <c r="O206" t="s">
        <v>46</v>
      </c>
      <c r="P206" s="5">
        <v>1</v>
      </c>
      <c r="Q206" s="12">
        <v>44746.793611111112</v>
      </c>
      <c r="R206" s="13">
        <v>44748</v>
      </c>
      <c r="T206" t="s">
        <v>47</v>
      </c>
      <c r="U206" t="s">
        <v>48</v>
      </c>
      <c r="V206" t="s">
        <v>96</v>
      </c>
      <c r="Y206" t="s">
        <v>685</v>
      </c>
      <c r="Z206">
        <v>17000</v>
      </c>
      <c r="AA206" t="s">
        <v>47</v>
      </c>
      <c r="AB206" t="s">
        <v>56</v>
      </c>
      <c r="AC206" t="s">
        <v>53</v>
      </c>
      <c r="AD206" s="16">
        <f t="shared" si="37"/>
        <v>7</v>
      </c>
      <c r="AE206" s="15">
        <v>0</v>
      </c>
      <c r="AF206" s="15">
        <v>0</v>
      </c>
      <c r="AG206" s="15">
        <v>0</v>
      </c>
      <c r="AH206" s="15">
        <v>0</v>
      </c>
      <c r="AI206" s="15">
        <f t="shared" si="35"/>
        <v>0.42</v>
      </c>
      <c r="AJ206" s="15">
        <f t="shared" si="36"/>
        <v>7.42</v>
      </c>
      <c r="AK206" t="s">
        <v>47</v>
      </c>
    </row>
    <row r="207" spans="1:37" ht="15" customHeight="1" x14ac:dyDescent="0.35">
      <c r="A207">
        <v>690929</v>
      </c>
      <c r="B207" t="s">
        <v>37</v>
      </c>
      <c r="C207" t="s">
        <v>38</v>
      </c>
      <c r="D207" s="9" t="s">
        <v>39</v>
      </c>
      <c r="E207" s="10" t="s">
        <v>37</v>
      </c>
      <c r="F207" s="11"/>
      <c r="G207" t="s">
        <v>686</v>
      </c>
      <c r="I207" t="s">
        <v>41</v>
      </c>
      <c r="J207" t="s">
        <v>687</v>
      </c>
      <c r="K207" t="s">
        <v>43</v>
      </c>
      <c r="L207">
        <v>2</v>
      </c>
      <c r="M207" t="s">
        <v>44</v>
      </c>
      <c r="N207" t="s">
        <v>45</v>
      </c>
      <c r="O207" t="s">
        <v>46</v>
      </c>
      <c r="P207" s="5">
        <v>10</v>
      </c>
      <c r="Q207" s="12">
        <v>44746.515347222223</v>
      </c>
      <c r="R207" s="13">
        <v>44748</v>
      </c>
      <c r="T207" t="s">
        <v>47</v>
      </c>
      <c r="U207" t="s">
        <v>48</v>
      </c>
      <c r="V207" t="s">
        <v>62</v>
      </c>
      <c r="Y207" t="s">
        <v>688</v>
      </c>
      <c r="Z207">
        <v>86400</v>
      </c>
      <c r="AA207" t="s">
        <v>47</v>
      </c>
      <c r="AB207" t="s">
        <v>64</v>
      </c>
      <c r="AC207" t="s">
        <v>53</v>
      </c>
      <c r="AD207" s="16">
        <f t="shared" si="37"/>
        <v>14.2</v>
      </c>
      <c r="AE207" s="15">
        <v>0</v>
      </c>
      <c r="AF207" s="15">
        <v>0</v>
      </c>
      <c r="AG207" s="15">
        <v>0</v>
      </c>
      <c r="AH207" s="15">
        <v>0</v>
      </c>
      <c r="AI207" s="15">
        <f t="shared" si="35"/>
        <v>0.85199999999999998</v>
      </c>
      <c r="AJ207" s="15">
        <f t="shared" si="36"/>
        <v>15.052</v>
      </c>
      <c r="AK207" t="s">
        <v>47</v>
      </c>
    </row>
    <row r="208" spans="1:37" ht="15" customHeight="1" x14ac:dyDescent="0.35">
      <c r="A208">
        <v>690929</v>
      </c>
      <c r="B208" t="s">
        <v>37</v>
      </c>
      <c r="C208" t="s">
        <v>38</v>
      </c>
      <c r="D208" s="9" t="s">
        <v>39</v>
      </c>
      <c r="E208" s="10" t="s">
        <v>37</v>
      </c>
      <c r="F208" s="11"/>
      <c r="G208" t="s">
        <v>689</v>
      </c>
      <c r="I208" t="s">
        <v>41</v>
      </c>
      <c r="J208" t="s">
        <v>690</v>
      </c>
      <c r="K208" t="s">
        <v>43</v>
      </c>
      <c r="L208">
        <v>2</v>
      </c>
      <c r="M208" t="s">
        <v>44</v>
      </c>
      <c r="N208" t="s">
        <v>45</v>
      </c>
      <c r="O208" t="s">
        <v>46</v>
      </c>
      <c r="P208" s="5">
        <v>1</v>
      </c>
      <c r="Q208" s="12">
        <v>44746.582407407404</v>
      </c>
      <c r="R208" s="13">
        <v>44748</v>
      </c>
      <c r="T208" t="s">
        <v>47</v>
      </c>
      <c r="U208" t="s">
        <v>48</v>
      </c>
      <c r="V208" t="s">
        <v>128</v>
      </c>
      <c r="Y208" t="s">
        <v>691</v>
      </c>
      <c r="Z208">
        <v>56000</v>
      </c>
      <c r="AA208" t="s">
        <v>47</v>
      </c>
      <c r="AB208" t="s">
        <v>64</v>
      </c>
      <c r="AC208" t="s">
        <v>53</v>
      </c>
      <c r="AD208" s="16">
        <f t="shared" si="37"/>
        <v>7</v>
      </c>
      <c r="AE208" s="15">
        <v>0</v>
      </c>
      <c r="AF208" s="15">
        <v>0</v>
      </c>
      <c r="AG208" s="15">
        <v>0</v>
      </c>
      <c r="AH208" s="15">
        <v>0</v>
      </c>
      <c r="AI208" s="15">
        <f t="shared" si="35"/>
        <v>0.42</v>
      </c>
      <c r="AJ208" s="15">
        <f t="shared" si="36"/>
        <v>7.42</v>
      </c>
      <c r="AK208" t="s">
        <v>47</v>
      </c>
    </row>
    <row r="209" spans="1:37" ht="15" customHeight="1" x14ac:dyDescent="0.35">
      <c r="A209">
        <v>690929</v>
      </c>
      <c r="B209" t="s">
        <v>37</v>
      </c>
      <c r="C209" t="s">
        <v>38</v>
      </c>
      <c r="D209" s="9" t="s">
        <v>39</v>
      </c>
      <c r="E209" s="10" t="s">
        <v>37</v>
      </c>
      <c r="F209" s="11"/>
      <c r="G209" t="s">
        <v>692</v>
      </c>
      <c r="I209" t="s">
        <v>41</v>
      </c>
      <c r="J209" t="s">
        <v>693</v>
      </c>
      <c r="K209" t="s">
        <v>43</v>
      </c>
      <c r="L209">
        <v>2</v>
      </c>
      <c r="M209" t="s">
        <v>44</v>
      </c>
      <c r="N209" t="s">
        <v>45</v>
      </c>
      <c r="O209" t="s">
        <v>46</v>
      </c>
      <c r="P209" s="5">
        <v>1</v>
      </c>
      <c r="Q209" s="12">
        <v>44746.572175925925</v>
      </c>
      <c r="R209" s="13">
        <v>44748</v>
      </c>
      <c r="T209" t="s">
        <v>47</v>
      </c>
      <c r="U209" t="s">
        <v>48</v>
      </c>
      <c r="V209" t="s">
        <v>85</v>
      </c>
      <c r="Y209" t="s">
        <v>694</v>
      </c>
      <c r="Z209">
        <v>11000</v>
      </c>
      <c r="AA209" t="s">
        <v>47</v>
      </c>
      <c r="AB209" t="s">
        <v>64</v>
      </c>
      <c r="AC209" t="s">
        <v>53</v>
      </c>
      <c r="AD209" s="16">
        <f t="shared" si="37"/>
        <v>7</v>
      </c>
      <c r="AE209" s="15">
        <v>0</v>
      </c>
      <c r="AF209" s="15">
        <v>0</v>
      </c>
      <c r="AG209" s="15">
        <v>0</v>
      </c>
      <c r="AH209" s="15">
        <v>0</v>
      </c>
      <c r="AI209" s="15">
        <f t="shared" si="35"/>
        <v>0.42</v>
      </c>
      <c r="AJ209" s="15">
        <f t="shared" si="36"/>
        <v>7.42</v>
      </c>
      <c r="AK209" t="s">
        <v>47</v>
      </c>
    </row>
    <row r="210" spans="1:37" ht="15" customHeight="1" x14ac:dyDescent="0.35">
      <c r="A210">
        <v>690929</v>
      </c>
      <c r="B210" t="s">
        <v>37</v>
      </c>
      <c r="C210" t="s">
        <v>38</v>
      </c>
      <c r="D210" s="9" t="s">
        <v>39</v>
      </c>
      <c r="E210" s="10" t="s">
        <v>37</v>
      </c>
      <c r="F210" s="11"/>
      <c r="G210" t="s">
        <v>695</v>
      </c>
      <c r="I210" t="s">
        <v>41</v>
      </c>
      <c r="J210" t="s">
        <v>696</v>
      </c>
      <c r="K210" t="s">
        <v>43</v>
      </c>
      <c r="L210">
        <v>2</v>
      </c>
      <c r="M210" t="s">
        <v>44</v>
      </c>
      <c r="N210" t="s">
        <v>45</v>
      </c>
      <c r="O210" t="s">
        <v>46</v>
      </c>
      <c r="P210" s="5">
        <v>1</v>
      </c>
      <c r="Q210" s="12">
        <v>44746.65896990741</v>
      </c>
      <c r="R210" s="13">
        <v>44748</v>
      </c>
      <c r="T210" t="s">
        <v>47</v>
      </c>
      <c r="U210" t="s">
        <v>48</v>
      </c>
      <c r="V210" t="s">
        <v>71</v>
      </c>
      <c r="Y210" t="s">
        <v>697</v>
      </c>
      <c r="Z210">
        <v>6010</v>
      </c>
      <c r="AA210" t="s">
        <v>47</v>
      </c>
      <c r="AB210" t="s">
        <v>64</v>
      </c>
      <c r="AC210" t="s">
        <v>53</v>
      </c>
      <c r="AD210" s="16">
        <f t="shared" si="37"/>
        <v>7</v>
      </c>
      <c r="AE210" s="15">
        <v>0</v>
      </c>
      <c r="AF210" s="15">
        <v>0</v>
      </c>
      <c r="AG210" s="15">
        <v>0</v>
      </c>
      <c r="AH210" s="15">
        <v>0</v>
      </c>
      <c r="AI210" s="15">
        <f t="shared" si="35"/>
        <v>0.42</v>
      </c>
      <c r="AJ210" s="15">
        <f t="shared" si="36"/>
        <v>7.42</v>
      </c>
      <c r="AK210" t="s">
        <v>47</v>
      </c>
    </row>
    <row r="211" spans="1:37" ht="15" customHeight="1" x14ac:dyDescent="0.35">
      <c r="A211">
        <v>690929</v>
      </c>
      <c r="B211" t="s">
        <v>37</v>
      </c>
      <c r="C211" t="s">
        <v>38</v>
      </c>
      <c r="D211" s="9" t="s">
        <v>39</v>
      </c>
      <c r="E211" s="10" t="s">
        <v>37</v>
      </c>
      <c r="F211" s="11"/>
      <c r="G211" t="s">
        <v>698</v>
      </c>
      <c r="I211" t="s">
        <v>41</v>
      </c>
      <c r="J211" t="s">
        <v>699</v>
      </c>
      <c r="K211" t="s">
        <v>43</v>
      </c>
      <c r="L211">
        <v>2</v>
      </c>
      <c r="M211" t="s">
        <v>44</v>
      </c>
      <c r="N211" t="s">
        <v>45</v>
      </c>
      <c r="O211" t="s">
        <v>46</v>
      </c>
      <c r="P211" s="5">
        <v>2</v>
      </c>
      <c r="Q211" s="12">
        <v>44746.528078703705</v>
      </c>
      <c r="R211" s="13">
        <v>44748</v>
      </c>
      <c r="T211" t="s">
        <v>47</v>
      </c>
      <c r="U211" t="s">
        <v>48</v>
      </c>
      <c r="V211" t="s">
        <v>62</v>
      </c>
      <c r="Y211" t="s">
        <v>700</v>
      </c>
      <c r="Z211">
        <v>85000</v>
      </c>
      <c r="AA211" t="s">
        <v>47</v>
      </c>
      <c r="AB211" t="s">
        <v>64</v>
      </c>
      <c r="AC211" t="s">
        <v>53</v>
      </c>
      <c r="AD211" s="16">
        <f t="shared" si="37"/>
        <v>7.8</v>
      </c>
      <c r="AE211" s="15">
        <v>0</v>
      </c>
      <c r="AF211" s="15">
        <v>0</v>
      </c>
      <c r="AG211" s="15">
        <v>0</v>
      </c>
      <c r="AH211" s="15">
        <v>0</v>
      </c>
      <c r="AI211" s="15">
        <f t="shared" si="35"/>
        <v>0.46799999999999997</v>
      </c>
      <c r="AJ211" s="15">
        <f t="shared" si="36"/>
        <v>8.2680000000000007</v>
      </c>
      <c r="AK211" t="s">
        <v>47</v>
      </c>
    </row>
    <row r="212" spans="1:37" ht="15" customHeight="1" x14ac:dyDescent="0.35">
      <c r="A212">
        <v>690929</v>
      </c>
      <c r="B212" t="s">
        <v>37</v>
      </c>
      <c r="C212" t="s">
        <v>38</v>
      </c>
      <c r="D212" s="9" t="s">
        <v>39</v>
      </c>
      <c r="E212" s="10" t="s">
        <v>37</v>
      </c>
      <c r="F212" s="11"/>
      <c r="G212" t="s">
        <v>701</v>
      </c>
      <c r="I212" t="s">
        <v>41</v>
      </c>
      <c r="J212" t="s">
        <v>702</v>
      </c>
      <c r="K212" t="s">
        <v>43</v>
      </c>
      <c r="L212">
        <v>2</v>
      </c>
      <c r="M212" t="s">
        <v>44</v>
      </c>
      <c r="N212" t="s">
        <v>45</v>
      </c>
      <c r="O212" t="s">
        <v>46</v>
      </c>
      <c r="P212" s="5">
        <v>2</v>
      </c>
      <c r="Q212" s="12">
        <v>44746.788159722222</v>
      </c>
      <c r="R212" s="13">
        <v>44748</v>
      </c>
      <c r="T212" t="s">
        <v>47</v>
      </c>
      <c r="U212" t="s">
        <v>48</v>
      </c>
      <c r="V212" t="s">
        <v>76</v>
      </c>
      <c r="Y212" t="s">
        <v>703</v>
      </c>
      <c r="Z212">
        <v>21100</v>
      </c>
      <c r="AA212" t="s">
        <v>47</v>
      </c>
      <c r="AB212" t="s">
        <v>48</v>
      </c>
      <c r="AC212" t="s">
        <v>53</v>
      </c>
      <c r="AD212" s="16">
        <f t="shared" si="37"/>
        <v>7.8</v>
      </c>
      <c r="AE212" s="15">
        <v>0</v>
      </c>
      <c r="AF212" s="15">
        <v>0</v>
      </c>
      <c r="AG212" s="15">
        <v>0</v>
      </c>
      <c r="AH212" s="15">
        <v>0</v>
      </c>
      <c r="AI212" s="15">
        <f t="shared" si="35"/>
        <v>0.46799999999999997</v>
      </c>
      <c r="AJ212" s="15">
        <f t="shared" si="36"/>
        <v>8.2680000000000007</v>
      </c>
      <c r="AK212" t="s">
        <v>47</v>
      </c>
    </row>
    <row r="213" spans="1:37" ht="15" customHeight="1" x14ac:dyDescent="0.35">
      <c r="A213">
        <v>690929</v>
      </c>
      <c r="B213" t="s">
        <v>37</v>
      </c>
      <c r="C213" t="s">
        <v>38</v>
      </c>
      <c r="D213" s="9" t="s">
        <v>39</v>
      </c>
      <c r="E213" s="10" t="s">
        <v>37</v>
      </c>
      <c r="F213" s="11"/>
      <c r="G213" t="s">
        <v>704</v>
      </c>
      <c r="I213" t="s">
        <v>41</v>
      </c>
      <c r="J213" t="s">
        <v>705</v>
      </c>
      <c r="K213" t="s">
        <v>43</v>
      </c>
      <c r="L213">
        <v>2</v>
      </c>
      <c r="M213" t="s">
        <v>44</v>
      </c>
      <c r="N213" t="s">
        <v>45</v>
      </c>
      <c r="O213" t="s">
        <v>46</v>
      </c>
      <c r="P213" s="5">
        <v>2</v>
      </c>
      <c r="Q213" s="12">
        <v>44746.529942129629</v>
      </c>
      <c r="R213" s="13">
        <v>44748</v>
      </c>
      <c r="T213" t="s">
        <v>47</v>
      </c>
      <c r="U213" t="s">
        <v>48</v>
      </c>
      <c r="V213" t="s">
        <v>138</v>
      </c>
      <c r="Y213" t="s">
        <v>706</v>
      </c>
      <c r="Z213">
        <v>70450</v>
      </c>
      <c r="AA213" t="s">
        <v>47</v>
      </c>
      <c r="AB213" t="s">
        <v>64</v>
      </c>
      <c r="AC213" t="s">
        <v>53</v>
      </c>
      <c r="AD213" s="16">
        <f t="shared" si="37"/>
        <v>7.8</v>
      </c>
      <c r="AE213" s="15">
        <v>0</v>
      </c>
      <c r="AF213" s="15">
        <v>0</v>
      </c>
      <c r="AG213" s="15">
        <v>0</v>
      </c>
      <c r="AH213" s="15">
        <v>0</v>
      </c>
      <c r="AI213" s="15">
        <f t="shared" si="35"/>
        <v>0.46799999999999997</v>
      </c>
      <c r="AJ213" s="15">
        <f t="shared" si="36"/>
        <v>8.2680000000000007</v>
      </c>
      <c r="AK213" t="s">
        <v>47</v>
      </c>
    </row>
    <row r="214" spans="1:37" ht="15" customHeight="1" x14ac:dyDescent="0.35">
      <c r="A214">
        <v>690929</v>
      </c>
      <c r="B214" t="s">
        <v>37</v>
      </c>
      <c r="C214" t="s">
        <v>38</v>
      </c>
      <c r="D214" s="9" t="s">
        <v>39</v>
      </c>
      <c r="E214" s="10" t="s">
        <v>37</v>
      </c>
      <c r="F214" s="11"/>
      <c r="G214" t="s">
        <v>707</v>
      </c>
      <c r="I214" t="s">
        <v>41</v>
      </c>
      <c r="J214" t="s">
        <v>708</v>
      </c>
      <c r="K214" t="s">
        <v>43</v>
      </c>
      <c r="L214">
        <v>2</v>
      </c>
      <c r="M214" t="s">
        <v>44</v>
      </c>
      <c r="N214" t="s">
        <v>45</v>
      </c>
      <c r="O214" t="s">
        <v>46</v>
      </c>
      <c r="P214" s="5">
        <v>1</v>
      </c>
      <c r="Q214" s="12">
        <v>44747.439571759256</v>
      </c>
      <c r="R214" s="13">
        <v>44748</v>
      </c>
      <c r="T214" t="s">
        <v>47</v>
      </c>
      <c r="U214" t="s">
        <v>48</v>
      </c>
      <c r="V214" t="s">
        <v>67</v>
      </c>
      <c r="Y214" t="s">
        <v>709</v>
      </c>
      <c r="Z214">
        <v>25300</v>
      </c>
      <c r="AA214" t="s">
        <v>47</v>
      </c>
      <c r="AB214" t="s">
        <v>48</v>
      </c>
      <c r="AC214" t="s">
        <v>53</v>
      </c>
      <c r="AD214" s="16">
        <f t="shared" si="37"/>
        <v>7</v>
      </c>
      <c r="AE214" s="15">
        <v>0</v>
      </c>
      <c r="AF214" s="15">
        <v>0</v>
      </c>
      <c r="AG214" s="15">
        <v>0</v>
      </c>
      <c r="AH214" s="15">
        <v>0</v>
      </c>
      <c r="AI214" s="15">
        <f t="shared" si="35"/>
        <v>0.42</v>
      </c>
      <c r="AJ214" s="15">
        <f t="shared" si="36"/>
        <v>7.42</v>
      </c>
      <c r="AK214" t="s">
        <v>47</v>
      </c>
    </row>
    <row r="215" spans="1:37" ht="15" customHeight="1" x14ac:dyDescent="0.35">
      <c r="A215">
        <v>690929</v>
      </c>
      <c r="B215" t="s">
        <v>37</v>
      </c>
      <c r="C215" t="s">
        <v>38</v>
      </c>
      <c r="D215" s="9" t="s">
        <v>39</v>
      </c>
      <c r="E215" s="10" t="s">
        <v>37</v>
      </c>
      <c r="F215" s="11"/>
      <c r="G215" t="s">
        <v>710</v>
      </c>
      <c r="I215" t="s">
        <v>41</v>
      </c>
      <c r="J215" t="s">
        <v>711</v>
      </c>
      <c r="K215" t="s">
        <v>43</v>
      </c>
      <c r="L215">
        <v>2</v>
      </c>
      <c r="M215" t="s">
        <v>44</v>
      </c>
      <c r="N215" t="s">
        <v>45</v>
      </c>
      <c r="O215" t="s">
        <v>46</v>
      </c>
      <c r="P215" s="5">
        <v>1</v>
      </c>
      <c r="Q215" s="12">
        <v>44746.664143518516</v>
      </c>
      <c r="R215" s="13">
        <v>44748</v>
      </c>
      <c r="T215" t="s">
        <v>47</v>
      </c>
      <c r="U215" t="s">
        <v>48</v>
      </c>
      <c r="V215" t="s">
        <v>114</v>
      </c>
      <c r="Y215" t="s">
        <v>712</v>
      </c>
      <c r="Z215">
        <v>68000</v>
      </c>
      <c r="AA215" t="s">
        <v>47</v>
      </c>
      <c r="AB215" t="s">
        <v>64</v>
      </c>
      <c r="AC215" t="s">
        <v>53</v>
      </c>
      <c r="AD215" s="16">
        <f t="shared" si="37"/>
        <v>7</v>
      </c>
      <c r="AE215" s="15">
        <v>0</v>
      </c>
      <c r="AF215" s="15">
        <v>0</v>
      </c>
      <c r="AG215" s="15">
        <v>0</v>
      </c>
      <c r="AH215" s="15">
        <v>0</v>
      </c>
      <c r="AI215" s="15">
        <f t="shared" si="35"/>
        <v>0.42</v>
      </c>
      <c r="AJ215" s="15">
        <f t="shared" si="36"/>
        <v>7.42</v>
      </c>
      <c r="AK215" t="s">
        <v>47</v>
      </c>
    </row>
    <row r="216" spans="1:37" ht="15" customHeight="1" x14ac:dyDescent="0.35">
      <c r="A216">
        <v>690929</v>
      </c>
      <c r="B216" t="s">
        <v>37</v>
      </c>
      <c r="C216" t="s">
        <v>38</v>
      </c>
      <c r="D216" s="9" t="s">
        <v>39</v>
      </c>
      <c r="E216" s="10" t="s">
        <v>37</v>
      </c>
      <c r="F216" s="11"/>
      <c r="G216" t="s">
        <v>713</v>
      </c>
      <c r="I216" t="s">
        <v>41</v>
      </c>
      <c r="J216" t="s">
        <v>714</v>
      </c>
      <c r="K216" t="s">
        <v>43</v>
      </c>
      <c r="L216">
        <v>2</v>
      </c>
      <c r="M216" t="s">
        <v>44</v>
      </c>
      <c r="N216" t="s">
        <v>45</v>
      </c>
      <c r="O216" t="s">
        <v>46</v>
      </c>
      <c r="P216" s="5">
        <v>1</v>
      </c>
      <c r="Q216" s="12">
        <v>44746.645300925928</v>
      </c>
      <c r="R216" s="13">
        <v>44748</v>
      </c>
      <c r="T216" t="s">
        <v>47</v>
      </c>
      <c r="U216" t="s">
        <v>48</v>
      </c>
      <c r="V216" t="s">
        <v>100</v>
      </c>
      <c r="Y216" t="s">
        <v>715</v>
      </c>
      <c r="Z216">
        <v>31650</v>
      </c>
      <c r="AA216" t="s">
        <v>47</v>
      </c>
      <c r="AB216" t="s">
        <v>64</v>
      </c>
      <c r="AC216" t="s">
        <v>53</v>
      </c>
      <c r="AD216" s="16">
        <f t="shared" si="37"/>
        <v>7</v>
      </c>
      <c r="AE216" s="15">
        <v>0</v>
      </c>
      <c r="AF216" s="15">
        <v>0</v>
      </c>
      <c r="AG216" s="15">
        <v>0</v>
      </c>
      <c r="AH216" s="15">
        <v>0</v>
      </c>
      <c r="AI216" s="15">
        <f t="shared" si="35"/>
        <v>0.42</v>
      </c>
      <c r="AJ216" s="15">
        <f t="shared" si="36"/>
        <v>7.42</v>
      </c>
      <c r="AK216" t="s">
        <v>47</v>
      </c>
    </row>
    <row r="217" spans="1:37" ht="15" customHeight="1" x14ac:dyDescent="0.35">
      <c r="A217">
        <v>690929</v>
      </c>
      <c r="B217" t="s">
        <v>37</v>
      </c>
      <c r="C217" t="s">
        <v>38</v>
      </c>
      <c r="D217" s="9" t="s">
        <v>39</v>
      </c>
      <c r="E217" s="10" t="s">
        <v>37</v>
      </c>
      <c r="F217" s="11"/>
      <c r="G217" t="s">
        <v>716</v>
      </c>
      <c r="I217" t="s">
        <v>41</v>
      </c>
      <c r="J217" t="s">
        <v>717</v>
      </c>
      <c r="K217" t="s">
        <v>43</v>
      </c>
      <c r="L217">
        <v>2</v>
      </c>
      <c r="M217" t="s">
        <v>44</v>
      </c>
      <c r="N217" t="s">
        <v>45</v>
      </c>
      <c r="O217" t="s">
        <v>46</v>
      </c>
      <c r="P217" s="5">
        <v>1</v>
      </c>
      <c r="Q217" s="12">
        <v>44746.583553240744</v>
      </c>
      <c r="R217" s="13">
        <v>44748</v>
      </c>
      <c r="T217" t="s">
        <v>47</v>
      </c>
      <c r="U217" t="s">
        <v>48</v>
      </c>
      <c r="V217" t="s">
        <v>100</v>
      </c>
      <c r="Y217" t="s">
        <v>718</v>
      </c>
      <c r="Z217">
        <v>33000</v>
      </c>
      <c r="AA217" t="s">
        <v>47</v>
      </c>
      <c r="AB217" t="s">
        <v>64</v>
      </c>
      <c r="AC217" t="s">
        <v>53</v>
      </c>
      <c r="AD217" s="16">
        <f t="shared" si="37"/>
        <v>7</v>
      </c>
      <c r="AE217" s="15">
        <v>0</v>
      </c>
      <c r="AF217" s="15">
        <v>0</v>
      </c>
      <c r="AG217" s="15">
        <v>0</v>
      </c>
      <c r="AH217" s="15">
        <v>0</v>
      </c>
      <c r="AI217" s="15">
        <f t="shared" si="35"/>
        <v>0.42</v>
      </c>
      <c r="AJ217" s="15">
        <f t="shared" si="36"/>
        <v>7.42</v>
      </c>
      <c r="AK217" t="s">
        <v>47</v>
      </c>
    </row>
    <row r="218" spans="1:37" ht="15" customHeight="1" x14ac:dyDescent="0.35">
      <c r="A218">
        <v>690929</v>
      </c>
      <c r="B218" t="s">
        <v>37</v>
      </c>
      <c r="C218" t="s">
        <v>38</v>
      </c>
      <c r="D218" s="9" t="s">
        <v>39</v>
      </c>
      <c r="E218" s="10" t="s">
        <v>37</v>
      </c>
      <c r="F218" s="11"/>
      <c r="G218" t="s">
        <v>719</v>
      </c>
      <c r="I218" t="s">
        <v>41</v>
      </c>
      <c r="J218" t="s">
        <v>720</v>
      </c>
      <c r="K218" t="s">
        <v>43</v>
      </c>
      <c r="L218">
        <v>2</v>
      </c>
      <c r="M218" t="s">
        <v>44</v>
      </c>
      <c r="N218" t="s">
        <v>45</v>
      </c>
      <c r="O218" t="s">
        <v>46</v>
      </c>
      <c r="P218" s="5">
        <v>1</v>
      </c>
      <c r="Q218" s="12">
        <v>44746.662974537037</v>
      </c>
      <c r="R218" s="13">
        <v>44748</v>
      </c>
      <c r="T218" t="s">
        <v>47</v>
      </c>
      <c r="U218" t="s">
        <v>48</v>
      </c>
      <c r="V218" t="s">
        <v>114</v>
      </c>
      <c r="Y218" t="s">
        <v>721</v>
      </c>
      <c r="Z218">
        <v>42700</v>
      </c>
      <c r="AA218" t="s">
        <v>47</v>
      </c>
      <c r="AB218" t="s">
        <v>64</v>
      </c>
      <c r="AC218" t="s">
        <v>53</v>
      </c>
      <c r="AD218" s="16">
        <f t="shared" si="37"/>
        <v>7</v>
      </c>
      <c r="AE218" s="15">
        <v>0</v>
      </c>
      <c r="AF218" s="15">
        <v>0</v>
      </c>
      <c r="AG218" s="15">
        <v>0</v>
      </c>
      <c r="AH218" s="15">
        <v>0</v>
      </c>
      <c r="AI218" s="15">
        <f t="shared" si="35"/>
        <v>0.42</v>
      </c>
      <c r="AJ218" s="15">
        <f t="shared" si="36"/>
        <v>7.42</v>
      </c>
      <c r="AK218" t="s">
        <v>47</v>
      </c>
    </row>
    <row r="219" spans="1:37" ht="15" customHeight="1" x14ac:dyDescent="0.35">
      <c r="A219">
        <v>690929</v>
      </c>
      <c r="B219" t="s">
        <v>37</v>
      </c>
      <c r="C219" t="s">
        <v>38</v>
      </c>
      <c r="D219" s="9" t="s">
        <v>39</v>
      </c>
      <c r="E219" s="10" t="s">
        <v>37</v>
      </c>
      <c r="F219" s="11"/>
      <c r="G219" t="s">
        <v>722</v>
      </c>
      <c r="I219" t="s">
        <v>41</v>
      </c>
      <c r="J219" t="s">
        <v>723</v>
      </c>
      <c r="K219" t="s">
        <v>43</v>
      </c>
      <c r="L219">
        <v>2</v>
      </c>
      <c r="M219" t="s">
        <v>44</v>
      </c>
      <c r="N219" t="s">
        <v>45</v>
      </c>
      <c r="O219" t="s">
        <v>46</v>
      </c>
      <c r="P219" s="5">
        <v>1</v>
      </c>
      <c r="Q219" s="12">
        <v>44746.768217592595</v>
      </c>
      <c r="R219" s="13">
        <v>44748</v>
      </c>
      <c r="T219" t="s">
        <v>47</v>
      </c>
      <c r="U219" t="s">
        <v>48</v>
      </c>
      <c r="V219" t="s">
        <v>96</v>
      </c>
      <c r="Y219" t="s">
        <v>724</v>
      </c>
      <c r="Z219">
        <v>17500</v>
      </c>
      <c r="AA219" t="s">
        <v>47</v>
      </c>
      <c r="AB219" t="s">
        <v>56</v>
      </c>
      <c r="AC219" t="s">
        <v>53</v>
      </c>
      <c r="AD219" s="16">
        <f t="shared" si="37"/>
        <v>7</v>
      </c>
      <c r="AE219" s="15">
        <v>0</v>
      </c>
      <c r="AF219" s="15">
        <v>0</v>
      </c>
      <c r="AG219" s="15">
        <v>0</v>
      </c>
      <c r="AH219" s="15">
        <v>0</v>
      </c>
      <c r="AI219" s="15">
        <f t="shared" si="35"/>
        <v>0.42</v>
      </c>
      <c r="AJ219" s="15">
        <f t="shared" si="36"/>
        <v>7.42</v>
      </c>
      <c r="AK219" t="s">
        <v>47</v>
      </c>
    </row>
    <row r="220" spans="1:37" ht="15" customHeight="1" x14ac:dyDescent="0.35">
      <c r="A220">
        <v>690929</v>
      </c>
      <c r="B220" t="s">
        <v>37</v>
      </c>
      <c r="C220" t="s">
        <v>38</v>
      </c>
      <c r="D220" s="9" t="s">
        <v>39</v>
      </c>
      <c r="E220" s="10" t="s">
        <v>37</v>
      </c>
      <c r="F220" s="11"/>
      <c r="G220" t="s">
        <v>725</v>
      </c>
      <c r="I220" t="s">
        <v>41</v>
      </c>
      <c r="J220" t="s">
        <v>726</v>
      </c>
      <c r="K220" t="s">
        <v>43</v>
      </c>
      <c r="L220">
        <v>2</v>
      </c>
      <c r="M220" t="s">
        <v>44</v>
      </c>
      <c r="N220" t="s">
        <v>45</v>
      </c>
      <c r="O220" t="s">
        <v>46</v>
      </c>
      <c r="P220" s="5">
        <v>6</v>
      </c>
      <c r="Q220" s="12">
        <v>44746.510069444441</v>
      </c>
      <c r="R220" s="13">
        <v>44748</v>
      </c>
      <c r="T220" t="s">
        <v>47</v>
      </c>
      <c r="U220" t="s">
        <v>48</v>
      </c>
      <c r="V220" t="s">
        <v>114</v>
      </c>
      <c r="Y220" t="s">
        <v>727</v>
      </c>
      <c r="Z220">
        <v>47100</v>
      </c>
      <c r="AA220" t="s">
        <v>47</v>
      </c>
      <c r="AB220" t="s">
        <v>64</v>
      </c>
      <c r="AC220" t="s">
        <v>53</v>
      </c>
      <c r="AD220" s="16">
        <f t="shared" si="37"/>
        <v>11</v>
      </c>
      <c r="AE220" s="15">
        <v>0</v>
      </c>
      <c r="AF220" s="15">
        <v>0</v>
      </c>
      <c r="AG220" s="15">
        <v>0</v>
      </c>
      <c r="AH220" s="15">
        <v>0</v>
      </c>
      <c r="AI220" s="15">
        <f t="shared" si="35"/>
        <v>0.65999999999999992</v>
      </c>
      <c r="AJ220" s="15">
        <f t="shared" si="36"/>
        <v>11.66</v>
      </c>
      <c r="AK220" t="s">
        <v>47</v>
      </c>
    </row>
    <row r="221" spans="1:37" ht="15" customHeight="1" x14ac:dyDescent="0.35">
      <c r="A221">
        <v>690929</v>
      </c>
      <c r="B221" t="s">
        <v>37</v>
      </c>
      <c r="C221" t="s">
        <v>38</v>
      </c>
      <c r="D221" s="9" t="s">
        <v>39</v>
      </c>
      <c r="E221" s="10" t="s">
        <v>37</v>
      </c>
      <c r="F221" s="11"/>
      <c r="G221" t="s">
        <v>728</v>
      </c>
      <c r="I221" t="s">
        <v>41</v>
      </c>
      <c r="J221" t="s">
        <v>729</v>
      </c>
      <c r="K221" t="s">
        <v>43</v>
      </c>
      <c r="L221">
        <v>2</v>
      </c>
      <c r="M221" t="s">
        <v>44</v>
      </c>
      <c r="N221" t="s">
        <v>45</v>
      </c>
      <c r="O221" t="s">
        <v>46</v>
      </c>
      <c r="P221" s="5">
        <v>1</v>
      </c>
      <c r="Q221" s="12">
        <v>44746.685671296298</v>
      </c>
      <c r="R221" s="13">
        <v>44748</v>
      </c>
      <c r="T221" t="s">
        <v>47</v>
      </c>
      <c r="U221" t="s">
        <v>48</v>
      </c>
      <c r="V221" t="s">
        <v>114</v>
      </c>
      <c r="Y221" t="s">
        <v>730</v>
      </c>
      <c r="Z221">
        <v>68100</v>
      </c>
      <c r="AA221" t="s">
        <v>47</v>
      </c>
      <c r="AB221" t="s">
        <v>64</v>
      </c>
      <c r="AC221" t="s">
        <v>53</v>
      </c>
      <c r="AD221" s="16">
        <f t="shared" si="37"/>
        <v>7</v>
      </c>
      <c r="AE221" s="15">
        <v>0</v>
      </c>
      <c r="AF221" s="15">
        <v>0</v>
      </c>
      <c r="AG221" s="15">
        <v>0</v>
      </c>
      <c r="AH221" s="15">
        <v>0</v>
      </c>
      <c r="AI221" s="15">
        <f t="shared" si="35"/>
        <v>0.42</v>
      </c>
      <c r="AJ221" s="15">
        <f t="shared" si="36"/>
        <v>7.42</v>
      </c>
      <c r="AK221" t="s">
        <v>47</v>
      </c>
    </row>
    <row r="222" spans="1:37" ht="15" customHeight="1" x14ac:dyDescent="0.35">
      <c r="A222">
        <v>690929</v>
      </c>
      <c r="B222" t="s">
        <v>37</v>
      </c>
      <c r="C222" t="s">
        <v>38</v>
      </c>
      <c r="D222" s="9" t="s">
        <v>39</v>
      </c>
      <c r="E222" s="10" t="s">
        <v>37</v>
      </c>
      <c r="F222" s="11"/>
      <c r="G222" t="s">
        <v>731</v>
      </c>
      <c r="I222" t="s">
        <v>41</v>
      </c>
      <c r="J222" t="s">
        <v>732</v>
      </c>
      <c r="K222" t="s">
        <v>43</v>
      </c>
      <c r="L222">
        <v>2</v>
      </c>
      <c r="M222" t="s">
        <v>44</v>
      </c>
      <c r="N222" t="s">
        <v>45</v>
      </c>
      <c r="O222" t="s">
        <v>46</v>
      </c>
      <c r="P222" s="5">
        <v>1</v>
      </c>
      <c r="Q222" s="12">
        <v>44745.786921296298</v>
      </c>
      <c r="R222" s="13">
        <v>44748</v>
      </c>
      <c r="T222" t="s">
        <v>47</v>
      </c>
      <c r="U222" t="s">
        <v>48</v>
      </c>
      <c r="V222" t="s">
        <v>114</v>
      </c>
      <c r="Y222" t="s">
        <v>733</v>
      </c>
      <c r="Z222">
        <v>54200</v>
      </c>
      <c r="AA222" t="s">
        <v>47</v>
      </c>
      <c r="AB222" t="s">
        <v>64</v>
      </c>
      <c r="AC222" t="s">
        <v>53</v>
      </c>
      <c r="AD222" s="16">
        <f t="shared" si="37"/>
        <v>7</v>
      </c>
      <c r="AE222" s="15">
        <v>0</v>
      </c>
      <c r="AF222" s="15">
        <v>0</v>
      </c>
      <c r="AG222" s="15">
        <v>0</v>
      </c>
      <c r="AH222" s="15">
        <v>0</v>
      </c>
      <c r="AI222" s="15">
        <f t="shared" si="35"/>
        <v>0.42</v>
      </c>
      <c r="AJ222" s="15">
        <f t="shared" si="36"/>
        <v>7.42</v>
      </c>
      <c r="AK222" t="s">
        <v>47</v>
      </c>
    </row>
    <row r="223" spans="1:37" ht="15" customHeight="1" x14ac:dyDescent="0.35">
      <c r="A223">
        <v>690929</v>
      </c>
      <c r="B223" t="s">
        <v>37</v>
      </c>
      <c r="C223" t="s">
        <v>38</v>
      </c>
      <c r="D223" s="9" t="s">
        <v>39</v>
      </c>
      <c r="E223" s="10" t="s">
        <v>37</v>
      </c>
      <c r="F223" s="11"/>
      <c r="G223" t="s">
        <v>734</v>
      </c>
      <c r="I223" t="s">
        <v>41</v>
      </c>
      <c r="J223" t="s">
        <v>735</v>
      </c>
      <c r="K223" t="s">
        <v>43</v>
      </c>
      <c r="L223">
        <v>2</v>
      </c>
      <c r="M223" t="s">
        <v>44</v>
      </c>
      <c r="N223" t="s">
        <v>45</v>
      </c>
      <c r="O223" t="s">
        <v>46</v>
      </c>
      <c r="P223" s="5">
        <v>1</v>
      </c>
      <c r="Q223" s="12">
        <v>44745.761990740742</v>
      </c>
      <c r="R223" s="13">
        <v>44748</v>
      </c>
      <c r="T223" t="s">
        <v>47</v>
      </c>
      <c r="U223" t="s">
        <v>48</v>
      </c>
      <c r="V223" t="s">
        <v>114</v>
      </c>
      <c r="Y223" t="s">
        <v>736</v>
      </c>
      <c r="Z223">
        <v>40200</v>
      </c>
      <c r="AA223" t="s">
        <v>47</v>
      </c>
      <c r="AB223" t="s">
        <v>64</v>
      </c>
      <c r="AC223" t="s">
        <v>53</v>
      </c>
      <c r="AD223" s="16">
        <f t="shared" si="37"/>
        <v>7</v>
      </c>
      <c r="AE223" s="15">
        <v>0</v>
      </c>
      <c r="AF223" s="15">
        <v>0</v>
      </c>
      <c r="AG223" s="15">
        <v>0</v>
      </c>
      <c r="AH223" s="15">
        <v>0</v>
      </c>
      <c r="AI223" s="15">
        <f t="shared" si="35"/>
        <v>0.42</v>
      </c>
      <c r="AJ223" s="15">
        <f t="shared" si="36"/>
        <v>7.42</v>
      </c>
      <c r="AK223" t="s">
        <v>47</v>
      </c>
    </row>
    <row r="224" spans="1:37" ht="15" customHeight="1" x14ac:dyDescent="0.35">
      <c r="A224">
        <v>690929</v>
      </c>
      <c r="B224" t="s">
        <v>37</v>
      </c>
      <c r="C224" t="s">
        <v>38</v>
      </c>
      <c r="D224" s="9" t="s">
        <v>39</v>
      </c>
      <c r="E224" s="10" t="s">
        <v>37</v>
      </c>
      <c r="F224" s="11"/>
      <c r="G224" t="s">
        <v>737</v>
      </c>
      <c r="I224" t="s">
        <v>41</v>
      </c>
      <c r="J224" t="s">
        <v>738</v>
      </c>
      <c r="K224" t="s">
        <v>43</v>
      </c>
      <c r="L224">
        <v>2</v>
      </c>
      <c r="M224" t="s">
        <v>44</v>
      </c>
      <c r="N224" t="s">
        <v>45</v>
      </c>
      <c r="O224" t="s">
        <v>46</v>
      </c>
      <c r="P224" s="5">
        <v>1</v>
      </c>
      <c r="Q224" s="12">
        <v>44748.61791666667</v>
      </c>
      <c r="R224" s="13">
        <v>44749</v>
      </c>
      <c r="T224" t="s">
        <v>47</v>
      </c>
      <c r="U224" t="s">
        <v>48</v>
      </c>
      <c r="V224" t="s">
        <v>96</v>
      </c>
      <c r="Y224" t="s">
        <v>739</v>
      </c>
      <c r="Z224">
        <v>16450</v>
      </c>
      <c r="AA224" t="s">
        <v>47</v>
      </c>
      <c r="AB224" t="s">
        <v>56</v>
      </c>
      <c r="AC224" t="s">
        <v>53</v>
      </c>
      <c r="AD224" s="16">
        <f>IF(P224&lt;=1,7,7+0.8*ROUNDUP(P224-1,0))</f>
        <v>7</v>
      </c>
      <c r="AE224" s="15">
        <v>0</v>
      </c>
      <c r="AF224" s="15">
        <v>0</v>
      </c>
      <c r="AG224" s="15">
        <v>0</v>
      </c>
      <c r="AH224" s="15">
        <v>0</v>
      </c>
      <c r="AI224" s="15">
        <f t="shared" si="35"/>
        <v>0.42</v>
      </c>
      <c r="AJ224" s="15">
        <f t="shared" si="36"/>
        <v>7.42</v>
      </c>
      <c r="AK224" t="s">
        <v>47</v>
      </c>
    </row>
    <row r="225" spans="1:37" ht="15" customHeight="1" x14ac:dyDescent="0.35">
      <c r="A225">
        <v>690929</v>
      </c>
      <c r="B225" t="s">
        <v>37</v>
      </c>
      <c r="C225" t="s">
        <v>38</v>
      </c>
      <c r="D225" s="9" t="s">
        <v>39</v>
      </c>
      <c r="E225" s="10" t="s">
        <v>37</v>
      </c>
      <c r="F225" s="11"/>
      <c r="G225" t="s">
        <v>740</v>
      </c>
      <c r="I225" t="s">
        <v>41</v>
      </c>
      <c r="J225" t="s">
        <v>741</v>
      </c>
      <c r="K225" t="s">
        <v>43</v>
      </c>
      <c r="L225">
        <v>2</v>
      </c>
      <c r="M225" t="s">
        <v>44</v>
      </c>
      <c r="N225" t="s">
        <v>45</v>
      </c>
      <c r="O225" t="s">
        <v>46</v>
      </c>
      <c r="P225" s="5">
        <v>5</v>
      </c>
      <c r="Q225" s="12">
        <v>44746.715590277781</v>
      </c>
      <c r="R225" s="13">
        <v>44749</v>
      </c>
      <c r="T225" t="s">
        <v>47</v>
      </c>
      <c r="U225" t="s">
        <v>48</v>
      </c>
      <c r="V225" t="s">
        <v>62</v>
      </c>
      <c r="Y225" t="s">
        <v>742</v>
      </c>
      <c r="Z225">
        <v>81000</v>
      </c>
      <c r="AA225" t="s">
        <v>47</v>
      </c>
      <c r="AB225" t="s">
        <v>64</v>
      </c>
      <c r="AC225" t="s">
        <v>53</v>
      </c>
      <c r="AD225" s="16">
        <f t="shared" ref="AD225:AD242" si="38">IF(P225&lt;=1,7,7+0.8*ROUNDUP(P225-1,0))</f>
        <v>10.199999999999999</v>
      </c>
      <c r="AE225" s="15">
        <v>0</v>
      </c>
      <c r="AF225" s="15">
        <v>0</v>
      </c>
      <c r="AG225" s="15">
        <v>0</v>
      </c>
      <c r="AH225" s="15">
        <v>0</v>
      </c>
      <c r="AI225" s="15">
        <f t="shared" si="35"/>
        <v>0.61199999999999999</v>
      </c>
      <c r="AJ225" s="15">
        <f t="shared" si="36"/>
        <v>10.811999999999999</v>
      </c>
      <c r="AK225" t="s">
        <v>47</v>
      </c>
    </row>
    <row r="226" spans="1:37" ht="15" customHeight="1" x14ac:dyDescent="0.35">
      <c r="A226">
        <v>690929</v>
      </c>
      <c r="B226" t="s">
        <v>37</v>
      </c>
      <c r="C226" t="s">
        <v>38</v>
      </c>
      <c r="D226" s="9" t="s">
        <v>39</v>
      </c>
      <c r="E226" s="10" t="s">
        <v>37</v>
      </c>
      <c r="F226" s="11"/>
      <c r="G226" t="s">
        <v>743</v>
      </c>
      <c r="I226" t="s">
        <v>41</v>
      </c>
      <c r="J226" t="s">
        <v>744</v>
      </c>
      <c r="K226" t="s">
        <v>43</v>
      </c>
      <c r="L226">
        <v>2</v>
      </c>
      <c r="M226" t="s">
        <v>44</v>
      </c>
      <c r="N226" t="s">
        <v>45</v>
      </c>
      <c r="O226" t="s">
        <v>46</v>
      </c>
      <c r="P226" s="5">
        <v>1</v>
      </c>
      <c r="Q226" s="12">
        <v>44746.679594907408</v>
      </c>
      <c r="R226" s="13">
        <v>44749</v>
      </c>
      <c r="T226" t="s">
        <v>47</v>
      </c>
      <c r="U226" t="s">
        <v>48</v>
      </c>
      <c r="V226" t="s">
        <v>62</v>
      </c>
      <c r="Y226" t="s">
        <v>745</v>
      </c>
      <c r="Z226">
        <v>86000</v>
      </c>
      <c r="AA226" t="s">
        <v>47</v>
      </c>
      <c r="AB226" t="s">
        <v>64</v>
      </c>
      <c r="AC226" t="s">
        <v>53</v>
      </c>
      <c r="AD226" s="16">
        <f t="shared" si="38"/>
        <v>7</v>
      </c>
      <c r="AE226" s="15">
        <v>0</v>
      </c>
      <c r="AF226" s="15">
        <v>0</v>
      </c>
      <c r="AG226" s="15">
        <v>0</v>
      </c>
      <c r="AH226" s="15">
        <v>0</v>
      </c>
      <c r="AI226" s="15">
        <f t="shared" si="35"/>
        <v>0.42</v>
      </c>
      <c r="AJ226" s="15">
        <f t="shared" si="36"/>
        <v>7.42</v>
      </c>
      <c r="AK226" t="s">
        <v>47</v>
      </c>
    </row>
    <row r="227" spans="1:37" ht="15" customHeight="1" x14ac:dyDescent="0.35">
      <c r="A227">
        <v>690929</v>
      </c>
      <c r="B227" t="s">
        <v>37</v>
      </c>
      <c r="C227" t="s">
        <v>38</v>
      </c>
      <c r="D227" s="9" t="s">
        <v>39</v>
      </c>
      <c r="E227" s="10" t="s">
        <v>37</v>
      </c>
      <c r="F227" s="11"/>
      <c r="G227" t="s">
        <v>746</v>
      </c>
      <c r="I227" t="s">
        <v>41</v>
      </c>
      <c r="J227" t="s">
        <v>747</v>
      </c>
      <c r="K227" t="s">
        <v>43</v>
      </c>
      <c r="L227">
        <v>2</v>
      </c>
      <c r="M227" t="s">
        <v>44</v>
      </c>
      <c r="N227" t="s">
        <v>45</v>
      </c>
      <c r="O227" t="s">
        <v>46</v>
      </c>
      <c r="P227" s="5">
        <v>1</v>
      </c>
      <c r="Q227" s="12">
        <v>44746.767083333332</v>
      </c>
      <c r="R227" s="13">
        <v>44749</v>
      </c>
      <c r="T227" t="s">
        <v>47</v>
      </c>
      <c r="U227" t="s">
        <v>48</v>
      </c>
      <c r="V227" t="s">
        <v>100</v>
      </c>
      <c r="Y227" t="s">
        <v>748</v>
      </c>
      <c r="Z227">
        <v>31150</v>
      </c>
      <c r="AA227" t="s">
        <v>47</v>
      </c>
      <c r="AB227" t="s">
        <v>64</v>
      </c>
      <c r="AC227" t="s">
        <v>53</v>
      </c>
      <c r="AD227" s="16">
        <f t="shared" si="38"/>
        <v>7</v>
      </c>
      <c r="AE227" s="15">
        <v>0</v>
      </c>
      <c r="AF227" s="15">
        <v>0</v>
      </c>
      <c r="AG227" s="15">
        <v>0</v>
      </c>
      <c r="AH227" s="15">
        <v>0</v>
      </c>
      <c r="AI227" s="15">
        <f t="shared" si="35"/>
        <v>0.42</v>
      </c>
      <c r="AJ227" s="15">
        <f t="shared" si="36"/>
        <v>7.42</v>
      </c>
      <c r="AK227" t="s">
        <v>47</v>
      </c>
    </row>
    <row r="228" spans="1:37" ht="15" customHeight="1" x14ac:dyDescent="0.35">
      <c r="A228">
        <v>690929</v>
      </c>
      <c r="B228" t="s">
        <v>37</v>
      </c>
      <c r="C228" t="s">
        <v>38</v>
      </c>
      <c r="D228" s="9" t="s">
        <v>39</v>
      </c>
      <c r="E228" s="10" t="s">
        <v>37</v>
      </c>
      <c r="F228" s="11"/>
      <c r="G228" t="s">
        <v>749</v>
      </c>
      <c r="I228" t="s">
        <v>41</v>
      </c>
      <c r="J228" t="s">
        <v>750</v>
      </c>
      <c r="K228" t="s">
        <v>43</v>
      </c>
      <c r="L228">
        <v>2</v>
      </c>
      <c r="M228" t="s">
        <v>44</v>
      </c>
      <c r="N228" t="s">
        <v>45</v>
      </c>
      <c r="O228" t="s">
        <v>46</v>
      </c>
      <c r="P228" s="5">
        <v>1</v>
      </c>
      <c r="Q228" s="12">
        <v>44746.794687499998</v>
      </c>
      <c r="R228" s="13">
        <v>44749</v>
      </c>
      <c r="T228" t="s">
        <v>47</v>
      </c>
      <c r="U228" t="s">
        <v>48</v>
      </c>
      <c r="V228" t="s">
        <v>62</v>
      </c>
      <c r="Y228" t="s">
        <v>751</v>
      </c>
      <c r="Z228">
        <v>81400</v>
      </c>
      <c r="AA228" t="s">
        <v>47</v>
      </c>
      <c r="AB228" t="s">
        <v>64</v>
      </c>
      <c r="AC228" t="s">
        <v>53</v>
      </c>
      <c r="AD228" s="16">
        <f t="shared" si="38"/>
        <v>7</v>
      </c>
      <c r="AE228" s="15">
        <v>0</v>
      </c>
      <c r="AF228" s="15">
        <v>0</v>
      </c>
      <c r="AG228" s="15">
        <v>0</v>
      </c>
      <c r="AH228" s="15">
        <v>0</v>
      </c>
      <c r="AI228" s="15">
        <f t="shared" si="35"/>
        <v>0.42</v>
      </c>
      <c r="AJ228" s="15">
        <f t="shared" si="36"/>
        <v>7.42</v>
      </c>
      <c r="AK228" t="s">
        <v>47</v>
      </c>
    </row>
    <row r="229" spans="1:37" ht="15" customHeight="1" x14ac:dyDescent="0.35">
      <c r="A229">
        <v>690929</v>
      </c>
      <c r="B229" t="s">
        <v>37</v>
      </c>
      <c r="C229" t="s">
        <v>38</v>
      </c>
      <c r="D229" s="9" t="s">
        <v>39</v>
      </c>
      <c r="E229" s="10" t="s">
        <v>37</v>
      </c>
      <c r="F229" s="11"/>
      <c r="G229" t="s">
        <v>752</v>
      </c>
      <c r="I229" t="s">
        <v>41</v>
      </c>
      <c r="J229" t="s">
        <v>753</v>
      </c>
      <c r="K229" t="s">
        <v>43</v>
      </c>
      <c r="L229">
        <v>2</v>
      </c>
      <c r="M229" t="s">
        <v>44</v>
      </c>
      <c r="N229" t="s">
        <v>45</v>
      </c>
      <c r="O229" t="s">
        <v>46</v>
      </c>
      <c r="P229" s="5">
        <v>22</v>
      </c>
      <c r="Q229" s="12">
        <v>44746.717777777776</v>
      </c>
      <c r="R229" s="13">
        <v>44749</v>
      </c>
      <c r="T229" t="s">
        <v>47</v>
      </c>
      <c r="U229" t="s">
        <v>48</v>
      </c>
      <c r="V229" t="s">
        <v>71</v>
      </c>
      <c r="Y229" t="s">
        <v>754</v>
      </c>
      <c r="Z229">
        <v>6000</v>
      </c>
      <c r="AA229" t="s">
        <v>47</v>
      </c>
      <c r="AB229" t="s">
        <v>64</v>
      </c>
      <c r="AC229" t="s">
        <v>53</v>
      </c>
      <c r="AD229" s="16">
        <f t="shared" si="38"/>
        <v>23.8</v>
      </c>
      <c r="AE229" s="15">
        <v>0</v>
      </c>
      <c r="AF229" s="15">
        <v>0</v>
      </c>
      <c r="AG229" s="15">
        <v>0</v>
      </c>
      <c r="AH229" s="15">
        <v>0</v>
      </c>
      <c r="AI229" s="15">
        <f t="shared" si="35"/>
        <v>1.4279999999999999</v>
      </c>
      <c r="AJ229" s="15">
        <f t="shared" si="36"/>
        <v>25.228000000000002</v>
      </c>
      <c r="AK229" t="s">
        <v>47</v>
      </c>
    </row>
    <row r="230" spans="1:37" ht="15" customHeight="1" x14ac:dyDescent="0.35">
      <c r="A230">
        <v>690929</v>
      </c>
      <c r="B230" t="s">
        <v>37</v>
      </c>
      <c r="C230" t="s">
        <v>38</v>
      </c>
      <c r="D230" s="9" t="s">
        <v>39</v>
      </c>
      <c r="E230" s="10" t="s">
        <v>37</v>
      </c>
      <c r="F230" s="11"/>
      <c r="G230" t="s">
        <v>755</v>
      </c>
      <c r="I230" t="s">
        <v>41</v>
      </c>
      <c r="J230" t="s">
        <v>753</v>
      </c>
      <c r="K230" t="s">
        <v>43</v>
      </c>
      <c r="L230">
        <v>2</v>
      </c>
      <c r="M230" t="s">
        <v>44</v>
      </c>
      <c r="N230" t="s">
        <v>45</v>
      </c>
      <c r="O230" t="s">
        <v>46</v>
      </c>
      <c r="P230" s="5">
        <v>14</v>
      </c>
      <c r="Q230" s="12">
        <v>44746.719351851854</v>
      </c>
      <c r="R230" s="13">
        <v>44749</v>
      </c>
      <c r="T230" t="s">
        <v>47</v>
      </c>
      <c r="U230" t="s">
        <v>48</v>
      </c>
      <c r="V230" t="s">
        <v>71</v>
      </c>
      <c r="Y230" t="s">
        <v>756</v>
      </c>
      <c r="Z230">
        <v>6000</v>
      </c>
      <c r="AA230" t="s">
        <v>47</v>
      </c>
      <c r="AB230" t="s">
        <v>64</v>
      </c>
      <c r="AC230" t="s">
        <v>53</v>
      </c>
      <c r="AD230" s="16">
        <f t="shared" si="38"/>
        <v>17.399999999999999</v>
      </c>
      <c r="AE230" s="15">
        <v>0</v>
      </c>
      <c r="AF230" s="15">
        <v>0</v>
      </c>
      <c r="AG230" s="15">
        <v>0</v>
      </c>
      <c r="AH230" s="15">
        <v>0</v>
      </c>
      <c r="AI230" s="15">
        <f t="shared" si="35"/>
        <v>1.0439999999999998</v>
      </c>
      <c r="AJ230" s="15">
        <f t="shared" si="36"/>
        <v>18.443999999999999</v>
      </c>
      <c r="AK230" t="s">
        <v>47</v>
      </c>
    </row>
    <row r="231" spans="1:37" ht="15" customHeight="1" x14ac:dyDescent="0.35">
      <c r="A231">
        <v>690929</v>
      </c>
      <c r="B231" t="s">
        <v>37</v>
      </c>
      <c r="C231" t="s">
        <v>38</v>
      </c>
      <c r="D231" s="9" t="s">
        <v>39</v>
      </c>
      <c r="E231" s="10" t="s">
        <v>37</v>
      </c>
      <c r="F231" s="11"/>
      <c r="G231" t="s">
        <v>757</v>
      </c>
      <c r="I231" t="s">
        <v>41</v>
      </c>
      <c r="J231" t="s">
        <v>758</v>
      </c>
      <c r="K231" t="s">
        <v>43</v>
      </c>
      <c r="L231">
        <v>2</v>
      </c>
      <c r="M231" t="s">
        <v>44</v>
      </c>
      <c r="N231" t="s">
        <v>45</v>
      </c>
      <c r="O231" t="s">
        <v>46</v>
      </c>
      <c r="P231" s="5">
        <v>4</v>
      </c>
      <c r="Q231" s="12">
        <v>44748.416805555556</v>
      </c>
      <c r="R231" s="13">
        <v>44749</v>
      </c>
      <c r="T231" t="s">
        <v>47</v>
      </c>
      <c r="U231" t="s">
        <v>48</v>
      </c>
      <c r="V231" t="s">
        <v>96</v>
      </c>
      <c r="Y231" t="s">
        <v>759</v>
      </c>
      <c r="Z231">
        <v>16810</v>
      </c>
      <c r="AA231" t="s">
        <v>47</v>
      </c>
      <c r="AB231" t="s">
        <v>270</v>
      </c>
      <c r="AC231" t="s">
        <v>53</v>
      </c>
      <c r="AD231" s="16">
        <f t="shared" si="38"/>
        <v>9.4</v>
      </c>
      <c r="AE231" s="15">
        <v>0</v>
      </c>
      <c r="AF231" s="15">
        <v>0</v>
      </c>
      <c r="AG231" s="15">
        <v>0</v>
      </c>
      <c r="AH231" s="15">
        <v>0</v>
      </c>
      <c r="AI231" s="15">
        <f t="shared" si="35"/>
        <v>0.56399999999999995</v>
      </c>
      <c r="AJ231" s="15">
        <f t="shared" si="36"/>
        <v>9.9640000000000004</v>
      </c>
      <c r="AK231" t="s">
        <v>47</v>
      </c>
    </row>
    <row r="232" spans="1:37" ht="15" customHeight="1" x14ac:dyDescent="0.35">
      <c r="A232">
        <v>690929</v>
      </c>
      <c r="B232" t="s">
        <v>37</v>
      </c>
      <c r="C232" t="s">
        <v>38</v>
      </c>
      <c r="D232" s="9" t="s">
        <v>39</v>
      </c>
      <c r="E232" s="10" t="s">
        <v>37</v>
      </c>
      <c r="F232" s="11"/>
      <c r="G232" t="s">
        <v>760</v>
      </c>
      <c r="I232" t="s">
        <v>41</v>
      </c>
      <c r="J232" t="s">
        <v>761</v>
      </c>
      <c r="K232" t="s">
        <v>43</v>
      </c>
      <c r="L232">
        <v>2</v>
      </c>
      <c r="M232" t="s">
        <v>44</v>
      </c>
      <c r="N232" t="s">
        <v>45</v>
      </c>
      <c r="O232" t="s">
        <v>46</v>
      </c>
      <c r="P232" s="5">
        <v>1</v>
      </c>
      <c r="Q232" s="12">
        <v>44748.609490740739</v>
      </c>
      <c r="R232" s="13">
        <v>44749</v>
      </c>
      <c r="T232" t="s">
        <v>47</v>
      </c>
      <c r="U232" t="s">
        <v>48</v>
      </c>
      <c r="V232" t="s">
        <v>67</v>
      </c>
      <c r="Y232" t="s">
        <v>762</v>
      </c>
      <c r="Z232">
        <v>28330</v>
      </c>
      <c r="AA232" t="s">
        <v>47</v>
      </c>
      <c r="AB232" t="s">
        <v>48</v>
      </c>
      <c r="AC232" t="s">
        <v>53</v>
      </c>
      <c r="AD232" s="16">
        <f t="shared" si="38"/>
        <v>7</v>
      </c>
      <c r="AE232" s="15">
        <v>0</v>
      </c>
      <c r="AF232" s="15">
        <v>0</v>
      </c>
      <c r="AG232" s="15">
        <v>0</v>
      </c>
      <c r="AH232" s="15">
        <v>0</v>
      </c>
      <c r="AI232" s="15">
        <f t="shared" si="35"/>
        <v>0.42</v>
      </c>
      <c r="AJ232" s="15">
        <f t="shared" si="36"/>
        <v>7.42</v>
      </c>
      <c r="AK232" t="s">
        <v>47</v>
      </c>
    </row>
    <row r="233" spans="1:37" ht="15" customHeight="1" x14ac:dyDescent="0.35">
      <c r="A233">
        <v>690929</v>
      </c>
      <c r="B233" t="s">
        <v>37</v>
      </c>
      <c r="C233" t="s">
        <v>38</v>
      </c>
      <c r="D233" s="9" t="s">
        <v>39</v>
      </c>
      <c r="E233" s="10" t="s">
        <v>37</v>
      </c>
      <c r="F233" s="11"/>
      <c r="G233" t="s">
        <v>763</v>
      </c>
      <c r="I233" t="s">
        <v>41</v>
      </c>
      <c r="J233" t="s">
        <v>764</v>
      </c>
      <c r="K233" t="s">
        <v>43</v>
      </c>
      <c r="L233">
        <v>2</v>
      </c>
      <c r="M233" t="s">
        <v>44</v>
      </c>
      <c r="N233" t="s">
        <v>45</v>
      </c>
      <c r="O233" t="s">
        <v>46</v>
      </c>
      <c r="P233" s="5">
        <v>1</v>
      </c>
      <c r="Q233" s="12">
        <v>44747.757893518516</v>
      </c>
      <c r="R233" s="13">
        <v>44749</v>
      </c>
      <c r="T233" t="s">
        <v>47</v>
      </c>
      <c r="U233" t="s">
        <v>48</v>
      </c>
      <c r="V233" t="s">
        <v>76</v>
      </c>
      <c r="Y233" t="s">
        <v>765</v>
      </c>
      <c r="Z233">
        <v>24300</v>
      </c>
      <c r="AA233" t="s">
        <v>47</v>
      </c>
      <c r="AB233" t="s">
        <v>48</v>
      </c>
      <c r="AC233" t="s">
        <v>53</v>
      </c>
      <c r="AD233" s="16">
        <f t="shared" si="38"/>
        <v>7</v>
      </c>
      <c r="AE233" s="15">
        <v>0</v>
      </c>
      <c r="AF233" s="15">
        <v>0</v>
      </c>
      <c r="AG233" s="15">
        <v>0</v>
      </c>
      <c r="AH233" s="15">
        <v>0</v>
      </c>
      <c r="AI233" s="15">
        <f t="shared" si="35"/>
        <v>0.42</v>
      </c>
      <c r="AJ233" s="15">
        <f t="shared" si="36"/>
        <v>7.42</v>
      </c>
      <c r="AK233" t="s">
        <v>47</v>
      </c>
    </row>
    <row r="234" spans="1:37" ht="15" customHeight="1" x14ac:dyDescent="0.35">
      <c r="A234">
        <v>690929</v>
      </c>
      <c r="B234" t="s">
        <v>37</v>
      </c>
      <c r="C234" t="s">
        <v>38</v>
      </c>
      <c r="D234" s="9" t="s">
        <v>39</v>
      </c>
      <c r="E234" s="10" t="s">
        <v>37</v>
      </c>
      <c r="F234" s="11"/>
      <c r="G234" t="s">
        <v>766</v>
      </c>
      <c r="I234" t="s">
        <v>41</v>
      </c>
      <c r="J234" t="s">
        <v>767</v>
      </c>
      <c r="K234" t="s">
        <v>43</v>
      </c>
      <c r="L234">
        <v>2</v>
      </c>
      <c r="M234" t="s">
        <v>44</v>
      </c>
      <c r="N234" t="s">
        <v>45</v>
      </c>
      <c r="O234" t="s">
        <v>46</v>
      </c>
      <c r="P234" s="5">
        <v>1</v>
      </c>
      <c r="Q234" s="12">
        <v>44746.79587962963</v>
      </c>
      <c r="R234" s="13">
        <v>44749</v>
      </c>
      <c r="T234" t="s">
        <v>47</v>
      </c>
      <c r="U234" t="s">
        <v>48</v>
      </c>
      <c r="V234" t="s">
        <v>85</v>
      </c>
      <c r="Y234" t="s">
        <v>768</v>
      </c>
      <c r="Z234">
        <v>13110</v>
      </c>
      <c r="AA234" t="s">
        <v>47</v>
      </c>
      <c r="AB234" t="s">
        <v>64</v>
      </c>
      <c r="AC234" t="s">
        <v>53</v>
      </c>
      <c r="AD234" s="16">
        <f t="shared" si="38"/>
        <v>7</v>
      </c>
      <c r="AE234" s="15">
        <v>0</v>
      </c>
      <c r="AF234" s="15">
        <v>0</v>
      </c>
      <c r="AG234" s="15">
        <v>0</v>
      </c>
      <c r="AH234" s="15">
        <v>0</v>
      </c>
      <c r="AI234" s="15">
        <f t="shared" si="35"/>
        <v>0.42</v>
      </c>
      <c r="AJ234" s="15">
        <f t="shared" si="36"/>
        <v>7.42</v>
      </c>
      <c r="AK234" t="s">
        <v>47</v>
      </c>
    </row>
    <row r="235" spans="1:37" ht="15" customHeight="1" x14ac:dyDescent="0.35">
      <c r="A235">
        <v>690929</v>
      </c>
      <c r="B235" t="s">
        <v>37</v>
      </c>
      <c r="C235" t="s">
        <v>38</v>
      </c>
      <c r="D235" s="9" t="s">
        <v>39</v>
      </c>
      <c r="E235" s="10" t="s">
        <v>37</v>
      </c>
      <c r="F235" s="11"/>
      <c r="G235" t="s">
        <v>769</v>
      </c>
      <c r="I235" t="s">
        <v>41</v>
      </c>
      <c r="J235" t="s">
        <v>770</v>
      </c>
      <c r="K235" t="s">
        <v>43</v>
      </c>
      <c r="L235">
        <v>2</v>
      </c>
      <c r="M235" t="s">
        <v>44</v>
      </c>
      <c r="N235" t="s">
        <v>45</v>
      </c>
      <c r="O235" t="s">
        <v>46</v>
      </c>
      <c r="P235" s="5">
        <v>1</v>
      </c>
      <c r="Q235" s="12">
        <v>44748.614224537036</v>
      </c>
      <c r="R235" s="13">
        <v>44749</v>
      </c>
      <c r="T235" t="s">
        <v>47</v>
      </c>
      <c r="U235" t="s">
        <v>48</v>
      </c>
      <c r="V235" t="s">
        <v>96</v>
      </c>
      <c r="Y235" t="s">
        <v>771</v>
      </c>
      <c r="Z235">
        <v>17000</v>
      </c>
      <c r="AA235" t="s">
        <v>47</v>
      </c>
      <c r="AB235" t="s">
        <v>56</v>
      </c>
      <c r="AC235" t="s">
        <v>53</v>
      </c>
      <c r="AD235" s="16">
        <f t="shared" si="38"/>
        <v>7</v>
      </c>
      <c r="AE235" s="15">
        <v>0</v>
      </c>
      <c r="AF235" s="15">
        <v>0</v>
      </c>
      <c r="AG235" s="15">
        <v>0</v>
      </c>
      <c r="AH235" s="15">
        <v>0</v>
      </c>
      <c r="AI235" s="15">
        <f t="shared" si="35"/>
        <v>0.42</v>
      </c>
      <c r="AJ235" s="15">
        <f t="shared" si="36"/>
        <v>7.42</v>
      </c>
      <c r="AK235" t="s">
        <v>47</v>
      </c>
    </row>
    <row r="236" spans="1:37" ht="15" customHeight="1" x14ac:dyDescent="0.35">
      <c r="A236">
        <v>690929</v>
      </c>
      <c r="B236" t="s">
        <v>37</v>
      </c>
      <c r="C236" t="s">
        <v>38</v>
      </c>
      <c r="D236" s="9" t="s">
        <v>39</v>
      </c>
      <c r="E236" s="10" t="s">
        <v>37</v>
      </c>
      <c r="F236" s="11"/>
      <c r="G236" t="s">
        <v>772</v>
      </c>
      <c r="I236" t="s">
        <v>41</v>
      </c>
      <c r="J236" t="s">
        <v>773</v>
      </c>
      <c r="K236" t="s">
        <v>43</v>
      </c>
      <c r="L236">
        <v>2</v>
      </c>
      <c r="M236" t="s">
        <v>44</v>
      </c>
      <c r="N236" t="s">
        <v>45</v>
      </c>
      <c r="O236" t="s">
        <v>46</v>
      </c>
      <c r="P236" s="5">
        <v>1</v>
      </c>
      <c r="Q236" s="12">
        <v>44746.754907407405</v>
      </c>
      <c r="R236" s="13">
        <v>44749</v>
      </c>
      <c r="T236" t="s">
        <v>47</v>
      </c>
      <c r="U236" t="s">
        <v>48</v>
      </c>
      <c r="V236" t="s">
        <v>62</v>
      </c>
      <c r="Y236" t="s">
        <v>774</v>
      </c>
      <c r="Z236">
        <v>81100</v>
      </c>
      <c r="AA236" t="s">
        <v>47</v>
      </c>
      <c r="AB236" t="s">
        <v>64</v>
      </c>
      <c r="AC236" t="s">
        <v>53</v>
      </c>
      <c r="AD236" s="16">
        <f t="shared" si="38"/>
        <v>7</v>
      </c>
      <c r="AE236" s="15">
        <v>0</v>
      </c>
      <c r="AF236" s="15">
        <v>0</v>
      </c>
      <c r="AG236" s="15">
        <v>0</v>
      </c>
      <c r="AH236" s="15">
        <v>0</v>
      </c>
      <c r="AI236" s="15">
        <f t="shared" si="35"/>
        <v>0.42</v>
      </c>
      <c r="AJ236" s="15">
        <f t="shared" si="36"/>
        <v>7.42</v>
      </c>
      <c r="AK236" t="s">
        <v>47</v>
      </c>
    </row>
    <row r="237" spans="1:37" ht="15" customHeight="1" x14ac:dyDescent="0.35">
      <c r="A237">
        <v>690929</v>
      </c>
      <c r="B237" t="s">
        <v>37</v>
      </c>
      <c r="C237" t="s">
        <v>38</v>
      </c>
      <c r="D237" s="9" t="s">
        <v>39</v>
      </c>
      <c r="E237" s="10" t="s">
        <v>37</v>
      </c>
      <c r="F237" s="11"/>
      <c r="G237" t="s">
        <v>775</v>
      </c>
      <c r="I237" t="s">
        <v>41</v>
      </c>
      <c r="J237" t="s">
        <v>776</v>
      </c>
      <c r="K237" t="s">
        <v>43</v>
      </c>
      <c r="L237">
        <v>2</v>
      </c>
      <c r="M237" t="s">
        <v>44</v>
      </c>
      <c r="N237" t="s">
        <v>45</v>
      </c>
      <c r="O237" t="s">
        <v>46</v>
      </c>
      <c r="P237" s="5">
        <v>1</v>
      </c>
      <c r="Q237" s="12">
        <v>44747.60460648148</v>
      </c>
      <c r="R237" s="13">
        <v>44749</v>
      </c>
      <c r="T237" t="s">
        <v>47</v>
      </c>
      <c r="U237" t="s">
        <v>48</v>
      </c>
      <c r="V237" t="s">
        <v>71</v>
      </c>
      <c r="Y237" t="s">
        <v>777</v>
      </c>
      <c r="Z237">
        <v>8000</v>
      </c>
      <c r="AA237" t="s">
        <v>47</v>
      </c>
      <c r="AB237" t="s">
        <v>64</v>
      </c>
      <c r="AC237" t="s">
        <v>53</v>
      </c>
      <c r="AD237" s="16">
        <f t="shared" si="38"/>
        <v>7</v>
      </c>
      <c r="AE237" s="15">
        <v>0</v>
      </c>
      <c r="AF237" s="15">
        <v>0</v>
      </c>
      <c r="AG237" s="15">
        <v>0</v>
      </c>
      <c r="AH237" s="15">
        <v>0</v>
      </c>
      <c r="AI237" s="15">
        <f t="shared" si="35"/>
        <v>0.42</v>
      </c>
      <c r="AJ237" s="15">
        <f t="shared" si="36"/>
        <v>7.42</v>
      </c>
      <c r="AK237" t="s">
        <v>47</v>
      </c>
    </row>
    <row r="238" spans="1:37" ht="15" customHeight="1" x14ac:dyDescent="0.35">
      <c r="A238">
        <v>690929</v>
      </c>
      <c r="B238" t="s">
        <v>37</v>
      </c>
      <c r="C238" t="s">
        <v>38</v>
      </c>
      <c r="D238" s="9" t="s">
        <v>39</v>
      </c>
      <c r="E238" s="10" t="s">
        <v>37</v>
      </c>
      <c r="F238" s="11"/>
      <c r="G238" t="s">
        <v>778</v>
      </c>
      <c r="I238" t="s">
        <v>41</v>
      </c>
      <c r="J238" t="s">
        <v>779</v>
      </c>
      <c r="K238" t="s">
        <v>43</v>
      </c>
      <c r="L238">
        <v>2</v>
      </c>
      <c r="M238" t="s">
        <v>44</v>
      </c>
      <c r="N238" t="s">
        <v>45</v>
      </c>
      <c r="O238" t="s">
        <v>46</v>
      </c>
      <c r="P238" s="5">
        <v>1</v>
      </c>
      <c r="Q238" s="12">
        <v>44746.732499999998</v>
      </c>
      <c r="R238" s="13">
        <v>44749</v>
      </c>
      <c r="T238" t="s">
        <v>47</v>
      </c>
      <c r="U238" t="s">
        <v>48</v>
      </c>
      <c r="V238" t="s">
        <v>67</v>
      </c>
      <c r="Y238" t="s">
        <v>780</v>
      </c>
      <c r="Z238">
        <v>39200</v>
      </c>
      <c r="AA238" t="s">
        <v>47</v>
      </c>
      <c r="AB238" t="s">
        <v>64</v>
      </c>
      <c r="AC238" t="s">
        <v>53</v>
      </c>
      <c r="AD238" s="16">
        <f t="shared" si="38"/>
        <v>7</v>
      </c>
      <c r="AE238" s="15">
        <v>0</v>
      </c>
      <c r="AF238" s="15">
        <v>0</v>
      </c>
      <c r="AG238" s="15">
        <v>0</v>
      </c>
      <c r="AH238" s="15">
        <v>0</v>
      </c>
      <c r="AI238" s="15">
        <f t="shared" si="35"/>
        <v>0.42</v>
      </c>
      <c r="AJ238" s="15">
        <f t="shared" si="36"/>
        <v>7.42</v>
      </c>
      <c r="AK238" t="s">
        <v>47</v>
      </c>
    </row>
    <row r="239" spans="1:37" ht="15" customHeight="1" x14ac:dyDescent="0.35">
      <c r="A239">
        <v>690929</v>
      </c>
      <c r="B239" t="s">
        <v>37</v>
      </c>
      <c r="C239" t="s">
        <v>38</v>
      </c>
      <c r="D239" s="9" t="s">
        <v>39</v>
      </c>
      <c r="E239" s="10" t="s">
        <v>37</v>
      </c>
      <c r="F239" s="11"/>
      <c r="G239" t="s">
        <v>781</v>
      </c>
      <c r="I239" t="s">
        <v>41</v>
      </c>
      <c r="J239" t="s">
        <v>782</v>
      </c>
      <c r="K239" t="s">
        <v>43</v>
      </c>
      <c r="L239">
        <v>2</v>
      </c>
      <c r="M239" t="s">
        <v>44</v>
      </c>
      <c r="N239" t="s">
        <v>45</v>
      </c>
      <c r="O239" t="s">
        <v>46</v>
      </c>
      <c r="P239" s="5">
        <v>1</v>
      </c>
      <c r="Q239" s="12">
        <v>44746.739074074074</v>
      </c>
      <c r="R239" s="13">
        <v>44749</v>
      </c>
      <c r="T239" t="s">
        <v>47</v>
      </c>
      <c r="U239" t="s">
        <v>48</v>
      </c>
      <c r="V239" t="s">
        <v>85</v>
      </c>
      <c r="Y239" t="s">
        <v>783</v>
      </c>
      <c r="Z239">
        <v>14120</v>
      </c>
      <c r="AA239" t="s">
        <v>47</v>
      </c>
      <c r="AB239" t="s">
        <v>64</v>
      </c>
      <c r="AC239" t="s">
        <v>53</v>
      </c>
      <c r="AD239" s="16">
        <f t="shared" si="38"/>
        <v>7</v>
      </c>
      <c r="AE239" s="15">
        <v>0</v>
      </c>
      <c r="AF239" s="15">
        <v>0</v>
      </c>
      <c r="AG239" s="15">
        <v>0</v>
      </c>
      <c r="AH239" s="15">
        <v>0</v>
      </c>
      <c r="AI239" s="15">
        <f t="shared" si="35"/>
        <v>0.42</v>
      </c>
      <c r="AJ239" s="15">
        <f t="shared" si="36"/>
        <v>7.42</v>
      </c>
      <c r="AK239" t="s">
        <v>47</v>
      </c>
    </row>
    <row r="240" spans="1:37" ht="15" customHeight="1" x14ac:dyDescent="0.35">
      <c r="A240">
        <v>690929</v>
      </c>
      <c r="B240" t="s">
        <v>37</v>
      </c>
      <c r="C240" t="s">
        <v>38</v>
      </c>
      <c r="D240" s="9" t="s">
        <v>39</v>
      </c>
      <c r="E240" s="10" t="s">
        <v>37</v>
      </c>
      <c r="F240" s="11"/>
      <c r="G240" t="s">
        <v>784</v>
      </c>
      <c r="I240" t="s">
        <v>41</v>
      </c>
      <c r="J240" t="s">
        <v>488</v>
      </c>
      <c r="K240" t="s">
        <v>43</v>
      </c>
      <c r="L240">
        <v>2</v>
      </c>
      <c r="M240" t="s">
        <v>44</v>
      </c>
      <c r="N240" t="s">
        <v>45</v>
      </c>
      <c r="O240" t="s">
        <v>46</v>
      </c>
      <c r="P240" s="5">
        <v>1</v>
      </c>
      <c r="Q240" s="12">
        <v>44746.759259259263</v>
      </c>
      <c r="R240" s="13">
        <v>44749</v>
      </c>
      <c r="T240" t="s">
        <v>47</v>
      </c>
      <c r="U240" t="s">
        <v>48</v>
      </c>
      <c r="V240" t="s">
        <v>114</v>
      </c>
      <c r="Y240" t="s">
        <v>785</v>
      </c>
      <c r="Z240">
        <v>42920</v>
      </c>
      <c r="AA240" t="s">
        <v>47</v>
      </c>
      <c r="AB240" t="s">
        <v>64</v>
      </c>
      <c r="AC240" t="s">
        <v>53</v>
      </c>
      <c r="AD240" s="16">
        <f t="shared" si="38"/>
        <v>7</v>
      </c>
      <c r="AE240" s="15">
        <v>0</v>
      </c>
      <c r="AF240" s="15">
        <v>0</v>
      </c>
      <c r="AG240" s="15">
        <v>0</v>
      </c>
      <c r="AH240" s="15">
        <v>0</v>
      </c>
      <c r="AI240" s="15">
        <f t="shared" si="35"/>
        <v>0.42</v>
      </c>
      <c r="AJ240" s="15">
        <f t="shared" si="36"/>
        <v>7.42</v>
      </c>
      <c r="AK240" t="s">
        <v>47</v>
      </c>
    </row>
    <row r="241" spans="1:37" ht="15" customHeight="1" x14ac:dyDescent="0.35">
      <c r="A241">
        <v>690929</v>
      </c>
      <c r="B241" t="s">
        <v>37</v>
      </c>
      <c r="C241" t="s">
        <v>38</v>
      </c>
      <c r="D241" s="9" t="s">
        <v>39</v>
      </c>
      <c r="E241" s="10" t="s">
        <v>37</v>
      </c>
      <c r="F241" s="11"/>
      <c r="G241" t="s">
        <v>786</v>
      </c>
      <c r="I241" t="s">
        <v>41</v>
      </c>
      <c r="J241" t="s">
        <v>787</v>
      </c>
      <c r="K241" t="s">
        <v>43</v>
      </c>
      <c r="L241">
        <v>2</v>
      </c>
      <c r="M241" t="s">
        <v>44</v>
      </c>
      <c r="N241" t="s">
        <v>45</v>
      </c>
      <c r="O241" t="s">
        <v>46</v>
      </c>
      <c r="P241" s="5">
        <v>1</v>
      </c>
      <c r="Q241" s="12">
        <v>44746.796979166669</v>
      </c>
      <c r="R241" s="13">
        <v>44749</v>
      </c>
      <c r="T241" t="s">
        <v>47</v>
      </c>
      <c r="U241" t="s">
        <v>48</v>
      </c>
      <c r="V241" t="s">
        <v>100</v>
      </c>
      <c r="Y241" t="s">
        <v>788</v>
      </c>
      <c r="Z241">
        <v>34300</v>
      </c>
      <c r="AA241" t="s">
        <v>47</v>
      </c>
      <c r="AB241" t="s">
        <v>64</v>
      </c>
      <c r="AC241" t="s">
        <v>53</v>
      </c>
      <c r="AD241" s="16">
        <f t="shared" si="38"/>
        <v>7</v>
      </c>
      <c r="AE241" s="15">
        <v>0</v>
      </c>
      <c r="AF241" s="15">
        <v>0</v>
      </c>
      <c r="AG241" s="15">
        <v>0</v>
      </c>
      <c r="AH241" s="15">
        <v>0</v>
      </c>
      <c r="AI241" s="15">
        <f t="shared" si="35"/>
        <v>0.42</v>
      </c>
      <c r="AJ241" s="15">
        <f t="shared" si="36"/>
        <v>7.42</v>
      </c>
      <c r="AK241" t="s">
        <v>47</v>
      </c>
    </row>
    <row r="242" spans="1:37" ht="15" customHeight="1" x14ac:dyDescent="0.35">
      <c r="A242">
        <v>690929</v>
      </c>
      <c r="B242" t="s">
        <v>37</v>
      </c>
      <c r="C242" t="s">
        <v>38</v>
      </c>
      <c r="D242" s="9" t="s">
        <v>39</v>
      </c>
      <c r="E242" s="10" t="s">
        <v>37</v>
      </c>
      <c r="F242" s="11"/>
      <c r="G242" t="s">
        <v>789</v>
      </c>
      <c r="I242" t="s">
        <v>41</v>
      </c>
      <c r="J242" t="s">
        <v>790</v>
      </c>
      <c r="K242" t="s">
        <v>43</v>
      </c>
      <c r="L242">
        <v>2</v>
      </c>
      <c r="M242" t="s">
        <v>44</v>
      </c>
      <c r="N242" t="s">
        <v>45</v>
      </c>
      <c r="O242" t="s">
        <v>46</v>
      </c>
      <c r="P242" s="5">
        <v>2</v>
      </c>
      <c r="Q242" s="12">
        <v>44746.750509259262</v>
      </c>
      <c r="R242" s="13">
        <v>44749</v>
      </c>
      <c r="T242" t="s">
        <v>47</v>
      </c>
      <c r="U242" t="s">
        <v>48</v>
      </c>
      <c r="V242" t="s">
        <v>71</v>
      </c>
      <c r="Y242" t="s">
        <v>791</v>
      </c>
      <c r="Z242">
        <v>8000</v>
      </c>
      <c r="AA242" t="s">
        <v>47</v>
      </c>
      <c r="AB242" t="s">
        <v>64</v>
      </c>
      <c r="AC242" t="s">
        <v>53</v>
      </c>
      <c r="AD242" s="16">
        <f t="shared" si="38"/>
        <v>7.8</v>
      </c>
      <c r="AE242" s="15">
        <v>0</v>
      </c>
      <c r="AF242" s="15">
        <v>0</v>
      </c>
      <c r="AG242" s="15">
        <v>0</v>
      </c>
      <c r="AH242" s="15">
        <v>0</v>
      </c>
      <c r="AI242" s="15">
        <f t="shared" si="35"/>
        <v>0.46799999999999997</v>
      </c>
      <c r="AJ242" s="15">
        <f t="shared" si="36"/>
        <v>8.2680000000000007</v>
      </c>
      <c r="AK242" t="s">
        <v>47</v>
      </c>
    </row>
    <row r="243" spans="1:37" ht="15" customHeight="1" x14ac:dyDescent="0.35">
      <c r="A243">
        <v>690929</v>
      </c>
      <c r="B243" t="s">
        <v>37</v>
      </c>
      <c r="C243" t="s">
        <v>38</v>
      </c>
      <c r="D243" s="9" t="s">
        <v>39</v>
      </c>
      <c r="E243" s="10" t="s">
        <v>37</v>
      </c>
      <c r="F243" s="11"/>
      <c r="G243" t="s">
        <v>792</v>
      </c>
      <c r="I243" t="s">
        <v>41</v>
      </c>
      <c r="J243" t="s">
        <v>793</v>
      </c>
      <c r="K243" t="s">
        <v>43</v>
      </c>
      <c r="L243">
        <v>2</v>
      </c>
      <c r="M243" t="s">
        <v>44</v>
      </c>
      <c r="N243" t="s">
        <v>45</v>
      </c>
      <c r="O243" t="s">
        <v>46</v>
      </c>
      <c r="P243" s="5">
        <v>1</v>
      </c>
      <c r="Q243" s="12">
        <v>44744.601539351854</v>
      </c>
      <c r="R243" s="13">
        <v>44749</v>
      </c>
      <c r="T243" t="s">
        <v>47</v>
      </c>
      <c r="U243" t="s">
        <v>48</v>
      </c>
      <c r="V243" t="s">
        <v>57</v>
      </c>
      <c r="Y243" t="s">
        <v>794</v>
      </c>
      <c r="Z243">
        <v>91308</v>
      </c>
      <c r="AA243" t="s">
        <v>51</v>
      </c>
      <c r="AB243" t="s">
        <v>64</v>
      </c>
      <c r="AC243" t="s">
        <v>53</v>
      </c>
      <c r="AD243" s="14">
        <f>IF(P243&lt;=1,13,IF(P243&lt;=2,23,IF(P243&lt;=3,35,IF(P243&lt;=4,43,IF(P243&lt;=5,53,IF(P243&lt;=6,63,IF(P243&lt;=7,71,IF(P243&lt;=8,79,IF(P243&lt;=9,87,IF(P243&lt;=10,95,IF(P243&lt;=11,105,IF(P243&lt;=12,114,IF(P243&lt;=13,119,IF(P243&lt;=14,127,IF(P243&lt;=15,135,IF(P243&lt;=16,143,IF(P243&lt;=17,153,IF(P243&lt;=18,163,IF(P243&lt;=19,171,IF(P243&lt;=20,185,IF(P243&lt;=21,193,IF(P243&lt;=22,201,IF(P243&lt;=23,210,IF(P243&lt;=24,220,IF(P243&lt;=25,230,IF(P243&lt;=26,240,IF(P243&lt;=27,250,IF(P243&lt;=28,260,IF(P243&lt;=29,270,IF(P243&lt;=30,280,280))))))))))))))))))))))))))))))</f>
        <v>13</v>
      </c>
      <c r="AE243" s="15">
        <v>0</v>
      </c>
      <c r="AF243" s="15">
        <v>0</v>
      </c>
      <c r="AG243" s="15">
        <v>0</v>
      </c>
      <c r="AH243" s="15">
        <v>0</v>
      </c>
      <c r="AI243" s="15">
        <f t="shared" si="35"/>
        <v>0.78</v>
      </c>
      <c r="AJ243" s="15">
        <f t="shared" si="36"/>
        <v>13.78</v>
      </c>
      <c r="AK243" t="s">
        <v>51</v>
      </c>
    </row>
    <row r="244" spans="1:37" ht="15" customHeight="1" x14ac:dyDescent="0.35">
      <c r="A244">
        <v>690929</v>
      </c>
      <c r="B244" t="s">
        <v>37</v>
      </c>
      <c r="C244" t="s">
        <v>38</v>
      </c>
      <c r="D244" s="9" t="s">
        <v>39</v>
      </c>
      <c r="E244" s="10" t="s">
        <v>37</v>
      </c>
      <c r="F244" s="11"/>
      <c r="G244" t="s">
        <v>795</v>
      </c>
      <c r="I244" t="s">
        <v>41</v>
      </c>
      <c r="J244" t="s">
        <v>796</v>
      </c>
      <c r="K244" t="s">
        <v>43</v>
      </c>
      <c r="L244">
        <v>2</v>
      </c>
      <c r="M244" t="s">
        <v>44</v>
      </c>
      <c r="N244" t="s">
        <v>45</v>
      </c>
      <c r="O244" t="s">
        <v>46</v>
      </c>
      <c r="P244" s="5">
        <v>1</v>
      </c>
      <c r="Q244" s="12">
        <v>44746.684374999997</v>
      </c>
      <c r="R244" s="13">
        <v>44749</v>
      </c>
      <c r="T244" t="s">
        <v>47</v>
      </c>
      <c r="U244" t="s">
        <v>48</v>
      </c>
      <c r="V244" t="s">
        <v>71</v>
      </c>
      <c r="Y244" t="s">
        <v>797</v>
      </c>
      <c r="Z244">
        <v>9300</v>
      </c>
      <c r="AA244" t="s">
        <v>47</v>
      </c>
      <c r="AB244" t="s">
        <v>64</v>
      </c>
      <c r="AC244" t="s">
        <v>53</v>
      </c>
      <c r="AD244" s="16">
        <f t="shared" ref="AD244:AD245" si="39">IF(P244&lt;=1,7,7+0.8*ROUNDUP(P244-1,0))</f>
        <v>7</v>
      </c>
      <c r="AE244" s="15">
        <v>0</v>
      </c>
      <c r="AF244" s="15">
        <v>0</v>
      </c>
      <c r="AG244" s="15">
        <v>0</v>
      </c>
      <c r="AH244" s="15">
        <v>0</v>
      </c>
      <c r="AI244" s="15">
        <f t="shared" si="35"/>
        <v>0.42</v>
      </c>
      <c r="AJ244" s="15">
        <f t="shared" si="36"/>
        <v>7.42</v>
      </c>
      <c r="AK244" t="s">
        <v>47</v>
      </c>
    </row>
    <row r="245" spans="1:37" ht="15" customHeight="1" x14ac:dyDescent="0.35">
      <c r="A245">
        <v>690929</v>
      </c>
      <c r="B245" t="s">
        <v>37</v>
      </c>
      <c r="C245" t="s">
        <v>38</v>
      </c>
      <c r="D245" s="9" t="s">
        <v>39</v>
      </c>
      <c r="E245" s="10" t="s">
        <v>37</v>
      </c>
      <c r="F245" s="11"/>
      <c r="G245" t="s">
        <v>798</v>
      </c>
      <c r="I245" t="s">
        <v>41</v>
      </c>
      <c r="J245" t="s">
        <v>799</v>
      </c>
      <c r="K245" t="s">
        <v>43</v>
      </c>
      <c r="L245">
        <v>2</v>
      </c>
      <c r="M245" t="s">
        <v>44</v>
      </c>
      <c r="N245" t="s">
        <v>45</v>
      </c>
      <c r="O245" t="s">
        <v>46</v>
      </c>
      <c r="P245" s="5">
        <v>1</v>
      </c>
      <c r="Q245" s="12">
        <v>44747.756990740738</v>
      </c>
      <c r="R245" s="13">
        <v>44749</v>
      </c>
      <c r="T245" t="s">
        <v>47</v>
      </c>
      <c r="U245" t="s">
        <v>48</v>
      </c>
      <c r="V245" t="s">
        <v>96</v>
      </c>
      <c r="Y245" t="s">
        <v>800</v>
      </c>
      <c r="Z245">
        <v>17200</v>
      </c>
      <c r="AA245" t="s">
        <v>47</v>
      </c>
      <c r="AB245" t="s">
        <v>56</v>
      </c>
      <c r="AC245" t="s">
        <v>53</v>
      </c>
      <c r="AD245" s="16">
        <f t="shared" si="39"/>
        <v>7</v>
      </c>
      <c r="AE245" s="15">
        <v>0</v>
      </c>
      <c r="AF245" s="15">
        <v>0</v>
      </c>
      <c r="AG245" s="15">
        <v>0</v>
      </c>
      <c r="AH245" s="15">
        <v>0</v>
      </c>
      <c r="AI245" s="15">
        <f t="shared" si="35"/>
        <v>0.42</v>
      </c>
      <c r="AJ245" s="15">
        <f t="shared" si="36"/>
        <v>7.42</v>
      </c>
      <c r="AK245" t="s">
        <v>47</v>
      </c>
    </row>
    <row r="246" spans="1:37" ht="15" customHeight="1" x14ac:dyDescent="0.35">
      <c r="A246">
        <v>690929</v>
      </c>
      <c r="B246" t="s">
        <v>37</v>
      </c>
      <c r="C246" t="s">
        <v>38</v>
      </c>
      <c r="D246" s="9" t="s">
        <v>39</v>
      </c>
      <c r="E246" s="10" t="s">
        <v>37</v>
      </c>
      <c r="F246" s="11"/>
      <c r="G246" t="s">
        <v>801</v>
      </c>
      <c r="I246" t="s">
        <v>41</v>
      </c>
      <c r="J246" t="s">
        <v>802</v>
      </c>
      <c r="K246" t="s">
        <v>43</v>
      </c>
      <c r="L246">
        <v>2</v>
      </c>
      <c r="M246" t="s">
        <v>44</v>
      </c>
      <c r="N246" t="s">
        <v>45</v>
      </c>
      <c r="O246" t="s">
        <v>46</v>
      </c>
      <c r="P246" s="5">
        <v>1</v>
      </c>
      <c r="Q246" s="12">
        <v>44745.794085648151</v>
      </c>
      <c r="R246" s="13">
        <v>44749</v>
      </c>
      <c r="T246" t="s">
        <v>47</v>
      </c>
      <c r="U246" t="s">
        <v>48</v>
      </c>
      <c r="V246" t="s">
        <v>114</v>
      </c>
      <c r="Y246" t="s">
        <v>803</v>
      </c>
      <c r="Z246">
        <v>52000</v>
      </c>
      <c r="AA246" t="s">
        <v>47</v>
      </c>
      <c r="AB246" t="s">
        <v>64</v>
      </c>
      <c r="AC246" t="s">
        <v>53</v>
      </c>
      <c r="AD246" s="16">
        <f>IF(P246&lt;=1,7,7+0.8*ROUNDUP(P246-1,0))</f>
        <v>7</v>
      </c>
      <c r="AE246" s="15">
        <v>0</v>
      </c>
      <c r="AF246" s="15">
        <v>0</v>
      </c>
      <c r="AG246" s="15">
        <v>0</v>
      </c>
      <c r="AH246" s="15">
        <v>0</v>
      </c>
      <c r="AI246" s="15">
        <f t="shared" si="35"/>
        <v>0.42</v>
      </c>
      <c r="AJ246" s="15">
        <f t="shared" si="36"/>
        <v>7.42</v>
      </c>
      <c r="AK246" t="s">
        <v>47</v>
      </c>
    </row>
    <row r="247" spans="1:37" ht="15" customHeight="1" x14ac:dyDescent="0.35">
      <c r="A247">
        <v>690929</v>
      </c>
      <c r="B247" t="s">
        <v>37</v>
      </c>
      <c r="C247" t="s">
        <v>38</v>
      </c>
      <c r="D247" s="9" t="s">
        <v>39</v>
      </c>
      <c r="E247" s="10" t="s">
        <v>37</v>
      </c>
      <c r="F247" s="11"/>
      <c r="G247" t="s">
        <v>804</v>
      </c>
      <c r="I247" t="s">
        <v>41</v>
      </c>
      <c r="J247" t="s">
        <v>805</v>
      </c>
      <c r="K247" t="s">
        <v>43</v>
      </c>
      <c r="L247">
        <v>2</v>
      </c>
      <c r="M247" t="s">
        <v>44</v>
      </c>
      <c r="N247" t="s">
        <v>45</v>
      </c>
      <c r="O247" t="s">
        <v>46</v>
      </c>
      <c r="P247" s="5">
        <v>3</v>
      </c>
      <c r="Q247" s="12">
        <v>44737.752129629633</v>
      </c>
      <c r="R247" s="13">
        <v>44749</v>
      </c>
      <c r="T247" t="s">
        <v>47</v>
      </c>
      <c r="U247" t="s">
        <v>48</v>
      </c>
      <c r="V247" t="s">
        <v>57</v>
      </c>
      <c r="Y247" t="s">
        <v>806</v>
      </c>
      <c r="Z247">
        <v>91109</v>
      </c>
      <c r="AA247" t="s">
        <v>51</v>
      </c>
      <c r="AB247" t="s">
        <v>807</v>
      </c>
      <c r="AC247" t="s">
        <v>53</v>
      </c>
      <c r="AD247" s="14">
        <f>IF(P247&lt;=1,13,IF(P247&lt;=2,23,IF(P247&lt;=3,35,IF(P247&lt;=4,43,IF(P247&lt;=5,53,IF(P247&lt;=6,63,IF(P247&lt;=7,71,IF(P247&lt;=8,79,IF(P247&lt;=9,87,IF(P247&lt;=10,95,IF(P247&lt;=11,105,IF(P247&lt;=12,114,IF(P247&lt;=13,119,IF(P247&lt;=14,127,IF(P247&lt;=15,135,IF(P247&lt;=16,143,IF(P247&lt;=17,153,IF(P247&lt;=18,163,IF(P247&lt;=19,171,IF(P247&lt;=20,185,IF(P247&lt;=21,193,IF(P247&lt;=22,201,IF(P247&lt;=23,210,IF(P247&lt;=24,220,IF(P247&lt;=25,230,IF(P247&lt;=26,240,IF(P247&lt;=27,250,IF(P247&lt;=28,260,IF(P247&lt;=29,270,IF(P247&lt;=30,280,280))))))))))))))))))))))))))))))</f>
        <v>35</v>
      </c>
      <c r="AE247" s="15">
        <v>0</v>
      </c>
      <c r="AF247" s="15">
        <v>0</v>
      </c>
      <c r="AG247" s="15">
        <v>0</v>
      </c>
      <c r="AH247" s="15">
        <v>0</v>
      </c>
      <c r="AI247" s="15">
        <f t="shared" si="35"/>
        <v>2.1</v>
      </c>
      <c r="AJ247" s="15">
        <f t="shared" si="36"/>
        <v>37.1</v>
      </c>
      <c r="AK247" t="s">
        <v>51</v>
      </c>
    </row>
    <row r="248" spans="1:37" ht="15" customHeight="1" x14ac:dyDescent="0.35">
      <c r="A248">
        <v>690929</v>
      </c>
      <c r="B248" t="s">
        <v>37</v>
      </c>
      <c r="C248" t="s">
        <v>38</v>
      </c>
      <c r="D248" s="9" t="s">
        <v>39</v>
      </c>
      <c r="E248" s="10" t="s">
        <v>37</v>
      </c>
      <c r="F248" s="11"/>
      <c r="G248" t="s">
        <v>808</v>
      </c>
      <c r="I248" t="s">
        <v>41</v>
      </c>
      <c r="J248" t="s">
        <v>809</v>
      </c>
      <c r="K248" t="s">
        <v>43</v>
      </c>
      <c r="L248">
        <v>2</v>
      </c>
      <c r="M248" t="s">
        <v>44</v>
      </c>
      <c r="N248" t="s">
        <v>45</v>
      </c>
      <c r="O248" t="s">
        <v>46</v>
      </c>
      <c r="P248" s="5">
        <v>1</v>
      </c>
      <c r="Q248" s="12">
        <v>44746.789606481485</v>
      </c>
      <c r="R248" s="13">
        <v>44749</v>
      </c>
      <c r="T248" t="s">
        <v>47</v>
      </c>
      <c r="U248" t="s">
        <v>48</v>
      </c>
      <c r="V248" t="s">
        <v>128</v>
      </c>
      <c r="Y248" t="s">
        <v>810</v>
      </c>
      <c r="Z248">
        <v>55200</v>
      </c>
      <c r="AA248" t="s">
        <v>47</v>
      </c>
      <c r="AB248" t="s">
        <v>64</v>
      </c>
      <c r="AC248" t="s">
        <v>53</v>
      </c>
      <c r="AD248" s="16">
        <f t="shared" ref="AD248:AD256" si="40">IF(P248&lt;=1,7,7+0.8*ROUNDUP(P248-1,0))</f>
        <v>7</v>
      </c>
      <c r="AE248" s="15">
        <v>0</v>
      </c>
      <c r="AF248" s="15">
        <v>0</v>
      </c>
      <c r="AG248" s="15">
        <v>0</v>
      </c>
      <c r="AH248" s="15">
        <v>0</v>
      </c>
      <c r="AI248" s="15">
        <f t="shared" si="35"/>
        <v>0.42</v>
      </c>
      <c r="AJ248" s="15">
        <f t="shared" si="36"/>
        <v>7.42</v>
      </c>
      <c r="AK248" t="s">
        <v>47</v>
      </c>
    </row>
    <row r="249" spans="1:37" ht="15" customHeight="1" x14ac:dyDescent="0.35">
      <c r="A249">
        <v>690929</v>
      </c>
      <c r="B249" t="s">
        <v>37</v>
      </c>
      <c r="C249" t="s">
        <v>38</v>
      </c>
      <c r="D249" s="9" t="s">
        <v>39</v>
      </c>
      <c r="E249" s="10" t="s">
        <v>37</v>
      </c>
      <c r="F249" s="11"/>
      <c r="G249" t="s">
        <v>811</v>
      </c>
      <c r="I249" t="s">
        <v>41</v>
      </c>
      <c r="J249" t="s">
        <v>812</v>
      </c>
      <c r="K249" t="s">
        <v>43</v>
      </c>
      <c r="L249">
        <v>2</v>
      </c>
      <c r="M249" t="s">
        <v>44</v>
      </c>
      <c r="N249" t="s">
        <v>45</v>
      </c>
      <c r="O249" t="s">
        <v>46</v>
      </c>
      <c r="P249" s="5">
        <v>1</v>
      </c>
      <c r="Q249" s="12">
        <v>44746.693240740744</v>
      </c>
      <c r="R249" s="13">
        <v>44749</v>
      </c>
      <c r="T249" t="s">
        <v>47</v>
      </c>
      <c r="U249" t="s">
        <v>48</v>
      </c>
      <c r="V249" t="s">
        <v>449</v>
      </c>
      <c r="Y249" t="s">
        <v>813</v>
      </c>
      <c r="Z249">
        <v>1000</v>
      </c>
      <c r="AA249" t="s">
        <v>47</v>
      </c>
      <c r="AB249" t="s">
        <v>64</v>
      </c>
      <c r="AC249" t="s">
        <v>53</v>
      </c>
      <c r="AD249" s="16">
        <f t="shared" si="40"/>
        <v>7</v>
      </c>
      <c r="AE249" s="15">
        <v>0</v>
      </c>
      <c r="AF249" s="15">
        <v>0</v>
      </c>
      <c r="AG249" s="15">
        <v>0</v>
      </c>
      <c r="AH249" s="15">
        <v>0</v>
      </c>
      <c r="AI249" s="15">
        <f t="shared" si="35"/>
        <v>0.42</v>
      </c>
      <c r="AJ249" s="15">
        <f t="shared" si="36"/>
        <v>7.42</v>
      </c>
      <c r="AK249" t="s">
        <v>47</v>
      </c>
    </row>
    <row r="250" spans="1:37" ht="15" customHeight="1" x14ac:dyDescent="0.35">
      <c r="A250">
        <v>690929</v>
      </c>
      <c r="B250" t="s">
        <v>37</v>
      </c>
      <c r="C250" t="s">
        <v>38</v>
      </c>
      <c r="D250" s="9" t="s">
        <v>39</v>
      </c>
      <c r="E250" s="10" t="s">
        <v>37</v>
      </c>
      <c r="F250" s="11"/>
      <c r="G250" t="s">
        <v>814</v>
      </c>
      <c r="I250" t="s">
        <v>41</v>
      </c>
      <c r="J250" t="s">
        <v>815</v>
      </c>
      <c r="K250" t="s">
        <v>43</v>
      </c>
      <c r="L250">
        <v>2</v>
      </c>
      <c r="M250" t="s">
        <v>44</v>
      </c>
      <c r="N250" t="s">
        <v>45</v>
      </c>
      <c r="O250" t="s">
        <v>46</v>
      </c>
      <c r="P250" s="5">
        <v>1</v>
      </c>
      <c r="Q250" s="12">
        <v>44746.574155092596</v>
      </c>
      <c r="R250" s="13">
        <v>44749</v>
      </c>
      <c r="T250" t="s">
        <v>47</v>
      </c>
      <c r="U250" t="s">
        <v>48</v>
      </c>
      <c r="V250" t="s">
        <v>71</v>
      </c>
      <c r="Y250" t="s">
        <v>816</v>
      </c>
      <c r="Z250">
        <v>5400</v>
      </c>
      <c r="AA250" t="s">
        <v>47</v>
      </c>
      <c r="AB250" t="s">
        <v>64</v>
      </c>
      <c r="AC250" t="s">
        <v>53</v>
      </c>
      <c r="AD250" s="16">
        <f t="shared" si="40"/>
        <v>7</v>
      </c>
      <c r="AE250" s="15">
        <v>0</v>
      </c>
      <c r="AF250" s="15">
        <v>0</v>
      </c>
      <c r="AG250" s="15">
        <v>0</v>
      </c>
      <c r="AH250" s="15">
        <v>0</v>
      </c>
      <c r="AI250" s="15">
        <f t="shared" si="35"/>
        <v>0.42</v>
      </c>
      <c r="AJ250" s="15">
        <f t="shared" si="36"/>
        <v>7.42</v>
      </c>
      <c r="AK250" t="s">
        <v>47</v>
      </c>
    </row>
    <row r="251" spans="1:37" ht="15" customHeight="1" x14ac:dyDescent="0.35">
      <c r="A251">
        <v>690929</v>
      </c>
      <c r="B251" t="s">
        <v>37</v>
      </c>
      <c r="C251" t="s">
        <v>38</v>
      </c>
      <c r="D251" s="9" t="s">
        <v>39</v>
      </c>
      <c r="E251" s="10" t="s">
        <v>37</v>
      </c>
      <c r="F251" s="11"/>
      <c r="G251" t="s">
        <v>817</v>
      </c>
      <c r="I251" t="s">
        <v>41</v>
      </c>
      <c r="J251" t="s">
        <v>818</v>
      </c>
      <c r="K251" t="s">
        <v>43</v>
      </c>
      <c r="L251">
        <v>2</v>
      </c>
      <c r="M251" t="s">
        <v>44</v>
      </c>
      <c r="N251" t="s">
        <v>45</v>
      </c>
      <c r="O251" t="s">
        <v>46</v>
      </c>
      <c r="P251" s="5">
        <v>1</v>
      </c>
      <c r="Q251" s="12">
        <v>44748.409108796295</v>
      </c>
      <c r="R251" s="13">
        <v>44749</v>
      </c>
      <c r="T251" t="s">
        <v>47</v>
      </c>
      <c r="U251" t="s">
        <v>48</v>
      </c>
      <c r="V251" t="s">
        <v>96</v>
      </c>
      <c r="Y251" t="s">
        <v>819</v>
      </c>
      <c r="Z251">
        <v>16800</v>
      </c>
      <c r="AA251" t="s">
        <v>47</v>
      </c>
      <c r="AB251" t="s">
        <v>56</v>
      </c>
      <c r="AC251" t="s">
        <v>53</v>
      </c>
      <c r="AD251" s="16">
        <f t="shared" si="40"/>
        <v>7</v>
      </c>
      <c r="AE251" s="15">
        <v>0</v>
      </c>
      <c r="AF251" s="15">
        <v>0</v>
      </c>
      <c r="AG251" s="15">
        <v>0</v>
      </c>
      <c r="AH251" s="15">
        <v>0</v>
      </c>
      <c r="AI251" s="15">
        <f t="shared" si="35"/>
        <v>0.42</v>
      </c>
      <c r="AJ251" s="15">
        <f t="shared" si="36"/>
        <v>7.42</v>
      </c>
      <c r="AK251" t="s">
        <v>47</v>
      </c>
    </row>
    <row r="252" spans="1:37" ht="15" customHeight="1" x14ac:dyDescent="0.35">
      <c r="A252">
        <v>690929</v>
      </c>
      <c r="B252" t="s">
        <v>37</v>
      </c>
      <c r="C252" t="s">
        <v>38</v>
      </c>
      <c r="D252" s="9" t="s">
        <v>39</v>
      </c>
      <c r="E252" s="10" t="s">
        <v>37</v>
      </c>
      <c r="F252" s="11"/>
      <c r="G252" t="s">
        <v>820</v>
      </c>
      <c r="I252" t="s">
        <v>41</v>
      </c>
      <c r="J252" t="s">
        <v>821</v>
      </c>
      <c r="K252" t="s">
        <v>43</v>
      </c>
      <c r="L252">
        <v>2</v>
      </c>
      <c r="M252" t="s">
        <v>44</v>
      </c>
      <c r="N252" t="s">
        <v>45</v>
      </c>
      <c r="O252" t="s">
        <v>46</v>
      </c>
      <c r="P252" s="5">
        <v>1</v>
      </c>
      <c r="Q252" s="12">
        <v>44746.760636574072</v>
      </c>
      <c r="R252" s="13">
        <v>44749</v>
      </c>
      <c r="T252" t="s">
        <v>47</v>
      </c>
      <c r="U252" t="s">
        <v>48</v>
      </c>
      <c r="V252" t="s">
        <v>85</v>
      </c>
      <c r="Y252" t="s">
        <v>822</v>
      </c>
      <c r="Z252">
        <v>14120</v>
      </c>
      <c r="AA252" t="s">
        <v>47</v>
      </c>
      <c r="AB252" t="s">
        <v>64</v>
      </c>
      <c r="AC252" t="s">
        <v>53</v>
      </c>
      <c r="AD252" s="16">
        <f t="shared" si="40"/>
        <v>7</v>
      </c>
      <c r="AE252" s="15">
        <v>0</v>
      </c>
      <c r="AF252" s="15">
        <v>0</v>
      </c>
      <c r="AG252" s="15">
        <v>0</v>
      </c>
      <c r="AH252" s="15">
        <v>0</v>
      </c>
      <c r="AI252" s="15">
        <f t="shared" si="35"/>
        <v>0.42</v>
      </c>
      <c r="AJ252" s="15">
        <f t="shared" si="36"/>
        <v>7.42</v>
      </c>
      <c r="AK252" t="s">
        <v>47</v>
      </c>
    </row>
    <row r="253" spans="1:37" ht="15" customHeight="1" x14ac:dyDescent="0.35">
      <c r="A253">
        <v>690929</v>
      </c>
      <c r="B253" t="s">
        <v>37</v>
      </c>
      <c r="C253" t="s">
        <v>38</v>
      </c>
      <c r="D253" s="9" t="s">
        <v>39</v>
      </c>
      <c r="E253" s="10" t="s">
        <v>37</v>
      </c>
      <c r="F253" s="11"/>
      <c r="G253" t="s">
        <v>823</v>
      </c>
      <c r="I253" t="s">
        <v>41</v>
      </c>
      <c r="J253" t="s">
        <v>824</v>
      </c>
      <c r="K253" t="s">
        <v>43</v>
      </c>
      <c r="L253">
        <v>2</v>
      </c>
      <c r="M253" t="s">
        <v>44</v>
      </c>
      <c r="N253" t="s">
        <v>45</v>
      </c>
      <c r="O253" t="s">
        <v>46</v>
      </c>
      <c r="P253" s="5">
        <v>6</v>
      </c>
      <c r="Q253" s="12">
        <v>44748.417858796296</v>
      </c>
      <c r="R253" s="13">
        <v>44749</v>
      </c>
      <c r="T253" t="s">
        <v>47</v>
      </c>
      <c r="U253" t="s">
        <v>48</v>
      </c>
      <c r="V253" t="s">
        <v>96</v>
      </c>
      <c r="Y253" t="s">
        <v>825</v>
      </c>
      <c r="Z253">
        <v>17500</v>
      </c>
      <c r="AA253" t="s">
        <v>47</v>
      </c>
      <c r="AB253" t="s">
        <v>826</v>
      </c>
      <c r="AC253" t="s">
        <v>53</v>
      </c>
      <c r="AD253" s="16">
        <f t="shared" si="40"/>
        <v>11</v>
      </c>
      <c r="AE253" s="15">
        <v>0</v>
      </c>
      <c r="AF253" s="15">
        <v>0</v>
      </c>
      <c r="AG253" s="15">
        <v>0</v>
      </c>
      <c r="AH253" s="15">
        <v>0</v>
      </c>
      <c r="AI253" s="15">
        <f t="shared" si="35"/>
        <v>0.65999999999999992</v>
      </c>
      <c r="AJ253" s="15">
        <f t="shared" si="36"/>
        <v>11.66</v>
      </c>
      <c r="AK253" t="s">
        <v>47</v>
      </c>
    </row>
    <row r="254" spans="1:37" ht="15" customHeight="1" x14ac:dyDescent="0.35">
      <c r="A254">
        <v>690929</v>
      </c>
      <c r="B254" t="s">
        <v>37</v>
      </c>
      <c r="C254" t="s">
        <v>38</v>
      </c>
      <c r="D254" s="9" t="s">
        <v>39</v>
      </c>
      <c r="E254" s="10" t="s">
        <v>37</v>
      </c>
      <c r="F254" s="11"/>
      <c r="G254" t="s">
        <v>827</v>
      </c>
      <c r="I254" t="s">
        <v>41</v>
      </c>
      <c r="J254" t="s">
        <v>828</v>
      </c>
      <c r="K254" t="s">
        <v>43</v>
      </c>
      <c r="L254">
        <v>2</v>
      </c>
      <c r="M254" t="s">
        <v>44</v>
      </c>
      <c r="N254" t="s">
        <v>45</v>
      </c>
      <c r="O254" t="s">
        <v>46</v>
      </c>
      <c r="P254" s="5">
        <v>1</v>
      </c>
      <c r="Q254" s="12">
        <v>44748.606770833336</v>
      </c>
      <c r="R254" s="13">
        <v>44749</v>
      </c>
      <c r="T254" t="s">
        <v>47</v>
      </c>
      <c r="U254" t="s">
        <v>48</v>
      </c>
      <c r="V254" t="s">
        <v>67</v>
      </c>
      <c r="Y254" t="s">
        <v>829</v>
      </c>
      <c r="Z254">
        <v>26660</v>
      </c>
      <c r="AA254" t="s">
        <v>47</v>
      </c>
      <c r="AB254" t="s">
        <v>48</v>
      </c>
      <c r="AC254" t="s">
        <v>53</v>
      </c>
      <c r="AD254" s="16">
        <f t="shared" si="40"/>
        <v>7</v>
      </c>
      <c r="AE254" s="15">
        <v>0</v>
      </c>
      <c r="AF254" s="15">
        <v>0</v>
      </c>
      <c r="AG254" s="15">
        <v>0</v>
      </c>
      <c r="AH254" s="15">
        <v>0</v>
      </c>
      <c r="AI254" s="15">
        <f t="shared" si="35"/>
        <v>0.42</v>
      </c>
      <c r="AJ254" s="15">
        <f t="shared" si="36"/>
        <v>7.42</v>
      </c>
      <c r="AK254" t="s">
        <v>47</v>
      </c>
    </row>
    <row r="255" spans="1:37" ht="15" customHeight="1" x14ac:dyDescent="0.35">
      <c r="A255">
        <v>690929</v>
      </c>
      <c r="B255" t="s">
        <v>37</v>
      </c>
      <c r="C255" t="s">
        <v>38</v>
      </c>
      <c r="D255" s="9" t="s">
        <v>39</v>
      </c>
      <c r="E255" s="10" t="s">
        <v>37</v>
      </c>
      <c r="F255" s="11"/>
      <c r="G255" t="s">
        <v>830</v>
      </c>
      <c r="I255" t="s">
        <v>41</v>
      </c>
      <c r="J255" t="s">
        <v>831</v>
      </c>
      <c r="K255" t="s">
        <v>43</v>
      </c>
      <c r="L255">
        <v>2</v>
      </c>
      <c r="M255" t="s">
        <v>44</v>
      </c>
      <c r="N255" t="s">
        <v>45</v>
      </c>
      <c r="O255" t="s">
        <v>46</v>
      </c>
      <c r="P255" s="5">
        <v>1</v>
      </c>
      <c r="Q255" s="12">
        <v>44748.612141203703</v>
      </c>
      <c r="R255" s="13">
        <v>44749</v>
      </c>
      <c r="T255" t="s">
        <v>47</v>
      </c>
      <c r="U255" t="s">
        <v>48</v>
      </c>
      <c r="V255" t="s">
        <v>67</v>
      </c>
      <c r="Y255" t="s">
        <v>832</v>
      </c>
      <c r="Z255">
        <v>26103</v>
      </c>
      <c r="AA255" t="s">
        <v>47</v>
      </c>
      <c r="AB255" t="s">
        <v>48</v>
      </c>
      <c r="AC255" t="s">
        <v>53</v>
      </c>
      <c r="AD255" s="16">
        <f t="shared" si="40"/>
        <v>7</v>
      </c>
      <c r="AE255" s="15">
        <v>0</v>
      </c>
      <c r="AF255" s="15">
        <v>0</v>
      </c>
      <c r="AG255" s="15">
        <v>0</v>
      </c>
      <c r="AH255" s="15">
        <v>0</v>
      </c>
      <c r="AI255" s="15">
        <f t="shared" si="35"/>
        <v>0.42</v>
      </c>
      <c r="AJ255" s="15">
        <f t="shared" si="36"/>
        <v>7.42</v>
      </c>
      <c r="AK255" t="s">
        <v>47</v>
      </c>
    </row>
    <row r="256" spans="1:37" ht="15" customHeight="1" x14ac:dyDescent="0.35">
      <c r="A256">
        <v>690929</v>
      </c>
      <c r="B256" t="s">
        <v>37</v>
      </c>
      <c r="C256" t="s">
        <v>38</v>
      </c>
      <c r="D256" s="9" t="s">
        <v>39</v>
      </c>
      <c r="E256" s="10" t="s">
        <v>37</v>
      </c>
      <c r="F256" s="11"/>
      <c r="G256" t="s">
        <v>833</v>
      </c>
      <c r="I256" t="s">
        <v>41</v>
      </c>
      <c r="J256" t="s">
        <v>834</v>
      </c>
      <c r="K256" t="s">
        <v>43</v>
      </c>
      <c r="L256">
        <v>2</v>
      </c>
      <c r="M256" t="s">
        <v>44</v>
      </c>
      <c r="N256" t="s">
        <v>45</v>
      </c>
      <c r="O256" t="s">
        <v>46</v>
      </c>
      <c r="P256" s="5">
        <v>1</v>
      </c>
      <c r="Q256" s="12">
        <v>44746.76972222222</v>
      </c>
      <c r="R256" s="13">
        <v>44749</v>
      </c>
      <c r="T256" t="s">
        <v>47</v>
      </c>
      <c r="U256" t="s">
        <v>48</v>
      </c>
      <c r="V256" t="s">
        <v>85</v>
      </c>
      <c r="Y256" t="s">
        <v>835</v>
      </c>
      <c r="Z256">
        <v>14000</v>
      </c>
      <c r="AA256" t="s">
        <v>47</v>
      </c>
      <c r="AB256" t="s">
        <v>64</v>
      </c>
      <c r="AC256" t="s">
        <v>53</v>
      </c>
      <c r="AD256" s="16">
        <f t="shared" si="40"/>
        <v>7</v>
      </c>
      <c r="AE256" s="15">
        <v>0</v>
      </c>
      <c r="AF256" s="15">
        <v>0</v>
      </c>
      <c r="AG256" s="15">
        <v>0</v>
      </c>
      <c r="AH256" s="15">
        <v>0</v>
      </c>
      <c r="AI256" s="15">
        <f t="shared" si="35"/>
        <v>0.42</v>
      </c>
      <c r="AJ256" s="15">
        <f t="shared" si="36"/>
        <v>7.42</v>
      </c>
      <c r="AK256" t="s">
        <v>47</v>
      </c>
    </row>
    <row r="257" spans="1:37" ht="15" customHeight="1" x14ac:dyDescent="0.35">
      <c r="A257">
        <v>690929</v>
      </c>
      <c r="B257" t="s">
        <v>37</v>
      </c>
      <c r="C257" t="s">
        <v>38</v>
      </c>
      <c r="D257" s="9" t="s">
        <v>39</v>
      </c>
      <c r="E257" s="10" t="s">
        <v>37</v>
      </c>
      <c r="F257" s="11"/>
      <c r="G257" t="s">
        <v>836</v>
      </c>
      <c r="I257" t="s">
        <v>41</v>
      </c>
      <c r="J257" t="s">
        <v>837</v>
      </c>
      <c r="K257" t="s">
        <v>43</v>
      </c>
      <c r="L257">
        <v>2</v>
      </c>
      <c r="M257" t="s">
        <v>44</v>
      </c>
      <c r="N257" t="s">
        <v>45</v>
      </c>
      <c r="O257" t="s">
        <v>46</v>
      </c>
      <c r="P257" s="5">
        <v>1</v>
      </c>
      <c r="Q257" s="12">
        <v>44746.68246527778</v>
      </c>
      <c r="R257" s="13">
        <v>44750</v>
      </c>
      <c r="T257" t="s">
        <v>47</v>
      </c>
      <c r="U257" t="s">
        <v>48</v>
      </c>
      <c r="V257" t="s">
        <v>80</v>
      </c>
      <c r="Y257" t="s">
        <v>838</v>
      </c>
      <c r="Z257">
        <v>93250</v>
      </c>
      <c r="AA257" t="s">
        <v>51</v>
      </c>
      <c r="AB257" t="s">
        <v>64</v>
      </c>
      <c r="AC257" t="s">
        <v>53</v>
      </c>
      <c r="AD257" s="14">
        <f>IF(P257&lt;=1,13,IF(P257&lt;=2,23,IF(P257&lt;=3,35,IF(P257&lt;=4,43,IF(P257&lt;=5,53,IF(P257&lt;=6,63,IF(P257&lt;=7,71,IF(P257&lt;=8,79,IF(P257&lt;=9,87,IF(P257&lt;=10,95,IF(P257&lt;=11,105,IF(P257&lt;=12,114,IF(P257&lt;=13,119,IF(P257&lt;=14,127,IF(P257&lt;=15,135,IF(P257&lt;=16,143,IF(P257&lt;=17,153,IF(P257&lt;=18,163,IF(P257&lt;=19,171,IF(P257&lt;=20,185,IF(P257&lt;=21,193,IF(P257&lt;=22,201,IF(P257&lt;=23,210,IF(P257&lt;=24,220,IF(P257&lt;=25,230,IF(P257&lt;=26,240,IF(P257&lt;=27,250,IF(P257&lt;=28,260,IF(P257&lt;=29,270,IF(P257&lt;=30,280,280))))))))))))))))))))))))))))))</f>
        <v>13</v>
      </c>
      <c r="AE257" s="15">
        <v>0</v>
      </c>
      <c r="AF257" s="15">
        <v>0</v>
      </c>
      <c r="AG257" s="15">
        <v>0</v>
      </c>
      <c r="AH257" s="15">
        <v>0</v>
      </c>
      <c r="AI257" s="15">
        <f t="shared" si="35"/>
        <v>0.78</v>
      </c>
      <c r="AJ257" s="15">
        <f t="shared" si="36"/>
        <v>13.78</v>
      </c>
      <c r="AK257" t="s">
        <v>51</v>
      </c>
    </row>
    <row r="258" spans="1:37" ht="15" customHeight="1" x14ac:dyDescent="0.35">
      <c r="A258">
        <v>690929</v>
      </c>
      <c r="B258" t="s">
        <v>37</v>
      </c>
      <c r="C258" t="s">
        <v>38</v>
      </c>
      <c r="D258" s="9" t="s">
        <v>39</v>
      </c>
      <c r="E258" s="10" t="s">
        <v>37</v>
      </c>
      <c r="F258" s="11"/>
      <c r="G258" t="s">
        <v>839</v>
      </c>
      <c r="I258" t="s">
        <v>41</v>
      </c>
      <c r="J258" t="s">
        <v>840</v>
      </c>
      <c r="K258" t="s">
        <v>43</v>
      </c>
      <c r="L258">
        <v>2</v>
      </c>
      <c r="M258" t="s">
        <v>44</v>
      </c>
      <c r="N258" t="s">
        <v>45</v>
      </c>
      <c r="O258" t="s">
        <v>46</v>
      </c>
      <c r="P258" s="5">
        <v>1</v>
      </c>
      <c r="Q258" s="12">
        <v>44746.661898148152</v>
      </c>
      <c r="R258" s="13">
        <v>44750</v>
      </c>
      <c r="T258" t="s">
        <v>47</v>
      </c>
      <c r="U258" t="s">
        <v>48</v>
      </c>
      <c r="V258" t="s">
        <v>114</v>
      </c>
      <c r="Y258" t="s">
        <v>841</v>
      </c>
      <c r="Z258">
        <v>41000</v>
      </c>
      <c r="AA258" t="s">
        <v>47</v>
      </c>
      <c r="AB258" t="s">
        <v>64</v>
      </c>
      <c r="AC258" t="s">
        <v>53</v>
      </c>
      <c r="AD258" s="16">
        <f>IF(P258&lt;=1,7,7+0.8*ROUNDUP(P258-1,0))</f>
        <v>7</v>
      </c>
      <c r="AE258" s="15">
        <v>0</v>
      </c>
      <c r="AF258" s="15">
        <v>0</v>
      </c>
      <c r="AG258" s="15">
        <v>0</v>
      </c>
      <c r="AH258" s="15">
        <v>0</v>
      </c>
      <c r="AI258" s="15">
        <f t="shared" ref="AI258:AI321" si="41">(AD258+AF258+AH258)*6%</f>
        <v>0.42</v>
      </c>
      <c r="AJ258" s="15">
        <f t="shared" ref="AJ258:AJ321" si="42">AD258+AF258+AH258+AI258</f>
        <v>7.42</v>
      </c>
      <c r="AK258" t="s">
        <v>47</v>
      </c>
    </row>
    <row r="259" spans="1:37" ht="15" customHeight="1" x14ac:dyDescent="0.35">
      <c r="A259">
        <v>690929</v>
      </c>
      <c r="B259" t="s">
        <v>37</v>
      </c>
      <c r="C259" t="s">
        <v>38</v>
      </c>
      <c r="D259" s="9" t="s">
        <v>39</v>
      </c>
      <c r="E259" s="10" t="s">
        <v>37</v>
      </c>
      <c r="F259" s="11"/>
      <c r="G259" t="s">
        <v>842</v>
      </c>
      <c r="I259" t="s">
        <v>41</v>
      </c>
      <c r="J259" t="s">
        <v>843</v>
      </c>
      <c r="K259" t="s">
        <v>43</v>
      </c>
      <c r="L259">
        <v>2</v>
      </c>
      <c r="M259" t="s">
        <v>44</v>
      </c>
      <c r="N259" t="s">
        <v>45</v>
      </c>
      <c r="O259" t="s">
        <v>46</v>
      </c>
      <c r="P259" s="5">
        <v>13</v>
      </c>
      <c r="Q259" s="12">
        <v>44748.499328703707</v>
      </c>
      <c r="R259" s="13">
        <v>44750</v>
      </c>
      <c r="T259" t="s">
        <v>47</v>
      </c>
      <c r="U259" t="s">
        <v>48</v>
      </c>
      <c r="V259" t="s">
        <v>114</v>
      </c>
      <c r="Y259" t="s">
        <v>844</v>
      </c>
      <c r="Z259">
        <v>42000</v>
      </c>
      <c r="AA259" t="s">
        <v>47</v>
      </c>
      <c r="AB259" t="s">
        <v>64</v>
      </c>
      <c r="AC259" t="s">
        <v>53</v>
      </c>
      <c r="AD259" s="16">
        <f t="shared" ref="AD259:AD269" si="43">IF(P259&lt;=1,7,7+0.8*ROUNDUP(P259-1,0))</f>
        <v>16.600000000000001</v>
      </c>
      <c r="AE259" s="15">
        <v>0</v>
      </c>
      <c r="AF259" s="15">
        <v>0</v>
      </c>
      <c r="AG259" s="15">
        <v>0</v>
      </c>
      <c r="AH259" s="15">
        <v>0</v>
      </c>
      <c r="AI259" s="15">
        <f t="shared" si="41"/>
        <v>0.996</v>
      </c>
      <c r="AJ259" s="15">
        <f t="shared" si="42"/>
        <v>17.596</v>
      </c>
      <c r="AK259" t="s">
        <v>47</v>
      </c>
    </row>
    <row r="260" spans="1:37" ht="15" customHeight="1" x14ac:dyDescent="0.35">
      <c r="A260">
        <v>690929</v>
      </c>
      <c r="B260" t="s">
        <v>37</v>
      </c>
      <c r="C260" t="s">
        <v>38</v>
      </c>
      <c r="D260" s="9" t="s">
        <v>39</v>
      </c>
      <c r="E260" s="10" t="s">
        <v>37</v>
      </c>
      <c r="F260" s="11"/>
      <c r="G260" t="s">
        <v>845</v>
      </c>
      <c r="I260" t="s">
        <v>41</v>
      </c>
      <c r="J260" t="s">
        <v>843</v>
      </c>
      <c r="K260" t="s">
        <v>43</v>
      </c>
      <c r="L260">
        <v>2</v>
      </c>
      <c r="M260" t="s">
        <v>44</v>
      </c>
      <c r="N260" t="s">
        <v>45</v>
      </c>
      <c r="O260" t="s">
        <v>46</v>
      </c>
      <c r="P260" s="5">
        <v>10</v>
      </c>
      <c r="Q260" s="12">
        <v>44748.528611111113</v>
      </c>
      <c r="R260" s="13">
        <v>44750</v>
      </c>
      <c r="T260" t="s">
        <v>47</v>
      </c>
      <c r="U260" t="s">
        <v>48</v>
      </c>
      <c r="V260" t="s">
        <v>114</v>
      </c>
      <c r="Y260" t="s">
        <v>846</v>
      </c>
      <c r="Z260">
        <v>42000</v>
      </c>
      <c r="AA260" t="s">
        <v>47</v>
      </c>
      <c r="AB260" t="s">
        <v>64</v>
      </c>
      <c r="AC260" t="s">
        <v>53</v>
      </c>
      <c r="AD260" s="16">
        <f t="shared" si="43"/>
        <v>14.2</v>
      </c>
      <c r="AE260" s="15">
        <v>0</v>
      </c>
      <c r="AF260" s="15">
        <v>0</v>
      </c>
      <c r="AG260" s="15">
        <v>0</v>
      </c>
      <c r="AH260" s="15">
        <v>0</v>
      </c>
      <c r="AI260" s="15">
        <f t="shared" si="41"/>
        <v>0.85199999999999998</v>
      </c>
      <c r="AJ260" s="15">
        <f t="shared" si="42"/>
        <v>15.052</v>
      </c>
      <c r="AK260" t="s">
        <v>47</v>
      </c>
    </row>
    <row r="261" spans="1:37" ht="15" customHeight="1" x14ac:dyDescent="0.35">
      <c r="A261">
        <v>690929</v>
      </c>
      <c r="B261" t="s">
        <v>37</v>
      </c>
      <c r="C261" t="s">
        <v>38</v>
      </c>
      <c r="D261" s="9" t="s">
        <v>39</v>
      </c>
      <c r="E261" s="10" t="s">
        <v>37</v>
      </c>
      <c r="F261" s="11"/>
      <c r="G261" t="s">
        <v>847</v>
      </c>
      <c r="I261" t="s">
        <v>41</v>
      </c>
      <c r="J261" t="s">
        <v>843</v>
      </c>
      <c r="K261" t="s">
        <v>43</v>
      </c>
      <c r="L261">
        <v>2</v>
      </c>
      <c r="M261" t="s">
        <v>44</v>
      </c>
      <c r="N261" t="s">
        <v>45</v>
      </c>
      <c r="O261" t="s">
        <v>46</v>
      </c>
      <c r="P261" s="5">
        <v>15</v>
      </c>
      <c r="Q261" s="12">
        <v>44748.532337962963</v>
      </c>
      <c r="R261" s="13">
        <v>44750</v>
      </c>
      <c r="T261" t="s">
        <v>47</v>
      </c>
      <c r="U261" t="s">
        <v>48</v>
      </c>
      <c r="V261" t="s">
        <v>114</v>
      </c>
      <c r="Y261" t="s">
        <v>846</v>
      </c>
      <c r="Z261">
        <v>42000</v>
      </c>
      <c r="AA261" t="s">
        <v>47</v>
      </c>
      <c r="AB261" t="s">
        <v>64</v>
      </c>
      <c r="AC261" t="s">
        <v>53</v>
      </c>
      <c r="AD261" s="16">
        <f t="shared" si="43"/>
        <v>18.200000000000003</v>
      </c>
      <c r="AE261" s="15">
        <v>0</v>
      </c>
      <c r="AF261" s="15">
        <v>0</v>
      </c>
      <c r="AG261" s="15">
        <v>0</v>
      </c>
      <c r="AH261" s="15">
        <v>0</v>
      </c>
      <c r="AI261" s="15">
        <f t="shared" si="41"/>
        <v>1.0920000000000001</v>
      </c>
      <c r="AJ261" s="15">
        <f t="shared" si="42"/>
        <v>19.292000000000002</v>
      </c>
      <c r="AK261" t="s">
        <v>47</v>
      </c>
    </row>
    <row r="262" spans="1:37" ht="15" customHeight="1" x14ac:dyDescent="0.35">
      <c r="A262">
        <v>690929</v>
      </c>
      <c r="B262" t="s">
        <v>37</v>
      </c>
      <c r="C262" t="s">
        <v>38</v>
      </c>
      <c r="D262" s="9" t="s">
        <v>39</v>
      </c>
      <c r="E262" s="10" t="s">
        <v>37</v>
      </c>
      <c r="F262" s="11"/>
      <c r="G262" t="s">
        <v>848</v>
      </c>
      <c r="I262" t="s">
        <v>41</v>
      </c>
      <c r="J262" t="s">
        <v>849</v>
      </c>
      <c r="K262" t="s">
        <v>43</v>
      </c>
      <c r="L262">
        <v>2</v>
      </c>
      <c r="M262" t="s">
        <v>44</v>
      </c>
      <c r="N262" t="s">
        <v>45</v>
      </c>
      <c r="O262" t="s">
        <v>46</v>
      </c>
      <c r="P262" s="5">
        <v>1</v>
      </c>
      <c r="Q262" s="12">
        <v>44749.557395833333</v>
      </c>
      <c r="R262" s="13">
        <v>44750</v>
      </c>
      <c r="T262" t="s">
        <v>47</v>
      </c>
      <c r="U262" t="s">
        <v>48</v>
      </c>
      <c r="V262" t="s">
        <v>67</v>
      </c>
      <c r="Y262" t="s">
        <v>850</v>
      </c>
      <c r="Z262">
        <v>25000</v>
      </c>
      <c r="AA262" t="s">
        <v>47</v>
      </c>
      <c r="AB262" t="s">
        <v>48</v>
      </c>
      <c r="AC262" t="s">
        <v>53</v>
      </c>
      <c r="AD262" s="16">
        <f t="shared" si="43"/>
        <v>7</v>
      </c>
      <c r="AE262" s="15">
        <v>0</v>
      </c>
      <c r="AF262" s="15">
        <v>0</v>
      </c>
      <c r="AG262" s="15">
        <v>0</v>
      </c>
      <c r="AH262" s="15">
        <v>0</v>
      </c>
      <c r="AI262" s="15">
        <f t="shared" si="41"/>
        <v>0.42</v>
      </c>
      <c r="AJ262" s="15">
        <f t="shared" si="42"/>
        <v>7.42</v>
      </c>
      <c r="AK262" t="s">
        <v>47</v>
      </c>
    </row>
    <row r="263" spans="1:37" ht="15" customHeight="1" x14ac:dyDescent="0.35">
      <c r="A263">
        <v>690929</v>
      </c>
      <c r="B263" t="s">
        <v>37</v>
      </c>
      <c r="C263" t="s">
        <v>38</v>
      </c>
      <c r="D263" s="9" t="s">
        <v>39</v>
      </c>
      <c r="E263" s="10" t="s">
        <v>37</v>
      </c>
      <c r="F263" s="11"/>
      <c r="G263" t="s">
        <v>851</v>
      </c>
      <c r="I263" t="s">
        <v>41</v>
      </c>
      <c r="J263" t="s">
        <v>852</v>
      </c>
      <c r="K263" t="s">
        <v>43</v>
      </c>
      <c r="L263">
        <v>2</v>
      </c>
      <c r="M263" t="s">
        <v>44</v>
      </c>
      <c r="N263" t="s">
        <v>45</v>
      </c>
      <c r="O263" t="s">
        <v>46</v>
      </c>
      <c r="P263" s="5">
        <v>1</v>
      </c>
      <c r="Q263" s="12">
        <v>44748.716921296298</v>
      </c>
      <c r="R263" s="13">
        <v>44750</v>
      </c>
      <c r="T263" t="s">
        <v>47</v>
      </c>
      <c r="U263" t="s">
        <v>48</v>
      </c>
      <c r="V263" t="s">
        <v>76</v>
      </c>
      <c r="Y263" t="s">
        <v>853</v>
      </c>
      <c r="Z263">
        <v>21300</v>
      </c>
      <c r="AA263" t="s">
        <v>47</v>
      </c>
      <c r="AB263" t="s">
        <v>48</v>
      </c>
      <c r="AC263" t="s">
        <v>53</v>
      </c>
      <c r="AD263" s="16">
        <f t="shared" si="43"/>
        <v>7</v>
      </c>
      <c r="AE263" s="15">
        <v>0</v>
      </c>
      <c r="AF263" s="15">
        <v>0</v>
      </c>
      <c r="AG263" s="15">
        <v>0</v>
      </c>
      <c r="AH263" s="15">
        <v>0</v>
      </c>
      <c r="AI263" s="15">
        <f t="shared" si="41"/>
        <v>0.42</v>
      </c>
      <c r="AJ263" s="15">
        <f t="shared" si="42"/>
        <v>7.42</v>
      </c>
      <c r="AK263" t="s">
        <v>47</v>
      </c>
    </row>
    <row r="264" spans="1:37" ht="15" customHeight="1" x14ac:dyDescent="0.35">
      <c r="A264">
        <v>690929</v>
      </c>
      <c r="B264" t="s">
        <v>37</v>
      </c>
      <c r="C264" t="s">
        <v>38</v>
      </c>
      <c r="D264" s="9" t="s">
        <v>39</v>
      </c>
      <c r="E264" s="10" t="s">
        <v>37</v>
      </c>
      <c r="F264" s="11"/>
      <c r="G264" t="s">
        <v>854</v>
      </c>
      <c r="I264" t="s">
        <v>41</v>
      </c>
      <c r="J264" t="s">
        <v>855</v>
      </c>
      <c r="K264" t="s">
        <v>43</v>
      </c>
      <c r="L264">
        <v>2</v>
      </c>
      <c r="M264" t="s">
        <v>44</v>
      </c>
      <c r="N264" t="s">
        <v>45</v>
      </c>
      <c r="O264" t="s">
        <v>46</v>
      </c>
      <c r="P264" s="5">
        <v>12</v>
      </c>
      <c r="Q264" s="12">
        <v>44749.418391203704</v>
      </c>
      <c r="R264" s="13">
        <v>44750</v>
      </c>
      <c r="T264" t="s">
        <v>47</v>
      </c>
      <c r="U264" t="s">
        <v>48</v>
      </c>
      <c r="V264" t="s">
        <v>96</v>
      </c>
      <c r="Y264" t="s">
        <v>856</v>
      </c>
      <c r="Z264">
        <v>18500</v>
      </c>
      <c r="AA264" t="s">
        <v>47</v>
      </c>
      <c r="AB264" t="s">
        <v>826</v>
      </c>
      <c r="AC264" t="s">
        <v>53</v>
      </c>
      <c r="AD264" s="16">
        <f t="shared" si="43"/>
        <v>15.8</v>
      </c>
      <c r="AE264" s="15">
        <v>0</v>
      </c>
      <c r="AF264" s="15">
        <v>0</v>
      </c>
      <c r="AG264" s="15">
        <v>0</v>
      </c>
      <c r="AH264" s="15">
        <v>0</v>
      </c>
      <c r="AI264" s="15">
        <f t="shared" si="41"/>
        <v>0.94799999999999995</v>
      </c>
      <c r="AJ264" s="15">
        <f t="shared" si="42"/>
        <v>16.748000000000001</v>
      </c>
      <c r="AK264" t="s">
        <v>47</v>
      </c>
    </row>
    <row r="265" spans="1:37" ht="15" customHeight="1" x14ac:dyDescent="0.35">
      <c r="A265">
        <v>690929</v>
      </c>
      <c r="B265" t="s">
        <v>37</v>
      </c>
      <c r="C265" t="s">
        <v>38</v>
      </c>
      <c r="D265" s="9" t="s">
        <v>39</v>
      </c>
      <c r="E265" s="10" t="s">
        <v>37</v>
      </c>
      <c r="F265" s="11"/>
      <c r="G265" t="s">
        <v>857</v>
      </c>
      <c r="I265" t="s">
        <v>41</v>
      </c>
      <c r="J265" t="s">
        <v>858</v>
      </c>
      <c r="K265" t="s">
        <v>43</v>
      </c>
      <c r="L265">
        <v>2</v>
      </c>
      <c r="M265" t="s">
        <v>44</v>
      </c>
      <c r="N265" t="s">
        <v>45</v>
      </c>
      <c r="O265" t="s">
        <v>46</v>
      </c>
      <c r="P265" s="5">
        <v>1</v>
      </c>
      <c r="Q265" s="12">
        <v>44746.79246527778</v>
      </c>
      <c r="R265" s="13">
        <v>44750</v>
      </c>
      <c r="T265" t="s">
        <v>47</v>
      </c>
      <c r="U265" t="s">
        <v>48</v>
      </c>
      <c r="V265" t="s">
        <v>100</v>
      </c>
      <c r="Y265" t="s">
        <v>859</v>
      </c>
      <c r="Z265">
        <v>31400</v>
      </c>
      <c r="AA265" t="s">
        <v>47</v>
      </c>
      <c r="AB265" t="s">
        <v>64</v>
      </c>
      <c r="AC265" t="s">
        <v>53</v>
      </c>
      <c r="AD265" s="16">
        <f t="shared" si="43"/>
        <v>7</v>
      </c>
      <c r="AE265" s="15">
        <v>0</v>
      </c>
      <c r="AF265" s="15">
        <v>0</v>
      </c>
      <c r="AG265" s="15">
        <v>0</v>
      </c>
      <c r="AH265" s="15">
        <v>0</v>
      </c>
      <c r="AI265" s="15">
        <f t="shared" si="41"/>
        <v>0.42</v>
      </c>
      <c r="AJ265" s="15">
        <f t="shared" si="42"/>
        <v>7.42</v>
      </c>
      <c r="AK265" t="s">
        <v>47</v>
      </c>
    </row>
    <row r="266" spans="1:37" ht="15" customHeight="1" x14ac:dyDescent="0.35">
      <c r="A266">
        <v>690929</v>
      </c>
      <c r="B266" t="s">
        <v>37</v>
      </c>
      <c r="C266" t="s">
        <v>38</v>
      </c>
      <c r="D266" s="9" t="s">
        <v>39</v>
      </c>
      <c r="E266" s="10" t="s">
        <v>37</v>
      </c>
      <c r="F266" s="11"/>
      <c r="G266" t="s">
        <v>860</v>
      </c>
      <c r="I266" t="s">
        <v>41</v>
      </c>
      <c r="J266" t="s">
        <v>861</v>
      </c>
      <c r="K266" t="s">
        <v>43</v>
      </c>
      <c r="L266">
        <v>2</v>
      </c>
      <c r="M266" t="s">
        <v>44</v>
      </c>
      <c r="N266" t="s">
        <v>45</v>
      </c>
      <c r="O266" t="s">
        <v>46</v>
      </c>
      <c r="P266" s="5">
        <v>1</v>
      </c>
      <c r="Q266" s="12">
        <v>44749.703229166669</v>
      </c>
      <c r="R266" s="13">
        <v>44750</v>
      </c>
      <c r="T266" t="s">
        <v>47</v>
      </c>
      <c r="U266" t="s">
        <v>48</v>
      </c>
      <c r="V266" t="s">
        <v>67</v>
      </c>
      <c r="Y266" t="s">
        <v>862</v>
      </c>
      <c r="Z266">
        <v>26600</v>
      </c>
      <c r="AA266" t="s">
        <v>47</v>
      </c>
      <c r="AB266" t="s">
        <v>257</v>
      </c>
      <c r="AC266" t="s">
        <v>53</v>
      </c>
      <c r="AD266" s="16">
        <f t="shared" si="43"/>
        <v>7</v>
      </c>
      <c r="AE266" s="15">
        <v>0</v>
      </c>
      <c r="AF266" s="15">
        <v>0</v>
      </c>
      <c r="AG266" s="15">
        <v>0</v>
      </c>
      <c r="AH266" s="15">
        <v>0</v>
      </c>
      <c r="AI266" s="15">
        <f t="shared" si="41"/>
        <v>0.42</v>
      </c>
      <c r="AJ266" s="15">
        <f t="shared" si="42"/>
        <v>7.42</v>
      </c>
      <c r="AK266" t="s">
        <v>47</v>
      </c>
    </row>
    <row r="267" spans="1:37" ht="15" customHeight="1" x14ac:dyDescent="0.35">
      <c r="A267">
        <v>690929</v>
      </c>
      <c r="B267" t="s">
        <v>37</v>
      </c>
      <c r="C267" t="s">
        <v>38</v>
      </c>
      <c r="D267" s="9" t="s">
        <v>39</v>
      </c>
      <c r="E267" s="10" t="s">
        <v>37</v>
      </c>
      <c r="F267" s="11"/>
      <c r="G267" t="s">
        <v>863</v>
      </c>
      <c r="I267" t="s">
        <v>41</v>
      </c>
      <c r="J267" t="s">
        <v>864</v>
      </c>
      <c r="K267" t="s">
        <v>43</v>
      </c>
      <c r="L267">
        <v>2</v>
      </c>
      <c r="M267" t="s">
        <v>44</v>
      </c>
      <c r="N267" t="s">
        <v>45</v>
      </c>
      <c r="O267" t="s">
        <v>46</v>
      </c>
      <c r="P267" s="5">
        <v>1</v>
      </c>
      <c r="Q267" s="12">
        <v>44748.624178240738</v>
      </c>
      <c r="R267" s="13">
        <v>44750</v>
      </c>
      <c r="T267" t="s">
        <v>47</v>
      </c>
      <c r="U267" t="s">
        <v>48</v>
      </c>
      <c r="V267" t="s">
        <v>67</v>
      </c>
      <c r="Y267" t="s">
        <v>865</v>
      </c>
      <c r="Z267">
        <v>28700</v>
      </c>
      <c r="AA267" t="s">
        <v>47</v>
      </c>
      <c r="AB267" t="s">
        <v>64</v>
      </c>
      <c r="AC267" t="s">
        <v>53</v>
      </c>
      <c r="AD267" s="16">
        <f t="shared" si="43"/>
        <v>7</v>
      </c>
      <c r="AE267" s="15">
        <v>0</v>
      </c>
      <c r="AF267" s="15">
        <v>0</v>
      </c>
      <c r="AG267" s="15">
        <v>0</v>
      </c>
      <c r="AH267" s="15">
        <v>0</v>
      </c>
      <c r="AI267" s="15">
        <f t="shared" si="41"/>
        <v>0.42</v>
      </c>
      <c r="AJ267" s="15">
        <f t="shared" si="42"/>
        <v>7.42</v>
      </c>
      <c r="AK267" t="s">
        <v>47</v>
      </c>
    </row>
    <row r="268" spans="1:37" ht="15" customHeight="1" x14ac:dyDescent="0.35">
      <c r="A268">
        <v>690929</v>
      </c>
      <c r="B268" t="s">
        <v>37</v>
      </c>
      <c r="C268" t="s">
        <v>38</v>
      </c>
      <c r="D268" s="9" t="s">
        <v>39</v>
      </c>
      <c r="E268" s="10" t="s">
        <v>37</v>
      </c>
      <c r="F268" s="11"/>
      <c r="G268" t="s">
        <v>866</v>
      </c>
      <c r="I268" t="s">
        <v>41</v>
      </c>
      <c r="J268" t="s">
        <v>867</v>
      </c>
      <c r="K268" t="s">
        <v>43</v>
      </c>
      <c r="L268">
        <v>2</v>
      </c>
      <c r="M268" t="s">
        <v>44</v>
      </c>
      <c r="N268" t="s">
        <v>45</v>
      </c>
      <c r="O268" t="s">
        <v>46</v>
      </c>
      <c r="P268" s="5">
        <v>1</v>
      </c>
      <c r="Q268" s="12">
        <v>44748.622442129628</v>
      </c>
      <c r="R268" s="13">
        <v>44750</v>
      </c>
      <c r="T268" t="s">
        <v>47</v>
      </c>
      <c r="U268" t="s">
        <v>48</v>
      </c>
      <c r="V268" t="s">
        <v>71</v>
      </c>
      <c r="Y268" t="s">
        <v>868</v>
      </c>
      <c r="Z268">
        <v>6300</v>
      </c>
      <c r="AA268" t="s">
        <v>47</v>
      </c>
      <c r="AB268" t="s">
        <v>64</v>
      </c>
      <c r="AC268" t="s">
        <v>53</v>
      </c>
      <c r="AD268" s="16">
        <f t="shared" si="43"/>
        <v>7</v>
      </c>
      <c r="AE268" s="15">
        <v>0</v>
      </c>
      <c r="AF268" s="15">
        <v>0</v>
      </c>
      <c r="AG268" s="15">
        <v>0</v>
      </c>
      <c r="AH268" s="15">
        <v>0</v>
      </c>
      <c r="AI268" s="15">
        <f t="shared" si="41"/>
        <v>0.42</v>
      </c>
      <c r="AJ268" s="15">
        <f t="shared" si="42"/>
        <v>7.42</v>
      </c>
      <c r="AK268" t="s">
        <v>47</v>
      </c>
    </row>
    <row r="269" spans="1:37" ht="15" customHeight="1" x14ac:dyDescent="0.35">
      <c r="A269">
        <v>690929</v>
      </c>
      <c r="B269" t="s">
        <v>37</v>
      </c>
      <c r="C269" t="s">
        <v>38</v>
      </c>
      <c r="D269" s="9" t="s">
        <v>39</v>
      </c>
      <c r="E269" s="10" t="s">
        <v>37</v>
      </c>
      <c r="F269" s="11"/>
      <c r="G269" t="s">
        <v>869</v>
      </c>
      <c r="I269" t="s">
        <v>41</v>
      </c>
      <c r="J269" t="s">
        <v>870</v>
      </c>
      <c r="K269" t="s">
        <v>43</v>
      </c>
      <c r="L269">
        <v>2</v>
      </c>
      <c r="M269" t="s">
        <v>44</v>
      </c>
      <c r="N269" t="s">
        <v>45</v>
      </c>
      <c r="O269" t="s">
        <v>46</v>
      </c>
      <c r="P269" s="5">
        <v>1</v>
      </c>
      <c r="Q269" s="12">
        <v>44748.62537037037</v>
      </c>
      <c r="R269" s="13">
        <v>44750</v>
      </c>
      <c r="T269" t="s">
        <v>47</v>
      </c>
      <c r="U269" t="s">
        <v>48</v>
      </c>
      <c r="V269" t="s">
        <v>114</v>
      </c>
      <c r="Y269" t="s">
        <v>871</v>
      </c>
      <c r="Z269">
        <v>55100</v>
      </c>
      <c r="AA269" t="s">
        <v>47</v>
      </c>
      <c r="AB269" t="s">
        <v>64</v>
      </c>
      <c r="AC269" t="s">
        <v>53</v>
      </c>
      <c r="AD269" s="16">
        <f t="shared" si="43"/>
        <v>7</v>
      </c>
      <c r="AE269" s="15">
        <v>0</v>
      </c>
      <c r="AF269" s="15">
        <v>0</v>
      </c>
      <c r="AG269" s="15">
        <v>0</v>
      </c>
      <c r="AH269" s="15">
        <v>0</v>
      </c>
      <c r="AI269" s="15">
        <f t="shared" si="41"/>
        <v>0.42</v>
      </c>
      <c r="AJ269" s="15">
        <f t="shared" si="42"/>
        <v>7.42</v>
      </c>
      <c r="AK269" t="s">
        <v>47</v>
      </c>
    </row>
    <row r="270" spans="1:37" ht="15" customHeight="1" x14ac:dyDescent="0.35">
      <c r="A270">
        <v>690929</v>
      </c>
      <c r="B270" t="s">
        <v>37</v>
      </c>
      <c r="C270" t="s">
        <v>38</v>
      </c>
      <c r="D270" s="9" t="s">
        <v>39</v>
      </c>
      <c r="E270" s="10" t="s">
        <v>37</v>
      </c>
      <c r="F270" s="11"/>
      <c r="G270" t="s">
        <v>872</v>
      </c>
      <c r="I270" t="s">
        <v>41</v>
      </c>
      <c r="J270" t="s">
        <v>873</v>
      </c>
      <c r="K270" t="s">
        <v>43</v>
      </c>
      <c r="L270">
        <v>2</v>
      </c>
      <c r="M270" t="s">
        <v>44</v>
      </c>
      <c r="N270" t="s">
        <v>45</v>
      </c>
      <c r="O270" t="s">
        <v>46</v>
      </c>
      <c r="P270" s="5">
        <v>1</v>
      </c>
      <c r="Q270" s="12">
        <v>44746.688483796293</v>
      </c>
      <c r="R270" s="13">
        <v>44750</v>
      </c>
      <c r="T270" t="s">
        <v>47</v>
      </c>
      <c r="U270" t="s">
        <v>48</v>
      </c>
      <c r="V270" t="s">
        <v>57</v>
      </c>
      <c r="Y270" t="s">
        <v>874</v>
      </c>
      <c r="Z270">
        <v>88450</v>
      </c>
      <c r="AA270" t="s">
        <v>51</v>
      </c>
      <c r="AB270" t="s">
        <v>64</v>
      </c>
      <c r="AC270" t="s">
        <v>53</v>
      </c>
      <c r="AD270" s="14">
        <f>IF(P270&lt;=1,13,IF(P270&lt;=2,23,IF(P270&lt;=3,35,IF(P270&lt;=4,43,IF(P270&lt;=5,53,IF(P270&lt;=6,63,IF(P270&lt;=7,71,IF(P270&lt;=8,79,IF(P270&lt;=9,87,IF(P270&lt;=10,95,IF(P270&lt;=11,105,IF(P270&lt;=12,114,IF(P270&lt;=13,119,IF(P270&lt;=14,127,IF(P270&lt;=15,135,IF(P270&lt;=16,143,IF(P270&lt;=17,153,IF(P270&lt;=18,163,IF(P270&lt;=19,171,IF(P270&lt;=20,185,IF(P270&lt;=21,193,IF(P270&lt;=22,201,IF(P270&lt;=23,210,IF(P270&lt;=24,220,IF(P270&lt;=25,230,IF(P270&lt;=26,240,IF(P270&lt;=27,250,IF(P270&lt;=28,260,IF(P270&lt;=29,270,IF(P270&lt;=30,280,280))))))))))))))))))))))))))))))</f>
        <v>13</v>
      </c>
      <c r="AE270" s="15">
        <v>0</v>
      </c>
      <c r="AF270" s="15">
        <v>0</v>
      </c>
      <c r="AG270" s="15">
        <v>0</v>
      </c>
      <c r="AH270" s="15">
        <v>0</v>
      </c>
      <c r="AI270" s="15">
        <f t="shared" si="41"/>
        <v>0.78</v>
      </c>
      <c r="AJ270" s="15">
        <f t="shared" si="42"/>
        <v>13.78</v>
      </c>
      <c r="AK270" t="s">
        <v>51</v>
      </c>
    </row>
    <row r="271" spans="1:37" ht="15" customHeight="1" x14ac:dyDescent="0.35">
      <c r="A271">
        <v>690929</v>
      </c>
      <c r="B271" t="s">
        <v>37</v>
      </c>
      <c r="C271" t="s">
        <v>38</v>
      </c>
      <c r="D271" s="9" t="s">
        <v>39</v>
      </c>
      <c r="E271" s="10" t="s">
        <v>37</v>
      </c>
      <c r="F271" s="11"/>
      <c r="G271" t="s">
        <v>875</v>
      </c>
      <c r="I271" t="s">
        <v>41</v>
      </c>
      <c r="J271" t="s">
        <v>876</v>
      </c>
      <c r="K271" t="s">
        <v>43</v>
      </c>
      <c r="L271">
        <v>2</v>
      </c>
      <c r="M271" t="s">
        <v>44</v>
      </c>
      <c r="N271" t="s">
        <v>45</v>
      </c>
      <c r="O271" t="s">
        <v>46</v>
      </c>
      <c r="P271" s="5">
        <v>1</v>
      </c>
      <c r="Q271" s="12">
        <v>44749.684571759259</v>
      </c>
      <c r="R271" s="13">
        <v>44750</v>
      </c>
      <c r="T271" t="s">
        <v>47</v>
      </c>
      <c r="U271" t="s">
        <v>48</v>
      </c>
      <c r="V271" t="s">
        <v>128</v>
      </c>
      <c r="Y271" t="s">
        <v>877</v>
      </c>
      <c r="Z271">
        <v>56100</v>
      </c>
      <c r="AA271" t="s">
        <v>47</v>
      </c>
      <c r="AB271" t="s">
        <v>64</v>
      </c>
      <c r="AC271" t="s">
        <v>53</v>
      </c>
      <c r="AD271" s="16">
        <f t="shared" ref="AD271:AD307" si="44">IF(P271&lt;=1,7,7+0.8*ROUNDUP(P271-1,0))</f>
        <v>7</v>
      </c>
      <c r="AE271" s="15">
        <v>0</v>
      </c>
      <c r="AF271" s="15">
        <v>0</v>
      </c>
      <c r="AG271" s="15">
        <v>0</v>
      </c>
      <c r="AH271" s="15">
        <v>0</v>
      </c>
      <c r="AI271" s="15">
        <f t="shared" si="41"/>
        <v>0.42</v>
      </c>
      <c r="AJ271" s="15">
        <f t="shared" si="42"/>
        <v>7.42</v>
      </c>
      <c r="AK271" t="s">
        <v>47</v>
      </c>
    </row>
    <row r="272" spans="1:37" ht="15" customHeight="1" x14ac:dyDescent="0.35">
      <c r="A272">
        <v>690929</v>
      </c>
      <c r="B272" t="s">
        <v>37</v>
      </c>
      <c r="C272" t="s">
        <v>38</v>
      </c>
      <c r="D272" s="9" t="s">
        <v>39</v>
      </c>
      <c r="E272" s="10" t="s">
        <v>37</v>
      </c>
      <c r="F272" s="11"/>
      <c r="G272" t="s">
        <v>878</v>
      </c>
      <c r="I272" t="s">
        <v>41</v>
      </c>
      <c r="J272" t="s">
        <v>879</v>
      </c>
      <c r="K272" t="s">
        <v>43</v>
      </c>
      <c r="L272">
        <v>2</v>
      </c>
      <c r="M272" t="s">
        <v>44</v>
      </c>
      <c r="N272" t="s">
        <v>45</v>
      </c>
      <c r="O272" t="s">
        <v>46</v>
      </c>
      <c r="P272" s="5">
        <v>1</v>
      </c>
      <c r="Q272" s="12">
        <v>44748.739583333336</v>
      </c>
      <c r="R272" s="13">
        <v>44750</v>
      </c>
      <c r="T272" t="s">
        <v>47</v>
      </c>
      <c r="U272" t="s">
        <v>48</v>
      </c>
      <c r="V272" t="s">
        <v>96</v>
      </c>
      <c r="Y272" t="s">
        <v>880</v>
      </c>
      <c r="Z272">
        <v>17500</v>
      </c>
      <c r="AA272" t="s">
        <v>47</v>
      </c>
      <c r="AB272" t="s">
        <v>56</v>
      </c>
      <c r="AC272" t="s">
        <v>53</v>
      </c>
      <c r="AD272" s="16">
        <f t="shared" si="44"/>
        <v>7</v>
      </c>
      <c r="AE272" s="15">
        <v>0</v>
      </c>
      <c r="AF272" s="15">
        <v>0</v>
      </c>
      <c r="AG272" s="15">
        <v>0</v>
      </c>
      <c r="AH272" s="15">
        <v>0</v>
      </c>
      <c r="AI272" s="15">
        <f t="shared" si="41"/>
        <v>0.42</v>
      </c>
      <c r="AJ272" s="15">
        <f t="shared" si="42"/>
        <v>7.42</v>
      </c>
      <c r="AK272" t="s">
        <v>47</v>
      </c>
    </row>
    <row r="273" spans="1:37" ht="15" customHeight="1" x14ac:dyDescent="0.35">
      <c r="A273">
        <v>690929</v>
      </c>
      <c r="B273" t="s">
        <v>37</v>
      </c>
      <c r="C273" t="s">
        <v>38</v>
      </c>
      <c r="D273" s="9" t="s">
        <v>39</v>
      </c>
      <c r="E273" s="10" t="s">
        <v>37</v>
      </c>
      <c r="F273" s="11"/>
      <c r="G273" t="s">
        <v>881</v>
      </c>
      <c r="I273" t="s">
        <v>41</v>
      </c>
      <c r="J273" t="s">
        <v>882</v>
      </c>
      <c r="K273" t="s">
        <v>43</v>
      </c>
      <c r="L273">
        <v>2</v>
      </c>
      <c r="M273" t="s">
        <v>44</v>
      </c>
      <c r="N273" t="s">
        <v>45</v>
      </c>
      <c r="O273" t="s">
        <v>46</v>
      </c>
      <c r="P273" s="5">
        <v>1</v>
      </c>
      <c r="Q273" s="12">
        <v>44749.564664351848</v>
      </c>
      <c r="R273" s="13">
        <v>44750</v>
      </c>
      <c r="T273" t="s">
        <v>47</v>
      </c>
      <c r="U273" t="s">
        <v>48</v>
      </c>
      <c r="V273" t="s">
        <v>114</v>
      </c>
      <c r="Y273" t="s">
        <v>883</v>
      </c>
      <c r="Z273">
        <v>43300</v>
      </c>
      <c r="AA273" t="s">
        <v>47</v>
      </c>
      <c r="AB273" t="s">
        <v>64</v>
      </c>
      <c r="AC273" t="s">
        <v>53</v>
      </c>
      <c r="AD273" s="16">
        <f t="shared" si="44"/>
        <v>7</v>
      </c>
      <c r="AE273" s="15">
        <v>0</v>
      </c>
      <c r="AF273" s="15">
        <v>0</v>
      </c>
      <c r="AG273" s="15">
        <v>0</v>
      </c>
      <c r="AH273" s="15">
        <v>0</v>
      </c>
      <c r="AI273" s="15">
        <f t="shared" si="41"/>
        <v>0.42</v>
      </c>
      <c r="AJ273" s="15">
        <f t="shared" si="42"/>
        <v>7.42</v>
      </c>
      <c r="AK273" t="s">
        <v>47</v>
      </c>
    </row>
    <row r="274" spans="1:37" ht="15" customHeight="1" x14ac:dyDescent="0.35">
      <c r="A274">
        <v>690929</v>
      </c>
      <c r="B274" t="s">
        <v>37</v>
      </c>
      <c r="C274" t="s">
        <v>38</v>
      </c>
      <c r="D274" s="9" t="s">
        <v>39</v>
      </c>
      <c r="E274" s="10" t="s">
        <v>37</v>
      </c>
      <c r="F274" s="11"/>
      <c r="G274" t="s">
        <v>884</v>
      </c>
      <c r="I274" t="s">
        <v>41</v>
      </c>
      <c r="J274" t="s">
        <v>885</v>
      </c>
      <c r="K274" t="s">
        <v>43</v>
      </c>
      <c r="L274">
        <v>2</v>
      </c>
      <c r="M274" t="s">
        <v>44</v>
      </c>
      <c r="N274" t="s">
        <v>45</v>
      </c>
      <c r="O274" t="s">
        <v>46</v>
      </c>
      <c r="P274" s="5">
        <v>1</v>
      </c>
      <c r="Q274" s="12">
        <v>44748.623252314814</v>
      </c>
      <c r="R274" s="13">
        <v>44750</v>
      </c>
      <c r="T274" t="s">
        <v>47</v>
      </c>
      <c r="U274" t="s">
        <v>48</v>
      </c>
      <c r="V274" t="s">
        <v>176</v>
      </c>
      <c r="Y274" t="s">
        <v>886</v>
      </c>
      <c r="Z274">
        <v>76300</v>
      </c>
      <c r="AA274" t="s">
        <v>47</v>
      </c>
      <c r="AB274" t="s">
        <v>64</v>
      </c>
      <c r="AC274" t="s">
        <v>53</v>
      </c>
      <c r="AD274" s="16">
        <f t="shared" si="44"/>
        <v>7</v>
      </c>
      <c r="AE274" s="15">
        <v>0</v>
      </c>
      <c r="AF274" s="15">
        <v>0</v>
      </c>
      <c r="AG274" s="15">
        <v>0</v>
      </c>
      <c r="AH274" s="15">
        <v>0</v>
      </c>
      <c r="AI274" s="15">
        <f t="shared" si="41"/>
        <v>0.42</v>
      </c>
      <c r="AJ274" s="15">
        <f t="shared" si="42"/>
        <v>7.42</v>
      </c>
      <c r="AK274" t="s">
        <v>47</v>
      </c>
    </row>
    <row r="275" spans="1:37" ht="15" customHeight="1" x14ac:dyDescent="0.35">
      <c r="A275">
        <v>690929</v>
      </c>
      <c r="B275" t="s">
        <v>37</v>
      </c>
      <c r="C275" t="s">
        <v>38</v>
      </c>
      <c r="D275" s="9" t="s">
        <v>39</v>
      </c>
      <c r="E275" s="10" t="s">
        <v>37</v>
      </c>
      <c r="F275" s="11"/>
      <c r="G275" t="s">
        <v>887</v>
      </c>
      <c r="I275" t="s">
        <v>41</v>
      </c>
      <c r="J275" t="s">
        <v>888</v>
      </c>
      <c r="K275" t="s">
        <v>43</v>
      </c>
      <c r="L275">
        <v>2</v>
      </c>
      <c r="M275" t="s">
        <v>44</v>
      </c>
      <c r="N275" t="s">
        <v>45</v>
      </c>
      <c r="O275" t="s">
        <v>46</v>
      </c>
      <c r="P275" s="5">
        <v>1</v>
      </c>
      <c r="Q275" s="12">
        <v>44748.612719907411</v>
      </c>
      <c r="R275" s="13">
        <v>44750</v>
      </c>
      <c r="T275" t="s">
        <v>47</v>
      </c>
      <c r="U275" t="s">
        <v>48</v>
      </c>
      <c r="V275" t="s">
        <v>62</v>
      </c>
      <c r="Y275" t="s">
        <v>889</v>
      </c>
      <c r="Z275">
        <v>86800</v>
      </c>
      <c r="AA275" t="s">
        <v>47</v>
      </c>
      <c r="AB275" t="s">
        <v>64</v>
      </c>
      <c r="AC275" t="s">
        <v>53</v>
      </c>
      <c r="AD275" s="16">
        <f t="shared" si="44"/>
        <v>7</v>
      </c>
      <c r="AE275" s="15">
        <v>0</v>
      </c>
      <c r="AF275" s="15">
        <v>0</v>
      </c>
      <c r="AG275" s="15">
        <v>0</v>
      </c>
      <c r="AH275" s="15">
        <v>0</v>
      </c>
      <c r="AI275" s="15">
        <f t="shared" si="41"/>
        <v>0.42</v>
      </c>
      <c r="AJ275" s="15">
        <f t="shared" si="42"/>
        <v>7.42</v>
      </c>
      <c r="AK275" t="s">
        <v>47</v>
      </c>
    </row>
    <row r="276" spans="1:37" ht="15" customHeight="1" x14ac:dyDescent="0.35">
      <c r="A276">
        <v>690929</v>
      </c>
      <c r="B276" t="s">
        <v>37</v>
      </c>
      <c r="C276" t="s">
        <v>38</v>
      </c>
      <c r="D276" s="9" t="s">
        <v>39</v>
      </c>
      <c r="E276" s="10" t="s">
        <v>37</v>
      </c>
      <c r="F276" s="11"/>
      <c r="G276" t="s">
        <v>890</v>
      </c>
      <c r="I276" t="s">
        <v>41</v>
      </c>
      <c r="J276" t="s">
        <v>891</v>
      </c>
      <c r="K276" t="s">
        <v>43</v>
      </c>
      <c r="L276">
        <v>2</v>
      </c>
      <c r="M276" t="s">
        <v>44</v>
      </c>
      <c r="N276" t="s">
        <v>45</v>
      </c>
      <c r="O276" t="s">
        <v>46</v>
      </c>
      <c r="P276" s="5">
        <v>2</v>
      </c>
      <c r="Q276" s="12">
        <v>44748.523356481484</v>
      </c>
      <c r="R276" s="13">
        <v>44750</v>
      </c>
      <c r="T276" t="s">
        <v>47</v>
      </c>
      <c r="U276" t="s">
        <v>48</v>
      </c>
      <c r="V276" t="s">
        <v>114</v>
      </c>
      <c r="Y276" t="s">
        <v>892</v>
      </c>
      <c r="Z276">
        <v>48050</v>
      </c>
      <c r="AA276" t="s">
        <v>47</v>
      </c>
      <c r="AB276" t="s">
        <v>64</v>
      </c>
      <c r="AC276" t="s">
        <v>53</v>
      </c>
      <c r="AD276" s="16">
        <f t="shared" si="44"/>
        <v>7.8</v>
      </c>
      <c r="AE276" s="15">
        <v>0</v>
      </c>
      <c r="AF276" s="15">
        <v>0</v>
      </c>
      <c r="AG276" s="15">
        <v>0</v>
      </c>
      <c r="AH276" s="15">
        <v>0</v>
      </c>
      <c r="AI276" s="15">
        <f t="shared" si="41"/>
        <v>0.46799999999999997</v>
      </c>
      <c r="AJ276" s="15">
        <f t="shared" si="42"/>
        <v>8.2680000000000007</v>
      </c>
      <c r="AK276" t="s">
        <v>47</v>
      </c>
    </row>
    <row r="277" spans="1:37" ht="15" customHeight="1" x14ac:dyDescent="0.35">
      <c r="A277">
        <v>690929</v>
      </c>
      <c r="B277" t="s">
        <v>37</v>
      </c>
      <c r="C277" t="s">
        <v>38</v>
      </c>
      <c r="D277" s="9" t="s">
        <v>39</v>
      </c>
      <c r="E277" s="10" t="s">
        <v>37</v>
      </c>
      <c r="F277" s="11"/>
      <c r="G277" t="s">
        <v>893</v>
      </c>
      <c r="I277" t="s">
        <v>41</v>
      </c>
      <c r="J277" t="s">
        <v>252</v>
      </c>
      <c r="K277" t="s">
        <v>43</v>
      </c>
      <c r="L277">
        <v>2</v>
      </c>
      <c r="M277" t="s">
        <v>44</v>
      </c>
      <c r="N277" t="s">
        <v>45</v>
      </c>
      <c r="O277" t="s">
        <v>46</v>
      </c>
      <c r="P277" s="5">
        <v>4</v>
      </c>
      <c r="Q277" s="12">
        <v>44748.519062500003</v>
      </c>
      <c r="R277" s="13">
        <v>44750</v>
      </c>
      <c r="T277" t="s">
        <v>47</v>
      </c>
      <c r="U277" t="s">
        <v>48</v>
      </c>
      <c r="V277" t="s">
        <v>114</v>
      </c>
      <c r="Y277" t="s">
        <v>894</v>
      </c>
      <c r="Z277">
        <v>68100</v>
      </c>
      <c r="AA277" t="s">
        <v>47</v>
      </c>
      <c r="AB277" t="s">
        <v>64</v>
      </c>
      <c r="AC277" t="s">
        <v>53</v>
      </c>
      <c r="AD277" s="16">
        <f t="shared" si="44"/>
        <v>9.4</v>
      </c>
      <c r="AE277" s="15">
        <v>0</v>
      </c>
      <c r="AF277" s="15">
        <v>0</v>
      </c>
      <c r="AG277" s="15">
        <v>0</v>
      </c>
      <c r="AH277" s="15">
        <v>0</v>
      </c>
      <c r="AI277" s="15">
        <f t="shared" si="41"/>
        <v>0.56399999999999995</v>
      </c>
      <c r="AJ277" s="15">
        <f t="shared" si="42"/>
        <v>9.9640000000000004</v>
      </c>
      <c r="AK277" t="s">
        <v>47</v>
      </c>
    </row>
    <row r="278" spans="1:37" ht="15" customHeight="1" x14ac:dyDescent="0.35">
      <c r="A278">
        <v>690929</v>
      </c>
      <c r="B278" t="s">
        <v>37</v>
      </c>
      <c r="C278" t="s">
        <v>38</v>
      </c>
      <c r="D278" s="9" t="s">
        <v>39</v>
      </c>
      <c r="E278" s="10" t="s">
        <v>37</v>
      </c>
      <c r="F278" s="11"/>
      <c r="G278" t="s">
        <v>895</v>
      </c>
      <c r="I278" t="s">
        <v>41</v>
      </c>
      <c r="J278" t="s">
        <v>896</v>
      </c>
      <c r="K278" t="s">
        <v>43</v>
      </c>
      <c r="L278">
        <v>2</v>
      </c>
      <c r="M278" t="s">
        <v>44</v>
      </c>
      <c r="N278" t="s">
        <v>45</v>
      </c>
      <c r="O278" t="s">
        <v>46</v>
      </c>
      <c r="P278" s="5">
        <v>1</v>
      </c>
      <c r="Q278" s="12">
        <v>44749.563576388886</v>
      </c>
      <c r="R278" s="13">
        <v>44750</v>
      </c>
      <c r="T278" t="s">
        <v>47</v>
      </c>
      <c r="U278" t="s">
        <v>48</v>
      </c>
      <c r="V278" t="s">
        <v>96</v>
      </c>
      <c r="Y278" t="s">
        <v>897</v>
      </c>
      <c r="Z278">
        <v>15350</v>
      </c>
      <c r="AA278" t="s">
        <v>47</v>
      </c>
      <c r="AB278" t="s">
        <v>56</v>
      </c>
      <c r="AC278" t="s">
        <v>53</v>
      </c>
      <c r="AD278" s="16">
        <f t="shared" si="44"/>
        <v>7</v>
      </c>
      <c r="AE278" s="15">
        <v>0</v>
      </c>
      <c r="AF278" s="15">
        <v>0</v>
      </c>
      <c r="AG278" s="15">
        <v>0</v>
      </c>
      <c r="AH278" s="15">
        <v>0</v>
      </c>
      <c r="AI278" s="15">
        <f t="shared" si="41"/>
        <v>0.42</v>
      </c>
      <c r="AJ278" s="15">
        <f t="shared" si="42"/>
        <v>7.42</v>
      </c>
      <c r="AK278" t="s">
        <v>47</v>
      </c>
    </row>
    <row r="279" spans="1:37" ht="15" customHeight="1" x14ac:dyDescent="0.35">
      <c r="A279">
        <v>690929</v>
      </c>
      <c r="B279" t="s">
        <v>37</v>
      </c>
      <c r="C279" t="s">
        <v>38</v>
      </c>
      <c r="D279" s="9" t="s">
        <v>39</v>
      </c>
      <c r="E279" s="10" t="s">
        <v>37</v>
      </c>
      <c r="F279" s="11"/>
      <c r="G279" t="s">
        <v>898</v>
      </c>
      <c r="I279" t="s">
        <v>41</v>
      </c>
      <c r="J279" t="s">
        <v>899</v>
      </c>
      <c r="K279" t="s">
        <v>43</v>
      </c>
      <c r="L279">
        <v>2</v>
      </c>
      <c r="M279" t="s">
        <v>44</v>
      </c>
      <c r="N279" t="s">
        <v>45</v>
      </c>
      <c r="O279" t="s">
        <v>46</v>
      </c>
      <c r="P279" s="5">
        <v>1</v>
      </c>
      <c r="Q279" s="12">
        <v>44749.67255787037</v>
      </c>
      <c r="R279" s="13">
        <v>44750</v>
      </c>
      <c r="T279" t="s">
        <v>47</v>
      </c>
      <c r="U279" t="s">
        <v>48</v>
      </c>
      <c r="V279" t="s">
        <v>76</v>
      </c>
      <c r="Y279" t="s">
        <v>900</v>
      </c>
      <c r="Z279">
        <v>24200</v>
      </c>
      <c r="AA279" t="s">
        <v>47</v>
      </c>
      <c r="AB279" t="s">
        <v>48</v>
      </c>
      <c r="AC279" t="s">
        <v>53</v>
      </c>
      <c r="AD279" s="16">
        <f t="shared" si="44"/>
        <v>7</v>
      </c>
      <c r="AE279" s="15">
        <v>0</v>
      </c>
      <c r="AF279" s="15">
        <v>0</v>
      </c>
      <c r="AG279" s="15">
        <v>0</v>
      </c>
      <c r="AH279" s="15">
        <v>0</v>
      </c>
      <c r="AI279" s="15">
        <f t="shared" si="41"/>
        <v>0.42</v>
      </c>
      <c r="AJ279" s="15">
        <f t="shared" si="42"/>
        <v>7.42</v>
      </c>
      <c r="AK279" t="s">
        <v>47</v>
      </c>
    </row>
    <row r="280" spans="1:37" ht="15" customHeight="1" x14ac:dyDescent="0.35">
      <c r="A280">
        <v>690929</v>
      </c>
      <c r="B280" t="s">
        <v>37</v>
      </c>
      <c r="C280" t="s">
        <v>38</v>
      </c>
      <c r="D280" s="9" t="s">
        <v>39</v>
      </c>
      <c r="E280" s="10" t="s">
        <v>37</v>
      </c>
      <c r="F280" s="11"/>
      <c r="G280" t="s">
        <v>901</v>
      </c>
      <c r="I280" t="s">
        <v>41</v>
      </c>
      <c r="J280" t="s">
        <v>902</v>
      </c>
      <c r="K280" t="s">
        <v>43</v>
      </c>
      <c r="L280">
        <v>2</v>
      </c>
      <c r="M280" t="s">
        <v>44</v>
      </c>
      <c r="N280" t="s">
        <v>45</v>
      </c>
      <c r="O280" t="s">
        <v>46</v>
      </c>
      <c r="P280" s="5">
        <v>1</v>
      </c>
      <c r="Q280" s="12">
        <v>44749.68340277778</v>
      </c>
      <c r="R280" s="13">
        <v>44750</v>
      </c>
      <c r="T280" t="s">
        <v>47</v>
      </c>
      <c r="U280" t="s">
        <v>48</v>
      </c>
      <c r="V280" t="s">
        <v>114</v>
      </c>
      <c r="Y280" t="s">
        <v>903</v>
      </c>
      <c r="Z280">
        <v>42300</v>
      </c>
      <c r="AA280" t="s">
        <v>47</v>
      </c>
      <c r="AB280" t="s">
        <v>64</v>
      </c>
      <c r="AC280" t="s">
        <v>53</v>
      </c>
      <c r="AD280" s="16">
        <f t="shared" si="44"/>
        <v>7</v>
      </c>
      <c r="AE280" s="15">
        <v>0</v>
      </c>
      <c r="AF280" s="15">
        <v>0</v>
      </c>
      <c r="AG280" s="15">
        <v>0</v>
      </c>
      <c r="AH280" s="15">
        <v>0</v>
      </c>
      <c r="AI280" s="15">
        <f t="shared" si="41"/>
        <v>0.42</v>
      </c>
      <c r="AJ280" s="15">
        <f t="shared" si="42"/>
        <v>7.42</v>
      </c>
      <c r="AK280" t="s">
        <v>47</v>
      </c>
    </row>
    <row r="281" spans="1:37" ht="15" customHeight="1" x14ac:dyDescent="0.35">
      <c r="A281">
        <v>690929</v>
      </c>
      <c r="B281" t="s">
        <v>37</v>
      </c>
      <c r="C281" t="s">
        <v>38</v>
      </c>
      <c r="D281" s="9" t="s">
        <v>39</v>
      </c>
      <c r="E281" s="10" t="s">
        <v>37</v>
      </c>
      <c r="F281" s="11"/>
      <c r="G281" t="s">
        <v>904</v>
      </c>
      <c r="I281" t="s">
        <v>41</v>
      </c>
      <c r="J281" t="s">
        <v>905</v>
      </c>
      <c r="K281" t="s">
        <v>43</v>
      </c>
      <c r="L281">
        <v>2</v>
      </c>
      <c r="M281" t="s">
        <v>44</v>
      </c>
      <c r="N281" t="s">
        <v>45</v>
      </c>
      <c r="O281" t="s">
        <v>46</v>
      </c>
      <c r="P281" s="5">
        <v>1</v>
      </c>
      <c r="Q281" s="12">
        <v>44746.670081018521</v>
      </c>
      <c r="R281" s="13">
        <v>44750</v>
      </c>
      <c r="T281" t="s">
        <v>47</v>
      </c>
      <c r="U281" t="s">
        <v>48</v>
      </c>
      <c r="V281" t="s">
        <v>62</v>
      </c>
      <c r="Y281" t="s">
        <v>906</v>
      </c>
      <c r="Z281">
        <v>81700</v>
      </c>
      <c r="AA281" t="s">
        <v>47</v>
      </c>
      <c r="AB281" t="s">
        <v>64</v>
      </c>
      <c r="AC281" t="s">
        <v>53</v>
      </c>
      <c r="AD281" s="16">
        <f t="shared" si="44"/>
        <v>7</v>
      </c>
      <c r="AE281" s="15">
        <v>0</v>
      </c>
      <c r="AF281" s="15">
        <v>0</v>
      </c>
      <c r="AG281" s="15">
        <v>0</v>
      </c>
      <c r="AH281" s="15">
        <v>0</v>
      </c>
      <c r="AI281" s="15">
        <f t="shared" si="41"/>
        <v>0.42</v>
      </c>
      <c r="AJ281" s="15">
        <f t="shared" si="42"/>
        <v>7.42</v>
      </c>
      <c r="AK281" t="s">
        <v>47</v>
      </c>
    </row>
    <row r="282" spans="1:37" ht="15" customHeight="1" x14ac:dyDescent="0.35">
      <c r="A282">
        <v>690929</v>
      </c>
      <c r="B282" t="s">
        <v>37</v>
      </c>
      <c r="C282" t="s">
        <v>38</v>
      </c>
      <c r="D282" s="9" t="s">
        <v>39</v>
      </c>
      <c r="E282" s="10" t="s">
        <v>37</v>
      </c>
      <c r="F282" s="11"/>
      <c r="G282" t="s">
        <v>907</v>
      </c>
      <c r="I282" t="s">
        <v>41</v>
      </c>
      <c r="J282" t="s">
        <v>908</v>
      </c>
      <c r="K282" t="s">
        <v>43</v>
      </c>
      <c r="L282">
        <v>2</v>
      </c>
      <c r="M282" t="s">
        <v>44</v>
      </c>
      <c r="N282" t="s">
        <v>45</v>
      </c>
      <c r="O282" t="s">
        <v>46</v>
      </c>
      <c r="P282" s="5">
        <v>1</v>
      </c>
      <c r="Q282" s="12">
        <v>44748.73641203704</v>
      </c>
      <c r="R282" s="13">
        <v>44750</v>
      </c>
      <c r="T282" t="s">
        <v>47</v>
      </c>
      <c r="U282" t="s">
        <v>48</v>
      </c>
      <c r="V282" t="s">
        <v>114</v>
      </c>
      <c r="Y282" t="s">
        <v>909</v>
      </c>
      <c r="Z282">
        <v>45000</v>
      </c>
      <c r="AA282" t="s">
        <v>47</v>
      </c>
      <c r="AB282" t="s">
        <v>64</v>
      </c>
      <c r="AC282" t="s">
        <v>53</v>
      </c>
      <c r="AD282" s="16">
        <f t="shared" si="44"/>
        <v>7</v>
      </c>
      <c r="AE282" s="15">
        <v>0</v>
      </c>
      <c r="AF282" s="15">
        <v>0</v>
      </c>
      <c r="AG282" s="15">
        <v>0</v>
      </c>
      <c r="AH282" s="15">
        <v>0</v>
      </c>
      <c r="AI282" s="15">
        <f t="shared" si="41"/>
        <v>0.42</v>
      </c>
      <c r="AJ282" s="15">
        <f t="shared" si="42"/>
        <v>7.42</v>
      </c>
      <c r="AK282" t="s">
        <v>47</v>
      </c>
    </row>
    <row r="283" spans="1:37" ht="15" customHeight="1" x14ac:dyDescent="0.35">
      <c r="A283">
        <v>690929</v>
      </c>
      <c r="B283" t="s">
        <v>37</v>
      </c>
      <c r="C283" t="s">
        <v>38</v>
      </c>
      <c r="D283" s="9" t="s">
        <v>39</v>
      </c>
      <c r="E283" s="10" t="s">
        <v>37</v>
      </c>
      <c r="F283" s="11"/>
      <c r="G283" t="s">
        <v>910</v>
      </c>
      <c r="I283" t="s">
        <v>41</v>
      </c>
      <c r="J283" t="s">
        <v>911</v>
      </c>
      <c r="K283" t="s">
        <v>43</v>
      </c>
      <c r="L283">
        <v>2</v>
      </c>
      <c r="M283" t="s">
        <v>44</v>
      </c>
      <c r="N283" t="s">
        <v>45</v>
      </c>
      <c r="O283" t="s">
        <v>46</v>
      </c>
      <c r="P283" s="5">
        <v>1</v>
      </c>
      <c r="Q283" s="12">
        <v>44748.733668981484</v>
      </c>
      <c r="R283" s="13">
        <v>44750</v>
      </c>
      <c r="T283" t="s">
        <v>47</v>
      </c>
      <c r="U283" t="s">
        <v>48</v>
      </c>
      <c r="V283" t="s">
        <v>114</v>
      </c>
      <c r="Y283" t="s">
        <v>912</v>
      </c>
      <c r="Z283">
        <v>45000</v>
      </c>
      <c r="AA283" t="s">
        <v>47</v>
      </c>
      <c r="AB283" t="s">
        <v>64</v>
      </c>
      <c r="AC283" t="s">
        <v>53</v>
      </c>
      <c r="AD283" s="16">
        <f t="shared" si="44"/>
        <v>7</v>
      </c>
      <c r="AE283" s="15">
        <v>0</v>
      </c>
      <c r="AF283" s="15">
        <v>0</v>
      </c>
      <c r="AG283" s="15">
        <v>0</v>
      </c>
      <c r="AH283" s="15">
        <v>0</v>
      </c>
      <c r="AI283" s="15">
        <f t="shared" si="41"/>
        <v>0.42</v>
      </c>
      <c r="AJ283" s="15">
        <f t="shared" si="42"/>
        <v>7.42</v>
      </c>
      <c r="AK283" t="s">
        <v>47</v>
      </c>
    </row>
    <row r="284" spans="1:37" ht="15" customHeight="1" x14ac:dyDescent="0.35">
      <c r="A284">
        <v>690929</v>
      </c>
      <c r="B284" t="s">
        <v>37</v>
      </c>
      <c r="C284" t="s">
        <v>38</v>
      </c>
      <c r="D284" s="9" t="s">
        <v>39</v>
      </c>
      <c r="E284" s="10" t="s">
        <v>37</v>
      </c>
      <c r="F284" s="11"/>
      <c r="G284" t="s">
        <v>913</v>
      </c>
      <c r="I284" t="s">
        <v>41</v>
      </c>
      <c r="J284" t="s">
        <v>914</v>
      </c>
      <c r="K284" t="s">
        <v>43</v>
      </c>
      <c r="L284">
        <v>2</v>
      </c>
      <c r="M284" t="s">
        <v>44</v>
      </c>
      <c r="N284" t="s">
        <v>45</v>
      </c>
      <c r="O284" t="s">
        <v>46</v>
      </c>
      <c r="P284" s="5">
        <v>2</v>
      </c>
      <c r="Q284" s="12">
        <v>44749.429178240738</v>
      </c>
      <c r="R284" s="13">
        <v>44750</v>
      </c>
      <c r="T284" t="s">
        <v>47</v>
      </c>
      <c r="U284" t="s">
        <v>48</v>
      </c>
      <c r="V284" t="s">
        <v>114</v>
      </c>
      <c r="Y284" t="s">
        <v>915</v>
      </c>
      <c r="Z284">
        <v>42610</v>
      </c>
      <c r="AA284" t="s">
        <v>47</v>
      </c>
      <c r="AB284" t="s">
        <v>64</v>
      </c>
      <c r="AC284" t="s">
        <v>53</v>
      </c>
      <c r="AD284" s="16">
        <f t="shared" si="44"/>
        <v>7.8</v>
      </c>
      <c r="AE284" s="15">
        <v>0</v>
      </c>
      <c r="AF284" s="15">
        <v>0</v>
      </c>
      <c r="AG284" s="15">
        <v>0</v>
      </c>
      <c r="AH284" s="15">
        <v>0</v>
      </c>
      <c r="AI284" s="15">
        <f t="shared" si="41"/>
        <v>0.46799999999999997</v>
      </c>
      <c r="AJ284" s="15">
        <f t="shared" si="42"/>
        <v>8.2680000000000007</v>
      </c>
      <c r="AK284" t="s">
        <v>47</v>
      </c>
    </row>
    <row r="285" spans="1:37" ht="15" customHeight="1" x14ac:dyDescent="0.35">
      <c r="A285">
        <v>690929</v>
      </c>
      <c r="B285" t="s">
        <v>37</v>
      </c>
      <c r="C285" t="s">
        <v>38</v>
      </c>
      <c r="D285" s="9" t="s">
        <v>39</v>
      </c>
      <c r="E285" s="10" t="s">
        <v>37</v>
      </c>
      <c r="F285" s="11"/>
      <c r="G285" t="s">
        <v>916</v>
      </c>
      <c r="I285" t="s">
        <v>41</v>
      </c>
      <c r="J285" t="s">
        <v>917</v>
      </c>
      <c r="K285" t="s">
        <v>43</v>
      </c>
      <c r="L285">
        <v>2</v>
      </c>
      <c r="M285" t="s">
        <v>44</v>
      </c>
      <c r="N285" t="s">
        <v>45</v>
      </c>
      <c r="O285" t="s">
        <v>46</v>
      </c>
      <c r="P285" s="5">
        <v>1</v>
      </c>
      <c r="Q285" s="12">
        <v>44749.689606481479</v>
      </c>
      <c r="R285" s="13">
        <v>44750</v>
      </c>
      <c r="T285" t="s">
        <v>47</v>
      </c>
      <c r="U285" t="s">
        <v>48</v>
      </c>
      <c r="V285" t="s">
        <v>96</v>
      </c>
      <c r="Y285" t="s">
        <v>918</v>
      </c>
      <c r="Z285">
        <v>16800</v>
      </c>
      <c r="AA285" t="s">
        <v>47</v>
      </c>
      <c r="AB285" t="s">
        <v>56</v>
      </c>
      <c r="AC285" t="s">
        <v>53</v>
      </c>
      <c r="AD285" s="16">
        <f t="shared" si="44"/>
        <v>7</v>
      </c>
      <c r="AE285" s="15">
        <v>0</v>
      </c>
      <c r="AF285" s="15">
        <v>0</v>
      </c>
      <c r="AG285" s="15">
        <v>0</v>
      </c>
      <c r="AH285" s="15">
        <v>0</v>
      </c>
      <c r="AI285" s="15">
        <f t="shared" si="41"/>
        <v>0.42</v>
      </c>
      <c r="AJ285" s="15">
        <f t="shared" si="42"/>
        <v>7.42</v>
      </c>
      <c r="AK285" t="s">
        <v>47</v>
      </c>
    </row>
    <row r="286" spans="1:37" ht="15" customHeight="1" x14ac:dyDescent="0.35">
      <c r="A286">
        <v>690929</v>
      </c>
      <c r="B286" t="s">
        <v>37</v>
      </c>
      <c r="C286" t="s">
        <v>38</v>
      </c>
      <c r="D286" s="9" t="s">
        <v>39</v>
      </c>
      <c r="E286" s="10" t="s">
        <v>37</v>
      </c>
      <c r="F286" s="11"/>
      <c r="G286" t="s">
        <v>919</v>
      </c>
      <c r="I286" t="s">
        <v>41</v>
      </c>
      <c r="J286" t="s">
        <v>920</v>
      </c>
      <c r="K286" t="s">
        <v>43</v>
      </c>
      <c r="L286">
        <v>2</v>
      </c>
      <c r="M286" t="s">
        <v>44</v>
      </c>
      <c r="N286" t="s">
        <v>45</v>
      </c>
      <c r="O286" t="s">
        <v>46</v>
      </c>
      <c r="P286" s="5">
        <v>1</v>
      </c>
      <c r="Q286" s="12">
        <v>44748.608252314814</v>
      </c>
      <c r="R286" s="13">
        <v>44750</v>
      </c>
      <c r="T286" t="s">
        <v>47</v>
      </c>
      <c r="U286" t="s">
        <v>48</v>
      </c>
      <c r="V286" t="s">
        <v>114</v>
      </c>
      <c r="Y286" t="s">
        <v>921</v>
      </c>
      <c r="Z286">
        <v>40150</v>
      </c>
      <c r="AA286" t="s">
        <v>47</v>
      </c>
      <c r="AB286" t="s">
        <v>64</v>
      </c>
      <c r="AC286" t="s">
        <v>53</v>
      </c>
      <c r="AD286" s="16">
        <f t="shared" si="44"/>
        <v>7</v>
      </c>
      <c r="AE286" s="15">
        <v>0</v>
      </c>
      <c r="AF286" s="15">
        <v>0</v>
      </c>
      <c r="AG286" s="15">
        <v>0</v>
      </c>
      <c r="AH286" s="15">
        <v>0</v>
      </c>
      <c r="AI286" s="15">
        <f t="shared" si="41"/>
        <v>0.42</v>
      </c>
      <c r="AJ286" s="15">
        <f t="shared" si="42"/>
        <v>7.42</v>
      </c>
      <c r="AK286" t="s">
        <v>47</v>
      </c>
    </row>
    <row r="287" spans="1:37" ht="15" customHeight="1" x14ac:dyDescent="0.35">
      <c r="A287">
        <v>690929</v>
      </c>
      <c r="B287" t="s">
        <v>37</v>
      </c>
      <c r="C287" t="s">
        <v>38</v>
      </c>
      <c r="D287" s="9" t="s">
        <v>39</v>
      </c>
      <c r="E287" s="10" t="s">
        <v>37</v>
      </c>
      <c r="F287" s="11"/>
      <c r="G287" t="s">
        <v>922</v>
      </c>
      <c r="I287" t="s">
        <v>41</v>
      </c>
      <c r="J287" t="s">
        <v>923</v>
      </c>
      <c r="K287" t="s">
        <v>43</v>
      </c>
      <c r="L287">
        <v>2</v>
      </c>
      <c r="M287" t="s">
        <v>44</v>
      </c>
      <c r="N287" t="s">
        <v>45</v>
      </c>
      <c r="O287" t="s">
        <v>46</v>
      </c>
      <c r="P287" s="5">
        <v>1</v>
      </c>
      <c r="Q287" s="12">
        <v>44748.483124999999</v>
      </c>
      <c r="R287" s="13">
        <v>44750</v>
      </c>
      <c r="T287" t="s">
        <v>47</v>
      </c>
      <c r="U287" t="s">
        <v>48</v>
      </c>
      <c r="V287" t="s">
        <v>128</v>
      </c>
      <c r="Y287" t="s">
        <v>924</v>
      </c>
      <c r="Z287">
        <v>51100</v>
      </c>
      <c r="AA287" t="s">
        <v>47</v>
      </c>
      <c r="AB287" t="s">
        <v>64</v>
      </c>
      <c r="AC287" t="s">
        <v>53</v>
      </c>
      <c r="AD287" s="16">
        <f t="shared" si="44"/>
        <v>7</v>
      </c>
      <c r="AE287" s="15">
        <v>0</v>
      </c>
      <c r="AF287" s="15">
        <v>0</v>
      </c>
      <c r="AG287" s="15">
        <v>0</v>
      </c>
      <c r="AH287" s="15">
        <v>0</v>
      </c>
      <c r="AI287" s="15">
        <f t="shared" si="41"/>
        <v>0.42</v>
      </c>
      <c r="AJ287" s="15">
        <f t="shared" si="42"/>
        <v>7.42</v>
      </c>
      <c r="AK287" t="s">
        <v>47</v>
      </c>
    </row>
    <row r="288" spans="1:37" ht="15" customHeight="1" x14ac:dyDescent="0.35">
      <c r="A288">
        <v>690929</v>
      </c>
      <c r="B288" t="s">
        <v>37</v>
      </c>
      <c r="C288" t="s">
        <v>38</v>
      </c>
      <c r="D288" s="9" t="s">
        <v>39</v>
      </c>
      <c r="E288" s="10" t="s">
        <v>37</v>
      </c>
      <c r="F288" s="11"/>
      <c r="G288" t="s">
        <v>925</v>
      </c>
      <c r="I288" t="s">
        <v>41</v>
      </c>
      <c r="J288" t="s">
        <v>926</v>
      </c>
      <c r="K288" t="s">
        <v>43</v>
      </c>
      <c r="L288">
        <v>2</v>
      </c>
      <c r="M288" t="s">
        <v>44</v>
      </c>
      <c r="N288" t="s">
        <v>45</v>
      </c>
      <c r="O288" t="s">
        <v>46</v>
      </c>
      <c r="P288" s="5">
        <v>1</v>
      </c>
      <c r="Q288" s="12">
        <v>44749.685567129629</v>
      </c>
      <c r="R288" s="13">
        <v>44750</v>
      </c>
      <c r="T288" t="s">
        <v>47</v>
      </c>
      <c r="U288" t="s">
        <v>48</v>
      </c>
      <c r="V288" t="s">
        <v>67</v>
      </c>
      <c r="Y288" t="s">
        <v>927</v>
      </c>
      <c r="Z288">
        <v>26700</v>
      </c>
      <c r="AA288" t="s">
        <v>47</v>
      </c>
      <c r="AB288" t="s">
        <v>48</v>
      </c>
      <c r="AC288" t="s">
        <v>53</v>
      </c>
      <c r="AD288" s="16">
        <f t="shared" si="44"/>
        <v>7</v>
      </c>
      <c r="AE288" s="15">
        <v>0</v>
      </c>
      <c r="AF288" s="15">
        <v>0</v>
      </c>
      <c r="AG288" s="15">
        <v>0</v>
      </c>
      <c r="AH288" s="15">
        <v>0</v>
      </c>
      <c r="AI288" s="15">
        <f t="shared" si="41"/>
        <v>0.42</v>
      </c>
      <c r="AJ288" s="15">
        <f t="shared" si="42"/>
        <v>7.42</v>
      </c>
      <c r="AK288" t="s">
        <v>47</v>
      </c>
    </row>
    <row r="289" spans="1:37" ht="15" customHeight="1" x14ac:dyDescent="0.35">
      <c r="A289">
        <v>690929</v>
      </c>
      <c r="B289" t="s">
        <v>37</v>
      </c>
      <c r="C289" t="s">
        <v>38</v>
      </c>
      <c r="D289" s="9" t="s">
        <v>39</v>
      </c>
      <c r="E289" s="10" t="s">
        <v>37</v>
      </c>
      <c r="F289" s="11"/>
      <c r="G289" t="s">
        <v>928</v>
      </c>
      <c r="I289" t="s">
        <v>41</v>
      </c>
      <c r="J289" t="s">
        <v>929</v>
      </c>
      <c r="K289" t="s">
        <v>43</v>
      </c>
      <c r="L289">
        <v>2</v>
      </c>
      <c r="M289" t="s">
        <v>44</v>
      </c>
      <c r="N289" t="s">
        <v>45</v>
      </c>
      <c r="O289" t="s">
        <v>46</v>
      </c>
      <c r="P289" s="5">
        <v>1</v>
      </c>
      <c r="Q289" s="12">
        <v>44748.735243055555</v>
      </c>
      <c r="R289" s="13">
        <v>44750</v>
      </c>
      <c r="T289" t="s">
        <v>47</v>
      </c>
      <c r="U289" t="s">
        <v>48</v>
      </c>
      <c r="V289" t="s">
        <v>114</v>
      </c>
      <c r="Y289" t="s">
        <v>930</v>
      </c>
      <c r="Z289">
        <v>45000</v>
      </c>
      <c r="AA289" t="s">
        <v>47</v>
      </c>
      <c r="AB289" t="s">
        <v>64</v>
      </c>
      <c r="AC289" t="s">
        <v>53</v>
      </c>
      <c r="AD289" s="16">
        <f t="shared" si="44"/>
        <v>7</v>
      </c>
      <c r="AE289" s="15">
        <v>0</v>
      </c>
      <c r="AF289" s="15">
        <v>0</v>
      </c>
      <c r="AG289" s="15">
        <v>0</v>
      </c>
      <c r="AH289" s="15">
        <v>0</v>
      </c>
      <c r="AI289" s="15">
        <f t="shared" si="41"/>
        <v>0.42</v>
      </c>
      <c r="AJ289" s="15">
        <f t="shared" si="42"/>
        <v>7.42</v>
      </c>
      <c r="AK289" t="s">
        <v>47</v>
      </c>
    </row>
    <row r="290" spans="1:37" ht="15" customHeight="1" x14ac:dyDescent="0.35">
      <c r="A290">
        <v>690929</v>
      </c>
      <c r="B290" t="s">
        <v>37</v>
      </c>
      <c r="C290" t="s">
        <v>38</v>
      </c>
      <c r="D290" s="9" t="s">
        <v>39</v>
      </c>
      <c r="E290" s="10" t="s">
        <v>37</v>
      </c>
      <c r="F290" s="11"/>
      <c r="G290" t="s">
        <v>931</v>
      </c>
      <c r="I290" t="s">
        <v>41</v>
      </c>
      <c r="J290" t="s">
        <v>932</v>
      </c>
      <c r="K290" t="s">
        <v>43</v>
      </c>
      <c r="L290">
        <v>2</v>
      </c>
      <c r="M290" t="s">
        <v>44</v>
      </c>
      <c r="N290" t="s">
        <v>45</v>
      </c>
      <c r="O290" t="s">
        <v>46</v>
      </c>
      <c r="P290" s="5">
        <v>1</v>
      </c>
      <c r="Q290" s="12">
        <v>44749.561736111114</v>
      </c>
      <c r="R290" s="13">
        <v>44750</v>
      </c>
      <c r="T290" t="s">
        <v>47</v>
      </c>
      <c r="U290" t="s">
        <v>48</v>
      </c>
      <c r="V290" t="s">
        <v>114</v>
      </c>
      <c r="Y290" t="s">
        <v>933</v>
      </c>
      <c r="Z290">
        <v>43000</v>
      </c>
      <c r="AA290" t="s">
        <v>47</v>
      </c>
      <c r="AB290" t="s">
        <v>64</v>
      </c>
      <c r="AC290" t="s">
        <v>53</v>
      </c>
      <c r="AD290" s="16">
        <f t="shared" si="44"/>
        <v>7</v>
      </c>
      <c r="AE290" s="15">
        <v>0</v>
      </c>
      <c r="AF290" s="15">
        <v>0</v>
      </c>
      <c r="AG290" s="15">
        <v>0</v>
      </c>
      <c r="AH290" s="15">
        <v>0</v>
      </c>
      <c r="AI290" s="15">
        <f t="shared" si="41"/>
        <v>0.42</v>
      </c>
      <c r="AJ290" s="15">
        <f t="shared" si="42"/>
        <v>7.42</v>
      </c>
      <c r="AK290" t="s">
        <v>47</v>
      </c>
    </row>
    <row r="291" spans="1:37" ht="15" customHeight="1" x14ac:dyDescent="0.35">
      <c r="A291">
        <v>690929</v>
      </c>
      <c r="B291" t="s">
        <v>37</v>
      </c>
      <c r="C291" t="s">
        <v>38</v>
      </c>
      <c r="D291" s="9" t="s">
        <v>39</v>
      </c>
      <c r="E291" s="10" t="s">
        <v>37</v>
      </c>
      <c r="F291" s="11"/>
      <c r="G291" t="s">
        <v>934</v>
      </c>
      <c r="I291" t="s">
        <v>41</v>
      </c>
      <c r="J291" t="s">
        <v>935</v>
      </c>
      <c r="K291" t="s">
        <v>43</v>
      </c>
      <c r="L291">
        <v>2</v>
      </c>
      <c r="M291" t="s">
        <v>44</v>
      </c>
      <c r="N291" t="s">
        <v>45</v>
      </c>
      <c r="O291" t="s">
        <v>46</v>
      </c>
      <c r="P291" s="5">
        <v>1</v>
      </c>
      <c r="Q291" s="12">
        <v>44749.562569444446</v>
      </c>
      <c r="R291" s="13">
        <v>44750</v>
      </c>
      <c r="T291" t="s">
        <v>47</v>
      </c>
      <c r="U291" t="s">
        <v>48</v>
      </c>
      <c r="V291" t="s">
        <v>114</v>
      </c>
      <c r="Y291" t="s">
        <v>936</v>
      </c>
      <c r="Z291">
        <v>43000</v>
      </c>
      <c r="AA291" t="s">
        <v>47</v>
      </c>
      <c r="AB291" t="s">
        <v>64</v>
      </c>
      <c r="AC291" t="s">
        <v>53</v>
      </c>
      <c r="AD291" s="16">
        <f t="shared" si="44"/>
        <v>7</v>
      </c>
      <c r="AE291" s="15">
        <v>0</v>
      </c>
      <c r="AF291" s="15">
        <v>0</v>
      </c>
      <c r="AG291" s="15">
        <v>0</v>
      </c>
      <c r="AH291" s="15">
        <v>0</v>
      </c>
      <c r="AI291" s="15">
        <f t="shared" si="41"/>
        <v>0.42</v>
      </c>
      <c r="AJ291" s="15">
        <f t="shared" si="42"/>
        <v>7.42</v>
      </c>
      <c r="AK291" t="s">
        <v>47</v>
      </c>
    </row>
    <row r="292" spans="1:37" ht="15" customHeight="1" x14ac:dyDescent="0.35">
      <c r="A292">
        <v>690929</v>
      </c>
      <c r="B292" t="s">
        <v>37</v>
      </c>
      <c r="C292" t="s">
        <v>38</v>
      </c>
      <c r="D292" s="9" t="s">
        <v>39</v>
      </c>
      <c r="E292" s="10" t="s">
        <v>37</v>
      </c>
      <c r="F292" s="11"/>
      <c r="G292" t="s">
        <v>937</v>
      </c>
      <c r="I292" t="s">
        <v>41</v>
      </c>
      <c r="J292" t="s">
        <v>938</v>
      </c>
      <c r="K292" t="s">
        <v>43</v>
      </c>
      <c r="L292">
        <v>2</v>
      </c>
      <c r="M292" t="s">
        <v>44</v>
      </c>
      <c r="N292" t="s">
        <v>45</v>
      </c>
      <c r="O292" t="s">
        <v>46</v>
      </c>
      <c r="P292" s="5">
        <v>1</v>
      </c>
      <c r="Q292" s="12">
        <v>44748.713518518518</v>
      </c>
      <c r="R292" s="13">
        <v>44750</v>
      </c>
      <c r="T292" t="s">
        <v>47</v>
      </c>
      <c r="U292" t="s">
        <v>48</v>
      </c>
      <c r="V292" t="s">
        <v>76</v>
      </c>
      <c r="Y292" t="s">
        <v>939</v>
      </c>
      <c r="Z292">
        <v>23100</v>
      </c>
      <c r="AA292" t="s">
        <v>47</v>
      </c>
      <c r="AB292" t="s">
        <v>48</v>
      </c>
      <c r="AC292" t="s">
        <v>53</v>
      </c>
      <c r="AD292" s="16">
        <f t="shared" si="44"/>
        <v>7</v>
      </c>
      <c r="AE292" s="15">
        <v>0</v>
      </c>
      <c r="AF292" s="15">
        <v>0</v>
      </c>
      <c r="AG292" s="15">
        <v>0</v>
      </c>
      <c r="AH292" s="15">
        <v>0</v>
      </c>
      <c r="AI292" s="15">
        <f t="shared" si="41"/>
        <v>0.42</v>
      </c>
      <c r="AJ292" s="15">
        <f t="shared" si="42"/>
        <v>7.42</v>
      </c>
      <c r="AK292" t="s">
        <v>47</v>
      </c>
    </row>
    <row r="293" spans="1:37" ht="15" customHeight="1" x14ac:dyDescent="0.35">
      <c r="A293">
        <v>690929</v>
      </c>
      <c r="B293" t="s">
        <v>37</v>
      </c>
      <c r="C293" t="s">
        <v>38</v>
      </c>
      <c r="D293" s="9" t="s">
        <v>39</v>
      </c>
      <c r="E293" s="10" t="s">
        <v>37</v>
      </c>
      <c r="F293" s="11"/>
      <c r="G293" t="s">
        <v>940</v>
      </c>
      <c r="I293" t="s">
        <v>41</v>
      </c>
      <c r="J293" t="s">
        <v>687</v>
      </c>
      <c r="K293" t="s">
        <v>43</v>
      </c>
      <c r="L293">
        <v>2</v>
      </c>
      <c r="M293" t="s">
        <v>44</v>
      </c>
      <c r="N293" t="s">
        <v>45</v>
      </c>
      <c r="O293" t="s">
        <v>46</v>
      </c>
      <c r="P293" s="5">
        <v>13</v>
      </c>
      <c r="Q293" s="12">
        <v>44748.525231481479</v>
      </c>
      <c r="R293" s="13">
        <v>44750</v>
      </c>
      <c r="T293" t="s">
        <v>47</v>
      </c>
      <c r="U293" t="s">
        <v>48</v>
      </c>
      <c r="V293" t="s">
        <v>62</v>
      </c>
      <c r="Y293" t="s">
        <v>941</v>
      </c>
      <c r="Z293">
        <v>86400</v>
      </c>
      <c r="AA293" t="s">
        <v>47</v>
      </c>
      <c r="AB293" t="s">
        <v>64</v>
      </c>
      <c r="AC293" t="s">
        <v>53</v>
      </c>
      <c r="AD293" s="16">
        <f t="shared" si="44"/>
        <v>16.600000000000001</v>
      </c>
      <c r="AE293" s="15">
        <v>0</v>
      </c>
      <c r="AF293" s="15">
        <v>0</v>
      </c>
      <c r="AG293" s="15">
        <v>0</v>
      </c>
      <c r="AH293" s="15">
        <v>0</v>
      </c>
      <c r="AI293" s="15">
        <f t="shared" si="41"/>
        <v>0.996</v>
      </c>
      <c r="AJ293" s="15">
        <f t="shared" si="42"/>
        <v>17.596</v>
      </c>
      <c r="AK293" t="s">
        <v>47</v>
      </c>
    </row>
    <row r="294" spans="1:37" ht="15" customHeight="1" x14ac:dyDescent="0.35">
      <c r="A294">
        <v>690929</v>
      </c>
      <c r="B294" t="s">
        <v>37</v>
      </c>
      <c r="C294" t="s">
        <v>38</v>
      </c>
      <c r="D294" s="9" t="s">
        <v>39</v>
      </c>
      <c r="E294" s="10" t="s">
        <v>37</v>
      </c>
      <c r="F294" s="11"/>
      <c r="G294" t="s">
        <v>942</v>
      </c>
      <c r="I294" t="s">
        <v>41</v>
      </c>
      <c r="J294" t="s">
        <v>943</v>
      </c>
      <c r="K294" t="s">
        <v>43</v>
      </c>
      <c r="L294">
        <v>2</v>
      </c>
      <c r="M294" t="s">
        <v>44</v>
      </c>
      <c r="N294" t="s">
        <v>45</v>
      </c>
      <c r="O294" t="s">
        <v>46</v>
      </c>
      <c r="P294" s="5">
        <v>1</v>
      </c>
      <c r="Q294" s="12">
        <v>44748.619143518517</v>
      </c>
      <c r="R294" s="13">
        <v>44750</v>
      </c>
      <c r="T294" t="s">
        <v>47</v>
      </c>
      <c r="U294" t="s">
        <v>48</v>
      </c>
      <c r="V294" t="s">
        <v>138</v>
      </c>
      <c r="Y294" t="s">
        <v>944</v>
      </c>
      <c r="Z294">
        <v>70450</v>
      </c>
      <c r="AA294" t="s">
        <v>47</v>
      </c>
      <c r="AB294" t="s">
        <v>64</v>
      </c>
      <c r="AC294" t="s">
        <v>53</v>
      </c>
      <c r="AD294" s="16">
        <f t="shared" si="44"/>
        <v>7</v>
      </c>
      <c r="AE294" s="15">
        <v>0</v>
      </c>
      <c r="AF294" s="15">
        <v>0</v>
      </c>
      <c r="AG294" s="15">
        <v>0</v>
      </c>
      <c r="AH294" s="15">
        <v>0</v>
      </c>
      <c r="AI294" s="15">
        <f t="shared" si="41"/>
        <v>0.42</v>
      </c>
      <c r="AJ294" s="15">
        <f t="shared" si="42"/>
        <v>7.42</v>
      </c>
      <c r="AK294" t="s">
        <v>47</v>
      </c>
    </row>
    <row r="295" spans="1:37" ht="15" customHeight="1" x14ac:dyDescent="0.35">
      <c r="A295">
        <v>690929</v>
      </c>
      <c r="B295" t="s">
        <v>37</v>
      </c>
      <c r="C295" t="s">
        <v>38</v>
      </c>
      <c r="D295" s="9" t="s">
        <v>39</v>
      </c>
      <c r="E295" s="10" t="s">
        <v>37</v>
      </c>
      <c r="F295" s="11"/>
      <c r="G295" t="s">
        <v>945</v>
      </c>
      <c r="I295" t="s">
        <v>41</v>
      </c>
      <c r="J295" t="s">
        <v>946</v>
      </c>
      <c r="K295" t="s">
        <v>43</v>
      </c>
      <c r="L295">
        <v>2</v>
      </c>
      <c r="M295" t="s">
        <v>44</v>
      </c>
      <c r="N295" t="s">
        <v>45</v>
      </c>
      <c r="O295" t="s">
        <v>46</v>
      </c>
      <c r="P295" s="5">
        <v>2</v>
      </c>
      <c r="Q295" s="12">
        <v>44749.514733796299</v>
      </c>
      <c r="R295" s="13">
        <v>44750</v>
      </c>
      <c r="T295" t="s">
        <v>47</v>
      </c>
      <c r="U295" t="s">
        <v>48</v>
      </c>
      <c r="V295" t="s">
        <v>128</v>
      </c>
      <c r="Y295" t="s">
        <v>947</v>
      </c>
      <c r="Z295">
        <v>43300</v>
      </c>
      <c r="AA295" t="s">
        <v>47</v>
      </c>
      <c r="AB295" t="s">
        <v>64</v>
      </c>
      <c r="AC295" t="s">
        <v>53</v>
      </c>
      <c r="AD295" s="16">
        <f t="shared" si="44"/>
        <v>7.8</v>
      </c>
      <c r="AE295" s="15">
        <v>0</v>
      </c>
      <c r="AF295" s="15">
        <v>0</v>
      </c>
      <c r="AG295" s="15">
        <v>0</v>
      </c>
      <c r="AH295" s="15">
        <v>0</v>
      </c>
      <c r="AI295" s="15">
        <f t="shared" si="41"/>
        <v>0.46799999999999997</v>
      </c>
      <c r="AJ295" s="15">
        <f t="shared" si="42"/>
        <v>8.2680000000000007</v>
      </c>
      <c r="AK295" t="s">
        <v>47</v>
      </c>
    </row>
    <row r="296" spans="1:37" ht="15" customHeight="1" x14ac:dyDescent="0.35">
      <c r="A296">
        <v>690929</v>
      </c>
      <c r="B296" t="s">
        <v>37</v>
      </c>
      <c r="C296" t="s">
        <v>38</v>
      </c>
      <c r="D296" s="9" t="s">
        <v>39</v>
      </c>
      <c r="E296" s="10" t="s">
        <v>37</v>
      </c>
      <c r="F296" s="11"/>
      <c r="G296" t="s">
        <v>948</v>
      </c>
      <c r="I296" t="s">
        <v>41</v>
      </c>
      <c r="J296" t="s">
        <v>949</v>
      </c>
      <c r="K296" t="s">
        <v>43</v>
      </c>
      <c r="L296">
        <v>2</v>
      </c>
      <c r="M296" t="s">
        <v>44</v>
      </c>
      <c r="N296" t="s">
        <v>45</v>
      </c>
      <c r="O296" t="s">
        <v>46</v>
      </c>
      <c r="P296" s="5">
        <v>1</v>
      </c>
      <c r="Q296" s="12">
        <v>44749.592824074076</v>
      </c>
      <c r="R296" s="13">
        <v>44750</v>
      </c>
      <c r="T296" t="s">
        <v>47</v>
      </c>
      <c r="U296" t="s">
        <v>48</v>
      </c>
      <c r="V296" t="s">
        <v>67</v>
      </c>
      <c r="Y296" t="s">
        <v>950</v>
      </c>
      <c r="Z296">
        <v>25150</v>
      </c>
      <c r="AA296" t="s">
        <v>47</v>
      </c>
      <c r="AB296" t="s">
        <v>48</v>
      </c>
      <c r="AC296" t="s">
        <v>53</v>
      </c>
      <c r="AD296" s="16">
        <f t="shared" si="44"/>
        <v>7</v>
      </c>
      <c r="AE296" s="15">
        <v>0</v>
      </c>
      <c r="AF296" s="15">
        <v>0</v>
      </c>
      <c r="AG296" s="15">
        <v>0</v>
      </c>
      <c r="AH296" s="15">
        <v>0</v>
      </c>
      <c r="AI296" s="15">
        <f t="shared" si="41"/>
        <v>0.42</v>
      </c>
      <c r="AJ296" s="15">
        <f t="shared" si="42"/>
        <v>7.42</v>
      </c>
      <c r="AK296" t="s">
        <v>47</v>
      </c>
    </row>
    <row r="297" spans="1:37" ht="15" customHeight="1" x14ac:dyDescent="0.35">
      <c r="A297">
        <v>690929</v>
      </c>
      <c r="B297" t="s">
        <v>37</v>
      </c>
      <c r="C297" t="s">
        <v>38</v>
      </c>
      <c r="D297" s="9" t="s">
        <v>39</v>
      </c>
      <c r="E297" s="10" t="s">
        <v>37</v>
      </c>
      <c r="F297" s="11"/>
      <c r="G297" t="s">
        <v>951</v>
      </c>
      <c r="I297" t="s">
        <v>41</v>
      </c>
      <c r="J297" t="s">
        <v>952</v>
      </c>
      <c r="K297" t="s">
        <v>43</v>
      </c>
      <c r="L297">
        <v>2</v>
      </c>
      <c r="M297" t="s">
        <v>44</v>
      </c>
      <c r="N297" t="s">
        <v>45</v>
      </c>
      <c r="O297" t="s">
        <v>46</v>
      </c>
      <c r="P297" s="5">
        <v>1</v>
      </c>
      <c r="Q297" s="12">
        <v>44748.616215277776</v>
      </c>
      <c r="R297" s="13">
        <v>44750</v>
      </c>
      <c r="T297" t="s">
        <v>47</v>
      </c>
      <c r="U297" t="s">
        <v>48</v>
      </c>
      <c r="V297" t="s">
        <v>100</v>
      </c>
      <c r="Y297" t="s">
        <v>953</v>
      </c>
      <c r="Z297">
        <v>34310</v>
      </c>
      <c r="AA297" t="s">
        <v>47</v>
      </c>
      <c r="AB297" t="s">
        <v>64</v>
      </c>
      <c r="AC297" t="s">
        <v>53</v>
      </c>
      <c r="AD297" s="16">
        <f t="shared" si="44"/>
        <v>7</v>
      </c>
      <c r="AE297" s="15">
        <v>0</v>
      </c>
      <c r="AF297" s="15">
        <v>0</v>
      </c>
      <c r="AG297" s="15">
        <v>0</v>
      </c>
      <c r="AH297" s="15">
        <v>0</v>
      </c>
      <c r="AI297" s="15">
        <f t="shared" si="41"/>
        <v>0.42</v>
      </c>
      <c r="AJ297" s="15">
        <f t="shared" si="42"/>
        <v>7.42</v>
      </c>
      <c r="AK297" t="s">
        <v>47</v>
      </c>
    </row>
    <row r="298" spans="1:37" ht="15" customHeight="1" x14ac:dyDescent="0.35">
      <c r="A298">
        <v>690929</v>
      </c>
      <c r="B298" t="s">
        <v>37</v>
      </c>
      <c r="C298" t="s">
        <v>38</v>
      </c>
      <c r="D298" s="9" t="s">
        <v>39</v>
      </c>
      <c r="E298" s="10" t="s">
        <v>37</v>
      </c>
      <c r="F298" s="11"/>
      <c r="G298" t="s">
        <v>954</v>
      </c>
      <c r="I298" t="s">
        <v>41</v>
      </c>
      <c r="J298" t="s">
        <v>955</v>
      </c>
      <c r="K298" t="s">
        <v>43</v>
      </c>
      <c r="L298">
        <v>2</v>
      </c>
      <c r="M298" t="s">
        <v>44</v>
      </c>
      <c r="N298" t="s">
        <v>45</v>
      </c>
      <c r="O298" t="s">
        <v>46</v>
      </c>
      <c r="P298" s="5">
        <v>5</v>
      </c>
      <c r="Q298" s="12">
        <v>44748.494212962964</v>
      </c>
      <c r="R298" s="13">
        <v>44750</v>
      </c>
      <c r="T298" t="s">
        <v>47</v>
      </c>
      <c r="U298" t="s">
        <v>48</v>
      </c>
      <c r="V298" t="s">
        <v>67</v>
      </c>
      <c r="Y298" t="s">
        <v>956</v>
      </c>
      <c r="Z298">
        <v>27660</v>
      </c>
      <c r="AA298" t="s">
        <v>47</v>
      </c>
      <c r="AB298" t="s">
        <v>957</v>
      </c>
      <c r="AC298" t="s">
        <v>53</v>
      </c>
      <c r="AD298" s="16">
        <f t="shared" si="44"/>
        <v>10.199999999999999</v>
      </c>
      <c r="AE298" s="15">
        <v>0</v>
      </c>
      <c r="AF298" s="15">
        <v>0</v>
      </c>
      <c r="AG298" s="15">
        <v>0</v>
      </c>
      <c r="AH298" s="15">
        <v>0</v>
      </c>
      <c r="AI298" s="15">
        <f t="shared" si="41"/>
        <v>0.61199999999999999</v>
      </c>
      <c r="AJ298" s="15">
        <f t="shared" si="42"/>
        <v>10.811999999999999</v>
      </c>
      <c r="AK298" t="s">
        <v>47</v>
      </c>
    </row>
    <row r="299" spans="1:37" ht="15" customHeight="1" x14ac:dyDescent="0.35">
      <c r="A299">
        <v>690929</v>
      </c>
      <c r="B299" t="s">
        <v>37</v>
      </c>
      <c r="C299" t="s">
        <v>38</v>
      </c>
      <c r="D299" s="9" t="s">
        <v>39</v>
      </c>
      <c r="E299" s="10" t="s">
        <v>37</v>
      </c>
      <c r="F299" s="11"/>
      <c r="G299" t="s">
        <v>958</v>
      </c>
      <c r="I299" t="s">
        <v>41</v>
      </c>
      <c r="J299" t="s">
        <v>959</v>
      </c>
      <c r="K299" t="s">
        <v>43</v>
      </c>
      <c r="L299">
        <v>2</v>
      </c>
      <c r="M299" t="s">
        <v>44</v>
      </c>
      <c r="N299" t="s">
        <v>45</v>
      </c>
      <c r="O299" t="s">
        <v>46</v>
      </c>
      <c r="P299" s="5">
        <v>1</v>
      </c>
      <c r="Q299" s="12">
        <v>44748.708819444444</v>
      </c>
      <c r="R299" s="13">
        <v>44750</v>
      </c>
      <c r="T299" t="s">
        <v>47</v>
      </c>
      <c r="U299" t="s">
        <v>48</v>
      </c>
      <c r="V299" t="s">
        <v>114</v>
      </c>
      <c r="Y299" t="s">
        <v>960</v>
      </c>
      <c r="Z299">
        <v>40300</v>
      </c>
      <c r="AA299" t="s">
        <v>47</v>
      </c>
      <c r="AB299" t="s">
        <v>64</v>
      </c>
      <c r="AC299" t="s">
        <v>53</v>
      </c>
      <c r="AD299" s="16">
        <f t="shared" si="44"/>
        <v>7</v>
      </c>
      <c r="AE299" s="15">
        <v>0</v>
      </c>
      <c r="AF299" s="15">
        <v>0</v>
      </c>
      <c r="AG299" s="15">
        <v>0</v>
      </c>
      <c r="AH299" s="15">
        <v>0</v>
      </c>
      <c r="AI299" s="15">
        <f t="shared" si="41"/>
        <v>0.42</v>
      </c>
      <c r="AJ299" s="15">
        <f t="shared" si="42"/>
        <v>7.42</v>
      </c>
      <c r="AK299" t="s">
        <v>47</v>
      </c>
    </row>
    <row r="300" spans="1:37" ht="15" customHeight="1" x14ac:dyDescent="0.35">
      <c r="A300">
        <v>690929</v>
      </c>
      <c r="B300" t="s">
        <v>37</v>
      </c>
      <c r="C300" t="s">
        <v>38</v>
      </c>
      <c r="D300" s="9" t="s">
        <v>39</v>
      </c>
      <c r="E300" s="10" t="s">
        <v>37</v>
      </c>
      <c r="F300" s="11"/>
      <c r="G300" t="s">
        <v>961</v>
      </c>
      <c r="I300" t="s">
        <v>41</v>
      </c>
      <c r="J300" t="s">
        <v>962</v>
      </c>
      <c r="K300" t="s">
        <v>43</v>
      </c>
      <c r="L300">
        <v>2</v>
      </c>
      <c r="M300" t="s">
        <v>44</v>
      </c>
      <c r="N300" t="s">
        <v>45</v>
      </c>
      <c r="O300" t="s">
        <v>46</v>
      </c>
      <c r="P300" s="5">
        <v>1</v>
      </c>
      <c r="Q300" s="12">
        <v>44748.615231481483</v>
      </c>
      <c r="R300" s="13">
        <v>44750</v>
      </c>
      <c r="T300" t="s">
        <v>47</v>
      </c>
      <c r="U300" t="s">
        <v>48</v>
      </c>
      <c r="V300" t="s">
        <v>100</v>
      </c>
      <c r="Y300" t="s">
        <v>963</v>
      </c>
      <c r="Z300">
        <v>35500</v>
      </c>
      <c r="AA300" t="s">
        <v>47</v>
      </c>
      <c r="AB300" t="s">
        <v>64</v>
      </c>
      <c r="AC300" t="s">
        <v>53</v>
      </c>
      <c r="AD300" s="16">
        <f t="shared" si="44"/>
        <v>7</v>
      </c>
      <c r="AE300" s="15">
        <v>0</v>
      </c>
      <c r="AF300" s="15">
        <v>0</v>
      </c>
      <c r="AG300" s="15">
        <v>0</v>
      </c>
      <c r="AH300" s="15">
        <v>0</v>
      </c>
      <c r="AI300" s="15">
        <f t="shared" si="41"/>
        <v>0.42</v>
      </c>
      <c r="AJ300" s="15">
        <f t="shared" si="42"/>
        <v>7.42</v>
      </c>
      <c r="AK300" t="s">
        <v>47</v>
      </c>
    </row>
    <row r="301" spans="1:37" ht="15" customHeight="1" x14ac:dyDescent="0.35">
      <c r="A301">
        <v>690929</v>
      </c>
      <c r="B301" t="s">
        <v>37</v>
      </c>
      <c r="C301" t="s">
        <v>38</v>
      </c>
      <c r="D301" s="9" t="s">
        <v>39</v>
      </c>
      <c r="E301" s="10" t="s">
        <v>37</v>
      </c>
      <c r="F301" s="11"/>
      <c r="G301" t="s">
        <v>964</v>
      </c>
      <c r="I301" t="s">
        <v>41</v>
      </c>
      <c r="J301" t="s">
        <v>965</v>
      </c>
      <c r="K301" t="s">
        <v>43</v>
      </c>
      <c r="L301">
        <v>2</v>
      </c>
      <c r="M301" t="s">
        <v>44</v>
      </c>
      <c r="N301" t="s">
        <v>45</v>
      </c>
      <c r="O301" t="s">
        <v>46</v>
      </c>
      <c r="P301" s="5">
        <v>1</v>
      </c>
      <c r="Q301" s="12">
        <v>44748.691030092596</v>
      </c>
      <c r="R301" s="13">
        <v>44750</v>
      </c>
      <c r="T301" t="s">
        <v>47</v>
      </c>
      <c r="U301" t="s">
        <v>48</v>
      </c>
      <c r="V301" t="s">
        <v>114</v>
      </c>
      <c r="Y301" t="s">
        <v>966</v>
      </c>
      <c r="Z301">
        <v>42700</v>
      </c>
      <c r="AA301" t="s">
        <v>47</v>
      </c>
      <c r="AB301" t="s">
        <v>64</v>
      </c>
      <c r="AC301" t="s">
        <v>53</v>
      </c>
      <c r="AD301" s="16">
        <f t="shared" si="44"/>
        <v>7</v>
      </c>
      <c r="AE301" s="15">
        <v>0</v>
      </c>
      <c r="AF301" s="15">
        <v>0</v>
      </c>
      <c r="AG301" s="15">
        <v>0</v>
      </c>
      <c r="AH301" s="15">
        <v>0</v>
      </c>
      <c r="AI301" s="15">
        <f t="shared" si="41"/>
        <v>0.42</v>
      </c>
      <c r="AJ301" s="15">
        <f t="shared" si="42"/>
        <v>7.42</v>
      </c>
      <c r="AK301" t="s">
        <v>47</v>
      </c>
    </row>
    <row r="302" spans="1:37" ht="15" customHeight="1" x14ac:dyDescent="0.35">
      <c r="A302">
        <v>690929</v>
      </c>
      <c r="B302" t="s">
        <v>37</v>
      </c>
      <c r="C302" t="s">
        <v>38</v>
      </c>
      <c r="D302" s="9" t="s">
        <v>39</v>
      </c>
      <c r="E302" s="10" t="s">
        <v>37</v>
      </c>
      <c r="F302" s="11"/>
      <c r="G302" t="s">
        <v>967</v>
      </c>
      <c r="I302" t="s">
        <v>41</v>
      </c>
      <c r="J302" t="s">
        <v>968</v>
      </c>
      <c r="K302" t="s">
        <v>43</v>
      </c>
      <c r="L302">
        <v>2</v>
      </c>
      <c r="M302" t="s">
        <v>44</v>
      </c>
      <c r="N302" t="s">
        <v>45</v>
      </c>
      <c r="O302" t="s">
        <v>46</v>
      </c>
      <c r="P302" s="5">
        <v>1</v>
      </c>
      <c r="Q302" s="12">
        <v>44746.741157407407</v>
      </c>
      <c r="R302" s="13">
        <v>44750</v>
      </c>
      <c r="T302" t="s">
        <v>47</v>
      </c>
      <c r="U302" t="s">
        <v>48</v>
      </c>
      <c r="V302" t="s">
        <v>71</v>
      </c>
      <c r="Y302" t="s">
        <v>969</v>
      </c>
      <c r="Z302">
        <v>9100</v>
      </c>
      <c r="AA302" t="s">
        <v>47</v>
      </c>
      <c r="AB302" t="s">
        <v>64</v>
      </c>
      <c r="AC302" t="s">
        <v>53</v>
      </c>
      <c r="AD302" s="16">
        <f t="shared" si="44"/>
        <v>7</v>
      </c>
      <c r="AE302" s="15">
        <v>0</v>
      </c>
      <c r="AF302" s="15">
        <v>0</v>
      </c>
      <c r="AG302" s="15">
        <v>0</v>
      </c>
      <c r="AH302" s="15">
        <v>0</v>
      </c>
      <c r="AI302" s="15">
        <f t="shared" si="41"/>
        <v>0.42</v>
      </c>
      <c r="AJ302" s="15">
        <f t="shared" si="42"/>
        <v>7.42</v>
      </c>
      <c r="AK302" t="s">
        <v>47</v>
      </c>
    </row>
    <row r="303" spans="1:37" ht="15" customHeight="1" x14ac:dyDescent="0.35">
      <c r="A303">
        <v>690929</v>
      </c>
      <c r="B303" t="s">
        <v>37</v>
      </c>
      <c r="C303" t="s">
        <v>38</v>
      </c>
      <c r="D303" s="9" t="s">
        <v>39</v>
      </c>
      <c r="E303" s="10" t="s">
        <v>37</v>
      </c>
      <c r="F303" s="11"/>
      <c r="G303" t="s">
        <v>970</v>
      </c>
      <c r="I303" t="s">
        <v>41</v>
      </c>
      <c r="J303" t="s">
        <v>971</v>
      </c>
      <c r="K303" t="s">
        <v>43</v>
      </c>
      <c r="L303">
        <v>2</v>
      </c>
      <c r="M303" t="s">
        <v>44</v>
      </c>
      <c r="N303" t="s">
        <v>45</v>
      </c>
      <c r="O303" t="s">
        <v>46</v>
      </c>
      <c r="P303" s="5">
        <v>1</v>
      </c>
      <c r="Q303" s="12">
        <v>44749.663923611108</v>
      </c>
      <c r="R303" s="13">
        <v>44750</v>
      </c>
      <c r="T303" t="s">
        <v>47</v>
      </c>
      <c r="U303" t="s">
        <v>48</v>
      </c>
      <c r="V303" t="s">
        <v>114</v>
      </c>
      <c r="Y303" t="s">
        <v>972</v>
      </c>
      <c r="Z303">
        <v>42700</v>
      </c>
      <c r="AA303" t="s">
        <v>47</v>
      </c>
      <c r="AB303" t="s">
        <v>64</v>
      </c>
      <c r="AC303" t="s">
        <v>53</v>
      </c>
      <c r="AD303" s="16">
        <f t="shared" si="44"/>
        <v>7</v>
      </c>
      <c r="AE303" s="15">
        <v>0</v>
      </c>
      <c r="AF303" s="15">
        <v>0</v>
      </c>
      <c r="AG303" s="15">
        <v>0</v>
      </c>
      <c r="AH303" s="15">
        <v>0</v>
      </c>
      <c r="AI303" s="15">
        <f t="shared" si="41"/>
        <v>0.42</v>
      </c>
      <c r="AJ303" s="15">
        <f t="shared" si="42"/>
        <v>7.42</v>
      </c>
      <c r="AK303" t="s">
        <v>47</v>
      </c>
    </row>
    <row r="304" spans="1:37" ht="15" customHeight="1" x14ac:dyDescent="0.35">
      <c r="A304">
        <v>690929</v>
      </c>
      <c r="B304" t="s">
        <v>37</v>
      </c>
      <c r="C304" t="s">
        <v>38</v>
      </c>
      <c r="D304" s="9" t="s">
        <v>39</v>
      </c>
      <c r="E304" s="10" t="s">
        <v>37</v>
      </c>
      <c r="F304" s="11"/>
      <c r="G304" t="s">
        <v>973</v>
      </c>
      <c r="I304" t="s">
        <v>41</v>
      </c>
      <c r="J304" t="s">
        <v>974</v>
      </c>
      <c r="K304" t="s">
        <v>43</v>
      </c>
      <c r="L304">
        <v>2</v>
      </c>
      <c r="M304" t="s">
        <v>44</v>
      </c>
      <c r="N304" t="s">
        <v>45</v>
      </c>
      <c r="O304" t="s">
        <v>46</v>
      </c>
      <c r="P304" s="5">
        <v>3</v>
      </c>
      <c r="Q304" s="12">
        <v>44748.506331018521</v>
      </c>
      <c r="R304" s="13">
        <v>44750</v>
      </c>
      <c r="T304" t="s">
        <v>47</v>
      </c>
      <c r="U304" t="s">
        <v>48</v>
      </c>
      <c r="V304" t="s">
        <v>62</v>
      </c>
      <c r="Y304" t="s">
        <v>975</v>
      </c>
      <c r="Z304">
        <v>83000</v>
      </c>
      <c r="AA304" t="s">
        <v>47</v>
      </c>
      <c r="AB304" t="s">
        <v>976</v>
      </c>
      <c r="AC304" t="s">
        <v>53</v>
      </c>
      <c r="AD304" s="16">
        <f t="shared" si="44"/>
        <v>8.6</v>
      </c>
      <c r="AE304" s="15">
        <v>0</v>
      </c>
      <c r="AF304" s="15">
        <v>0</v>
      </c>
      <c r="AG304" s="15">
        <v>0</v>
      </c>
      <c r="AH304" s="15">
        <v>0</v>
      </c>
      <c r="AI304" s="15">
        <f t="shared" si="41"/>
        <v>0.51600000000000001</v>
      </c>
      <c r="AJ304" s="15">
        <f t="shared" si="42"/>
        <v>9.1159999999999997</v>
      </c>
      <c r="AK304" t="s">
        <v>47</v>
      </c>
    </row>
    <row r="305" spans="1:37" ht="15" customHeight="1" x14ac:dyDescent="0.35">
      <c r="A305">
        <v>690929</v>
      </c>
      <c r="B305" t="s">
        <v>37</v>
      </c>
      <c r="C305" t="s">
        <v>38</v>
      </c>
      <c r="D305" s="9" t="s">
        <v>39</v>
      </c>
      <c r="E305" s="10" t="s">
        <v>37</v>
      </c>
      <c r="F305" s="11"/>
      <c r="G305" t="s">
        <v>977</v>
      </c>
      <c r="I305" t="s">
        <v>41</v>
      </c>
      <c r="J305" t="s">
        <v>978</v>
      </c>
      <c r="K305" t="s">
        <v>43</v>
      </c>
      <c r="L305">
        <v>2</v>
      </c>
      <c r="M305" t="s">
        <v>44</v>
      </c>
      <c r="N305" t="s">
        <v>45</v>
      </c>
      <c r="O305" t="s">
        <v>46</v>
      </c>
      <c r="P305" s="5">
        <v>3</v>
      </c>
      <c r="Q305" s="12">
        <v>44748.685740740744</v>
      </c>
      <c r="R305" s="13">
        <v>44750</v>
      </c>
      <c r="T305" t="s">
        <v>47</v>
      </c>
      <c r="U305" t="s">
        <v>48</v>
      </c>
      <c r="V305" t="s">
        <v>76</v>
      </c>
      <c r="Y305" t="s">
        <v>979</v>
      </c>
      <c r="Z305">
        <v>21400</v>
      </c>
      <c r="AA305" t="s">
        <v>47</v>
      </c>
      <c r="AB305" t="s">
        <v>147</v>
      </c>
      <c r="AC305" t="s">
        <v>53</v>
      </c>
      <c r="AD305" s="16">
        <f t="shared" si="44"/>
        <v>8.6</v>
      </c>
      <c r="AE305" s="15">
        <v>0</v>
      </c>
      <c r="AF305" s="15">
        <v>0</v>
      </c>
      <c r="AG305" s="15">
        <v>0</v>
      </c>
      <c r="AH305" s="15">
        <v>0</v>
      </c>
      <c r="AI305" s="15">
        <f t="shared" si="41"/>
        <v>0.51600000000000001</v>
      </c>
      <c r="AJ305" s="15">
        <f t="shared" si="42"/>
        <v>9.1159999999999997</v>
      </c>
      <c r="AK305" t="s">
        <v>47</v>
      </c>
    </row>
    <row r="306" spans="1:37" ht="15" customHeight="1" x14ac:dyDescent="0.35">
      <c r="A306">
        <v>690929</v>
      </c>
      <c r="B306" t="s">
        <v>37</v>
      </c>
      <c r="C306" t="s">
        <v>38</v>
      </c>
      <c r="D306" s="9" t="s">
        <v>39</v>
      </c>
      <c r="E306" s="10" t="s">
        <v>37</v>
      </c>
      <c r="F306" s="11"/>
      <c r="G306" t="s">
        <v>980</v>
      </c>
      <c r="I306" t="s">
        <v>41</v>
      </c>
      <c r="J306" t="s">
        <v>981</v>
      </c>
      <c r="K306" t="s">
        <v>43</v>
      </c>
      <c r="L306">
        <v>2</v>
      </c>
      <c r="M306" t="s">
        <v>44</v>
      </c>
      <c r="N306" t="s">
        <v>45</v>
      </c>
      <c r="O306" t="s">
        <v>46</v>
      </c>
      <c r="P306" s="5">
        <v>1</v>
      </c>
      <c r="Q306" s="12">
        <v>44748.611400462964</v>
      </c>
      <c r="R306" s="13">
        <v>44750</v>
      </c>
      <c r="T306" t="s">
        <v>47</v>
      </c>
      <c r="U306" t="s">
        <v>48</v>
      </c>
      <c r="V306" t="s">
        <v>62</v>
      </c>
      <c r="Y306" t="s">
        <v>982</v>
      </c>
      <c r="Z306">
        <v>83050</v>
      </c>
      <c r="AA306" t="s">
        <v>47</v>
      </c>
      <c r="AB306" t="s">
        <v>64</v>
      </c>
      <c r="AC306" t="s">
        <v>53</v>
      </c>
      <c r="AD306" s="16">
        <f t="shared" si="44"/>
        <v>7</v>
      </c>
      <c r="AE306" s="15">
        <v>0</v>
      </c>
      <c r="AF306" s="15">
        <v>0</v>
      </c>
      <c r="AG306" s="15">
        <v>0</v>
      </c>
      <c r="AH306" s="15">
        <v>0</v>
      </c>
      <c r="AI306" s="15">
        <f t="shared" si="41"/>
        <v>0.42</v>
      </c>
      <c r="AJ306" s="15">
        <f t="shared" si="42"/>
        <v>7.42</v>
      </c>
      <c r="AK306" t="s">
        <v>47</v>
      </c>
    </row>
    <row r="307" spans="1:37" ht="15" customHeight="1" x14ac:dyDescent="0.35">
      <c r="A307">
        <v>690929</v>
      </c>
      <c r="B307" t="s">
        <v>37</v>
      </c>
      <c r="C307" t="s">
        <v>38</v>
      </c>
      <c r="D307" s="9" t="s">
        <v>39</v>
      </c>
      <c r="E307" s="10" t="s">
        <v>37</v>
      </c>
      <c r="F307" s="11"/>
      <c r="G307" t="s">
        <v>983</v>
      </c>
      <c r="I307" t="s">
        <v>41</v>
      </c>
      <c r="J307" t="s">
        <v>984</v>
      </c>
      <c r="K307" t="s">
        <v>43</v>
      </c>
      <c r="L307">
        <v>2</v>
      </c>
      <c r="M307" t="s">
        <v>44</v>
      </c>
      <c r="N307" t="s">
        <v>45</v>
      </c>
      <c r="O307" t="s">
        <v>46</v>
      </c>
      <c r="P307" s="5">
        <v>1</v>
      </c>
      <c r="Q307" s="12">
        <v>44748.730868055558</v>
      </c>
      <c r="R307" s="13">
        <v>44750</v>
      </c>
      <c r="T307" t="s">
        <v>47</v>
      </c>
      <c r="U307" t="s">
        <v>48</v>
      </c>
      <c r="V307" t="s">
        <v>96</v>
      </c>
      <c r="Y307" t="s">
        <v>985</v>
      </c>
      <c r="Z307">
        <v>16800</v>
      </c>
      <c r="AA307" t="s">
        <v>47</v>
      </c>
      <c r="AB307" t="s">
        <v>56</v>
      </c>
      <c r="AC307" t="s">
        <v>53</v>
      </c>
      <c r="AD307" s="16">
        <f t="shared" si="44"/>
        <v>7</v>
      </c>
      <c r="AE307" s="15">
        <v>0</v>
      </c>
      <c r="AF307" s="15">
        <v>0</v>
      </c>
      <c r="AG307" s="15">
        <v>0</v>
      </c>
      <c r="AH307" s="15">
        <v>0</v>
      </c>
      <c r="AI307" s="15">
        <f t="shared" si="41"/>
        <v>0.42</v>
      </c>
      <c r="AJ307" s="15">
        <f t="shared" si="42"/>
        <v>7.42</v>
      </c>
      <c r="AK307" t="s">
        <v>47</v>
      </c>
    </row>
    <row r="308" spans="1:37" ht="15" customHeight="1" x14ac:dyDescent="0.35">
      <c r="A308">
        <v>690929</v>
      </c>
      <c r="B308" t="s">
        <v>37</v>
      </c>
      <c r="C308" t="s">
        <v>38</v>
      </c>
      <c r="D308" s="9" t="s">
        <v>39</v>
      </c>
      <c r="E308" s="10" t="s">
        <v>37</v>
      </c>
      <c r="F308" s="11"/>
      <c r="G308" t="s">
        <v>986</v>
      </c>
      <c r="I308" t="s">
        <v>41</v>
      </c>
      <c r="J308" t="s">
        <v>987</v>
      </c>
      <c r="K308" t="s">
        <v>43</v>
      </c>
      <c r="L308">
        <v>2</v>
      </c>
      <c r="M308" t="s">
        <v>44</v>
      </c>
      <c r="N308" t="s">
        <v>45</v>
      </c>
      <c r="O308" t="s">
        <v>46</v>
      </c>
      <c r="P308" s="5">
        <v>3</v>
      </c>
      <c r="Q308" s="12">
        <v>44748.508356481485</v>
      </c>
      <c r="R308" s="13">
        <v>44750</v>
      </c>
      <c r="T308" t="s">
        <v>47</v>
      </c>
      <c r="U308" t="s">
        <v>48</v>
      </c>
      <c r="V308" t="s">
        <v>114</v>
      </c>
      <c r="Y308" t="s">
        <v>988</v>
      </c>
      <c r="Z308">
        <v>40000</v>
      </c>
      <c r="AA308" t="s">
        <v>47</v>
      </c>
      <c r="AB308" t="s">
        <v>64</v>
      </c>
      <c r="AC308" t="s">
        <v>53</v>
      </c>
      <c r="AD308" s="16">
        <f>IF(P308&lt;=1,7,7+0.8*ROUNDUP(P308-1,0))</f>
        <v>8.6</v>
      </c>
      <c r="AE308" s="15">
        <v>0</v>
      </c>
      <c r="AF308" s="15">
        <v>0</v>
      </c>
      <c r="AG308" s="15">
        <v>0</v>
      </c>
      <c r="AH308" s="15">
        <v>0</v>
      </c>
      <c r="AI308" s="15">
        <f t="shared" si="41"/>
        <v>0.51600000000000001</v>
      </c>
      <c r="AJ308" s="15">
        <f t="shared" si="42"/>
        <v>9.1159999999999997</v>
      </c>
      <c r="AK308" t="s">
        <v>47</v>
      </c>
    </row>
    <row r="309" spans="1:37" ht="15" customHeight="1" x14ac:dyDescent="0.35">
      <c r="A309">
        <v>690929</v>
      </c>
      <c r="B309" t="s">
        <v>37</v>
      </c>
      <c r="C309" t="s">
        <v>38</v>
      </c>
      <c r="D309" s="9" t="s">
        <v>39</v>
      </c>
      <c r="E309" s="10" t="s">
        <v>37</v>
      </c>
      <c r="F309" s="11"/>
      <c r="G309" t="s">
        <v>989</v>
      </c>
      <c r="I309" t="s">
        <v>41</v>
      </c>
      <c r="J309" t="s">
        <v>990</v>
      </c>
      <c r="K309" t="s">
        <v>43</v>
      </c>
      <c r="L309">
        <v>2</v>
      </c>
      <c r="M309" t="s">
        <v>44</v>
      </c>
      <c r="N309" t="s">
        <v>45</v>
      </c>
      <c r="O309" t="s">
        <v>46</v>
      </c>
      <c r="P309" s="5">
        <v>1</v>
      </c>
      <c r="Q309" s="12">
        <v>44749.657847222225</v>
      </c>
      <c r="R309" s="13">
        <v>44750</v>
      </c>
      <c r="T309" t="s">
        <v>47</v>
      </c>
      <c r="U309" t="s">
        <v>48</v>
      </c>
      <c r="V309" t="s">
        <v>67</v>
      </c>
      <c r="Y309" t="s">
        <v>991</v>
      </c>
      <c r="Z309">
        <v>28320</v>
      </c>
      <c r="AA309" t="s">
        <v>47</v>
      </c>
      <c r="AB309" t="s">
        <v>48</v>
      </c>
      <c r="AC309" t="s">
        <v>53</v>
      </c>
      <c r="AD309" s="16">
        <f t="shared" ref="AD309:AD312" si="45">IF(P309&lt;=1,7,7+0.8*ROUNDUP(P309-1,0))</f>
        <v>7</v>
      </c>
      <c r="AE309" s="15">
        <v>0</v>
      </c>
      <c r="AF309" s="15">
        <v>0</v>
      </c>
      <c r="AG309" s="15">
        <v>0</v>
      </c>
      <c r="AH309" s="15">
        <v>0</v>
      </c>
      <c r="AI309" s="15">
        <f t="shared" si="41"/>
        <v>0.42</v>
      </c>
      <c r="AJ309" s="15">
        <f t="shared" si="42"/>
        <v>7.42</v>
      </c>
      <c r="AK309" t="s">
        <v>47</v>
      </c>
    </row>
    <row r="310" spans="1:37" ht="15" customHeight="1" x14ac:dyDescent="0.35">
      <c r="A310">
        <v>690929</v>
      </c>
      <c r="B310" t="s">
        <v>37</v>
      </c>
      <c r="C310" t="s">
        <v>38</v>
      </c>
      <c r="D310" s="9" t="s">
        <v>39</v>
      </c>
      <c r="E310" s="10" t="s">
        <v>37</v>
      </c>
      <c r="F310" s="11"/>
      <c r="G310" t="s">
        <v>992</v>
      </c>
      <c r="I310" t="s">
        <v>41</v>
      </c>
      <c r="J310" t="s">
        <v>993</v>
      </c>
      <c r="K310" t="s">
        <v>43</v>
      </c>
      <c r="L310">
        <v>2</v>
      </c>
      <c r="M310" t="s">
        <v>44</v>
      </c>
      <c r="N310" t="s">
        <v>45</v>
      </c>
      <c r="O310" t="s">
        <v>46</v>
      </c>
      <c r="P310" s="5">
        <v>3</v>
      </c>
      <c r="Q310" s="12">
        <v>44749.70103009259</v>
      </c>
      <c r="R310" s="13">
        <v>44751</v>
      </c>
      <c r="T310" t="s">
        <v>47</v>
      </c>
      <c r="U310" t="s">
        <v>48</v>
      </c>
      <c r="V310" t="s">
        <v>62</v>
      </c>
      <c r="Y310" t="s">
        <v>994</v>
      </c>
      <c r="Z310">
        <v>86400</v>
      </c>
      <c r="AA310" t="s">
        <v>47</v>
      </c>
      <c r="AB310" t="s">
        <v>64</v>
      </c>
      <c r="AC310" t="s">
        <v>53</v>
      </c>
      <c r="AD310" s="16">
        <f t="shared" si="45"/>
        <v>8.6</v>
      </c>
      <c r="AE310" s="15">
        <v>0</v>
      </c>
      <c r="AF310" s="15">
        <v>0</v>
      </c>
      <c r="AG310" s="15">
        <v>0</v>
      </c>
      <c r="AH310" s="15">
        <v>0</v>
      </c>
      <c r="AI310" s="15">
        <f t="shared" si="41"/>
        <v>0.51600000000000001</v>
      </c>
      <c r="AJ310" s="15">
        <f t="shared" si="42"/>
        <v>9.1159999999999997</v>
      </c>
      <c r="AK310" t="s">
        <v>47</v>
      </c>
    </row>
    <row r="311" spans="1:37" ht="15" customHeight="1" x14ac:dyDescent="0.35">
      <c r="A311">
        <v>690929</v>
      </c>
      <c r="B311" t="s">
        <v>37</v>
      </c>
      <c r="C311" t="s">
        <v>38</v>
      </c>
      <c r="D311" s="9" t="s">
        <v>39</v>
      </c>
      <c r="E311" s="10" t="s">
        <v>37</v>
      </c>
      <c r="F311" s="11"/>
      <c r="G311" t="s">
        <v>995</v>
      </c>
      <c r="I311" t="s">
        <v>41</v>
      </c>
      <c r="J311" t="s">
        <v>996</v>
      </c>
      <c r="K311" t="s">
        <v>43</v>
      </c>
      <c r="L311">
        <v>2</v>
      </c>
      <c r="M311" t="s">
        <v>44</v>
      </c>
      <c r="N311" t="s">
        <v>45</v>
      </c>
      <c r="O311" t="s">
        <v>46</v>
      </c>
      <c r="P311" s="5">
        <v>1</v>
      </c>
      <c r="Q311" s="12">
        <v>44749.597696759258</v>
      </c>
      <c r="R311" s="13">
        <v>44751</v>
      </c>
      <c r="T311" t="s">
        <v>47</v>
      </c>
      <c r="U311" t="s">
        <v>48</v>
      </c>
      <c r="V311" t="s">
        <v>62</v>
      </c>
      <c r="Y311" t="s">
        <v>997</v>
      </c>
      <c r="Z311">
        <v>84020</v>
      </c>
      <c r="AA311" t="s">
        <v>47</v>
      </c>
      <c r="AB311" t="s">
        <v>64</v>
      </c>
      <c r="AC311" t="s">
        <v>53</v>
      </c>
      <c r="AD311" s="16">
        <f t="shared" si="45"/>
        <v>7</v>
      </c>
      <c r="AE311" s="15">
        <v>0</v>
      </c>
      <c r="AF311" s="15">
        <v>0</v>
      </c>
      <c r="AG311" s="15">
        <v>0</v>
      </c>
      <c r="AH311" s="15">
        <v>0</v>
      </c>
      <c r="AI311" s="15">
        <f t="shared" si="41"/>
        <v>0.42</v>
      </c>
      <c r="AJ311" s="15">
        <f t="shared" si="42"/>
        <v>7.42</v>
      </c>
      <c r="AK311" t="s">
        <v>47</v>
      </c>
    </row>
    <row r="312" spans="1:37" ht="15" customHeight="1" x14ac:dyDescent="0.35">
      <c r="A312">
        <v>690929</v>
      </c>
      <c r="B312" t="s">
        <v>37</v>
      </c>
      <c r="C312" t="s">
        <v>38</v>
      </c>
      <c r="D312" s="9" t="s">
        <v>39</v>
      </c>
      <c r="E312" s="10" t="s">
        <v>37</v>
      </c>
      <c r="F312" s="11"/>
      <c r="G312" t="s">
        <v>998</v>
      </c>
      <c r="I312" t="s">
        <v>41</v>
      </c>
      <c r="J312" t="s">
        <v>999</v>
      </c>
      <c r="K312" t="s">
        <v>43</v>
      </c>
      <c r="L312">
        <v>2</v>
      </c>
      <c r="M312" t="s">
        <v>44</v>
      </c>
      <c r="N312" t="s">
        <v>45</v>
      </c>
      <c r="O312" t="s">
        <v>46</v>
      </c>
      <c r="P312" s="5">
        <v>1</v>
      </c>
      <c r="Q312" s="12">
        <v>44748.728935185187</v>
      </c>
      <c r="R312" s="13">
        <v>44751</v>
      </c>
      <c r="T312" t="s">
        <v>47</v>
      </c>
      <c r="U312" t="s">
        <v>48</v>
      </c>
      <c r="V312" t="s">
        <v>176</v>
      </c>
      <c r="Y312" t="s">
        <v>1000</v>
      </c>
      <c r="Z312">
        <v>75450</v>
      </c>
      <c r="AA312" t="s">
        <v>47</v>
      </c>
      <c r="AB312" t="s">
        <v>64</v>
      </c>
      <c r="AC312" t="s">
        <v>53</v>
      </c>
      <c r="AD312" s="16">
        <f t="shared" si="45"/>
        <v>7</v>
      </c>
      <c r="AE312" s="15">
        <v>0</v>
      </c>
      <c r="AF312" s="15">
        <v>0</v>
      </c>
      <c r="AG312" s="15">
        <v>0</v>
      </c>
      <c r="AH312" s="15">
        <v>0</v>
      </c>
      <c r="AI312" s="15">
        <f t="shared" si="41"/>
        <v>0.42</v>
      </c>
      <c r="AJ312" s="15">
        <f t="shared" si="42"/>
        <v>7.42</v>
      </c>
      <c r="AK312" t="s">
        <v>47</v>
      </c>
    </row>
    <row r="313" spans="1:37" ht="15" customHeight="1" x14ac:dyDescent="0.35">
      <c r="A313">
        <v>690929</v>
      </c>
      <c r="B313" t="s">
        <v>37</v>
      </c>
      <c r="C313" t="s">
        <v>38</v>
      </c>
      <c r="D313" s="9" t="s">
        <v>39</v>
      </c>
      <c r="E313" s="10" t="s">
        <v>37</v>
      </c>
      <c r="F313" s="11"/>
      <c r="G313" t="s">
        <v>1001</v>
      </c>
      <c r="I313" t="s">
        <v>41</v>
      </c>
      <c r="J313" t="s">
        <v>1002</v>
      </c>
      <c r="K313" t="s">
        <v>43</v>
      </c>
      <c r="L313">
        <v>2</v>
      </c>
      <c r="M313" t="s">
        <v>44</v>
      </c>
      <c r="N313" t="s">
        <v>45</v>
      </c>
      <c r="O313" t="s">
        <v>46</v>
      </c>
      <c r="P313" s="5">
        <v>1</v>
      </c>
      <c r="Q313" s="12">
        <v>44748.619780092595</v>
      </c>
      <c r="R313" s="13">
        <v>44751</v>
      </c>
      <c r="T313" t="s">
        <v>47</v>
      </c>
      <c r="U313" t="s">
        <v>48</v>
      </c>
      <c r="V313" t="s">
        <v>80</v>
      </c>
      <c r="Y313" t="s">
        <v>1003</v>
      </c>
      <c r="Z313">
        <v>93050</v>
      </c>
      <c r="AA313" t="s">
        <v>51</v>
      </c>
      <c r="AB313" t="s">
        <v>64</v>
      </c>
      <c r="AC313" t="s">
        <v>53</v>
      </c>
      <c r="AD313" s="14">
        <f>IF(P313&lt;=1,13,IF(P313&lt;=2,23,IF(P313&lt;=3,35,IF(P313&lt;=4,43,IF(P313&lt;=5,53,IF(P313&lt;=6,63,IF(P313&lt;=7,71,IF(P313&lt;=8,79,IF(P313&lt;=9,87,IF(P313&lt;=10,95,IF(P313&lt;=11,105,IF(P313&lt;=12,114,IF(P313&lt;=13,119,IF(P313&lt;=14,127,IF(P313&lt;=15,135,IF(P313&lt;=16,143,IF(P313&lt;=17,153,IF(P313&lt;=18,163,IF(P313&lt;=19,171,IF(P313&lt;=20,185,IF(P313&lt;=21,193,IF(P313&lt;=22,201,IF(P313&lt;=23,210,IF(P313&lt;=24,220,IF(P313&lt;=25,230,IF(P313&lt;=26,240,IF(P313&lt;=27,250,IF(P313&lt;=28,260,IF(P313&lt;=29,270,IF(P313&lt;=30,280,280))))))))))))))))))))))))))))))</f>
        <v>13</v>
      </c>
      <c r="AE313" s="15">
        <v>0</v>
      </c>
      <c r="AF313" s="15">
        <v>0</v>
      </c>
      <c r="AG313" s="15">
        <v>0</v>
      </c>
      <c r="AH313" s="15">
        <v>0</v>
      </c>
      <c r="AI313" s="15">
        <f t="shared" si="41"/>
        <v>0.78</v>
      </c>
      <c r="AJ313" s="15">
        <f t="shared" si="42"/>
        <v>13.78</v>
      </c>
      <c r="AK313" t="s">
        <v>51</v>
      </c>
    </row>
    <row r="314" spans="1:37" ht="15" customHeight="1" x14ac:dyDescent="0.35">
      <c r="A314">
        <v>690929</v>
      </c>
      <c r="B314" t="s">
        <v>37</v>
      </c>
      <c r="C314" t="s">
        <v>38</v>
      </c>
      <c r="D314" s="9" t="s">
        <v>39</v>
      </c>
      <c r="E314" s="10" t="s">
        <v>37</v>
      </c>
      <c r="F314" s="11"/>
      <c r="G314" t="s">
        <v>1004</v>
      </c>
      <c r="I314" t="s">
        <v>41</v>
      </c>
      <c r="J314" t="s">
        <v>1005</v>
      </c>
      <c r="K314" t="s">
        <v>43</v>
      </c>
      <c r="L314">
        <v>2</v>
      </c>
      <c r="M314" t="s">
        <v>44</v>
      </c>
      <c r="N314" t="s">
        <v>45</v>
      </c>
      <c r="O314" t="s">
        <v>46</v>
      </c>
      <c r="P314" s="5">
        <v>1</v>
      </c>
      <c r="Q314" s="12">
        <v>44749.656377314815</v>
      </c>
      <c r="R314" s="13">
        <v>44751</v>
      </c>
      <c r="T314" t="s">
        <v>47</v>
      </c>
      <c r="U314" t="s">
        <v>48</v>
      </c>
      <c r="V314" t="s">
        <v>62</v>
      </c>
      <c r="Y314" t="s">
        <v>1006</v>
      </c>
      <c r="Z314">
        <v>81930</v>
      </c>
      <c r="AA314" t="s">
        <v>47</v>
      </c>
      <c r="AB314" t="s">
        <v>64</v>
      </c>
      <c r="AC314" t="s">
        <v>53</v>
      </c>
      <c r="AD314" s="16">
        <f t="shared" ref="AD314:AD326" si="46">IF(P314&lt;=1,7,7+0.8*ROUNDUP(P314-1,0))</f>
        <v>7</v>
      </c>
      <c r="AE314" s="15">
        <v>0</v>
      </c>
      <c r="AF314" s="15">
        <v>0</v>
      </c>
      <c r="AG314" s="15">
        <v>0</v>
      </c>
      <c r="AH314" s="15">
        <v>0</v>
      </c>
      <c r="AI314" s="15">
        <f t="shared" si="41"/>
        <v>0.42</v>
      </c>
      <c r="AJ314" s="15">
        <f t="shared" si="42"/>
        <v>7.42</v>
      </c>
      <c r="AK314" t="s">
        <v>47</v>
      </c>
    </row>
    <row r="315" spans="1:37" ht="15" customHeight="1" x14ac:dyDescent="0.35">
      <c r="A315">
        <v>690929</v>
      </c>
      <c r="B315" t="s">
        <v>37</v>
      </c>
      <c r="C315" t="s">
        <v>38</v>
      </c>
      <c r="D315" s="9" t="s">
        <v>39</v>
      </c>
      <c r="E315" s="10" t="s">
        <v>37</v>
      </c>
      <c r="F315" s="11"/>
      <c r="G315" t="s">
        <v>1007</v>
      </c>
      <c r="I315" t="s">
        <v>41</v>
      </c>
      <c r="J315" t="s">
        <v>302</v>
      </c>
      <c r="K315" t="s">
        <v>43</v>
      </c>
      <c r="L315">
        <v>2</v>
      </c>
      <c r="M315" t="s">
        <v>44</v>
      </c>
      <c r="N315" t="s">
        <v>45</v>
      </c>
      <c r="O315" t="s">
        <v>46</v>
      </c>
      <c r="P315" s="5">
        <v>13</v>
      </c>
      <c r="Q315" s="12">
        <v>44748.516527777778</v>
      </c>
      <c r="R315" s="13">
        <v>44751</v>
      </c>
      <c r="T315" t="s">
        <v>47</v>
      </c>
      <c r="U315" t="s">
        <v>48</v>
      </c>
      <c r="V315" t="s">
        <v>67</v>
      </c>
      <c r="Y315" t="s">
        <v>1008</v>
      </c>
      <c r="Z315">
        <v>28700</v>
      </c>
      <c r="AA315" t="s">
        <v>47</v>
      </c>
      <c r="AB315" t="s">
        <v>64</v>
      </c>
      <c r="AC315" t="s">
        <v>53</v>
      </c>
      <c r="AD315" s="16">
        <f t="shared" si="46"/>
        <v>16.600000000000001</v>
      </c>
      <c r="AE315" s="15">
        <v>0</v>
      </c>
      <c r="AF315" s="15">
        <v>0</v>
      </c>
      <c r="AG315" s="15">
        <v>0</v>
      </c>
      <c r="AH315" s="15">
        <v>0</v>
      </c>
      <c r="AI315" s="15">
        <f t="shared" si="41"/>
        <v>0.996</v>
      </c>
      <c r="AJ315" s="15">
        <f t="shared" si="42"/>
        <v>17.596</v>
      </c>
      <c r="AK315" t="s">
        <v>47</v>
      </c>
    </row>
    <row r="316" spans="1:37" ht="15" customHeight="1" x14ac:dyDescent="0.35">
      <c r="A316">
        <v>690929</v>
      </c>
      <c r="B316" t="s">
        <v>37</v>
      </c>
      <c r="C316" t="s">
        <v>38</v>
      </c>
      <c r="D316" s="9" t="s">
        <v>39</v>
      </c>
      <c r="E316" s="10" t="s">
        <v>37</v>
      </c>
      <c r="F316" s="11"/>
      <c r="G316" t="s">
        <v>1009</v>
      </c>
      <c r="I316" t="s">
        <v>41</v>
      </c>
      <c r="J316" t="s">
        <v>1010</v>
      </c>
      <c r="K316" t="s">
        <v>43</v>
      </c>
      <c r="L316">
        <v>2</v>
      </c>
      <c r="M316" t="s">
        <v>44</v>
      </c>
      <c r="N316" t="s">
        <v>45</v>
      </c>
      <c r="O316" t="s">
        <v>46</v>
      </c>
      <c r="P316" s="5">
        <v>2</v>
      </c>
      <c r="Q316" s="12">
        <v>44749.661099537036</v>
      </c>
      <c r="R316" s="13">
        <v>44751</v>
      </c>
      <c r="T316" t="s">
        <v>47</v>
      </c>
      <c r="U316" t="s">
        <v>48</v>
      </c>
      <c r="V316" t="s">
        <v>114</v>
      </c>
      <c r="Y316" t="s">
        <v>1011</v>
      </c>
      <c r="Z316">
        <v>43650</v>
      </c>
      <c r="AA316" t="s">
        <v>47</v>
      </c>
      <c r="AB316" t="s">
        <v>64</v>
      </c>
      <c r="AC316" t="s">
        <v>53</v>
      </c>
      <c r="AD316" s="16">
        <f t="shared" si="46"/>
        <v>7.8</v>
      </c>
      <c r="AE316" s="15">
        <v>0</v>
      </c>
      <c r="AF316" s="15">
        <v>0</v>
      </c>
      <c r="AG316" s="15">
        <v>0</v>
      </c>
      <c r="AH316" s="15">
        <v>0</v>
      </c>
      <c r="AI316" s="15">
        <f t="shared" si="41"/>
        <v>0.46799999999999997</v>
      </c>
      <c r="AJ316" s="15">
        <f t="shared" si="42"/>
        <v>8.2680000000000007</v>
      </c>
      <c r="AK316" t="s">
        <v>47</v>
      </c>
    </row>
    <row r="317" spans="1:37" ht="15" customHeight="1" x14ac:dyDescent="0.35">
      <c r="A317">
        <v>690929</v>
      </c>
      <c r="B317" t="s">
        <v>37</v>
      </c>
      <c r="C317" t="s">
        <v>38</v>
      </c>
      <c r="D317" s="9" t="s">
        <v>39</v>
      </c>
      <c r="E317" s="10" t="s">
        <v>37</v>
      </c>
      <c r="F317" s="11"/>
      <c r="G317" t="s">
        <v>1012</v>
      </c>
      <c r="I317" t="s">
        <v>41</v>
      </c>
      <c r="J317" t="s">
        <v>1013</v>
      </c>
      <c r="K317" t="s">
        <v>43</v>
      </c>
      <c r="L317">
        <v>2</v>
      </c>
      <c r="M317" t="s">
        <v>44</v>
      </c>
      <c r="N317" t="s">
        <v>45</v>
      </c>
      <c r="O317" t="s">
        <v>46</v>
      </c>
      <c r="P317" s="5">
        <v>24</v>
      </c>
      <c r="Q317" s="12">
        <v>44750.398333333331</v>
      </c>
      <c r="R317" s="13">
        <v>44751</v>
      </c>
      <c r="T317" t="s">
        <v>47</v>
      </c>
      <c r="U317" t="s">
        <v>48</v>
      </c>
      <c r="V317" t="s">
        <v>76</v>
      </c>
      <c r="Y317" t="s">
        <v>1014</v>
      </c>
      <c r="Z317">
        <v>21800</v>
      </c>
      <c r="AA317" t="s">
        <v>47</v>
      </c>
      <c r="AB317" t="s">
        <v>1015</v>
      </c>
      <c r="AC317" t="s">
        <v>53</v>
      </c>
      <c r="AD317" s="16">
        <f t="shared" si="46"/>
        <v>25.400000000000002</v>
      </c>
      <c r="AE317" s="15">
        <v>0</v>
      </c>
      <c r="AF317" s="15">
        <v>0</v>
      </c>
      <c r="AG317" s="15">
        <v>0</v>
      </c>
      <c r="AH317" s="15">
        <v>0</v>
      </c>
      <c r="AI317" s="15">
        <f t="shared" si="41"/>
        <v>1.524</v>
      </c>
      <c r="AJ317" s="15">
        <f t="shared" si="42"/>
        <v>26.924000000000003</v>
      </c>
      <c r="AK317" t="s">
        <v>47</v>
      </c>
    </row>
    <row r="318" spans="1:37" ht="15" customHeight="1" x14ac:dyDescent="0.35">
      <c r="A318">
        <v>690929</v>
      </c>
      <c r="B318" t="s">
        <v>37</v>
      </c>
      <c r="C318" t="s">
        <v>38</v>
      </c>
      <c r="D318" s="9" t="s">
        <v>39</v>
      </c>
      <c r="E318" s="10" t="s">
        <v>37</v>
      </c>
      <c r="F318" s="11"/>
      <c r="G318" t="s">
        <v>1016</v>
      </c>
      <c r="I318" t="s">
        <v>41</v>
      </c>
      <c r="J318" t="s">
        <v>705</v>
      </c>
      <c r="K318" t="s">
        <v>43</v>
      </c>
      <c r="L318">
        <v>2</v>
      </c>
      <c r="M318" t="s">
        <v>44</v>
      </c>
      <c r="N318" t="s">
        <v>45</v>
      </c>
      <c r="O318" t="s">
        <v>46</v>
      </c>
      <c r="P318" s="5">
        <v>5</v>
      </c>
      <c r="Q318" s="12">
        <v>44749.420856481483</v>
      </c>
      <c r="R318" s="13">
        <v>44751</v>
      </c>
      <c r="T318" t="s">
        <v>47</v>
      </c>
      <c r="U318" t="s">
        <v>48</v>
      </c>
      <c r="V318" t="s">
        <v>138</v>
      </c>
      <c r="Y318" t="s">
        <v>706</v>
      </c>
      <c r="Z318">
        <v>70450</v>
      </c>
      <c r="AA318" t="s">
        <v>47</v>
      </c>
      <c r="AB318" t="s">
        <v>64</v>
      </c>
      <c r="AC318" t="s">
        <v>53</v>
      </c>
      <c r="AD318" s="16">
        <f t="shared" si="46"/>
        <v>10.199999999999999</v>
      </c>
      <c r="AE318" s="15">
        <v>0</v>
      </c>
      <c r="AF318" s="15">
        <v>0</v>
      </c>
      <c r="AG318" s="15">
        <v>0</v>
      </c>
      <c r="AH318" s="15">
        <v>0</v>
      </c>
      <c r="AI318" s="15">
        <f t="shared" si="41"/>
        <v>0.61199999999999999</v>
      </c>
      <c r="AJ318" s="15">
        <f t="shared" si="42"/>
        <v>10.811999999999999</v>
      </c>
      <c r="AK318" t="s">
        <v>47</v>
      </c>
    </row>
    <row r="319" spans="1:37" ht="15" customHeight="1" x14ac:dyDescent="0.35">
      <c r="A319">
        <v>690929</v>
      </c>
      <c r="B319" t="s">
        <v>37</v>
      </c>
      <c r="C319" t="s">
        <v>38</v>
      </c>
      <c r="D319" s="9" t="s">
        <v>39</v>
      </c>
      <c r="E319" s="10" t="s">
        <v>37</v>
      </c>
      <c r="F319" s="11"/>
      <c r="G319" t="s">
        <v>1017</v>
      </c>
      <c r="I319" t="s">
        <v>41</v>
      </c>
      <c r="J319" t="s">
        <v>1018</v>
      </c>
      <c r="K319" t="s">
        <v>43</v>
      </c>
      <c r="L319">
        <v>2</v>
      </c>
      <c r="M319" t="s">
        <v>44</v>
      </c>
      <c r="N319" t="s">
        <v>45</v>
      </c>
      <c r="O319" t="s">
        <v>46</v>
      </c>
      <c r="P319" s="5">
        <v>1</v>
      </c>
      <c r="Q319" s="12">
        <v>44748.725543981483</v>
      </c>
      <c r="R319" s="13">
        <v>44751</v>
      </c>
      <c r="T319" t="s">
        <v>47</v>
      </c>
      <c r="U319" t="s">
        <v>48</v>
      </c>
      <c r="V319" t="s">
        <v>85</v>
      </c>
      <c r="Y319" t="s">
        <v>1019</v>
      </c>
      <c r="Z319">
        <v>14000</v>
      </c>
      <c r="AA319" t="s">
        <v>47</v>
      </c>
      <c r="AB319" t="s">
        <v>64</v>
      </c>
      <c r="AC319" t="s">
        <v>53</v>
      </c>
      <c r="AD319" s="16">
        <f t="shared" si="46"/>
        <v>7</v>
      </c>
      <c r="AE319" s="15">
        <v>0</v>
      </c>
      <c r="AF319" s="15">
        <v>0</v>
      </c>
      <c r="AG319" s="15">
        <v>0</v>
      </c>
      <c r="AH319" s="15">
        <v>0</v>
      </c>
      <c r="AI319" s="15">
        <f t="shared" si="41"/>
        <v>0.42</v>
      </c>
      <c r="AJ319" s="15">
        <f t="shared" si="42"/>
        <v>7.42</v>
      </c>
      <c r="AK319" t="s">
        <v>47</v>
      </c>
    </row>
    <row r="320" spans="1:37" ht="15" customHeight="1" x14ac:dyDescent="0.35">
      <c r="A320">
        <v>690929</v>
      </c>
      <c r="B320" t="s">
        <v>37</v>
      </c>
      <c r="C320" t="s">
        <v>38</v>
      </c>
      <c r="D320" s="9" t="s">
        <v>39</v>
      </c>
      <c r="E320" s="10" t="s">
        <v>37</v>
      </c>
      <c r="F320" s="11"/>
      <c r="G320" t="s">
        <v>1020</v>
      </c>
      <c r="I320" t="s">
        <v>41</v>
      </c>
      <c r="J320" t="s">
        <v>1021</v>
      </c>
      <c r="K320" t="s">
        <v>43</v>
      </c>
      <c r="L320">
        <v>2</v>
      </c>
      <c r="M320" t="s">
        <v>44</v>
      </c>
      <c r="N320" t="s">
        <v>45</v>
      </c>
      <c r="O320" t="s">
        <v>46</v>
      </c>
      <c r="P320" s="5">
        <v>1</v>
      </c>
      <c r="Q320" s="12">
        <v>44749.679710648146</v>
      </c>
      <c r="R320" s="13">
        <v>44751</v>
      </c>
      <c r="T320" t="s">
        <v>47</v>
      </c>
      <c r="U320" t="s">
        <v>48</v>
      </c>
      <c r="V320" t="s">
        <v>71</v>
      </c>
      <c r="Y320" t="s">
        <v>1022</v>
      </c>
      <c r="Z320">
        <v>6250</v>
      </c>
      <c r="AA320" t="s">
        <v>47</v>
      </c>
      <c r="AB320" t="s">
        <v>48</v>
      </c>
      <c r="AC320" t="s">
        <v>53</v>
      </c>
      <c r="AD320" s="16">
        <f t="shared" si="46"/>
        <v>7</v>
      </c>
      <c r="AE320" s="15">
        <v>0</v>
      </c>
      <c r="AF320" s="15">
        <v>0</v>
      </c>
      <c r="AG320" s="15">
        <v>0</v>
      </c>
      <c r="AH320" s="15">
        <v>0</v>
      </c>
      <c r="AI320" s="15">
        <f t="shared" si="41"/>
        <v>0.42</v>
      </c>
      <c r="AJ320" s="15">
        <f t="shared" si="42"/>
        <v>7.42</v>
      </c>
      <c r="AK320" t="s">
        <v>47</v>
      </c>
    </row>
    <row r="321" spans="1:37" ht="15" customHeight="1" x14ac:dyDescent="0.35">
      <c r="A321">
        <v>690929</v>
      </c>
      <c r="B321" t="s">
        <v>37</v>
      </c>
      <c r="C321" t="s">
        <v>38</v>
      </c>
      <c r="D321" s="9" t="s">
        <v>39</v>
      </c>
      <c r="E321" s="10" t="s">
        <v>37</v>
      </c>
      <c r="F321" s="11"/>
      <c r="G321" t="s">
        <v>1023</v>
      </c>
      <c r="I321" t="s">
        <v>41</v>
      </c>
      <c r="J321" t="s">
        <v>1024</v>
      </c>
      <c r="K321" t="s">
        <v>43</v>
      </c>
      <c r="L321">
        <v>2</v>
      </c>
      <c r="M321" t="s">
        <v>44</v>
      </c>
      <c r="N321" t="s">
        <v>45</v>
      </c>
      <c r="O321" t="s">
        <v>46</v>
      </c>
      <c r="P321" s="5">
        <v>1</v>
      </c>
      <c r="Q321" s="12">
        <v>44745.771851851852</v>
      </c>
      <c r="R321" s="13">
        <v>44751</v>
      </c>
      <c r="T321" t="s">
        <v>47</v>
      </c>
      <c r="U321" t="s">
        <v>48</v>
      </c>
      <c r="V321" t="s">
        <v>138</v>
      </c>
      <c r="Y321" t="s">
        <v>1025</v>
      </c>
      <c r="Z321">
        <v>70300</v>
      </c>
      <c r="AA321" t="s">
        <v>47</v>
      </c>
      <c r="AB321" t="s">
        <v>64</v>
      </c>
      <c r="AC321" t="s">
        <v>53</v>
      </c>
      <c r="AD321" s="16">
        <f t="shared" si="46"/>
        <v>7</v>
      </c>
      <c r="AE321" s="15">
        <v>0</v>
      </c>
      <c r="AF321" s="15">
        <v>0</v>
      </c>
      <c r="AG321" s="15">
        <v>0</v>
      </c>
      <c r="AH321" s="15">
        <v>0</v>
      </c>
      <c r="AI321" s="15">
        <f t="shared" si="41"/>
        <v>0.42</v>
      </c>
      <c r="AJ321" s="15">
        <f t="shared" si="42"/>
        <v>7.42</v>
      </c>
      <c r="AK321" t="s">
        <v>47</v>
      </c>
    </row>
    <row r="322" spans="1:37" ht="15" customHeight="1" x14ac:dyDescent="0.35">
      <c r="A322">
        <v>690929</v>
      </c>
      <c r="B322" t="s">
        <v>37</v>
      </c>
      <c r="C322" t="s">
        <v>38</v>
      </c>
      <c r="D322" s="9" t="s">
        <v>39</v>
      </c>
      <c r="E322" s="10" t="s">
        <v>37</v>
      </c>
      <c r="F322" s="11"/>
      <c r="G322" t="s">
        <v>1026</v>
      </c>
      <c r="I322" t="s">
        <v>41</v>
      </c>
      <c r="J322" t="s">
        <v>1027</v>
      </c>
      <c r="K322" t="s">
        <v>43</v>
      </c>
      <c r="L322">
        <v>2</v>
      </c>
      <c r="M322" t="s">
        <v>44</v>
      </c>
      <c r="N322" t="s">
        <v>45</v>
      </c>
      <c r="O322" t="s">
        <v>46</v>
      </c>
      <c r="P322" s="5">
        <v>1</v>
      </c>
      <c r="Q322" s="12">
        <v>44748.727106481485</v>
      </c>
      <c r="R322" s="13">
        <v>44751</v>
      </c>
      <c r="T322" t="s">
        <v>47</v>
      </c>
      <c r="U322" t="s">
        <v>48</v>
      </c>
      <c r="V322" t="s">
        <v>67</v>
      </c>
      <c r="Y322" t="s">
        <v>1028</v>
      </c>
      <c r="Z322">
        <v>39100</v>
      </c>
      <c r="AA322" t="s">
        <v>47</v>
      </c>
      <c r="AB322" t="s">
        <v>64</v>
      </c>
      <c r="AC322" t="s">
        <v>53</v>
      </c>
      <c r="AD322" s="16">
        <f t="shared" si="46"/>
        <v>7</v>
      </c>
      <c r="AE322" s="15">
        <v>0</v>
      </c>
      <c r="AF322" s="15">
        <v>0</v>
      </c>
      <c r="AG322" s="15">
        <v>0</v>
      </c>
      <c r="AH322" s="15">
        <v>0</v>
      </c>
      <c r="AI322" s="15">
        <f t="shared" ref="AI322:AI385" si="47">(AD322+AF322+AH322)*6%</f>
        <v>0.42</v>
      </c>
      <c r="AJ322" s="15">
        <f t="shared" ref="AJ322:AJ385" si="48">AD322+AF322+AH322+AI322</f>
        <v>7.42</v>
      </c>
      <c r="AK322" t="s">
        <v>47</v>
      </c>
    </row>
    <row r="323" spans="1:37" ht="15" customHeight="1" x14ac:dyDescent="0.35">
      <c r="A323">
        <v>690929</v>
      </c>
      <c r="B323" t="s">
        <v>37</v>
      </c>
      <c r="C323" t="s">
        <v>38</v>
      </c>
      <c r="D323" s="9" t="s">
        <v>39</v>
      </c>
      <c r="E323" s="10" t="s">
        <v>37</v>
      </c>
      <c r="F323" s="11"/>
      <c r="G323" t="s">
        <v>1029</v>
      </c>
      <c r="I323" t="s">
        <v>41</v>
      </c>
      <c r="J323" t="s">
        <v>1030</v>
      </c>
      <c r="K323" t="s">
        <v>43</v>
      </c>
      <c r="L323">
        <v>2</v>
      </c>
      <c r="M323" t="s">
        <v>44</v>
      </c>
      <c r="N323" t="s">
        <v>45</v>
      </c>
      <c r="O323" t="s">
        <v>46</v>
      </c>
      <c r="P323" s="5">
        <v>5</v>
      </c>
      <c r="Q323" s="12">
        <v>44750.392199074071</v>
      </c>
      <c r="R323" s="13">
        <v>44751</v>
      </c>
      <c r="T323" t="s">
        <v>47</v>
      </c>
      <c r="U323" t="s">
        <v>48</v>
      </c>
      <c r="V323" t="s">
        <v>76</v>
      </c>
      <c r="Y323" t="s">
        <v>1031</v>
      </c>
      <c r="Z323">
        <v>21450</v>
      </c>
      <c r="AA323" t="s">
        <v>47</v>
      </c>
      <c r="AB323" t="s">
        <v>1032</v>
      </c>
      <c r="AC323" t="s">
        <v>53</v>
      </c>
      <c r="AD323" s="16">
        <f t="shared" si="46"/>
        <v>10.199999999999999</v>
      </c>
      <c r="AE323" s="15">
        <v>0</v>
      </c>
      <c r="AF323" s="15">
        <v>0</v>
      </c>
      <c r="AG323" s="15">
        <v>0</v>
      </c>
      <c r="AH323" s="15">
        <v>0</v>
      </c>
      <c r="AI323" s="15">
        <f t="shared" si="47"/>
        <v>0.61199999999999999</v>
      </c>
      <c r="AJ323" s="15">
        <f t="shared" si="48"/>
        <v>10.811999999999999</v>
      </c>
      <c r="AK323" t="s">
        <v>47</v>
      </c>
    </row>
    <row r="324" spans="1:37" ht="15" customHeight="1" x14ac:dyDescent="0.35">
      <c r="A324">
        <v>690929</v>
      </c>
      <c r="B324" t="s">
        <v>37</v>
      </c>
      <c r="C324" t="s">
        <v>38</v>
      </c>
      <c r="D324" s="9" t="s">
        <v>39</v>
      </c>
      <c r="E324" s="10" t="s">
        <v>37</v>
      </c>
      <c r="F324" s="11"/>
      <c r="G324" t="s">
        <v>1033</v>
      </c>
      <c r="I324" t="s">
        <v>41</v>
      </c>
      <c r="J324" t="s">
        <v>1034</v>
      </c>
      <c r="K324" t="s">
        <v>43</v>
      </c>
      <c r="L324">
        <v>2</v>
      </c>
      <c r="M324" t="s">
        <v>44</v>
      </c>
      <c r="N324" t="s">
        <v>45</v>
      </c>
      <c r="O324" t="s">
        <v>46</v>
      </c>
      <c r="P324" s="5">
        <v>1</v>
      </c>
      <c r="Q324" s="12">
        <v>44749.665567129632</v>
      </c>
      <c r="R324" s="13">
        <v>44751</v>
      </c>
      <c r="T324" t="s">
        <v>47</v>
      </c>
      <c r="U324" t="s">
        <v>48</v>
      </c>
      <c r="V324" t="s">
        <v>449</v>
      </c>
      <c r="Y324" t="s">
        <v>1035</v>
      </c>
      <c r="Z324">
        <v>2700</v>
      </c>
      <c r="AA324" t="s">
        <v>47</v>
      </c>
      <c r="AB324" t="s">
        <v>64</v>
      </c>
      <c r="AC324" t="s">
        <v>53</v>
      </c>
      <c r="AD324" s="16">
        <f t="shared" si="46"/>
        <v>7</v>
      </c>
      <c r="AE324" s="15">
        <v>0</v>
      </c>
      <c r="AF324" s="15">
        <v>0</v>
      </c>
      <c r="AG324" s="15">
        <v>0</v>
      </c>
      <c r="AH324" s="15">
        <v>0</v>
      </c>
      <c r="AI324" s="15">
        <f t="shared" si="47"/>
        <v>0.42</v>
      </c>
      <c r="AJ324" s="15">
        <f t="shared" si="48"/>
        <v>7.42</v>
      </c>
      <c r="AK324" t="s">
        <v>47</v>
      </c>
    </row>
    <row r="325" spans="1:37" ht="15" customHeight="1" x14ac:dyDescent="0.35">
      <c r="A325">
        <v>690929</v>
      </c>
      <c r="B325" t="s">
        <v>37</v>
      </c>
      <c r="C325" t="s">
        <v>38</v>
      </c>
      <c r="D325" s="9" t="s">
        <v>39</v>
      </c>
      <c r="E325" s="10" t="s">
        <v>37</v>
      </c>
      <c r="F325" s="11"/>
      <c r="G325" t="s">
        <v>1036</v>
      </c>
      <c r="I325" t="s">
        <v>41</v>
      </c>
      <c r="J325" t="s">
        <v>1037</v>
      </c>
      <c r="K325" t="s">
        <v>43</v>
      </c>
      <c r="L325">
        <v>2</v>
      </c>
      <c r="M325" t="s">
        <v>44</v>
      </c>
      <c r="N325" t="s">
        <v>45</v>
      </c>
      <c r="O325" t="s">
        <v>46</v>
      </c>
      <c r="P325" s="5">
        <v>1</v>
      </c>
      <c r="Q325" s="12">
        <v>44748.785312499997</v>
      </c>
      <c r="R325" s="13">
        <v>44751</v>
      </c>
      <c r="T325" t="s">
        <v>47</v>
      </c>
      <c r="U325" t="s">
        <v>48</v>
      </c>
      <c r="V325" t="s">
        <v>71</v>
      </c>
      <c r="Y325" t="s">
        <v>1038</v>
      </c>
      <c r="Z325">
        <v>6720</v>
      </c>
      <c r="AA325" t="s">
        <v>47</v>
      </c>
      <c r="AB325" t="s">
        <v>64</v>
      </c>
      <c r="AC325" t="s">
        <v>53</v>
      </c>
      <c r="AD325" s="16">
        <f t="shared" si="46"/>
        <v>7</v>
      </c>
      <c r="AE325" s="15">
        <v>0</v>
      </c>
      <c r="AF325" s="15">
        <v>0</v>
      </c>
      <c r="AG325" s="15">
        <v>0</v>
      </c>
      <c r="AH325" s="15">
        <v>0</v>
      </c>
      <c r="AI325" s="15">
        <f t="shared" si="47"/>
        <v>0.42</v>
      </c>
      <c r="AJ325" s="15">
        <f t="shared" si="48"/>
        <v>7.42</v>
      </c>
      <c r="AK325" t="s">
        <v>47</v>
      </c>
    </row>
    <row r="326" spans="1:37" ht="15" customHeight="1" x14ac:dyDescent="0.35">
      <c r="A326">
        <v>690929</v>
      </c>
      <c r="B326" t="s">
        <v>37</v>
      </c>
      <c r="C326" t="s">
        <v>38</v>
      </c>
      <c r="D326" s="9" t="s">
        <v>39</v>
      </c>
      <c r="E326" s="10" t="s">
        <v>37</v>
      </c>
      <c r="F326" s="11"/>
      <c r="G326" t="s">
        <v>1039</v>
      </c>
      <c r="I326" t="s">
        <v>41</v>
      </c>
      <c r="J326" t="s">
        <v>805</v>
      </c>
      <c r="K326" t="s">
        <v>43</v>
      </c>
      <c r="L326">
        <v>2</v>
      </c>
      <c r="M326" t="s">
        <v>44</v>
      </c>
      <c r="N326" t="s">
        <v>45</v>
      </c>
      <c r="O326" t="s">
        <v>46</v>
      </c>
      <c r="P326" s="5">
        <v>1</v>
      </c>
      <c r="Q326" s="12">
        <v>44748.693993055553</v>
      </c>
      <c r="R326" s="13">
        <v>44751</v>
      </c>
      <c r="T326" t="s">
        <v>47</v>
      </c>
      <c r="U326" t="s">
        <v>48</v>
      </c>
      <c r="V326" t="s">
        <v>114</v>
      </c>
      <c r="Y326" t="s">
        <v>1040</v>
      </c>
      <c r="Z326">
        <v>40400</v>
      </c>
      <c r="AA326" t="s">
        <v>47</v>
      </c>
      <c r="AB326" t="s">
        <v>64</v>
      </c>
      <c r="AC326" t="s">
        <v>53</v>
      </c>
      <c r="AD326" s="16">
        <f t="shared" si="46"/>
        <v>7</v>
      </c>
      <c r="AE326" s="15">
        <v>0</v>
      </c>
      <c r="AF326" s="15">
        <v>0</v>
      </c>
      <c r="AG326" s="15">
        <v>0</v>
      </c>
      <c r="AH326" s="15">
        <v>0</v>
      </c>
      <c r="AI326" s="15">
        <f t="shared" si="47"/>
        <v>0.42</v>
      </c>
      <c r="AJ326" s="15">
        <f t="shared" si="48"/>
        <v>7.42</v>
      </c>
      <c r="AK326" t="s">
        <v>47</v>
      </c>
    </row>
    <row r="327" spans="1:37" ht="15" customHeight="1" x14ac:dyDescent="0.35">
      <c r="A327">
        <v>690929</v>
      </c>
      <c r="B327" t="s">
        <v>37</v>
      </c>
      <c r="C327" t="s">
        <v>38</v>
      </c>
      <c r="D327" s="9" t="s">
        <v>39</v>
      </c>
      <c r="E327" s="10" t="s">
        <v>37</v>
      </c>
      <c r="F327" s="11"/>
      <c r="G327" t="s">
        <v>1041</v>
      </c>
      <c r="I327" t="s">
        <v>41</v>
      </c>
      <c r="J327" t="s">
        <v>1042</v>
      </c>
      <c r="K327" t="s">
        <v>43</v>
      </c>
      <c r="L327">
        <v>2</v>
      </c>
      <c r="M327" t="s">
        <v>44</v>
      </c>
      <c r="N327" t="s">
        <v>45</v>
      </c>
      <c r="O327" t="s">
        <v>46</v>
      </c>
      <c r="P327" s="5">
        <v>1</v>
      </c>
      <c r="Q327" s="12">
        <v>44747.630543981482</v>
      </c>
      <c r="R327" s="13">
        <v>44751</v>
      </c>
      <c r="T327" t="s">
        <v>47</v>
      </c>
      <c r="U327" t="s">
        <v>48</v>
      </c>
      <c r="V327" t="s">
        <v>80</v>
      </c>
      <c r="Y327" t="s">
        <v>1043</v>
      </c>
      <c r="Z327">
        <v>93050</v>
      </c>
      <c r="AA327" t="s">
        <v>51</v>
      </c>
      <c r="AB327" t="s">
        <v>64</v>
      </c>
      <c r="AC327" t="s">
        <v>53</v>
      </c>
      <c r="AD327" s="14">
        <f>IF(P327&lt;=1,13,IF(P327&lt;=2,23,IF(P327&lt;=3,35,IF(P327&lt;=4,43,IF(P327&lt;=5,53,IF(P327&lt;=6,63,IF(P327&lt;=7,71,IF(P327&lt;=8,79,IF(P327&lt;=9,87,IF(P327&lt;=10,95,IF(P327&lt;=11,105,IF(P327&lt;=12,114,IF(P327&lt;=13,119,IF(P327&lt;=14,127,IF(P327&lt;=15,135,IF(P327&lt;=16,143,IF(P327&lt;=17,153,IF(P327&lt;=18,163,IF(P327&lt;=19,171,IF(P327&lt;=20,185,IF(P327&lt;=21,193,IF(P327&lt;=22,201,IF(P327&lt;=23,210,IF(P327&lt;=24,220,IF(P327&lt;=25,230,IF(P327&lt;=26,240,IF(P327&lt;=27,250,IF(P327&lt;=28,260,IF(P327&lt;=29,270,IF(P327&lt;=30,280,280))))))))))))))))))))))))))))))</f>
        <v>13</v>
      </c>
      <c r="AE327" s="15">
        <v>0</v>
      </c>
      <c r="AF327" s="15">
        <v>0</v>
      </c>
      <c r="AG327" s="15">
        <v>0</v>
      </c>
      <c r="AH327" s="15">
        <v>0</v>
      </c>
      <c r="AI327" s="15">
        <f t="shared" si="47"/>
        <v>0.78</v>
      </c>
      <c r="AJ327" s="15">
        <f t="shared" si="48"/>
        <v>13.78</v>
      </c>
      <c r="AK327" t="s">
        <v>51</v>
      </c>
    </row>
    <row r="328" spans="1:37" ht="15" customHeight="1" x14ac:dyDescent="0.35">
      <c r="A328">
        <v>690929</v>
      </c>
      <c r="B328" t="s">
        <v>37</v>
      </c>
      <c r="C328" t="s">
        <v>38</v>
      </c>
      <c r="D328" s="9" t="s">
        <v>39</v>
      </c>
      <c r="E328" s="10" t="s">
        <v>37</v>
      </c>
      <c r="F328" s="11"/>
      <c r="G328" t="s">
        <v>1044</v>
      </c>
      <c r="I328" t="s">
        <v>41</v>
      </c>
      <c r="J328" t="s">
        <v>1045</v>
      </c>
      <c r="K328" t="s">
        <v>43</v>
      </c>
      <c r="L328">
        <v>2</v>
      </c>
      <c r="M328" t="s">
        <v>44</v>
      </c>
      <c r="N328" t="s">
        <v>45</v>
      </c>
      <c r="O328" t="s">
        <v>46</v>
      </c>
      <c r="P328" s="5">
        <v>1</v>
      </c>
      <c r="Q328" s="12">
        <v>44749.569166666668</v>
      </c>
      <c r="R328" s="13">
        <v>44751</v>
      </c>
      <c r="T328" t="s">
        <v>47</v>
      </c>
      <c r="U328" t="s">
        <v>48</v>
      </c>
      <c r="V328" t="s">
        <v>100</v>
      </c>
      <c r="Y328" t="s">
        <v>1046</v>
      </c>
      <c r="Z328">
        <v>35800</v>
      </c>
      <c r="AA328" t="s">
        <v>47</v>
      </c>
      <c r="AB328" t="s">
        <v>64</v>
      </c>
      <c r="AC328" t="s">
        <v>53</v>
      </c>
      <c r="AD328" s="16">
        <f t="shared" ref="AD328:AD372" si="49">IF(P328&lt;=1,7,7+0.8*ROUNDUP(P328-1,0))</f>
        <v>7</v>
      </c>
      <c r="AE328" s="15">
        <v>0</v>
      </c>
      <c r="AF328" s="15">
        <v>0</v>
      </c>
      <c r="AG328" s="15">
        <v>0</v>
      </c>
      <c r="AH328" s="15">
        <v>0</v>
      </c>
      <c r="AI328" s="15">
        <f t="shared" si="47"/>
        <v>0.42</v>
      </c>
      <c r="AJ328" s="15">
        <f t="shared" si="48"/>
        <v>7.42</v>
      </c>
      <c r="AK328" t="s">
        <v>47</v>
      </c>
    </row>
    <row r="329" spans="1:37" ht="15" customHeight="1" x14ac:dyDescent="0.35">
      <c r="A329">
        <v>690929</v>
      </c>
      <c r="B329" t="s">
        <v>37</v>
      </c>
      <c r="C329" t="s">
        <v>38</v>
      </c>
      <c r="D329" s="9" t="s">
        <v>39</v>
      </c>
      <c r="E329" s="10" t="s">
        <v>37</v>
      </c>
      <c r="F329" s="11"/>
      <c r="G329" t="s">
        <v>1047</v>
      </c>
      <c r="I329" t="s">
        <v>41</v>
      </c>
      <c r="J329" t="s">
        <v>1048</v>
      </c>
      <c r="K329" t="s">
        <v>43</v>
      </c>
      <c r="L329">
        <v>2</v>
      </c>
      <c r="M329" t="s">
        <v>44</v>
      </c>
      <c r="N329" t="s">
        <v>45</v>
      </c>
      <c r="O329" t="s">
        <v>46</v>
      </c>
      <c r="P329" s="5">
        <v>1</v>
      </c>
      <c r="Q329" s="12">
        <v>44749.662499999999</v>
      </c>
      <c r="R329" s="13">
        <v>44751</v>
      </c>
      <c r="T329" t="s">
        <v>47</v>
      </c>
      <c r="U329" t="s">
        <v>48</v>
      </c>
      <c r="V329" t="s">
        <v>62</v>
      </c>
      <c r="Y329" t="s">
        <v>1049</v>
      </c>
      <c r="Z329">
        <v>85100</v>
      </c>
      <c r="AA329" t="s">
        <v>47</v>
      </c>
      <c r="AB329" t="s">
        <v>64</v>
      </c>
      <c r="AC329" t="s">
        <v>53</v>
      </c>
      <c r="AD329" s="16">
        <f t="shared" si="49"/>
        <v>7</v>
      </c>
      <c r="AE329" s="15">
        <v>0</v>
      </c>
      <c r="AF329" s="15">
        <v>0</v>
      </c>
      <c r="AG329" s="15">
        <v>0</v>
      </c>
      <c r="AH329" s="15">
        <v>0</v>
      </c>
      <c r="AI329" s="15">
        <f t="shared" si="47"/>
        <v>0.42</v>
      </c>
      <c r="AJ329" s="15">
        <f t="shared" si="48"/>
        <v>7.42</v>
      </c>
      <c r="AK329" t="s">
        <v>47</v>
      </c>
    </row>
    <row r="330" spans="1:37" ht="15" customHeight="1" x14ac:dyDescent="0.35">
      <c r="A330">
        <v>690929</v>
      </c>
      <c r="B330" t="s">
        <v>37</v>
      </c>
      <c r="C330" t="s">
        <v>38</v>
      </c>
      <c r="D330" s="9" t="s">
        <v>39</v>
      </c>
      <c r="E330" s="10" t="s">
        <v>37</v>
      </c>
      <c r="F330" s="11"/>
      <c r="G330" t="s">
        <v>1050</v>
      </c>
      <c r="I330" t="s">
        <v>41</v>
      </c>
      <c r="J330" t="s">
        <v>1051</v>
      </c>
      <c r="K330" t="s">
        <v>43</v>
      </c>
      <c r="L330">
        <v>2</v>
      </c>
      <c r="M330" t="s">
        <v>44</v>
      </c>
      <c r="N330" t="s">
        <v>45</v>
      </c>
      <c r="O330" t="s">
        <v>46</v>
      </c>
      <c r="P330" s="5">
        <v>1</v>
      </c>
      <c r="Q330" s="12">
        <v>44748.712511574071</v>
      </c>
      <c r="R330" s="13">
        <v>44751</v>
      </c>
      <c r="T330" t="s">
        <v>47</v>
      </c>
      <c r="U330" t="s">
        <v>48</v>
      </c>
      <c r="V330" t="s">
        <v>71</v>
      </c>
      <c r="Y330" t="s">
        <v>1052</v>
      </c>
      <c r="Z330">
        <v>8600</v>
      </c>
      <c r="AA330" t="s">
        <v>47</v>
      </c>
      <c r="AB330" t="s">
        <v>64</v>
      </c>
      <c r="AC330" t="s">
        <v>53</v>
      </c>
      <c r="AD330" s="16">
        <f t="shared" si="49"/>
        <v>7</v>
      </c>
      <c r="AE330" s="15">
        <v>0</v>
      </c>
      <c r="AF330" s="15">
        <v>0</v>
      </c>
      <c r="AG330" s="15">
        <v>0</v>
      </c>
      <c r="AH330" s="15">
        <v>0</v>
      </c>
      <c r="AI330" s="15">
        <f t="shared" si="47"/>
        <v>0.42</v>
      </c>
      <c r="AJ330" s="15">
        <f t="shared" si="48"/>
        <v>7.42</v>
      </c>
      <c r="AK330" t="s">
        <v>47</v>
      </c>
    </row>
    <row r="331" spans="1:37" ht="15" customHeight="1" x14ac:dyDescent="0.35">
      <c r="A331">
        <v>690929</v>
      </c>
      <c r="B331" t="s">
        <v>37</v>
      </c>
      <c r="C331" t="s">
        <v>38</v>
      </c>
      <c r="D331" s="9" t="s">
        <v>39</v>
      </c>
      <c r="E331" s="10" t="s">
        <v>37</v>
      </c>
      <c r="F331" s="11"/>
      <c r="G331" t="s">
        <v>1053</v>
      </c>
      <c r="I331" t="s">
        <v>41</v>
      </c>
      <c r="J331" t="s">
        <v>1054</v>
      </c>
      <c r="K331" t="s">
        <v>43</v>
      </c>
      <c r="L331">
        <v>2</v>
      </c>
      <c r="M331" t="s">
        <v>44</v>
      </c>
      <c r="N331" t="s">
        <v>45</v>
      </c>
      <c r="O331" t="s">
        <v>46</v>
      </c>
      <c r="P331" s="5">
        <v>1</v>
      </c>
      <c r="Q331" s="12">
        <v>44748.715069444443</v>
      </c>
      <c r="R331" s="13">
        <v>44751</v>
      </c>
      <c r="T331" t="s">
        <v>47</v>
      </c>
      <c r="U331" t="s">
        <v>48</v>
      </c>
      <c r="V331" t="s">
        <v>62</v>
      </c>
      <c r="Y331" t="s">
        <v>1055</v>
      </c>
      <c r="Z331">
        <v>81500</v>
      </c>
      <c r="AA331" t="s">
        <v>47</v>
      </c>
      <c r="AB331" t="s">
        <v>64</v>
      </c>
      <c r="AC331" t="s">
        <v>53</v>
      </c>
      <c r="AD331" s="16">
        <f t="shared" si="49"/>
        <v>7</v>
      </c>
      <c r="AE331" s="15">
        <v>0</v>
      </c>
      <c r="AF331" s="15">
        <v>0</v>
      </c>
      <c r="AG331" s="15">
        <v>0</v>
      </c>
      <c r="AH331" s="15">
        <v>0</v>
      </c>
      <c r="AI331" s="15">
        <f t="shared" si="47"/>
        <v>0.42</v>
      </c>
      <c r="AJ331" s="15">
        <f t="shared" si="48"/>
        <v>7.42</v>
      </c>
      <c r="AK331" t="s">
        <v>47</v>
      </c>
    </row>
    <row r="332" spans="1:37" ht="15" customHeight="1" x14ac:dyDescent="0.35">
      <c r="A332">
        <v>690929</v>
      </c>
      <c r="B332" t="s">
        <v>37</v>
      </c>
      <c r="C332" t="s">
        <v>38</v>
      </c>
      <c r="D332" s="9" t="s">
        <v>39</v>
      </c>
      <c r="E332" s="10" t="s">
        <v>37</v>
      </c>
      <c r="F332" s="11"/>
      <c r="G332" t="s">
        <v>1056</v>
      </c>
      <c r="I332" t="s">
        <v>41</v>
      </c>
      <c r="J332" t="s">
        <v>1057</v>
      </c>
      <c r="K332" t="s">
        <v>43</v>
      </c>
      <c r="L332">
        <v>2</v>
      </c>
      <c r="M332" t="s">
        <v>44</v>
      </c>
      <c r="N332" t="s">
        <v>45</v>
      </c>
      <c r="O332" t="s">
        <v>46</v>
      </c>
      <c r="P332" s="5">
        <v>1</v>
      </c>
      <c r="Q332" s="12">
        <v>44748.692893518521</v>
      </c>
      <c r="R332" s="13">
        <v>44751</v>
      </c>
      <c r="T332" t="s">
        <v>47</v>
      </c>
      <c r="U332" t="s">
        <v>48</v>
      </c>
      <c r="V332" t="s">
        <v>449</v>
      </c>
      <c r="Y332" t="s">
        <v>1058</v>
      </c>
      <c r="Z332">
        <v>1000</v>
      </c>
      <c r="AA332" t="s">
        <v>47</v>
      </c>
      <c r="AB332" t="s">
        <v>64</v>
      </c>
      <c r="AC332" t="s">
        <v>53</v>
      </c>
      <c r="AD332" s="16">
        <f t="shared" si="49"/>
        <v>7</v>
      </c>
      <c r="AE332" s="15">
        <v>0</v>
      </c>
      <c r="AF332" s="15">
        <v>0</v>
      </c>
      <c r="AG332" s="15">
        <v>0</v>
      </c>
      <c r="AH332" s="15">
        <v>0</v>
      </c>
      <c r="AI332" s="15">
        <f t="shared" si="47"/>
        <v>0.42</v>
      </c>
      <c r="AJ332" s="15">
        <f t="shared" si="48"/>
        <v>7.42</v>
      </c>
      <c r="AK332" t="s">
        <v>47</v>
      </c>
    </row>
    <row r="333" spans="1:37" ht="15" customHeight="1" x14ac:dyDescent="0.35">
      <c r="A333">
        <v>690929</v>
      </c>
      <c r="B333" t="s">
        <v>37</v>
      </c>
      <c r="C333" t="s">
        <v>38</v>
      </c>
      <c r="D333" s="9" t="s">
        <v>39</v>
      </c>
      <c r="E333" s="10" t="s">
        <v>37</v>
      </c>
      <c r="F333" s="11"/>
      <c r="G333" t="s">
        <v>1059</v>
      </c>
      <c r="I333" t="s">
        <v>41</v>
      </c>
      <c r="J333" t="s">
        <v>1060</v>
      </c>
      <c r="K333" t="s">
        <v>43</v>
      </c>
      <c r="L333">
        <v>2</v>
      </c>
      <c r="M333" t="s">
        <v>44</v>
      </c>
      <c r="N333" t="s">
        <v>45</v>
      </c>
      <c r="O333" t="s">
        <v>46</v>
      </c>
      <c r="P333" s="5">
        <v>1</v>
      </c>
      <c r="Q333" s="12">
        <v>44749.668599537035</v>
      </c>
      <c r="R333" s="13">
        <v>44751</v>
      </c>
      <c r="T333" t="s">
        <v>47</v>
      </c>
      <c r="U333" t="s">
        <v>48</v>
      </c>
      <c r="V333" t="s">
        <v>85</v>
      </c>
      <c r="Y333" t="s">
        <v>1061</v>
      </c>
      <c r="Z333">
        <v>13300</v>
      </c>
      <c r="AA333" t="s">
        <v>47</v>
      </c>
      <c r="AB333" t="s">
        <v>64</v>
      </c>
      <c r="AC333" t="s">
        <v>53</v>
      </c>
      <c r="AD333" s="16">
        <f t="shared" si="49"/>
        <v>7</v>
      </c>
      <c r="AE333" s="15">
        <v>0</v>
      </c>
      <c r="AF333" s="15">
        <v>0</v>
      </c>
      <c r="AG333" s="15">
        <v>0</v>
      </c>
      <c r="AH333" s="15">
        <v>0</v>
      </c>
      <c r="AI333" s="15">
        <f t="shared" si="47"/>
        <v>0.42</v>
      </c>
      <c r="AJ333" s="15">
        <f t="shared" si="48"/>
        <v>7.42</v>
      </c>
      <c r="AK333" t="s">
        <v>47</v>
      </c>
    </row>
    <row r="334" spans="1:37" ht="15" customHeight="1" x14ac:dyDescent="0.35">
      <c r="A334">
        <v>690929</v>
      </c>
      <c r="B334" t="s">
        <v>37</v>
      </c>
      <c r="C334" t="s">
        <v>38</v>
      </c>
      <c r="D334" s="9" t="s">
        <v>39</v>
      </c>
      <c r="E334" s="10" t="s">
        <v>37</v>
      </c>
      <c r="F334" s="11"/>
      <c r="G334" t="s">
        <v>1062</v>
      </c>
      <c r="I334" t="s">
        <v>41</v>
      </c>
      <c r="J334" t="s">
        <v>1063</v>
      </c>
      <c r="K334" t="s">
        <v>43</v>
      </c>
      <c r="L334">
        <v>2</v>
      </c>
      <c r="M334" t="s">
        <v>44</v>
      </c>
      <c r="N334" t="s">
        <v>45</v>
      </c>
      <c r="O334" t="s">
        <v>46</v>
      </c>
      <c r="P334" s="5">
        <v>1</v>
      </c>
      <c r="Q334" s="12">
        <v>44748.710138888891</v>
      </c>
      <c r="R334" s="13">
        <v>44751</v>
      </c>
      <c r="T334" t="s">
        <v>47</v>
      </c>
      <c r="U334" t="s">
        <v>48</v>
      </c>
      <c r="V334" t="s">
        <v>138</v>
      </c>
      <c r="Y334" t="s">
        <v>1064</v>
      </c>
      <c r="Z334">
        <v>72200</v>
      </c>
      <c r="AA334" t="s">
        <v>47</v>
      </c>
      <c r="AB334" t="s">
        <v>64</v>
      </c>
      <c r="AC334" t="s">
        <v>53</v>
      </c>
      <c r="AD334" s="16">
        <f t="shared" si="49"/>
        <v>7</v>
      </c>
      <c r="AE334" s="15">
        <v>0</v>
      </c>
      <c r="AF334" s="15">
        <v>0</v>
      </c>
      <c r="AG334" s="15">
        <v>0</v>
      </c>
      <c r="AH334" s="15">
        <v>0</v>
      </c>
      <c r="AI334" s="15">
        <f t="shared" si="47"/>
        <v>0.42</v>
      </c>
      <c r="AJ334" s="15">
        <f t="shared" si="48"/>
        <v>7.42</v>
      </c>
      <c r="AK334" t="s">
        <v>47</v>
      </c>
    </row>
    <row r="335" spans="1:37" ht="15" customHeight="1" x14ac:dyDescent="0.35">
      <c r="A335">
        <v>690929</v>
      </c>
      <c r="B335" t="s">
        <v>37</v>
      </c>
      <c r="C335" t="s">
        <v>38</v>
      </c>
      <c r="D335" s="9" t="s">
        <v>39</v>
      </c>
      <c r="E335" s="10" t="s">
        <v>37</v>
      </c>
      <c r="F335" s="11"/>
      <c r="G335" t="s">
        <v>1065</v>
      </c>
      <c r="I335" t="s">
        <v>41</v>
      </c>
      <c r="J335" t="s">
        <v>1066</v>
      </c>
      <c r="K335" t="s">
        <v>43</v>
      </c>
      <c r="L335">
        <v>2</v>
      </c>
      <c r="M335" t="s">
        <v>44</v>
      </c>
      <c r="N335" t="s">
        <v>45</v>
      </c>
      <c r="O335" t="s">
        <v>46</v>
      </c>
      <c r="P335" s="5">
        <v>1</v>
      </c>
      <c r="Q335" s="12">
        <v>44749.694791666669</v>
      </c>
      <c r="R335" s="13">
        <v>44751</v>
      </c>
      <c r="T335" t="s">
        <v>47</v>
      </c>
      <c r="U335" t="s">
        <v>48</v>
      </c>
      <c r="V335" t="s">
        <v>62</v>
      </c>
      <c r="Y335" t="s">
        <v>1067</v>
      </c>
      <c r="Z335">
        <v>81550</v>
      </c>
      <c r="AA335" t="s">
        <v>47</v>
      </c>
      <c r="AB335" t="s">
        <v>64</v>
      </c>
      <c r="AC335" t="s">
        <v>53</v>
      </c>
      <c r="AD335" s="16">
        <f t="shared" si="49"/>
        <v>7</v>
      </c>
      <c r="AE335" s="15">
        <v>0</v>
      </c>
      <c r="AF335" s="15">
        <v>0</v>
      </c>
      <c r="AG335" s="15">
        <v>0</v>
      </c>
      <c r="AH335" s="15">
        <v>0</v>
      </c>
      <c r="AI335" s="15">
        <f t="shared" si="47"/>
        <v>0.42</v>
      </c>
      <c r="AJ335" s="15">
        <f t="shared" si="48"/>
        <v>7.42</v>
      </c>
      <c r="AK335" t="s">
        <v>47</v>
      </c>
    </row>
    <row r="336" spans="1:37" ht="15" customHeight="1" x14ac:dyDescent="0.35">
      <c r="A336">
        <v>690929</v>
      </c>
      <c r="B336" t="s">
        <v>37</v>
      </c>
      <c r="C336" t="s">
        <v>38</v>
      </c>
      <c r="D336" s="9" t="s">
        <v>39</v>
      </c>
      <c r="E336" s="10" t="s">
        <v>37</v>
      </c>
      <c r="F336" s="11"/>
      <c r="G336" t="s">
        <v>1068</v>
      </c>
      <c r="I336" t="s">
        <v>41</v>
      </c>
      <c r="J336" t="s">
        <v>1069</v>
      </c>
      <c r="K336" t="s">
        <v>43</v>
      </c>
      <c r="L336">
        <v>2</v>
      </c>
      <c r="M336" t="s">
        <v>44</v>
      </c>
      <c r="N336" t="s">
        <v>45</v>
      </c>
      <c r="O336" t="s">
        <v>46</v>
      </c>
      <c r="P336" s="5">
        <v>1</v>
      </c>
      <c r="Q336" s="12">
        <v>44749.659166666665</v>
      </c>
      <c r="R336" s="13">
        <v>44751</v>
      </c>
      <c r="T336" t="s">
        <v>47</v>
      </c>
      <c r="U336" t="s">
        <v>48</v>
      </c>
      <c r="V336" t="s">
        <v>62</v>
      </c>
      <c r="Y336" t="s">
        <v>1070</v>
      </c>
      <c r="Z336">
        <v>86400</v>
      </c>
      <c r="AA336" t="s">
        <v>47</v>
      </c>
      <c r="AB336" t="s">
        <v>64</v>
      </c>
      <c r="AC336" t="s">
        <v>53</v>
      </c>
      <c r="AD336" s="16">
        <f t="shared" si="49"/>
        <v>7</v>
      </c>
      <c r="AE336" s="15">
        <v>0</v>
      </c>
      <c r="AF336" s="15">
        <v>0</v>
      </c>
      <c r="AG336" s="15">
        <v>0</v>
      </c>
      <c r="AH336" s="15">
        <v>0</v>
      </c>
      <c r="AI336" s="15">
        <f t="shared" si="47"/>
        <v>0.42</v>
      </c>
      <c r="AJ336" s="15">
        <f t="shared" si="48"/>
        <v>7.42</v>
      </c>
      <c r="AK336" t="s">
        <v>47</v>
      </c>
    </row>
    <row r="337" spans="1:37" ht="15" customHeight="1" x14ac:dyDescent="0.35">
      <c r="A337">
        <v>690929</v>
      </c>
      <c r="B337" t="s">
        <v>37</v>
      </c>
      <c r="C337" t="s">
        <v>38</v>
      </c>
      <c r="D337" s="9" t="s">
        <v>39</v>
      </c>
      <c r="E337" s="10" t="s">
        <v>37</v>
      </c>
      <c r="F337" s="11"/>
      <c r="G337" t="s">
        <v>1071</v>
      </c>
      <c r="I337" t="s">
        <v>41</v>
      </c>
      <c r="J337" t="s">
        <v>1072</v>
      </c>
      <c r="K337" t="s">
        <v>43</v>
      </c>
      <c r="L337">
        <v>2</v>
      </c>
      <c r="M337" t="s">
        <v>44</v>
      </c>
      <c r="N337" t="s">
        <v>45</v>
      </c>
      <c r="O337" t="s">
        <v>46</v>
      </c>
      <c r="P337" s="5">
        <v>1</v>
      </c>
      <c r="Q337" s="12">
        <v>44748.688263888886</v>
      </c>
      <c r="R337" s="13">
        <v>44751</v>
      </c>
      <c r="T337" t="s">
        <v>47</v>
      </c>
      <c r="U337" t="s">
        <v>48</v>
      </c>
      <c r="V337" t="s">
        <v>67</v>
      </c>
      <c r="Y337" t="s">
        <v>1073</v>
      </c>
      <c r="Z337">
        <v>25990</v>
      </c>
      <c r="AA337" t="s">
        <v>47</v>
      </c>
      <c r="AB337" t="s">
        <v>1074</v>
      </c>
      <c r="AC337" t="s">
        <v>53</v>
      </c>
      <c r="AD337" s="16">
        <f t="shared" si="49"/>
        <v>7</v>
      </c>
      <c r="AE337" s="15">
        <v>0</v>
      </c>
      <c r="AF337" s="15">
        <v>0</v>
      </c>
      <c r="AG337" s="15">
        <v>0</v>
      </c>
      <c r="AH337" s="15">
        <v>0</v>
      </c>
      <c r="AI337" s="15">
        <f t="shared" si="47"/>
        <v>0.42</v>
      </c>
      <c r="AJ337" s="15">
        <f t="shared" si="48"/>
        <v>7.42</v>
      </c>
      <c r="AK337" t="s">
        <v>47</v>
      </c>
    </row>
    <row r="338" spans="1:37" ht="15" customHeight="1" x14ac:dyDescent="0.35">
      <c r="A338">
        <v>690929</v>
      </c>
      <c r="B338" t="s">
        <v>37</v>
      </c>
      <c r="C338" t="s">
        <v>38</v>
      </c>
      <c r="D338" s="9" t="s">
        <v>39</v>
      </c>
      <c r="E338" s="10" t="s">
        <v>37</v>
      </c>
      <c r="F338" s="11"/>
      <c r="G338" t="s">
        <v>1075</v>
      </c>
      <c r="I338" t="s">
        <v>41</v>
      </c>
      <c r="J338" t="s">
        <v>1076</v>
      </c>
      <c r="K338" t="s">
        <v>43</v>
      </c>
      <c r="L338">
        <v>2</v>
      </c>
      <c r="M338" t="s">
        <v>44</v>
      </c>
      <c r="N338" t="s">
        <v>45</v>
      </c>
      <c r="O338" t="s">
        <v>46</v>
      </c>
      <c r="P338" s="5">
        <v>1</v>
      </c>
      <c r="Q338" s="12">
        <v>44749.677870370368</v>
      </c>
      <c r="R338" s="13">
        <v>44751</v>
      </c>
      <c r="T338" t="s">
        <v>47</v>
      </c>
      <c r="U338" t="s">
        <v>48</v>
      </c>
      <c r="V338" t="s">
        <v>62</v>
      </c>
      <c r="Y338" t="s">
        <v>1077</v>
      </c>
      <c r="Z338">
        <v>81440</v>
      </c>
      <c r="AA338" t="s">
        <v>47</v>
      </c>
      <c r="AB338" t="s">
        <v>64</v>
      </c>
      <c r="AC338" t="s">
        <v>53</v>
      </c>
      <c r="AD338" s="16">
        <f t="shared" si="49"/>
        <v>7</v>
      </c>
      <c r="AE338" s="15">
        <v>0</v>
      </c>
      <c r="AF338" s="15">
        <v>0</v>
      </c>
      <c r="AG338" s="15">
        <v>0</v>
      </c>
      <c r="AH338" s="15">
        <v>0</v>
      </c>
      <c r="AI338" s="15">
        <f t="shared" si="47"/>
        <v>0.42</v>
      </c>
      <c r="AJ338" s="15">
        <f t="shared" si="48"/>
        <v>7.42</v>
      </c>
      <c r="AK338" t="s">
        <v>47</v>
      </c>
    </row>
    <row r="339" spans="1:37" ht="15" customHeight="1" x14ac:dyDescent="0.35">
      <c r="A339">
        <v>690929</v>
      </c>
      <c r="B339" t="s">
        <v>37</v>
      </c>
      <c r="C339" t="s">
        <v>38</v>
      </c>
      <c r="D339" s="9" t="s">
        <v>39</v>
      </c>
      <c r="E339" s="10" t="s">
        <v>37</v>
      </c>
      <c r="F339" s="11"/>
      <c r="G339" t="s">
        <v>1078</v>
      </c>
      <c r="I339" t="s">
        <v>41</v>
      </c>
      <c r="J339" t="s">
        <v>1079</v>
      </c>
      <c r="K339" t="s">
        <v>43</v>
      </c>
      <c r="L339">
        <v>2</v>
      </c>
      <c r="M339" t="s">
        <v>44</v>
      </c>
      <c r="N339" t="s">
        <v>45</v>
      </c>
      <c r="O339" t="s">
        <v>46</v>
      </c>
      <c r="P339" s="5">
        <v>1</v>
      </c>
      <c r="Q339" s="12">
        <v>44748.72351851852</v>
      </c>
      <c r="R339" s="13">
        <v>44751</v>
      </c>
      <c r="T339" t="s">
        <v>47</v>
      </c>
      <c r="U339" t="s">
        <v>48</v>
      </c>
      <c r="V339" t="s">
        <v>71</v>
      </c>
      <c r="Y339" t="s">
        <v>1080</v>
      </c>
      <c r="Z339">
        <v>9300</v>
      </c>
      <c r="AA339" t="s">
        <v>47</v>
      </c>
      <c r="AB339" t="s">
        <v>64</v>
      </c>
      <c r="AC339" t="s">
        <v>53</v>
      </c>
      <c r="AD339" s="16">
        <f t="shared" si="49"/>
        <v>7</v>
      </c>
      <c r="AE339" s="15">
        <v>0</v>
      </c>
      <c r="AF339" s="15">
        <v>0</v>
      </c>
      <c r="AG339" s="15">
        <v>0</v>
      </c>
      <c r="AH339" s="15">
        <v>0</v>
      </c>
      <c r="AI339" s="15">
        <f t="shared" si="47"/>
        <v>0.42</v>
      </c>
      <c r="AJ339" s="15">
        <f t="shared" si="48"/>
        <v>7.42</v>
      </c>
      <c r="AK339" t="s">
        <v>47</v>
      </c>
    </row>
    <row r="340" spans="1:37" ht="15" customHeight="1" x14ac:dyDescent="0.35">
      <c r="A340">
        <v>690929</v>
      </c>
      <c r="B340" t="s">
        <v>37</v>
      </c>
      <c r="C340" t="s">
        <v>38</v>
      </c>
      <c r="D340" s="9" t="s">
        <v>39</v>
      </c>
      <c r="E340" s="10" t="s">
        <v>37</v>
      </c>
      <c r="F340" s="11"/>
      <c r="G340" t="s">
        <v>1081</v>
      </c>
      <c r="I340" t="s">
        <v>41</v>
      </c>
      <c r="J340" t="s">
        <v>1082</v>
      </c>
      <c r="K340" t="s">
        <v>43</v>
      </c>
      <c r="L340">
        <v>2</v>
      </c>
      <c r="M340" t="s">
        <v>44</v>
      </c>
      <c r="N340" t="s">
        <v>45</v>
      </c>
      <c r="O340" t="s">
        <v>46</v>
      </c>
      <c r="P340" s="5">
        <v>1</v>
      </c>
      <c r="Q340" s="12">
        <v>44749.66715277778</v>
      </c>
      <c r="R340" s="13">
        <v>44751</v>
      </c>
      <c r="T340" t="s">
        <v>47</v>
      </c>
      <c r="U340" t="s">
        <v>48</v>
      </c>
      <c r="V340" t="s">
        <v>449</v>
      </c>
      <c r="Y340" t="s">
        <v>1083</v>
      </c>
      <c r="Z340">
        <v>2600</v>
      </c>
      <c r="AA340" t="s">
        <v>47</v>
      </c>
      <c r="AB340" t="s">
        <v>64</v>
      </c>
      <c r="AC340" t="s">
        <v>53</v>
      </c>
      <c r="AD340" s="16">
        <f t="shared" si="49"/>
        <v>7</v>
      </c>
      <c r="AE340" s="15">
        <v>0</v>
      </c>
      <c r="AF340" s="15">
        <v>0</v>
      </c>
      <c r="AG340" s="15">
        <v>0</v>
      </c>
      <c r="AH340" s="15">
        <v>0</v>
      </c>
      <c r="AI340" s="15">
        <f t="shared" si="47"/>
        <v>0.42</v>
      </c>
      <c r="AJ340" s="15">
        <f t="shared" si="48"/>
        <v>7.42</v>
      </c>
      <c r="AK340" t="s">
        <v>47</v>
      </c>
    </row>
    <row r="341" spans="1:37" ht="15" customHeight="1" x14ac:dyDescent="0.35">
      <c r="A341">
        <v>690929</v>
      </c>
      <c r="B341" t="s">
        <v>37</v>
      </c>
      <c r="C341" t="s">
        <v>38</v>
      </c>
      <c r="D341" s="9" t="s">
        <v>39</v>
      </c>
      <c r="E341" s="10" t="s">
        <v>37</v>
      </c>
      <c r="F341" s="11"/>
      <c r="G341" t="s">
        <v>1084</v>
      </c>
      <c r="I341" t="s">
        <v>41</v>
      </c>
      <c r="J341" t="s">
        <v>1085</v>
      </c>
      <c r="K341" t="s">
        <v>43</v>
      </c>
      <c r="L341">
        <v>2</v>
      </c>
      <c r="M341" t="s">
        <v>44</v>
      </c>
      <c r="N341" t="s">
        <v>45</v>
      </c>
      <c r="O341" t="s">
        <v>46</v>
      </c>
      <c r="P341" s="5">
        <v>1</v>
      </c>
      <c r="Q341" s="12">
        <v>44749.674872685187</v>
      </c>
      <c r="R341" s="13">
        <v>44751</v>
      </c>
      <c r="T341" t="s">
        <v>47</v>
      </c>
      <c r="U341" t="s">
        <v>48</v>
      </c>
      <c r="V341" t="s">
        <v>176</v>
      </c>
      <c r="Y341" t="s">
        <v>1086</v>
      </c>
      <c r="Z341">
        <v>75150</v>
      </c>
      <c r="AA341" t="s">
        <v>47</v>
      </c>
      <c r="AB341" t="s">
        <v>64</v>
      </c>
      <c r="AC341" t="s">
        <v>53</v>
      </c>
      <c r="AD341" s="16">
        <f t="shared" si="49"/>
        <v>7</v>
      </c>
      <c r="AE341" s="15">
        <v>0</v>
      </c>
      <c r="AF341" s="15">
        <v>0</v>
      </c>
      <c r="AG341" s="15">
        <v>0</v>
      </c>
      <c r="AH341" s="15">
        <v>0</v>
      </c>
      <c r="AI341" s="15">
        <f t="shared" si="47"/>
        <v>0.42</v>
      </c>
      <c r="AJ341" s="15">
        <f t="shared" si="48"/>
        <v>7.42</v>
      </c>
      <c r="AK341" t="s">
        <v>47</v>
      </c>
    </row>
    <row r="342" spans="1:37" ht="15" customHeight="1" x14ac:dyDescent="0.35">
      <c r="A342">
        <v>690929</v>
      </c>
      <c r="B342" t="s">
        <v>37</v>
      </c>
      <c r="C342" t="s">
        <v>38</v>
      </c>
      <c r="D342" s="9" t="s">
        <v>39</v>
      </c>
      <c r="E342" s="10" t="s">
        <v>37</v>
      </c>
      <c r="F342" s="11"/>
      <c r="G342" t="s">
        <v>1087</v>
      </c>
      <c r="I342" t="s">
        <v>41</v>
      </c>
      <c r="J342" t="s">
        <v>1088</v>
      </c>
      <c r="K342" t="s">
        <v>43</v>
      </c>
      <c r="L342">
        <v>2</v>
      </c>
      <c r="M342" t="s">
        <v>44</v>
      </c>
      <c r="N342" t="s">
        <v>45</v>
      </c>
      <c r="O342" t="s">
        <v>46</v>
      </c>
      <c r="P342" s="5">
        <v>1</v>
      </c>
      <c r="Q342" s="12">
        <v>44749.688703703701</v>
      </c>
      <c r="R342" s="13">
        <v>44751</v>
      </c>
      <c r="T342" t="s">
        <v>47</v>
      </c>
      <c r="U342" t="s">
        <v>48</v>
      </c>
      <c r="V342" t="s">
        <v>114</v>
      </c>
      <c r="Y342" t="s">
        <v>1089</v>
      </c>
      <c r="Z342">
        <v>43500</v>
      </c>
      <c r="AA342" t="s">
        <v>47</v>
      </c>
      <c r="AB342" t="s">
        <v>64</v>
      </c>
      <c r="AC342" t="s">
        <v>53</v>
      </c>
      <c r="AD342" s="16">
        <f t="shared" si="49"/>
        <v>7</v>
      </c>
      <c r="AE342" s="15">
        <v>0</v>
      </c>
      <c r="AF342" s="15">
        <v>0</v>
      </c>
      <c r="AG342" s="15">
        <v>0</v>
      </c>
      <c r="AH342" s="15">
        <v>0</v>
      </c>
      <c r="AI342" s="15">
        <f t="shared" si="47"/>
        <v>0.42</v>
      </c>
      <c r="AJ342" s="15">
        <f t="shared" si="48"/>
        <v>7.42</v>
      </c>
      <c r="AK342" t="s">
        <v>47</v>
      </c>
    </row>
    <row r="343" spans="1:37" ht="15" customHeight="1" x14ac:dyDescent="0.35">
      <c r="A343">
        <v>690929</v>
      </c>
      <c r="B343" t="s">
        <v>37</v>
      </c>
      <c r="C343" t="s">
        <v>38</v>
      </c>
      <c r="D343" s="9" t="s">
        <v>39</v>
      </c>
      <c r="E343" s="10" t="s">
        <v>37</v>
      </c>
      <c r="F343" s="11"/>
      <c r="G343" t="s">
        <v>1090</v>
      </c>
      <c r="I343" t="s">
        <v>41</v>
      </c>
      <c r="J343" t="s">
        <v>1091</v>
      </c>
      <c r="K343" t="s">
        <v>43</v>
      </c>
      <c r="L343">
        <v>2</v>
      </c>
      <c r="M343" t="s">
        <v>44</v>
      </c>
      <c r="N343" t="s">
        <v>45</v>
      </c>
      <c r="O343" t="s">
        <v>46</v>
      </c>
      <c r="P343" s="5">
        <v>9</v>
      </c>
      <c r="Q343" s="12">
        <v>44749.698379629626</v>
      </c>
      <c r="R343" s="13">
        <v>44751</v>
      </c>
      <c r="T343" t="s">
        <v>47</v>
      </c>
      <c r="U343" t="s">
        <v>48</v>
      </c>
      <c r="V343" t="s">
        <v>62</v>
      </c>
      <c r="Y343" t="s">
        <v>1092</v>
      </c>
      <c r="Z343">
        <v>83000</v>
      </c>
      <c r="AA343" t="s">
        <v>47</v>
      </c>
      <c r="AB343" t="s">
        <v>64</v>
      </c>
      <c r="AC343" t="s">
        <v>53</v>
      </c>
      <c r="AD343" s="16">
        <f t="shared" si="49"/>
        <v>13.4</v>
      </c>
      <c r="AE343" s="15">
        <v>0</v>
      </c>
      <c r="AF343" s="15">
        <v>0</v>
      </c>
      <c r="AG343" s="15">
        <v>0</v>
      </c>
      <c r="AH343" s="15">
        <v>0</v>
      </c>
      <c r="AI343" s="15">
        <f t="shared" si="47"/>
        <v>0.80399999999999994</v>
      </c>
      <c r="AJ343" s="15">
        <f t="shared" si="48"/>
        <v>14.204000000000001</v>
      </c>
      <c r="AK343" t="s">
        <v>47</v>
      </c>
    </row>
    <row r="344" spans="1:37" ht="15" customHeight="1" x14ac:dyDescent="0.35">
      <c r="A344">
        <v>690929</v>
      </c>
      <c r="B344" t="s">
        <v>37</v>
      </c>
      <c r="C344" t="s">
        <v>38</v>
      </c>
      <c r="D344" s="9" t="s">
        <v>39</v>
      </c>
      <c r="E344" s="10" t="s">
        <v>37</v>
      </c>
      <c r="F344" s="11"/>
      <c r="G344" t="s">
        <v>1093</v>
      </c>
      <c r="I344" t="s">
        <v>41</v>
      </c>
      <c r="J344" t="s">
        <v>1094</v>
      </c>
      <c r="K344" t="s">
        <v>43</v>
      </c>
      <c r="L344">
        <v>2</v>
      </c>
      <c r="M344" t="s">
        <v>44</v>
      </c>
      <c r="N344" t="s">
        <v>45</v>
      </c>
      <c r="O344" t="s">
        <v>46</v>
      </c>
      <c r="P344" s="5">
        <v>1</v>
      </c>
      <c r="Q344" s="12">
        <v>44749.671331018515</v>
      </c>
      <c r="R344" s="13">
        <v>44751</v>
      </c>
      <c r="T344" t="s">
        <v>47</v>
      </c>
      <c r="U344" t="s">
        <v>48</v>
      </c>
      <c r="V344" t="s">
        <v>62</v>
      </c>
      <c r="Y344" t="s">
        <v>1095</v>
      </c>
      <c r="Z344">
        <v>85000</v>
      </c>
      <c r="AA344" t="s">
        <v>47</v>
      </c>
      <c r="AB344" t="s">
        <v>64</v>
      </c>
      <c r="AC344" t="s">
        <v>53</v>
      </c>
      <c r="AD344" s="16">
        <f t="shared" si="49"/>
        <v>7</v>
      </c>
      <c r="AE344" s="15">
        <v>0</v>
      </c>
      <c r="AF344" s="15">
        <v>0</v>
      </c>
      <c r="AG344" s="15">
        <v>0</v>
      </c>
      <c r="AH344" s="15">
        <v>0</v>
      </c>
      <c r="AI344" s="15">
        <f t="shared" si="47"/>
        <v>0.42</v>
      </c>
      <c r="AJ344" s="15">
        <f t="shared" si="48"/>
        <v>7.42</v>
      </c>
      <c r="AK344" t="s">
        <v>47</v>
      </c>
    </row>
    <row r="345" spans="1:37" ht="15" customHeight="1" x14ac:dyDescent="0.35">
      <c r="A345">
        <v>690929</v>
      </c>
      <c r="B345" t="s">
        <v>37</v>
      </c>
      <c r="C345" t="s">
        <v>38</v>
      </c>
      <c r="D345" s="9" t="s">
        <v>39</v>
      </c>
      <c r="E345" s="10" t="s">
        <v>37</v>
      </c>
      <c r="F345" s="11"/>
      <c r="G345" t="s">
        <v>1096</v>
      </c>
      <c r="I345" t="s">
        <v>41</v>
      </c>
      <c r="J345" t="s">
        <v>1097</v>
      </c>
      <c r="K345" t="s">
        <v>43</v>
      </c>
      <c r="L345">
        <v>2</v>
      </c>
      <c r="M345" t="s">
        <v>44</v>
      </c>
      <c r="N345" t="s">
        <v>45</v>
      </c>
      <c r="O345" t="s">
        <v>46</v>
      </c>
      <c r="P345" s="5">
        <v>1</v>
      </c>
      <c r="Q345" s="12">
        <v>44748.707303240742</v>
      </c>
      <c r="R345" s="13">
        <v>44751</v>
      </c>
      <c r="T345" t="s">
        <v>47</v>
      </c>
      <c r="U345" t="s">
        <v>48</v>
      </c>
      <c r="V345" t="s">
        <v>62</v>
      </c>
      <c r="Y345" t="s">
        <v>1098</v>
      </c>
      <c r="Z345">
        <v>81200</v>
      </c>
      <c r="AA345" t="s">
        <v>47</v>
      </c>
      <c r="AB345" t="s">
        <v>64</v>
      </c>
      <c r="AC345" t="s">
        <v>53</v>
      </c>
      <c r="AD345" s="16">
        <f t="shared" si="49"/>
        <v>7</v>
      </c>
      <c r="AE345" s="15">
        <v>0</v>
      </c>
      <c r="AF345" s="15">
        <v>0</v>
      </c>
      <c r="AG345" s="15">
        <v>0</v>
      </c>
      <c r="AH345" s="15">
        <v>0</v>
      </c>
      <c r="AI345" s="15">
        <f t="shared" si="47"/>
        <v>0.42</v>
      </c>
      <c r="AJ345" s="15">
        <f t="shared" si="48"/>
        <v>7.42</v>
      </c>
      <c r="AK345" t="s">
        <v>47</v>
      </c>
    </row>
    <row r="346" spans="1:37" ht="15" customHeight="1" x14ac:dyDescent="0.35">
      <c r="A346">
        <v>690929</v>
      </c>
      <c r="B346" t="s">
        <v>37</v>
      </c>
      <c r="C346" t="s">
        <v>38</v>
      </c>
      <c r="D346" s="9" t="s">
        <v>39</v>
      </c>
      <c r="E346" s="10" t="s">
        <v>37</v>
      </c>
      <c r="F346" s="11"/>
      <c r="G346" t="s">
        <v>1099</v>
      </c>
      <c r="I346" t="s">
        <v>41</v>
      </c>
      <c r="J346" t="s">
        <v>1100</v>
      </c>
      <c r="K346" t="s">
        <v>43</v>
      </c>
      <c r="L346">
        <v>2</v>
      </c>
      <c r="M346" t="s">
        <v>44</v>
      </c>
      <c r="N346" t="s">
        <v>45</v>
      </c>
      <c r="O346" t="s">
        <v>46</v>
      </c>
      <c r="P346" s="5">
        <v>1</v>
      </c>
      <c r="Q346" s="12">
        <v>44749.595069444447</v>
      </c>
      <c r="R346" s="13">
        <v>44751</v>
      </c>
      <c r="T346" t="s">
        <v>47</v>
      </c>
      <c r="U346" t="s">
        <v>48</v>
      </c>
      <c r="V346" t="s">
        <v>114</v>
      </c>
      <c r="Y346" t="s">
        <v>1101</v>
      </c>
      <c r="Z346">
        <v>43650</v>
      </c>
      <c r="AA346" t="s">
        <v>47</v>
      </c>
      <c r="AB346" t="s">
        <v>64</v>
      </c>
      <c r="AC346" t="s">
        <v>53</v>
      </c>
      <c r="AD346" s="16">
        <f t="shared" si="49"/>
        <v>7</v>
      </c>
      <c r="AE346" s="15">
        <v>0</v>
      </c>
      <c r="AF346" s="15">
        <v>0</v>
      </c>
      <c r="AG346" s="15">
        <v>0</v>
      </c>
      <c r="AH346" s="15">
        <v>0</v>
      </c>
      <c r="AI346" s="15">
        <f t="shared" si="47"/>
        <v>0.42</v>
      </c>
      <c r="AJ346" s="15">
        <f t="shared" si="48"/>
        <v>7.42</v>
      </c>
      <c r="AK346" t="s">
        <v>47</v>
      </c>
    </row>
    <row r="347" spans="1:37" ht="15" customHeight="1" x14ac:dyDescent="0.35">
      <c r="A347">
        <v>690929</v>
      </c>
      <c r="B347" t="s">
        <v>37</v>
      </c>
      <c r="C347" t="s">
        <v>38</v>
      </c>
      <c r="D347" s="9" t="s">
        <v>39</v>
      </c>
      <c r="E347" s="10" t="s">
        <v>37</v>
      </c>
      <c r="F347" s="11"/>
      <c r="G347" t="s">
        <v>1102</v>
      </c>
      <c r="I347" t="s">
        <v>41</v>
      </c>
      <c r="J347" t="s">
        <v>1103</v>
      </c>
      <c r="K347" t="s">
        <v>43</v>
      </c>
      <c r="L347">
        <v>2</v>
      </c>
      <c r="M347" t="s">
        <v>44</v>
      </c>
      <c r="N347" t="s">
        <v>45</v>
      </c>
      <c r="O347" t="s">
        <v>46</v>
      </c>
      <c r="P347" s="5">
        <v>6</v>
      </c>
      <c r="Q347" s="12">
        <v>44748.51189814815</v>
      </c>
      <c r="R347" s="13">
        <v>44751</v>
      </c>
      <c r="T347" t="s">
        <v>47</v>
      </c>
      <c r="U347" t="s">
        <v>48</v>
      </c>
      <c r="V347" t="s">
        <v>100</v>
      </c>
      <c r="Y347" t="s">
        <v>1104</v>
      </c>
      <c r="Z347">
        <v>32400</v>
      </c>
      <c r="AA347" t="s">
        <v>47</v>
      </c>
      <c r="AB347" t="s">
        <v>1105</v>
      </c>
      <c r="AC347" t="s">
        <v>53</v>
      </c>
      <c r="AD347" s="16">
        <f t="shared" si="49"/>
        <v>11</v>
      </c>
      <c r="AE347" s="15">
        <v>0</v>
      </c>
      <c r="AF347" s="15">
        <v>0</v>
      </c>
      <c r="AG347" s="15">
        <v>0</v>
      </c>
      <c r="AH347" s="15">
        <v>0</v>
      </c>
      <c r="AI347" s="15">
        <f t="shared" si="47"/>
        <v>0.65999999999999992</v>
      </c>
      <c r="AJ347" s="15">
        <f t="shared" si="48"/>
        <v>11.66</v>
      </c>
      <c r="AK347" t="s">
        <v>47</v>
      </c>
    </row>
    <row r="348" spans="1:37" ht="15" customHeight="1" x14ac:dyDescent="0.35">
      <c r="A348">
        <v>690929</v>
      </c>
      <c r="B348" t="s">
        <v>37</v>
      </c>
      <c r="C348" t="s">
        <v>38</v>
      </c>
      <c r="D348" s="9" t="s">
        <v>39</v>
      </c>
      <c r="E348" s="10" t="s">
        <v>37</v>
      </c>
      <c r="F348" s="11"/>
      <c r="G348" t="s">
        <v>1106</v>
      </c>
      <c r="I348" t="s">
        <v>41</v>
      </c>
      <c r="J348" t="s">
        <v>1107</v>
      </c>
      <c r="K348" t="s">
        <v>43</v>
      </c>
      <c r="L348">
        <v>2</v>
      </c>
      <c r="M348" t="s">
        <v>44</v>
      </c>
      <c r="N348" t="s">
        <v>45</v>
      </c>
      <c r="O348" t="s">
        <v>46</v>
      </c>
      <c r="P348" s="5">
        <v>1</v>
      </c>
      <c r="Q348" s="12">
        <v>44749.696909722225</v>
      </c>
      <c r="R348" s="13">
        <v>44751</v>
      </c>
      <c r="T348" t="s">
        <v>47</v>
      </c>
      <c r="U348" t="s">
        <v>48</v>
      </c>
      <c r="V348" t="s">
        <v>114</v>
      </c>
      <c r="Y348" t="s">
        <v>1108</v>
      </c>
      <c r="Z348">
        <v>43500</v>
      </c>
      <c r="AA348" t="s">
        <v>47</v>
      </c>
      <c r="AB348" t="s">
        <v>64</v>
      </c>
      <c r="AC348" t="s">
        <v>53</v>
      </c>
      <c r="AD348" s="16">
        <f t="shared" si="49"/>
        <v>7</v>
      </c>
      <c r="AE348" s="15">
        <v>0</v>
      </c>
      <c r="AF348" s="15">
        <v>0</v>
      </c>
      <c r="AG348" s="15">
        <v>0</v>
      </c>
      <c r="AH348" s="15">
        <v>0</v>
      </c>
      <c r="AI348" s="15">
        <f t="shared" si="47"/>
        <v>0.42</v>
      </c>
      <c r="AJ348" s="15">
        <f t="shared" si="48"/>
        <v>7.42</v>
      </c>
      <c r="AK348" t="s">
        <v>47</v>
      </c>
    </row>
    <row r="349" spans="1:37" ht="15" customHeight="1" x14ac:dyDescent="0.35">
      <c r="A349">
        <v>690929</v>
      </c>
      <c r="B349" t="s">
        <v>37</v>
      </c>
      <c r="C349" t="s">
        <v>38</v>
      </c>
      <c r="D349" s="9" t="s">
        <v>39</v>
      </c>
      <c r="E349" s="10" t="s">
        <v>37</v>
      </c>
      <c r="F349" s="11"/>
      <c r="G349" t="s">
        <v>1109</v>
      </c>
      <c r="I349" t="s">
        <v>41</v>
      </c>
      <c r="J349" t="s">
        <v>1110</v>
      </c>
      <c r="K349" t="s">
        <v>43</v>
      </c>
      <c r="L349">
        <v>2</v>
      </c>
      <c r="M349" t="s">
        <v>44</v>
      </c>
      <c r="N349" t="s">
        <v>45</v>
      </c>
      <c r="O349" t="s">
        <v>46</v>
      </c>
      <c r="P349" s="5">
        <v>1</v>
      </c>
      <c r="Q349" s="12">
        <v>44748.711238425924</v>
      </c>
      <c r="R349" s="13">
        <v>44751</v>
      </c>
      <c r="T349" t="s">
        <v>47</v>
      </c>
      <c r="U349" t="s">
        <v>48</v>
      </c>
      <c r="V349" t="s">
        <v>176</v>
      </c>
      <c r="Y349" t="s">
        <v>1111</v>
      </c>
      <c r="Z349">
        <v>76450</v>
      </c>
      <c r="AA349" t="s">
        <v>47</v>
      </c>
      <c r="AB349" t="s">
        <v>64</v>
      </c>
      <c r="AC349" t="s">
        <v>53</v>
      </c>
      <c r="AD349" s="16">
        <f t="shared" si="49"/>
        <v>7</v>
      </c>
      <c r="AE349" s="15">
        <v>0</v>
      </c>
      <c r="AF349" s="15">
        <v>0</v>
      </c>
      <c r="AG349" s="15">
        <v>0</v>
      </c>
      <c r="AH349" s="15">
        <v>0</v>
      </c>
      <c r="AI349" s="15">
        <f t="shared" si="47"/>
        <v>0.42</v>
      </c>
      <c r="AJ349" s="15">
        <f t="shared" si="48"/>
        <v>7.42</v>
      </c>
      <c r="AK349" t="s">
        <v>47</v>
      </c>
    </row>
    <row r="350" spans="1:37" ht="15" customHeight="1" x14ac:dyDescent="0.35">
      <c r="A350">
        <v>690929</v>
      </c>
      <c r="B350" t="s">
        <v>37</v>
      </c>
      <c r="C350" t="s">
        <v>38</v>
      </c>
      <c r="D350" s="9" t="s">
        <v>39</v>
      </c>
      <c r="E350" s="10" t="s">
        <v>37</v>
      </c>
      <c r="F350" s="11"/>
      <c r="G350" t="s">
        <v>1112</v>
      </c>
      <c r="I350" t="s">
        <v>41</v>
      </c>
      <c r="J350" t="s">
        <v>1113</v>
      </c>
      <c r="K350" t="s">
        <v>43</v>
      </c>
      <c r="L350">
        <v>2</v>
      </c>
      <c r="M350" t="s">
        <v>44</v>
      </c>
      <c r="N350" t="s">
        <v>45</v>
      </c>
      <c r="O350" t="s">
        <v>46</v>
      </c>
      <c r="P350" s="5">
        <v>1</v>
      </c>
      <c r="Q350" s="12">
        <v>44749.551562499997</v>
      </c>
      <c r="R350" s="13">
        <v>44751</v>
      </c>
      <c r="T350" t="s">
        <v>47</v>
      </c>
      <c r="U350" t="s">
        <v>48</v>
      </c>
      <c r="V350" t="s">
        <v>128</v>
      </c>
      <c r="Y350" t="s">
        <v>1114</v>
      </c>
      <c r="Z350">
        <v>51200</v>
      </c>
      <c r="AA350" t="s">
        <v>47</v>
      </c>
      <c r="AB350" t="s">
        <v>64</v>
      </c>
      <c r="AC350" t="s">
        <v>53</v>
      </c>
      <c r="AD350" s="16">
        <f t="shared" si="49"/>
        <v>7</v>
      </c>
      <c r="AE350" s="15">
        <v>0</v>
      </c>
      <c r="AF350" s="15">
        <v>0</v>
      </c>
      <c r="AG350" s="15">
        <v>0</v>
      </c>
      <c r="AH350" s="15">
        <v>0</v>
      </c>
      <c r="AI350" s="15">
        <f t="shared" si="47"/>
        <v>0.42</v>
      </c>
      <c r="AJ350" s="15">
        <f t="shared" si="48"/>
        <v>7.42</v>
      </c>
      <c r="AK350" t="s">
        <v>47</v>
      </c>
    </row>
    <row r="351" spans="1:37" ht="15" customHeight="1" x14ac:dyDescent="0.35">
      <c r="A351">
        <v>690929</v>
      </c>
      <c r="B351" t="s">
        <v>37</v>
      </c>
      <c r="C351" t="s">
        <v>38</v>
      </c>
      <c r="D351" s="9" t="s">
        <v>39</v>
      </c>
      <c r="E351" s="10" t="s">
        <v>37</v>
      </c>
      <c r="F351" s="11"/>
      <c r="G351" t="s">
        <v>1115</v>
      </c>
      <c r="I351" t="s">
        <v>41</v>
      </c>
      <c r="J351" t="s">
        <v>1116</v>
      </c>
      <c r="K351" t="s">
        <v>43</v>
      </c>
      <c r="L351">
        <v>2</v>
      </c>
      <c r="M351" t="s">
        <v>44</v>
      </c>
      <c r="N351" t="s">
        <v>45</v>
      </c>
      <c r="O351" t="s">
        <v>46</v>
      </c>
      <c r="P351" s="5">
        <v>2</v>
      </c>
      <c r="Q351" s="12">
        <v>44749.670011574075</v>
      </c>
      <c r="R351" s="13">
        <v>44751</v>
      </c>
      <c r="T351" t="s">
        <v>47</v>
      </c>
      <c r="U351" t="s">
        <v>48</v>
      </c>
      <c r="V351" t="s">
        <v>114</v>
      </c>
      <c r="Y351" t="s">
        <v>1117</v>
      </c>
      <c r="Z351">
        <v>68000</v>
      </c>
      <c r="AA351" t="s">
        <v>47</v>
      </c>
      <c r="AB351" t="s">
        <v>64</v>
      </c>
      <c r="AC351" t="s">
        <v>53</v>
      </c>
      <c r="AD351" s="16">
        <f t="shared" si="49"/>
        <v>7.8</v>
      </c>
      <c r="AE351" s="15">
        <v>0</v>
      </c>
      <c r="AF351" s="15">
        <v>0</v>
      </c>
      <c r="AG351" s="15">
        <v>0</v>
      </c>
      <c r="AH351" s="15">
        <v>0</v>
      </c>
      <c r="AI351" s="15">
        <f t="shared" si="47"/>
        <v>0.46799999999999997</v>
      </c>
      <c r="AJ351" s="15">
        <f t="shared" si="48"/>
        <v>8.2680000000000007</v>
      </c>
      <c r="AK351" t="s">
        <v>47</v>
      </c>
    </row>
    <row r="352" spans="1:37" ht="15" customHeight="1" x14ac:dyDescent="0.35">
      <c r="A352">
        <v>690929</v>
      </c>
      <c r="B352" t="s">
        <v>37</v>
      </c>
      <c r="C352" t="s">
        <v>38</v>
      </c>
      <c r="D352" s="9" t="s">
        <v>39</v>
      </c>
      <c r="E352" s="10" t="s">
        <v>37</v>
      </c>
      <c r="F352" s="11"/>
      <c r="G352" t="s">
        <v>1118</v>
      </c>
      <c r="I352" t="s">
        <v>41</v>
      </c>
      <c r="J352" t="s">
        <v>1119</v>
      </c>
      <c r="K352" t="s">
        <v>43</v>
      </c>
      <c r="L352">
        <v>2</v>
      </c>
      <c r="M352" t="s">
        <v>44</v>
      </c>
      <c r="N352" t="s">
        <v>45</v>
      </c>
      <c r="O352" t="s">
        <v>46</v>
      </c>
      <c r="P352" s="5">
        <v>1</v>
      </c>
      <c r="Q352" s="12">
        <v>44748.737210648149</v>
      </c>
      <c r="R352" s="13">
        <v>44751</v>
      </c>
      <c r="T352" t="s">
        <v>47</v>
      </c>
      <c r="U352" t="s">
        <v>48</v>
      </c>
      <c r="V352" t="s">
        <v>71</v>
      </c>
      <c r="Y352" t="s">
        <v>1120</v>
      </c>
      <c r="Z352">
        <v>9010</v>
      </c>
      <c r="AA352" t="s">
        <v>47</v>
      </c>
      <c r="AB352" t="s">
        <v>64</v>
      </c>
      <c r="AC352" t="s">
        <v>53</v>
      </c>
      <c r="AD352" s="16">
        <f t="shared" si="49"/>
        <v>7</v>
      </c>
      <c r="AE352" s="15">
        <v>0</v>
      </c>
      <c r="AF352" s="15">
        <v>0</v>
      </c>
      <c r="AG352" s="15">
        <v>0</v>
      </c>
      <c r="AH352" s="15">
        <v>0</v>
      </c>
      <c r="AI352" s="15">
        <f t="shared" si="47"/>
        <v>0.42</v>
      </c>
      <c r="AJ352" s="15">
        <f t="shared" si="48"/>
        <v>7.42</v>
      </c>
      <c r="AK352" t="s">
        <v>47</v>
      </c>
    </row>
    <row r="353" spans="1:37" ht="15" customHeight="1" x14ac:dyDescent="0.35">
      <c r="A353">
        <v>690929</v>
      </c>
      <c r="B353" t="s">
        <v>37</v>
      </c>
      <c r="C353" t="s">
        <v>38</v>
      </c>
      <c r="D353" s="9" t="s">
        <v>39</v>
      </c>
      <c r="E353" s="10" t="s">
        <v>37</v>
      </c>
      <c r="F353" s="11"/>
      <c r="G353" t="s">
        <v>1121</v>
      </c>
      <c r="I353" t="s">
        <v>41</v>
      </c>
      <c r="J353" t="s">
        <v>1122</v>
      </c>
      <c r="K353" t="s">
        <v>43</v>
      </c>
      <c r="L353">
        <v>2</v>
      </c>
      <c r="M353" t="s">
        <v>44</v>
      </c>
      <c r="N353" t="s">
        <v>45</v>
      </c>
      <c r="O353" t="s">
        <v>46</v>
      </c>
      <c r="P353" s="5">
        <v>1</v>
      </c>
      <c r="Q353" s="12">
        <v>44749.566782407404</v>
      </c>
      <c r="R353" s="13">
        <v>44751</v>
      </c>
      <c r="T353" t="s">
        <v>47</v>
      </c>
      <c r="U353" t="s">
        <v>48</v>
      </c>
      <c r="V353" t="s">
        <v>138</v>
      </c>
      <c r="Y353" t="s">
        <v>1123</v>
      </c>
      <c r="Z353">
        <v>71200</v>
      </c>
      <c r="AA353" t="s">
        <v>47</v>
      </c>
      <c r="AB353" t="s">
        <v>64</v>
      </c>
      <c r="AC353" t="s">
        <v>53</v>
      </c>
      <c r="AD353" s="16">
        <f t="shared" si="49"/>
        <v>7</v>
      </c>
      <c r="AE353" s="15">
        <v>0</v>
      </c>
      <c r="AF353" s="15">
        <v>0</v>
      </c>
      <c r="AG353" s="15">
        <v>0</v>
      </c>
      <c r="AH353" s="15">
        <v>0</v>
      </c>
      <c r="AI353" s="15">
        <f t="shared" si="47"/>
        <v>0.42</v>
      </c>
      <c r="AJ353" s="15">
        <f t="shared" si="48"/>
        <v>7.42</v>
      </c>
      <c r="AK353" t="s">
        <v>47</v>
      </c>
    </row>
    <row r="354" spans="1:37" ht="15" customHeight="1" x14ac:dyDescent="0.35">
      <c r="A354">
        <v>690929</v>
      </c>
      <c r="B354" t="s">
        <v>37</v>
      </c>
      <c r="C354" t="s">
        <v>38</v>
      </c>
      <c r="D354" s="9" t="s">
        <v>39</v>
      </c>
      <c r="E354" s="10" t="s">
        <v>37</v>
      </c>
      <c r="F354" s="11"/>
      <c r="G354" t="s">
        <v>1124</v>
      </c>
      <c r="I354" t="s">
        <v>41</v>
      </c>
      <c r="J354" t="s">
        <v>1125</v>
      </c>
      <c r="K354" t="s">
        <v>43</v>
      </c>
      <c r="L354">
        <v>2</v>
      </c>
      <c r="M354" t="s">
        <v>44</v>
      </c>
      <c r="N354" t="s">
        <v>45</v>
      </c>
      <c r="O354" t="s">
        <v>46</v>
      </c>
      <c r="P354" s="5">
        <v>1</v>
      </c>
      <c r="Q354" s="12">
        <v>44749.691608796296</v>
      </c>
      <c r="R354" s="13">
        <v>44751</v>
      </c>
      <c r="T354" t="s">
        <v>47</v>
      </c>
      <c r="U354" t="s">
        <v>48</v>
      </c>
      <c r="V354" t="s">
        <v>138</v>
      </c>
      <c r="Y354" t="s">
        <v>1126</v>
      </c>
      <c r="Z354">
        <v>70200</v>
      </c>
      <c r="AA354" t="s">
        <v>47</v>
      </c>
      <c r="AB354" t="s">
        <v>64</v>
      </c>
      <c r="AC354" t="s">
        <v>53</v>
      </c>
      <c r="AD354" s="16">
        <f t="shared" si="49"/>
        <v>7</v>
      </c>
      <c r="AE354" s="15">
        <v>0</v>
      </c>
      <c r="AF354" s="15">
        <v>0</v>
      </c>
      <c r="AG354" s="15">
        <v>0</v>
      </c>
      <c r="AH354" s="15">
        <v>0</v>
      </c>
      <c r="AI354" s="15">
        <f t="shared" si="47"/>
        <v>0.42</v>
      </c>
      <c r="AJ354" s="15">
        <f t="shared" si="48"/>
        <v>7.42</v>
      </c>
      <c r="AK354" t="s">
        <v>47</v>
      </c>
    </row>
    <row r="355" spans="1:37" ht="15" customHeight="1" x14ac:dyDescent="0.35">
      <c r="A355">
        <v>690929</v>
      </c>
      <c r="B355" t="s">
        <v>37</v>
      </c>
      <c r="C355" t="s">
        <v>38</v>
      </c>
      <c r="D355" s="9" t="s">
        <v>39</v>
      </c>
      <c r="E355" s="10" t="s">
        <v>37</v>
      </c>
      <c r="F355" s="11"/>
      <c r="G355" t="s">
        <v>1127</v>
      </c>
      <c r="I355" t="s">
        <v>41</v>
      </c>
      <c r="J355" t="s">
        <v>1128</v>
      </c>
      <c r="K355" t="s">
        <v>43</v>
      </c>
      <c r="L355">
        <v>2</v>
      </c>
      <c r="M355" t="s">
        <v>44</v>
      </c>
      <c r="N355" t="s">
        <v>45</v>
      </c>
      <c r="O355" t="s">
        <v>46</v>
      </c>
      <c r="P355" s="5">
        <v>1</v>
      </c>
      <c r="Q355" s="12">
        <v>44748.728136574071</v>
      </c>
      <c r="R355" s="13">
        <v>44751</v>
      </c>
      <c r="T355" t="s">
        <v>47</v>
      </c>
      <c r="U355" t="s">
        <v>48</v>
      </c>
      <c r="V355" t="s">
        <v>62</v>
      </c>
      <c r="Y355" t="s">
        <v>1129</v>
      </c>
      <c r="Z355">
        <v>81200</v>
      </c>
      <c r="AA355" t="s">
        <v>47</v>
      </c>
      <c r="AB355" t="s">
        <v>64</v>
      </c>
      <c r="AC355" t="s">
        <v>53</v>
      </c>
      <c r="AD355" s="16">
        <f t="shared" si="49"/>
        <v>7</v>
      </c>
      <c r="AE355" s="15">
        <v>0</v>
      </c>
      <c r="AF355" s="15">
        <v>0</v>
      </c>
      <c r="AG355" s="15">
        <v>0</v>
      </c>
      <c r="AH355" s="15">
        <v>0</v>
      </c>
      <c r="AI355" s="15">
        <f t="shared" si="47"/>
        <v>0.42</v>
      </c>
      <c r="AJ355" s="15">
        <f t="shared" si="48"/>
        <v>7.42</v>
      </c>
      <c r="AK355" t="s">
        <v>47</v>
      </c>
    </row>
    <row r="356" spans="1:37" ht="15" customHeight="1" x14ac:dyDescent="0.35">
      <c r="A356">
        <v>690929</v>
      </c>
      <c r="B356" t="s">
        <v>37</v>
      </c>
      <c r="C356" t="s">
        <v>38</v>
      </c>
      <c r="D356" s="9" t="s">
        <v>39</v>
      </c>
      <c r="E356" s="10" t="s">
        <v>37</v>
      </c>
      <c r="F356" s="11"/>
      <c r="G356" t="s">
        <v>1130</v>
      </c>
      <c r="I356" t="s">
        <v>41</v>
      </c>
      <c r="J356" t="s">
        <v>1131</v>
      </c>
      <c r="K356" t="s">
        <v>43</v>
      </c>
      <c r="L356">
        <v>2</v>
      </c>
      <c r="M356" t="s">
        <v>44</v>
      </c>
      <c r="N356" t="s">
        <v>45</v>
      </c>
      <c r="O356" t="s">
        <v>46</v>
      </c>
      <c r="P356" s="5">
        <v>1</v>
      </c>
      <c r="Q356" s="12">
        <v>44750.40966435185</v>
      </c>
      <c r="R356" s="13">
        <v>44751</v>
      </c>
      <c r="T356" t="s">
        <v>47</v>
      </c>
      <c r="U356" t="s">
        <v>48</v>
      </c>
      <c r="V356" t="s">
        <v>67</v>
      </c>
      <c r="Y356" t="s">
        <v>1132</v>
      </c>
      <c r="Z356">
        <v>26500</v>
      </c>
      <c r="AA356" t="s">
        <v>47</v>
      </c>
      <c r="AB356" t="s">
        <v>48</v>
      </c>
      <c r="AC356" t="s">
        <v>53</v>
      </c>
      <c r="AD356" s="16">
        <f t="shared" si="49"/>
        <v>7</v>
      </c>
      <c r="AE356" s="15">
        <v>0</v>
      </c>
      <c r="AF356" s="15">
        <v>0</v>
      </c>
      <c r="AG356" s="15">
        <v>0</v>
      </c>
      <c r="AH356" s="15">
        <v>0</v>
      </c>
      <c r="AI356" s="15">
        <f t="shared" si="47"/>
        <v>0.42</v>
      </c>
      <c r="AJ356" s="15">
        <f t="shared" si="48"/>
        <v>7.42</v>
      </c>
      <c r="AK356" t="s">
        <v>47</v>
      </c>
    </row>
    <row r="357" spans="1:37" ht="15" customHeight="1" x14ac:dyDescent="0.35">
      <c r="A357">
        <v>690929</v>
      </c>
      <c r="B357" t="s">
        <v>37</v>
      </c>
      <c r="C357" t="s">
        <v>38</v>
      </c>
      <c r="D357" s="9" t="s">
        <v>39</v>
      </c>
      <c r="E357" s="10" t="s">
        <v>37</v>
      </c>
      <c r="F357" s="11"/>
      <c r="G357" t="s">
        <v>1133</v>
      </c>
      <c r="I357" t="s">
        <v>41</v>
      </c>
      <c r="J357" t="s">
        <v>1134</v>
      </c>
      <c r="K357" t="s">
        <v>43</v>
      </c>
      <c r="L357">
        <v>2</v>
      </c>
      <c r="M357" t="s">
        <v>44</v>
      </c>
      <c r="N357" t="s">
        <v>45</v>
      </c>
      <c r="O357" t="s">
        <v>46</v>
      </c>
      <c r="P357" s="5">
        <v>1</v>
      </c>
      <c r="Q357" s="12">
        <v>44749.681504629632</v>
      </c>
      <c r="R357" s="13">
        <v>44753</v>
      </c>
      <c r="T357" t="s">
        <v>47</v>
      </c>
      <c r="U357" t="s">
        <v>48</v>
      </c>
      <c r="V357" t="s">
        <v>138</v>
      </c>
      <c r="Y357" t="s">
        <v>1135</v>
      </c>
      <c r="Z357">
        <v>71050</v>
      </c>
      <c r="AA357" t="s">
        <v>47</v>
      </c>
      <c r="AB357" t="s">
        <v>64</v>
      </c>
      <c r="AC357" t="s">
        <v>53</v>
      </c>
      <c r="AD357" s="16">
        <f t="shared" si="49"/>
        <v>7</v>
      </c>
      <c r="AE357" s="15">
        <v>0</v>
      </c>
      <c r="AF357" s="15">
        <v>0</v>
      </c>
      <c r="AG357" s="15">
        <v>0</v>
      </c>
      <c r="AH357" s="15">
        <v>0</v>
      </c>
      <c r="AI357" s="15">
        <f t="shared" si="47"/>
        <v>0.42</v>
      </c>
      <c r="AJ357" s="15">
        <f t="shared" si="48"/>
        <v>7.42</v>
      </c>
      <c r="AK357" t="s">
        <v>47</v>
      </c>
    </row>
    <row r="358" spans="1:37" ht="15" customHeight="1" x14ac:dyDescent="0.35">
      <c r="A358">
        <v>690929</v>
      </c>
      <c r="B358" t="s">
        <v>37</v>
      </c>
      <c r="C358" t="s">
        <v>38</v>
      </c>
      <c r="D358" s="9" t="s">
        <v>39</v>
      </c>
      <c r="E358" s="10" t="s">
        <v>37</v>
      </c>
      <c r="F358" s="11"/>
      <c r="G358" t="s">
        <v>1136</v>
      </c>
      <c r="I358" t="s">
        <v>41</v>
      </c>
      <c r="J358" t="s">
        <v>1137</v>
      </c>
      <c r="K358" t="s">
        <v>43</v>
      </c>
      <c r="L358">
        <v>2</v>
      </c>
      <c r="M358" t="s">
        <v>44</v>
      </c>
      <c r="N358" t="s">
        <v>45</v>
      </c>
      <c r="O358" t="s">
        <v>46</v>
      </c>
      <c r="P358" s="5">
        <v>1</v>
      </c>
      <c r="Q358" s="12">
        <v>44750.407777777778</v>
      </c>
      <c r="R358" s="13">
        <v>44753</v>
      </c>
      <c r="T358" t="s">
        <v>47</v>
      </c>
      <c r="U358" t="s">
        <v>48</v>
      </c>
      <c r="V358" t="s">
        <v>138</v>
      </c>
      <c r="Y358" t="s">
        <v>1138</v>
      </c>
      <c r="Z358">
        <v>72100</v>
      </c>
      <c r="AA358" t="s">
        <v>47</v>
      </c>
      <c r="AB358" t="s">
        <v>64</v>
      </c>
      <c r="AC358" t="s">
        <v>53</v>
      </c>
      <c r="AD358" s="16">
        <f t="shared" si="49"/>
        <v>7</v>
      </c>
      <c r="AE358" s="15">
        <v>0</v>
      </c>
      <c r="AF358" s="15">
        <v>0</v>
      </c>
      <c r="AG358" s="15">
        <v>0</v>
      </c>
      <c r="AH358" s="15">
        <v>0</v>
      </c>
      <c r="AI358" s="15">
        <f t="shared" si="47"/>
        <v>0.42</v>
      </c>
      <c r="AJ358" s="15">
        <f t="shared" si="48"/>
        <v>7.42</v>
      </c>
      <c r="AK358" t="s">
        <v>47</v>
      </c>
    </row>
    <row r="359" spans="1:37" ht="15" customHeight="1" x14ac:dyDescent="0.35">
      <c r="A359">
        <v>690929</v>
      </c>
      <c r="B359" t="s">
        <v>37</v>
      </c>
      <c r="C359" t="s">
        <v>38</v>
      </c>
      <c r="D359" s="9" t="s">
        <v>39</v>
      </c>
      <c r="E359" s="10" t="s">
        <v>37</v>
      </c>
      <c r="F359" s="11"/>
      <c r="G359" t="s">
        <v>1139</v>
      </c>
      <c r="I359" t="s">
        <v>41</v>
      </c>
      <c r="J359" t="s">
        <v>1140</v>
      </c>
      <c r="K359" t="s">
        <v>43</v>
      </c>
      <c r="L359">
        <v>2</v>
      </c>
      <c r="M359" t="s">
        <v>44</v>
      </c>
      <c r="N359" t="s">
        <v>45</v>
      </c>
      <c r="O359" t="s">
        <v>46</v>
      </c>
      <c r="P359" s="5">
        <v>1</v>
      </c>
      <c r="Q359" s="12">
        <v>44749.593865740739</v>
      </c>
      <c r="R359" s="13">
        <v>44753</v>
      </c>
      <c r="T359" t="s">
        <v>47</v>
      </c>
      <c r="U359" t="s">
        <v>48</v>
      </c>
      <c r="V359" t="s">
        <v>85</v>
      </c>
      <c r="Y359" t="s">
        <v>1141</v>
      </c>
      <c r="Z359">
        <v>14100</v>
      </c>
      <c r="AA359" t="s">
        <v>47</v>
      </c>
      <c r="AB359" t="s">
        <v>64</v>
      </c>
      <c r="AC359" t="s">
        <v>53</v>
      </c>
      <c r="AD359" s="16">
        <f t="shared" si="49"/>
        <v>7</v>
      </c>
      <c r="AE359" s="15">
        <v>0</v>
      </c>
      <c r="AF359" s="15">
        <v>0</v>
      </c>
      <c r="AG359" s="15">
        <v>0</v>
      </c>
      <c r="AH359" s="15">
        <v>0</v>
      </c>
      <c r="AI359" s="15">
        <f t="shared" si="47"/>
        <v>0.42</v>
      </c>
      <c r="AJ359" s="15">
        <f t="shared" si="48"/>
        <v>7.42</v>
      </c>
      <c r="AK359" t="s">
        <v>47</v>
      </c>
    </row>
    <row r="360" spans="1:37" ht="15" customHeight="1" x14ac:dyDescent="0.35">
      <c r="A360">
        <v>690929</v>
      </c>
      <c r="B360" t="s">
        <v>37</v>
      </c>
      <c r="C360" t="s">
        <v>38</v>
      </c>
      <c r="D360" s="9" t="s">
        <v>39</v>
      </c>
      <c r="E360" s="10" t="s">
        <v>37</v>
      </c>
      <c r="F360" s="11"/>
      <c r="G360" t="s">
        <v>1142</v>
      </c>
      <c r="I360" t="s">
        <v>41</v>
      </c>
      <c r="J360" t="s">
        <v>1143</v>
      </c>
      <c r="K360" t="s">
        <v>43</v>
      </c>
      <c r="L360">
        <v>2</v>
      </c>
      <c r="M360" t="s">
        <v>44</v>
      </c>
      <c r="N360" t="s">
        <v>45</v>
      </c>
      <c r="O360" t="s">
        <v>46</v>
      </c>
      <c r="P360" s="5">
        <v>1</v>
      </c>
      <c r="Q360" s="12">
        <v>44750.425856481481</v>
      </c>
      <c r="R360" s="13">
        <v>44753</v>
      </c>
      <c r="T360" t="s">
        <v>47</v>
      </c>
      <c r="U360" t="s">
        <v>48</v>
      </c>
      <c r="V360" t="s">
        <v>114</v>
      </c>
      <c r="Y360" t="s">
        <v>1144</v>
      </c>
      <c r="Z360">
        <v>42700</v>
      </c>
      <c r="AA360" t="s">
        <v>47</v>
      </c>
      <c r="AB360" t="s">
        <v>64</v>
      </c>
      <c r="AC360" t="s">
        <v>53</v>
      </c>
      <c r="AD360" s="16">
        <f t="shared" si="49"/>
        <v>7</v>
      </c>
      <c r="AE360" s="15">
        <v>0</v>
      </c>
      <c r="AF360" s="15">
        <v>0</v>
      </c>
      <c r="AG360" s="15">
        <v>0</v>
      </c>
      <c r="AH360" s="15">
        <v>0</v>
      </c>
      <c r="AI360" s="15">
        <f t="shared" si="47"/>
        <v>0.42</v>
      </c>
      <c r="AJ360" s="15">
        <f t="shared" si="48"/>
        <v>7.42</v>
      </c>
      <c r="AK360" t="s">
        <v>47</v>
      </c>
    </row>
    <row r="361" spans="1:37" ht="15" customHeight="1" x14ac:dyDescent="0.35">
      <c r="A361">
        <v>690929</v>
      </c>
      <c r="B361" t="s">
        <v>37</v>
      </c>
      <c r="C361" t="s">
        <v>38</v>
      </c>
      <c r="D361" s="9" t="s">
        <v>39</v>
      </c>
      <c r="E361" s="10" t="s">
        <v>37</v>
      </c>
      <c r="F361" s="11"/>
      <c r="G361" t="s">
        <v>1145</v>
      </c>
      <c r="I361" t="s">
        <v>41</v>
      </c>
      <c r="J361" t="s">
        <v>1146</v>
      </c>
      <c r="K361" t="s">
        <v>43</v>
      </c>
      <c r="L361">
        <v>2</v>
      </c>
      <c r="M361" t="s">
        <v>44</v>
      </c>
      <c r="N361" t="s">
        <v>45</v>
      </c>
      <c r="O361" t="s">
        <v>46</v>
      </c>
      <c r="P361" s="5">
        <v>1</v>
      </c>
      <c r="Q361" s="12">
        <v>44751.612812500003</v>
      </c>
      <c r="R361" s="13">
        <v>44753</v>
      </c>
      <c r="T361" t="s">
        <v>47</v>
      </c>
      <c r="U361" t="s">
        <v>48</v>
      </c>
      <c r="V361" t="s">
        <v>100</v>
      </c>
      <c r="Y361" t="s">
        <v>1147</v>
      </c>
      <c r="Z361">
        <v>34100</v>
      </c>
      <c r="AA361" t="s">
        <v>47</v>
      </c>
      <c r="AB361" t="s">
        <v>64</v>
      </c>
      <c r="AC361" t="s">
        <v>53</v>
      </c>
      <c r="AD361" s="16">
        <f t="shared" si="49"/>
        <v>7</v>
      </c>
      <c r="AE361" s="15">
        <v>0</v>
      </c>
      <c r="AF361" s="15">
        <v>0</v>
      </c>
      <c r="AG361" s="15">
        <v>0</v>
      </c>
      <c r="AH361" s="15">
        <v>0</v>
      </c>
      <c r="AI361" s="15">
        <f t="shared" si="47"/>
        <v>0.42</v>
      </c>
      <c r="AJ361" s="15">
        <f t="shared" si="48"/>
        <v>7.42</v>
      </c>
      <c r="AK361" t="s">
        <v>47</v>
      </c>
    </row>
    <row r="362" spans="1:37" ht="15" customHeight="1" x14ac:dyDescent="0.35">
      <c r="A362">
        <v>690929</v>
      </c>
      <c r="B362" t="s">
        <v>37</v>
      </c>
      <c r="C362" t="s">
        <v>38</v>
      </c>
      <c r="D362" s="9" t="s">
        <v>39</v>
      </c>
      <c r="E362" s="10" t="s">
        <v>37</v>
      </c>
      <c r="F362" s="11"/>
      <c r="G362" t="s">
        <v>1148</v>
      </c>
      <c r="I362" t="s">
        <v>41</v>
      </c>
      <c r="J362" t="s">
        <v>1149</v>
      </c>
      <c r="K362" t="s">
        <v>43</v>
      </c>
      <c r="L362">
        <v>2</v>
      </c>
      <c r="M362" t="s">
        <v>44</v>
      </c>
      <c r="N362" t="s">
        <v>45</v>
      </c>
      <c r="O362" t="s">
        <v>46</v>
      </c>
      <c r="P362" s="5">
        <v>2</v>
      </c>
      <c r="Q362" s="12">
        <v>44749.67596064815</v>
      </c>
      <c r="R362" s="13">
        <v>44753</v>
      </c>
      <c r="T362" t="s">
        <v>47</v>
      </c>
      <c r="U362" t="s">
        <v>48</v>
      </c>
      <c r="V362" t="s">
        <v>138</v>
      </c>
      <c r="Y362" t="s">
        <v>1150</v>
      </c>
      <c r="Z362">
        <v>71400</v>
      </c>
      <c r="AA362" t="s">
        <v>47</v>
      </c>
      <c r="AB362" t="s">
        <v>64</v>
      </c>
      <c r="AC362" t="s">
        <v>53</v>
      </c>
      <c r="AD362" s="16">
        <f t="shared" si="49"/>
        <v>7.8</v>
      </c>
      <c r="AE362" s="15">
        <v>0</v>
      </c>
      <c r="AF362" s="15">
        <v>0</v>
      </c>
      <c r="AG362" s="15">
        <v>0</v>
      </c>
      <c r="AH362" s="15">
        <v>0</v>
      </c>
      <c r="AI362" s="15">
        <f t="shared" si="47"/>
        <v>0.46799999999999997</v>
      </c>
      <c r="AJ362" s="15">
        <f t="shared" si="48"/>
        <v>8.2680000000000007</v>
      </c>
      <c r="AK362" t="s">
        <v>47</v>
      </c>
    </row>
    <row r="363" spans="1:37" ht="15" customHeight="1" x14ac:dyDescent="0.35">
      <c r="A363">
        <v>690929</v>
      </c>
      <c r="B363" t="s">
        <v>37</v>
      </c>
      <c r="C363" t="s">
        <v>38</v>
      </c>
      <c r="D363" s="9" t="s">
        <v>39</v>
      </c>
      <c r="E363" s="10" t="s">
        <v>37</v>
      </c>
      <c r="F363" s="11"/>
      <c r="G363" t="s">
        <v>1151</v>
      </c>
      <c r="I363" t="s">
        <v>41</v>
      </c>
      <c r="J363" t="s">
        <v>1152</v>
      </c>
      <c r="K363" t="s">
        <v>43</v>
      </c>
      <c r="L363">
        <v>2</v>
      </c>
      <c r="M363" t="s">
        <v>44</v>
      </c>
      <c r="N363" t="s">
        <v>45</v>
      </c>
      <c r="O363" t="s">
        <v>46</v>
      </c>
      <c r="P363" s="5">
        <v>1</v>
      </c>
      <c r="Q363" s="12">
        <v>44749.687268518515</v>
      </c>
      <c r="R363" s="13">
        <v>44753</v>
      </c>
      <c r="T363" t="s">
        <v>47</v>
      </c>
      <c r="U363" t="s">
        <v>48</v>
      </c>
      <c r="V363" t="s">
        <v>100</v>
      </c>
      <c r="Y363" t="s">
        <v>1153</v>
      </c>
      <c r="Z363">
        <v>33000</v>
      </c>
      <c r="AA363" t="s">
        <v>47</v>
      </c>
      <c r="AB363" t="s">
        <v>64</v>
      </c>
      <c r="AC363" t="s">
        <v>53</v>
      </c>
      <c r="AD363" s="16">
        <f t="shared" si="49"/>
        <v>7</v>
      </c>
      <c r="AE363" s="15">
        <v>0</v>
      </c>
      <c r="AF363" s="15">
        <v>0</v>
      </c>
      <c r="AG363" s="15">
        <v>0</v>
      </c>
      <c r="AH363" s="15">
        <v>0</v>
      </c>
      <c r="AI363" s="15">
        <f t="shared" si="47"/>
        <v>0.42</v>
      </c>
      <c r="AJ363" s="15">
        <f t="shared" si="48"/>
        <v>7.42</v>
      </c>
      <c r="AK363" t="s">
        <v>47</v>
      </c>
    </row>
    <row r="364" spans="1:37" ht="15" customHeight="1" x14ac:dyDescent="0.35">
      <c r="A364">
        <v>690929</v>
      </c>
      <c r="B364" t="s">
        <v>37</v>
      </c>
      <c r="C364" t="s">
        <v>38</v>
      </c>
      <c r="D364" s="9" t="s">
        <v>39</v>
      </c>
      <c r="E364" s="10" t="s">
        <v>37</v>
      </c>
      <c r="F364" s="11"/>
      <c r="G364" t="s">
        <v>1154</v>
      </c>
      <c r="I364" t="s">
        <v>41</v>
      </c>
      <c r="J364" t="s">
        <v>1155</v>
      </c>
      <c r="K364" t="s">
        <v>43</v>
      </c>
      <c r="L364">
        <v>2</v>
      </c>
      <c r="M364" t="s">
        <v>44</v>
      </c>
      <c r="N364" t="s">
        <v>45</v>
      </c>
      <c r="O364" t="s">
        <v>46</v>
      </c>
      <c r="P364" s="5">
        <v>1</v>
      </c>
      <c r="Q364" s="12">
        <v>44750.417326388888</v>
      </c>
      <c r="R364" s="13">
        <v>44753</v>
      </c>
      <c r="T364" t="s">
        <v>47</v>
      </c>
      <c r="U364" t="s">
        <v>48</v>
      </c>
      <c r="V364" t="s">
        <v>62</v>
      </c>
      <c r="Y364" t="s">
        <v>1156</v>
      </c>
      <c r="Z364">
        <v>81900</v>
      </c>
      <c r="AA364" t="s">
        <v>47</v>
      </c>
      <c r="AB364" t="s">
        <v>64</v>
      </c>
      <c r="AC364" t="s">
        <v>53</v>
      </c>
      <c r="AD364" s="16">
        <f t="shared" si="49"/>
        <v>7</v>
      </c>
      <c r="AE364" s="15">
        <v>0</v>
      </c>
      <c r="AF364" s="15">
        <v>0</v>
      </c>
      <c r="AG364" s="15">
        <v>0</v>
      </c>
      <c r="AH364" s="15">
        <v>0</v>
      </c>
      <c r="AI364" s="15">
        <f t="shared" si="47"/>
        <v>0.42</v>
      </c>
      <c r="AJ364" s="15">
        <f t="shared" si="48"/>
        <v>7.42</v>
      </c>
      <c r="AK364" t="s">
        <v>47</v>
      </c>
    </row>
    <row r="365" spans="1:37" ht="15" customHeight="1" x14ac:dyDescent="0.35">
      <c r="A365">
        <v>690929</v>
      </c>
      <c r="B365" t="s">
        <v>37</v>
      </c>
      <c r="C365" t="s">
        <v>38</v>
      </c>
      <c r="D365" s="9" t="s">
        <v>39</v>
      </c>
      <c r="E365" s="10" t="s">
        <v>37</v>
      </c>
      <c r="F365" s="11"/>
      <c r="G365" t="s">
        <v>1157</v>
      </c>
      <c r="I365" t="s">
        <v>41</v>
      </c>
      <c r="J365" t="s">
        <v>1158</v>
      </c>
      <c r="K365" t="s">
        <v>43</v>
      </c>
      <c r="L365">
        <v>2</v>
      </c>
      <c r="M365" t="s">
        <v>44</v>
      </c>
      <c r="N365" t="s">
        <v>45</v>
      </c>
      <c r="O365" t="s">
        <v>46</v>
      </c>
      <c r="P365" s="5">
        <v>1</v>
      </c>
      <c r="Q365" s="12">
        <v>44751.421319444446</v>
      </c>
      <c r="R365" s="13">
        <v>44753</v>
      </c>
      <c r="T365" t="s">
        <v>47</v>
      </c>
      <c r="U365" t="s">
        <v>48</v>
      </c>
      <c r="V365" t="s">
        <v>128</v>
      </c>
      <c r="Y365" t="s">
        <v>1159</v>
      </c>
      <c r="Z365">
        <v>57100</v>
      </c>
      <c r="AA365" t="s">
        <v>47</v>
      </c>
      <c r="AB365" t="s">
        <v>64</v>
      </c>
      <c r="AC365" t="s">
        <v>53</v>
      </c>
      <c r="AD365" s="16">
        <f t="shared" si="49"/>
        <v>7</v>
      </c>
      <c r="AE365" s="15">
        <v>0</v>
      </c>
      <c r="AF365" s="15">
        <v>0</v>
      </c>
      <c r="AG365" s="15">
        <v>0</v>
      </c>
      <c r="AH365" s="15">
        <v>0</v>
      </c>
      <c r="AI365" s="15">
        <f t="shared" si="47"/>
        <v>0.42</v>
      </c>
      <c r="AJ365" s="15">
        <f t="shared" si="48"/>
        <v>7.42</v>
      </c>
      <c r="AK365" t="s">
        <v>47</v>
      </c>
    </row>
    <row r="366" spans="1:37" ht="15" customHeight="1" x14ac:dyDescent="0.35">
      <c r="A366">
        <v>690929</v>
      </c>
      <c r="B366" t="s">
        <v>37</v>
      </c>
      <c r="C366" t="s">
        <v>38</v>
      </c>
      <c r="D366" s="9" t="s">
        <v>39</v>
      </c>
      <c r="E366" s="10" t="s">
        <v>37</v>
      </c>
      <c r="F366" s="11"/>
      <c r="G366" t="s">
        <v>1160</v>
      </c>
      <c r="I366" t="s">
        <v>41</v>
      </c>
      <c r="J366" t="s">
        <v>1161</v>
      </c>
      <c r="K366" t="s">
        <v>43</v>
      </c>
      <c r="L366">
        <v>2</v>
      </c>
      <c r="M366" t="s">
        <v>44</v>
      </c>
      <c r="N366" t="s">
        <v>45</v>
      </c>
      <c r="O366" t="s">
        <v>46</v>
      </c>
      <c r="P366" s="5">
        <v>1</v>
      </c>
      <c r="Q366" s="12">
        <v>44751.616620370369</v>
      </c>
      <c r="R366" s="13">
        <v>44753</v>
      </c>
      <c r="T366" t="s">
        <v>47</v>
      </c>
      <c r="U366" t="s">
        <v>48</v>
      </c>
      <c r="V366" t="s">
        <v>76</v>
      </c>
      <c r="Y366" t="s">
        <v>1162</v>
      </c>
      <c r="Z366">
        <v>21600</v>
      </c>
      <c r="AA366" t="s">
        <v>47</v>
      </c>
      <c r="AB366" t="s">
        <v>48</v>
      </c>
      <c r="AC366" t="s">
        <v>53</v>
      </c>
      <c r="AD366" s="16">
        <f t="shared" si="49"/>
        <v>7</v>
      </c>
      <c r="AE366" s="15">
        <v>0</v>
      </c>
      <c r="AF366" s="15">
        <v>0</v>
      </c>
      <c r="AG366" s="15">
        <v>0</v>
      </c>
      <c r="AH366" s="15">
        <v>0</v>
      </c>
      <c r="AI366" s="15">
        <f t="shared" si="47"/>
        <v>0.42</v>
      </c>
      <c r="AJ366" s="15">
        <f t="shared" si="48"/>
        <v>7.42</v>
      </c>
      <c r="AK366" t="s">
        <v>47</v>
      </c>
    </row>
    <row r="367" spans="1:37" ht="15" customHeight="1" x14ac:dyDescent="0.35">
      <c r="A367">
        <v>690929</v>
      </c>
      <c r="B367" t="s">
        <v>37</v>
      </c>
      <c r="C367" t="s">
        <v>38</v>
      </c>
      <c r="D367" s="9" t="s">
        <v>39</v>
      </c>
      <c r="E367" s="10" t="s">
        <v>37</v>
      </c>
      <c r="F367" s="11"/>
      <c r="G367" t="s">
        <v>1163</v>
      </c>
      <c r="I367" t="s">
        <v>41</v>
      </c>
      <c r="J367" t="s">
        <v>1164</v>
      </c>
      <c r="K367" t="s">
        <v>43</v>
      </c>
      <c r="L367">
        <v>2</v>
      </c>
      <c r="M367" t="s">
        <v>44</v>
      </c>
      <c r="N367" t="s">
        <v>45</v>
      </c>
      <c r="O367" t="s">
        <v>46</v>
      </c>
      <c r="P367" s="5">
        <v>1</v>
      </c>
      <c r="Q367" s="12">
        <v>44751.423784722225</v>
      </c>
      <c r="R367" s="13">
        <v>44753</v>
      </c>
      <c r="T367" t="s">
        <v>47</v>
      </c>
      <c r="U367" t="s">
        <v>48</v>
      </c>
      <c r="V367" t="s">
        <v>100</v>
      </c>
      <c r="Y367" t="s">
        <v>1165</v>
      </c>
      <c r="Z367">
        <v>32600</v>
      </c>
      <c r="AA367" t="s">
        <v>47</v>
      </c>
      <c r="AB367" t="s">
        <v>64</v>
      </c>
      <c r="AC367" t="s">
        <v>53</v>
      </c>
      <c r="AD367" s="16">
        <f t="shared" si="49"/>
        <v>7</v>
      </c>
      <c r="AE367" s="15">
        <v>0</v>
      </c>
      <c r="AF367" s="15">
        <v>0</v>
      </c>
      <c r="AG367" s="15">
        <v>0</v>
      </c>
      <c r="AH367" s="15">
        <v>0</v>
      </c>
      <c r="AI367" s="15">
        <f t="shared" si="47"/>
        <v>0.42</v>
      </c>
      <c r="AJ367" s="15">
        <f t="shared" si="48"/>
        <v>7.42</v>
      </c>
      <c r="AK367" t="s">
        <v>47</v>
      </c>
    </row>
    <row r="368" spans="1:37" ht="15" customHeight="1" x14ac:dyDescent="0.35">
      <c r="A368">
        <v>690929</v>
      </c>
      <c r="B368" t="s">
        <v>37</v>
      </c>
      <c r="C368" t="s">
        <v>38</v>
      </c>
      <c r="D368" s="9" t="s">
        <v>39</v>
      </c>
      <c r="E368" s="10" t="s">
        <v>37</v>
      </c>
      <c r="F368" s="11"/>
      <c r="G368" t="s">
        <v>1166</v>
      </c>
      <c r="I368" t="s">
        <v>41</v>
      </c>
      <c r="J368" t="s">
        <v>1167</v>
      </c>
      <c r="K368" t="s">
        <v>43</v>
      </c>
      <c r="L368">
        <v>2</v>
      </c>
      <c r="M368" t="s">
        <v>44</v>
      </c>
      <c r="N368" t="s">
        <v>45</v>
      </c>
      <c r="O368" t="s">
        <v>46</v>
      </c>
      <c r="P368" s="5">
        <v>1</v>
      </c>
      <c r="Q368" s="12">
        <v>44750.739525462966</v>
      </c>
      <c r="R368" s="13">
        <v>44753</v>
      </c>
      <c r="T368" t="s">
        <v>47</v>
      </c>
      <c r="U368" t="s">
        <v>48</v>
      </c>
      <c r="V368" t="s">
        <v>128</v>
      </c>
      <c r="Y368" t="s">
        <v>1168</v>
      </c>
      <c r="Z368">
        <v>58100</v>
      </c>
      <c r="AA368" t="s">
        <v>47</v>
      </c>
      <c r="AB368" t="s">
        <v>1169</v>
      </c>
      <c r="AC368" t="s">
        <v>53</v>
      </c>
      <c r="AD368" s="16">
        <f t="shared" si="49"/>
        <v>7</v>
      </c>
      <c r="AE368" s="15">
        <v>0</v>
      </c>
      <c r="AF368" s="15">
        <v>0</v>
      </c>
      <c r="AG368" s="15">
        <v>0</v>
      </c>
      <c r="AH368" s="15">
        <v>0</v>
      </c>
      <c r="AI368" s="15">
        <f t="shared" si="47"/>
        <v>0.42</v>
      </c>
      <c r="AJ368" s="15">
        <f t="shared" si="48"/>
        <v>7.42</v>
      </c>
      <c r="AK368" t="s">
        <v>47</v>
      </c>
    </row>
    <row r="369" spans="1:37" ht="15" customHeight="1" x14ac:dyDescent="0.35">
      <c r="A369">
        <v>690929</v>
      </c>
      <c r="B369" t="s">
        <v>37</v>
      </c>
      <c r="C369" t="s">
        <v>38</v>
      </c>
      <c r="D369" s="9" t="s">
        <v>39</v>
      </c>
      <c r="E369" s="10" t="s">
        <v>37</v>
      </c>
      <c r="F369" s="11"/>
      <c r="G369" t="s">
        <v>1170</v>
      </c>
      <c r="I369" t="s">
        <v>41</v>
      </c>
      <c r="J369" t="s">
        <v>1171</v>
      </c>
      <c r="K369" t="s">
        <v>43</v>
      </c>
      <c r="L369">
        <v>2</v>
      </c>
      <c r="M369" t="s">
        <v>44</v>
      </c>
      <c r="N369" t="s">
        <v>45</v>
      </c>
      <c r="O369" t="s">
        <v>46</v>
      </c>
      <c r="P369" s="5">
        <v>1</v>
      </c>
      <c r="Q369" s="12">
        <v>44748.695393518516</v>
      </c>
      <c r="R369" s="13">
        <v>44753</v>
      </c>
      <c r="T369" t="s">
        <v>47</v>
      </c>
      <c r="U369" t="s">
        <v>48</v>
      </c>
      <c r="V369" t="s">
        <v>62</v>
      </c>
      <c r="Y369" t="s">
        <v>1172</v>
      </c>
      <c r="Z369">
        <v>81700</v>
      </c>
      <c r="AA369" t="s">
        <v>47</v>
      </c>
      <c r="AB369" t="s">
        <v>64</v>
      </c>
      <c r="AC369" t="s">
        <v>53</v>
      </c>
      <c r="AD369" s="16">
        <f t="shared" si="49"/>
        <v>7</v>
      </c>
      <c r="AE369" s="15">
        <v>0</v>
      </c>
      <c r="AF369" s="15">
        <v>0</v>
      </c>
      <c r="AG369" s="15">
        <v>0</v>
      </c>
      <c r="AH369" s="15">
        <v>0</v>
      </c>
      <c r="AI369" s="15">
        <f t="shared" si="47"/>
        <v>0.42</v>
      </c>
      <c r="AJ369" s="15">
        <f t="shared" si="48"/>
        <v>7.42</v>
      </c>
      <c r="AK369" t="s">
        <v>47</v>
      </c>
    </row>
    <row r="370" spans="1:37" ht="15" customHeight="1" x14ac:dyDescent="0.35">
      <c r="A370">
        <v>690929</v>
      </c>
      <c r="B370" t="s">
        <v>37</v>
      </c>
      <c r="C370" t="s">
        <v>38</v>
      </c>
      <c r="D370" s="9" t="s">
        <v>39</v>
      </c>
      <c r="E370" s="10" t="s">
        <v>37</v>
      </c>
      <c r="F370" s="11"/>
      <c r="G370" t="s">
        <v>1173</v>
      </c>
      <c r="I370" t="s">
        <v>41</v>
      </c>
      <c r="J370" t="s">
        <v>1174</v>
      </c>
      <c r="K370" t="s">
        <v>43</v>
      </c>
      <c r="L370">
        <v>2</v>
      </c>
      <c r="M370" t="s">
        <v>44</v>
      </c>
      <c r="N370" t="s">
        <v>45</v>
      </c>
      <c r="O370" t="s">
        <v>46</v>
      </c>
      <c r="P370" s="5">
        <v>1</v>
      </c>
      <c r="Q370" s="12">
        <v>44749.565474537034</v>
      </c>
      <c r="R370" s="13">
        <v>44753</v>
      </c>
      <c r="T370" t="s">
        <v>47</v>
      </c>
      <c r="U370" t="s">
        <v>48</v>
      </c>
      <c r="V370" t="s">
        <v>62</v>
      </c>
      <c r="Y370" t="s">
        <v>1175</v>
      </c>
      <c r="Z370">
        <v>83500</v>
      </c>
      <c r="AA370" t="s">
        <v>47</v>
      </c>
      <c r="AB370" t="s">
        <v>64</v>
      </c>
      <c r="AC370" t="s">
        <v>53</v>
      </c>
      <c r="AD370" s="16">
        <f t="shared" si="49"/>
        <v>7</v>
      </c>
      <c r="AE370" s="15">
        <v>0</v>
      </c>
      <c r="AF370" s="15">
        <v>0</v>
      </c>
      <c r="AG370" s="15">
        <v>0</v>
      </c>
      <c r="AH370" s="15">
        <v>0</v>
      </c>
      <c r="AI370" s="15">
        <f t="shared" si="47"/>
        <v>0.42</v>
      </c>
      <c r="AJ370" s="15">
        <f t="shared" si="48"/>
        <v>7.42</v>
      </c>
      <c r="AK370" t="s">
        <v>47</v>
      </c>
    </row>
    <row r="371" spans="1:37" ht="15" customHeight="1" x14ac:dyDescent="0.35">
      <c r="A371">
        <v>690929</v>
      </c>
      <c r="B371" t="s">
        <v>37</v>
      </c>
      <c r="C371" t="s">
        <v>38</v>
      </c>
      <c r="D371" s="9" t="s">
        <v>39</v>
      </c>
      <c r="E371" s="10" t="s">
        <v>37</v>
      </c>
      <c r="F371" s="11"/>
      <c r="G371" t="s">
        <v>1176</v>
      </c>
      <c r="I371" t="s">
        <v>41</v>
      </c>
      <c r="J371" t="s">
        <v>1177</v>
      </c>
      <c r="K371" t="s">
        <v>43</v>
      </c>
      <c r="L371">
        <v>2</v>
      </c>
      <c r="M371" t="s">
        <v>44</v>
      </c>
      <c r="N371" t="s">
        <v>45</v>
      </c>
      <c r="O371" t="s">
        <v>46</v>
      </c>
      <c r="P371" s="5">
        <v>1</v>
      </c>
      <c r="Q371" s="12">
        <v>44747.729745370372</v>
      </c>
      <c r="R371" s="13">
        <v>44753</v>
      </c>
      <c r="T371" t="s">
        <v>47</v>
      </c>
      <c r="U371" t="s">
        <v>48</v>
      </c>
      <c r="V371" t="s">
        <v>62</v>
      </c>
      <c r="Y371" t="s">
        <v>1178</v>
      </c>
      <c r="Z371">
        <v>81700</v>
      </c>
      <c r="AA371" t="s">
        <v>47</v>
      </c>
      <c r="AB371" t="s">
        <v>64</v>
      </c>
      <c r="AC371" t="s">
        <v>53</v>
      </c>
      <c r="AD371" s="16">
        <f t="shared" si="49"/>
        <v>7</v>
      </c>
      <c r="AE371" s="15">
        <v>0</v>
      </c>
      <c r="AF371" s="15">
        <v>0</v>
      </c>
      <c r="AG371" s="15">
        <v>0</v>
      </c>
      <c r="AH371" s="15">
        <v>0</v>
      </c>
      <c r="AI371" s="15">
        <f t="shared" si="47"/>
        <v>0.42</v>
      </c>
      <c r="AJ371" s="15">
        <f t="shared" si="48"/>
        <v>7.42</v>
      </c>
      <c r="AK371" t="s">
        <v>47</v>
      </c>
    </row>
    <row r="372" spans="1:37" ht="15" customHeight="1" x14ac:dyDescent="0.35">
      <c r="A372">
        <v>690929</v>
      </c>
      <c r="B372" t="s">
        <v>37</v>
      </c>
      <c r="C372" t="s">
        <v>38</v>
      </c>
      <c r="D372" s="9" t="s">
        <v>39</v>
      </c>
      <c r="E372" s="10" t="s">
        <v>37</v>
      </c>
      <c r="F372" s="11"/>
      <c r="G372" t="s">
        <v>1179</v>
      </c>
      <c r="I372" t="s">
        <v>41</v>
      </c>
      <c r="J372" t="s">
        <v>1180</v>
      </c>
      <c r="K372" t="s">
        <v>43</v>
      </c>
      <c r="L372">
        <v>2</v>
      </c>
      <c r="M372" t="s">
        <v>44</v>
      </c>
      <c r="N372" t="s">
        <v>45</v>
      </c>
      <c r="O372" t="s">
        <v>46</v>
      </c>
      <c r="P372" s="5">
        <v>1</v>
      </c>
      <c r="Q372" s="12">
        <v>44750.497499999998</v>
      </c>
      <c r="R372" s="13">
        <v>44753</v>
      </c>
      <c r="T372" t="s">
        <v>47</v>
      </c>
      <c r="U372" t="s">
        <v>48</v>
      </c>
      <c r="V372" t="s">
        <v>114</v>
      </c>
      <c r="Y372" t="s">
        <v>1181</v>
      </c>
      <c r="Z372">
        <v>68100</v>
      </c>
      <c r="AA372" t="s">
        <v>47</v>
      </c>
      <c r="AB372" t="s">
        <v>64</v>
      </c>
      <c r="AC372" t="s">
        <v>53</v>
      </c>
      <c r="AD372" s="16">
        <f t="shared" si="49"/>
        <v>7</v>
      </c>
      <c r="AE372" s="15">
        <v>0</v>
      </c>
      <c r="AF372" s="15">
        <v>0</v>
      </c>
      <c r="AG372" s="15">
        <v>0</v>
      </c>
      <c r="AH372" s="15">
        <v>0</v>
      </c>
      <c r="AI372" s="15">
        <f t="shared" si="47"/>
        <v>0.42</v>
      </c>
      <c r="AJ372" s="15">
        <f t="shared" si="48"/>
        <v>7.42</v>
      </c>
      <c r="AK372" t="s">
        <v>47</v>
      </c>
    </row>
    <row r="373" spans="1:37" ht="15" customHeight="1" x14ac:dyDescent="0.35">
      <c r="A373">
        <v>690929</v>
      </c>
      <c r="B373" t="s">
        <v>37</v>
      </c>
      <c r="C373" t="s">
        <v>38</v>
      </c>
      <c r="D373" s="9" t="s">
        <v>39</v>
      </c>
      <c r="E373" s="10" t="s">
        <v>37</v>
      </c>
      <c r="F373" s="11"/>
      <c r="G373" t="s">
        <v>1182</v>
      </c>
      <c r="I373" t="s">
        <v>41</v>
      </c>
      <c r="J373" t="s">
        <v>1183</v>
      </c>
      <c r="K373" t="s">
        <v>43</v>
      </c>
      <c r="L373">
        <v>2</v>
      </c>
      <c r="M373" t="s">
        <v>44</v>
      </c>
      <c r="N373" t="s">
        <v>45</v>
      </c>
      <c r="O373" t="s">
        <v>46</v>
      </c>
      <c r="P373" s="5">
        <v>1</v>
      </c>
      <c r="Q373" s="12">
        <v>44750.516331018516</v>
      </c>
      <c r="R373" s="13">
        <v>44753</v>
      </c>
      <c r="T373" t="s">
        <v>47</v>
      </c>
      <c r="U373" t="s">
        <v>48</v>
      </c>
      <c r="V373" t="s">
        <v>67</v>
      </c>
      <c r="Y373" t="s">
        <v>1184</v>
      </c>
      <c r="Z373">
        <v>28000</v>
      </c>
      <c r="AA373" t="s">
        <v>47</v>
      </c>
      <c r="AB373" t="s">
        <v>48</v>
      </c>
      <c r="AC373" t="s">
        <v>53</v>
      </c>
      <c r="AD373" s="16">
        <f>IF(P373&lt;=1,7,7+0.8*ROUNDUP(P373-1,0))</f>
        <v>7</v>
      </c>
      <c r="AE373" s="15">
        <v>0</v>
      </c>
      <c r="AF373" s="15">
        <v>0</v>
      </c>
      <c r="AG373" s="15">
        <v>0</v>
      </c>
      <c r="AH373" s="15">
        <v>0</v>
      </c>
      <c r="AI373" s="15">
        <f t="shared" si="47"/>
        <v>0.42</v>
      </c>
      <c r="AJ373" s="15">
        <f t="shared" si="48"/>
        <v>7.42</v>
      </c>
      <c r="AK373" t="s">
        <v>47</v>
      </c>
    </row>
    <row r="374" spans="1:37" ht="15" customHeight="1" x14ac:dyDescent="0.35">
      <c r="A374">
        <v>690929</v>
      </c>
      <c r="B374" t="s">
        <v>37</v>
      </c>
      <c r="C374" t="s">
        <v>38</v>
      </c>
      <c r="D374" s="9" t="s">
        <v>39</v>
      </c>
      <c r="E374" s="10" t="s">
        <v>37</v>
      </c>
      <c r="F374" s="11"/>
      <c r="G374" t="s">
        <v>1185</v>
      </c>
      <c r="I374" t="s">
        <v>41</v>
      </c>
      <c r="J374" t="s">
        <v>1186</v>
      </c>
      <c r="K374" t="s">
        <v>43</v>
      </c>
      <c r="L374">
        <v>2</v>
      </c>
      <c r="M374" t="s">
        <v>44</v>
      </c>
      <c r="N374" t="s">
        <v>45</v>
      </c>
      <c r="O374" t="s">
        <v>46</v>
      </c>
      <c r="P374" s="5">
        <v>1</v>
      </c>
      <c r="Q374" s="12">
        <v>44750.4062962963</v>
      </c>
      <c r="R374" s="13">
        <v>44753</v>
      </c>
      <c r="T374" t="s">
        <v>47</v>
      </c>
      <c r="U374" t="s">
        <v>48</v>
      </c>
      <c r="V374" t="s">
        <v>85</v>
      </c>
      <c r="Y374" t="s">
        <v>1187</v>
      </c>
      <c r="Z374">
        <v>13050</v>
      </c>
      <c r="AA374" t="s">
        <v>47</v>
      </c>
      <c r="AB374" t="s">
        <v>64</v>
      </c>
      <c r="AC374" t="s">
        <v>53</v>
      </c>
      <c r="AD374" s="16">
        <f t="shared" ref="AD374:AD379" si="50">IF(P374&lt;=1,7,7+0.8*ROUNDUP(P374-1,0))</f>
        <v>7</v>
      </c>
      <c r="AE374" s="15">
        <v>0</v>
      </c>
      <c r="AF374" s="15">
        <v>0</v>
      </c>
      <c r="AG374" s="15">
        <v>0</v>
      </c>
      <c r="AH374" s="15">
        <v>0</v>
      </c>
      <c r="AI374" s="15">
        <f t="shared" si="47"/>
        <v>0.42</v>
      </c>
      <c r="AJ374" s="15">
        <f t="shared" si="48"/>
        <v>7.42</v>
      </c>
      <c r="AK374" t="s">
        <v>47</v>
      </c>
    </row>
    <row r="375" spans="1:37" ht="15" customHeight="1" x14ac:dyDescent="0.35">
      <c r="A375">
        <v>690929</v>
      </c>
      <c r="B375" t="s">
        <v>37</v>
      </c>
      <c r="C375" t="s">
        <v>38</v>
      </c>
      <c r="D375" s="9" t="s">
        <v>39</v>
      </c>
      <c r="E375" s="10" t="s">
        <v>37</v>
      </c>
      <c r="F375" s="11"/>
      <c r="G375" t="s">
        <v>1188</v>
      </c>
      <c r="I375" t="s">
        <v>41</v>
      </c>
      <c r="J375" t="s">
        <v>1189</v>
      </c>
      <c r="K375" t="s">
        <v>43</v>
      </c>
      <c r="L375">
        <v>2</v>
      </c>
      <c r="M375" t="s">
        <v>44</v>
      </c>
      <c r="N375" t="s">
        <v>45</v>
      </c>
      <c r="O375" t="s">
        <v>46</v>
      </c>
      <c r="P375" s="5">
        <v>1</v>
      </c>
      <c r="Q375" s="12">
        <v>44750.419432870367</v>
      </c>
      <c r="R375" s="13">
        <v>44753</v>
      </c>
      <c r="T375" t="s">
        <v>47</v>
      </c>
      <c r="U375" t="s">
        <v>48</v>
      </c>
      <c r="V375" t="s">
        <v>114</v>
      </c>
      <c r="Y375" t="s">
        <v>1190</v>
      </c>
      <c r="Z375">
        <v>48010</v>
      </c>
      <c r="AA375" t="s">
        <v>47</v>
      </c>
      <c r="AB375" t="s">
        <v>64</v>
      </c>
      <c r="AC375" t="s">
        <v>53</v>
      </c>
      <c r="AD375" s="16">
        <f t="shared" si="50"/>
        <v>7</v>
      </c>
      <c r="AE375" s="15">
        <v>0</v>
      </c>
      <c r="AF375" s="15">
        <v>0</v>
      </c>
      <c r="AG375" s="15">
        <v>0</v>
      </c>
      <c r="AH375" s="15">
        <v>0</v>
      </c>
      <c r="AI375" s="15">
        <f t="shared" si="47"/>
        <v>0.42</v>
      </c>
      <c r="AJ375" s="15">
        <f t="shared" si="48"/>
        <v>7.42</v>
      </c>
      <c r="AK375" t="s">
        <v>47</v>
      </c>
    </row>
    <row r="376" spans="1:37" ht="15" customHeight="1" x14ac:dyDescent="0.35">
      <c r="A376">
        <v>690929</v>
      </c>
      <c r="B376" t="s">
        <v>37</v>
      </c>
      <c r="C376" t="s">
        <v>38</v>
      </c>
      <c r="D376" s="9" t="s">
        <v>39</v>
      </c>
      <c r="E376" s="10" t="s">
        <v>37</v>
      </c>
      <c r="F376" s="11"/>
      <c r="G376" t="s">
        <v>1191</v>
      </c>
      <c r="I376" t="s">
        <v>41</v>
      </c>
      <c r="J376" t="s">
        <v>1192</v>
      </c>
      <c r="K376" t="s">
        <v>43</v>
      </c>
      <c r="L376">
        <v>2</v>
      </c>
      <c r="M376" t="s">
        <v>44</v>
      </c>
      <c r="N376" t="s">
        <v>45</v>
      </c>
      <c r="O376" t="s">
        <v>46</v>
      </c>
      <c r="P376" s="5">
        <v>1</v>
      </c>
      <c r="Q376" s="12">
        <v>44751.605694444443</v>
      </c>
      <c r="R376" s="13">
        <v>44753</v>
      </c>
      <c r="T376" t="s">
        <v>47</v>
      </c>
      <c r="U376" t="s">
        <v>48</v>
      </c>
      <c r="V376" t="s">
        <v>176</v>
      </c>
      <c r="Y376" t="s">
        <v>1193</v>
      </c>
      <c r="Z376">
        <v>78300</v>
      </c>
      <c r="AA376" t="s">
        <v>47</v>
      </c>
      <c r="AB376" t="s">
        <v>64</v>
      </c>
      <c r="AC376" t="s">
        <v>53</v>
      </c>
      <c r="AD376" s="16">
        <f t="shared" si="50"/>
        <v>7</v>
      </c>
      <c r="AE376" s="15">
        <v>0</v>
      </c>
      <c r="AF376" s="15">
        <v>0</v>
      </c>
      <c r="AG376" s="15">
        <v>0</v>
      </c>
      <c r="AH376" s="15">
        <v>0</v>
      </c>
      <c r="AI376" s="15">
        <f t="shared" si="47"/>
        <v>0.42</v>
      </c>
      <c r="AJ376" s="15">
        <f t="shared" si="48"/>
        <v>7.42</v>
      </c>
      <c r="AK376" t="s">
        <v>47</v>
      </c>
    </row>
    <row r="377" spans="1:37" ht="15" customHeight="1" x14ac:dyDescent="0.35">
      <c r="A377">
        <v>690929</v>
      </c>
      <c r="B377" t="s">
        <v>37</v>
      </c>
      <c r="C377" t="s">
        <v>38</v>
      </c>
      <c r="D377" s="9" t="s">
        <v>39</v>
      </c>
      <c r="E377" s="10" t="s">
        <v>37</v>
      </c>
      <c r="F377" s="11"/>
      <c r="G377" t="s">
        <v>1194</v>
      </c>
      <c r="I377" t="s">
        <v>41</v>
      </c>
      <c r="J377" t="s">
        <v>485</v>
      </c>
      <c r="K377" t="s">
        <v>43</v>
      </c>
      <c r="L377">
        <v>2</v>
      </c>
      <c r="M377" t="s">
        <v>44</v>
      </c>
      <c r="N377" t="s">
        <v>45</v>
      </c>
      <c r="O377" t="s">
        <v>46</v>
      </c>
      <c r="P377" s="5">
        <v>1</v>
      </c>
      <c r="Q377" s="12">
        <v>44750.671435185184</v>
      </c>
      <c r="R377" s="13">
        <v>44753</v>
      </c>
      <c r="T377" t="s">
        <v>47</v>
      </c>
      <c r="U377" t="s">
        <v>48</v>
      </c>
      <c r="V377" t="s">
        <v>67</v>
      </c>
      <c r="Y377" t="s">
        <v>486</v>
      </c>
      <c r="Z377">
        <v>27000</v>
      </c>
      <c r="AA377" t="s">
        <v>47</v>
      </c>
      <c r="AB377" t="s">
        <v>48</v>
      </c>
      <c r="AC377" t="s">
        <v>53</v>
      </c>
      <c r="AD377" s="16">
        <f t="shared" si="50"/>
        <v>7</v>
      </c>
      <c r="AE377" s="15">
        <v>0</v>
      </c>
      <c r="AF377" s="15">
        <v>0</v>
      </c>
      <c r="AG377" s="15">
        <v>0</v>
      </c>
      <c r="AH377" s="15">
        <v>0</v>
      </c>
      <c r="AI377" s="15">
        <f t="shared" si="47"/>
        <v>0.42</v>
      </c>
      <c r="AJ377" s="15">
        <f t="shared" si="48"/>
        <v>7.42</v>
      </c>
      <c r="AK377" t="s">
        <v>47</v>
      </c>
    </row>
    <row r="378" spans="1:37" ht="15" customHeight="1" x14ac:dyDescent="0.35">
      <c r="A378">
        <v>690929</v>
      </c>
      <c r="B378" t="s">
        <v>37</v>
      </c>
      <c r="C378" t="s">
        <v>38</v>
      </c>
      <c r="D378" s="9" t="s">
        <v>39</v>
      </c>
      <c r="E378" s="10" t="s">
        <v>37</v>
      </c>
      <c r="F378" s="11"/>
      <c r="G378" t="s">
        <v>1195</v>
      </c>
      <c r="I378" t="s">
        <v>41</v>
      </c>
      <c r="J378" t="s">
        <v>1196</v>
      </c>
      <c r="K378" t="s">
        <v>43</v>
      </c>
      <c r="L378">
        <v>2</v>
      </c>
      <c r="M378" t="s">
        <v>44</v>
      </c>
      <c r="N378" t="s">
        <v>45</v>
      </c>
      <c r="O378" t="s">
        <v>46</v>
      </c>
      <c r="P378" s="5">
        <v>2</v>
      </c>
      <c r="Q378" s="12">
        <v>44750.741180555553</v>
      </c>
      <c r="R378" s="13">
        <v>44753</v>
      </c>
      <c r="T378" t="s">
        <v>47</v>
      </c>
      <c r="U378" t="s">
        <v>48</v>
      </c>
      <c r="V378" t="s">
        <v>62</v>
      </c>
      <c r="Y378" t="s">
        <v>1197</v>
      </c>
      <c r="Z378">
        <v>81300</v>
      </c>
      <c r="AA378" t="s">
        <v>47</v>
      </c>
      <c r="AB378" t="s">
        <v>64</v>
      </c>
      <c r="AC378" t="s">
        <v>53</v>
      </c>
      <c r="AD378" s="16">
        <f t="shared" si="50"/>
        <v>7.8</v>
      </c>
      <c r="AE378" s="15">
        <v>0</v>
      </c>
      <c r="AF378" s="15">
        <v>0</v>
      </c>
      <c r="AG378" s="15">
        <v>0</v>
      </c>
      <c r="AH378" s="15">
        <v>0</v>
      </c>
      <c r="AI378" s="15">
        <f t="shared" si="47"/>
        <v>0.46799999999999997</v>
      </c>
      <c r="AJ378" s="15">
        <f t="shared" si="48"/>
        <v>8.2680000000000007</v>
      </c>
      <c r="AK378" t="s">
        <v>47</v>
      </c>
    </row>
    <row r="379" spans="1:37" ht="15" customHeight="1" x14ac:dyDescent="0.35">
      <c r="A379">
        <v>690929</v>
      </c>
      <c r="B379" t="s">
        <v>37</v>
      </c>
      <c r="C379" t="s">
        <v>38</v>
      </c>
      <c r="D379" s="9" t="s">
        <v>39</v>
      </c>
      <c r="E379" s="10" t="s">
        <v>37</v>
      </c>
      <c r="F379" s="11"/>
      <c r="G379" t="s">
        <v>1198</v>
      </c>
      <c r="I379" t="s">
        <v>41</v>
      </c>
      <c r="J379" t="s">
        <v>1199</v>
      </c>
      <c r="K379" t="s">
        <v>43</v>
      </c>
      <c r="L379">
        <v>2</v>
      </c>
      <c r="M379" t="s">
        <v>44</v>
      </c>
      <c r="N379" t="s">
        <v>45</v>
      </c>
      <c r="O379" t="s">
        <v>46</v>
      </c>
      <c r="P379" s="5">
        <v>1</v>
      </c>
      <c r="Q379" s="12">
        <v>44750.423032407409</v>
      </c>
      <c r="R379" s="13">
        <v>44753</v>
      </c>
      <c r="T379" t="s">
        <v>47</v>
      </c>
      <c r="U379" t="s">
        <v>48</v>
      </c>
      <c r="V379" t="s">
        <v>71</v>
      </c>
      <c r="Y379" t="s">
        <v>1200</v>
      </c>
      <c r="Z379">
        <v>6300</v>
      </c>
      <c r="AA379" t="s">
        <v>47</v>
      </c>
      <c r="AB379" t="s">
        <v>64</v>
      </c>
      <c r="AC379" t="s">
        <v>53</v>
      </c>
      <c r="AD379" s="16">
        <f t="shared" si="50"/>
        <v>7</v>
      </c>
      <c r="AE379" s="15">
        <v>0</v>
      </c>
      <c r="AF379" s="15">
        <v>0</v>
      </c>
      <c r="AG379" s="15">
        <v>0</v>
      </c>
      <c r="AH379" s="15">
        <v>0</v>
      </c>
      <c r="AI379" s="15">
        <f t="shared" si="47"/>
        <v>0.42</v>
      </c>
      <c r="AJ379" s="15">
        <f t="shared" si="48"/>
        <v>7.42</v>
      </c>
      <c r="AK379" t="s">
        <v>47</v>
      </c>
    </row>
    <row r="380" spans="1:37" ht="15" customHeight="1" x14ac:dyDescent="0.35">
      <c r="A380">
        <v>690929</v>
      </c>
      <c r="B380" t="s">
        <v>37</v>
      </c>
      <c r="C380" t="s">
        <v>38</v>
      </c>
      <c r="D380" s="9" t="s">
        <v>39</v>
      </c>
      <c r="E380" s="10" t="s">
        <v>37</v>
      </c>
      <c r="F380" s="11"/>
      <c r="G380" t="s">
        <v>1201</v>
      </c>
      <c r="I380" t="s">
        <v>41</v>
      </c>
      <c r="J380" t="s">
        <v>1202</v>
      </c>
      <c r="K380" t="s">
        <v>43</v>
      </c>
      <c r="L380">
        <v>2</v>
      </c>
      <c r="M380" t="s">
        <v>44</v>
      </c>
      <c r="N380" t="s">
        <v>45</v>
      </c>
      <c r="O380" t="s">
        <v>46</v>
      </c>
      <c r="P380" s="5">
        <v>3</v>
      </c>
      <c r="Q380" s="12">
        <v>44747.778171296297</v>
      </c>
      <c r="R380" s="13">
        <v>44753</v>
      </c>
      <c r="T380" t="s">
        <v>47</v>
      </c>
      <c r="U380" t="s">
        <v>48</v>
      </c>
      <c r="V380" t="s">
        <v>57</v>
      </c>
      <c r="Y380" t="s">
        <v>1203</v>
      </c>
      <c r="Z380">
        <v>91007</v>
      </c>
      <c r="AA380" t="s">
        <v>51</v>
      </c>
      <c r="AB380" t="s">
        <v>64</v>
      </c>
      <c r="AC380" t="s">
        <v>53</v>
      </c>
      <c r="AD380" s="14">
        <f>IF(P380&lt;=1,13,IF(P380&lt;=2,23,IF(P380&lt;=3,35,IF(P380&lt;=4,43,IF(P380&lt;=5,53,IF(P380&lt;=6,63,IF(P380&lt;=7,71,IF(P380&lt;=8,79,IF(P380&lt;=9,87,IF(P380&lt;=10,95,IF(P380&lt;=11,105,IF(P380&lt;=12,114,IF(P380&lt;=13,119,IF(P380&lt;=14,127,IF(P380&lt;=15,135,IF(P380&lt;=16,143,IF(P380&lt;=17,153,IF(P380&lt;=18,163,IF(P380&lt;=19,171,IF(P380&lt;=20,185,IF(P380&lt;=21,193,IF(P380&lt;=22,201,IF(P380&lt;=23,210,IF(P380&lt;=24,220,IF(P380&lt;=25,230,IF(P380&lt;=26,240,IF(P380&lt;=27,250,IF(P380&lt;=28,260,IF(P380&lt;=29,270,IF(P380&lt;=30,280,280))))))))))))))))))))))))))))))</f>
        <v>35</v>
      </c>
      <c r="AE380" s="15">
        <v>0</v>
      </c>
      <c r="AF380" s="15">
        <v>0</v>
      </c>
      <c r="AG380" s="15">
        <v>0</v>
      </c>
      <c r="AH380" s="15">
        <v>0</v>
      </c>
      <c r="AI380" s="15">
        <f t="shared" si="47"/>
        <v>2.1</v>
      </c>
      <c r="AJ380" s="15">
        <f t="shared" si="48"/>
        <v>37.1</v>
      </c>
      <c r="AK380" t="s">
        <v>51</v>
      </c>
    </row>
    <row r="381" spans="1:37" ht="15" customHeight="1" x14ac:dyDescent="0.35">
      <c r="A381">
        <v>690929</v>
      </c>
      <c r="B381" t="s">
        <v>37</v>
      </c>
      <c r="C381" t="s">
        <v>38</v>
      </c>
      <c r="D381" s="9" t="s">
        <v>39</v>
      </c>
      <c r="E381" s="10" t="s">
        <v>37</v>
      </c>
      <c r="F381" s="11"/>
      <c r="G381" t="s">
        <v>1204</v>
      </c>
      <c r="I381" t="s">
        <v>41</v>
      </c>
      <c r="J381" t="s">
        <v>1205</v>
      </c>
      <c r="K381" t="s">
        <v>43</v>
      </c>
      <c r="L381">
        <v>2</v>
      </c>
      <c r="M381" t="s">
        <v>44</v>
      </c>
      <c r="N381" t="s">
        <v>45</v>
      </c>
      <c r="O381" t="s">
        <v>46</v>
      </c>
      <c r="P381" s="5">
        <v>1</v>
      </c>
      <c r="Q381" s="12">
        <v>44750.736111111109</v>
      </c>
      <c r="R381" s="13">
        <v>44753</v>
      </c>
      <c r="T381" t="s">
        <v>47</v>
      </c>
      <c r="U381" t="s">
        <v>48</v>
      </c>
      <c r="V381" t="s">
        <v>176</v>
      </c>
      <c r="Y381" t="s">
        <v>1206</v>
      </c>
      <c r="Z381">
        <v>75450</v>
      </c>
      <c r="AA381" t="s">
        <v>47</v>
      </c>
      <c r="AB381" t="s">
        <v>64</v>
      </c>
      <c r="AC381" t="s">
        <v>53</v>
      </c>
      <c r="AD381" s="16">
        <f t="shared" ref="AD381:AD384" si="51">IF(P381&lt;=1,7,7+0.8*ROUNDUP(P381-1,0))</f>
        <v>7</v>
      </c>
      <c r="AE381" s="15">
        <v>0</v>
      </c>
      <c r="AF381" s="15">
        <v>0</v>
      </c>
      <c r="AG381" s="15">
        <v>0</v>
      </c>
      <c r="AH381" s="15">
        <v>0</v>
      </c>
      <c r="AI381" s="15">
        <f t="shared" si="47"/>
        <v>0.42</v>
      </c>
      <c r="AJ381" s="15">
        <f t="shared" si="48"/>
        <v>7.42</v>
      </c>
      <c r="AK381" t="s">
        <v>47</v>
      </c>
    </row>
    <row r="382" spans="1:37" ht="15" customHeight="1" x14ac:dyDescent="0.35">
      <c r="A382">
        <v>690929</v>
      </c>
      <c r="B382" t="s">
        <v>37</v>
      </c>
      <c r="C382" t="s">
        <v>38</v>
      </c>
      <c r="D382" s="9" t="s">
        <v>39</v>
      </c>
      <c r="E382" s="10" t="s">
        <v>37</v>
      </c>
      <c r="F382" s="11"/>
      <c r="G382" t="s">
        <v>1207</v>
      </c>
      <c r="I382" t="s">
        <v>41</v>
      </c>
      <c r="J382" t="s">
        <v>1208</v>
      </c>
      <c r="K382" t="s">
        <v>43</v>
      </c>
      <c r="L382">
        <v>2</v>
      </c>
      <c r="M382" t="s">
        <v>44</v>
      </c>
      <c r="N382" t="s">
        <v>45</v>
      </c>
      <c r="O382" t="s">
        <v>46</v>
      </c>
      <c r="P382" s="5">
        <v>1</v>
      </c>
      <c r="Q382" s="12">
        <v>44751.603854166664</v>
      </c>
      <c r="R382" s="13">
        <v>44753</v>
      </c>
      <c r="T382" t="s">
        <v>47</v>
      </c>
      <c r="U382" t="s">
        <v>48</v>
      </c>
      <c r="V382" t="s">
        <v>100</v>
      </c>
      <c r="Y382" t="s">
        <v>1209</v>
      </c>
      <c r="Z382">
        <v>36800</v>
      </c>
      <c r="AA382" t="s">
        <v>47</v>
      </c>
      <c r="AB382" t="s">
        <v>64</v>
      </c>
      <c r="AC382" t="s">
        <v>53</v>
      </c>
      <c r="AD382" s="16">
        <f t="shared" si="51"/>
        <v>7</v>
      </c>
      <c r="AE382" s="15">
        <v>0</v>
      </c>
      <c r="AF382" s="15">
        <v>0</v>
      </c>
      <c r="AG382" s="15">
        <v>0</v>
      </c>
      <c r="AH382" s="15">
        <v>0</v>
      </c>
      <c r="AI382" s="15">
        <f t="shared" si="47"/>
        <v>0.42</v>
      </c>
      <c r="AJ382" s="15">
        <f t="shared" si="48"/>
        <v>7.42</v>
      </c>
      <c r="AK382" t="s">
        <v>47</v>
      </c>
    </row>
    <row r="383" spans="1:37" ht="15" customHeight="1" x14ac:dyDescent="0.35">
      <c r="A383">
        <v>690929</v>
      </c>
      <c r="B383" t="s">
        <v>37</v>
      </c>
      <c r="C383" t="s">
        <v>38</v>
      </c>
      <c r="D383" s="9" t="s">
        <v>39</v>
      </c>
      <c r="E383" s="10" t="s">
        <v>37</v>
      </c>
      <c r="F383" s="11"/>
      <c r="G383" t="s">
        <v>1210</v>
      </c>
      <c r="I383" t="s">
        <v>41</v>
      </c>
      <c r="J383" t="s">
        <v>1211</v>
      </c>
      <c r="K383" t="s">
        <v>43</v>
      </c>
      <c r="L383">
        <v>2</v>
      </c>
      <c r="M383" t="s">
        <v>44</v>
      </c>
      <c r="N383" t="s">
        <v>45</v>
      </c>
      <c r="O383" t="s">
        <v>46</v>
      </c>
      <c r="P383" s="5">
        <v>1</v>
      </c>
      <c r="Q383" s="12">
        <v>44750.411192129628</v>
      </c>
      <c r="R383" s="13">
        <v>44753</v>
      </c>
      <c r="T383" t="s">
        <v>47</v>
      </c>
      <c r="U383" t="s">
        <v>48</v>
      </c>
      <c r="V383" t="s">
        <v>128</v>
      </c>
      <c r="Y383" t="s">
        <v>1212</v>
      </c>
      <c r="Z383">
        <v>55100</v>
      </c>
      <c r="AA383" t="s">
        <v>47</v>
      </c>
      <c r="AB383" t="s">
        <v>64</v>
      </c>
      <c r="AC383" t="s">
        <v>53</v>
      </c>
      <c r="AD383" s="16">
        <f t="shared" si="51"/>
        <v>7</v>
      </c>
      <c r="AE383" s="15">
        <v>0</v>
      </c>
      <c r="AF383" s="15">
        <v>0</v>
      </c>
      <c r="AG383" s="15">
        <v>0</v>
      </c>
      <c r="AH383" s="15">
        <v>0</v>
      </c>
      <c r="AI383" s="15">
        <f t="shared" si="47"/>
        <v>0.42</v>
      </c>
      <c r="AJ383" s="15">
        <f t="shared" si="48"/>
        <v>7.42</v>
      </c>
      <c r="AK383" t="s">
        <v>47</v>
      </c>
    </row>
    <row r="384" spans="1:37" ht="15" customHeight="1" x14ac:dyDescent="0.35">
      <c r="A384">
        <v>690929</v>
      </c>
      <c r="B384" t="s">
        <v>37</v>
      </c>
      <c r="C384" t="s">
        <v>38</v>
      </c>
      <c r="D384" s="9" t="s">
        <v>39</v>
      </c>
      <c r="E384" s="10" t="s">
        <v>37</v>
      </c>
      <c r="F384" s="11"/>
      <c r="G384" t="s">
        <v>1213</v>
      </c>
      <c r="I384" t="s">
        <v>41</v>
      </c>
      <c r="J384" t="s">
        <v>1214</v>
      </c>
      <c r="K384" t="s">
        <v>43</v>
      </c>
      <c r="L384">
        <v>2</v>
      </c>
      <c r="M384" t="s">
        <v>44</v>
      </c>
      <c r="N384" t="s">
        <v>45</v>
      </c>
      <c r="O384" t="s">
        <v>46</v>
      </c>
      <c r="P384" s="5">
        <v>1</v>
      </c>
      <c r="Q384" s="12">
        <v>44750.414467592593</v>
      </c>
      <c r="R384" s="13">
        <v>44753</v>
      </c>
      <c r="T384" t="s">
        <v>47</v>
      </c>
      <c r="U384" t="s">
        <v>48</v>
      </c>
      <c r="V384" t="s">
        <v>85</v>
      </c>
      <c r="Y384" t="s">
        <v>1215</v>
      </c>
      <c r="Z384">
        <v>13300</v>
      </c>
      <c r="AA384" t="s">
        <v>47</v>
      </c>
      <c r="AB384" t="s">
        <v>64</v>
      </c>
      <c r="AC384" t="s">
        <v>53</v>
      </c>
      <c r="AD384" s="16">
        <f t="shared" si="51"/>
        <v>7</v>
      </c>
      <c r="AE384" s="15">
        <v>0</v>
      </c>
      <c r="AF384" s="15">
        <v>0</v>
      </c>
      <c r="AG384" s="15">
        <v>0</v>
      </c>
      <c r="AH384" s="15">
        <v>0</v>
      </c>
      <c r="AI384" s="15">
        <f t="shared" si="47"/>
        <v>0.42</v>
      </c>
      <c r="AJ384" s="15">
        <f t="shared" si="48"/>
        <v>7.42</v>
      </c>
      <c r="AK384" t="s">
        <v>47</v>
      </c>
    </row>
    <row r="385" spans="1:37" ht="15" customHeight="1" x14ac:dyDescent="0.35">
      <c r="A385">
        <v>690929</v>
      </c>
      <c r="B385" t="s">
        <v>37</v>
      </c>
      <c r="C385" t="s">
        <v>38</v>
      </c>
      <c r="D385" s="9" t="s">
        <v>39</v>
      </c>
      <c r="E385" s="10" t="s">
        <v>37</v>
      </c>
      <c r="F385" s="11"/>
      <c r="G385" t="s">
        <v>1216</v>
      </c>
      <c r="I385" t="s">
        <v>41</v>
      </c>
      <c r="J385" t="s">
        <v>1217</v>
      </c>
      <c r="K385" t="s">
        <v>43</v>
      </c>
      <c r="L385">
        <v>2</v>
      </c>
      <c r="M385" t="s">
        <v>44</v>
      </c>
      <c r="N385" t="s">
        <v>45</v>
      </c>
      <c r="O385" t="s">
        <v>46</v>
      </c>
      <c r="P385" s="5">
        <v>1</v>
      </c>
      <c r="Q385" s="12">
        <v>44751.614166666666</v>
      </c>
      <c r="R385" s="13">
        <v>44754</v>
      </c>
      <c r="T385" t="s">
        <v>47</v>
      </c>
      <c r="U385" t="s">
        <v>48</v>
      </c>
      <c r="V385" t="s">
        <v>71</v>
      </c>
      <c r="Y385" t="s">
        <v>1218</v>
      </c>
      <c r="Z385">
        <v>9110</v>
      </c>
      <c r="AA385" t="s">
        <v>47</v>
      </c>
      <c r="AB385" t="s">
        <v>64</v>
      </c>
      <c r="AC385" t="s">
        <v>53</v>
      </c>
      <c r="AD385" s="16">
        <f>IF(P385&lt;=1,7,7+0.8*ROUNDUP(P385-1,0))</f>
        <v>7</v>
      </c>
      <c r="AE385" s="15">
        <v>0</v>
      </c>
      <c r="AF385" s="15">
        <v>0</v>
      </c>
      <c r="AG385" s="15">
        <v>0</v>
      </c>
      <c r="AH385" s="15">
        <v>0</v>
      </c>
      <c r="AI385" s="15">
        <f t="shared" si="47"/>
        <v>0.42</v>
      </c>
      <c r="AJ385" s="15">
        <f t="shared" si="48"/>
        <v>7.42</v>
      </c>
      <c r="AK385" t="s">
        <v>47</v>
      </c>
    </row>
    <row r="386" spans="1:37" ht="15" customHeight="1" x14ac:dyDescent="0.35">
      <c r="A386">
        <v>690929</v>
      </c>
      <c r="B386" t="s">
        <v>37</v>
      </c>
      <c r="C386" t="s">
        <v>38</v>
      </c>
      <c r="D386" s="9" t="s">
        <v>39</v>
      </c>
      <c r="E386" s="10" t="s">
        <v>37</v>
      </c>
      <c r="F386" s="11"/>
      <c r="G386" t="s">
        <v>1219</v>
      </c>
      <c r="I386" t="s">
        <v>41</v>
      </c>
      <c r="J386" t="s">
        <v>1220</v>
      </c>
      <c r="K386" t="s">
        <v>43</v>
      </c>
      <c r="L386">
        <v>2</v>
      </c>
      <c r="M386" t="s">
        <v>44</v>
      </c>
      <c r="N386" t="s">
        <v>45</v>
      </c>
      <c r="O386" t="s">
        <v>46</v>
      </c>
      <c r="P386" s="5">
        <v>1</v>
      </c>
      <c r="Q386" s="12">
        <v>44750.733599537038</v>
      </c>
      <c r="R386" s="13">
        <v>44754</v>
      </c>
      <c r="T386" t="s">
        <v>47</v>
      </c>
      <c r="U386" t="s">
        <v>48</v>
      </c>
      <c r="V386" t="s">
        <v>114</v>
      </c>
      <c r="Y386" t="s">
        <v>1221</v>
      </c>
      <c r="Z386">
        <v>41000</v>
      </c>
      <c r="AA386" t="s">
        <v>47</v>
      </c>
      <c r="AB386" t="s">
        <v>1222</v>
      </c>
      <c r="AC386" t="s">
        <v>53</v>
      </c>
      <c r="AD386" s="16">
        <f t="shared" ref="AD386" si="52">IF(P386&lt;=1,7,7+0.8*ROUNDUP(P386-1,0))</f>
        <v>7</v>
      </c>
      <c r="AE386" s="15">
        <v>0</v>
      </c>
      <c r="AF386" s="15">
        <v>0</v>
      </c>
      <c r="AG386" s="15">
        <v>0</v>
      </c>
      <c r="AH386" s="15">
        <v>0</v>
      </c>
      <c r="AI386" s="15">
        <f t="shared" ref="AI386:AI449" si="53">(AD386+AF386+AH386)*6%</f>
        <v>0.42</v>
      </c>
      <c r="AJ386" s="15">
        <f t="shared" ref="AJ386:AJ449" si="54">AD386+AF386+AH386+AI386</f>
        <v>7.42</v>
      </c>
      <c r="AK386" t="s">
        <v>47</v>
      </c>
    </row>
    <row r="387" spans="1:37" ht="15" customHeight="1" x14ac:dyDescent="0.35">
      <c r="A387">
        <v>690929</v>
      </c>
      <c r="B387" t="s">
        <v>37</v>
      </c>
      <c r="C387" t="s">
        <v>38</v>
      </c>
      <c r="D387" s="9" t="s">
        <v>39</v>
      </c>
      <c r="E387" s="10" t="s">
        <v>37</v>
      </c>
      <c r="F387" s="11"/>
      <c r="G387" t="s">
        <v>1223</v>
      </c>
      <c r="I387" t="s">
        <v>41</v>
      </c>
      <c r="J387" t="s">
        <v>1224</v>
      </c>
      <c r="K387" t="s">
        <v>43</v>
      </c>
      <c r="L387">
        <v>2</v>
      </c>
      <c r="M387" t="s">
        <v>44</v>
      </c>
      <c r="N387" t="s">
        <v>45</v>
      </c>
      <c r="O387" t="s">
        <v>46</v>
      </c>
      <c r="P387" s="5">
        <v>1</v>
      </c>
      <c r="Q387" s="12">
        <v>44748.606111111112</v>
      </c>
      <c r="R387" s="13">
        <v>44754</v>
      </c>
      <c r="T387" t="s">
        <v>47</v>
      </c>
      <c r="U387" t="s">
        <v>48</v>
      </c>
      <c r="V387" t="s">
        <v>57</v>
      </c>
      <c r="Y387" t="s">
        <v>1225</v>
      </c>
      <c r="Z387">
        <v>89800</v>
      </c>
      <c r="AA387" t="s">
        <v>51</v>
      </c>
      <c r="AB387" t="s">
        <v>64</v>
      </c>
      <c r="AC387" t="s">
        <v>53</v>
      </c>
      <c r="AD387" s="14">
        <f>IF(P387&lt;=1,13,IF(P387&lt;=2,23,IF(P387&lt;=3,35,IF(P387&lt;=4,43,IF(P387&lt;=5,53,IF(P387&lt;=6,63,IF(P387&lt;=7,71,IF(P387&lt;=8,79,IF(P387&lt;=9,87,IF(P387&lt;=10,95,IF(P387&lt;=11,105,IF(P387&lt;=12,114,IF(P387&lt;=13,119,IF(P387&lt;=14,127,IF(P387&lt;=15,135,IF(P387&lt;=16,143,IF(P387&lt;=17,153,IF(P387&lt;=18,163,IF(P387&lt;=19,171,IF(P387&lt;=20,185,IF(P387&lt;=21,193,IF(P387&lt;=22,201,IF(P387&lt;=23,210,IF(P387&lt;=24,220,IF(P387&lt;=25,230,IF(P387&lt;=26,240,IF(P387&lt;=27,250,IF(P387&lt;=28,260,IF(P387&lt;=29,270,IF(P387&lt;=30,280,280))))))))))))))))))))))))))))))</f>
        <v>13</v>
      </c>
      <c r="AE387" s="15">
        <v>0</v>
      </c>
      <c r="AF387" s="15">
        <v>0</v>
      </c>
      <c r="AG387" s="15">
        <v>0</v>
      </c>
      <c r="AH387" s="15">
        <v>0</v>
      </c>
      <c r="AI387" s="15">
        <f t="shared" si="53"/>
        <v>0.78</v>
      </c>
      <c r="AJ387" s="15">
        <f t="shared" si="54"/>
        <v>13.78</v>
      </c>
      <c r="AK387" t="s">
        <v>51</v>
      </c>
    </row>
    <row r="388" spans="1:37" ht="15" customHeight="1" x14ac:dyDescent="0.35">
      <c r="A388">
        <v>690929</v>
      </c>
      <c r="B388" t="s">
        <v>37</v>
      </c>
      <c r="C388" t="s">
        <v>38</v>
      </c>
      <c r="D388" s="9" t="s">
        <v>39</v>
      </c>
      <c r="E388" s="10" t="s">
        <v>37</v>
      </c>
      <c r="F388" s="11"/>
      <c r="G388" t="s">
        <v>1226</v>
      </c>
      <c r="I388" t="s">
        <v>41</v>
      </c>
      <c r="J388" t="s">
        <v>1227</v>
      </c>
      <c r="K388" t="s">
        <v>43</v>
      </c>
      <c r="L388">
        <v>2</v>
      </c>
      <c r="M388" t="s">
        <v>44</v>
      </c>
      <c r="N388" t="s">
        <v>45</v>
      </c>
      <c r="O388" t="s">
        <v>46</v>
      </c>
      <c r="P388" s="5">
        <v>5</v>
      </c>
      <c r="Q388" s="12">
        <v>44750.529583333337</v>
      </c>
      <c r="R388" s="13">
        <v>44754</v>
      </c>
      <c r="T388" t="s">
        <v>47</v>
      </c>
      <c r="U388" t="s">
        <v>48</v>
      </c>
      <c r="V388" t="s">
        <v>128</v>
      </c>
      <c r="Y388" t="s">
        <v>1228</v>
      </c>
      <c r="Z388">
        <v>57100</v>
      </c>
      <c r="AA388" t="s">
        <v>47</v>
      </c>
      <c r="AB388" t="s">
        <v>64</v>
      </c>
      <c r="AC388" t="s">
        <v>53</v>
      </c>
      <c r="AD388" s="16">
        <f t="shared" ref="AD388:AD395" si="55">IF(P388&lt;=1,7,7+0.8*ROUNDUP(P388-1,0))</f>
        <v>10.199999999999999</v>
      </c>
      <c r="AE388" s="15">
        <v>0</v>
      </c>
      <c r="AF388" s="15">
        <v>0</v>
      </c>
      <c r="AG388" s="15">
        <v>0</v>
      </c>
      <c r="AH388" s="15">
        <v>0</v>
      </c>
      <c r="AI388" s="15">
        <f t="shared" si="53"/>
        <v>0.61199999999999999</v>
      </c>
      <c r="AJ388" s="15">
        <f t="shared" si="54"/>
        <v>10.811999999999999</v>
      </c>
      <c r="AK388" t="s">
        <v>47</v>
      </c>
    </row>
    <row r="389" spans="1:37" ht="15" customHeight="1" x14ac:dyDescent="0.35">
      <c r="A389">
        <v>690929</v>
      </c>
      <c r="B389" t="s">
        <v>37</v>
      </c>
      <c r="C389" t="s">
        <v>38</v>
      </c>
      <c r="D389" s="9" t="s">
        <v>39</v>
      </c>
      <c r="E389" s="10" t="s">
        <v>37</v>
      </c>
      <c r="F389" s="11"/>
      <c r="G389" t="s">
        <v>1229</v>
      </c>
      <c r="I389" t="s">
        <v>41</v>
      </c>
      <c r="J389" t="s">
        <v>1230</v>
      </c>
      <c r="K389" t="s">
        <v>43</v>
      </c>
      <c r="L389">
        <v>2</v>
      </c>
      <c r="M389" t="s">
        <v>44</v>
      </c>
      <c r="N389" t="s">
        <v>45</v>
      </c>
      <c r="O389" t="s">
        <v>46</v>
      </c>
      <c r="P389" s="5">
        <v>1</v>
      </c>
      <c r="Q389" s="12">
        <v>44749.693240740744</v>
      </c>
      <c r="R389" s="13">
        <v>44754</v>
      </c>
      <c r="T389" t="s">
        <v>47</v>
      </c>
      <c r="U389" t="s">
        <v>48</v>
      </c>
      <c r="V389" t="s">
        <v>62</v>
      </c>
      <c r="Y389" t="s">
        <v>1231</v>
      </c>
      <c r="Z389">
        <v>81800</v>
      </c>
      <c r="AA389" t="s">
        <v>47</v>
      </c>
      <c r="AB389" t="s">
        <v>807</v>
      </c>
      <c r="AC389" t="s">
        <v>53</v>
      </c>
      <c r="AD389" s="16">
        <f t="shared" si="55"/>
        <v>7</v>
      </c>
      <c r="AE389" s="15">
        <v>0</v>
      </c>
      <c r="AF389" s="15">
        <v>0</v>
      </c>
      <c r="AG389" s="15">
        <v>0</v>
      </c>
      <c r="AH389" s="15">
        <v>0</v>
      </c>
      <c r="AI389" s="15">
        <f t="shared" si="53"/>
        <v>0.42</v>
      </c>
      <c r="AJ389" s="15">
        <f t="shared" si="54"/>
        <v>7.42</v>
      </c>
      <c r="AK389" t="s">
        <v>47</v>
      </c>
    </row>
    <row r="390" spans="1:37" ht="15" customHeight="1" x14ac:dyDescent="0.35">
      <c r="A390">
        <v>690929</v>
      </c>
      <c r="B390" t="s">
        <v>37</v>
      </c>
      <c r="C390" t="s">
        <v>38</v>
      </c>
      <c r="D390" s="9" t="s">
        <v>39</v>
      </c>
      <c r="E390" s="10" t="s">
        <v>37</v>
      </c>
      <c r="F390" s="11"/>
      <c r="G390" t="s">
        <v>1232</v>
      </c>
      <c r="I390" t="s">
        <v>41</v>
      </c>
      <c r="J390" t="s">
        <v>1233</v>
      </c>
      <c r="K390" t="s">
        <v>43</v>
      </c>
      <c r="L390">
        <v>2</v>
      </c>
      <c r="M390" t="s">
        <v>44</v>
      </c>
      <c r="N390" t="s">
        <v>45</v>
      </c>
      <c r="O390" t="s">
        <v>46</v>
      </c>
      <c r="P390" s="5">
        <v>1</v>
      </c>
      <c r="Q390" s="12">
        <v>44751.615416666667</v>
      </c>
      <c r="R390" s="13">
        <v>44754</v>
      </c>
      <c r="T390" t="s">
        <v>47</v>
      </c>
      <c r="U390" t="s">
        <v>48</v>
      </c>
      <c r="V390" t="s">
        <v>85</v>
      </c>
      <c r="Y390" t="s">
        <v>1234</v>
      </c>
      <c r="Z390">
        <v>14000</v>
      </c>
      <c r="AA390" t="s">
        <v>47</v>
      </c>
      <c r="AB390" t="s">
        <v>64</v>
      </c>
      <c r="AC390" t="s">
        <v>53</v>
      </c>
      <c r="AD390" s="16">
        <f t="shared" si="55"/>
        <v>7</v>
      </c>
      <c r="AE390" s="15">
        <v>0</v>
      </c>
      <c r="AF390" s="15">
        <v>0</v>
      </c>
      <c r="AG390" s="15">
        <v>0</v>
      </c>
      <c r="AH390" s="15">
        <v>0</v>
      </c>
      <c r="AI390" s="15">
        <f t="shared" si="53"/>
        <v>0.42</v>
      </c>
      <c r="AJ390" s="15">
        <f t="shared" si="54"/>
        <v>7.42</v>
      </c>
      <c r="AK390" t="s">
        <v>47</v>
      </c>
    </row>
    <row r="391" spans="1:37" ht="15" customHeight="1" x14ac:dyDescent="0.35">
      <c r="A391">
        <v>690929</v>
      </c>
      <c r="B391" t="s">
        <v>37</v>
      </c>
      <c r="C391" t="s">
        <v>38</v>
      </c>
      <c r="D391" s="9" t="s">
        <v>39</v>
      </c>
      <c r="E391" s="10" t="s">
        <v>37</v>
      </c>
      <c r="F391" s="11"/>
      <c r="G391" t="s">
        <v>1235</v>
      </c>
      <c r="I391" t="s">
        <v>41</v>
      </c>
      <c r="J391" t="s">
        <v>1236</v>
      </c>
      <c r="K391" t="s">
        <v>43</v>
      </c>
      <c r="L391">
        <v>2</v>
      </c>
      <c r="M391" t="s">
        <v>44</v>
      </c>
      <c r="N391" t="s">
        <v>45</v>
      </c>
      <c r="O391" t="s">
        <v>46</v>
      </c>
      <c r="P391" s="5">
        <v>1</v>
      </c>
      <c r="Q391" s="12">
        <v>44750.421365740738</v>
      </c>
      <c r="R391" s="13">
        <v>44754</v>
      </c>
      <c r="T391" t="s">
        <v>47</v>
      </c>
      <c r="U391" t="s">
        <v>48</v>
      </c>
      <c r="V391" t="s">
        <v>114</v>
      </c>
      <c r="Y391" t="s">
        <v>1237</v>
      </c>
      <c r="Z391">
        <v>43000</v>
      </c>
      <c r="AA391" t="s">
        <v>47</v>
      </c>
      <c r="AB391" t="s">
        <v>64</v>
      </c>
      <c r="AC391" t="s">
        <v>53</v>
      </c>
      <c r="AD391" s="16">
        <f t="shared" si="55"/>
        <v>7</v>
      </c>
      <c r="AE391" s="15">
        <v>0</v>
      </c>
      <c r="AF391" s="15">
        <v>0</v>
      </c>
      <c r="AG391" s="15">
        <v>0</v>
      </c>
      <c r="AH391" s="15">
        <v>0</v>
      </c>
      <c r="AI391" s="15">
        <f t="shared" si="53"/>
        <v>0.42</v>
      </c>
      <c r="AJ391" s="15">
        <f t="shared" si="54"/>
        <v>7.42</v>
      </c>
      <c r="AK391" t="s">
        <v>47</v>
      </c>
    </row>
    <row r="392" spans="1:37" ht="15" customHeight="1" x14ac:dyDescent="0.35">
      <c r="A392">
        <v>690929</v>
      </c>
      <c r="B392" t="s">
        <v>37</v>
      </c>
      <c r="C392" t="s">
        <v>38</v>
      </c>
      <c r="D392" s="9" t="s">
        <v>39</v>
      </c>
      <c r="E392" s="10" t="s">
        <v>37</v>
      </c>
      <c r="F392" s="11"/>
      <c r="G392" t="s">
        <v>1238</v>
      </c>
      <c r="I392" t="s">
        <v>41</v>
      </c>
      <c r="J392" t="s">
        <v>1239</v>
      </c>
      <c r="K392" t="s">
        <v>43</v>
      </c>
      <c r="L392">
        <v>2</v>
      </c>
      <c r="M392" t="s">
        <v>44</v>
      </c>
      <c r="N392" t="s">
        <v>45</v>
      </c>
      <c r="O392" t="s">
        <v>46</v>
      </c>
      <c r="P392" s="5">
        <v>1</v>
      </c>
      <c r="Q392" s="12">
        <v>44750.499918981484</v>
      </c>
      <c r="R392" s="13">
        <v>44754</v>
      </c>
      <c r="T392" t="s">
        <v>47</v>
      </c>
      <c r="U392" t="s">
        <v>48</v>
      </c>
      <c r="V392" t="s">
        <v>96</v>
      </c>
      <c r="Y392" t="s">
        <v>1240</v>
      </c>
      <c r="Z392">
        <v>16800</v>
      </c>
      <c r="AA392" t="s">
        <v>47</v>
      </c>
      <c r="AB392" t="s">
        <v>56</v>
      </c>
      <c r="AC392" t="s">
        <v>53</v>
      </c>
      <c r="AD392" s="16">
        <f t="shared" si="55"/>
        <v>7</v>
      </c>
      <c r="AE392" s="15">
        <v>0</v>
      </c>
      <c r="AF392" s="15">
        <v>0</v>
      </c>
      <c r="AG392" s="15">
        <v>0</v>
      </c>
      <c r="AH392" s="15">
        <v>0</v>
      </c>
      <c r="AI392" s="15">
        <f t="shared" si="53"/>
        <v>0.42</v>
      </c>
      <c r="AJ392" s="15">
        <f t="shared" si="54"/>
        <v>7.42</v>
      </c>
      <c r="AK392" t="s">
        <v>47</v>
      </c>
    </row>
    <row r="393" spans="1:37" ht="15" customHeight="1" x14ac:dyDescent="0.35">
      <c r="A393">
        <v>690929</v>
      </c>
      <c r="B393" t="s">
        <v>37</v>
      </c>
      <c r="C393" t="s">
        <v>38</v>
      </c>
      <c r="D393" s="9" t="s">
        <v>39</v>
      </c>
      <c r="E393" s="10" t="s">
        <v>37</v>
      </c>
      <c r="F393" s="11"/>
      <c r="G393" t="s">
        <v>1241</v>
      </c>
      <c r="I393" t="s">
        <v>41</v>
      </c>
      <c r="J393" t="s">
        <v>1242</v>
      </c>
      <c r="K393" t="s">
        <v>43</v>
      </c>
      <c r="L393">
        <v>2</v>
      </c>
      <c r="M393" t="s">
        <v>44</v>
      </c>
      <c r="N393" t="s">
        <v>45</v>
      </c>
      <c r="O393" t="s">
        <v>46</v>
      </c>
      <c r="P393" s="5">
        <v>1</v>
      </c>
      <c r="Q393" s="12">
        <v>44749.725451388891</v>
      </c>
      <c r="R393" s="13">
        <v>44754</v>
      </c>
      <c r="T393" t="s">
        <v>47</v>
      </c>
      <c r="U393" t="s">
        <v>48</v>
      </c>
      <c r="V393" t="s">
        <v>114</v>
      </c>
      <c r="Y393" t="s">
        <v>1243</v>
      </c>
      <c r="Z393">
        <v>43000</v>
      </c>
      <c r="AA393" t="s">
        <v>47</v>
      </c>
      <c r="AB393" t="s">
        <v>64</v>
      </c>
      <c r="AC393" t="s">
        <v>53</v>
      </c>
      <c r="AD393" s="16">
        <f t="shared" si="55"/>
        <v>7</v>
      </c>
      <c r="AE393" s="15">
        <v>0</v>
      </c>
      <c r="AF393" s="15">
        <v>0</v>
      </c>
      <c r="AG393" s="15">
        <v>0</v>
      </c>
      <c r="AH393" s="15">
        <v>0</v>
      </c>
      <c r="AI393" s="15">
        <f t="shared" si="53"/>
        <v>0.42</v>
      </c>
      <c r="AJ393" s="15">
        <f t="shared" si="54"/>
        <v>7.42</v>
      </c>
      <c r="AK393" t="s">
        <v>47</v>
      </c>
    </row>
    <row r="394" spans="1:37" ht="15" customHeight="1" x14ac:dyDescent="0.35">
      <c r="A394">
        <v>690929</v>
      </c>
      <c r="B394" t="s">
        <v>37</v>
      </c>
      <c r="C394" t="s">
        <v>38</v>
      </c>
      <c r="D394" s="9" t="s">
        <v>39</v>
      </c>
      <c r="E394" s="10" t="s">
        <v>37</v>
      </c>
      <c r="F394" s="11"/>
      <c r="G394" t="s">
        <v>1244</v>
      </c>
      <c r="I394" t="s">
        <v>41</v>
      </c>
      <c r="J394" t="s">
        <v>1245</v>
      </c>
      <c r="K394" t="s">
        <v>43</v>
      </c>
      <c r="L394">
        <v>2</v>
      </c>
      <c r="M394" t="s">
        <v>44</v>
      </c>
      <c r="N394" t="s">
        <v>45</v>
      </c>
      <c r="O394" t="s">
        <v>46</v>
      </c>
      <c r="P394" s="5">
        <v>1</v>
      </c>
      <c r="Q394" s="12">
        <v>44751.609502314815</v>
      </c>
      <c r="R394" s="13">
        <v>44754</v>
      </c>
      <c r="T394" t="s">
        <v>47</v>
      </c>
      <c r="U394" t="s">
        <v>48</v>
      </c>
      <c r="V394" t="s">
        <v>100</v>
      </c>
      <c r="Y394" t="s">
        <v>1246</v>
      </c>
      <c r="Z394">
        <v>34350</v>
      </c>
      <c r="AA394" t="s">
        <v>47</v>
      </c>
      <c r="AB394" t="s">
        <v>64</v>
      </c>
      <c r="AC394" t="s">
        <v>53</v>
      </c>
      <c r="AD394" s="16">
        <f t="shared" si="55"/>
        <v>7</v>
      </c>
      <c r="AE394" s="15">
        <v>0</v>
      </c>
      <c r="AF394" s="15">
        <v>0</v>
      </c>
      <c r="AG394" s="15">
        <v>0</v>
      </c>
      <c r="AH394" s="15">
        <v>0</v>
      </c>
      <c r="AI394" s="15">
        <f t="shared" si="53"/>
        <v>0.42</v>
      </c>
      <c r="AJ394" s="15">
        <f t="shared" si="54"/>
        <v>7.42</v>
      </c>
      <c r="AK394" t="s">
        <v>47</v>
      </c>
    </row>
    <row r="395" spans="1:37" ht="15" customHeight="1" x14ac:dyDescent="0.35">
      <c r="A395">
        <v>690929</v>
      </c>
      <c r="B395" t="s">
        <v>37</v>
      </c>
      <c r="C395" t="s">
        <v>38</v>
      </c>
      <c r="D395" s="9" t="s">
        <v>39</v>
      </c>
      <c r="E395" s="10" t="s">
        <v>37</v>
      </c>
      <c r="F395" s="11"/>
      <c r="G395" t="s">
        <v>1247</v>
      </c>
      <c r="I395" t="s">
        <v>41</v>
      </c>
      <c r="J395" t="s">
        <v>1248</v>
      </c>
      <c r="K395" t="s">
        <v>43</v>
      </c>
      <c r="L395">
        <v>2</v>
      </c>
      <c r="M395" t="s">
        <v>44</v>
      </c>
      <c r="N395" t="s">
        <v>45</v>
      </c>
      <c r="O395" t="s">
        <v>46</v>
      </c>
      <c r="P395" s="5">
        <v>1</v>
      </c>
      <c r="Q395" s="12">
        <v>44750.49628472222</v>
      </c>
      <c r="R395" s="13">
        <v>44754</v>
      </c>
      <c r="T395" t="s">
        <v>47</v>
      </c>
      <c r="U395" t="s">
        <v>48</v>
      </c>
      <c r="V395" t="s">
        <v>62</v>
      </c>
      <c r="Y395" t="s">
        <v>1249</v>
      </c>
      <c r="Z395">
        <v>81200</v>
      </c>
      <c r="AA395" t="s">
        <v>47</v>
      </c>
      <c r="AB395" t="s">
        <v>64</v>
      </c>
      <c r="AC395" t="s">
        <v>53</v>
      </c>
      <c r="AD395" s="16">
        <f t="shared" si="55"/>
        <v>7</v>
      </c>
      <c r="AE395" s="15">
        <v>0</v>
      </c>
      <c r="AF395" s="15">
        <v>0</v>
      </c>
      <c r="AG395" s="15">
        <v>0</v>
      </c>
      <c r="AH395" s="15">
        <v>0</v>
      </c>
      <c r="AI395" s="15">
        <f t="shared" si="53"/>
        <v>0.42</v>
      </c>
      <c r="AJ395" s="15">
        <f t="shared" si="54"/>
        <v>7.42</v>
      </c>
      <c r="AK395" t="s">
        <v>47</v>
      </c>
    </row>
    <row r="396" spans="1:37" ht="15" customHeight="1" x14ac:dyDescent="0.35">
      <c r="A396">
        <v>690929</v>
      </c>
      <c r="B396" t="s">
        <v>37</v>
      </c>
      <c r="C396" t="s">
        <v>38</v>
      </c>
      <c r="D396" s="9" t="s">
        <v>39</v>
      </c>
      <c r="E396" s="10" t="s">
        <v>37</v>
      </c>
      <c r="F396" s="11"/>
      <c r="G396" t="s">
        <v>1250</v>
      </c>
      <c r="I396" t="s">
        <v>41</v>
      </c>
      <c r="J396" t="s">
        <v>1251</v>
      </c>
      <c r="K396" t="s">
        <v>43</v>
      </c>
      <c r="L396">
        <v>2</v>
      </c>
      <c r="M396" t="s">
        <v>44</v>
      </c>
      <c r="N396" t="s">
        <v>45</v>
      </c>
      <c r="O396" t="s">
        <v>46</v>
      </c>
      <c r="P396" s="5">
        <v>1</v>
      </c>
      <c r="Q396" s="12">
        <v>44743.652141203704</v>
      </c>
      <c r="R396" s="13">
        <v>44754</v>
      </c>
      <c r="T396" t="s">
        <v>47</v>
      </c>
      <c r="U396" t="s">
        <v>48</v>
      </c>
      <c r="V396" t="s">
        <v>57</v>
      </c>
      <c r="Y396" t="s">
        <v>1252</v>
      </c>
      <c r="Z396">
        <v>89058</v>
      </c>
      <c r="AA396" t="s">
        <v>51</v>
      </c>
      <c r="AB396" t="s">
        <v>64</v>
      </c>
      <c r="AC396" t="s">
        <v>53</v>
      </c>
      <c r="AD396" s="14">
        <f>IF(P396&lt;=1,13,IF(P396&lt;=2,23,IF(P396&lt;=3,35,IF(P396&lt;=4,43,IF(P396&lt;=5,53,IF(P396&lt;=6,63,IF(P396&lt;=7,71,IF(P396&lt;=8,79,IF(P396&lt;=9,87,IF(P396&lt;=10,95,IF(P396&lt;=11,105,IF(P396&lt;=12,114,IF(P396&lt;=13,119,IF(P396&lt;=14,127,IF(P396&lt;=15,135,IF(P396&lt;=16,143,IF(P396&lt;=17,153,IF(P396&lt;=18,163,IF(P396&lt;=19,171,IF(P396&lt;=20,185,IF(P396&lt;=21,193,IF(P396&lt;=22,201,IF(P396&lt;=23,210,IF(P396&lt;=24,220,IF(P396&lt;=25,230,IF(P396&lt;=26,240,IF(P396&lt;=27,250,IF(P396&lt;=28,260,IF(P396&lt;=29,270,IF(P396&lt;=30,280,280))))))))))))))))))))))))))))))</f>
        <v>13</v>
      </c>
      <c r="AE396" s="15">
        <v>0</v>
      </c>
      <c r="AF396" s="15">
        <v>0</v>
      </c>
      <c r="AG396" s="15">
        <v>0</v>
      </c>
      <c r="AH396" s="15">
        <v>0</v>
      </c>
      <c r="AI396" s="15">
        <f t="shared" si="53"/>
        <v>0.78</v>
      </c>
      <c r="AJ396" s="15">
        <f t="shared" si="54"/>
        <v>13.78</v>
      </c>
      <c r="AK396" t="s">
        <v>51</v>
      </c>
    </row>
    <row r="397" spans="1:37" ht="15" customHeight="1" x14ac:dyDescent="0.35">
      <c r="A397">
        <v>690929</v>
      </c>
      <c r="B397" t="s">
        <v>37</v>
      </c>
      <c r="C397" t="s">
        <v>38</v>
      </c>
      <c r="D397" s="9" t="s">
        <v>39</v>
      </c>
      <c r="E397" s="10" t="s">
        <v>37</v>
      </c>
      <c r="F397" s="11"/>
      <c r="G397" t="s">
        <v>1253</v>
      </c>
      <c r="I397" t="s">
        <v>41</v>
      </c>
      <c r="J397" t="s">
        <v>1254</v>
      </c>
      <c r="K397" t="s">
        <v>43</v>
      </c>
      <c r="L397">
        <v>2</v>
      </c>
      <c r="M397" t="s">
        <v>44</v>
      </c>
      <c r="N397" t="s">
        <v>45</v>
      </c>
      <c r="O397" t="s">
        <v>46</v>
      </c>
      <c r="P397" s="5">
        <v>1</v>
      </c>
      <c r="Q397" s="12">
        <v>44751.611921296295</v>
      </c>
      <c r="R397" s="13">
        <v>44754</v>
      </c>
      <c r="T397" t="s">
        <v>47</v>
      </c>
      <c r="U397" t="s">
        <v>48</v>
      </c>
      <c r="V397" t="s">
        <v>67</v>
      </c>
      <c r="Y397" t="s">
        <v>1255</v>
      </c>
      <c r="Z397">
        <v>25150</v>
      </c>
      <c r="AA397" t="s">
        <v>47</v>
      </c>
      <c r="AB397" t="s">
        <v>48</v>
      </c>
      <c r="AC397" t="s">
        <v>53</v>
      </c>
      <c r="AD397" s="16">
        <f t="shared" ref="AD397:AD401" si="56">IF(P397&lt;=1,7,7+0.8*ROUNDUP(P397-1,0))</f>
        <v>7</v>
      </c>
      <c r="AE397" s="15">
        <v>0</v>
      </c>
      <c r="AF397" s="15">
        <v>0</v>
      </c>
      <c r="AG397" s="15">
        <v>0</v>
      </c>
      <c r="AH397" s="15">
        <v>0</v>
      </c>
      <c r="AI397" s="15">
        <f t="shared" si="53"/>
        <v>0.42</v>
      </c>
      <c r="AJ397" s="15">
        <f t="shared" si="54"/>
        <v>7.42</v>
      </c>
      <c r="AK397" t="s">
        <v>47</v>
      </c>
    </row>
    <row r="398" spans="1:37" ht="15" customHeight="1" x14ac:dyDescent="0.35">
      <c r="A398">
        <v>690929</v>
      </c>
      <c r="B398" t="s">
        <v>37</v>
      </c>
      <c r="C398" t="s">
        <v>38</v>
      </c>
      <c r="D398" s="9" t="s">
        <v>39</v>
      </c>
      <c r="E398" s="10" t="s">
        <v>37</v>
      </c>
      <c r="F398" s="11"/>
      <c r="G398" t="s">
        <v>1256</v>
      </c>
      <c r="I398" t="s">
        <v>41</v>
      </c>
      <c r="J398" t="s">
        <v>1257</v>
      </c>
      <c r="K398" t="s">
        <v>43</v>
      </c>
      <c r="L398">
        <v>2</v>
      </c>
      <c r="M398" t="s">
        <v>44</v>
      </c>
      <c r="N398" t="s">
        <v>45</v>
      </c>
      <c r="O398" t="s">
        <v>46</v>
      </c>
      <c r="P398" s="5">
        <v>1</v>
      </c>
      <c r="Q398" s="12">
        <v>44748.717743055553</v>
      </c>
      <c r="R398" s="13">
        <v>44754</v>
      </c>
      <c r="T398" t="s">
        <v>47</v>
      </c>
      <c r="U398" t="s">
        <v>48</v>
      </c>
      <c r="V398" t="s">
        <v>114</v>
      </c>
      <c r="Y398" t="s">
        <v>1258</v>
      </c>
      <c r="Z398">
        <v>48050</v>
      </c>
      <c r="AA398" t="s">
        <v>47</v>
      </c>
      <c r="AB398" t="s">
        <v>64</v>
      </c>
      <c r="AC398" t="s">
        <v>53</v>
      </c>
      <c r="AD398" s="16">
        <f t="shared" si="56"/>
        <v>7</v>
      </c>
      <c r="AE398" s="15">
        <v>0</v>
      </c>
      <c r="AF398" s="15">
        <v>0</v>
      </c>
      <c r="AG398" s="15">
        <v>0</v>
      </c>
      <c r="AH398" s="15">
        <v>0</v>
      </c>
      <c r="AI398" s="15">
        <f t="shared" si="53"/>
        <v>0.42</v>
      </c>
      <c r="AJ398" s="15">
        <f t="shared" si="54"/>
        <v>7.42</v>
      </c>
      <c r="AK398" t="s">
        <v>47</v>
      </c>
    </row>
    <row r="399" spans="1:37" ht="15" customHeight="1" x14ac:dyDescent="0.35">
      <c r="A399">
        <v>690929</v>
      </c>
      <c r="B399" t="s">
        <v>37</v>
      </c>
      <c r="C399" t="s">
        <v>38</v>
      </c>
      <c r="D399" s="9" t="s">
        <v>39</v>
      </c>
      <c r="E399" s="10" t="s">
        <v>37</v>
      </c>
      <c r="F399" s="11"/>
      <c r="G399" t="s">
        <v>1259</v>
      </c>
      <c r="I399" t="s">
        <v>41</v>
      </c>
      <c r="J399" t="s">
        <v>1260</v>
      </c>
      <c r="K399" t="s">
        <v>43</v>
      </c>
      <c r="L399">
        <v>2</v>
      </c>
      <c r="M399" t="s">
        <v>44</v>
      </c>
      <c r="N399" t="s">
        <v>45</v>
      </c>
      <c r="O399" t="s">
        <v>46</v>
      </c>
      <c r="P399" s="5">
        <v>1</v>
      </c>
      <c r="Q399" s="12">
        <v>44749.568287037036</v>
      </c>
      <c r="R399" s="13">
        <v>44754</v>
      </c>
      <c r="T399" t="s">
        <v>47</v>
      </c>
      <c r="U399" t="s">
        <v>48</v>
      </c>
      <c r="V399" t="s">
        <v>76</v>
      </c>
      <c r="Y399" t="s">
        <v>1261</v>
      </c>
      <c r="Z399">
        <v>21030</v>
      </c>
      <c r="AA399" t="s">
        <v>47</v>
      </c>
      <c r="AB399" t="s">
        <v>48</v>
      </c>
      <c r="AC399" t="s">
        <v>53</v>
      </c>
      <c r="AD399" s="16">
        <f t="shared" si="56"/>
        <v>7</v>
      </c>
      <c r="AE399" s="15">
        <v>0</v>
      </c>
      <c r="AF399" s="15">
        <v>0</v>
      </c>
      <c r="AG399" s="15">
        <v>0</v>
      </c>
      <c r="AH399" s="15">
        <v>0</v>
      </c>
      <c r="AI399" s="15">
        <f t="shared" si="53"/>
        <v>0.42</v>
      </c>
      <c r="AJ399" s="15">
        <f t="shared" si="54"/>
        <v>7.42</v>
      </c>
      <c r="AK399" t="s">
        <v>47</v>
      </c>
    </row>
    <row r="400" spans="1:37" ht="15" customHeight="1" x14ac:dyDescent="0.35">
      <c r="A400">
        <v>690929</v>
      </c>
      <c r="B400" t="s">
        <v>37</v>
      </c>
      <c r="C400" t="s">
        <v>38</v>
      </c>
      <c r="D400" s="9" t="s">
        <v>39</v>
      </c>
      <c r="E400" s="10" t="s">
        <v>37</v>
      </c>
      <c r="F400" s="11"/>
      <c r="G400" t="s">
        <v>1262</v>
      </c>
      <c r="I400" t="s">
        <v>41</v>
      </c>
      <c r="J400" t="s">
        <v>1263</v>
      </c>
      <c r="K400" t="s">
        <v>43</v>
      </c>
      <c r="L400">
        <v>2</v>
      </c>
      <c r="M400" t="s">
        <v>44</v>
      </c>
      <c r="N400" t="s">
        <v>45</v>
      </c>
      <c r="O400" t="s">
        <v>46</v>
      </c>
      <c r="P400" s="5">
        <v>1</v>
      </c>
      <c r="Q400" s="12">
        <v>44751.607430555552</v>
      </c>
      <c r="R400" s="13">
        <v>44754</v>
      </c>
      <c r="T400" t="s">
        <v>47</v>
      </c>
      <c r="U400" t="s">
        <v>48</v>
      </c>
      <c r="V400" t="s">
        <v>114</v>
      </c>
      <c r="Y400" t="s">
        <v>1264</v>
      </c>
      <c r="Z400">
        <v>48050</v>
      </c>
      <c r="AA400" t="s">
        <v>47</v>
      </c>
      <c r="AB400" t="s">
        <v>64</v>
      </c>
      <c r="AC400" t="s">
        <v>53</v>
      </c>
      <c r="AD400" s="16">
        <f t="shared" si="56"/>
        <v>7</v>
      </c>
      <c r="AE400" s="15">
        <v>0</v>
      </c>
      <c r="AF400" s="15">
        <v>0</v>
      </c>
      <c r="AG400" s="15">
        <v>0</v>
      </c>
      <c r="AH400" s="15">
        <v>0</v>
      </c>
      <c r="AI400" s="15">
        <f t="shared" si="53"/>
        <v>0.42</v>
      </c>
      <c r="AJ400" s="15">
        <f t="shared" si="54"/>
        <v>7.42</v>
      </c>
      <c r="AK400" t="s">
        <v>47</v>
      </c>
    </row>
    <row r="401" spans="1:37" ht="15" customHeight="1" x14ac:dyDescent="0.35">
      <c r="A401">
        <v>690929</v>
      </c>
      <c r="B401" t="s">
        <v>37</v>
      </c>
      <c r="C401" t="s">
        <v>38</v>
      </c>
      <c r="D401" s="9" t="s">
        <v>39</v>
      </c>
      <c r="E401" s="10" t="s">
        <v>37</v>
      </c>
      <c r="F401" s="11"/>
      <c r="G401" t="s">
        <v>1265</v>
      </c>
      <c r="I401" t="s">
        <v>41</v>
      </c>
      <c r="J401" t="s">
        <v>1266</v>
      </c>
      <c r="K401" t="s">
        <v>43</v>
      </c>
      <c r="L401">
        <v>2</v>
      </c>
      <c r="M401" t="s">
        <v>44</v>
      </c>
      <c r="N401" t="s">
        <v>45</v>
      </c>
      <c r="O401" t="s">
        <v>46</v>
      </c>
      <c r="P401" s="5">
        <v>1</v>
      </c>
      <c r="Q401" s="12">
        <v>44750.737881944442</v>
      </c>
      <c r="R401" s="13">
        <v>44754</v>
      </c>
      <c r="T401" t="s">
        <v>47</v>
      </c>
      <c r="U401" t="s">
        <v>48</v>
      </c>
      <c r="V401" t="s">
        <v>114</v>
      </c>
      <c r="Y401" t="s">
        <v>1267</v>
      </c>
      <c r="Z401">
        <v>48000</v>
      </c>
      <c r="AA401" t="s">
        <v>47</v>
      </c>
      <c r="AB401" t="s">
        <v>64</v>
      </c>
      <c r="AC401" t="s">
        <v>53</v>
      </c>
      <c r="AD401" s="16">
        <f t="shared" si="56"/>
        <v>7</v>
      </c>
      <c r="AE401" s="15">
        <v>0</v>
      </c>
      <c r="AF401" s="15">
        <v>0</v>
      </c>
      <c r="AG401" s="15">
        <v>0</v>
      </c>
      <c r="AH401" s="15">
        <v>0</v>
      </c>
      <c r="AI401" s="15">
        <f t="shared" si="53"/>
        <v>0.42</v>
      </c>
      <c r="AJ401" s="15">
        <f t="shared" si="54"/>
        <v>7.42</v>
      </c>
      <c r="AK401" t="s">
        <v>47</v>
      </c>
    </row>
    <row r="402" spans="1:37" ht="15" customHeight="1" x14ac:dyDescent="0.35">
      <c r="A402">
        <v>690929</v>
      </c>
      <c r="B402" t="s">
        <v>37</v>
      </c>
      <c r="C402" t="s">
        <v>38</v>
      </c>
      <c r="D402" s="9" t="s">
        <v>39</v>
      </c>
      <c r="E402" s="10" t="s">
        <v>37</v>
      </c>
      <c r="F402" s="11"/>
      <c r="G402" t="s">
        <v>1268</v>
      </c>
      <c r="I402" t="s">
        <v>41</v>
      </c>
      <c r="J402" t="s">
        <v>1269</v>
      </c>
      <c r="K402" t="s">
        <v>43</v>
      </c>
      <c r="L402">
        <v>2</v>
      </c>
      <c r="M402" t="s">
        <v>44</v>
      </c>
      <c r="N402" t="s">
        <v>45</v>
      </c>
      <c r="O402" t="s">
        <v>46</v>
      </c>
      <c r="P402" s="5">
        <v>1</v>
      </c>
      <c r="Q402" s="12">
        <v>44747.62903935185</v>
      </c>
      <c r="R402" s="13">
        <v>44755</v>
      </c>
      <c r="T402" t="s">
        <v>47</v>
      </c>
      <c r="U402" t="s">
        <v>48</v>
      </c>
      <c r="V402" t="s">
        <v>80</v>
      </c>
      <c r="Y402" t="s">
        <v>1270</v>
      </c>
      <c r="Z402">
        <v>94750</v>
      </c>
      <c r="AA402" t="s">
        <v>51</v>
      </c>
      <c r="AB402" t="s">
        <v>64</v>
      </c>
      <c r="AC402" t="s">
        <v>53</v>
      </c>
      <c r="AD402" s="14">
        <f>IF(P402&lt;=1,13,IF(P402&lt;=2,23,IF(P402&lt;=3,35,IF(P402&lt;=4,43,IF(P402&lt;=5,53,IF(P402&lt;=6,63,IF(P402&lt;=7,71,IF(P402&lt;=8,79,IF(P402&lt;=9,87,IF(P402&lt;=10,95,IF(P402&lt;=11,105,IF(P402&lt;=12,114,IF(P402&lt;=13,119,IF(P402&lt;=14,127,IF(P402&lt;=15,135,IF(P402&lt;=16,143,IF(P402&lt;=17,153,IF(P402&lt;=18,163,IF(P402&lt;=19,171,IF(P402&lt;=20,185,IF(P402&lt;=21,193,IF(P402&lt;=22,201,IF(P402&lt;=23,210,IF(P402&lt;=24,220,IF(P402&lt;=25,230,IF(P402&lt;=26,240,IF(P402&lt;=27,250,IF(P402&lt;=28,260,IF(P402&lt;=29,270,IF(P402&lt;=30,280,280))))))))))))))))))))))))))))))</f>
        <v>13</v>
      </c>
      <c r="AE402" s="15">
        <v>0</v>
      </c>
      <c r="AF402" s="15">
        <v>0</v>
      </c>
      <c r="AG402" s="15">
        <v>0</v>
      </c>
      <c r="AH402" s="15">
        <v>0</v>
      </c>
      <c r="AI402" s="15">
        <f t="shared" si="53"/>
        <v>0.78</v>
      </c>
      <c r="AJ402" s="15">
        <f t="shared" si="54"/>
        <v>13.78</v>
      </c>
      <c r="AK402" t="s">
        <v>51</v>
      </c>
    </row>
    <row r="403" spans="1:37" ht="15" customHeight="1" x14ac:dyDescent="0.35">
      <c r="A403">
        <v>690929</v>
      </c>
      <c r="B403" t="s">
        <v>37</v>
      </c>
      <c r="C403" t="s">
        <v>38</v>
      </c>
      <c r="D403" s="9" t="s">
        <v>39</v>
      </c>
      <c r="E403" s="10" t="s">
        <v>37</v>
      </c>
      <c r="F403" s="11"/>
      <c r="G403" t="s">
        <v>1271</v>
      </c>
      <c r="I403" t="s">
        <v>41</v>
      </c>
      <c r="J403" t="s">
        <v>1272</v>
      </c>
      <c r="K403" t="s">
        <v>43</v>
      </c>
      <c r="L403">
        <v>2</v>
      </c>
      <c r="M403" t="s">
        <v>44</v>
      </c>
      <c r="N403" t="s">
        <v>45</v>
      </c>
      <c r="O403" t="s">
        <v>46</v>
      </c>
      <c r="P403" s="5">
        <v>1</v>
      </c>
      <c r="Q403" s="12">
        <v>44754.631168981483</v>
      </c>
      <c r="R403" s="13">
        <v>44755</v>
      </c>
      <c r="T403" t="s">
        <v>47</v>
      </c>
      <c r="U403" t="s">
        <v>48</v>
      </c>
      <c r="V403" t="s">
        <v>76</v>
      </c>
      <c r="Y403" t="s">
        <v>1273</v>
      </c>
      <c r="Z403">
        <v>20050</v>
      </c>
      <c r="AA403" t="s">
        <v>47</v>
      </c>
      <c r="AB403" t="s">
        <v>48</v>
      </c>
      <c r="AC403" t="s">
        <v>53</v>
      </c>
      <c r="AD403" s="16">
        <f t="shared" ref="AD403:AD414" si="57">IF(P403&lt;=1,7,7+0.8*ROUNDUP(P403-1,0))</f>
        <v>7</v>
      </c>
      <c r="AE403" s="15">
        <v>0</v>
      </c>
      <c r="AF403" s="15">
        <v>0</v>
      </c>
      <c r="AG403" s="15">
        <v>0</v>
      </c>
      <c r="AH403" s="15">
        <v>0</v>
      </c>
      <c r="AI403" s="15">
        <f t="shared" si="53"/>
        <v>0.42</v>
      </c>
      <c r="AJ403" s="15">
        <f t="shared" si="54"/>
        <v>7.42</v>
      </c>
      <c r="AK403" t="s">
        <v>47</v>
      </c>
    </row>
    <row r="404" spans="1:37" ht="15" customHeight="1" x14ac:dyDescent="0.35">
      <c r="A404">
        <v>690929</v>
      </c>
      <c r="B404" t="s">
        <v>37</v>
      </c>
      <c r="C404" t="s">
        <v>38</v>
      </c>
      <c r="D404" s="9" t="s">
        <v>39</v>
      </c>
      <c r="E404" s="10" t="s">
        <v>37</v>
      </c>
      <c r="F404" s="11"/>
      <c r="G404" t="s">
        <v>1274</v>
      </c>
      <c r="I404" t="s">
        <v>41</v>
      </c>
      <c r="J404" t="s">
        <v>1275</v>
      </c>
      <c r="K404" t="s">
        <v>43</v>
      </c>
      <c r="L404">
        <v>2</v>
      </c>
      <c r="M404" t="s">
        <v>44</v>
      </c>
      <c r="N404" t="s">
        <v>45</v>
      </c>
      <c r="O404" t="s">
        <v>46</v>
      </c>
      <c r="P404" s="5">
        <v>1</v>
      </c>
      <c r="Q404" s="12">
        <v>44749.600717592592</v>
      </c>
      <c r="R404" s="13">
        <v>44755</v>
      </c>
      <c r="T404" t="s">
        <v>47</v>
      </c>
      <c r="U404" t="s">
        <v>48</v>
      </c>
      <c r="V404" t="s">
        <v>176</v>
      </c>
      <c r="Y404" t="s">
        <v>1276</v>
      </c>
      <c r="Z404">
        <v>77200</v>
      </c>
      <c r="AA404" t="s">
        <v>47</v>
      </c>
      <c r="AB404" t="s">
        <v>64</v>
      </c>
      <c r="AC404" t="s">
        <v>53</v>
      </c>
      <c r="AD404" s="16">
        <f t="shared" si="57"/>
        <v>7</v>
      </c>
      <c r="AE404" s="15">
        <v>0</v>
      </c>
      <c r="AF404" s="15">
        <v>0</v>
      </c>
      <c r="AG404" s="15">
        <v>0</v>
      </c>
      <c r="AH404" s="15">
        <v>0</v>
      </c>
      <c r="AI404" s="15">
        <f t="shared" si="53"/>
        <v>0.42</v>
      </c>
      <c r="AJ404" s="15">
        <f t="shared" si="54"/>
        <v>7.42</v>
      </c>
      <c r="AK404" t="s">
        <v>47</v>
      </c>
    </row>
    <row r="405" spans="1:37" ht="15" customHeight="1" x14ac:dyDescent="0.35">
      <c r="A405">
        <v>690929</v>
      </c>
      <c r="B405" t="s">
        <v>37</v>
      </c>
      <c r="C405" t="s">
        <v>38</v>
      </c>
      <c r="D405" s="9" t="s">
        <v>39</v>
      </c>
      <c r="E405" s="10" t="s">
        <v>37</v>
      </c>
      <c r="F405" s="11"/>
      <c r="G405" t="s">
        <v>1277</v>
      </c>
      <c r="I405" t="s">
        <v>41</v>
      </c>
      <c r="J405" t="s">
        <v>1278</v>
      </c>
      <c r="K405" t="s">
        <v>43</v>
      </c>
      <c r="L405">
        <v>2</v>
      </c>
      <c r="M405" t="s">
        <v>44</v>
      </c>
      <c r="N405" t="s">
        <v>45</v>
      </c>
      <c r="O405" t="s">
        <v>46</v>
      </c>
      <c r="P405" s="5">
        <v>1</v>
      </c>
      <c r="Q405" s="12">
        <v>44754.52616898148</v>
      </c>
      <c r="R405" s="13">
        <v>44755</v>
      </c>
      <c r="T405" t="s">
        <v>47</v>
      </c>
      <c r="U405" t="s">
        <v>48</v>
      </c>
      <c r="V405" t="s">
        <v>76</v>
      </c>
      <c r="Y405" t="s">
        <v>1279</v>
      </c>
      <c r="Z405">
        <v>21030</v>
      </c>
      <c r="AA405" t="s">
        <v>47</v>
      </c>
      <c r="AB405" t="s">
        <v>48</v>
      </c>
      <c r="AC405" t="s">
        <v>53</v>
      </c>
      <c r="AD405" s="16">
        <f t="shared" si="57"/>
        <v>7</v>
      </c>
      <c r="AE405" s="15">
        <v>0</v>
      </c>
      <c r="AF405" s="15">
        <v>0</v>
      </c>
      <c r="AG405" s="15">
        <v>0</v>
      </c>
      <c r="AH405" s="15">
        <v>0</v>
      </c>
      <c r="AI405" s="15">
        <f t="shared" si="53"/>
        <v>0.42</v>
      </c>
      <c r="AJ405" s="15">
        <f t="shared" si="54"/>
        <v>7.42</v>
      </c>
      <c r="AK405" t="s">
        <v>47</v>
      </c>
    </row>
    <row r="406" spans="1:37" ht="15" customHeight="1" x14ac:dyDescent="0.35">
      <c r="A406">
        <v>690929</v>
      </c>
      <c r="B406" t="s">
        <v>37</v>
      </c>
      <c r="C406" t="s">
        <v>38</v>
      </c>
      <c r="D406" s="9" t="s">
        <v>39</v>
      </c>
      <c r="E406" s="10" t="s">
        <v>37</v>
      </c>
      <c r="F406" s="11"/>
      <c r="G406" t="s">
        <v>1280</v>
      </c>
      <c r="I406" t="s">
        <v>41</v>
      </c>
      <c r="J406" t="s">
        <v>1281</v>
      </c>
      <c r="K406" t="s">
        <v>43</v>
      </c>
      <c r="L406">
        <v>2</v>
      </c>
      <c r="M406" t="s">
        <v>44</v>
      </c>
      <c r="N406" t="s">
        <v>45</v>
      </c>
      <c r="O406" t="s">
        <v>46</v>
      </c>
      <c r="P406" s="5">
        <v>1</v>
      </c>
      <c r="Q406" s="12">
        <v>44751.758402777778</v>
      </c>
      <c r="R406" s="13">
        <v>44755</v>
      </c>
      <c r="T406" t="s">
        <v>47</v>
      </c>
      <c r="U406" t="s">
        <v>48</v>
      </c>
      <c r="V406" t="s">
        <v>76</v>
      </c>
      <c r="Y406" t="s">
        <v>1282</v>
      </c>
      <c r="Z406">
        <v>21100</v>
      </c>
      <c r="AA406" t="s">
        <v>47</v>
      </c>
      <c r="AB406" t="s">
        <v>48</v>
      </c>
      <c r="AC406" t="s">
        <v>53</v>
      </c>
      <c r="AD406" s="16">
        <f t="shared" si="57"/>
        <v>7</v>
      </c>
      <c r="AE406" s="15">
        <v>0</v>
      </c>
      <c r="AF406" s="15">
        <v>0</v>
      </c>
      <c r="AG406" s="15">
        <v>0</v>
      </c>
      <c r="AH406" s="15">
        <v>0</v>
      </c>
      <c r="AI406" s="15">
        <f t="shared" si="53"/>
        <v>0.42</v>
      </c>
      <c r="AJ406" s="15">
        <f t="shared" si="54"/>
        <v>7.42</v>
      </c>
      <c r="AK406" t="s">
        <v>47</v>
      </c>
    </row>
    <row r="407" spans="1:37" ht="15" customHeight="1" x14ac:dyDescent="0.35">
      <c r="A407">
        <v>690929</v>
      </c>
      <c r="B407" t="s">
        <v>37</v>
      </c>
      <c r="C407" t="s">
        <v>38</v>
      </c>
      <c r="D407" s="9" t="s">
        <v>39</v>
      </c>
      <c r="E407" s="10" t="s">
        <v>37</v>
      </c>
      <c r="F407" s="11"/>
      <c r="G407" t="s">
        <v>1283</v>
      </c>
      <c r="I407" t="s">
        <v>41</v>
      </c>
      <c r="J407" t="s">
        <v>1284</v>
      </c>
      <c r="K407" t="s">
        <v>43</v>
      </c>
      <c r="L407">
        <v>2</v>
      </c>
      <c r="M407" t="s">
        <v>44</v>
      </c>
      <c r="N407" t="s">
        <v>45</v>
      </c>
      <c r="O407" t="s">
        <v>46</v>
      </c>
      <c r="P407" s="5">
        <v>1</v>
      </c>
      <c r="Q407" s="12">
        <v>44751.686493055553</v>
      </c>
      <c r="R407" s="13">
        <v>44755</v>
      </c>
      <c r="T407" t="s">
        <v>47</v>
      </c>
      <c r="U407" t="s">
        <v>48</v>
      </c>
      <c r="V407" t="s">
        <v>67</v>
      </c>
      <c r="Y407" t="s">
        <v>1285</v>
      </c>
      <c r="Z407">
        <v>27200</v>
      </c>
      <c r="AA407" t="s">
        <v>47</v>
      </c>
      <c r="AB407" t="s">
        <v>48</v>
      </c>
      <c r="AC407" t="s">
        <v>53</v>
      </c>
      <c r="AD407" s="16">
        <f t="shared" si="57"/>
        <v>7</v>
      </c>
      <c r="AE407" s="15">
        <v>0</v>
      </c>
      <c r="AF407" s="15">
        <v>0</v>
      </c>
      <c r="AG407" s="15">
        <v>0</v>
      </c>
      <c r="AH407" s="15">
        <v>0</v>
      </c>
      <c r="AI407" s="15">
        <f t="shared" si="53"/>
        <v>0.42</v>
      </c>
      <c r="AJ407" s="15">
        <f t="shared" si="54"/>
        <v>7.42</v>
      </c>
      <c r="AK407" t="s">
        <v>47</v>
      </c>
    </row>
    <row r="408" spans="1:37" ht="15" customHeight="1" x14ac:dyDescent="0.35">
      <c r="A408">
        <v>690929</v>
      </c>
      <c r="B408" t="s">
        <v>37</v>
      </c>
      <c r="C408" t="s">
        <v>38</v>
      </c>
      <c r="D408" s="9" t="s">
        <v>39</v>
      </c>
      <c r="E408" s="10" t="s">
        <v>37</v>
      </c>
      <c r="F408" s="11"/>
      <c r="G408" t="s">
        <v>1286</v>
      </c>
      <c r="I408" t="s">
        <v>41</v>
      </c>
      <c r="J408" t="s">
        <v>1287</v>
      </c>
      <c r="K408" t="s">
        <v>43</v>
      </c>
      <c r="L408">
        <v>2</v>
      </c>
      <c r="M408" t="s">
        <v>44</v>
      </c>
      <c r="N408" t="s">
        <v>45</v>
      </c>
      <c r="O408" t="s">
        <v>46</v>
      </c>
      <c r="P408" s="5">
        <v>1</v>
      </c>
      <c r="Q408" s="12">
        <v>44751.765219907407</v>
      </c>
      <c r="R408" s="13">
        <v>44755</v>
      </c>
      <c r="T408" t="s">
        <v>47</v>
      </c>
      <c r="U408" t="s">
        <v>48</v>
      </c>
      <c r="V408" t="s">
        <v>96</v>
      </c>
      <c r="Y408" t="s">
        <v>1288</v>
      </c>
      <c r="Z408">
        <v>16100</v>
      </c>
      <c r="AA408" t="s">
        <v>47</v>
      </c>
      <c r="AB408" t="s">
        <v>56</v>
      </c>
      <c r="AC408" t="s">
        <v>53</v>
      </c>
      <c r="AD408" s="16">
        <f t="shared" si="57"/>
        <v>7</v>
      </c>
      <c r="AE408" s="15">
        <v>0</v>
      </c>
      <c r="AF408" s="15">
        <v>0</v>
      </c>
      <c r="AG408" s="15">
        <v>0</v>
      </c>
      <c r="AH408" s="15">
        <v>0</v>
      </c>
      <c r="AI408" s="15">
        <f t="shared" si="53"/>
        <v>0.42</v>
      </c>
      <c r="AJ408" s="15">
        <f t="shared" si="54"/>
        <v>7.42</v>
      </c>
      <c r="AK408" t="s">
        <v>47</v>
      </c>
    </row>
    <row r="409" spans="1:37" ht="15" customHeight="1" x14ac:dyDescent="0.35">
      <c r="A409">
        <v>690929</v>
      </c>
      <c r="B409" t="s">
        <v>37</v>
      </c>
      <c r="C409" t="s">
        <v>38</v>
      </c>
      <c r="D409" s="9" t="s">
        <v>39</v>
      </c>
      <c r="E409" s="10" t="s">
        <v>37</v>
      </c>
      <c r="F409" s="11"/>
      <c r="G409" t="s">
        <v>1289</v>
      </c>
      <c r="I409" t="s">
        <v>41</v>
      </c>
      <c r="J409" t="s">
        <v>1290</v>
      </c>
      <c r="K409" t="s">
        <v>43</v>
      </c>
      <c r="L409">
        <v>2</v>
      </c>
      <c r="M409" t="s">
        <v>44</v>
      </c>
      <c r="N409" t="s">
        <v>45</v>
      </c>
      <c r="O409" t="s">
        <v>46</v>
      </c>
      <c r="P409" s="5">
        <v>1</v>
      </c>
      <c r="Q409" s="12">
        <v>44749.673587962963</v>
      </c>
      <c r="R409" s="13">
        <v>44755</v>
      </c>
      <c r="T409" t="s">
        <v>47</v>
      </c>
      <c r="U409" t="s">
        <v>48</v>
      </c>
      <c r="V409" t="s">
        <v>85</v>
      </c>
      <c r="Y409" t="s">
        <v>1291</v>
      </c>
      <c r="Z409">
        <v>11700</v>
      </c>
      <c r="AA409" t="s">
        <v>47</v>
      </c>
      <c r="AB409" t="s">
        <v>64</v>
      </c>
      <c r="AC409" t="s">
        <v>53</v>
      </c>
      <c r="AD409" s="16">
        <f t="shared" si="57"/>
        <v>7</v>
      </c>
      <c r="AE409" s="15">
        <v>0</v>
      </c>
      <c r="AF409" s="15">
        <v>0</v>
      </c>
      <c r="AG409" s="15">
        <v>0</v>
      </c>
      <c r="AH409" s="15">
        <v>0</v>
      </c>
      <c r="AI409" s="15">
        <f t="shared" si="53"/>
        <v>0.42</v>
      </c>
      <c r="AJ409" s="15">
        <f t="shared" si="54"/>
        <v>7.42</v>
      </c>
      <c r="AK409" t="s">
        <v>47</v>
      </c>
    </row>
    <row r="410" spans="1:37" ht="15" customHeight="1" x14ac:dyDescent="0.35">
      <c r="A410">
        <v>690929</v>
      </c>
      <c r="B410" t="s">
        <v>37</v>
      </c>
      <c r="C410" t="s">
        <v>38</v>
      </c>
      <c r="D410" s="9" t="s">
        <v>39</v>
      </c>
      <c r="E410" s="10" t="s">
        <v>37</v>
      </c>
      <c r="F410" s="11"/>
      <c r="G410" t="s">
        <v>1292</v>
      </c>
      <c r="I410" t="s">
        <v>41</v>
      </c>
      <c r="J410" t="s">
        <v>1293</v>
      </c>
      <c r="K410" t="s">
        <v>43</v>
      </c>
      <c r="L410">
        <v>2</v>
      </c>
      <c r="M410" t="s">
        <v>44</v>
      </c>
      <c r="N410" t="s">
        <v>45</v>
      </c>
      <c r="O410" t="s">
        <v>46</v>
      </c>
      <c r="P410" s="5">
        <v>1</v>
      </c>
      <c r="Q410" s="12">
        <v>44754.625150462962</v>
      </c>
      <c r="R410" s="13">
        <v>44755</v>
      </c>
      <c r="T410" t="s">
        <v>47</v>
      </c>
      <c r="U410" t="s">
        <v>48</v>
      </c>
      <c r="V410" t="s">
        <v>96</v>
      </c>
      <c r="Y410" t="s">
        <v>1294</v>
      </c>
      <c r="Z410">
        <v>17000</v>
      </c>
      <c r="AA410" t="s">
        <v>47</v>
      </c>
      <c r="AB410" t="s">
        <v>56</v>
      </c>
      <c r="AC410" t="s">
        <v>53</v>
      </c>
      <c r="AD410" s="16">
        <f t="shared" si="57"/>
        <v>7</v>
      </c>
      <c r="AE410" s="15">
        <v>0</v>
      </c>
      <c r="AF410" s="15">
        <v>0</v>
      </c>
      <c r="AG410" s="15">
        <v>0</v>
      </c>
      <c r="AH410" s="15">
        <v>0</v>
      </c>
      <c r="AI410" s="15">
        <f t="shared" si="53"/>
        <v>0.42</v>
      </c>
      <c r="AJ410" s="15">
        <f t="shared" si="54"/>
        <v>7.42</v>
      </c>
      <c r="AK410" t="s">
        <v>47</v>
      </c>
    </row>
    <row r="411" spans="1:37" ht="15" customHeight="1" x14ac:dyDescent="0.35">
      <c r="A411">
        <v>690929</v>
      </c>
      <c r="B411" t="s">
        <v>37</v>
      </c>
      <c r="C411" t="s">
        <v>38</v>
      </c>
      <c r="D411" s="9" t="s">
        <v>39</v>
      </c>
      <c r="E411" s="10" t="s">
        <v>37</v>
      </c>
      <c r="F411" s="11"/>
      <c r="G411" t="s">
        <v>1295</v>
      </c>
      <c r="I411" t="s">
        <v>41</v>
      </c>
      <c r="J411" t="s">
        <v>1296</v>
      </c>
      <c r="K411" t="s">
        <v>43</v>
      </c>
      <c r="L411">
        <v>2</v>
      </c>
      <c r="M411" t="s">
        <v>44</v>
      </c>
      <c r="N411" t="s">
        <v>45</v>
      </c>
      <c r="O411" t="s">
        <v>46</v>
      </c>
      <c r="P411" s="5">
        <v>1</v>
      </c>
      <c r="Q411" s="12">
        <v>44750.415810185186</v>
      </c>
      <c r="R411" s="13">
        <v>44755</v>
      </c>
      <c r="T411" t="s">
        <v>47</v>
      </c>
      <c r="U411" t="s">
        <v>48</v>
      </c>
      <c r="V411" t="s">
        <v>114</v>
      </c>
      <c r="Y411" t="s">
        <v>1297</v>
      </c>
      <c r="Z411">
        <v>41400</v>
      </c>
      <c r="AA411" t="s">
        <v>47</v>
      </c>
      <c r="AB411" t="s">
        <v>64</v>
      </c>
      <c r="AC411" t="s">
        <v>53</v>
      </c>
      <c r="AD411" s="16">
        <f t="shared" si="57"/>
        <v>7</v>
      </c>
      <c r="AE411" s="15">
        <v>0</v>
      </c>
      <c r="AF411" s="15">
        <v>0</v>
      </c>
      <c r="AG411" s="15">
        <v>0</v>
      </c>
      <c r="AH411" s="15">
        <v>0</v>
      </c>
      <c r="AI411" s="15">
        <f t="shared" si="53"/>
        <v>0.42</v>
      </c>
      <c r="AJ411" s="15">
        <f t="shared" si="54"/>
        <v>7.42</v>
      </c>
      <c r="AK411" t="s">
        <v>47</v>
      </c>
    </row>
    <row r="412" spans="1:37" ht="15" customHeight="1" x14ac:dyDescent="0.35">
      <c r="A412">
        <v>690929</v>
      </c>
      <c r="B412" t="s">
        <v>37</v>
      </c>
      <c r="C412" t="s">
        <v>38</v>
      </c>
      <c r="D412" s="9" t="s">
        <v>39</v>
      </c>
      <c r="E412" s="10" t="s">
        <v>37</v>
      </c>
      <c r="F412" s="11"/>
      <c r="G412" t="s">
        <v>1298</v>
      </c>
      <c r="I412" t="s">
        <v>41</v>
      </c>
      <c r="J412" t="s">
        <v>1299</v>
      </c>
      <c r="K412" t="s">
        <v>43</v>
      </c>
      <c r="L412">
        <v>2</v>
      </c>
      <c r="M412" t="s">
        <v>44</v>
      </c>
      <c r="N412" t="s">
        <v>45</v>
      </c>
      <c r="O412" t="s">
        <v>46</v>
      </c>
      <c r="P412" s="5">
        <v>1</v>
      </c>
      <c r="Q412" s="12">
        <v>44754.619791666664</v>
      </c>
      <c r="R412" s="13">
        <v>44755</v>
      </c>
      <c r="T412" t="s">
        <v>47</v>
      </c>
      <c r="U412" t="s">
        <v>48</v>
      </c>
      <c r="V412" t="s">
        <v>67</v>
      </c>
      <c r="Y412" t="s">
        <v>1300</v>
      </c>
      <c r="Z412">
        <v>28100</v>
      </c>
      <c r="AA412" t="s">
        <v>47</v>
      </c>
      <c r="AB412" t="s">
        <v>48</v>
      </c>
      <c r="AC412" t="s">
        <v>53</v>
      </c>
      <c r="AD412" s="16">
        <f t="shared" si="57"/>
        <v>7</v>
      </c>
      <c r="AE412" s="15">
        <v>0</v>
      </c>
      <c r="AF412" s="15">
        <v>0</v>
      </c>
      <c r="AG412" s="15">
        <v>0</v>
      </c>
      <c r="AH412" s="15">
        <v>0</v>
      </c>
      <c r="AI412" s="15">
        <f t="shared" si="53"/>
        <v>0.42</v>
      </c>
      <c r="AJ412" s="15">
        <f t="shared" si="54"/>
        <v>7.42</v>
      </c>
      <c r="AK412" t="s">
        <v>47</v>
      </c>
    </row>
    <row r="413" spans="1:37" ht="15" customHeight="1" x14ac:dyDescent="0.35">
      <c r="A413">
        <v>690929</v>
      </c>
      <c r="B413" t="s">
        <v>37</v>
      </c>
      <c r="C413" t="s">
        <v>38</v>
      </c>
      <c r="D413" s="9" t="s">
        <v>39</v>
      </c>
      <c r="E413" s="10" t="s">
        <v>37</v>
      </c>
      <c r="F413" s="11"/>
      <c r="G413" t="s">
        <v>1301</v>
      </c>
      <c r="I413" t="s">
        <v>41</v>
      </c>
      <c r="J413" t="s">
        <v>1302</v>
      </c>
      <c r="K413" t="s">
        <v>43</v>
      </c>
      <c r="L413">
        <v>2</v>
      </c>
      <c r="M413" t="s">
        <v>44</v>
      </c>
      <c r="N413" t="s">
        <v>45</v>
      </c>
      <c r="O413" t="s">
        <v>46</v>
      </c>
      <c r="P413" s="5">
        <v>1</v>
      </c>
      <c r="Q413" s="12">
        <v>44754.625775462962</v>
      </c>
      <c r="R413" s="13">
        <v>44755</v>
      </c>
      <c r="T413" t="s">
        <v>47</v>
      </c>
      <c r="U413" t="s">
        <v>48</v>
      </c>
      <c r="V413" t="s">
        <v>128</v>
      </c>
      <c r="Y413" t="s">
        <v>1303</v>
      </c>
      <c r="Z413">
        <v>56000</v>
      </c>
      <c r="AA413" t="s">
        <v>47</v>
      </c>
      <c r="AB413" t="s">
        <v>64</v>
      </c>
      <c r="AC413" t="s">
        <v>53</v>
      </c>
      <c r="AD413" s="16">
        <f t="shared" si="57"/>
        <v>7</v>
      </c>
      <c r="AE413" s="15">
        <v>0</v>
      </c>
      <c r="AF413" s="15">
        <v>0</v>
      </c>
      <c r="AG413" s="15">
        <v>0</v>
      </c>
      <c r="AH413" s="15">
        <v>0</v>
      </c>
      <c r="AI413" s="15">
        <f t="shared" si="53"/>
        <v>0.42</v>
      </c>
      <c r="AJ413" s="15">
        <f t="shared" si="54"/>
        <v>7.42</v>
      </c>
      <c r="AK413" t="s">
        <v>47</v>
      </c>
    </row>
    <row r="414" spans="1:37" ht="15" customHeight="1" x14ac:dyDescent="0.35">
      <c r="A414">
        <v>690929</v>
      </c>
      <c r="B414" t="s">
        <v>37</v>
      </c>
      <c r="C414" t="s">
        <v>38</v>
      </c>
      <c r="D414" s="9" t="s">
        <v>39</v>
      </c>
      <c r="E414" s="10" t="s">
        <v>37</v>
      </c>
      <c r="F414" s="11"/>
      <c r="G414" t="s">
        <v>1304</v>
      </c>
      <c r="I414" t="s">
        <v>41</v>
      </c>
      <c r="J414" t="s">
        <v>1305</v>
      </c>
      <c r="K414" t="s">
        <v>43</v>
      </c>
      <c r="L414">
        <v>2</v>
      </c>
      <c r="M414" t="s">
        <v>44</v>
      </c>
      <c r="N414" t="s">
        <v>45</v>
      </c>
      <c r="O414" t="s">
        <v>46</v>
      </c>
      <c r="P414" s="5">
        <v>1</v>
      </c>
      <c r="Q414" s="12">
        <v>44754.630208333336</v>
      </c>
      <c r="R414" s="13">
        <v>44756</v>
      </c>
      <c r="T414" t="s">
        <v>47</v>
      </c>
      <c r="U414" t="s">
        <v>48</v>
      </c>
      <c r="V414" t="s">
        <v>71</v>
      </c>
      <c r="Y414" t="s">
        <v>1306</v>
      </c>
      <c r="Z414">
        <v>8300</v>
      </c>
      <c r="AA414" t="s">
        <v>47</v>
      </c>
      <c r="AB414" t="s">
        <v>64</v>
      </c>
      <c r="AC414" t="s">
        <v>53</v>
      </c>
      <c r="AD414" s="16">
        <f t="shared" si="57"/>
        <v>7</v>
      </c>
      <c r="AE414" s="15">
        <v>0</v>
      </c>
      <c r="AF414" s="15">
        <v>0</v>
      </c>
      <c r="AG414" s="15">
        <v>0</v>
      </c>
      <c r="AH414" s="15">
        <v>0</v>
      </c>
      <c r="AI414" s="15">
        <f t="shared" si="53"/>
        <v>0.42</v>
      </c>
      <c r="AJ414" s="15">
        <f t="shared" si="54"/>
        <v>7.42</v>
      </c>
      <c r="AK414" t="s">
        <v>47</v>
      </c>
    </row>
    <row r="415" spans="1:37" ht="15" customHeight="1" x14ac:dyDescent="0.35">
      <c r="A415">
        <v>690929</v>
      </c>
      <c r="B415" t="s">
        <v>37</v>
      </c>
      <c r="C415" t="s">
        <v>38</v>
      </c>
      <c r="D415" s="9" t="s">
        <v>39</v>
      </c>
      <c r="E415" s="10" t="s">
        <v>37</v>
      </c>
      <c r="F415" s="11"/>
      <c r="G415" t="s">
        <v>1307</v>
      </c>
      <c r="I415" t="s">
        <v>41</v>
      </c>
      <c r="J415" t="s">
        <v>1308</v>
      </c>
      <c r="K415" t="s">
        <v>43</v>
      </c>
      <c r="L415">
        <v>2</v>
      </c>
      <c r="M415" t="s">
        <v>44</v>
      </c>
      <c r="N415" t="s">
        <v>45</v>
      </c>
      <c r="O415" t="s">
        <v>46</v>
      </c>
      <c r="P415" s="5">
        <v>2</v>
      </c>
      <c r="Q415" s="12">
        <v>44749.556168981479</v>
      </c>
      <c r="R415" s="13">
        <v>44756</v>
      </c>
      <c r="T415" t="s">
        <v>47</v>
      </c>
      <c r="U415" t="s">
        <v>48</v>
      </c>
      <c r="V415" t="s">
        <v>80</v>
      </c>
      <c r="Y415" t="s">
        <v>1309</v>
      </c>
      <c r="Z415">
        <v>93250</v>
      </c>
      <c r="AA415" t="s">
        <v>51</v>
      </c>
      <c r="AB415" t="s">
        <v>250</v>
      </c>
      <c r="AC415" t="s">
        <v>53</v>
      </c>
      <c r="AD415" s="14">
        <f>IF(P415&lt;=1,13,IF(P415&lt;=2,23,IF(P415&lt;=3,35,IF(P415&lt;=4,43,IF(P415&lt;=5,53,IF(P415&lt;=6,63,IF(P415&lt;=7,71,IF(P415&lt;=8,79,IF(P415&lt;=9,87,IF(P415&lt;=10,95,IF(P415&lt;=11,105,IF(P415&lt;=12,114,IF(P415&lt;=13,119,IF(P415&lt;=14,127,IF(P415&lt;=15,135,IF(P415&lt;=16,143,IF(P415&lt;=17,153,IF(P415&lt;=18,163,IF(P415&lt;=19,171,IF(P415&lt;=20,185,IF(P415&lt;=21,193,IF(P415&lt;=22,201,IF(P415&lt;=23,210,IF(P415&lt;=24,220,IF(P415&lt;=25,230,IF(P415&lt;=26,240,IF(P415&lt;=27,250,IF(P415&lt;=28,260,IF(P415&lt;=29,270,IF(P415&lt;=30,280,280))))))))))))))))))))))))))))))</f>
        <v>23</v>
      </c>
      <c r="AE415" s="15">
        <v>0</v>
      </c>
      <c r="AF415" s="15">
        <v>0</v>
      </c>
      <c r="AG415" s="15">
        <v>0</v>
      </c>
      <c r="AH415" s="15">
        <v>0</v>
      </c>
      <c r="AI415" s="15">
        <f t="shared" si="53"/>
        <v>1.38</v>
      </c>
      <c r="AJ415" s="15">
        <f t="shared" si="54"/>
        <v>24.38</v>
      </c>
      <c r="AK415" t="s">
        <v>51</v>
      </c>
    </row>
    <row r="416" spans="1:37" ht="15" customHeight="1" x14ac:dyDescent="0.35">
      <c r="A416">
        <v>690929</v>
      </c>
      <c r="B416" t="s">
        <v>37</v>
      </c>
      <c r="C416" t="s">
        <v>38</v>
      </c>
      <c r="D416" s="9" t="s">
        <v>39</v>
      </c>
      <c r="E416" s="10" t="s">
        <v>37</v>
      </c>
      <c r="F416" s="11"/>
      <c r="G416" t="s">
        <v>1310</v>
      </c>
      <c r="I416" t="s">
        <v>41</v>
      </c>
      <c r="J416" t="s">
        <v>1311</v>
      </c>
      <c r="K416" t="s">
        <v>43</v>
      </c>
      <c r="L416">
        <v>2</v>
      </c>
      <c r="M416" t="s">
        <v>44</v>
      </c>
      <c r="N416" t="s">
        <v>45</v>
      </c>
      <c r="O416" t="s">
        <v>46</v>
      </c>
      <c r="P416" s="5">
        <v>1</v>
      </c>
      <c r="Q416" s="12">
        <v>44755.619479166664</v>
      </c>
      <c r="R416" s="13">
        <v>44756</v>
      </c>
      <c r="T416" t="s">
        <v>47</v>
      </c>
      <c r="U416" t="s">
        <v>48</v>
      </c>
      <c r="V416" t="s">
        <v>128</v>
      </c>
      <c r="Y416" t="s">
        <v>1312</v>
      </c>
      <c r="Z416">
        <v>56000</v>
      </c>
      <c r="AA416" t="s">
        <v>47</v>
      </c>
      <c r="AB416" t="s">
        <v>64</v>
      </c>
      <c r="AC416" t="s">
        <v>53</v>
      </c>
      <c r="AD416" s="16">
        <f t="shared" ref="AD416:AD419" si="58">IF(P416&lt;=1,7,7+0.8*ROUNDUP(P416-1,0))</f>
        <v>7</v>
      </c>
      <c r="AE416" s="15">
        <v>0</v>
      </c>
      <c r="AF416" s="15">
        <v>0</v>
      </c>
      <c r="AG416" s="15">
        <v>0</v>
      </c>
      <c r="AH416" s="15">
        <v>0</v>
      </c>
      <c r="AI416" s="15">
        <f t="shared" si="53"/>
        <v>0.42</v>
      </c>
      <c r="AJ416" s="15">
        <f t="shared" si="54"/>
        <v>7.42</v>
      </c>
      <c r="AK416" t="s">
        <v>47</v>
      </c>
    </row>
    <row r="417" spans="1:37" ht="15" customHeight="1" x14ac:dyDescent="0.35">
      <c r="A417">
        <v>690929</v>
      </c>
      <c r="B417" t="s">
        <v>37</v>
      </c>
      <c r="C417" t="s">
        <v>38</v>
      </c>
      <c r="D417" s="9" t="s">
        <v>39</v>
      </c>
      <c r="E417" s="10" t="s">
        <v>37</v>
      </c>
      <c r="F417" s="11"/>
      <c r="G417" t="s">
        <v>1313</v>
      </c>
      <c r="I417" t="s">
        <v>41</v>
      </c>
      <c r="J417" t="s">
        <v>1314</v>
      </c>
      <c r="K417" t="s">
        <v>43</v>
      </c>
      <c r="L417">
        <v>2</v>
      </c>
      <c r="M417" t="s">
        <v>44</v>
      </c>
      <c r="N417" t="s">
        <v>45</v>
      </c>
      <c r="O417" t="s">
        <v>46</v>
      </c>
      <c r="P417" s="5">
        <v>1</v>
      </c>
      <c r="Q417" s="12">
        <v>44754.664733796293</v>
      </c>
      <c r="R417" s="13">
        <v>44756</v>
      </c>
      <c r="T417" t="s">
        <v>47</v>
      </c>
      <c r="U417" t="s">
        <v>48</v>
      </c>
      <c r="V417" t="s">
        <v>76</v>
      </c>
      <c r="Y417" t="s">
        <v>1315</v>
      </c>
      <c r="Z417">
        <v>24000</v>
      </c>
      <c r="AA417" t="s">
        <v>47</v>
      </c>
      <c r="AB417" t="s">
        <v>48</v>
      </c>
      <c r="AC417" t="s">
        <v>53</v>
      </c>
      <c r="AD417" s="16">
        <f t="shared" si="58"/>
        <v>7</v>
      </c>
      <c r="AE417" s="15">
        <v>0</v>
      </c>
      <c r="AF417" s="15">
        <v>0</v>
      </c>
      <c r="AG417" s="15">
        <v>0</v>
      </c>
      <c r="AH417" s="15">
        <v>0</v>
      </c>
      <c r="AI417" s="15">
        <f t="shared" si="53"/>
        <v>0.42</v>
      </c>
      <c r="AJ417" s="15">
        <f t="shared" si="54"/>
        <v>7.42</v>
      </c>
      <c r="AK417" t="s">
        <v>47</v>
      </c>
    </row>
    <row r="418" spans="1:37" ht="15" customHeight="1" x14ac:dyDescent="0.35">
      <c r="A418">
        <v>690929</v>
      </c>
      <c r="B418" t="s">
        <v>37</v>
      </c>
      <c r="C418" t="s">
        <v>38</v>
      </c>
      <c r="D418" s="9" t="s">
        <v>39</v>
      </c>
      <c r="E418" s="10" t="s">
        <v>37</v>
      </c>
      <c r="F418" s="11"/>
      <c r="G418" t="s">
        <v>1316</v>
      </c>
      <c r="I418" t="s">
        <v>41</v>
      </c>
      <c r="J418" t="s">
        <v>1317</v>
      </c>
      <c r="K418" t="s">
        <v>43</v>
      </c>
      <c r="L418">
        <v>2</v>
      </c>
      <c r="M418" t="s">
        <v>44</v>
      </c>
      <c r="N418" t="s">
        <v>45</v>
      </c>
      <c r="O418" t="s">
        <v>46</v>
      </c>
      <c r="P418" s="5">
        <v>1</v>
      </c>
      <c r="Q418" s="12">
        <v>44754.54109953704</v>
      </c>
      <c r="R418" s="13">
        <v>44756</v>
      </c>
      <c r="T418" t="s">
        <v>47</v>
      </c>
      <c r="U418" t="s">
        <v>48</v>
      </c>
      <c r="V418" t="s">
        <v>114</v>
      </c>
      <c r="Y418" t="s">
        <v>1318</v>
      </c>
      <c r="Z418">
        <v>47100</v>
      </c>
      <c r="AA418" t="s">
        <v>47</v>
      </c>
      <c r="AB418" t="s">
        <v>64</v>
      </c>
      <c r="AC418" t="s">
        <v>53</v>
      </c>
      <c r="AD418" s="16">
        <f t="shared" si="58"/>
        <v>7</v>
      </c>
      <c r="AE418" s="15">
        <v>0</v>
      </c>
      <c r="AF418" s="15">
        <v>0</v>
      </c>
      <c r="AG418" s="15">
        <v>0</v>
      </c>
      <c r="AH418" s="15">
        <v>0</v>
      </c>
      <c r="AI418" s="15">
        <f t="shared" si="53"/>
        <v>0.42</v>
      </c>
      <c r="AJ418" s="15">
        <f t="shared" si="54"/>
        <v>7.42</v>
      </c>
      <c r="AK418" t="s">
        <v>47</v>
      </c>
    </row>
    <row r="419" spans="1:37" ht="15" customHeight="1" x14ac:dyDescent="0.35">
      <c r="A419">
        <v>690929</v>
      </c>
      <c r="B419" t="s">
        <v>37</v>
      </c>
      <c r="C419" t="s">
        <v>38</v>
      </c>
      <c r="D419" s="9" t="s">
        <v>39</v>
      </c>
      <c r="E419" s="10" t="s">
        <v>37</v>
      </c>
      <c r="F419" s="11"/>
      <c r="G419" t="s">
        <v>1319</v>
      </c>
      <c r="I419" t="s">
        <v>41</v>
      </c>
      <c r="J419" t="s">
        <v>1320</v>
      </c>
      <c r="K419" t="s">
        <v>43</v>
      </c>
      <c r="L419">
        <v>2</v>
      </c>
      <c r="M419" t="s">
        <v>44</v>
      </c>
      <c r="N419" t="s">
        <v>45</v>
      </c>
      <c r="O419" t="s">
        <v>46</v>
      </c>
      <c r="P419" s="5">
        <v>1</v>
      </c>
      <c r="Q419" s="12">
        <v>44751.766539351855</v>
      </c>
      <c r="R419" s="13">
        <v>44756</v>
      </c>
      <c r="T419" t="s">
        <v>47</v>
      </c>
      <c r="U419" t="s">
        <v>48</v>
      </c>
      <c r="V419" t="s">
        <v>62</v>
      </c>
      <c r="Y419" t="s">
        <v>1321</v>
      </c>
      <c r="Z419">
        <v>83600</v>
      </c>
      <c r="AA419" t="s">
        <v>47</v>
      </c>
      <c r="AB419" t="s">
        <v>64</v>
      </c>
      <c r="AC419" t="s">
        <v>53</v>
      </c>
      <c r="AD419" s="16">
        <f t="shared" si="58"/>
        <v>7</v>
      </c>
      <c r="AE419" s="15">
        <v>0</v>
      </c>
      <c r="AF419" s="15">
        <v>0</v>
      </c>
      <c r="AG419" s="15">
        <v>0</v>
      </c>
      <c r="AH419" s="15">
        <v>0</v>
      </c>
      <c r="AI419" s="15">
        <f t="shared" si="53"/>
        <v>0.42</v>
      </c>
      <c r="AJ419" s="15">
        <f t="shared" si="54"/>
        <v>7.42</v>
      </c>
      <c r="AK419" t="s">
        <v>47</v>
      </c>
    </row>
    <row r="420" spans="1:37" ht="15" customHeight="1" x14ac:dyDescent="0.35">
      <c r="A420">
        <v>690929</v>
      </c>
      <c r="B420" t="s">
        <v>37</v>
      </c>
      <c r="C420" t="s">
        <v>38</v>
      </c>
      <c r="D420" s="9" t="s">
        <v>39</v>
      </c>
      <c r="E420" s="10" t="s">
        <v>37</v>
      </c>
      <c r="F420" s="11"/>
      <c r="G420" t="s">
        <v>1322</v>
      </c>
      <c r="I420" t="s">
        <v>41</v>
      </c>
      <c r="J420" t="s">
        <v>1323</v>
      </c>
      <c r="K420" t="s">
        <v>43</v>
      </c>
      <c r="L420">
        <v>2</v>
      </c>
      <c r="M420" t="s">
        <v>44</v>
      </c>
      <c r="N420" t="s">
        <v>45</v>
      </c>
      <c r="O420" t="s">
        <v>46</v>
      </c>
      <c r="P420" s="5">
        <v>1</v>
      </c>
      <c r="Q420" s="12">
        <v>44751.432662037034</v>
      </c>
      <c r="R420" s="13">
        <v>44756</v>
      </c>
      <c r="T420" t="s">
        <v>47</v>
      </c>
      <c r="U420" t="s">
        <v>48</v>
      </c>
      <c r="V420" t="s">
        <v>57</v>
      </c>
      <c r="Y420" t="s">
        <v>1324</v>
      </c>
      <c r="Z420">
        <v>90000</v>
      </c>
      <c r="AA420" t="s">
        <v>51</v>
      </c>
      <c r="AB420" t="s">
        <v>64</v>
      </c>
      <c r="AC420" t="s">
        <v>53</v>
      </c>
      <c r="AD420" s="14">
        <f>IF(P420&lt;=1,13,IF(P420&lt;=2,23,IF(P420&lt;=3,35,IF(P420&lt;=4,43,IF(P420&lt;=5,53,IF(P420&lt;=6,63,IF(P420&lt;=7,71,IF(P420&lt;=8,79,IF(P420&lt;=9,87,IF(P420&lt;=10,95,IF(P420&lt;=11,105,IF(P420&lt;=12,114,IF(P420&lt;=13,119,IF(P420&lt;=14,127,IF(P420&lt;=15,135,IF(P420&lt;=16,143,IF(P420&lt;=17,153,IF(P420&lt;=18,163,IF(P420&lt;=19,171,IF(P420&lt;=20,185,IF(P420&lt;=21,193,IF(P420&lt;=22,201,IF(P420&lt;=23,210,IF(P420&lt;=24,220,IF(P420&lt;=25,230,IF(P420&lt;=26,240,IF(P420&lt;=27,250,IF(P420&lt;=28,260,IF(P420&lt;=29,270,IF(P420&lt;=30,280,280))))))))))))))))))))))))))))))</f>
        <v>13</v>
      </c>
      <c r="AE420" s="15">
        <v>0</v>
      </c>
      <c r="AF420" s="15">
        <v>0</v>
      </c>
      <c r="AG420" s="15">
        <v>0</v>
      </c>
      <c r="AH420" s="15">
        <v>0</v>
      </c>
      <c r="AI420" s="15">
        <f t="shared" si="53"/>
        <v>0.78</v>
      </c>
      <c r="AJ420" s="15">
        <f t="shared" si="54"/>
        <v>13.78</v>
      </c>
      <c r="AK420" t="s">
        <v>51</v>
      </c>
    </row>
    <row r="421" spans="1:37" ht="15" customHeight="1" x14ac:dyDescent="0.35">
      <c r="A421">
        <v>690929</v>
      </c>
      <c r="B421" t="s">
        <v>37</v>
      </c>
      <c r="C421" t="s">
        <v>38</v>
      </c>
      <c r="D421" s="9" t="s">
        <v>39</v>
      </c>
      <c r="E421" s="10" t="s">
        <v>37</v>
      </c>
      <c r="F421" s="11"/>
      <c r="G421" t="s">
        <v>1325</v>
      </c>
      <c r="I421" t="s">
        <v>41</v>
      </c>
      <c r="J421" t="s">
        <v>1326</v>
      </c>
      <c r="K421" t="s">
        <v>43</v>
      </c>
      <c r="L421">
        <v>2</v>
      </c>
      <c r="M421" t="s">
        <v>44</v>
      </c>
      <c r="N421" t="s">
        <v>45</v>
      </c>
      <c r="O421" t="s">
        <v>46</v>
      </c>
      <c r="P421" s="5">
        <v>1</v>
      </c>
      <c r="Q421" s="12">
        <v>44754.629166666666</v>
      </c>
      <c r="R421" s="13">
        <v>44756</v>
      </c>
      <c r="T421" t="s">
        <v>47</v>
      </c>
      <c r="U421" t="s">
        <v>48</v>
      </c>
      <c r="V421" t="s">
        <v>62</v>
      </c>
      <c r="Y421" t="s">
        <v>1327</v>
      </c>
      <c r="Z421">
        <v>82300</v>
      </c>
      <c r="AA421" t="s">
        <v>47</v>
      </c>
      <c r="AB421" t="s">
        <v>64</v>
      </c>
      <c r="AC421" t="s">
        <v>53</v>
      </c>
      <c r="AD421" s="16">
        <f t="shared" ref="AD421:AD441" si="59">IF(P421&lt;=1,7,7+0.8*ROUNDUP(P421-1,0))</f>
        <v>7</v>
      </c>
      <c r="AE421" s="15">
        <v>0</v>
      </c>
      <c r="AF421" s="15">
        <v>0</v>
      </c>
      <c r="AG421" s="15">
        <v>0</v>
      </c>
      <c r="AH421" s="15">
        <v>0</v>
      </c>
      <c r="AI421" s="15">
        <f t="shared" si="53"/>
        <v>0.42</v>
      </c>
      <c r="AJ421" s="15">
        <f t="shared" si="54"/>
        <v>7.42</v>
      </c>
      <c r="AK421" t="s">
        <v>47</v>
      </c>
    </row>
    <row r="422" spans="1:37" ht="15" customHeight="1" x14ac:dyDescent="0.35">
      <c r="A422">
        <v>690929</v>
      </c>
      <c r="B422" t="s">
        <v>37</v>
      </c>
      <c r="C422" t="s">
        <v>38</v>
      </c>
      <c r="D422" s="9" t="s">
        <v>39</v>
      </c>
      <c r="E422" s="10" t="s">
        <v>37</v>
      </c>
      <c r="F422" s="11"/>
      <c r="G422" t="s">
        <v>1328</v>
      </c>
      <c r="I422" t="s">
        <v>41</v>
      </c>
      <c r="J422" t="s">
        <v>1329</v>
      </c>
      <c r="K422" t="s">
        <v>43</v>
      </c>
      <c r="L422">
        <v>2</v>
      </c>
      <c r="M422" t="s">
        <v>44</v>
      </c>
      <c r="N422" t="s">
        <v>45</v>
      </c>
      <c r="O422" t="s">
        <v>46</v>
      </c>
      <c r="P422" s="5">
        <v>1</v>
      </c>
      <c r="Q422" s="12">
        <v>44754.492800925924</v>
      </c>
      <c r="R422" s="13">
        <v>44756</v>
      </c>
      <c r="T422" t="s">
        <v>47</v>
      </c>
      <c r="U422" t="s">
        <v>48</v>
      </c>
      <c r="V422" t="s">
        <v>114</v>
      </c>
      <c r="Y422" t="s">
        <v>1330</v>
      </c>
      <c r="Z422">
        <v>42700</v>
      </c>
      <c r="AA422" t="s">
        <v>47</v>
      </c>
      <c r="AB422" t="s">
        <v>64</v>
      </c>
      <c r="AC422" t="s">
        <v>53</v>
      </c>
      <c r="AD422" s="16">
        <f t="shared" si="59"/>
        <v>7</v>
      </c>
      <c r="AE422" s="15">
        <v>0</v>
      </c>
      <c r="AF422" s="15">
        <v>0</v>
      </c>
      <c r="AG422" s="15">
        <v>0</v>
      </c>
      <c r="AH422" s="15">
        <v>0</v>
      </c>
      <c r="AI422" s="15">
        <f t="shared" si="53"/>
        <v>0.42</v>
      </c>
      <c r="AJ422" s="15">
        <f t="shared" si="54"/>
        <v>7.42</v>
      </c>
      <c r="AK422" t="s">
        <v>47</v>
      </c>
    </row>
    <row r="423" spans="1:37" ht="15" customHeight="1" x14ac:dyDescent="0.35">
      <c r="A423">
        <v>690929</v>
      </c>
      <c r="B423" t="s">
        <v>37</v>
      </c>
      <c r="C423" t="s">
        <v>38</v>
      </c>
      <c r="D423" s="9" t="s">
        <v>39</v>
      </c>
      <c r="E423" s="10" t="s">
        <v>37</v>
      </c>
      <c r="F423" s="11"/>
      <c r="G423" t="s">
        <v>1331</v>
      </c>
      <c r="I423" t="s">
        <v>41</v>
      </c>
      <c r="J423" t="s">
        <v>1332</v>
      </c>
      <c r="K423" t="s">
        <v>43</v>
      </c>
      <c r="L423">
        <v>2</v>
      </c>
      <c r="M423" t="s">
        <v>44</v>
      </c>
      <c r="N423" t="s">
        <v>45</v>
      </c>
      <c r="O423" t="s">
        <v>46</v>
      </c>
      <c r="P423" s="5">
        <v>1</v>
      </c>
      <c r="Q423" s="12">
        <v>44754.649375000001</v>
      </c>
      <c r="R423" s="13">
        <v>44756</v>
      </c>
      <c r="T423" t="s">
        <v>47</v>
      </c>
      <c r="U423" t="s">
        <v>48</v>
      </c>
      <c r="V423" t="s">
        <v>76</v>
      </c>
      <c r="Y423" t="s">
        <v>1333</v>
      </c>
      <c r="Z423">
        <v>23000</v>
      </c>
      <c r="AA423" t="s">
        <v>47</v>
      </c>
      <c r="AB423" t="s">
        <v>48</v>
      </c>
      <c r="AC423" t="s">
        <v>53</v>
      </c>
      <c r="AD423" s="16">
        <f t="shared" si="59"/>
        <v>7</v>
      </c>
      <c r="AE423" s="15">
        <v>0</v>
      </c>
      <c r="AF423" s="15">
        <v>0</v>
      </c>
      <c r="AG423" s="15">
        <v>0</v>
      </c>
      <c r="AH423" s="15">
        <v>0</v>
      </c>
      <c r="AI423" s="15">
        <f t="shared" si="53"/>
        <v>0.42</v>
      </c>
      <c r="AJ423" s="15">
        <f t="shared" si="54"/>
        <v>7.42</v>
      </c>
      <c r="AK423" t="s">
        <v>47</v>
      </c>
    </row>
    <row r="424" spans="1:37" ht="15" customHeight="1" x14ac:dyDescent="0.35">
      <c r="A424">
        <v>690929</v>
      </c>
      <c r="B424" t="s">
        <v>37</v>
      </c>
      <c r="C424" t="s">
        <v>38</v>
      </c>
      <c r="D424" s="9" t="s">
        <v>39</v>
      </c>
      <c r="E424" s="10" t="s">
        <v>37</v>
      </c>
      <c r="F424" s="11"/>
      <c r="G424" t="s">
        <v>1334</v>
      </c>
      <c r="I424" t="s">
        <v>41</v>
      </c>
      <c r="J424" t="s">
        <v>1335</v>
      </c>
      <c r="K424" t="s">
        <v>43</v>
      </c>
      <c r="L424">
        <v>2</v>
      </c>
      <c r="M424" t="s">
        <v>44</v>
      </c>
      <c r="N424" t="s">
        <v>45</v>
      </c>
      <c r="O424" t="s">
        <v>46</v>
      </c>
      <c r="P424" s="5">
        <v>1</v>
      </c>
      <c r="Q424" s="12">
        <v>44754.628125000003</v>
      </c>
      <c r="R424" s="13">
        <v>44756</v>
      </c>
      <c r="T424" t="s">
        <v>47</v>
      </c>
      <c r="U424" t="s">
        <v>48</v>
      </c>
      <c r="V424" t="s">
        <v>114</v>
      </c>
      <c r="Y424" t="s">
        <v>1336</v>
      </c>
      <c r="Z424">
        <v>68100</v>
      </c>
      <c r="AA424" t="s">
        <v>47</v>
      </c>
      <c r="AB424" t="s">
        <v>64</v>
      </c>
      <c r="AC424" t="s">
        <v>53</v>
      </c>
      <c r="AD424" s="16">
        <f t="shared" si="59"/>
        <v>7</v>
      </c>
      <c r="AE424" s="15">
        <v>0</v>
      </c>
      <c r="AF424" s="15">
        <v>0</v>
      </c>
      <c r="AG424" s="15">
        <v>0</v>
      </c>
      <c r="AH424" s="15">
        <v>0</v>
      </c>
      <c r="AI424" s="15">
        <f t="shared" si="53"/>
        <v>0.42</v>
      </c>
      <c r="AJ424" s="15">
        <f t="shared" si="54"/>
        <v>7.42</v>
      </c>
      <c r="AK424" t="s">
        <v>47</v>
      </c>
    </row>
    <row r="425" spans="1:37" ht="15" customHeight="1" x14ac:dyDescent="0.35">
      <c r="A425">
        <v>690929</v>
      </c>
      <c r="B425" t="s">
        <v>37</v>
      </c>
      <c r="C425" t="s">
        <v>38</v>
      </c>
      <c r="D425" s="9" t="s">
        <v>39</v>
      </c>
      <c r="E425" s="10" t="s">
        <v>37</v>
      </c>
      <c r="F425" s="11"/>
      <c r="G425" t="s">
        <v>1337</v>
      </c>
      <c r="I425" t="s">
        <v>41</v>
      </c>
      <c r="J425" t="s">
        <v>1338</v>
      </c>
      <c r="K425" t="s">
        <v>43</v>
      </c>
      <c r="L425">
        <v>2</v>
      </c>
      <c r="M425" t="s">
        <v>44</v>
      </c>
      <c r="N425" t="s">
        <v>45</v>
      </c>
      <c r="O425" t="s">
        <v>46</v>
      </c>
      <c r="P425" s="5">
        <v>1</v>
      </c>
      <c r="Q425" s="12">
        <v>44754.624016203707</v>
      </c>
      <c r="R425" s="13">
        <v>44756</v>
      </c>
      <c r="T425" t="s">
        <v>47</v>
      </c>
      <c r="U425" t="s">
        <v>48</v>
      </c>
      <c r="V425" t="s">
        <v>62</v>
      </c>
      <c r="Y425" t="s">
        <v>1339</v>
      </c>
      <c r="Z425">
        <v>81000</v>
      </c>
      <c r="AA425" t="s">
        <v>47</v>
      </c>
      <c r="AB425" t="s">
        <v>64</v>
      </c>
      <c r="AC425" t="s">
        <v>53</v>
      </c>
      <c r="AD425" s="16">
        <f t="shared" si="59"/>
        <v>7</v>
      </c>
      <c r="AE425" s="15">
        <v>0</v>
      </c>
      <c r="AF425" s="15">
        <v>0</v>
      </c>
      <c r="AG425" s="15">
        <v>0</v>
      </c>
      <c r="AH425" s="15">
        <v>0</v>
      </c>
      <c r="AI425" s="15">
        <f t="shared" si="53"/>
        <v>0.42</v>
      </c>
      <c r="AJ425" s="15">
        <f t="shared" si="54"/>
        <v>7.42</v>
      </c>
      <c r="AK425" t="s">
        <v>47</v>
      </c>
    </row>
    <row r="426" spans="1:37" ht="15" customHeight="1" x14ac:dyDescent="0.35">
      <c r="A426">
        <v>690929</v>
      </c>
      <c r="B426" t="s">
        <v>37</v>
      </c>
      <c r="C426" t="s">
        <v>38</v>
      </c>
      <c r="D426" s="9" t="s">
        <v>39</v>
      </c>
      <c r="E426" s="10" t="s">
        <v>37</v>
      </c>
      <c r="F426" s="11"/>
      <c r="G426" t="s">
        <v>1340</v>
      </c>
      <c r="I426" t="s">
        <v>41</v>
      </c>
      <c r="J426" t="s">
        <v>1341</v>
      </c>
      <c r="K426" t="s">
        <v>43</v>
      </c>
      <c r="L426">
        <v>2</v>
      </c>
      <c r="M426" t="s">
        <v>44</v>
      </c>
      <c r="N426" t="s">
        <v>45</v>
      </c>
      <c r="O426" t="s">
        <v>46</v>
      </c>
      <c r="P426" s="5">
        <v>1</v>
      </c>
      <c r="Q426" s="12">
        <v>44754.654143518521</v>
      </c>
      <c r="R426" s="13">
        <v>44756</v>
      </c>
      <c r="T426" t="s">
        <v>47</v>
      </c>
      <c r="U426" t="s">
        <v>48</v>
      </c>
      <c r="V426" t="s">
        <v>114</v>
      </c>
      <c r="Y426" t="s">
        <v>1342</v>
      </c>
      <c r="Z426">
        <v>56100</v>
      </c>
      <c r="AA426" t="s">
        <v>47</v>
      </c>
      <c r="AB426" t="s">
        <v>64</v>
      </c>
      <c r="AC426" t="s">
        <v>53</v>
      </c>
      <c r="AD426" s="16">
        <f t="shared" si="59"/>
        <v>7</v>
      </c>
      <c r="AE426" s="15">
        <v>0</v>
      </c>
      <c r="AF426" s="15">
        <v>0</v>
      </c>
      <c r="AG426" s="15">
        <v>0</v>
      </c>
      <c r="AH426" s="15">
        <v>0</v>
      </c>
      <c r="AI426" s="15">
        <f t="shared" si="53"/>
        <v>0.42</v>
      </c>
      <c r="AJ426" s="15">
        <f t="shared" si="54"/>
        <v>7.42</v>
      </c>
      <c r="AK426" t="s">
        <v>47</v>
      </c>
    </row>
    <row r="427" spans="1:37" ht="15" customHeight="1" x14ac:dyDescent="0.35">
      <c r="A427">
        <v>690929</v>
      </c>
      <c r="B427" t="s">
        <v>37</v>
      </c>
      <c r="C427" t="s">
        <v>38</v>
      </c>
      <c r="D427" s="9" t="s">
        <v>39</v>
      </c>
      <c r="E427" s="10" t="s">
        <v>37</v>
      </c>
      <c r="F427" s="11"/>
      <c r="G427" t="s">
        <v>1343</v>
      </c>
      <c r="I427" t="s">
        <v>41</v>
      </c>
      <c r="J427" t="s">
        <v>1344</v>
      </c>
      <c r="K427" t="s">
        <v>43</v>
      </c>
      <c r="L427">
        <v>2</v>
      </c>
      <c r="M427" t="s">
        <v>44</v>
      </c>
      <c r="N427" t="s">
        <v>45</v>
      </c>
      <c r="O427" t="s">
        <v>46</v>
      </c>
      <c r="P427" s="5">
        <v>3</v>
      </c>
      <c r="Q427" s="12">
        <v>44755.531076388892</v>
      </c>
      <c r="R427" s="13">
        <v>44756</v>
      </c>
      <c r="T427" t="s">
        <v>47</v>
      </c>
      <c r="U427" t="s">
        <v>48</v>
      </c>
      <c r="V427" t="s">
        <v>114</v>
      </c>
      <c r="Y427" t="s">
        <v>1345</v>
      </c>
      <c r="Z427">
        <v>40400</v>
      </c>
      <c r="AA427" t="s">
        <v>47</v>
      </c>
      <c r="AB427" t="s">
        <v>64</v>
      </c>
      <c r="AC427" t="s">
        <v>53</v>
      </c>
      <c r="AD427" s="16">
        <f t="shared" si="59"/>
        <v>8.6</v>
      </c>
      <c r="AE427" s="15">
        <v>0</v>
      </c>
      <c r="AF427" s="15">
        <v>0</v>
      </c>
      <c r="AG427" s="15">
        <v>0</v>
      </c>
      <c r="AH427" s="15">
        <v>0</v>
      </c>
      <c r="AI427" s="15">
        <f t="shared" si="53"/>
        <v>0.51600000000000001</v>
      </c>
      <c r="AJ427" s="15">
        <f t="shared" si="54"/>
        <v>9.1159999999999997</v>
      </c>
      <c r="AK427" t="s">
        <v>47</v>
      </c>
    </row>
    <row r="428" spans="1:37" ht="15" customHeight="1" x14ac:dyDescent="0.35">
      <c r="A428">
        <v>690929</v>
      </c>
      <c r="B428" t="s">
        <v>37</v>
      </c>
      <c r="C428" t="s">
        <v>38</v>
      </c>
      <c r="D428" s="9" t="s">
        <v>39</v>
      </c>
      <c r="E428" s="10" t="s">
        <v>37</v>
      </c>
      <c r="F428" s="11"/>
      <c r="G428" t="s">
        <v>1346</v>
      </c>
      <c r="I428" t="s">
        <v>41</v>
      </c>
      <c r="J428" t="s">
        <v>1347</v>
      </c>
      <c r="K428" t="s">
        <v>43</v>
      </c>
      <c r="L428">
        <v>2</v>
      </c>
      <c r="M428" t="s">
        <v>44</v>
      </c>
      <c r="N428" t="s">
        <v>45</v>
      </c>
      <c r="O428" t="s">
        <v>46</v>
      </c>
      <c r="P428" s="5">
        <v>1</v>
      </c>
      <c r="Q428" s="12">
        <v>44751.759687500002</v>
      </c>
      <c r="R428" s="13">
        <v>44756</v>
      </c>
      <c r="T428" t="s">
        <v>47</v>
      </c>
      <c r="U428" t="s">
        <v>48</v>
      </c>
      <c r="V428" t="s">
        <v>114</v>
      </c>
      <c r="Y428" t="s">
        <v>1348</v>
      </c>
      <c r="Z428">
        <v>56100</v>
      </c>
      <c r="AA428" t="s">
        <v>47</v>
      </c>
      <c r="AB428" t="s">
        <v>64</v>
      </c>
      <c r="AC428" t="s">
        <v>53</v>
      </c>
      <c r="AD428" s="16">
        <f t="shared" si="59"/>
        <v>7</v>
      </c>
      <c r="AE428" s="15">
        <v>0</v>
      </c>
      <c r="AF428" s="15">
        <v>0</v>
      </c>
      <c r="AG428" s="15">
        <v>0</v>
      </c>
      <c r="AH428" s="15">
        <v>0</v>
      </c>
      <c r="AI428" s="15">
        <f t="shared" si="53"/>
        <v>0.42</v>
      </c>
      <c r="AJ428" s="15">
        <f t="shared" si="54"/>
        <v>7.42</v>
      </c>
      <c r="AK428" t="s">
        <v>47</v>
      </c>
    </row>
    <row r="429" spans="1:37" ht="15" customHeight="1" x14ac:dyDescent="0.35">
      <c r="A429">
        <v>690929</v>
      </c>
      <c r="B429" t="s">
        <v>37</v>
      </c>
      <c r="C429" t="s">
        <v>38</v>
      </c>
      <c r="D429" s="9" t="s">
        <v>39</v>
      </c>
      <c r="E429" s="10" t="s">
        <v>37</v>
      </c>
      <c r="F429" s="11"/>
      <c r="G429" t="s">
        <v>1349</v>
      </c>
      <c r="I429" t="s">
        <v>41</v>
      </c>
      <c r="J429" t="s">
        <v>1350</v>
      </c>
      <c r="K429" t="s">
        <v>43</v>
      </c>
      <c r="L429">
        <v>2</v>
      </c>
      <c r="M429" t="s">
        <v>44</v>
      </c>
      <c r="N429" t="s">
        <v>45</v>
      </c>
      <c r="O429" t="s">
        <v>46</v>
      </c>
      <c r="P429" s="5">
        <v>1</v>
      </c>
      <c r="Q429" s="12">
        <v>44754.652569444443</v>
      </c>
      <c r="R429" s="13">
        <v>44756</v>
      </c>
      <c r="T429" t="s">
        <v>47</v>
      </c>
      <c r="U429" t="s">
        <v>48</v>
      </c>
      <c r="V429" t="s">
        <v>114</v>
      </c>
      <c r="Y429" t="s">
        <v>1351</v>
      </c>
      <c r="Z429">
        <v>43650</v>
      </c>
      <c r="AA429" t="s">
        <v>47</v>
      </c>
      <c r="AB429" t="s">
        <v>64</v>
      </c>
      <c r="AC429" t="s">
        <v>53</v>
      </c>
      <c r="AD429" s="16">
        <f t="shared" si="59"/>
        <v>7</v>
      </c>
      <c r="AE429" s="15">
        <v>0</v>
      </c>
      <c r="AF429" s="15">
        <v>0</v>
      </c>
      <c r="AG429" s="15">
        <v>0</v>
      </c>
      <c r="AH429" s="15">
        <v>0</v>
      </c>
      <c r="AI429" s="15">
        <f t="shared" si="53"/>
        <v>0.42</v>
      </c>
      <c r="AJ429" s="15">
        <f t="shared" si="54"/>
        <v>7.42</v>
      </c>
      <c r="AK429" t="s">
        <v>47</v>
      </c>
    </row>
    <row r="430" spans="1:37" ht="15" customHeight="1" x14ac:dyDescent="0.35">
      <c r="A430">
        <v>690929</v>
      </c>
      <c r="B430" t="s">
        <v>37</v>
      </c>
      <c r="C430" t="s">
        <v>38</v>
      </c>
      <c r="D430" s="9" t="s">
        <v>39</v>
      </c>
      <c r="E430" s="10" t="s">
        <v>37</v>
      </c>
      <c r="F430" s="11"/>
      <c r="G430" t="s">
        <v>1352</v>
      </c>
      <c r="I430" t="s">
        <v>41</v>
      </c>
      <c r="J430" t="s">
        <v>1353</v>
      </c>
      <c r="K430" t="s">
        <v>43</v>
      </c>
      <c r="L430">
        <v>2</v>
      </c>
      <c r="M430" t="s">
        <v>44</v>
      </c>
      <c r="N430" t="s">
        <v>45</v>
      </c>
      <c r="O430" t="s">
        <v>46</v>
      </c>
      <c r="P430" s="5">
        <v>1</v>
      </c>
      <c r="Q430" s="12">
        <v>44754.663043981483</v>
      </c>
      <c r="R430" s="13">
        <v>44756</v>
      </c>
      <c r="T430" t="s">
        <v>47</v>
      </c>
      <c r="U430" t="s">
        <v>48</v>
      </c>
      <c r="V430" t="s">
        <v>76</v>
      </c>
      <c r="Y430" t="s">
        <v>1354</v>
      </c>
      <c r="Z430">
        <v>23000</v>
      </c>
      <c r="AA430" t="s">
        <v>47</v>
      </c>
      <c r="AB430" t="s">
        <v>48</v>
      </c>
      <c r="AC430" t="s">
        <v>53</v>
      </c>
      <c r="AD430" s="16">
        <f t="shared" si="59"/>
        <v>7</v>
      </c>
      <c r="AE430" s="15">
        <v>0</v>
      </c>
      <c r="AF430" s="15">
        <v>0</v>
      </c>
      <c r="AG430" s="15">
        <v>0</v>
      </c>
      <c r="AH430" s="15">
        <v>0</v>
      </c>
      <c r="AI430" s="15">
        <f t="shared" si="53"/>
        <v>0.42</v>
      </c>
      <c r="AJ430" s="15">
        <f t="shared" si="54"/>
        <v>7.42</v>
      </c>
      <c r="AK430" t="s">
        <v>47</v>
      </c>
    </row>
    <row r="431" spans="1:37" ht="15" customHeight="1" x14ac:dyDescent="0.35">
      <c r="A431">
        <v>690929</v>
      </c>
      <c r="B431" t="s">
        <v>37</v>
      </c>
      <c r="C431" t="s">
        <v>38</v>
      </c>
      <c r="D431" s="9" t="s">
        <v>39</v>
      </c>
      <c r="E431" s="10" t="s">
        <v>37</v>
      </c>
      <c r="F431" s="11"/>
      <c r="G431" t="s">
        <v>1355</v>
      </c>
      <c r="I431" t="s">
        <v>41</v>
      </c>
      <c r="J431" t="s">
        <v>1356</v>
      </c>
      <c r="K431" t="s">
        <v>43</v>
      </c>
      <c r="L431">
        <v>2</v>
      </c>
      <c r="M431" t="s">
        <v>44</v>
      </c>
      <c r="N431" t="s">
        <v>45</v>
      </c>
      <c r="O431" t="s">
        <v>46</v>
      </c>
      <c r="P431" s="5">
        <v>1</v>
      </c>
      <c r="Q431" s="12">
        <v>44754.527337962965</v>
      </c>
      <c r="R431" s="13">
        <v>44756</v>
      </c>
      <c r="T431" t="s">
        <v>47</v>
      </c>
      <c r="U431" t="s">
        <v>48</v>
      </c>
      <c r="V431" t="s">
        <v>138</v>
      </c>
      <c r="Y431" t="s">
        <v>1357</v>
      </c>
      <c r="Z431">
        <v>71750</v>
      </c>
      <c r="AA431" t="s">
        <v>47</v>
      </c>
      <c r="AB431" t="s">
        <v>64</v>
      </c>
      <c r="AC431" t="s">
        <v>53</v>
      </c>
      <c r="AD431" s="16">
        <f t="shared" si="59"/>
        <v>7</v>
      </c>
      <c r="AE431" s="15">
        <v>0</v>
      </c>
      <c r="AF431" s="15">
        <v>0</v>
      </c>
      <c r="AG431" s="15">
        <v>0</v>
      </c>
      <c r="AH431" s="15">
        <v>0</v>
      </c>
      <c r="AI431" s="15">
        <f t="shared" si="53"/>
        <v>0.42</v>
      </c>
      <c r="AJ431" s="15">
        <f t="shared" si="54"/>
        <v>7.42</v>
      </c>
      <c r="AK431" t="s">
        <v>47</v>
      </c>
    </row>
    <row r="432" spans="1:37" ht="15" customHeight="1" x14ac:dyDescent="0.35">
      <c r="A432">
        <v>690929</v>
      </c>
      <c r="B432" t="s">
        <v>37</v>
      </c>
      <c r="C432" t="s">
        <v>38</v>
      </c>
      <c r="D432" s="9" t="s">
        <v>39</v>
      </c>
      <c r="E432" s="10" t="s">
        <v>37</v>
      </c>
      <c r="F432" s="11"/>
      <c r="G432" t="s">
        <v>1358</v>
      </c>
      <c r="I432" t="s">
        <v>41</v>
      </c>
      <c r="J432" t="s">
        <v>1359</v>
      </c>
      <c r="K432" t="s">
        <v>43</v>
      </c>
      <c r="L432">
        <v>2</v>
      </c>
      <c r="M432" t="s">
        <v>44</v>
      </c>
      <c r="N432" t="s">
        <v>45</v>
      </c>
      <c r="O432" t="s">
        <v>46</v>
      </c>
      <c r="P432" s="5">
        <v>1</v>
      </c>
      <c r="Q432" s="12">
        <v>44754.657546296294</v>
      </c>
      <c r="R432" s="13">
        <v>44756</v>
      </c>
      <c r="T432" t="s">
        <v>47</v>
      </c>
      <c r="U432" t="s">
        <v>48</v>
      </c>
      <c r="V432" t="s">
        <v>128</v>
      </c>
      <c r="Y432" t="s">
        <v>1360</v>
      </c>
      <c r="Z432">
        <v>46000</v>
      </c>
      <c r="AA432" t="s">
        <v>47</v>
      </c>
      <c r="AB432" t="s">
        <v>64</v>
      </c>
      <c r="AC432" t="s">
        <v>53</v>
      </c>
      <c r="AD432" s="16">
        <f t="shared" si="59"/>
        <v>7</v>
      </c>
      <c r="AE432" s="15">
        <v>0</v>
      </c>
      <c r="AF432" s="15">
        <v>0</v>
      </c>
      <c r="AG432" s="15">
        <v>0</v>
      </c>
      <c r="AH432" s="15">
        <v>0</v>
      </c>
      <c r="AI432" s="15">
        <f t="shared" si="53"/>
        <v>0.42</v>
      </c>
      <c r="AJ432" s="15">
        <f t="shared" si="54"/>
        <v>7.42</v>
      </c>
      <c r="AK432" t="s">
        <v>47</v>
      </c>
    </row>
    <row r="433" spans="1:37" ht="15" customHeight="1" x14ac:dyDescent="0.35">
      <c r="A433">
        <v>690929</v>
      </c>
      <c r="B433" t="s">
        <v>37</v>
      </c>
      <c r="C433" t="s">
        <v>38</v>
      </c>
      <c r="D433" s="9" t="s">
        <v>39</v>
      </c>
      <c r="E433" s="10" t="s">
        <v>37</v>
      </c>
      <c r="F433" s="11"/>
      <c r="G433" t="s">
        <v>1361</v>
      </c>
      <c r="I433" t="s">
        <v>41</v>
      </c>
      <c r="J433" t="s">
        <v>1362</v>
      </c>
      <c r="K433" t="s">
        <v>43</v>
      </c>
      <c r="L433">
        <v>2</v>
      </c>
      <c r="M433" t="s">
        <v>44</v>
      </c>
      <c r="N433" t="s">
        <v>45</v>
      </c>
      <c r="O433" t="s">
        <v>46</v>
      </c>
      <c r="P433" s="5">
        <v>1</v>
      </c>
      <c r="Q433" s="12">
        <v>44754.627164351848</v>
      </c>
      <c r="R433" s="13">
        <v>44756</v>
      </c>
      <c r="T433" t="s">
        <v>47</v>
      </c>
      <c r="U433" t="s">
        <v>48</v>
      </c>
      <c r="V433" t="s">
        <v>85</v>
      </c>
      <c r="Y433" t="s">
        <v>1363</v>
      </c>
      <c r="Z433">
        <v>13300</v>
      </c>
      <c r="AA433" t="s">
        <v>47</v>
      </c>
      <c r="AB433" t="s">
        <v>64</v>
      </c>
      <c r="AC433" t="s">
        <v>53</v>
      </c>
      <c r="AD433" s="16">
        <f t="shared" si="59"/>
        <v>7</v>
      </c>
      <c r="AE433" s="15">
        <v>0</v>
      </c>
      <c r="AF433" s="15">
        <v>0</v>
      </c>
      <c r="AG433" s="15">
        <v>0</v>
      </c>
      <c r="AH433" s="15">
        <v>0</v>
      </c>
      <c r="AI433" s="15">
        <f t="shared" si="53"/>
        <v>0.42</v>
      </c>
      <c r="AJ433" s="15">
        <f t="shared" si="54"/>
        <v>7.42</v>
      </c>
      <c r="AK433" t="s">
        <v>47</v>
      </c>
    </row>
    <row r="434" spans="1:37" ht="15" customHeight="1" x14ac:dyDescent="0.35">
      <c r="A434">
        <v>690929</v>
      </c>
      <c r="B434" t="s">
        <v>37</v>
      </c>
      <c r="C434" t="s">
        <v>38</v>
      </c>
      <c r="D434" s="9" t="s">
        <v>39</v>
      </c>
      <c r="E434" s="10" t="s">
        <v>37</v>
      </c>
      <c r="F434" s="11"/>
      <c r="G434" t="s">
        <v>1364</v>
      </c>
      <c r="I434" t="s">
        <v>41</v>
      </c>
      <c r="J434" t="s">
        <v>1365</v>
      </c>
      <c r="K434" t="s">
        <v>43</v>
      </c>
      <c r="L434">
        <v>2</v>
      </c>
      <c r="M434" t="s">
        <v>44</v>
      </c>
      <c r="N434" t="s">
        <v>45</v>
      </c>
      <c r="O434" t="s">
        <v>46</v>
      </c>
      <c r="P434" s="5">
        <v>1</v>
      </c>
      <c r="Q434" s="12">
        <v>44754.528368055559</v>
      </c>
      <c r="R434" s="13">
        <v>44756</v>
      </c>
      <c r="T434" t="s">
        <v>47</v>
      </c>
      <c r="U434" t="s">
        <v>48</v>
      </c>
      <c r="V434" t="s">
        <v>62</v>
      </c>
      <c r="Y434" t="s">
        <v>1366</v>
      </c>
      <c r="Z434">
        <v>82200</v>
      </c>
      <c r="AA434" t="s">
        <v>47</v>
      </c>
      <c r="AB434" t="s">
        <v>64</v>
      </c>
      <c r="AC434" t="s">
        <v>53</v>
      </c>
      <c r="AD434" s="16">
        <f t="shared" si="59"/>
        <v>7</v>
      </c>
      <c r="AE434" s="15">
        <v>0</v>
      </c>
      <c r="AF434" s="15">
        <v>0</v>
      </c>
      <c r="AG434" s="15">
        <v>0</v>
      </c>
      <c r="AH434" s="15">
        <v>0</v>
      </c>
      <c r="AI434" s="15">
        <f t="shared" si="53"/>
        <v>0.42</v>
      </c>
      <c r="AJ434" s="15">
        <f t="shared" si="54"/>
        <v>7.42</v>
      </c>
      <c r="AK434" t="s">
        <v>47</v>
      </c>
    </row>
    <row r="435" spans="1:37" ht="15" customHeight="1" x14ac:dyDescent="0.35">
      <c r="A435">
        <v>690929</v>
      </c>
      <c r="B435" t="s">
        <v>37</v>
      </c>
      <c r="C435" t="s">
        <v>38</v>
      </c>
      <c r="D435" s="9" t="s">
        <v>39</v>
      </c>
      <c r="E435" s="10" t="s">
        <v>37</v>
      </c>
      <c r="F435" s="11"/>
      <c r="G435" t="s">
        <v>1367</v>
      </c>
      <c r="I435" t="s">
        <v>41</v>
      </c>
      <c r="J435" t="s">
        <v>1368</v>
      </c>
      <c r="K435" t="s">
        <v>43</v>
      </c>
      <c r="L435">
        <v>2</v>
      </c>
      <c r="M435" t="s">
        <v>44</v>
      </c>
      <c r="N435" t="s">
        <v>45</v>
      </c>
      <c r="O435" t="s">
        <v>46</v>
      </c>
      <c r="P435" s="5">
        <v>1</v>
      </c>
      <c r="Q435" s="12">
        <v>44751.76394675926</v>
      </c>
      <c r="R435" s="13">
        <v>44756</v>
      </c>
      <c r="T435" t="s">
        <v>47</v>
      </c>
      <c r="U435" t="s">
        <v>48</v>
      </c>
      <c r="V435" t="s">
        <v>114</v>
      </c>
      <c r="Y435" t="s">
        <v>1369</v>
      </c>
      <c r="Z435">
        <v>43000</v>
      </c>
      <c r="AA435" t="s">
        <v>47</v>
      </c>
      <c r="AB435" t="s">
        <v>64</v>
      </c>
      <c r="AC435" t="s">
        <v>53</v>
      </c>
      <c r="AD435" s="16">
        <f t="shared" si="59"/>
        <v>7</v>
      </c>
      <c r="AE435" s="15">
        <v>0</v>
      </c>
      <c r="AF435" s="15">
        <v>0</v>
      </c>
      <c r="AG435" s="15">
        <v>0</v>
      </c>
      <c r="AH435" s="15">
        <v>0</v>
      </c>
      <c r="AI435" s="15">
        <f t="shared" si="53"/>
        <v>0.42</v>
      </c>
      <c r="AJ435" s="15">
        <f t="shared" si="54"/>
        <v>7.42</v>
      </c>
      <c r="AK435" t="s">
        <v>47</v>
      </c>
    </row>
    <row r="436" spans="1:37" ht="15" customHeight="1" x14ac:dyDescent="0.35">
      <c r="A436">
        <v>690929</v>
      </c>
      <c r="B436" t="s">
        <v>37</v>
      </c>
      <c r="C436" t="s">
        <v>38</v>
      </c>
      <c r="D436" s="9" t="s">
        <v>39</v>
      </c>
      <c r="E436" s="10" t="s">
        <v>37</v>
      </c>
      <c r="F436" s="11"/>
      <c r="G436" t="s">
        <v>1370</v>
      </c>
      <c r="I436" t="s">
        <v>41</v>
      </c>
      <c r="J436" t="s">
        <v>1371</v>
      </c>
      <c r="K436" t="s">
        <v>43</v>
      </c>
      <c r="L436">
        <v>2</v>
      </c>
      <c r="M436" t="s">
        <v>44</v>
      </c>
      <c r="N436" t="s">
        <v>45</v>
      </c>
      <c r="O436" t="s">
        <v>46</v>
      </c>
      <c r="P436" s="5">
        <v>1</v>
      </c>
      <c r="Q436" s="12">
        <v>44754.525023148148</v>
      </c>
      <c r="R436" s="13">
        <v>44756</v>
      </c>
      <c r="T436" t="s">
        <v>47</v>
      </c>
      <c r="U436" t="s">
        <v>48</v>
      </c>
      <c r="V436" t="s">
        <v>71</v>
      </c>
      <c r="Y436" t="s">
        <v>1372</v>
      </c>
      <c r="Z436">
        <v>8100</v>
      </c>
      <c r="AA436" t="s">
        <v>47</v>
      </c>
      <c r="AB436" t="s">
        <v>64</v>
      </c>
      <c r="AC436" t="s">
        <v>53</v>
      </c>
      <c r="AD436" s="16">
        <f t="shared" si="59"/>
        <v>7</v>
      </c>
      <c r="AE436" s="15">
        <v>0</v>
      </c>
      <c r="AF436" s="15">
        <v>0</v>
      </c>
      <c r="AG436" s="15">
        <v>0</v>
      </c>
      <c r="AH436" s="15">
        <v>0</v>
      </c>
      <c r="AI436" s="15">
        <f t="shared" si="53"/>
        <v>0.42</v>
      </c>
      <c r="AJ436" s="15">
        <f t="shared" si="54"/>
        <v>7.42</v>
      </c>
      <c r="AK436" t="s">
        <v>47</v>
      </c>
    </row>
    <row r="437" spans="1:37" ht="15" customHeight="1" x14ac:dyDescent="0.35">
      <c r="A437">
        <v>690929</v>
      </c>
      <c r="B437" t="s">
        <v>37</v>
      </c>
      <c r="C437" t="s">
        <v>38</v>
      </c>
      <c r="D437" s="9" t="s">
        <v>39</v>
      </c>
      <c r="E437" s="10" t="s">
        <v>37</v>
      </c>
      <c r="F437" s="11"/>
      <c r="G437" t="s">
        <v>1373</v>
      </c>
      <c r="I437" t="s">
        <v>41</v>
      </c>
      <c r="J437" t="s">
        <v>1374</v>
      </c>
      <c r="K437" t="s">
        <v>43</v>
      </c>
      <c r="L437">
        <v>2</v>
      </c>
      <c r="M437" t="s">
        <v>44</v>
      </c>
      <c r="N437" t="s">
        <v>45</v>
      </c>
      <c r="O437" t="s">
        <v>46</v>
      </c>
      <c r="P437" s="5">
        <v>1</v>
      </c>
      <c r="Q437" s="12">
        <v>44751.762013888889</v>
      </c>
      <c r="R437" s="13">
        <v>44756</v>
      </c>
      <c r="T437" t="s">
        <v>47</v>
      </c>
      <c r="U437" t="s">
        <v>48</v>
      </c>
      <c r="V437" t="s">
        <v>62</v>
      </c>
      <c r="Y437" t="s">
        <v>1375</v>
      </c>
      <c r="Z437">
        <v>81440</v>
      </c>
      <c r="AA437" t="s">
        <v>47</v>
      </c>
      <c r="AB437" t="s">
        <v>64</v>
      </c>
      <c r="AC437" t="s">
        <v>53</v>
      </c>
      <c r="AD437" s="16">
        <f t="shared" si="59"/>
        <v>7</v>
      </c>
      <c r="AE437" s="15">
        <v>0</v>
      </c>
      <c r="AF437" s="15">
        <v>0</v>
      </c>
      <c r="AG437" s="15">
        <v>0</v>
      </c>
      <c r="AH437" s="15">
        <v>0</v>
      </c>
      <c r="AI437" s="15">
        <f t="shared" si="53"/>
        <v>0.42</v>
      </c>
      <c r="AJ437" s="15">
        <f t="shared" si="54"/>
        <v>7.42</v>
      </c>
      <c r="AK437" t="s">
        <v>47</v>
      </c>
    </row>
    <row r="438" spans="1:37" ht="15" customHeight="1" x14ac:dyDescent="0.35">
      <c r="A438">
        <v>690929</v>
      </c>
      <c r="B438" t="s">
        <v>37</v>
      </c>
      <c r="C438" t="s">
        <v>38</v>
      </c>
      <c r="D438" s="9" t="s">
        <v>39</v>
      </c>
      <c r="E438" s="10" t="s">
        <v>37</v>
      </c>
      <c r="F438" s="11"/>
      <c r="G438" t="s">
        <v>1376</v>
      </c>
      <c r="I438" t="s">
        <v>41</v>
      </c>
      <c r="J438" t="s">
        <v>1377</v>
      </c>
      <c r="K438" t="s">
        <v>43</v>
      </c>
      <c r="L438">
        <v>2</v>
      </c>
      <c r="M438" t="s">
        <v>44</v>
      </c>
      <c r="N438" t="s">
        <v>45</v>
      </c>
      <c r="O438" t="s">
        <v>46</v>
      </c>
      <c r="P438" s="5">
        <v>1</v>
      </c>
      <c r="Q438" s="12">
        <v>44754.636018518519</v>
      </c>
      <c r="R438" s="13">
        <v>44757</v>
      </c>
      <c r="T438" t="s">
        <v>47</v>
      </c>
      <c r="U438" t="s">
        <v>48</v>
      </c>
      <c r="V438" t="s">
        <v>128</v>
      </c>
      <c r="Y438" t="s">
        <v>1378</v>
      </c>
      <c r="Z438">
        <v>51200</v>
      </c>
      <c r="AA438" t="s">
        <v>47</v>
      </c>
      <c r="AB438" t="s">
        <v>64</v>
      </c>
      <c r="AC438" t="s">
        <v>53</v>
      </c>
      <c r="AD438" s="16">
        <f t="shared" si="59"/>
        <v>7</v>
      </c>
      <c r="AE438" s="15">
        <v>0</v>
      </c>
      <c r="AF438" s="15">
        <v>0</v>
      </c>
      <c r="AG438" s="15">
        <v>0</v>
      </c>
      <c r="AH438" s="15">
        <v>0</v>
      </c>
      <c r="AI438" s="15">
        <f t="shared" si="53"/>
        <v>0.42</v>
      </c>
      <c r="AJ438" s="15">
        <f t="shared" si="54"/>
        <v>7.42</v>
      </c>
      <c r="AK438" t="s">
        <v>47</v>
      </c>
    </row>
    <row r="439" spans="1:37" ht="15" customHeight="1" x14ac:dyDescent="0.35">
      <c r="A439">
        <v>690929</v>
      </c>
      <c r="B439" t="s">
        <v>37</v>
      </c>
      <c r="C439" t="s">
        <v>38</v>
      </c>
      <c r="D439" s="9" t="s">
        <v>39</v>
      </c>
      <c r="E439" s="10" t="s">
        <v>37</v>
      </c>
      <c r="F439" s="11"/>
      <c r="G439" t="s">
        <v>1379</v>
      </c>
      <c r="I439" t="s">
        <v>41</v>
      </c>
      <c r="J439" t="s">
        <v>1380</v>
      </c>
      <c r="K439" t="s">
        <v>43</v>
      </c>
      <c r="L439">
        <v>2</v>
      </c>
      <c r="M439" t="s">
        <v>44</v>
      </c>
      <c r="N439" t="s">
        <v>45</v>
      </c>
      <c r="O439" t="s">
        <v>46</v>
      </c>
      <c r="P439" s="5">
        <v>1</v>
      </c>
      <c r="Q439" s="12">
        <v>44755.689131944448</v>
      </c>
      <c r="R439" s="13">
        <v>44757</v>
      </c>
      <c r="T439" t="s">
        <v>47</v>
      </c>
      <c r="U439" t="s">
        <v>48</v>
      </c>
      <c r="V439" t="s">
        <v>176</v>
      </c>
      <c r="Y439" t="s">
        <v>1381</v>
      </c>
      <c r="Z439">
        <v>75000</v>
      </c>
      <c r="AA439" t="s">
        <v>47</v>
      </c>
      <c r="AB439" t="s">
        <v>64</v>
      </c>
      <c r="AC439" t="s">
        <v>53</v>
      </c>
      <c r="AD439" s="16">
        <f t="shared" si="59"/>
        <v>7</v>
      </c>
      <c r="AE439" s="15">
        <v>0</v>
      </c>
      <c r="AF439" s="15">
        <v>0</v>
      </c>
      <c r="AG439" s="15">
        <v>0</v>
      </c>
      <c r="AH439" s="15">
        <v>0</v>
      </c>
      <c r="AI439" s="15">
        <f t="shared" si="53"/>
        <v>0.42</v>
      </c>
      <c r="AJ439" s="15">
        <f t="shared" si="54"/>
        <v>7.42</v>
      </c>
      <c r="AK439" t="s">
        <v>47</v>
      </c>
    </row>
    <row r="440" spans="1:37" ht="15" customHeight="1" x14ac:dyDescent="0.35">
      <c r="A440">
        <v>690929</v>
      </c>
      <c r="B440" t="s">
        <v>37</v>
      </c>
      <c r="C440" t="s">
        <v>38</v>
      </c>
      <c r="D440" s="9" t="s">
        <v>39</v>
      </c>
      <c r="E440" s="10" t="s">
        <v>37</v>
      </c>
      <c r="F440" s="11"/>
      <c r="G440" t="s">
        <v>1382</v>
      </c>
      <c r="I440" t="s">
        <v>41</v>
      </c>
      <c r="J440" t="s">
        <v>1383</v>
      </c>
      <c r="K440" t="s">
        <v>43</v>
      </c>
      <c r="L440">
        <v>2</v>
      </c>
      <c r="M440" t="s">
        <v>44</v>
      </c>
      <c r="N440" t="s">
        <v>45</v>
      </c>
      <c r="O440" t="s">
        <v>46</v>
      </c>
      <c r="P440" s="5">
        <v>1</v>
      </c>
      <c r="Q440" s="12">
        <v>44754.659861111111</v>
      </c>
      <c r="R440" s="13">
        <v>44757</v>
      </c>
      <c r="T440" t="s">
        <v>47</v>
      </c>
      <c r="U440" t="s">
        <v>48</v>
      </c>
      <c r="V440" t="s">
        <v>176</v>
      </c>
      <c r="Y440" t="s">
        <v>1384</v>
      </c>
      <c r="Z440">
        <v>75450</v>
      </c>
      <c r="AA440" t="s">
        <v>47</v>
      </c>
      <c r="AB440" t="s">
        <v>64</v>
      </c>
      <c r="AC440" t="s">
        <v>53</v>
      </c>
      <c r="AD440" s="16">
        <f t="shared" si="59"/>
        <v>7</v>
      </c>
      <c r="AE440" s="15">
        <v>0</v>
      </c>
      <c r="AF440" s="15">
        <v>0</v>
      </c>
      <c r="AG440" s="15">
        <v>0</v>
      </c>
      <c r="AH440" s="15">
        <v>0</v>
      </c>
      <c r="AI440" s="15">
        <f t="shared" si="53"/>
        <v>0.42</v>
      </c>
      <c r="AJ440" s="15">
        <f t="shared" si="54"/>
        <v>7.42</v>
      </c>
      <c r="AK440" t="s">
        <v>47</v>
      </c>
    </row>
    <row r="441" spans="1:37" ht="15" customHeight="1" x14ac:dyDescent="0.35">
      <c r="A441">
        <v>690929</v>
      </c>
      <c r="B441" t="s">
        <v>37</v>
      </c>
      <c r="C441" t="s">
        <v>38</v>
      </c>
      <c r="D441" s="9" t="s">
        <v>39</v>
      </c>
      <c r="E441" s="10" t="s">
        <v>37</v>
      </c>
      <c r="F441" s="11"/>
      <c r="G441" t="s">
        <v>1385</v>
      </c>
      <c r="I441" t="s">
        <v>41</v>
      </c>
      <c r="J441" t="s">
        <v>1137</v>
      </c>
      <c r="K441" t="s">
        <v>43</v>
      </c>
      <c r="L441">
        <v>2</v>
      </c>
      <c r="M441" t="s">
        <v>44</v>
      </c>
      <c r="N441" t="s">
        <v>45</v>
      </c>
      <c r="O441" t="s">
        <v>46</v>
      </c>
      <c r="P441" s="5">
        <v>1</v>
      </c>
      <c r="Q441" s="12">
        <v>44754.661597222221</v>
      </c>
      <c r="R441" s="13">
        <v>44757</v>
      </c>
      <c r="T441" t="s">
        <v>47</v>
      </c>
      <c r="U441" t="s">
        <v>48</v>
      </c>
      <c r="V441" t="s">
        <v>138</v>
      </c>
      <c r="Y441" t="s">
        <v>1386</v>
      </c>
      <c r="Z441">
        <v>72100</v>
      </c>
      <c r="AA441" t="s">
        <v>47</v>
      </c>
      <c r="AB441" t="s">
        <v>64</v>
      </c>
      <c r="AC441" t="s">
        <v>53</v>
      </c>
      <c r="AD441" s="16">
        <f t="shared" si="59"/>
        <v>7</v>
      </c>
      <c r="AE441" s="15">
        <v>0</v>
      </c>
      <c r="AF441" s="15">
        <v>0</v>
      </c>
      <c r="AG441" s="15">
        <v>0</v>
      </c>
      <c r="AH441" s="15">
        <v>0</v>
      </c>
      <c r="AI441" s="15">
        <f t="shared" si="53"/>
        <v>0.42</v>
      </c>
      <c r="AJ441" s="15">
        <f t="shared" si="54"/>
        <v>7.42</v>
      </c>
      <c r="AK441" t="s">
        <v>47</v>
      </c>
    </row>
    <row r="442" spans="1:37" ht="15" customHeight="1" x14ac:dyDescent="0.35">
      <c r="A442">
        <v>690929</v>
      </c>
      <c r="B442" t="s">
        <v>37</v>
      </c>
      <c r="C442" t="s">
        <v>38</v>
      </c>
      <c r="D442" s="9" t="s">
        <v>39</v>
      </c>
      <c r="E442" s="10" t="s">
        <v>37</v>
      </c>
      <c r="F442" s="11"/>
      <c r="G442" t="s">
        <v>1387</v>
      </c>
      <c r="I442" t="s">
        <v>41</v>
      </c>
      <c r="J442" t="s">
        <v>1388</v>
      </c>
      <c r="K442" t="s">
        <v>43</v>
      </c>
      <c r="L442">
        <v>2</v>
      </c>
      <c r="M442" t="s">
        <v>44</v>
      </c>
      <c r="N442" t="s">
        <v>45</v>
      </c>
      <c r="O442" t="s">
        <v>46</v>
      </c>
      <c r="P442" s="5">
        <v>1</v>
      </c>
      <c r="Q442" s="12">
        <v>44754.752500000002</v>
      </c>
      <c r="R442" s="13">
        <v>44757</v>
      </c>
      <c r="T442" t="s">
        <v>47</v>
      </c>
      <c r="U442" t="s">
        <v>48</v>
      </c>
      <c r="V442" t="s">
        <v>128</v>
      </c>
      <c r="Y442" t="s">
        <v>1389</v>
      </c>
      <c r="Z442">
        <v>50480</v>
      </c>
      <c r="AA442" t="s">
        <v>47</v>
      </c>
      <c r="AB442" t="s">
        <v>64</v>
      </c>
      <c r="AC442" t="s">
        <v>53</v>
      </c>
      <c r="AD442" s="16">
        <f>IF(P442&lt;=1,7,7+0.8*ROUNDUP(P442-1,0))</f>
        <v>7</v>
      </c>
      <c r="AE442" s="15">
        <v>0</v>
      </c>
      <c r="AF442" s="15">
        <v>0</v>
      </c>
      <c r="AG442" s="15">
        <v>0</v>
      </c>
      <c r="AH442" s="15">
        <v>0</v>
      </c>
      <c r="AI442" s="15">
        <f t="shared" si="53"/>
        <v>0.42</v>
      </c>
      <c r="AJ442" s="15">
        <f t="shared" si="54"/>
        <v>7.42</v>
      </c>
      <c r="AK442" t="s">
        <v>47</v>
      </c>
    </row>
    <row r="443" spans="1:37" ht="15" customHeight="1" x14ac:dyDescent="0.35">
      <c r="A443">
        <v>690929</v>
      </c>
      <c r="B443" t="s">
        <v>37</v>
      </c>
      <c r="C443" t="s">
        <v>38</v>
      </c>
      <c r="D443" s="9" t="s">
        <v>39</v>
      </c>
      <c r="E443" s="10" t="s">
        <v>37</v>
      </c>
      <c r="F443" s="11"/>
      <c r="G443" t="s">
        <v>1390</v>
      </c>
      <c r="I443" t="s">
        <v>41</v>
      </c>
      <c r="J443" t="s">
        <v>1391</v>
      </c>
      <c r="K443" t="s">
        <v>43</v>
      </c>
      <c r="L443">
        <v>2</v>
      </c>
      <c r="M443" t="s">
        <v>44</v>
      </c>
      <c r="N443" t="s">
        <v>45</v>
      </c>
      <c r="O443" t="s">
        <v>46</v>
      </c>
      <c r="P443" s="5">
        <v>1</v>
      </c>
      <c r="Q443" s="12">
        <v>44750.501354166663</v>
      </c>
      <c r="R443" s="13">
        <v>44757</v>
      </c>
      <c r="T443" t="s">
        <v>47</v>
      </c>
      <c r="U443" t="s">
        <v>48</v>
      </c>
      <c r="V443" t="s">
        <v>57</v>
      </c>
      <c r="Y443" t="s">
        <v>1392</v>
      </c>
      <c r="Z443">
        <v>91309</v>
      </c>
      <c r="AA443" t="s">
        <v>51</v>
      </c>
      <c r="AB443" t="s">
        <v>64</v>
      </c>
      <c r="AC443" t="s">
        <v>53</v>
      </c>
      <c r="AD443" s="14">
        <f>IF(P443&lt;=1,13,IF(P443&lt;=2,23,IF(P443&lt;=3,35,IF(P443&lt;=4,43,IF(P443&lt;=5,53,IF(P443&lt;=6,63,IF(P443&lt;=7,71,IF(P443&lt;=8,79,IF(P443&lt;=9,87,IF(P443&lt;=10,95,IF(P443&lt;=11,105,IF(P443&lt;=12,114,IF(P443&lt;=13,119,IF(P443&lt;=14,127,IF(P443&lt;=15,135,IF(P443&lt;=16,143,IF(P443&lt;=17,153,IF(P443&lt;=18,163,IF(P443&lt;=19,171,IF(P443&lt;=20,185,IF(P443&lt;=21,193,IF(P443&lt;=22,201,IF(P443&lt;=23,210,IF(P443&lt;=24,220,IF(P443&lt;=25,230,IF(P443&lt;=26,240,IF(P443&lt;=27,250,IF(P443&lt;=28,260,IF(P443&lt;=29,270,IF(P443&lt;=30,280,280))))))))))))))))))))))))))))))</f>
        <v>13</v>
      </c>
      <c r="AE443" s="15">
        <v>0</v>
      </c>
      <c r="AF443" s="15">
        <v>0</v>
      </c>
      <c r="AG443" s="15">
        <v>0</v>
      </c>
      <c r="AH443" s="15">
        <v>0</v>
      </c>
      <c r="AI443" s="15">
        <f t="shared" si="53"/>
        <v>0.78</v>
      </c>
      <c r="AJ443" s="15">
        <f t="shared" si="54"/>
        <v>13.78</v>
      </c>
      <c r="AK443" t="s">
        <v>51</v>
      </c>
    </row>
    <row r="444" spans="1:37" ht="15" customHeight="1" x14ac:dyDescent="0.35">
      <c r="A444">
        <v>690929</v>
      </c>
      <c r="B444" t="s">
        <v>37</v>
      </c>
      <c r="C444" t="s">
        <v>38</v>
      </c>
      <c r="D444" s="9" t="s">
        <v>39</v>
      </c>
      <c r="E444" s="10" t="s">
        <v>37</v>
      </c>
      <c r="F444" s="11"/>
      <c r="G444" t="s">
        <v>1393</v>
      </c>
      <c r="I444" t="s">
        <v>41</v>
      </c>
      <c r="J444" t="s">
        <v>1394</v>
      </c>
      <c r="K444" t="s">
        <v>43</v>
      </c>
      <c r="L444">
        <v>2</v>
      </c>
      <c r="M444" t="s">
        <v>44</v>
      </c>
      <c r="N444" t="s">
        <v>45</v>
      </c>
      <c r="O444" t="s">
        <v>46</v>
      </c>
      <c r="P444" s="5">
        <v>1</v>
      </c>
      <c r="Q444" s="12">
        <v>44756.735601851855</v>
      </c>
      <c r="R444" s="13">
        <v>44757</v>
      </c>
      <c r="T444" t="s">
        <v>47</v>
      </c>
      <c r="U444" t="s">
        <v>48</v>
      </c>
      <c r="V444" t="s">
        <v>67</v>
      </c>
      <c r="Y444" t="s">
        <v>1395</v>
      </c>
      <c r="Z444">
        <v>26800</v>
      </c>
      <c r="AA444" t="s">
        <v>47</v>
      </c>
      <c r="AB444" t="s">
        <v>48</v>
      </c>
      <c r="AC444" t="s">
        <v>53</v>
      </c>
      <c r="AD444" s="16">
        <f t="shared" ref="AD444:AD464" si="60">IF(P444&lt;=1,7,7+0.8*ROUNDUP(P444-1,0))</f>
        <v>7</v>
      </c>
      <c r="AE444" s="15">
        <v>0</v>
      </c>
      <c r="AF444" s="15">
        <v>0</v>
      </c>
      <c r="AG444" s="15">
        <v>0</v>
      </c>
      <c r="AH444" s="15">
        <v>0</v>
      </c>
      <c r="AI444" s="15">
        <f t="shared" si="53"/>
        <v>0.42</v>
      </c>
      <c r="AJ444" s="15">
        <f t="shared" si="54"/>
        <v>7.42</v>
      </c>
      <c r="AK444" t="s">
        <v>47</v>
      </c>
    </row>
    <row r="445" spans="1:37" ht="15" customHeight="1" x14ac:dyDescent="0.35">
      <c r="A445">
        <v>690929</v>
      </c>
      <c r="B445" t="s">
        <v>37</v>
      </c>
      <c r="C445" t="s">
        <v>38</v>
      </c>
      <c r="D445" s="9" t="s">
        <v>39</v>
      </c>
      <c r="E445" s="10" t="s">
        <v>37</v>
      </c>
      <c r="F445" s="11"/>
      <c r="G445" t="s">
        <v>1396</v>
      </c>
      <c r="I445" t="s">
        <v>41</v>
      </c>
      <c r="J445" t="s">
        <v>1397</v>
      </c>
      <c r="K445" t="s">
        <v>43</v>
      </c>
      <c r="L445">
        <v>2</v>
      </c>
      <c r="M445" t="s">
        <v>44</v>
      </c>
      <c r="N445" t="s">
        <v>45</v>
      </c>
      <c r="O445" t="s">
        <v>46</v>
      </c>
      <c r="P445" s="5">
        <v>1</v>
      </c>
      <c r="Q445" s="12">
        <v>44755.713055555556</v>
      </c>
      <c r="R445" s="13">
        <v>44757</v>
      </c>
      <c r="T445" t="s">
        <v>47</v>
      </c>
      <c r="U445" t="s">
        <v>48</v>
      </c>
      <c r="V445" t="s">
        <v>114</v>
      </c>
      <c r="Y445" t="s">
        <v>1398</v>
      </c>
      <c r="Z445">
        <v>62150</v>
      </c>
      <c r="AA445" t="s">
        <v>47</v>
      </c>
      <c r="AB445" t="s">
        <v>64</v>
      </c>
      <c r="AC445" t="s">
        <v>53</v>
      </c>
      <c r="AD445" s="16">
        <f t="shared" si="60"/>
        <v>7</v>
      </c>
      <c r="AE445" s="15">
        <v>0</v>
      </c>
      <c r="AF445" s="15">
        <v>0</v>
      </c>
      <c r="AG445" s="15">
        <v>0</v>
      </c>
      <c r="AH445" s="15">
        <v>0</v>
      </c>
      <c r="AI445" s="15">
        <f t="shared" si="53"/>
        <v>0.42</v>
      </c>
      <c r="AJ445" s="15">
        <f t="shared" si="54"/>
        <v>7.42</v>
      </c>
      <c r="AK445" t="s">
        <v>47</v>
      </c>
    </row>
    <row r="446" spans="1:37" ht="15" customHeight="1" x14ac:dyDescent="0.35">
      <c r="A446">
        <v>690929</v>
      </c>
      <c r="B446" t="s">
        <v>37</v>
      </c>
      <c r="C446" t="s">
        <v>38</v>
      </c>
      <c r="D446" s="9" t="s">
        <v>39</v>
      </c>
      <c r="E446" s="10" t="s">
        <v>37</v>
      </c>
      <c r="F446" s="11"/>
      <c r="G446" t="s">
        <v>1399</v>
      </c>
      <c r="I446" t="s">
        <v>41</v>
      </c>
      <c r="J446" t="s">
        <v>1400</v>
      </c>
      <c r="K446" t="s">
        <v>43</v>
      </c>
      <c r="L446">
        <v>2</v>
      </c>
      <c r="M446" t="s">
        <v>44</v>
      </c>
      <c r="N446" t="s">
        <v>45</v>
      </c>
      <c r="O446" t="s">
        <v>46</v>
      </c>
      <c r="P446" s="5">
        <v>1</v>
      </c>
      <c r="Q446" s="12">
        <v>44756.555127314816</v>
      </c>
      <c r="R446" s="13">
        <v>44757</v>
      </c>
      <c r="T446" t="s">
        <v>47</v>
      </c>
      <c r="U446" t="s">
        <v>48</v>
      </c>
      <c r="V446" t="s">
        <v>76</v>
      </c>
      <c r="Y446" t="s">
        <v>1401</v>
      </c>
      <c r="Z446">
        <v>23100</v>
      </c>
      <c r="AA446" t="s">
        <v>47</v>
      </c>
      <c r="AB446" t="s">
        <v>48</v>
      </c>
      <c r="AC446" t="s">
        <v>53</v>
      </c>
      <c r="AD446" s="16">
        <f t="shared" si="60"/>
        <v>7</v>
      </c>
      <c r="AE446" s="15">
        <v>0</v>
      </c>
      <c r="AF446" s="15">
        <v>0</v>
      </c>
      <c r="AG446" s="15">
        <v>0</v>
      </c>
      <c r="AH446" s="15">
        <v>0</v>
      </c>
      <c r="AI446" s="15">
        <f t="shared" si="53"/>
        <v>0.42</v>
      </c>
      <c r="AJ446" s="15">
        <f t="shared" si="54"/>
        <v>7.42</v>
      </c>
      <c r="AK446" t="s">
        <v>47</v>
      </c>
    </row>
    <row r="447" spans="1:37" ht="15" customHeight="1" x14ac:dyDescent="0.35">
      <c r="A447">
        <v>690929</v>
      </c>
      <c r="B447" t="s">
        <v>37</v>
      </c>
      <c r="C447" t="s">
        <v>38</v>
      </c>
      <c r="D447" s="9" t="s">
        <v>39</v>
      </c>
      <c r="E447" s="10" t="s">
        <v>37</v>
      </c>
      <c r="F447" s="11"/>
      <c r="G447" t="s">
        <v>1402</v>
      </c>
      <c r="I447" t="s">
        <v>41</v>
      </c>
      <c r="J447" t="s">
        <v>1403</v>
      </c>
      <c r="K447" t="s">
        <v>43</v>
      </c>
      <c r="L447">
        <v>2</v>
      </c>
      <c r="M447" t="s">
        <v>44</v>
      </c>
      <c r="N447" t="s">
        <v>45</v>
      </c>
      <c r="O447" t="s">
        <v>46</v>
      </c>
      <c r="P447" s="5">
        <v>1</v>
      </c>
      <c r="Q447" s="12">
        <v>44756.586400462962</v>
      </c>
      <c r="R447" s="13">
        <v>44757</v>
      </c>
      <c r="T447" t="s">
        <v>47</v>
      </c>
      <c r="U447" t="s">
        <v>48</v>
      </c>
      <c r="V447" t="s">
        <v>67</v>
      </c>
      <c r="Y447" t="s">
        <v>1404</v>
      </c>
      <c r="Z447">
        <v>26410</v>
      </c>
      <c r="AA447" t="s">
        <v>47</v>
      </c>
      <c r="AB447" t="s">
        <v>48</v>
      </c>
      <c r="AC447" t="s">
        <v>53</v>
      </c>
      <c r="AD447" s="16">
        <f t="shared" si="60"/>
        <v>7</v>
      </c>
      <c r="AE447" s="15">
        <v>0</v>
      </c>
      <c r="AF447" s="15">
        <v>0</v>
      </c>
      <c r="AG447" s="15">
        <v>0</v>
      </c>
      <c r="AH447" s="15">
        <v>0</v>
      </c>
      <c r="AI447" s="15">
        <f t="shared" si="53"/>
        <v>0.42</v>
      </c>
      <c r="AJ447" s="15">
        <f t="shared" si="54"/>
        <v>7.42</v>
      </c>
      <c r="AK447" t="s">
        <v>47</v>
      </c>
    </row>
    <row r="448" spans="1:37" ht="15" customHeight="1" x14ac:dyDescent="0.35">
      <c r="A448">
        <v>690929</v>
      </c>
      <c r="B448" t="s">
        <v>37</v>
      </c>
      <c r="C448" t="s">
        <v>38</v>
      </c>
      <c r="D448" s="9" t="s">
        <v>39</v>
      </c>
      <c r="E448" s="10" t="s">
        <v>37</v>
      </c>
      <c r="F448" s="11"/>
      <c r="G448" t="s">
        <v>1405</v>
      </c>
      <c r="I448" t="s">
        <v>41</v>
      </c>
      <c r="J448" t="s">
        <v>1406</v>
      </c>
      <c r="K448" t="s">
        <v>43</v>
      </c>
      <c r="L448">
        <v>2</v>
      </c>
      <c r="M448" t="s">
        <v>44</v>
      </c>
      <c r="N448" t="s">
        <v>45</v>
      </c>
      <c r="O448" t="s">
        <v>46</v>
      </c>
      <c r="P448" s="5">
        <v>1</v>
      </c>
      <c r="Q448" s="12">
        <v>44756.541516203702</v>
      </c>
      <c r="R448" s="13">
        <v>44757</v>
      </c>
      <c r="T448" t="s">
        <v>47</v>
      </c>
      <c r="U448" t="s">
        <v>48</v>
      </c>
      <c r="V448" t="s">
        <v>114</v>
      </c>
      <c r="Y448" t="s">
        <v>1407</v>
      </c>
      <c r="Z448">
        <v>45200</v>
      </c>
      <c r="AA448" t="s">
        <v>47</v>
      </c>
      <c r="AB448" t="s">
        <v>64</v>
      </c>
      <c r="AC448" t="s">
        <v>53</v>
      </c>
      <c r="AD448" s="16">
        <f t="shared" si="60"/>
        <v>7</v>
      </c>
      <c r="AE448" s="15">
        <v>0</v>
      </c>
      <c r="AF448" s="15">
        <v>0</v>
      </c>
      <c r="AG448" s="15">
        <v>0</v>
      </c>
      <c r="AH448" s="15">
        <v>0</v>
      </c>
      <c r="AI448" s="15">
        <f t="shared" si="53"/>
        <v>0.42</v>
      </c>
      <c r="AJ448" s="15">
        <f t="shared" si="54"/>
        <v>7.42</v>
      </c>
      <c r="AK448" t="s">
        <v>47</v>
      </c>
    </row>
    <row r="449" spans="1:37" ht="15" customHeight="1" x14ac:dyDescent="0.35">
      <c r="A449">
        <v>690929</v>
      </c>
      <c r="B449" t="s">
        <v>37</v>
      </c>
      <c r="C449" t="s">
        <v>38</v>
      </c>
      <c r="D449" s="9" t="s">
        <v>39</v>
      </c>
      <c r="E449" s="10" t="s">
        <v>37</v>
      </c>
      <c r="F449" s="11"/>
      <c r="G449" t="s">
        <v>1408</v>
      </c>
      <c r="I449" t="s">
        <v>41</v>
      </c>
      <c r="J449" t="s">
        <v>1409</v>
      </c>
      <c r="K449" t="s">
        <v>43</v>
      </c>
      <c r="L449">
        <v>2</v>
      </c>
      <c r="M449" t="s">
        <v>44</v>
      </c>
      <c r="N449" t="s">
        <v>45</v>
      </c>
      <c r="O449" t="s">
        <v>46</v>
      </c>
      <c r="P449" s="5">
        <v>11</v>
      </c>
      <c r="Q449" s="12">
        <v>44756.527581018519</v>
      </c>
      <c r="R449" s="13">
        <v>44757</v>
      </c>
      <c r="T449" t="s">
        <v>47</v>
      </c>
      <c r="U449" t="s">
        <v>48</v>
      </c>
      <c r="V449" t="s">
        <v>96</v>
      </c>
      <c r="Y449" t="s">
        <v>1410</v>
      </c>
      <c r="Z449">
        <v>16450</v>
      </c>
      <c r="AA449" t="s">
        <v>47</v>
      </c>
      <c r="AB449" t="s">
        <v>270</v>
      </c>
      <c r="AC449" t="s">
        <v>53</v>
      </c>
      <c r="AD449" s="16">
        <f t="shared" si="60"/>
        <v>15</v>
      </c>
      <c r="AE449" s="15">
        <v>0</v>
      </c>
      <c r="AF449" s="15">
        <v>0</v>
      </c>
      <c r="AG449" s="15">
        <v>0</v>
      </c>
      <c r="AH449" s="15">
        <v>0</v>
      </c>
      <c r="AI449" s="15">
        <f t="shared" si="53"/>
        <v>0.89999999999999991</v>
      </c>
      <c r="AJ449" s="15">
        <f t="shared" si="54"/>
        <v>15.9</v>
      </c>
      <c r="AK449" t="s">
        <v>47</v>
      </c>
    </row>
    <row r="450" spans="1:37" ht="15" customHeight="1" x14ac:dyDescent="0.35">
      <c r="A450">
        <v>690929</v>
      </c>
      <c r="B450" t="s">
        <v>37</v>
      </c>
      <c r="C450" t="s">
        <v>38</v>
      </c>
      <c r="D450" s="9" t="s">
        <v>39</v>
      </c>
      <c r="E450" s="10" t="s">
        <v>37</v>
      </c>
      <c r="F450" s="11"/>
      <c r="G450" t="s">
        <v>1411</v>
      </c>
      <c r="I450" t="s">
        <v>41</v>
      </c>
      <c r="J450" t="s">
        <v>1412</v>
      </c>
      <c r="K450" t="s">
        <v>43</v>
      </c>
      <c r="L450">
        <v>2</v>
      </c>
      <c r="M450" t="s">
        <v>44</v>
      </c>
      <c r="N450" t="s">
        <v>45</v>
      </c>
      <c r="O450" t="s">
        <v>46</v>
      </c>
      <c r="P450" s="5">
        <v>1</v>
      </c>
      <c r="Q450" s="12">
        <v>44755.696793981479</v>
      </c>
      <c r="R450" s="13">
        <v>44757</v>
      </c>
      <c r="T450" t="s">
        <v>47</v>
      </c>
      <c r="U450" t="s">
        <v>48</v>
      </c>
      <c r="V450" t="s">
        <v>71</v>
      </c>
      <c r="Y450" t="s">
        <v>1413</v>
      </c>
      <c r="Z450">
        <v>8000</v>
      </c>
      <c r="AA450" t="s">
        <v>47</v>
      </c>
      <c r="AB450" t="s">
        <v>64</v>
      </c>
      <c r="AC450" t="s">
        <v>53</v>
      </c>
      <c r="AD450" s="16">
        <f t="shared" si="60"/>
        <v>7</v>
      </c>
      <c r="AE450" s="15">
        <v>0</v>
      </c>
      <c r="AF450" s="15">
        <v>0</v>
      </c>
      <c r="AG450" s="15">
        <v>0</v>
      </c>
      <c r="AH450" s="15">
        <v>0</v>
      </c>
      <c r="AI450" s="15">
        <f t="shared" ref="AI450:AI513" si="61">(AD450+AF450+AH450)*6%</f>
        <v>0.42</v>
      </c>
      <c r="AJ450" s="15">
        <f t="shared" ref="AJ450:AJ513" si="62">AD450+AF450+AH450+AI450</f>
        <v>7.42</v>
      </c>
      <c r="AK450" t="s">
        <v>47</v>
      </c>
    </row>
    <row r="451" spans="1:37" ht="15" customHeight="1" x14ac:dyDescent="0.35">
      <c r="A451">
        <v>690929</v>
      </c>
      <c r="B451" t="s">
        <v>37</v>
      </c>
      <c r="C451" t="s">
        <v>38</v>
      </c>
      <c r="D451" s="9" t="s">
        <v>39</v>
      </c>
      <c r="E451" s="10" t="s">
        <v>37</v>
      </c>
      <c r="F451" s="11"/>
      <c r="G451" t="s">
        <v>1414</v>
      </c>
      <c r="I451" t="s">
        <v>41</v>
      </c>
      <c r="J451" t="s">
        <v>1415</v>
      </c>
      <c r="K451" t="s">
        <v>43</v>
      </c>
      <c r="L451">
        <v>2</v>
      </c>
      <c r="M451" t="s">
        <v>44</v>
      </c>
      <c r="N451" t="s">
        <v>45</v>
      </c>
      <c r="O451" t="s">
        <v>46</v>
      </c>
      <c r="P451" s="5">
        <v>1</v>
      </c>
      <c r="Q451" s="12">
        <v>44756.549444444441</v>
      </c>
      <c r="R451" s="13">
        <v>44757</v>
      </c>
      <c r="T451" t="s">
        <v>47</v>
      </c>
      <c r="U451" t="s">
        <v>48</v>
      </c>
      <c r="V451" t="s">
        <v>76</v>
      </c>
      <c r="Y451" t="s">
        <v>1416</v>
      </c>
      <c r="Z451">
        <v>21450</v>
      </c>
      <c r="AA451" t="s">
        <v>47</v>
      </c>
      <c r="AB451" t="s">
        <v>48</v>
      </c>
      <c r="AC451" t="s">
        <v>53</v>
      </c>
      <c r="AD451" s="16">
        <f t="shared" si="60"/>
        <v>7</v>
      </c>
      <c r="AE451" s="15">
        <v>0</v>
      </c>
      <c r="AF451" s="15">
        <v>0</v>
      </c>
      <c r="AG451" s="15">
        <v>0</v>
      </c>
      <c r="AH451" s="15">
        <v>0</v>
      </c>
      <c r="AI451" s="15">
        <f t="shared" si="61"/>
        <v>0.42</v>
      </c>
      <c r="AJ451" s="15">
        <f t="shared" si="62"/>
        <v>7.42</v>
      </c>
      <c r="AK451" t="s">
        <v>47</v>
      </c>
    </row>
    <row r="452" spans="1:37" ht="15" customHeight="1" x14ac:dyDescent="0.35">
      <c r="A452">
        <v>690929</v>
      </c>
      <c r="B452" t="s">
        <v>37</v>
      </c>
      <c r="C452" t="s">
        <v>38</v>
      </c>
      <c r="D452" s="9" t="s">
        <v>39</v>
      </c>
      <c r="E452" s="10" t="s">
        <v>37</v>
      </c>
      <c r="F452" s="11"/>
      <c r="G452" t="s">
        <v>1417</v>
      </c>
      <c r="I452" t="s">
        <v>41</v>
      </c>
      <c r="J452" t="s">
        <v>1418</v>
      </c>
      <c r="K452" t="s">
        <v>43</v>
      </c>
      <c r="L452">
        <v>2</v>
      </c>
      <c r="M452" t="s">
        <v>44</v>
      </c>
      <c r="N452" t="s">
        <v>45</v>
      </c>
      <c r="O452" t="s">
        <v>46</v>
      </c>
      <c r="P452" s="5">
        <v>1</v>
      </c>
      <c r="Q452" s="12">
        <v>44754.685381944444</v>
      </c>
      <c r="R452" s="13">
        <v>44757</v>
      </c>
      <c r="T452" t="s">
        <v>47</v>
      </c>
      <c r="U452" t="s">
        <v>48</v>
      </c>
      <c r="V452" t="s">
        <v>96</v>
      </c>
      <c r="Y452" t="s">
        <v>1419</v>
      </c>
      <c r="Z452">
        <v>18300</v>
      </c>
      <c r="AA452" t="s">
        <v>47</v>
      </c>
      <c r="AB452" t="s">
        <v>225</v>
      </c>
      <c r="AC452" t="s">
        <v>53</v>
      </c>
      <c r="AD452" s="16">
        <f t="shared" si="60"/>
        <v>7</v>
      </c>
      <c r="AE452" s="15">
        <v>0</v>
      </c>
      <c r="AF452" s="15">
        <v>0</v>
      </c>
      <c r="AG452" s="15">
        <v>0</v>
      </c>
      <c r="AH452" s="15">
        <v>0</v>
      </c>
      <c r="AI452" s="15">
        <f t="shared" si="61"/>
        <v>0.42</v>
      </c>
      <c r="AJ452" s="15">
        <f t="shared" si="62"/>
        <v>7.42</v>
      </c>
      <c r="AK452" t="s">
        <v>47</v>
      </c>
    </row>
    <row r="453" spans="1:37" ht="15" customHeight="1" x14ac:dyDescent="0.35">
      <c r="A453">
        <v>690929</v>
      </c>
      <c r="B453" t="s">
        <v>37</v>
      </c>
      <c r="C453" t="s">
        <v>38</v>
      </c>
      <c r="D453" s="9" t="s">
        <v>39</v>
      </c>
      <c r="E453" s="10" t="s">
        <v>37</v>
      </c>
      <c r="F453" s="11"/>
      <c r="G453" t="s">
        <v>1420</v>
      </c>
      <c r="I453" t="s">
        <v>41</v>
      </c>
      <c r="J453" t="s">
        <v>1421</v>
      </c>
      <c r="K453" t="s">
        <v>43</v>
      </c>
      <c r="L453">
        <v>2</v>
      </c>
      <c r="M453" t="s">
        <v>44</v>
      </c>
      <c r="N453" t="s">
        <v>45</v>
      </c>
      <c r="O453" t="s">
        <v>46</v>
      </c>
      <c r="P453" s="5">
        <v>1</v>
      </c>
      <c r="Q453" s="12">
        <v>44755.699803240743</v>
      </c>
      <c r="R453" s="13">
        <v>44757</v>
      </c>
      <c r="T453" t="s">
        <v>47</v>
      </c>
      <c r="U453" t="s">
        <v>48</v>
      </c>
      <c r="V453" t="s">
        <v>128</v>
      </c>
      <c r="Y453" t="s">
        <v>1422</v>
      </c>
      <c r="Z453">
        <v>46000</v>
      </c>
      <c r="AA453" t="s">
        <v>47</v>
      </c>
      <c r="AB453" t="s">
        <v>64</v>
      </c>
      <c r="AC453" t="s">
        <v>53</v>
      </c>
      <c r="AD453" s="16">
        <f t="shared" si="60"/>
        <v>7</v>
      </c>
      <c r="AE453" s="15">
        <v>0</v>
      </c>
      <c r="AF453" s="15">
        <v>0</v>
      </c>
      <c r="AG453" s="15">
        <v>0</v>
      </c>
      <c r="AH453" s="15">
        <v>0</v>
      </c>
      <c r="AI453" s="15">
        <f t="shared" si="61"/>
        <v>0.42</v>
      </c>
      <c r="AJ453" s="15">
        <f t="shared" si="62"/>
        <v>7.42</v>
      </c>
      <c r="AK453" t="s">
        <v>47</v>
      </c>
    </row>
    <row r="454" spans="1:37" ht="15" customHeight="1" x14ac:dyDescent="0.35">
      <c r="A454">
        <v>690929</v>
      </c>
      <c r="B454" t="s">
        <v>37</v>
      </c>
      <c r="C454" t="s">
        <v>38</v>
      </c>
      <c r="D454" s="9" t="s">
        <v>39</v>
      </c>
      <c r="E454" s="10" t="s">
        <v>37</v>
      </c>
      <c r="F454" s="11"/>
      <c r="G454" t="s">
        <v>1423</v>
      </c>
      <c r="I454" t="s">
        <v>41</v>
      </c>
      <c r="J454" t="s">
        <v>1424</v>
      </c>
      <c r="K454" t="s">
        <v>43</v>
      </c>
      <c r="L454">
        <v>2</v>
      </c>
      <c r="M454" t="s">
        <v>44</v>
      </c>
      <c r="N454" t="s">
        <v>45</v>
      </c>
      <c r="O454" t="s">
        <v>46</v>
      </c>
      <c r="P454" s="5">
        <v>1</v>
      </c>
      <c r="Q454" s="12">
        <v>44756.555949074071</v>
      </c>
      <c r="R454" s="13">
        <v>44757</v>
      </c>
      <c r="T454" t="s">
        <v>47</v>
      </c>
      <c r="U454" t="s">
        <v>48</v>
      </c>
      <c r="V454" t="s">
        <v>76</v>
      </c>
      <c r="Y454" t="s">
        <v>1425</v>
      </c>
      <c r="Z454">
        <v>23100</v>
      </c>
      <c r="AA454" t="s">
        <v>47</v>
      </c>
      <c r="AB454" t="s">
        <v>48</v>
      </c>
      <c r="AC454" t="s">
        <v>53</v>
      </c>
      <c r="AD454" s="16">
        <f t="shared" si="60"/>
        <v>7</v>
      </c>
      <c r="AE454" s="15">
        <v>0</v>
      </c>
      <c r="AF454" s="15">
        <v>0</v>
      </c>
      <c r="AG454" s="15">
        <v>0</v>
      </c>
      <c r="AH454" s="15">
        <v>0</v>
      </c>
      <c r="AI454" s="15">
        <f t="shared" si="61"/>
        <v>0.42</v>
      </c>
      <c r="AJ454" s="15">
        <f t="shared" si="62"/>
        <v>7.42</v>
      </c>
      <c r="AK454" t="s">
        <v>47</v>
      </c>
    </row>
    <row r="455" spans="1:37" ht="15" customHeight="1" x14ac:dyDescent="0.35">
      <c r="A455">
        <v>690929</v>
      </c>
      <c r="B455" t="s">
        <v>37</v>
      </c>
      <c r="C455" t="s">
        <v>38</v>
      </c>
      <c r="D455" s="9" t="s">
        <v>39</v>
      </c>
      <c r="E455" s="10" t="s">
        <v>37</v>
      </c>
      <c r="F455" s="11"/>
      <c r="G455" t="s">
        <v>1426</v>
      </c>
      <c r="I455" t="s">
        <v>41</v>
      </c>
      <c r="J455" t="s">
        <v>1427</v>
      </c>
      <c r="K455" t="s">
        <v>43</v>
      </c>
      <c r="L455">
        <v>2</v>
      </c>
      <c r="M455" t="s">
        <v>44</v>
      </c>
      <c r="N455" t="s">
        <v>45</v>
      </c>
      <c r="O455" t="s">
        <v>46</v>
      </c>
      <c r="P455" s="5">
        <v>1</v>
      </c>
      <c r="Q455" s="12">
        <v>44754.641423611109</v>
      </c>
      <c r="R455" s="13">
        <v>44757</v>
      </c>
      <c r="T455" t="s">
        <v>47</v>
      </c>
      <c r="U455" t="s">
        <v>48</v>
      </c>
      <c r="V455" t="s">
        <v>176</v>
      </c>
      <c r="Y455" t="s">
        <v>1428</v>
      </c>
      <c r="Z455">
        <v>75460</v>
      </c>
      <c r="AA455" t="s">
        <v>47</v>
      </c>
      <c r="AB455" t="s">
        <v>64</v>
      </c>
      <c r="AC455" t="s">
        <v>53</v>
      </c>
      <c r="AD455" s="16">
        <f t="shared" si="60"/>
        <v>7</v>
      </c>
      <c r="AE455" s="15">
        <v>0</v>
      </c>
      <c r="AF455" s="15">
        <v>0</v>
      </c>
      <c r="AG455" s="15">
        <v>0</v>
      </c>
      <c r="AH455" s="15">
        <v>0</v>
      </c>
      <c r="AI455" s="15">
        <f t="shared" si="61"/>
        <v>0.42</v>
      </c>
      <c r="AJ455" s="15">
        <f t="shared" si="62"/>
        <v>7.42</v>
      </c>
      <c r="AK455" t="s">
        <v>47</v>
      </c>
    </row>
    <row r="456" spans="1:37" ht="15" customHeight="1" x14ac:dyDescent="0.35">
      <c r="A456">
        <v>690929</v>
      </c>
      <c r="B456" t="s">
        <v>37</v>
      </c>
      <c r="C456" t="s">
        <v>38</v>
      </c>
      <c r="D456" s="9" t="s">
        <v>39</v>
      </c>
      <c r="E456" s="10" t="s">
        <v>37</v>
      </c>
      <c r="F456" s="11"/>
      <c r="G456" t="s">
        <v>1429</v>
      </c>
      <c r="I456" t="s">
        <v>41</v>
      </c>
      <c r="J456" t="s">
        <v>1430</v>
      </c>
      <c r="K456" t="s">
        <v>43</v>
      </c>
      <c r="L456">
        <v>2</v>
      </c>
      <c r="M456" t="s">
        <v>44</v>
      </c>
      <c r="N456" t="s">
        <v>45</v>
      </c>
      <c r="O456" t="s">
        <v>46</v>
      </c>
      <c r="P456" s="5">
        <v>1</v>
      </c>
      <c r="Q456" s="12">
        <v>44755.698414351849</v>
      </c>
      <c r="R456" s="13">
        <v>44757</v>
      </c>
      <c r="T456" t="s">
        <v>47</v>
      </c>
      <c r="U456" t="s">
        <v>48</v>
      </c>
      <c r="V456" t="s">
        <v>85</v>
      </c>
      <c r="Y456" t="s">
        <v>1431</v>
      </c>
      <c r="Z456">
        <v>11960</v>
      </c>
      <c r="AA456" t="s">
        <v>47</v>
      </c>
      <c r="AB456" t="s">
        <v>64</v>
      </c>
      <c r="AC456" t="s">
        <v>53</v>
      </c>
      <c r="AD456" s="16">
        <f t="shared" si="60"/>
        <v>7</v>
      </c>
      <c r="AE456" s="15">
        <v>0</v>
      </c>
      <c r="AF456" s="15">
        <v>0</v>
      </c>
      <c r="AG456" s="15">
        <v>0</v>
      </c>
      <c r="AH456" s="15">
        <v>0</v>
      </c>
      <c r="AI456" s="15">
        <f t="shared" si="61"/>
        <v>0.42</v>
      </c>
      <c r="AJ456" s="15">
        <f t="shared" si="62"/>
        <v>7.42</v>
      </c>
      <c r="AK456" t="s">
        <v>47</v>
      </c>
    </row>
    <row r="457" spans="1:37" ht="15" customHeight="1" x14ac:dyDescent="0.35">
      <c r="A457">
        <v>690929</v>
      </c>
      <c r="B457" t="s">
        <v>37</v>
      </c>
      <c r="C457" t="s">
        <v>38</v>
      </c>
      <c r="D457" s="9" t="s">
        <v>39</v>
      </c>
      <c r="E457" s="10" t="s">
        <v>37</v>
      </c>
      <c r="F457" s="11"/>
      <c r="G457" t="s">
        <v>1432</v>
      </c>
      <c r="I457" t="s">
        <v>41</v>
      </c>
      <c r="J457" t="s">
        <v>1433</v>
      </c>
      <c r="K457" t="s">
        <v>43</v>
      </c>
      <c r="L457">
        <v>2</v>
      </c>
      <c r="M457" t="s">
        <v>44</v>
      </c>
      <c r="N457" t="s">
        <v>45</v>
      </c>
      <c r="O457" t="s">
        <v>46</v>
      </c>
      <c r="P457" s="5">
        <v>1</v>
      </c>
      <c r="Q457" s="12">
        <v>44754.647881944446</v>
      </c>
      <c r="R457" s="13">
        <v>44757</v>
      </c>
      <c r="T457" t="s">
        <v>47</v>
      </c>
      <c r="U457" t="s">
        <v>48</v>
      </c>
      <c r="V457" t="s">
        <v>62</v>
      </c>
      <c r="Y457" t="s">
        <v>1434</v>
      </c>
      <c r="Z457">
        <v>86400</v>
      </c>
      <c r="AA457" t="s">
        <v>47</v>
      </c>
      <c r="AB457" t="s">
        <v>64</v>
      </c>
      <c r="AC457" t="s">
        <v>53</v>
      </c>
      <c r="AD457" s="16">
        <f t="shared" si="60"/>
        <v>7</v>
      </c>
      <c r="AE457" s="15">
        <v>0</v>
      </c>
      <c r="AF457" s="15">
        <v>0</v>
      </c>
      <c r="AG457" s="15">
        <v>0</v>
      </c>
      <c r="AH457" s="15">
        <v>0</v>
      </c>
      <c r="AI457" s="15">
        <f t="shared" si="61"/>
        <v>0.42</v>
      </c>
      <c r="AJ457" s="15">
        <f t="shared" si="62"/>
        <v>7.42</v>
      </c>
      <c r="AK457" t="s">
        <v>47</v>
      </c>
    </row>
    <row r="458" spans="1:37" ht="15" customHeight="1" x14ac:dyDescent="0.35">
      <c r="A458">
        <v>690929</v>
      </c>
      <c r="B458" t="s">
        <v>37</v>
      </c>
      <c r="C458" t="s">
        <v>38</v>
      </c>
      <c r="D458" s="9" t="s">
        <v>39</v>
      </c>
      <c r="E458" s="10" t="s">
        <v>37</v>
      </c>
      <c r="F458" s="11"/>
      <c r="G458" t="s">
        <v>1435</v>
      </c>
      <c r="I458" t="s">
        <v>41</v>
      </c>
      <c r="J458" t="s">
        <v>1436</v>
      </c>
      <c r="K458" t="s">
        <v>43</v>
      </c>
      <c r="L458">
        <v>2</v>
      </c>
      <c r="M458" t="s">
        <v>44</v>
      </c>
      <c r="N458" t="s">
        <v>45</v>
      </c>
      <c r="O458" t="s">
        <v>46</v>
      </c>
      <c r="P458" s="5">
        <v>1</v>
      </c>
      <c r="Q458" s="12">
        <v>44756.602754629632</v>
      </c>
      <c r="R458" s="13">
        <v>44757</v>
      </c>
      <c r="T458" t="s">
        <v>47</v>
      </c>
      <c r="U458" t="s">
        <v>48</v>
      </c>
      <c r="V458" t="s">
        <v>114</v>
      </c>
      <c r="Y458" t="s">
        <v>1437</v>
      </c>
      <c r="Z458">
        <v>43300</v>
      </c>
      <c r="AA458" t="s">
        <v>47</v>
      </c>
      <c r="AB458" t="s">
        <v>64</v>
      </c>
      <c r="AC458" t="s">
        <v>53</v>
      </c>
      <c r="AD458" s="16">
        <f t="shared" si="60"/>
        <v>7</v>
      </c>
      <c r="AE458" s="15">
        <v>0</v>
      </c>
      <c r="AF458" s="15">
        <v>0</v>
      </c>
      <c r="AG458" s="15">
        <v>0</v>
      </c>
      <c r="AH458" s="15">
        <v>0</v>
      </c>
      <c r="AI458" s="15">
        <f t="shared" si="61"/>
        <v>0.42</v>
      </c>
      <c r="AJ458" s="15">
        <f t="shared" si="62"/>
        <v>7.42</v>
      </c>
      <c r="AK458" t="s">
        <v>47</v>
      </c>
    </row>
    <row r="459" spans="1:37" ht="15" customHeight="1" x14ac:dyDescent="0.35">
      <c r="A459">
        <v>690929</v>
      </c>
      <c r="B459" t="s">
        <v>37</v>
      </c>
      <c r="C459" t="s">
        <v>38</v>
      </c>
      <c r="D459" s="9" t="s">
        <v>39</v>
      </c>
      <c r="E459" s="10" t="s">
        <v>37</v>
      </c>
      <c r="F459" s="11"/>
      <c r="G459" t="s">
        <v>1438</v>
      </c>
      <c r="I459" t="s">
        <v>41</v>
      </c>
      <c r="J459" t="s">
        <v>1439</v>
      </c>
      <c r="K459" t="s">
        <v>43</v>
      </c>
      <c r="L459">
        <v>2</v>
      </c>
      <c r="M459" t="s">
        <v>44</v>
      </c>
      <c r="N459" t="s">
        <v>45</v>
      </c>
      <c r="O459" t="s">
        <v>46</v>
      </c>
      <c r="P459" s="5">
        <v>1</v>
      </c>
      <c r="Q459" s="12">
        <v>44754.63795138889</v>
      </c>
      <c r="R459" s="13">
        <v>44757</v>
      </c>
      <c r="T459" t="s">
        <v>47</v>
      </c>
      <c r="U459" t="s">
        <v>48</v>
      </c>
      <c r="V459" t="s">
        <v>114</v>
      </c>
      <c r="Y459" t="s">
        <v>1440</v>
      </c>
      <c r="Z459">
        <v>47810</v>
      </c>
      <c r="AA459" t="s">
        <v>47</v>
      </c>
      <c r="AB459" t="s">
        <v>64</v>
      </c>
      <c r="AC459" t="s">
        <v>53</v>
      </c>
      <c r="AD459" s="16">
        <f t="shared" si="60"/>
        <v>7</v>
      </c>
      <c r="AE459" s="15">
        <v>0</v>
      </c>
      <c r="AF459" s="15">
        <v>0</v>
      </c>
      <c r="AG459" s="15">
        <v>0</v>
      </c>
      <c r="AH459" s="15">
        <v>0</v>
      </c>
      <c r="AI459" s="15">
        <f t="shared" si="61"/>
        <v>0.42</v>
      </c>
      <c r="AJ459" s="15">
        <f t="shared" si="62"/>
        <v>7.42</v>
      </c>
      <c r="AK459" t="s">
        <v>47</v>
      </c>
    </row>
    <row r="460" spans="1:37" ht="15" customHeight="1" x14ac:dyDescent="0.35">
      <c r="A460">
        <v>690929</v>
      </c>
      <c r="B460" t="s">
        <v>37</v>
      </c>
      <c r="C460" t="s">
        <v>38</v>
      </c>
      <c r="D460" s="9" t="s">
        <v>39</v>
      </c>
      <c r="E460" s="10" t="s">
        <v>37</v>
      </c>
      <c r="F460" s="11"/>
      <c r="G460" t="s">
        <v>1441</v>
      </c>
      <c r="I460" t="s">
        <v>41</v>
      </c>
      <c r="J460" t="s">
        <v>1442</v>
      </c>
      <c r="K460" t="s">
        <v>43</v>
      </c>
      <c r="L460">
        <v>2</v>
      </c>
      <c r="M460" t="s">
        <v>44</v>
      </c>
      <c r="N460" t="s">
        <v>45</v>
      </c>
      <c r="O460" t="s">
        <v>46</v>
      </c>
      <c r="P460" s="5">
        <v>1</v>
      </c>
      <c r="Q460" s="12">
        <v>44755.695416666669</v>
      </c>
      <c r="R460" s="13">
        <v>44757</v>
      </c>
      <c r="T460" t="s">
        <v>47</v>
      </c>
      <c r="U460" t="s">
        <v>48</v>
      </c>
      <c r="V460" t="s">
        <v>100</v>
      </c>
      <c r="Y460" t="s">
        <v>1443</v>
      </c>
      <c r="Z460">
        <v>31400</v>
      </c>
      <c r="AA460" t="s">
        <v>47</v>
      </c>
      <c r="AB460" t="s">
        <v>64</v>
      </c>
      <c r="AC460" t="s">
        <v>53</v>
      </c>
      <c r="AD460" s="16">
        <f t="shared" si="60"/>
        <v>7</v>
      </c>
      <c r="AE460" s="15">
        <v>0</v>
      </c>
      <c r="AF460" s="15">
        <v>0</v>
      </c>
      <c r="AG460" s="15">
        <v>0</v>
      </c>
      <c r="AH460" s="15">
        <v>0</v>
      </c>
      <c r="AI460" s="15">
        <f t="shared" si="61"/>
        <v>0.42</v>
      </c>
      <c r="AJ460" s="15">
        <f t="shared" si="62"/>
        <v>7.42</v>
      </c>
      <c r="AK460" t="s">
        <v>47</v>
      </c>
    </row>
    <row r="461" spans="1:37" ht="15" customHeight="1" x14ac:dyDescent="0.35">
      <c r="A461">
        <v>690929</v>
      </c>
      <c r="B461" t="s">
        <v>37</v>
      </c>
      <c r="C461" t="s">
        <v>38</v>
      </c>
      <c r="D461" s="9" t="s">
        <v>39</v>
      </c>
      <c r="E461" s="10" t="s">
        <v>37</v>
      </c>
      <c r="F461" s="11"/>
      <c r="G461" t="s">
        <v>1444</v>
      </c>
      <c r="I461" t="s">
        <v>41</v>
      </c>
      <c r="J461" t="s">
        <v>1445</v>
      </c>
      <c r="K461" t="s">
        <v>43</v>
      </c>
      <c r="L461">
        <v>2</v>
      </c>
      <c r="M461" t="s">
        <v>44</v>
      </c>
      <c r="N461" t="s">
        <v>45</v>
      </c>
      <c r="O461" t="s">
        <v>46</v>
      </c>
      <c r="P461" s="5">
        <v>1</v>
      </c>
      <c r="Q461" s="12">
        <v>44756.543599537035</v>
      </c>
      <c r="R461" s="13">
        <v>44757</v>
      </c>
      <c r="T461" t="s">
        <v>47</v>
      </c>
      <c r="U461" t="s">
        <v>48</v>
      </c>
      <c r="V461" t="s">
        <v>128</v>
      </c>
      <c r="Y461" t="s">
        <v>1446</v>
      </c>
      <c r="Z461">
        <v>56000</v>
      </c>
      <c r="AA461" t="s">
        <v>47</v>
      </c>
      <c r="AB461" t="s">
        <v>64</v>
      </c>
      <c r="AC461" t="s">
        <v>53</v>
      </c>
      <c r="AD461" s="16">
        <f t="shared" si="60"/>
        <v>7</v>
      </c>
      <c r="AE461" s="15">
        <v>0</v>
      </c>
      <c r="AF461" s="15">
        <v>0</v>
      </c>
      <c r="AG461" s="15">
        <v>0</v>
      </c>
      <c r="AH461" s="15">
        <v>0</v>
      </c>
      <c r="AI461" s="15">
        <f t="shared" si="61"/>
        <v>0.42</v>
      </c>
      <c r="AJ461" s="15">
        <f t="shared" si="62"/>
        <v>7.42</v>
      </c>
      <c r="AK461" t="s">
        <v>47</v>
      </c>
    </row>
    <row r="462" spans="1:37" ht="15" customHeight="1" x14ac:dyDescent="0.35">
      <c r="A462">
        <v>690929</v>
      </c>
      <c r="B462" t="s">
        <v>37</v>
      </c>
      <c r="C462" t="s">
        <v>38</v>
      </c>
      <c r="D462" s="9" t="s">
        <v>39</v>
      </c>
      <c r="E462" s="10" t="s">
        <v>37</v>
      </c>
      <c r="F462" s="11"/>
      <c r="G462" t="s">
        <v>1447</v>
      </c>
      <c r="I462" t="s">
        <v>41</v>
      </c>
      <c r="J462" t="s">
        <v>1448</v>
      </c>
      <c r="K462" t="s">
        <v>43</v>
      </c>
      <c r="L462">
        <v>2</v>
      </c>
      <c r="M462" t="s">
        <v>44</v>
      </c>
      <c r="N462" t="s">
        <v>45</v>
      </c>
      <c r="O462" t="s">
        <v>46</v>
      </c>
      <c r="P462" s="5">
        <v>1</v>
      </c>
      <c r="Q462" s="12">
        <v>44754.646261574075</v>
      </c>
      <c r="R462" s="13">
        <v>44757</v>
      </c>
      <c r="T462" t="s">
        <v>47</v>
      </c>
      <c r="U462" t="s">
        <v>48</v>
      </c>
      <c r="V462" t="s">
        <v>176</v>
      </c>
      <c r="Y462" t="s">
        <v>1449</v>
      </c>
      <c r="Z462">
        <v>78000</v>
      </c>
      <c r="AA462" t="s">
        <v>47</v>
      </c>
      <c r="AB462" t="s">
        <v>64</v>
      </c>
      <c r="AC462" t="s">
        <v>53</v>
      </c>
      <c r="AD462" s="16">
        <f t="shared" si="60"/>
        <v>7</v>
      </c>
      <c r="AE462" s="15">
        <v>0</v>
      </c>
      <c r="AF462" s="15">
        <v>0</v>
      </c>
      <c r="AG462" s="15">
        <v>0</v>
      </c>
      <c r="AH462" s="15">
        <v>0</v>
      </c>
      <c r="AI462" s="15">
        <f t="shared" si="61"/>
        <v>0.42</v>
      </c>
      <c r="AJ462" s="15">
        <f t="shared" si="62"/>
        <v>7.42</v>
      </c>
      <c r="AK462" t="s">
        <v>47</v>
      </c>
    </row>
    <row r="463" spans="1:37" ht="15" customHeight="1" x14ac:dyDescent="0.35">
      <c r="A463">
        <v>690929</v>
      </c>
      <c r="B463" t="s">
        <v>37</v>
      </c>
      <c r="C463" t="s">
        <v>38</v>
      </c>
      <c r="D463" s="9" t="s">
        <v>39</v>
      </c>
      <c r="E463" s="10" t="s">
        <v>37</v>
      </c>
      <c r="F463" s="11"/>
      <c r="G463" t="s">
        <v>1450</v>
      </c>
      <c r="I463" t="s">
        <v>41</v>
      </c>
      <c r="J463" t="s">
        <v>1451</v>
      </c>
      <c r="K463" t="s">
        <v>43</v>
      </c>
      <c r="L463">
        <v>2</v>
      </c>
      <c r="M463" t="s">
        <v>44</v>
      </c>
      <c r="N463" t="s">
        <v>45</v>
      </c>
      <c r="O463" t="s">
        <v>46</v>
      </c>
      <c r="P463" s="5">
        <v>1</v>
      </c>
      <c r="Q463" s="12">
        <v>44756.588460648149</v>
      </c>
      <c r="R463" s="13">
        <v>44758</v>
      </c>
      <c r="T463" t="s">
        <v>47</v>
      </c>
      <c r="U463" t="s">
        <v>48</v>
      </c>
      <c r="V463" t="s">
        <v>62</v>
      </c>
      <c r="Y463" t="s">
        <v>1452</v>
      </c>
      <c r="Z463">
        <v>81700</v>
      </c>
      <c r="AA463" t="s">
        <v>47</v>
      </c>
      <c r="AB463" t="s">
        <v>1453</v>
      </c>
      <c r="AC463" t="s">
        <v>53</v>
      </c>
      <c r="AD463" s="16">
        <f t="shared" si="60"/>
        <v>7</v>
      </c>
      <c r="AE463" s="15">
        <v>0</v>
      </c>
      <c r="AF463" s="15">
        <v>0</v>
      </c>
      <c r="AG463" s="15">
        <v>0</v>
      </c>
      <c r="AH463" s="15">
        <v>0</v>
      </c>
      <c r="AI463" s="15">
        <f t="shared" si="61"/>
        <v>0.42</v>
      </c>
      <c r="AJ463" s="15">
        <f t="shared" si="62"/>
        <v>7.42</v>
      </c>
      <c r="AK463" t="s">
        <v>47</v>
      </c>
    </row>
    <row r="464" spans="1:37" ht="15" customHeight="1" x14ac:dyDescent="0.35">
      <c r="A464">
        <v>690929</v>
      </c>
      <c r="B464" t="s">
        <v>37</v>
      </c>
      <c r="C464" t="s">
        <v>38</v>
      </c>
      <c r="D464" s="9" t="s">
        <v>39</v>
      </c>
      <c r="E464" s="10" t="s">
        <v>37</v>
      </c>
      <c r="F464" s="11"/>
      <c r="G464" t="s">
        <v>1454</v>
      </c>
      <c r="I464" t="s">
        <v>41</v>
      </c>
      <c r="J464" t="s">
        <v>1455</v>
      </c>
      <c r="K464" t="s">
        <v>43</v>
      </c>
      <c r="L464">
        <v>2</v>
      </c>
      <c r="M464" t="s">
        <v>44</v>
      </c>
      <c r="N464" t="s">
        <v>45</v>
      </c>
      <c r="O464" t="s">
        <v>46</v>
      </c>
      <c r="P464" s="5">
        <v>1</v>
      </c>
      <c r="Q464" s="12">
        <v>44756.679907407408</v>
      </c>
      <c r="R464" s="13">
        <v>44758</v>
      </c>
      <c r="T464" t="s">
        <v>47</v>
      </c>
      <c r="U464" t="s">
        <v>48</v>
      </c>
      <c r="V464" t="s">
        <v>114</v>
      </c>
      <c r="Y464" t="s">
        <v>1456</v>
      </c>
      <c r="Z464">
        <v>42300</v>
      </c>
      <c r="AA464" t="s">
        <v>47</v>
      </c>
      <c r="AB464" t="s">
        <v>64</v>
      </c>
      <c r="AC464" t="s">
        <v>53</v>
      </c>
      <c r="AD464" s="16">
        <f t="shared" si="60"/>
        <v>7</v>
      </c>
      <c r="AE464" s="15">
        <v>0</v>
      </c>
      <c r="AF464" s="15">
        <v>0</v>
      </c>
      <c r="AG464" s="15">
        <v>0</v>
      </c>
      <c r="AH464" s="15">
        <v>0</v>
      </c>
      <c r="AI464" s="15">
        <f t="shared" si="61"/>
        <v>0.42</v>
      </c>
      <c r="AJ464" s="15">
        <f t="shared" si="62"/>
        <v>7.42</v>
      </c>
      <c r="AK464" t="s">
        <v>47</v>
      </c>
    </row>
    <row r="465" spans="1:37" ht="15" customHeight="1" x14ac:dyDescent="0.35">
      <c r="A465">
        <v>690929</v>
      </c>
      <c r="B465" t="s">
        <v>37</v>
      </c>
      <c r="C465" t="s">
        <v>38</v>
      </c>
      <c r="D465" s="9" t="s">
        <v>39</v>
      </c>
      <c r="E465" s="10" t="s">
        <v>37</v>
      </c>
      <c r="F465" s="11"/>
      <c r="G465" t="s">
        <v>1457</v>
      </c>
      <c r="I465" t="s">
        <v>41</v>
      </c>
      <c r="J465" t="s">
        <v>1458</v>
      </c>
      <c r="K465" t="s">
        <v>43</v>
      </c>
      <c r="L465">
        <v>2</v>
      </c>
      <c r="M465" t="s">
        <v>44</v>
      </c>
      <c r="N465" t="s">
        <v>45</v>
      </c>
      <c r="O465" t="s">
        <v>46</v>
      </c>
      <c r="P465" s="5">
        <v>1</v>
      </c>
      <c r="Q465" s="12">
        <v>44754.64466435185</v>
      </c>
      <c r="R465" s="13">
        <v>44758</v>
      </c>
      <c r="T465" t="s">
        <v>47</v>
      </c>
      <c r="U465" t="s">
        <v>48</v>
      </c>
      <c r="V465" t="s">
        <v>57</v>
      </c>
      <c r="Y465" t="s">
        <v>1459</v>
      </c>
      <c r="Z465">
        <v>91000</v>
      </c>
      <c r="AA465" t="s">
        <v>51</v>
      </c>
      <c r="AB465" t="s">
        <v>64</v>
      </c>
      <c r="AC465" t="s">
        <v>53</v>
      </c>
      <c r="AD465" s="14">
        <f>IF(P465&lt;=1,13,IF(P465&lt;=2,23,IF(P465&lt;=3,35,IF(P465&lt;=4,43,IF(P465&lt;=5,53,IF(P465&lt;=6,63,IF(P465&lt;=7,71,IF(P465&lt;=8,79,IF(P465&lt;=9,87,IF(P465&lt;=10,95,IF(P465&lt;=11,105,IF(P465&lt;=12,114,IF(P465&lt;=13,119,IF(P465&lt;=14,127,IF(P465&lt;=15,135,IF(P465&lt;=16,143,IF(P465&lt;=17,153,IF(P465&lt;=18,163,IF(P465&lt;=19,171,IF(P465&lt;=20,185,IF(P465&lt;=21,193,IF(P465&lt;=22,201,IF(P465&lt;=23,210,IF(P465&lt;=24,220,IF(P465&lt;=25,230,IF(P465&lt;=26,240,IF(P465&lt;=27,250,IF(P465&lt;=28,260,IF(P465&lt;=29,270,IF(P465&lt;=30,280,280))))))))))))))))))))))))))))))</f>
        <v>13</v>
      </c>
      <c r="AE465" s="15">
        <v>0</v>
      </c>
      <c r="AF465" s="15">
        <v>0</v>
      </c>
      <c r="AG465" s="15">
        <v>0</v>
      </c>
      <c r="AH465" s="15">
        <v>0</v>
      </c>
      <c r="AI465" s="15">
        <f t="shared" si="61"/>
        <v>0.78</v>
      </c>
      <c r="AJ465" s="15">
        <f t="shared" si="62"/>
        <v>13.78</v>
      </c>
      <c r="AK465" t="s">
        <v>51</v>
      </c>
    </row>
    <row r="466" spans="1:37" ht="15" customHeight="1" x14ac:dyDescent="0.35">
      <c r="A466">
        <v>690929</v>
      </c>
      <c r="B466" t="s">
        <v>37</v>
      </c>
      <c r="C466" t="s">
        <v>38</v>
      </c>
      <c r="D466" s="9" t="s">
        <v>39</v>
      </c>
      <c r="E466" s="10" t="s">
        <v>37</v>
      </c>
      <c r="F466" s="11"/>
      <c r="G466" t="s">
        <v>1460</v>
      </c>
      <c r="I466" t="s">
        <v>41</v>
      </c>
      <c r="J466" t="s">
        <v>1461</v>
      </c>
      <c r="K466" t="s">
        <v>43</v>
      </c>
      <c r="L466">
        <v>2</v>
      </c>
      <c r="M466" t="s">
        <v>44</v>
      </c>
      <c r="N466" t="s">
        <v>45</v>
      </c>
      <c r="O466" t="s">
        <v>46</v>
      </c>
      <c r="P466" s="5">
        <v>1</v>
      </c>
      <c r="Q466" s="12">
        <v>44756.545115740744</v>
      </c>
      <c r="R466" s="13">
        <v>44758</v>
      </c>
      <c r="T466" t="s">
        <v>47</v>
      </c>
      <c r="U466" t="s">
        <v>48</v>
      </c>
      <c r="V466" t="s">
        <v>62</v>
      </c>
      <c r="Y466" t="s">
        <v>1462</v>
      </c>
      <c r="Z466">
        <v>81800</v>
      </c>
      <c r="AA466" t="s">
        <v>47</v>
      </c>
      <c r="AB466" t="s">
        <v>1453</v>
      </c>
      <c r="AC466" t="s">
        <v>53</v>
      </c>
      <c r="AD466" s="16">
        <f t="shared" ref="AD466:AD473" si="63">IF(P466&lt;=1,7,7+0.8*ROUNDUP(P466-1,0))</f>
        <v>7</v>
      </c>
      <c r="AE466" s="15">
        <v>0</v>
      </c>
      <c r="AF466" s="15">
        <v>0</v>
      </c>
      <c r="AG466" s="15">
        <v>0</v>
      </c>
      <c r="AH466" s="15">
        <v>0</v>
      </c>
      <c r="AI466" s="15">
        <f t="shared" si="61"/>
        <v>0.42</v>
      </c>
      <c r="AJ466" s="15">
        <f t="shared" si="62"/>
        <v>7.42</v>
      </c>
      <c r="AK466" t="s">
        <v>47</v>
      </c>
    </row>
    <row r="467" spans="1:37" ht="15" customHeight="1" x14ac:dyDescent="0.35">
      <c r="A467">
        <v>690929</v>
      </c>
      <c r="B467" t="s">
        <v>37</v>
      </c>
      <c r="C467" t="s">
        <v>38</v>
      </c>
      <c r="D467" s="9" t="s">
        <v>39</v>
      </c>
      <c r="E467" s="10" t="s">
        <v>37</v>
      </c>
      <c r="F467" s="11"/>
      <c r="G467" t="s">
        <v>1463</v>
      </c>
      <c r="I467" t="s">
        <v>41</v>
      </c>
      <c r="J467" t="s">
        <v>321</v>
      </c>
      <c r="K467" t="s">
        <v>43</v>
      </c>
      <c r="L467">
        <v>2</v>
      </c>
      <c r="M467" t="s">
        <v>44</v>
      </c>
      <c r="N467" t="s">
        <v>45</v>
      </c>
      <c r="O467" t="s">
        <v>46</v>
      </c>
      <c r="P467" s="5">
        <v>6</v>
      </c>
      <c r="Q467" s="12">
        <v>44756.434537037036</v>
      </c>
      <c r="R467" s="13">
        <v>44758</v>
      </c>
      <c r="T467" t="s">
        <v>47</v>
      </c>
      <c r="U467" t="s">
        <v>48</v>
      </c>
      <c r="V467" t="s">
        <v>114</v>
      </c>
      <c r="Y467" t="s">
        <v>322</v>
      </c>
      <c r="Z467">
        <v>48050</v>
      </c>
      <c r="AA467" t="s">
        <v>47</v>
      </c>
      <c r="AB467" t="s">
        <v>64</v>
      </c>
      <c r="AC467" t="s">
        <v>53</v>
      </c>
      <c r="AD467" s="16">
        <f t="shared" si="63"/>
        <v>11</v>
      </c>
      <c r="AE467" s="15">
        <v>0</v>
      </c>
      <c r="AF467" s="15">
        <v>0</v>
      </c>
      <c r="AG467" s="15">
        <v>0</v>
      </c>
      <c r="AH467" s="15">
        <v>0</v>
      </c>
      <c r="AI467" s="15">
        <f t="shared" si="61"/>
        <v>0.65999999999999992</v>
      </c>
      <c r="AJ467" s="15">
        <f t="shared" si="62"/>
        <v>11.66</v>
      </c>
      <c r="AK467" t="s">
        <v>47</v>
      </c>
    </row>
    <row r="468" spans="1:37" ht="15" customHeight="1" x14ac:dyDescent="0.35">
      <c r="A468">
        <v>690929</v>
      </c>
      <c r="B468" t="s">
        <v>37</v>
      </c>
      <c r="C468" t="s">
        <v>38</v>
      </c>
      <c r="D468" s="9" t="s">
        <v>39</v>
      </c>
      <c r="E468" s="10" t="s">
        <v>37</v>
      </c>
      <c r="F468" s="11"/>
      <c r="G468" t="s">
        <v>1464</v>
      </c>
      <c r="I468" t="s">
        <v>41</v>
      </c>
      <c r="J468" t="s">
        <v>1465</v>
      </c>
      <c r="K468" t="s">
        <v>43</v>
      </c>
      <c r="L468">
        <v>2</v>
      </c>
      <c r="M468" t="s">
        <v>44</v>
      </c>
      <c r="N468" t="s">
        <v>45</v>
      </c>
      <c r="O468" t="s">
        <v>46</v>
      </c>
      <c r="P468" s="5">
        <v>1</v>
      </c>
      <c r="Q468" s="12">
        <v>44756.629803240743</v>
      </c>
      <c r="R468" s="13">
        <v>44758</v>
      </c>
      <c r="T468" t="s">
        <v>47</v>
      </c>
      <c r="U468" t="s">
        <v>48</v>
      </c>
      <c r="V468" t="s">
        <v>71</v>
      </c>
      <c r="Y468" t="s">
        <v>1466</v>
      </c>
      <c r="Z468">
        <v>9000</v>
      </c>
      <c r="AA468" t="s">
        <v>47</v>
      </c>
      <c r="AB468" t="s">
        <v>1467</v>
      </c>
      <c r="AC468" t="s">
        <v>53</v>
      </c>
      <c r="AD468" s="16">
        <f t="shared" si="63"/>
        <v>7</v>
      </c>
      <c r="AE468" s="15">
        <v>0</v>
      </c>
      <c r="AF468" s="15">
        <v>0</v>
      </c>
      <c r="AG468" s="15">
        <v>0</v>
      </c>
      <c r="AH468" s="15">
        <v>0</v>
      </c>
      <c r="AI468" s="15">
        <f t="shared" si="61"/>
        <v>0.42</v>
      </c>
      <c r="AJ468" s="15">
        <f t="shared" si="62"/>
        <v>7.42</v>
      </c>
      <c r="AK468" t="s">
        <v>47</v>
      </c>
    </row>
    <row r="469" spans="1:37" ht="15" customHeight="1" x14ac:dyDescent="0.35">
      <c r="A469">
        <v>690929</v>
      </c>
      <c r="B469" t="s">
        <v>37</v>
      </c>
      <c r="C469" t="s">
        <v>38</v>
      </c>
      <c r="D469" s="9" t="s">
        <v>39</v>
      </c>
      <c r="E469" s="10" t="s">
        <v>37</v>
      </c>
      <c r="F469" s="11"/>
      <c r="G469" t="s">
        <v>1468</v>
      </c>
      <c r="I469" t="s">
        <v>41</v>
      </c>
      <c r="J469" t="s">
        <v>1469</v>
      </c>
      <c r="K469" t="s">
        <v>43</v>
      </c>
      <c r="L469">
        <v>2</v>
      </c>
      <c r="M469" t="s">
        <v>44</v>
      </c>
      <c r="N469" t="s">
        <v>45</v>
      </c>
      <c r="O469" t="s">
        <v>46</v>
      </c>
      <c r="P469" s="5">
        <v>5</v>
      </c>
      <c r="Q469" s="12">
        <v>44757.39502314815</v>
      </c>
      <c r="R469" s="13">
        <v>44758</v>
      </c>
      <c r="T469" t="s">
        <v>47</v>
      </c>
      <c r="U469" t="s">
        <v>56</v>
      </c>
      <c r="V469" t="s">
        <v>76</v>
      </c>
      <c r="Y469" t="s">
        <v>1470</v>
      </c>
      <c r="Z469">
        <v>22040</v>
      </c>
      <c r="AA469" t="s">
        <v>47</v>
      </c>
      <c r="AB469" t="s">
        <v>1032</v>
      </c>
      <c r="AC469" t="s">
        <v>53</v>
      </c>
      <c r="AD469" s="16">
        <f t="shared" si="63"/>
        <v>10.199999999999999</v>
      </c>
      <c r="AE469" s="15">
        <v>0</v>
      </c>
      <c r="AF469" s="15">
        <v>0</v>
      </c>
      <c r="AG469" s="15">
        <v>0</v>
      </c>
      <c r="AH469" s="15">
        <v>0</v>
      </c>
      <c r="AI469" s="15">
        <f t="shared" si="61"/>
        <v>0.61199999999999999</v>
      </c>
      <c r="AJ469" s="15">
        <f t="shared" si="62"/>
        <v>10.811999999999999</v>
      </c>
      <c r="AK469" t="s">
        <v>47</v>
      </c>
    </row>
    <row r="470" spans="1:37" ht="15" customHeight="1" x14ac:dyDescent="0.35">
      <c r="A470">
        <v>690929</v>
      </c>
      <c r="B470" t="s">
        <v>37</v>
      </c>
      <c r="C470" t="s">
        <v>38</v>
      </c>
      <c r="D470" s="9" t="s">
        <v>39</v>
      </c>
      <c r="E470" s="10" t="s">
        <v>37</v>
      </c>
      <c r="F470" s="11"/>
      <c r="G470" t="s">
        <v>1471</v>
      </c>
      <c r="I470" t="s">
        <v>41</v>
      </c>
      <c r="J470" t="s">
        <v>1472</v>
      </c>
      <c r="K470" t="s">
        <v>43</v>
      </c>
      <c r="L470">
        <v>2</v>
      </c>
      <c r="M470" t="s">
        <v>44</v>
      </c>
      <c r="N470" t="s">
        <v>45</v>
      </c>
      <c r="O470" t="s">
        <v>46</v>
      </c>
      <c r="P470" s="5">
        <v>1</v>
      </c>
      <c r="Q470" s="12">
        <v>44756.550578703704</v>
      </c>
      <c r="R470" s="13">
        <v>44758</v>
      </c>
      <c r="T470" t="s">
        <v>47</v>
      </c>
      <c r="U470" t="s">
        <v>48</v>
      </c>
      <c r="V470" t="s">
        <v>138</v>
      </c>
      <c r="Y470" t="s">
        <v>1473</v>
      </c>
      <c r="Z470">
        <v>70400</v>
      </c>
      <c r="AA470" t="s">
        <v>47</v>
      </c>
      <c r="AB470" t="s">
        <v>64</v>
      </c>
      <c r="AC470" t="s">
        <v>53</v>
      </c>
      <c r="AD470" s="16">
        <f t="shared" si="63"/>
        <v>7</v>
      </c>
      <c r="AE470" s="15">
        <v>0</v>
      </c>
      <c r="AF470" s="15">
        <v>0</v>
      </c>
      <c r="AG470" s="15">
        <v>0</v>
      </c>
      <c r="AH470" s="15">
        <v>0</v>
      </c>
      <c r="AI470" s="15">
        <f t="shared" si="61"/>
        <v>0.42</v>
      </c>
      <c r="AJ470" s="15">
        <f t="shared" si="62"/>
        <v>7.42</v>
      </c>
      <c r="AK470" t="s">
        <v>47</v>
      </c>
    </row>
    <row r="471" spans="1:37" ht="15" customHeight="1" x14ac:dyDescent="0.35">
      <c r="A471">
        <v>690929</v>
      </c>
      <c r="B471" t="s">
        <v>37</v>
      </c>
      <c r="C471" t="s">
        <v>38</v>
      </c>
      <c r="D471" s="9" t="s">
        <v>39</v>
      </c>
      <c r="E471" s="10" t="s">
        <v>37</v>
      </c>
      <c r="F471" s="11"/>
      <c r="G471" t="s">
        <v>1474</v>
      </c>
      <c r="I471" t="s">
        <v>41</v>
      </c>
      <c r="J471" t="s">
        <v>1475</v>
      </c>
      <c r="K471" t="s">
        <v>43</v>
      </c>
      <c r="L471">
        <v>2</v>
      </c>
      <c r="M471" t="s">
        <v>44</v>
      </c>
      <c r="N471" t="s">
        <v>45</v>
      </c>
      <c r="O471" t="s">
        <v>46</v>
      </c>
      <c r="P471" s="5">
        <v>1</v>
      </c>
      <c r="Q471" s="12">
        <v>44755.720462962963</v>
      </c>
      <c r="R471" s="13">
        <v>44758</v>
      </c>
      <c r="T471" t="s">
        <v>47</v>
      </c>
      <c r="U471" t="s">
        <v>48</v>
      </c>
      <c r="V471" t="s">
        <v>85</v>
      </c>
      <c r="Y471" t="s">
        <v>1476</v>
      </c>
      <c r="Z471">
        <v>12100</v>
      </c>
      <c r="AA471" t="s">
        <v>47</v>
      </c>
      <c r="AB471" t="s">
        <v>1477</v>
      </c>
      <c r="AC471" t="s">
        <v>53</v>
      </c>
      <c r="AD471" s="16">
        <f t="shared" si="63"/>
        <v>7</v>
      </c>
      <c r="AE471" s="15">
        <v>0</v>
      </c>
      <c r="AF471" s="15">
        <v>0</v>
      </c>
      <c r="AG471" s="15">
        <v>0</v>
      </c>
      <c r="AH471" s="15">
        <v>0</v>
      </c>
      <c r="AI471" s="15">
        <f t="shared" si="61"/>
        <v>0.42</v>
      </c>
      <c r="AJ471" s="15">
        <f t="shared" si="62"/>
        <v>7.42</v>
      </c>
      <c r="AK471" t="s">
        <v>47</v>
      </c>
    </row>
    <row r="472" spans="1:37" ht="15" customHeight="1" x14ac:dyDescent="0.35">
      <c r="A472">
        <v>690929</v>
      </c>
      <c r="B472" t="s">
        <v>37</v>
      </c>
      <c r="C472" t="s">
        <v>38</v>
      </c>
      <c r="D472" s="9" t="s">
        <v>39</v>
      </c>
      <c r="E472" s="10" t="s">
        <v>37</v>
      </c>
      <c r="F472" s="11"/>
      <c r="G472" t="s">
        <v>1478</v>
      </c>
      <c r="I472" t="s">
        <v>41</v>
      </c>
      <c r="J472" t="s">
        <v>1479</v>
      </c>
      <c r="K472" t="s">
        <v>43</v>
      </c>
      <c r="L472">
        <v>2</v>
      </c>
      <c r="M472" t="s">
        <v>44</v>
      </c>
      <c r="N472" t="s">
        <v>45</v>
      </c>
      <c r="O472" t="s">
        <v>46</v>
      </c>
      <c r="P472" s="5">
        <v>1</v>
      </c>
      <c r="Q472" s="12">
        <v>44755.717534722222</v>
      </c>
      <c r="R472" s="13">
        <v>44758</v>
      </c>
      <c r="T472" t="s">
        <v>47</v>
      </c>
      <c r="U472" t="s">
        <v>48</v>
      </c>
      <c r="V472" t="s">
        <v>100</v>
      </c>
      <c r="Y472" t="s">
        <v>1480</v>
      </c>
      <c r="Z472">
        <v>33300</v>
      </c>
      <c r="AA472" t="s">
        <v>47</v>
      </c>
      <c r="AB472" t="s">
        <v>64</v>
      </c>
      <c r="AC472" t="s">
        <v>53</v>
      </c>
      <c r="AD472" s="16">
        <f t="shared" si="63"/>
        <v>7</v>
      </c>
      <c r="AE472" s="15">
        <v>0</v>
      </c>
      <c r="AF472" s="15">
        <v>0</v>
      </c>
      <c r="AG472" s="15">
        <v>0</v>
      </c>
      <c r="AH472" s="15">
        <v>0</v>
      </c>
      <c r="AI472" s="15">
        <f t="shared" si="61"/>
        <v>0.42</v>
      </c>
      <c r="AJ472" s="15">
        <f t="shared" si="62"/>
        <v>7.42</v>
      </c>
      <c r="AK472" t="s">
        <v>47</v>
      </c>
    </row>
    <row r="473" spans="1:37" ht="15" customHeight="1" x14ac:dyDescent="0.35">
      <c r="A473">
        <v>690929</v>
      </c>
      <c r="B473" t="s">
        <v>37</v>
      </c>
      <c r="C473" t="s">
        <v>38</v>
      </c>
      <c r="D473" s="9" t="s">
        <v>39</v>
      </c>
      <c r="E473" s="10" t="s">
        <v>37</v>
      </c>
      <c r="F473" s="11"/>
      <c r="G473" t="s">
        <v>1481</v>
      </c>
      <c r="I473" t="s">
        <v>41</v>
      </c>
      <c r="J473" t="s">
        <v>1482</v>
      </c>
      <c r="K473" t="s">
        <v>43</v>
      </c>
      <c r="L473">
        <v>2</v>
      </c>
      <c r="M473" t="s">
        <v>44</v>
      </c>
      <c r="N473" t="s">
        <v>45</v>
      </c>
      <c r="O473" t="s">
        <v>46</v>
      </c>
      <c r="P473" s="5">
        <v>1</v>
      </c>
      <c r="Q473" s="12">
        <v>44749.59679398148</v>
      </c>
      <c r="R473" s="13">
        <v>44758</v>
      </c>
      <c r="T473" t="s">
        <v>47</v>
      </c>
      <c r="U473" t="s">
        <v>48</v>
      </c>
      <c r="V473" t="s">
        <v>71</v>
      </c>
      <c r="Y473" t="s">
        <v>1483</v>
      </c>
      <c r="Z473">
        <v>6550</v>
      </c>
      <c r="AA473" t="s">
        <v>47</v>
      </c>
      <c r="AB473" t="s">
        <v>64</v>
      </c>
      <c r="AC473" t="s">
        <v>53</v>
      </c>
      <c r="AD473" s="16">
        <f t="shared" si="63"/>
        <v>7</v>
      </c>
      <c r="AE473" s="15">
        <v>0</v>
      </c>
      <c r="AF473" s="15">
        <v>0</v>
      </c>
      <c r="AG473" s="15">
        <v>0</v>
      </c>
      <c r="AH473" s="15">
        <v>0</v>
      </c>
      <c r="AI473" s="15">
        <f t="shared" si="61"/>
        <v>0.42</v>
      </c>
      <c r="AJ473" s="15">
        <f t="shared" si="62"/>
        <v>7.42</v>
      </c>
      <c r="AK473" t="s">
        <v>47</v>
      </c>
    </row>
    <row r="474" spans="1:37" ht="15" customHeight="1" x14ac:dyDescent="0.35">
      <c r="A474">
        <v>690929</v>
      </c>
      <c r="B474" t="s">
        <v>37</v>
      </c>
      <c r="C474" t="s">
        <v>38</v>
      </c>
      <c r="D474" s="9" t="s">
        <v>39</v>
      </c>
      <c r="E474" s="10" t="s">
        <v>37</v>
      </c>
      <c r="F474" s="11"/>
      <c r="G474" t="s">
        <v>1484</v>
      </c>
      <c r="I474" t="s">
        <v>41</v>
      </c>
      <c r="J474" t="s">
        <v>1485</v>
      </c>
      <c r="K474" t="s">
        <v>43</v>
      </c>
      <c r="L474">
        <v>2</v>
      </c>
      <c r="M474" t="s">
        <v>44</v>
      </c>
      <c r="N474" t="s">
        <v>45</v>
      </c>
      <c r="O474" t="s">
        <v>46</v>
      </c>
      <c r="P474" s="5">
        <v>1</v>
      </c>
      <c r="Q474" s="12">
        <v>44756.631238425929</v>
      </c>
      <c r="R474" s="13">
        <v>44758</v>
      </c>
      <c r="T474" t="s">
        <v>47</v>
      </c>
      <c r="U474" t="s">
        <v>48</v>
      </c>
      <c r="V474" t="s">
        <v>138</v>
      </c>
      <c r="Y474" t="s">
        <v>1486</v>
      </c>
      <c r="Z474">
        <v>71800</v>
      </c>
      <c r="AA474" t="s">
        <v>47</v>
      </c>
      <c r="AB474" t="s">
        <v>64</v>
      </c>
      <c r="AC474" t="s">
        <v>53</v>
      </c>
      <c r="AD474" s="16">
        <f>IF(P474&lt;=1,7,7+0.8*ROUNDUP(P474-1,0))</f>
        <v>7</v>
      </c>
      <c r="AE474" s="15">
        <v>0</v>
      </c>
      <c r="AF474" s="15">
        <v>0</v>
      </c>
      <c r="AG474" s="15">
        <v>0</v>
      </c>
      <c r="AH474" s="15">
        <v>0</v>
      </c>
      <c r="AI474" s="15">
        <f t="shared" si="61"/>
        <v>0.42</v>
      </c>
      <c r="AJ474" s="15">
        <f t="shared" si="62"/>
        <v>7.42</v>
      </c>
      <c r="AK474" t="s">
        <v>47</v>
      </c>
    </row>
    <row r="475" spans="1:37" ht="15" customHeight="1" x14ac:dyDescent="0.35">
      <c r="A475">
        <v>690929</v>
      </c>
      <c r="B475" t="s">
        <v>37</v>
      </c>
      <c r="C475" t="s">
        <v>38</v>
      </c>
      <c r="D475" s="9" t="s">
        <v>39</v>
      </c>
      <c r="E475" s="10" t="s">
        <v>37</v>
      </c>
      <c r="F475" s="11"/>
      <c r="G475" t="s">
        <v>1487</v>
      </c>
      <c r="I475" t="s">
        <v>41</v>
      </c>
      <c r="J475" t="s">
        <v>1488</v>
      </c>
      <c r="K475" t="s">
        <v>43</v>
      </c>
      <c r="L475">
        <v>2</v>
      </c>
      <c r="M475" t="s">
        <v>44</v>
      </c>
      <c r="N475" t="s">
        <v>45</v>
      </c>
      <c r="O475" t="s">
        <v>46</v>
      </c>
      <c r="P475" s="5">
        <v>1</v>
      </c>
      <c r="Q475" s="12">
        <v>44755.714155092595</v>
      </c>
      <c r="R475" s="13">
        <v>44758</v>
      </c>
      <c r="T475" t="s">
        <v>47</v>
      </c>
      <c r="U475" t="s">
        <v>48</v>
      </c>
      <c r="V475" t="s">
        <v>85</v>
      </c>
      <c r="Y475" t="s">
        <v>1489</v>
      </c>
      <c r="Z475">
        <v>11900</v>
      </c>
      <c r="AA475" t="s">
        <v>47</v>
      </c>
      <c r="AB475" t="s">
        <v>1490</v>
      </c>
      <c r="AC475" t="s">
        <v>53</v>
      </c>
      <c r="AD475" s="16">
        <f t="shared" ref="AD475:AD495" si="64">IF(P475&lt;=1,7,7+0.8*ROUNDUP(P475-1,0))</f>
        <v>7</v>
      </c>
      <c r="AE475" s="15">
        <v>0</v>
      </c>
      <c r="AF475" s="15">
        <v>0</v>
      </c>
      <c r="AG475" s="15">
        <v>0</v>
      </c>
      <c r="AH475" s="15">
        <v>0</v>
      </c>
      <c r="AI475" s="15">
        <f t="shared" si="61"/>
        <v>0.42</v>
      </c>
      <c r="AJ475" s="15">
        <f t="shared" si="62"/>
        <v>7.42</v>
      </c>
      <c r="AK475" t="s">
        <v>47</v>
      </c>
    </row>
    <row r="476" spans="1:37" ht="15" customHeight="1" x14ac:dyDescent="0.35">
      <c r="A476">
        <v>690929</v>
      </c>
      <c r="B476" t="s">
        <v>37</v>
      </c>
      <c r="C476" t="s">
        <v>38</v>
      </c>
      <c r="D476" s="9" t="s">
        <v>39</v>
      </c>
      <c r="E476" s="10" t="s">
        <v>37</v>
      </c>
      <c r="F476" s="11"/>
      <c r="G476" t="s">
        <v>1491</v>
      </c>
      <c r="I476" t="s">
        <v>41</v>
      </c>
      <c r="J476" t="s">
        <v>1492</v>
      </c>
      <c r="K476" t="s">
        <v>43</v>
      </c>
      <c r="L476">
        <v>2</v>
      </c>
      <c r="M476" t="s">
        <v>44</v>
      </c>
      <c r="N476" t="s">
        <v>45</v>
      </c>
      <c r="O476" t="s">
        <v>46</v>
      </c>
      <c r="P476" s="5">
        <v>1</v>
      </c>
      <c r="Q476" s="12">
        <v>44756.704988425925</v>
      </c>
      <c r="R476" s="13">
        <v>44758</v>
      </c>
      <c r="T476" t="s">
        <v>47</v>
      </c>
      <c r="U476" t="s">
        <v>48</v>
      </c>
      <c r="V476" t="s">
        <v>71</v>
      </c>
      <c r="Y476" t="s">
        <v>1493</v>
      </c>
      <c r="Z476">
        <v>9600</v>
      </c>
      <c r="AA476" t="s">
        <v>47</v>
      </c>
      <c r="AB476" t="s">
        <v>1467</v>
      </c>
      <c r="AC476" t="s">
        <v>53</v>
      </c>
      <c r="AD476" s="16">
        <f t="shared" si="64"/>
        <v>7</v>
      </c>
      <c r="AE476" s="15">
        <v>0</v>
      </c>
      <c r="AF476" s="15">
        <v>0</v>
      </c>
      <c r="AG476" s="15">
        <v>0</v>
      </c>
      <c r="AH476" s="15">
        <v>0</v>
      </c>
      <c r="AI476" s="15">
        <f t="shared" si="61"/>
        <v>0.42</v>
      </c>
      <c r="AJ476" s="15">
        <f t="shared" si="62"/>
        <v>7.42</v>
      </c>
      <c r="AK476" t="s">
        <v>47</v>
      </c>
    </row>
    <row r="477" spans="1:37" ht="15" customHeight="1" x14ac:dyDescent="0.35">
      <c r="A477">
        <v>690929</v>
      </c>
      <c r="B477" t="s">
        <v>37</v>
      </c>
      <c r="C477" t="s">
        <v>38</v>
      </c>
      <c r="D477" s="9" t="s">
        <v>39</v>
      </c>
      <c r="E477" s="10" t="s">
        <v>37</v>
      </c>
      <c r="F477" s="11"/>
      <c r="G477" t="s">
        <v>1494</v>
      </c>
      <c r="I477" t="s">
        <v>41</v>
      </c>
      <c r="J477" t="s">
        <v>1495</v>
      </c>
      <c r="K477" t="s">
        <v>43</v>
      </c>
      <c r="L477">
        <v>2</v>
      </c>
      <c r="M477" t="s">
        <v>44</v>
      </c>
      <c r="N477" t="s">
        <v>45</v>
      </c>
      <c r="O477" t="s">
        <v>46</v>
      </c>
      <c r="P477" s="5">
        <v>1</v>
      </c>
      <c r="Q477" s="12">
        <v>44755.716331018521</v>
      </c>
      <c r="R477" s="13">
        <v>44758</v>
      </c>
      <c r="T477" t="s">
        <v>47</v>
      </c>
      <c r="U477" t="s">
        <v>48</v>
      </c>
      <c r="V477" t="s">
        <v>114</v>
      </c>
      <c r="Y477" t="s">
        <v>1496</v>
      </c>
      <c r="Z477">
        <v>68100</v>
      </c>
      <c r="AA477" t="s">
        <v>47</v>
      </c>
      <c r="AB477" t="s">
        <v>64</v>
      </c>
      <c r="AC477" t="s">
        <v>53</v>
      </c>
      <c r="AD477" s="16">
        <f t="shared" si="64"/>
        <v>7</v>
      </c>
      <c r="AE477" s="15">
        <v>0</v>
      </c>
      <c r="AF477" s="15">
        <v>0</v>
      </c>
      <c r="AG477" s="15">
        <v>0</v>
      </c>
      <c r="AH477" s="15">
        <v>0</v>
      </c>
      <c r="AI477" s="15">
        <f t="shared" si="61"/>
        <v>0.42</v>
      </c>
      <c r="AJ477" s="15">
        <f t="shared" si="62"/>
        <v>7.42</v>
      </c>
      <c r="AK477" t="s">
        <v>47</v>
      </c>
    </row>
    <row r="478" spans="1:37" ht="15" customHeight="1" x14ac:dyDescent="0.35">
      <c r="A478">
        <v>690929</v>
      </c>
      <c r="B478" t="s">
        <v>37</v>
      </c>
      <c r="C478" t="s">
        <v>38</v>
      </c>
      <c r="D478" s="9" t="s">
        <v>39</v>
      </c>
      <c r="E478" s="10" t="s">
        <v>37</v>
      </c>
      <c r="F478" s="11"/>
      <c r="G478" t="s">
        <v>1497</v>
      </c>
      <c r="I478" t="s">
        <v>41</v>
      </c>
      <c r="J478" t="s">
        <v>1498</v>
      </c>
      <c r="K478" t="s">
        <v>43</v>
      </c>
      <c r="L478">
        <v>2</v>
      </c>
      <c r="M478" t="s">
        <v>44</v>
      </c>
      <c r="N478" t="s">
        <v>45</v>
      </c>
      <c r="O478" t="s">
        <v>46</v>
      </c>
      <c r="P478" s="5">
        <v>3</v>
      </c>
      <c r="Q478" s="12">
        <v>44756.647152777776</v>
      </c>
      <c r="R478" s="13">
        <v>44759</v>
      </c>
      <c r="T478" t="s">
        <v>47</v>
      </c>
      <c r="U478" t="s">
        <v>48</v>
      </c>
      <c r="V478" t="s">
        <v>114</v>
      </c>
      <c r="Y478" t="s">
        <v>1499</v>
      </c>
      <c r="Z478">
        <v>40170</v>
      </c>
      <c r="AA478" t="s">
        <v>47</v>
      </c>
      <c r="AB478" t="s">
        <v>64</v>
      </c>
      <c r="AC478" t="s">
        <v>53</v>
      </c>
      <c r="AD478" s="16">
        <f t="shared" si="64"/>
        <v>8.6</v>
      </c>
      <c r="AE478" s="15">
        <v>0</v>
      </c>
      <c r="AF478" s="15">
        <v>0</v>
      </c>
      <c r="AG478" s="15">
        <v>0</v>
      </c>
      <c r="AH478" s="15">
        <v>0</v>
      </c>
      <c r="AI478" s="15">
        <f t="shared" si="61"/>
        <v>0.51600000000000001</v>
      </c>
      <c r="AJ478" s="15">
        <f t="shared" si="62"/>
        <v>9.1159999999999997</v>
      </c>
      <c r="AK478" t="s">
        <v>47</v>
      </c>
    </row>
    <row r="479" spans="1:37" ht="15" customHeight="1" x14ac:dyDescent="0.35">
      <c r="A479">
        <v>690929</v>
      </c>
      <c r="B479" t="s">
        <v>37</v>
      </c>
      <c r="C479" t="s">
        <v>38</v>
      </c>
      <c r="D479" s="9" t="s">
        <v>39</v>
      </c>
      <c r="E479" s="10" t="s">
        <v>37</v>
      </c>
      <c r="F479" s="11"/>
      <c r="G479" t="s">
        <v>1500</v>
      </c>
      <c r="I479" t="s">
        <v>41</v>
      </c>
      <c r="J479" t="s">
        <v>1498</v>
      </c>
      <c r="K479" t="s">
        <v>43</v>
      </c>
      <c r="L479">
        <v>2</v>
      </c>
      <c r="M479" t="s">
        <v>44</v>
      </c>
      <c r="N479" t="s">
        <v>45</v>
      </c>
      <c r="O479" t="s">
        <v>46</v>
      </c>
      <c r="P479" s="5">
        <v>4</v>
      </c>
      <c r="Q479" s="12">
        <v>44756.646377314813</v>
      </c>
      <c r="R479" s="13">
        <v>44759</v>
      </c>
      <c r="T479" t="s">
        <v>47</v>
      </c>
      <c r="U479" t="s">
        <v>48</v>
      </c>
      <c r="V479" t="s">
        <v>114</v>
      </c>
      <c r="Y479" t="s">
        <v>1499</v>
      </c>
      <c r="Z479">
        <v>40170</v>
      </c>
      <c r="AA479" t="s">
        <v>47</v>
      </c>
      <c r="AB479" t="s">
        <v>64</v>
      </c>
      <c r="AC479" t="s">
        <v>53</v>
      </c>
      <c r="AD479" s="16">
        <f t="shared" si="64"/>
        <v>9.4</v>
      </c>
      <c r="AE479" s="15">
        <v>0</v>
      </c>
      <c r="AF479" s="15">
        <v>0</v>
      </c>
      <c r="AG479" s="15">
        <v>0</v>
      </c>
      <c r="AH479" s="15">
        <v>0</v>
      </c>
      <c r="AI479" s="15">
        <f t="shared" si="61"/>
        <v>0.56399999999999995</v>
      </c>
      <c r="AJ479" s="15">
        <f t="shared" si="62"/>
        <v>9.9640000000000004</v>
      </c>
      <c r="AK479" t="s">
        <v>47</v>
      </c>
    </row>
    <row r="480" spans="1:37" ht="15" customHeight="1" x14ac:dyDescent="0.35">
      <c r="A480">
        <v>690929</v>
      </c>
      <c r="B480" t="s">
        <v>37</v>
      </c>
      <c r="C480" t="s">
        <v>38</v>
      </c>
      <c r="D480" s="9" t="s">
        <v>39</v>
      </c>
      <c r="E480" s="10" t="s">
        <v>37</v>
      </c>
      <c r="F480" s="11"/>
      <c r="G480" t="s">
        <v>1501</v>
      </c>
      <c r="I480" t="s">
        <v>41</v>
      </c>
      <c r="J480" t="s">
        <v>1502</v>
      </c>
      <c r="K480" t="s">
        <v>43</v>
      </c>
      <c r="L480">
        <v>2</v>
      </c>
      <c r="M480" t="s">
        <v>44</v>
      </c>
      <c r="N480" t="s">
        <v>45</v>
      </c>
      <c r="O480" t="s">
        <v>46</v>
      </c>
      <c r="P480" s="5">
        <v>1</v>
      </c>
      <c r="Q480" s="12">
        <v>44757.637256944443</v>
      </c>
      <c r="R480" s="13">
        <v>44759</v>
      </c>
      <c r="T480" t="s">
        <v>47</v>
      </c>
      <c r="U480" t="s">
        <v>48</v>
      </c>
      <c r="V480" t="s">
        <v>67</v>
      </c>
      <c r="Y480" t="s">
        <v>1503</v>
      </c>
      <c r="Z480">
        <v>28200</v>
      </c>
      <c r="AA480" t="s">
        <v>47</v>
      </c>
      <c r="AB480" t="s">
        <v>48</v>
      </c>
      <c r="AC480" t="s">
        <v>53</v>
      </c>
      <c r="AD480" s="16">
        <f t="shared" si="64"/>
        <v>7</v>
      </c>
      <c r="AE480" s="15">
        <v>0</v>
      </c>
      <c r="AF480" s="15">
        <v>0</v>
      </c>
      <c r="AG480" s="15">
        <v>0</v>
      </c>
      <c r="AH480" s="15">
        <v>0</v>
      </c>
      <c r="AI480" s="15">
        <f t="shared" si="61"/>
        <v>0.42</v>
      </c>
      <c r="AJ480" s="15">
        <f t="shared" si="62"/>
        <v>7.42</v>
      </c>
      <c r="AK480" t="s">
        <v>47</v>
      </c>
    </row>
    <row r="481" spans="1:37" ht="15" customHeight="1" x14ac:dyDescent="0.35">
      <c r="A481">
        <v>690929</v>
      </c>
      <c r="B481" t="s">
        <v>37</v>
      </c>
      <c r="C481" t="s">
        <v>38</v>
      </c>
      <c r="D481" s="9" t="s">
        <v>39</v>
      </c>
      <c r="E481" s="10" t="s">
        <v>37</v>
      </c>
      <c r="F481" s="11"/>
      <c r="G481" t="s">
        <v>1504</v>
      </c>
      <c r="I481" t="s">
        <v>41</v>
      </c>
      <c r="J481" t="s">
        <v>1505</v>
      </c>
      <c r="K481" t="s">
        <v>43</v>
      </c>
      <c r="L481">
        <v>2</v>
      </c>
      <c r="M481" t="s">
        <v>44</v>
      </c>
      <c r="N481" t="s">
        <v>45</v>
      </c>
      <c r="O481" t="s">
        <v>46</v>
      </c>
      <c r="P481" s="5">
        <v>1</v>
      </c>
      <c r="Q481" s="12">
        <v>44756.546689814815</v>
      </c>
      <c r="R481" s="13">
        <v>44759</v>
      </c>
      <c r="T481" t="s">
        <v>47</v>
      </c>
      <c r="U481" t="s">
        <v>48</v>
      </c>
      <c r="V481" t="s">
        <v>62</v>
      </c>
      <c r="Y481" t="s">
        <v>1506</v>
      </c>
      <c r="Z481">
        <v>85000</v>
      </c>
      <c r="AA481" t="s">
        <v>47</v>
      </c>
      <c r="AB481" t="s">
        <v>1507</v>
      </c>
      <c r="AC481" t="s">
        <v>53</v>
      </c>
      <c r="AD481" s="16">
        <f t="shared" si="64"/>
        <v>7</v>
      </c>
      <c r="AE481" s="15">
        <v>0</v>
      </c>
      <c r="AF481" s="15">
        <v>0</v>
      </c>
      <c r="AG481" s="15">
        <v>0</v>
      </c>
      <c r="AH481" s="15">
        <v>0</v>
      </c>
      <c r="AI481" s="15">
        <f t="shared" si="61"/>
        <v>0.42</v>
      </c>
      <c r="AJ481" s="15">
        <f t="shared" si="62"/>
        <v>7.42</v>
      </c>
      <c r="AK481" t="s">
        <v>47</v>
      </c>
    </row>
    <row r="482" spans="1:37" ht="15" customHeight="1" x14ac:dyDescent="0.35">
      <c r="A482">
        <v>690929</v>
      </c>
      <c r="B482" t="s">
        <v>37</v>
      </c>
      <c r="C482" t="s">
        <v>38</v>
      </c>
      <c r="D482" s="9" t="s">
        <v>39</v>
      </c>
      <c r="E482" s="10" t="s">
        <v>37</v>
      </c>
      <c r="F482" s="11"/>
      <c r="G482" t="s">
        <v>1508</v>
      </c>
      <c r="I482" t="s">
        <v>41</v>
      </c>
      <c r="J482" t="s">
        <v>1509</v>
      </c>
      <c r="K482" t="s">
        <v>43</v>
      </c>
      <c r="L482">
        <v>2</v>
      </c>
      <c r="M482" t="s">
        <v>44</v>
      </c>
      <c r="N482" t="s">
        <v>45</v>
      </c>
      <c r="O482" t="s">
        <v>46</v>
      </c>
      <c r="P482" s="5">
        <v>1</v>
      </c>
      <c r="Q482" s="12">
        <v>44756.495347222219</v>
      </c>
      <c r="R482" s="13">
        <v>44759</v>
      </c>
      <c r="T482" t="s">
        <v>47</v>
      </c>
      <c r="U482" t="s">
        <v>48</v>
      </c>
      <c r="V482" t="s">
        <v>449</v>
      </c>
      <c r="Y482" t="s">
        <v>1510</v>
      </c>
      <c r="Z482">
        <v>2400</v>
      </c>
      <c r="AA482" t="s">
        <v>47</v>
      </c>
      <c r="AB482" t="s">
        <v>1511</v>
      </c>
      <c r="AC482" t="s">
        <v>53</v>
      </c>
      <c r="AD482" s="16">
        <f t="shared" si="64"/>
        <v>7</v>
      </c>
      <c r="AE482" s="15">
        <v>0</v>
      </c>
      <c r="AF482" s="15">
        <v>0</v>
      </c>
      <c r="AG482" s="15">
        <v>0</v>
      </c>
      <c r="AH482" s="15">
        <v>0</v>
      </c>
      <c r="AI482" s="15">
        <f t="shared" si="61"/>
        <v>0.42</v>
      </c>
      <c r="AJ482" s="15">
        <f t="shared" si="62"/>
        <v>7.42</v>
      </c>
      <c r="AK482" t="s">
        <v>47</v>
      </c>
    </row>
    <row r="483" spans="1:37" ht="15" customHeight="1" x14ac:dyDescent="0.35">
      <c r="A483">
        <v>690929</v>
      </c>
      <c r="B483" t="s">
        <v>37</v>
      </c>
      <c r="C483" t="s">
        <v>38</v>
      </c>
      <c r="D483" s="9" t="s">
        <v>39</v>
      </c>
      <c r="E483" s="10" t="s">
        <v>37</v>
      </c>
      <c r="F483" s="11"/>
      <c r="G483" t="s">
        <v>1512</v>
      </c>
      <c r="I483" t="s">
        <v>41</v>
      </c>
      <c r="J483" t="s">
        <v>1513</v>
      </c>
      <c r="K483" t="s">
        <v>43</v>
      </c>
      <c r="L483">
        <v>2</v>
      </c>
      <c r="M483" t="s">
        <v>44</v>
      </c>
      <c r="N483" t="s">
        <v>45</v>
      </c>
      <c r="O483" t="s">
        <v>46</v>
      </c>
      <c r="P483" s="5">
        <v>2</v>
      </c>
      <c r="Q483" s="12">
        <v>44757.700046296297</v>
      </c>
      <c r="R483" s="13">
        <v>44759</v>
      </c>
      <c r="T483" t="s">
        <v>47</v>
      </c>
      <c r="U483" t="s">
        <v>48</v>
      </c>
      <c r="V483" t="s">
        <v>76</v>
      </c>
      <c r="Y483" t="s">
        <v>1514</v>
      </c>
      <c r="Z483">
        <v>21100</v>
      </c>
      <c r="AA483" t="s">
        <v>47</v>
      </c>
      <c r="AB483" t="s">
        <v>48</v>
      </c>
      <c r="AC483" t="s">
        <v>53</v>
      </c>
      <c r="AD483" s="16">
        <f t="shared" si="64"/>
        <v>7.8</v>
      </c>
      <c r="AE483" s="15">
        <v>0</v>
      </c>
      <c r="AF483" s="15">
        <v>0</v>
      </c>
      <c r="AG483" s="15">
        <v>0</v>
      </c>
      <c r="AH483" s="15">
        <v>0</v>
      </c>
      <c r="AI483" s="15">
        <f t="shared" si="61"/>
        <v>0.46799999999999997</v>
      </c>
      <c r="AJ483" s="15">
        <f t="shared" si="62"/>
        <v>8.2680000000000007</v>
      </c>
      <c r="AK483" t="s">
        <v>47</v>
      </c>
    </row>
    <row r="484" spans="1:37" ht="15" customHeight="1" x14ac:dyDescent="0.35">
      <c r="A484">
        <v>690929</v>
      </c>
      <c r="B484" t="s">
        <v>37</v>
      </c>
      <c r="C484" t="s">
        <v>38</v>
      </c>
      <c r="D484" s="9" t="s">
        <v>39</v>
      </c>
      <c r="E484" s="10" t="s">
        <v>37</v>
      </c>
      <c r="F484" s="11"/>
      <c r="G484" t="s">
        <v>1515</v>
      </c>
      <c r="I484" t="s">
        <v>41</v>
      </c>
      <c r="J484" t="s">
        <v>1516</v>
      </c>
      <c r="K484" t="s">
        <v>43</v>
      </c>
      <c r="L484">
        <v>2</v>
      </c>
      <c r="M484" t="s">
        <v>44</v>
      </c>
      <c r="N484" t="s">
        <v>45</v>
      </c>
      <c r="O484" t="s">
        <v>46</v>
      </c>
      <c r="P484" s="5">
        <v>1</v>
      </c>
      <c r="Q484" s="12">
        <v>44757.692719907405</v>
      </c>
      <c r="R484" s="13">
        <v>44759</v>
      </c>
      <c r="T484" t="s">
        <v>47</v>
      </c>
      <c r="U484" t="s">
        <v>48</v>
      </c>
      <c r="V484" t="s">
        <v>96</v>
      </c>
      <c r="Y484" t="s">
        <v>1517</v>
      </c>
      <c r="Z484">
        <v>17030</v>
      </c>
      <c r="AA484" t="s">
        <v>47</v>
      </c>
      <c r="AB484" t="s">
        <v>56</v>
      </c>
      <c r="AC484" t="s">
        <v>53</v>
      </c>
      <c r="AD484" s="16">
        <f t="shared" si="64"/>
        <v>7</v>
      </c>
      <c r="AE484" s="15">
        <v>0</v>
      </c>
      <c r="AF484" s="15">
        <v>0</v>
      </c>
      <c r="AG484" s="15">
        <v>0</v>
      </c>
      <c r="AH484" s="15">
        <v>0</v>
      </c>
      <c r="AI484" s="15">
        <f t="shared" si="61"/>
        <v>0.42</v>
      </c>
      <c r="AJ484" s="15">
        <f t="shared" si="62"/>
        <v>7.42</v>
      </c>
      <c r="AK484" t="s">
        <v>47</v>
      </c>
    </row>
    <row r="485" spans="1:37" ht="15" customHeight="1" x14ac:dyDescent="0.35">
      <c r="A485">
        <v>690929</v>
      </c>
      <c r="B485" t="s">
        <v>37</v>
      </c>
      <c r="C485" t="s">
        <v>38</v>
      </c>
      <c r="D485" s="9" t="s">
        <v>39</v>
      </c>
      <c r="E485" s="10" t="s">
        <v>37</v>
      </c>
      <c r="F485" s="11"/>
      <c r="G485" t="s">
        <v>1518</v>
      </c>
      <c r="I485" t="s">
        <v>41</v>
      </c>
      <c r="J485" t="s">
        <v>1519</v>
      </c>
      <c r="K485" t="s">
        <v>43</v>
      </c>
      <c r="L485">
        <v>2</v>
      </c>
      <c r="M485" t="s">
        <v>44</v>
      </c>
      <c r="N485" t="s">
        <v>45</v>
      </c>
      <c r="O485" t="s">
        <v>46</v>
      </c>
      <c r="P485" s="5">
        <v>5</v>
      </c>
      <c r="Q485" s="12">
        <v>44757.386759259258</v>
      </c>
      <c r="R485" s="13">
        <v>44759</v>
      </c>
      <c r="T485" t="s">
        <v>47</v>
      </c>
      <c r="U485" t="s">
        <v>56</v>
      </c>
      <c r="V485" t="s">
        <v>96</v>
      </c>
      <c r="Y485" t="s">
        <v>1520</v>
      </c>
      <c r="Z485">
        <v>18300</v>
      </c>
      <c r="AA485" t="s">
        <v>47</v>
      </c>
      <c r="AB485" t="s">
        <v>225</v>
      </c>
      <c r="AC485" t="s">
        <v>53</v>
      </c>
      <c r="AD485" s="16">
        <f t="shared" si="64"/>
        <v>10.199999999999999</v>
      </c>
      <c r="AE485" s="15">
        <v>0</v>
      </c>
      <c r="AF485" s="15">
        <v>0</v>
      </c>
      <c r="AG485" s="15">
        <v>0</v>
      </c>
      <c r="AH485" s="15">
        <v>0</v>
      </c>
      <c r="AI485" s="15">
        <f t="shared" si="61"/>
        <v>0.61199999999999999</v>
      </c>
      <c r="AJ485" s="15">
        <f t="shared" si="62"/>
        <v>10.811999999999999</v>
      </c>
      <c r="AK485" t="s">
        <v>47</v>
      </c>
    </row>
    <row r="486" spans="1:37" ht="15" customHeight="1" x14ac:dyDescent="0.35">
      <c r="A486">
        <v>690929</v>
      </c>
      <c r="B486" t="s">
        <v>37</v>
      </c>
      <c r="C486" t="s">
        <v>38</v>
      </c>
      <c r="D486" s="9" t="s">
        <v>39</v>
      </c>
      <c r="E486" s="10" t="s">
        <v>37</v>
      </c>
      <c r="F486" s="11"/>
      <c r="G486" t="s">
        <v>1521</v>
      </c>
      <c r="I486" t="s">
        <v>41</v>
      </c>
      <c r="J486" t="s">
        <v>1522</v>
      </c>
      <c r="K486" t="s">
        <v>43</v>
      </c>
      <c r="L486">
        <v>2</v>
      </c>
      <c r="M486" t="s">
        <v>44</v>
      </c>
      <c r="N486" t="s">
        <v>45</v>
      </c>
      <c r="O486" t="s">
        <v>46</v>
      </c>
      <c r="P486" s="5">
        <v>1</v>
      </c>
      <c r="Q486" s="12">
        <v>44757.688194444447</v>
      </c>
      <c r="R486" s="13">
        <v>44759</v>
      </c>
      <c r="T486" t="s">
        <v>47</v>
      </c>
      <c r="U486" t="s">
        <v>48</v>
      </c>
      <c r="V486" t="s">
        <v>76</v>
      </c>
      <c r="Y486" t="s">
        <v>1523</v>
      </c>
      <c r="Z486">
        <v>22300</v>
      </c>
      <c r="AA486" t="s">
        <v>47</v>
      </c>
      <c r="AB486" t="s">
        <v>56</v>
      </c>
      <c r="AC486" t="s">
        <v>53</v>
      </c>
      <c r="AD486" s="16">
        <f t="shared" si="64"/>
        <v>7</v>
      </c>
      <c r="AE486" s="15">
        <v>0</v>
      </c>
      <c r="AF486" s="15">
        <v>0</v>
      </c>
      <c r="AG486" s="15">
        <v>0</v>
      </c>
      <c r="AH486" s="15">
        <v>0</v>
      </c>
      <c r="AI486" s="15">
        <f t="shared" si="61"/>
        <v>0.42</v>
      </c>
      <c r="AJ486" s="15">
        <f t="shared" si="62"/>
        <v>7.42</v>
      </c>
      <c r="AK486" t="s">
        <v>47</v>
      </c>
    </row>
    <row r="487" spans="1:37" ht="15" customHeight="1" x14ac:dyDescent="0.35">
      <c r="A487">
        <v>690929</v>
      </c>
      <c r="B487" t="s">
        <v>37</v>
      </c>
      <c r="C487" t="s">
        <v>38</v>
      </c>
      <c r="D487" s="9" t="s">
        <v>39</v>
      </c>
      <c r="E487" s="10" t="s">
        <v>37</v>
      </c>
      <c r="F487" s="11"/>
      <c r="G487" t="s">
        <v>1524</v>
      </c>
      <c r="I487" t="s">
        <v>41</v>
      </c>
      <c r="J487" t="s">
        <v>1525</v>
      </c>
      <c r="K487" t="s">
        <v>43</v>
      </c>
      <c r="L487">
        <v>2</v>
      </c>
      <c r="M487" t="s">
        <v>44</v>
      </c>
      <c r="N487" t="s">
        <v>45</v>
      </c>
      <c r="O487" t="s">
        <v>46</v>
      </c>
      <c r="P487" s="5">
        <v>1</v>
      </c>
      <c r="Q487" s="12">
        <v>44756.605416666665</v>
      </c>
      <c r="R487" s="13">
        <v>44759</v>
      </c>
      <c r="T487" t="s">
        <v>47</v>
      </c>
      <c r="U487" t="s">
        <v>48</v>
      </c>
      <c r="V487" t="s">
        <v>449</v>
      </c>
      <c r="Y487" t="s">
        <v>1526</v>
      </c>
      <c r="Z487">
        <v>2700</v>
      </c>
      <c r="AA487" t="s">
        <v>47</v>
      </c>
      <c r="AB487" t="s">
        <v>1527</v>
      </c>
      <c r="AC487" t="s">
        <v>53</v>
      </c>
      <c r="AD487" s="16">
        <f t="shared" si="64"/>
        <v>7</v>
      </c>
      <c r="AE487" s="15">
        <v>0</v>
      </c>
      <c r="AF487" s="15">
        <v>0</v>
      </c>
      <c r="AG487" s="15">
        <v>0</v>
      </c>
      <c r="AH487" s="15">
        <v>0</v>
      </c>
      <c r="AI487" s="15">
        <f t="shared" si="61"/>
        <v>0.42</v>
      </c>
      <c r="AJ487" s="15">
        <f t="shared" si="62"/>
        <v>7.42</v>
      </c>
      <c r="AK487" t="s">
        <v>47</v>
      </c>
    </row>
    <row r="488" spans="1:37" ht="15" customHeight="1" x14ac:dyDescent="0.35">
      <c r="A488">
        <v>690929</v>
      </c>
      <c r="B488" t="s">
        <v>37</v>
      </c>
      <c r="C488" t="s">
        <v>38</v>
      </c>
      <c r="D488" s="9" t="s">
        <v>39</v>
      </c>
      <c r="E488" s="10" t="s">
        <v>37</v>
      </c>
      <c r="F488" s="11"/>
      <c r="G488" t="s">
        <v>1528</v>
      </c>
      <c r="I488" t="s">
        <v>41</v>
      </c>
      <c r="J488" t="s">
        <v>1529</v>
      </c>
      <c r="K488" t="s">
        <v>43</v>
      </c>
      <c r="L488">
        <v>2</v>
      </c>
      <c r="M488" t="s">
        <v>44</v>
      </c>
      <c r="N488" t="s">
        <v>45</v>
      </c>
      <c r="O488" t="s">
        <v>46</v>
      </c>
      <c r="P488" s="5">
        <v>1</v>
      </c>
      <c r="Q488" s="12">
        <v>44757.698935185188</v>
      </c>
      <c r="R488" s="13">
        <v>44759</v>
      </c>
      <c r="T488" t="s">
        <v>47</v>
      </c>
      <c r="U488" t="s">
        <v>48</v>
      </c>
      <c r="V488" t="s">
        <v>96</v>
      </c>
      <c r="Y488" t="s">
        <v>1530</v>
      </c>
      <c r="Z488">
        <v>15050</v>
      </c>
      <c r="AA488" t="s">
        <v>47</v>
      </c>
      <c r="AB488" t="s">
        <v>56</v>
      </c>
      <c r="AC488" t="s">
        <v>53</v>
      </c>
      <c r="AD488" s="16">
        <f t="shared" si="64"/>
        <v>7</v>
      </c>
      <c r="AE488" s="15">
        <v>0</v>
      </c>
      <c r="AF488" s="15">
        <v>0</v>
      </c>
      <c r="AG488" s="15">
        <v>0</v>
      </c>
      <c r="AH488" s="15">
        <v>0</v>
      </c>
      <c r="AI488" s="15">
        <f t="shared" si="61"/>
        <v>0.42</v>
      </c>
      <c r="AJ488" s="15">
        <f t="shared" si="62"/>
        <v>7.42</v>
      </c>
      <c r="AK488" t="s">
        <v>47</v>
      </c>
    </row>
    <row r="489" spans="1:37" ht="15" customHeight="1" x14ac:dyDescent="0.35">
      <c r="A489">
        <v>690929</v>
      </c>
      <c r="B489" t="s">
        <v>37</v>
      </c>
      <c r="C489" t="s">
        <v>38</v>
      </c>
      <c r="D489" s="9" t="s">
        <v>39</v>
      </c>
      <c r="E489" s="10" t="s">
        <v>37</v>
      </c>
      <c r="F489" s="11"/>
      <c r="G489" t="s">
        <v>1531</v>
      </c>
      <c r="I489" t="s">
        <v>41</v>
      </c>
      <c r="J489" t="s">
        <v>1532</v>
      </c>
      <c r="K489" t="s">
        <v>43</v>
      </c>
      <c r="L489">
        <v>2</v>
      </c>
      <c r="M489" t="s">
        <v>44</v>
      </c>
      <c r="N489" t="s">
        <v>45</v>
      </c>
      <c r="O489" t="s">
        <v>46</v>
      </c>
      <c r="P489" s="5">
        <v>1</v>
      </c>
      <c r="Q489" s="12">
        <v>44756.604467592595</v>
      </c>
      <c r="R489" s="13">
        <v>44759</v>
      </c>
      <c r="T489" t="s">
        <v>47</v>
      </c>
      <c r="U489" t="s">
        <v>48</v>
      </c>
      <c r="V489" t="s">
        <v>71</v>
      </c>
      <c r="Y489" t="s">
        <v>1533</v>
      </c>
      <c r="Z489">
        <v>8000</v>
      </c>
      <c r="AA489" t="s">
        <v>47</v>
      </c>
      <c r="AB489" t="s">
        <v>1511</v>
      </c>
      <c r="AC489" t="s">
        <v>53</v>
      </c>
      <c r="AD489" s="16">
        <f t="shared" si="64"/>
        <v>7</v>
      </c>
      <c r="AE489" s="15">
        <v>0</v>
      </c>
      <c r="AF489" s="15">
        <v>0</v>
      </c>
      <c r="AG489" s="15">
        <v>0</v>
      </c>
      <c r="AH489" s="15">
        <v>0</v>
      </c>
      <c r="AI489" s="15">
        <f t="shared" si="61"/>
        <v>0.42</v>
      </c>
      <c r="AJ489" s="15">
        <f t="shared" si="62"/>
        <v>7.42</v>
      </c>
      <c r="AK489" t="s">
        <v>47</v>
      </c>
    </row>
    <row r="490" spans="1:37" ht="15" customHeight="1" x14ac:dyDescent="0.35">
      <c r="A490">
        <v>690929</v>
      </c>
      <c r="B490" t="s">
        <v>37</v>
      </c>
      <c r="C490" t="s">
        <v>38</v>
      </c>
      <c r="D490" s="9" t="s">
        <v>39</v>
      </c>
      <c r="E490" s="10" t="s">
        <v>37</v>
      </c>
      <c r="F490" s="11"/>
      <c r="G490" t="s">
        <v>1534</v>
      </c>
      <c r="I490" t="s">
        <v>41</v>
      </c>
      <c r="J490" t="s">
        <v>1535</v>
      </c>
      <c r="K490" t="s">
        <v>43</v>
      </c>
      <c r="L490">
        <v>2</v>
      </c>
      <c r="M490" t="s">
        <v>44</v>
      </c>
      <c r="N490" t="s">
        <v>45</v>
      </c>
      <c r="O490" t="s">
        <v>46</v>
      </c>
      <c r="P490" s="5">
        <v>2</v>
      </c>
      <c r="Q490" s="12">
        <v>44755.601689814815</v>
      </c>
      <c r="R490" s="13">
        <v>44759</v>
      </c>
      <c r="T490" t="s">
        <v>47</v>
      </c>
      <c r="U490" t="s">
        <v>48</v>
      </c>
      <c r="V490" t="s">
        <v>62</v>
      </c>
      <c r="Y490" t="s">
        <v>1536</v>
      </c>
      <c r="Z490">
        <v>81310</v>
      </c>
      <c r="AA490" t="s">
        <v>47</v>
      </c>
      <c r="AB490" t="s">
        <v>64</v>
      </c>
      <c r="AC490" t="s">
        <v>53</v>
      </c>
      <c r="AD490" s="16">
        <f t="shared" si="64"/>
        <v>7.8</v>
      </c>
      <c r="AE490" s="15">
        <v>0</v>
      </c>
      <c r="AF490" s="15">
        <v>0</v>
      </c>
      <c r="AG490" s="15">
        <v>0</v>
      </c>
      <c r="AH490" s="15">
        <v>0</v>
      </c>
      <c r="AI490" s="15">
        <f t="shared" si="61"/>
        <v>0.46799999999999997</v>
      </c>
      <c r="AJ490" s="15">
        <f t="shared" si="62"/>
        <v>8.2680000000000007</v>
      </c>
      <c r="AK490" t="s">
        <v>47</v>
      </c>
    </row>
    <row r="491" spans="1:37" ht="15" customHeight="1" x14ac:dyDescent="0.35">
      <c r="A491">
        <v>690929</v>
      </c>
      <c r="B491" t="s">
        <v>37</v>
      </c>
      <c r="C491" t="s">
        <v>38</v>
      </c>
      <c r="D491" s="9" t="s">
        <v>39</v>
      </c>
      <c r="E491" s="10" t="s">
        <v>37</v>
      </c>
      <c r="F491" s="11"/>
      <c r="G491" t="s">
        <v>1537</v>
      </c>
      <c r="I491" t="s">
        <v>41</v>
      </c>
      <c r="J491" t="s">
        <v>1538</v>
      </c>
      <c r="K491" t="s">
        <v>43</v>
      </c>
      <c r="L491">
        <v>2</v>
      </c>
      <c r="M491" t="s">
        <v>44</v>
      </c>
      <c r="N491" t="s">
        <v>45</v>
      </c>
      <c r="O491" t="s">
        <v>46</v>
      </c>
      <c r="P491" s="5">
        <v>1</v>
      </c>
      <c r="Q491" s="12">
        <v>44756.551770833335</v>
      </c>
      <c r="R491" s="13">
        <v>44759</v>
      </c>
      <c r="T491" t="s">
        <v>47</v>
      </c>
      <c r="U491" t="s">
        <v>48</v>
      </c>
      <c r="V491" t="s">
        <v>71</v>
      </c>
      <c r="Y491" t="s">
        <v>1539</v>
      </c>
      <c r="Z491">
        <v>6200</v>
      </c>
      <c r="AA491" t="s">
        <v>47</v>
      </c>
      <c r="AB491" t="s">
        <v>1540</v>
      </c>
      <c r="AC491" t="s">
        <v>53</v>
      </c>
      <c r="AD491" s="16">
        <f t="shared" si="64"/>
        <v>7</v>
      </c>
      <c r="AE491" s="15">
        <v>0</v>
      </c>
      <c r="AF491" s="15">
        <v>0</v>
      </c>
      <c r="AG491" s="15">
        <v>0</v>
      </c>
      <c r="AH491" s="15">
        <v>0</v>
      </c>
      <c r="AI491" s="15">
        <f t="shared" si="61"/>
        <v>0.42</v>
      </c>
      <c r="AJ491" s="15">
        <f t="shared" si="62"/>
        <v>7.42</v>
      </c>
      <c r="AK491" t="s">
        <v>47</v>
      </c>
    </row>
    <row r="492" spans="1:37" ht="15" customHeight="1" x14ac:dyDescent="0.35">
      <c r="A492">
        <v>690929</v>
      </c>
      <c r="B492" t="s">
        <v>37</v>
      </c>
      <c r="C492" t="s">
        <v>38</v>
      </c>
      <c r="D492" s="9" t="s">
        <v>39</v>
      </c>
      <c r="E492" s="10" t="s">
        <v>37</v>
      </c>
      <c r="F492" s="11"/>
      <c r="G492" t="s">
        <v>1541</v>
      </c>
      <c r="I492" t="s">
        <v>41</v>
      </c>
      <c r="J492" t="s">
        <v>1542</v>
      </c>
      <c r="K492" t="s">
        <v>43</v>
      </c>
      <c r="L492">
        <v>2</v>
      </c>
      <c r="M492" t="s">
        <v>44</v>
      </c>
      <c r="N492" t="s">
        <v>45</v>
      </c>
      <c r="O492" t="s">
        <v>46</v>
      </c>
      <c r="P492" s="5">
        <v>2</v>
      </c>
      <c r="Q492" s="12">
        <v>44758.731388888889</v>
      </c>
      <c r="R492" s="13">
        <v>44760</v>
      </c>
      <c r="T492" t="s">
        <v>47</v>
      </c>
      <c r="U492" t="s">
        <v>48</v>
      </c>
      <c r="V492" t="s">
        <v>67</v>
      </c>
      <c r="Y492" t="s">
        <v>1543</v>
      </c>
      <c r="Z492">
        <v>25200</v>
      </c>
      <c r="AA492" t="s">
        <v>47</v>
      </c>
      <c r="AB492" t="s">
        <v>48</v>
      </c>
      <c r="AC492" t="s">
        <v>53</v>
      </c>
      <c r="AD492" s="16">
        <f t="shared" si="64"/>
        <v>7.8</v>
      </c>
      <c r="AE492" s="15">
        <v>0</v>
      </c>
      <c r="AF492" s="15">
        <v>0</v>
      </c>
      <c r="AG492" s="15">
        <v>0</v>
      </c>
      <c r="AH492" s="15">
        <v>0</v>
      </c>
      <c r="AI492" s="15">
        <f t="shared" si="61"/>
        <v>0.46799999999999997</v>
      </c>
      <c r="AJ492" s="15">
        <f t="shared" si="62"/>
        <v>8.2680000000000007</v>
      </c>
      <c r="AK492" t="s">
        <v>47</v>
      </c>
    </row>
    <row r="493" spans="1:37" ht="15" customHeight="1" x14ac:dyDescent="0.35">
      <c r="A493">
        <v>690929</v>
      </c>
      <c r="B493" t="s">
        <v>37</v>
      </c>
      <c r="C493" t="s">
        <v>38</v>
      </c>
      <c r="D493" s="9" t="s">
        <v>39</v>
      </c>
      <c r="E493" s="10" t="s">
        <v>37</v>
      </c>
      <c r="F493" s="11"/>
      <c r="G493" t="s">
        <v>1544</v>
      </c>
      <c r="I493" t="s">
        <v>41</v>
      </c>
      <c r="J493" t="s">
        <v>1545</v>
      </c>
      <c r="K493" t="s">
        <v>43</v>
      </c>
      <c r="L493">
        <v>2</v>
      </c>
      <c r="M493" t="s">
        <v>44</v>
      </c>
      <c r="N493" t="s">
        <v>45</v>
      </c>
      <c r="O493" t="s">
        <v>46</v>
      </c>
      <c r="P493" s="5">
        <v>19</v>
      </c>
      <c r="Q493" s="12">
        <v>44758.424664351849</v>
      </c>
      <c r="R493" s="13">
        <v>44760</v>
      </c>
      <c r="T493" t="s">
        <v>47</v>
      </c>
      <c r="U493" t="s">
        <v>48</v>
      </c>
      <c r="V493" t="s">
        <v>62</v>
      </c>
      <c r="Y493" t="s">
        <v>1546</v>
      </c>
      <c r="Z493">
        <v>81200</v>
      </c>
      <c r="AA493" t="s">
        <v>47</v>
      </c>
      <c r="AB493" t="s">
        <v>1547</v>
      </c>
      <c r="AC493" t="s">
        <v>53</v>
      </c>
      <c r="AD493" s="16">
        <f t="shared" si="64"/>
        <v>21.4</v>
      </c>
      <c r="AE493" s="15">
        <v>0</v>
      </c>
      <c r="AF493" s="15">
        <v>0</v>
      </c>
      <c r="AG493" s="15">
        <v>0</v>
      </c>
      <c r="AH493" s="15">
        <v>0</v>
      </c>
      <c r="AI493" s="15">
        <f t="shared" si="61"/>
        <v>1.2839999999999998</v>
      </c>
      <c r="AJ493" s="15">
        <f t="shared" si="62"/>
        <v>22.683999999999997</v>
      </c>
      <c r="AK493" t="s">
        <v>47</v>
      </c>
    </row>
    <row r="494" spans="1:37" ht="15" customHeight="1" x14ac:dyDescent="0.35">
      <c r="A494">
        <v>690929</v>
      </c>
      <c r="B494" t="s">
        <v>37</v>
      </c>
      <c r="C494" t="s">
        <v>38</v>
      </c>
      <c r="D494" s="9" t="s">
        <v>39</v>
      </c>
      <c r="E494" s="10" t="s">
        <v>37</v>
      </c>
      <c r="F494" s="11"/>
      <c r="G494" t="s">
        <v>1548</v>
      </c>
      <c r="I494" t="s">
        <v>41</v>
      </c>
      <c r="J494" t="s">
        <v>1545</v>
      </c>
      <c r="K494" t="s">
        <v>43</v>
      </c>
      <c r="L494">
        <v>2</v>
      </c>
      <c r="M494" t="s">
        <v>44</v>
      </c>
      <c r="N494" t="s">
        <v>45</v>
      </c>
      <c r="O494" t="s">
        <v>46</v>
      </c>
      <c r="P494" s="5">
        <v>13</v>
      </c>
      <c r="Q494" s="12">
        <v>44758.428182870368</v>
      </c>
      <c r="R494" s="13">
        <v>44760</v>
      </c>
      <c r="T494" t="s">
        <v>47</v>
      </c>
      <c r="U494" t="s">
        <v>48</v>
      </c>
      <c r="V494" t="s">
        <v>62</v>
      </c>
      <c r="Y494" t="s">
        <v>1546</v>
      </c>
      <c r="Z494">
        <v>81200</v>
      </c>
      <c r="AA494" t="s">
        <v>47</v>
      </c>
      <c r="AB494" t="s">
        <v>1547</v>
      </c>
      <c r="AC494" t="s">
        <v>53</v>
      </c>
      <c r="AD494" s="16">
        <f t="shared" si="64"/>
        <v>16.600000000000001</v>
      </c>
      <c r="AE494" s="15">
        <v>0</v>
      </c>
      <c r="AF494" s="15">
        <v>0</v>
      </c>
      <c r="AG494" s="15">
        <v>0</v>
      </c>
      <c r="AH494" s="15">
        <v>0</v>
      </c>
      <c r="AI494" s="15">
        <f t="shared" si="61"/>
        <v>0.996</v>
      </c>
      <c r="AJ494" s="15">
        <f t="shared" si="62"/>
        <v>17.596</v>
      </c>
      <c r="AK494" t="s">
        <v>47</v>
      </c>
    </row>
    <row r="495" spans="1:37" ht="15" customHeight="1" x14ac:dyDescent="0.35">
      <c r="A495">
        <v>690929</v>
      </c>
      <c r="B495" t="s">
        <v>37</v>
      </c>
      <c r="C495" t="s">
        <v>38</v>
      </c>
      <c r="D495" s="9" t="s">
        <v>39</v>
      </c>
      <c r="E495" s="10" t="s">
        <v>37</v>
      </c>
      <c r="F495" s="11"/>
      <c r="G495" t="s">
        <v>1549</v>
      </c>
      <c r="I495" t="s">
        <v>41</v>
      </c>
      <c r="J495" t="s">
        <v>1550</v>
      </c>
      <c r="K495" t="s">
        <v>43</v>
      </c>
      <c r="L495">
        <v>2</v>
      </c>
      <c r="M495" t="s">
        <v>44</v>
      </c>
      <c r="N495" t="s">
        <v>45</v>
      </c>
      <c r="O495" t="s">
        <v>46</v>
      </c>
      <c r="P495" s="5">
        <v>1</v>
      </c>
      <c r="Q495" s="12">
        <v>44757.697847222225</v>
      </c>
      <c r="R495" s="13">
        <v>44760</v>
      </c>
      <c r="T495" t="s">
        <v>47</v>
      </c>
      <c r="U495" t="s">
        <v>48</v>
      </c>
      <c r="V495" t="s">
        <v>62</v>
      </c>
      <c r="Y495" t="s">
        <v>1551</v>
      </c>
      <c r="Z495">
        <v>83600</v>
      </c>
      <c r="AA495" t="s">
        <v>47</v>
      </c>
      <c r="AB495" t="s">
        <v>1507</v>
      </c>
      <c r="AC495" t="s">
        <v>53</v>
      </c>
      <c r="AD495" s="16">
        <f t="shared" si="64"/>
        <v>7</v>
      </c>
      <c r="AE495" s="15">
        <v>0</v>
      </c>
      <c r="AF495" s="15">
        <v>0</v>
      </c>
      <c r="AG495" s="15">
        <v>0</v>
      </c>
      <c r="AH495" s="15">
        <v>0</v>
      </c>
      <c r="AI495" s="15">
        <f t="shared" si="61"/>
        <v>0.42</v>
      </c>
      <c r="AJ495" s="15">
        <f t="shared" si="62"/>
        <v>7.42</v>
      </c>
      <c r="AK495" t="s">
        <v>47</v>
      </c>
    </row>
    <row r="496" spans="1:37" ht="15" customHeight="1" x14ac:dyDescent="0.35">
      <c r="A496">
        <v>690929</v>
      </c>
      <c r="B496" t="s">
        <v>37</v>
      </c>
      <c r="C496" t="s">
        <v>38</v>
      </c>
      <c r="D496" s="9" t="s">
        <v>39</v>
      </c>
      <c r="E496" s="10" t="s">
        <v>37</v>
      </c>
      <c r="F496" s="11"/>
      <c r="G496" t="s">
        <v>1552</v>
      </c>
      <c r="I496" t="s">
        <v>41</v>
      </c>
      <c r="J496" t="s">
        <v>1553</v>
      </c>
      <c r="K496" t="s">
        <v>43</v>
      </c>
      <c r="L496">
        <v>2</v>
      </c>
      <c r="M496" t="s">
        <v>44</v>
      </c>
      <c r="N496" t="s">
        <v>45</v>
      </c>
      <c r="O496" t="s">
        <v>46</v>
      </c>
      <c r="P496" s="5">
        <v>1</v>
      </c>
      <c r="Q496" s="12">
        <v>44757.691400462965</v>
      </c>
      <c r="R496" s="13">
        <v>44760</v>
      </c>
      <c r="T496" t="s">
        <v>47</v>
      </c>
      <c r="U496" t="s">
        <v>48</v>
      </c>
      <c r="V496" t="s">
        <v>71</v>
      </c>
      <c r="Y496" t="s">
        <v>1554</v>
      </c>
      <c r="Z496">
        <v>9700</v>
      </c>
      <c r="AA496" t="s">
        <v>47</v>
      </c>
      <c r="AB496" t="s">
        <v>1467</v>
      </c>
      <c r="AC496" t="s">
        <v>53</v>
      </c>
      <c r="AD496" s="16">
        <f>IF(P496&lt;=1,7,7+0.8*ROUNDUP(P496-1,0))</f>
        <v>7</v>
      </c>
      <c r="AE496" s="15">
        <v>0</v>
      </c>
      <c r="AF496" s="15">
        <v>0</v>
      </c>
      <c r="AG496" s="15">
        <v>0</v>
      </c>
      <c r="AH496" s="15">
        <v>0</v>
      </c>
      <c r="AI496" s="15">
        <f t="shared" si="61"/>
        <v>0.42</v>
      </c>
      <c r="AJ496" s="15">
        <f t="shared" si="62"/>
        <v>7.42</v>
      </c>
      <c r="AK496" t="s">
        <v>47</v>
      </c>
    </row>
    <row r="497" spans="1:37" ht="15" customHeight="1" x14ac:dyDescent="0.35">
      <c r="A497">
        <v>690929</v>
      </c>
      <c r="B497" t="s">
        <v>37</v>
      </c>
      <c r="C497" t="s">
        <v>38</v>
      </c>
      <c r="D497" s="9" t="s">
        <v>39</v>
      </c>
      <c r="E497" s="10" t="s">
        <v>37</v>
      </c>
      <c r="F497" s="11"/>
      <c r="G497" t="s">
        <v>1555</v>
      </c>
      <c r="I497" t="s">
        <v>41</v>
      </c>
      <c r="J497" t="s">
        <v>1556</v>
      </c>
      <c r="K497" t="s">
        <v>43</v>
      </c>
      <c r="L497">
        <v>2</v>
      </c>
      <c r="M497" t="s">
        <v>44</v>
      </c>
      <c r="N497" t="s">
        <v>45</v>
      </c>
      <c r="O497" t="s">
        <v>46</v>
      </c>
      <c r="P497" s="5">
        <v>1</v>
      </c>
      <c r="Q497" s="12">
        <v>44757.689953703702</v>
      </c>
      <c r="R497" s="13">
        <v>44760</v>
      </c>
      <c r="T497" t="s">
        <v>47</v>
      </c>
      <c r="U497" t="s">
        <v>48</v>
      </c>
      <c r="V497" t="s">
        <v>67</v>
      </c>
      <c r="Y497" t="s">
        <v>1557</v>
      </c>
      <c r="Z497">
        <v>26100</v>
      </c>
      <c r="AA497" t="s">
        <v>47</v>
      </c>
      <c r="AB497" t="s">
        <v>48</v>
      </c>
      <c r="AC497" t="s">
        <v>53</v>
      </c>
      <c r="AD497" s="16">
        <f>IF(P497&lt;=1,7,7+0.8*ROUNDUP(P497-1,0))</f>
        <v>7</v>
      </c>
      <c r="AE497" s="15">
        <v>0</v>
      </c>
      <c r="AF497" s="15">
        <v>0</v>
      </c>
      <c r="AG497" s="15">
        <v>0</v>
      </c>
      <c r="AH497" s="15">
        <v>0</v>
      </c>
      <c r="AI497" s="15">
        <f t="shared" si="61"/>
        <v>0.42</v>
      </c>
      <c r="AJ497" s="15">
        <f t="shared" si="62"/>
        <v>7.42</v>
      </c>
      <c r="AK497" t="s">
        <v>47</v>
      </c>
    </row>
    <row r="498" spans="1:37" ht="15" customHeight="1" x14ac:dyDescent="0.35">
      <c r="A498">
        <v>690929</v>
      </c>
      <c r="B498" t="s">
        <v>37</v>
      </c>
      <c r="C498" t="s">
        <v>38</v>
      </c>
      <c r="D498" s="9" t="s">
        <v>39</v>
      </c>
      <c r="E498" s="10" t="s">
        <v>37</v>
      </c>
      <c r="F498" s="11"/>
      <c r="G498" t="s">
        <v>1558</v>
      </c>
      <c r="I498" t="s">
        <v>41</v>
      </c>
      <c r="J498" t="s">
        <v>1559</v>
      </c>
      <c r="K498" t="s">
        <v>43</v>
      </c>
      <c r="L498">
        <v>2</v>
      </c>
      <c r="M498" t="s">
        <v>44</v>
      </c>
      <c r="N498" t="s">
        <v>45</v>
      </c>
      <c r="O498" t="s">
        <v>46</v>
      </c>
      <c r="P498" s="5">
        <v>1</v>
      </c>
      <c r="Q498" s="12">
        <v>44759.646944444445</v>
      </c>
      <c r="R498" s="13">
        <v>44760</v>
      </c>
      <c r="T498" t="s">
        <v>47</v>
      </c>
      <c r="U498" t="s">
        <v>48</v>
      </c>
      <c r="V498" t="s">
        <v>67</v>
      </c>
      <c r="Y498" t="s">
        <v>1560</v>
      </c>
      <c r="Z498">
        <v>26300</v>
      </c>
      <c r="AA498" t="s">
        <v>47</v>
      </c>
      <c r="AB498" t="s">
        <v>48</v>
      </c>
      <c r="AC498" t="s">
        <v>53</v>
      </c>
      <c r="AD498" s="16">
        <f t="shared" ref="AD498:AD513" si="65">IF(P498&lt;=1,7,7+0.8*ROUNDUP(P498-1,0))</f>
        <v>7</v>
      </c>
      <c r="AE498" s="15">
        <v>0</v>
      </c>
      <c r="AF498" s="15">
        <v>0</v>
      </c>
      <c r="AG498" s="15">
        <v>0</v>
      </c>
      <c r="AH498" s="15">
        <v>0</v>
      </c>
      <c r="AI498" s="15">
        <f t="shared" si="61"/>
        <v>0.42</v>
      </c>
      <c r="AJ498" s="15">
        <f t="shared" si="62"/>
        <v>7.42</v>
      </c>
      <c r="AK498" t="s">
        <v>47</v>
      </c>
    </row>
    <row r="499" spans="1:37" ht="15" customHeight="1" x14ac:dyDescent="0.35">
      <c r="A499">
        <v>690929</v>
      </c>
      <c r="B499" t="s">
        <v>37</v>
      </c>
      <c r="C499" t="s">
        <v>38</v>
      </c>
      <c r="D499" s="9" t="s">
        <v>39</v>
      </c>
      <c r="E499" s="10" t="s">
        <v>37</v>
      </c>
      <c r="F499" s="11"/>
      <c r="G499" t="s">
        <v>1561</v>
      </c>
      <c r="I499" t="s">
        <v>41</v>
      </c>
      <c r="J499" t="s">
        <v>1562</v>
      </c>
      <c r="K499" t="s">
        <v>43</v>
      </c>
      <c r="L499">
        <v>2</v>
      </c>
      <c r="M499" t="s">
        <v>44</v>
      </c>
      <c r="N499" t="s">
        <v>45</v>
      </c>
      <c r="O499" t="s">
        <v>46</v>
      </c>
      <c r="P499" s="5">
        <v>1</v>
      </c>
      <c r="Q499" s="12">
        <v>44757.69431712963</v>
      </c>
      <c r="R499" s="13">
        <v>44760</v>
      </c>
      <c r="T499" t="s">
        <v>47</v>
      </c>
      <c r="U499" t="s">
        <v>48</v>
      </c>
      <c r="V499" t="s">
        <v>62</v>
      </c>
      <c r="Y499" t="s">
        <v>1563</v>
      </c>
      <c r="Z499">
        <v>86000</v>
      </c>
      <c r="AA499" t="s">
        <v>47</v>
      </c>
      <c r="AB499" t="s">
        <v>1507</v>
      </c>
      <c r="AC499" t="s">
        <v>53</v>
      </c>
      <c r="AD499" s="16">
        <f t="shared" si="65"/>
        <v>7</v>
      </c>
      <c r="AE499" s="15">
        <v>0</v>
      </c>
      <c r="AF499" s="15">
        <v>0</v>
      </c>
      <c r="AG499" s="15">
        <v>0</v>
      </c>
      <c r="AH499" s="15">
        <v>0</v>
      </c>
      <c r="AI499" s="15">
        <f t="shared" si="61"/>
        <v>0.42</v>
      </c>
      <c r="AJ499" s="15">
        <f t="shared" si="62"/>
        <v>7.42</v>
      </c>
      <c r="AK499" t="s">
        <v>47</v>
      </c>
    </row>
    <row r="500" spans="1:37" ht="15" customHeight="1" x14ac:dyDescent="0.35">
      <c r="A500">
        <v>690929</v>
      </c>
      <c r="B500" t="s">
        <v>37</v>
      </c>
      <c r="C500" t="s">
        <v>38</v>
      </c>
      <c r="D500" s="9" t="s">
        <v>39</v>
      </c>
      <c r="E500" s="10" t="s">
        <v>37</v>
      </c>
      <c r="F500" s="11"/>
      <c r="G500" t="s">
        <v>1564</v>
      </c>
      <c r="I500" t="s">
        <v>41</v>
      </c>
      <c r="J500" t="s">
        <v>1565</v>
      </c>
      <c r="K500" t="s">
        <v>43</v>
      </c>
      <c r="L500">
        <v>2</v>
      </c>
      <c r="M500" t="s">
        <v>44</v>
      </c>
      <c r="N500" t="s">
        <v>45</v>
      </c>
      <c r="O500" t="s">
        <v>46</v>
      </c>
      <c r="P500" s="5">
        <v>1</v>
      </c>
      <c r="Q500" s="12">
        <v>44759.486064814817</v>
      </c>
      <c r="R500" s="13">
        <v>44760</v>
      </c>
      <c r="T500" t="s">
        <v>47</v>
      </c>
      <c r="U500" t="s">
        <v>48</v>
      </c>
      <c r="V500" t="s">
        <v>96</v>
      </c>
      <c r="Y500" t="s">
        <v>1566</v>
      </c>
      <c r="Z500">
        <v>16070</v>
      </c>
      <c r="AA500" t="s">
        <v>47</v>
      </c>
      <c r="AB500" t="s">
        <v>56</v>
      </c>
      <c r="AC500" t="s">
        <v>53</v>
      </c>
      <c r="AD500" s="16">
        <f t="shared" si="65"/>
        <v>7</v>
      </c>
      <c r="AE500" s="15">
        <v>0</v>
      </c>
      <c r="AF500" s="15">
        <v>0</v>
      </c>
      <c r="AG500" s="15">
        <v>0</v>
      </c>
      <c r="AH500" s="15">
        <v>0</v>
      </c>
      <c r="AI500" s="15">
        <f t="shared" si="61"/>
        <v>0.42</v>
      </c>
      <c r="AJ500" s="15">
        <f t="shared" si="62"/>
        <v>7.42</v>
      </c>
      <c r="AK500" t="s">
        <v>47</v>
      </c>
    </row>
    <row r="501" spans="1:37" ht="15" customHeight="1" x14ac:dyDescent="0.35">
      <c r="A501">
        <v>690929</v>
      </c>
      <c r="B501" t="s">
        <v>37</v>
      </c>
      <c r="C501" t="s">
        <v>38</v>
      </c>
      <c r="D501" s="9" t="s">
        <v>39</v>
      </c>
      <c r="E501" s="10" t="s">
        <v>37</v>
      </c>
      <c r="F501" s="11"/>
      <c r="G501" t="s">
        <v>1567</v>
      </c>
      <c r="I501" t="s">
        <v>41</v>
      </c>
      <c r="J501" t="s">
        <v>1568</v>
      </c>
      <c r="K501" t="s">
        <v>43</v>
      </c>
      <c r="L501">
        <v>2</v>
      </c>
      <c r="M501" t="s">
        <v>44</v>
      </c>
      <c r="N501" t="s">
        <v>45</v>
      </c>
      <c r="O501" t="s">
        <v>46</v>
      </c>
      <c r="P501" s="5">
        <v>1</v>
      </c>
      <c r="Q501" s="12">
        <v>44759.653495370374</v>
      </c>
      <c r="R501" s="13">
        <v>44760</v>
      </c>
      <c r="T501" t="s">
        <v>47</v>
      </c>
      <c r="U501" t="s">
        <v>48</v>
      </c>
      <c r="V501" t="s">
        <v>76</v>
      </c>
      <c r="Y501" t="s">
        <v>1569</v>
      </c>
      <c r="Z501">
        <v>23000</v>
      </c>
      <c r="AA501" t="s">
        <v>47</v>
      </c>
      <c r="AB501" t="s">
        <v>48</v>
      </c>
      <c r="AC501" t="s">
        <v>53</v>
      </c>
      <c r="AD501" s="16">
        <f t="shared" si="65"/>
        <v>7</v>
      </c>
      <c r="AE501" s="15">
        <v>0</v>
      </c>
      <c r="AF501" s="15">
        <v>0</v>
      </c>
      <c r="AG501" s="15">
        <v>0</v>
      </c>
      <c r="AH501" s="15">
        <v>0</v>
      </c>
      <c r="AI501" s="15">
        <f t="shared" si="61"/>
        <v>0.42</v>
      </c>
      <c r="AJ501" s="15">
        <f t="shared" si="62"/>
        <v>7.42</v>
      </c>
      <c r="AK501" t="s">
        <v>47</v>
      </c>
    </row>
    <row r="502" spans="1:37" ht="15" customHeight="1" x14ac:dyDescent="0.35">
      <c r="A502">
        <v>690929</v>
      </c>
      <c r="B502" t="s">
        <v>37</v>
      </c>
      <c r="C502" t="s">
        <v>38</v>
      </c>
      <c r="D502" s="9" t="s">
        <v>39</v>
      </c>
      <c r="E502" s="10" t="s">
        <v>37</v>
      </c>
      <c r="F502" s="11"/>
      <c r="G502" t="s">
        <v>1570</v>
      </c>
      <c r="I502" t="s">
        <v>41</v>
      </c>
      <c r="J502" t="s">
        <v>1571</v>
      </c>
      <c r="K502" t="s">
        <v>43</v>
      </c>
      <c r="L502">
        <v>2</v>
      </c>
      <c r="M502" t="s">
        <v>44</v>
      </c>
      <c r="N502" t="s">
        <v>45</v>
      </c>
      <c r="O502" t="s">
        <v>46</v>
      </c>
      <c r="P502" s="5">
        <v>7</v>
      </c>
      <c r="Q502" s="12">
        <v>44758.630254629628</v>
      </c>
      <c r="R502" s="13">
        <v>44760</v>
      </c>
      <c r="T502" t="s">
        <v>47</v>
      </c>
      <c r="U502" t="s">
        <v>48</v>
      </c>
      <c r="V502" t="s">
        <v>96</v>
      </c>
      <c r="Y502" t="s">
        <v>1572</v>
      </c>
      <c r="Z502">
        <v>18300</v>
      </c>
      <c r="AA502" t="s">
        <v>47</v>
      </c>
      <c r="AB502" t="s">
        <v>225</v>
      </c>
      <c r="AC502" t="s">
        <v>53</v>
      </c>
      <c r="AD502" s="16">
        <f t="shared" si="65"/>
        <v>11.8</v>
      </c>
      <c r="AE502" s="15">
        <v>0</v>
      </c>
      <c r="AF502" s="15">
        <v>0</v>
      </c>
      <c r="AG502" s="15">
        <v>0</v>
      </c>
      <c r="AH502" s="15">
        <v>0</v>
      </c>
      <c r="AI502" s="15">
        <f t="shared" si="61"/>
        <v>0.70799999999999996</v>
      </c>
      <c r="AJ502" s="15">
        <f t="shared" si="62"/>
        <v>12.508000000000001</v>
      </c>
      <c r="AK502" t="s">
        <v>47</v>
      </c>
    </row>
    <row r="503" spans="1:37" ht="15" customHeight="1" x14ac:dyDescent="0.35">
      <c r="A503">
        <v>690929</v>
      </c>
      <c r="B503" t="s">
        <v>37</v>
      </c>
      <c r="C503" t="s">
        <v>38</v>
      </c>
      <c r="D503" s="9" t="s">
        <v>39</v>
      </c>
      <c r="E503" s="10" t="s">
        <v>37</v>
      </c>
      <c r="F503" s="11"/>
      <c r="G503" t="s">
        <v>1573</v>
      </c>
      <c r="I503" t="s">
        <v>41</v>
      </c>
      <c r="J503" t="s">
        <v>1574</v>
      </c>
      <c r="K503" t="s">
        <v>43</v>
      </c>
      <c r="L503">
        <v>2</v>
      </c>
      <c r="M503" t="s">
        <v>44</v>
      </c>
      <c r="N503" t="s">
        <v>45</v>
      </c>
      <c r="O503" t="s">
        <v>46</v>
      </c>
      <c r="P503" s="5">
        <v>1</v>
      </c>
      <c r="Q503" s="12">
        <v>44757.633483796293</v>
      </c>
      <c r="R503" s="13">
        <v>44760</v>
      </c>
      <c r="T503" t="s">
        <v>47</v>
      </c>
      <c r="U503" t="s">
        <v>48</v>
      </c>
      <c r="V503" t="s">
        <v>67</v>
      </c>
      <c r="Y503" t="s">
        <v>1575</v>
      </c>
      <c r="Z503">
        <v>25000</v>
      </c>
      <c r="AA503" t="s">
        <v>47</v>
      </c>
      <c r="AB503" t="s">
        <v>48</v>
      </c>
      <c r="AC503" t="s">
        <v>53</v>
      </c>
      <c r="AD503" s="16">
        <f t="shared" si="65"/>
        <v>7</v>
      </c>
      <c r="AE503" s="15">
        <v>0</v>
      </c>
      <c r="AF503" s="15">
        <v>0</v>
      </c>
      <c r="AG503" s="15">
        <v>0</v>
      </c>
      <c r="AH503" s="15">
        <v>0</v>
      </c>
      <c r="AI503" s="15">
        <f t="shared" si="61"/>
        <v>0.42</v>
      </c>
      <c r="AJ503" s="15">
        <f t="shared" si="62"/>
        <v>7.42</v>
      </c>
      <c r="AK503" t="s">
        <v>47</v>
      </c>
    </row>
    <row r="504" spans="1:37" ht="15" customHeight="1" x14ac:dyDescent="0.35">
      <c r="A504">
        <v>690929</v>
      </c>
      <c r="B504" t="s">
        <v>37</v>
      </c>
      <c r="C504" t="s">
        <v>38</v>
      </c>
      <c r="D504" s="9" t="s">
        <v>39</v>
      </c>
      <c r="E504" s="10" t="s">
        <v>37</v>
      </c>
      <c r="F504" s="11"/>
      <c r="G504" t="s">
        <v>1576</v>
      </c>
      <c r="I504" t="s">
        <v>41</v>
      </c>
      <c r="J504" t="s">
        <v>1577</v>
      </c>
      <c r="K504" t="s">
        <v>43</v>
      </c>
      <c r="L504">
        <v>2</v>
      </c>
      <c r="M504" t="s">
        <v>44</v>
      </c>
      <c r="N504" t="s">
        <v>45</v>
      </c>
      <c r="O504" t="s">
        <v>46</v>
      </c>
      <c r="P504" s="5">
        <v>1</v>
      </c>
      <c r="Q504" s="12">
        <v>44757.636087962965</v>
      </c>
      <c r="R504" s="13">
        <v>44760</v>
      </c>
      <c r="T504" t="s">
        <v>47</v>
      </c>
      <c r="U504" t="s">
        <v>48</v>
      </c>
      <c r="V504" t="s">
        <v>67</v>
      </c>
      <c r="Y504" t="s">
        <v>1578</v>
      </c>
      <c r="Z504">
        <v>28000</v>
      </c>
      <c r="AA504" t="s">
        <v>47</v>
      </c>
      <c r="AB504" t="s">
        <v>48</v>
      </c>
      <c r="AC504" t="s">
        <v>53</v>
      </c>
      <c r="AD504" s="16">
        <f t="shared" si="65"/>
        <v>7</v>
      </c>
      <c r="AE504" s="15">
        <v>0</v>
      </c>
      <c r="AF504" s="15">
        <v>0</v>
      </c>
      <c r="AG504" s="15">
        <v>0</v>
      </c>
      <c r="AH504" s="15">
        <v>0</v>
      </c>
      <c r="AI504" s="15">
        <f t="shared" si="61"/>
        <v>0.42</v>
      </c>
      <c r="AJ504" s="15">
        <f t="shared" si="62"/>
        <v>7.42</v>
      </c>
      <c r="AK504" t="s">
        <v>47</v>
      </c>
    </row>
    <row r="505" spans="1:37" ht="15" customHeight="1" x14ac:dyDescent="0.35">
      <c r="A505">
        <v>690929</v>
      </c>
      <c r="B505" t="s">
        <v>37</v>
      </c>
      <c r="C505" t="s">
        <v>38</v>
      </c>
      <c r="D505" s="9" t="s">
        <v>39</v>
      </c>
      <c r="E505" s="10" t="s">
        <v>37</v>
      </c>
      <c r="F505" s="11"/>
      <c r="G505" t="s">
        <v>1579</v>
      </c>
      <c r="I505" t="s">
        <v>41</v>
      </c>
      <c r="J505" t="s">
        <v>1580</v>
      </c>
      <c r="K505" t="s">
        <v>43</v>
      </c>
      <c r="L505">
        <v>2</v>
      </c>
      <c r="M505" t="s">
        <v>44</v>
      </c>
      <c r="N505" t="s">
        <v>45</v>
      </c>
      <c r="O505" t="s">
        <v>46</v>
      </c>
      <c r="P505" s="5">
        <v>1</v>
      </c>
      <c r="Q505" s="12">
        <v>44758.472002314818</v>
      </c>
      <c r="R505" s="13">
        <v>44760</v>
      </c>
      <c r="T505" t="s">
        <v>47</v>
      </c>
      <c r="U505" t="s">
        <v>48</v>
      </c>
      <c r="V505" t="s">
        <v>62</v>
      </c>
      <c r="Y505" t="s">
        <v>1581</v>
      </c>
      <c r="Z505">
        <v>81560</v>
      </c>
      <c r="AA505" t="s">
        <v>47</v>
      </c>
      <c r="AB505" t="s">
        <v>1453</v>
      </c>
      <c r="AC505" t="s">
        <v>53</v>
      </c>
      <c r="AD505" s="16">
        <f t="shared" si="65"/>
        <v>7</v>
      </c>
      <c r="AE505" s="15">
        <v>0</v>
      </c>
      <c r="AF505" s="15">
        <v>0</v>
      </c>
      <c r="AG505" s="15">
        <v>0</v>
      </c>
      <c r="AH505" s="15">
        <v>0</v>
      </c>
      <c r="AI505" s="15">
        <f t="shared" si="61"/>
        <v>0.42</v>
      </c>
      <c r="AJ505" s="15">
        <f t="shared" si="62"/>
        <v>7.42</v>
      </c>
      <c r="AK505" t="s">
        <v>47</v>
      </c>
    </row>
    <row r="506" spans="1:37" ht="15" customHeight="1" x14ac:dyDescent="0.35">
      <c r="A506">
        <v>690929</v>
      </c>
      <c r="B506" t="s">
        <v>37</v>
      </c>
      <c r="C506" t="s">
        <v>38</v>
      </c>
      <c r="D506" s="9" t="s">
        <v>39</v>
      </c>
      <c r="E506" s="10" t="s">
        <v>37</v>
      </c>
      <c r="F506" s="11"/>
      <c r="G506" t="s">
        <v>1582</v>
      </c>
      <c r="I506" t="s">
        <v>41</v>
      </c>
      <c r="J506" t="s">
        <v>1583</v>
      </c>
      <c r="K506" t="s">
        <v>43</v>
      </c>
      <c r="L506">
        <v>2</v>
      </c>
      <c r="M506" t="s">
        <v>44</v>
      </c>
      <c r="N506" t="s">
        <v>45</v>
      </c>
      <c r="O506" t="s">
        <v>46</v>
      </c>
      <c r="P506" s="5">
        <v>1</v>
      </c>
      <c r="Q506" s="12">
        <v>44757.638298611113</v>
      </c>
      <c r="R506" s="13">
        <v>44760</v>
      </c>
      <c r="T506" t="s">
        <v>47</v>
      </c>
      <c r="U506" t="s">
        <v>48</v>
      </c>
      <c r="V506" t="s">
        <v>114</v>
      </c>
      <c r="Y506" t="s">
        <v>1584</v>
      </c>
      <c r="Z506">
        <v>40170</v>
      </c>
      <c r="AA506" t="s">
        <v>47</v>
      </c>
      <c r="AB506" t="s">
        <v>56</v>
      </c>
      <c r="AC506" t="s">
        <v>53</v>
      </c>
      <c r="AD506" s="16">
        <f t="shared" si="65"/>
        <v>7</v>
      </c>
      <c r="AE506" s="15">
        <v>0</v>
      </c>
      <c r="AF506" s="15">
        <v>0</v>
      </c>
      <c r="AG506" s="15">
        <v>0</v>
      </c>
      <c r="AH506" s="15">
        <v>0</v>
      </c>
      <c r="AI506" s="15">
        <f t="shared" si="61"/>
        <v>0.42</v>
      </c>
      <c r="AJ506" s="15">
        <f t="shared" si="62"/>
        <v>7.42</v>
      </c>
      <c r="AK506" t="s">
        <v>47</v>
      </c>
    </row>
    <row r="507" spans="1:37" ht="15" customHeight="1" x14ac:dyDescent="0.35">
      <c r="A507">
        <v>690929</v>
      </c>
      <c r="B507" t="s">
        <v>37</v>
      </c>
      <c r="C507" t="s">
        <v>38</v>
      </c>
      <c r="D507" s="9" t="s">
        <v>39</v>
      </c>
      <c r="E507" s="10" t="s">
        <v>37</v>
      </c>
      <c r="F507" s="11"/>
      <c r="G507" t="s">
        <v>1585</v>
      </c>
      <c r="I507" t="s">
        <v>41</v>
      </c>
      <c r="J507" t="s">
        <v>1586</v>
      </c>
      <c r="K507" t="s">
        <v>43</v>
      </c>
      <c r="L507">
        <v>2</v>
      </c>
      <c r="M507" t="s">
        <v>44</v>
      </c>
      <c r="N507" t="s">
        <v>45</v>
      </c>
      <c r="O507" t="s">
        <v>46</v>
      </c>
      <c r="P507" s="5">
        <v>1</v>
      </c>
      <c r="Q507" s="12">
        <v>44756.734479166669</v>
      </c>
      <c r="R507" s="13">
        <v>44760</v>
      </c>
      <c r="T507" t="s">
        <v>47</v>
      </c>
      <c r="U507" t="s">
        <v>48</v>
      </c>
      <c r="V507" t="s">
        <v>100</v>
      </c>
      <c r="Y507" t="s">
        <v>1587</v>
      </c>
      <c r="Z507">
        <v>32700</v>
      </c>
      <c r="AA507" t="s">
        <v>47</v>
      </c>
      <c r="AB507" t="s">
        <v>64</v>
      </c>
      <c r="AC507" t="s">
        <v>53</v>
      </c>
      <c r="AD507" s="16">
        <f t="shared" si="65"/>
        <v>7</v>
      </c>
      <c r="AE507" s="15">
        <v>0</v>
      </c>
      <c r="AF507" s="15">
        <v>0</v>
      </c>
      <c r="AG507" s="15">
        <v>0</v>
      </c>
      <c r="AH507" s="15">
        <v>0</v>
      </c>
      <c r="AI507" s="15">
        <f t="shared" si="61"/>
        <v>0.42</v>
      </c>
      <c r="AJ507" s="15">
        <f t="shared" si="62"/>
        <v>7.42</v>
      </c>
      <c r="AK507" t="s">
        <v>47</v>
      </c>
    </row>
    <row r="508" spans="1:37" ht="15" customHeight="1" x14ac:dyDescent="0.35">
      <c r="A508">
        <v>690929</v>
      </c>
      <c r="B508" t="s">
        <v>37</v>
      </c>
      <c r="C508" t="s">
        <v>38</v>
      </c>
      <c r="D508" s="9" t="s">
        <v>39</v>
      </c>
      <c r="E508" s="10" t="s">
        <v>37</v>
      </c>
      <c r="F508" s="11"/>
      <c r="G508" t="s">
        <v>1588</v>
      </c>
      <c r="I508" t="s">
        <v>41</v>
      </c>
      <c r="J508" t="s">
        <v>1589</v>
      </c>
      <c r="K508" t="s">
        <v>43</v>
      </c>
      <c r="L508">
        <v>2</v>
      </c>
      <c r="M508" t="s">
        <v>44</v>
      </c>
      <c r="N508" t="s">
        <v>45</v>
      </c>
      <c r="O508" t="s">
        <v>46</v>
      </c>
      <c r="P508" s="5">
        <v>1</v>
      </c>
      <c r="Q508" s="12">
        <v>44758.456562500003</v>
      </c>
      <c r="R508" s="13">
        <v>44760</v>
      </c>
      <c r="T508" t="s">
        <v>47</v>
      </c>
      <c r="U508" t="s">
        <v>48</v>
      </c>
      <c r="V508" t="s">
        <v>128</v>
      </c>
      <c r="Y508" t="s">
        <v>1590</v>
      </c>
      <c r="Z508">
        <v>53300</v>
      </c>
      <c r="AA508" t="s">
        <v>47</v>
      </c>
      <c r="AB508" t="s">
        <v>56</v>
      </c>
      <c r="AC508" t="s">
        <v>53</v>
      </c>
      <c r="AD508" s="16">
        <f t="shared" si="65"/>
        <v>7</v>
      </c>
      <c r="AE508" s="15">
        <v>0</v>
      </c>
      <c r="AF508" s="15">
        <v>0</v>
      </c>
      <c r="AG508" s="15">
        <v>0</v>
      </c>
      <c r="AH508" s="15">
        <v>0</v>
      </c>
      <c r="AI508" s="15">
        <f t="shared" si="61"/>
        <v>0.42</v>
      </c>
      <c r="AJ508" s="15">
        <f t="shared" si="62"/>
        <v>7.42</v>
      </c>
      <c r="AK508" t="s">
        <v>47</v>
      </c>
    </row>
    <row r="509" spans="1:37" ht="15" customHeight="1" x14ac:dyDescent="0.35">
      <c r="A509">
        <v>690929</v>
      </c>
      <c r="B509" t="s">
        <v>37</v>
      </c>
      <c r="C509" t="s">
        <v>38</v>
      </c>
      <c r="D509" s="9" t="s">
        <v>39</v>
      </c>
      <c r="E509" s="10" t="s">
        <v>37</v>
      </c>
      <c r="F509" s="11"/>
      <c r="G509" t="s">
        <v>1591</v>
      </c>
      <c r="I509" t="s">
        <v>41</v>
      </c>
      <c r="J509" t="s">
        <v>1592</v>
      </c>
      <c r="K509" t="s">
        <v>43</v>
      </c>
      <c r="L509">
        <v>2</v>
      </c>
      <c r="M509" t="s">
        <v>44</v>
      </c>
      <c r="N509" t="s">
        <v>45</v>
      </c>
      <c r="O509" t="s">
        <v>46</v>
      </c>
      <c r="P509" s="5">
        <v>1</v>
      </c>
      <c r="Q509" s="12">
        <v>44757.731678240743</v>
      </c>
      <c r="R509" s="13">
        <v>44760</v>
      </c>
      <c r="T509" t="s">
        <v>47</v>
      </c>
      <c r="U509" t="s">
        <v>48</v>
      </c>
      <c r="V509" t="s">
        <v>85</v>
      </c>
      <c r="Y509" t="s">
        <v>1593</v>
      </c>
      <c r="Z509">
        <v>11900</v>
      </c>
      <c r="AA509" t="s">
        <v>47</v>
      </c>
      <c r="AB509" t="s">
        <v>1490</v>
      </c>
      <c r="AC509" t="s">
        <v>53</v>
      </c>
      <c r="AD509" s="16">
        <f t="shared" si="65"/>
        <v>7</v>
      </c>
      <c r="AE509" s="15">
        <v>0</v>
      </c>
      <c r="AF509" s="15">
        <v>0</v>
      </c>
      <c r="AG509" s="15">
        <v>0</v>
      </c>
      <c r="AH509" s="15">
        <v>0</v>
      </c>
      <c r="AI509" s="15">
        <f t="shared" si="61"/>
        <v>0.42</v>
      </c>
      <c r="AJ509" s="15">
        <f t="shared" si="62"/>
        <v>7.42</v>
      </c>
      <c r="AK509" t="s">
        <v>47</v>
      </c>
    </row>
    <row r="510" spans="1:37" ht="15" customHeight="1" x14ac:dyDescent="0.35">
      <c r="A510">
        <v>690929</v>
      </c>
      <c r="B510" t="s">
        <v>37</v>
      </c>
      <c r="C510" t="s">
        <v>38</v>
      </c>
      <c r="D510" s="9" t="s">
        <v>39</v>
      </c>
      <c r="E510" s="10" t="s">
        <v>37</v>
      </c>
      <c r="F510" s="11"/>
      <c r="G510" t="s">
        <v>1594</v>
      </c>
      <c r="I510" t="s">
        <v>41</v>
      </c>
      <c r="J510" t="s">
        <v>1595</v>
      </c>
      <c r="K510" t="s">
        <v>43</v>
      </c>
      <c r="L510">
        <v>2</v>
      </c>
      <c r="M510" t="s">
        <v>44</v>
      </c>
      <c r="N510" t="s">
        <v>45</v>
      </c>
      <c r="O510" t="s">
        <v>46</v>
      </c>
      <c r="P510" s="5">
        <v>1</v>
      </c>
      <c r="Q510" s="12">
        <v>44759.61550925926</v>
      </c>
      <c r="R510" s="13">
        <v>44760</v>
      </c>
      <c r="T510" t="s">
        <v>47</v>
      </c>
      <c r="U510" t="s">
        <v>48</v>
      </c>
      <c r="V510" t="s">
        <v>96</v>
      </c>
      <c r="Y510" t="s">
        <v>1596</v>
      </c>
      <c r="Z510">
        <v>18000</v>
      </c>
      <c r="AA510" t="s">
        <v>47</v>
      </c>
      <c r="AB510" t="s">
        <v>56</v>
      </c>
      <c r="AC510" t="s">
        <v>53</v>
      </c>
      <c r="AD510" s="16">
        <f t="shared" si="65"/>
        <v>7</v>
      </c>
      <c r="AE510" s="15">
        <v>0</v>
      </c>
      <c r="AF510" s="15">
        <v>0</v>
      </c>
      <c r="AG510" s="15">
        <v>0</v>
      </c>
      <c r="AH510" s="15">
        <v>0</v>
      </c>
      <c r="AI510" s="15">
        <f t="shared" si="61"/>
        <v>0.42</v>
      </c>
      <c r="AJ510" s="15">
        <f t="shared" si="62"/>
        <v>7.42</v>
      </c>
      <c r="AK510" t="s">
        <v>47</v>
      </c>
    </row>
    <row r="511" spans="1:37" ht="15" customHeight="1" x14ac:dyDescent="0.35">
      <c r="A511">
        <v>690929</v>
      </c>
      <c r="B511" t="s">
        <v>37</v>
      </c>
      <c r="C511" t="s">
        <v>38</v>
      </c>
      <c r="D511" s="9" t="s">
        <v>39</v>
      </c>
      <c r="E511" s="10" t="s">
        <v>37</v>
      </c>
      <c r="F511" s="11"/>
      <c r="G511" t="s">
        <v>1597</v>
      </c>
      <c r="I511" t="s">
        <v>41</v>
      </c>
      <c r="J511" t="s">
        <v>1598</v>
      </c>
      <c r="K511" t="s">
        <v>43</v>
      </c>
      <c r="L511">
        <v>2</v>
      </c>
      <c r="M511" t="s">
        <v>44</v>
      </c>
      <c r="N511" t="s">
        <v>45</v>
      </c>
      <c r="O511" t="s">
        <v>46</v>
      </c>
      <c r="P511" s="5">
        <v>1</v>
      </c>
      <c r="Q511" s="12">
        <v>44756.678831018522</v>
      </c>
      <c r="R511" s="13">
        <v>44760</v>
      </c>
      <c r="T511" t="s">
        <v>47</v>
      </c>
      <c r="U511" t="s">
        <v>48</v>
      </c>
      <c r="V511" t="s">
        <v>114</v>
      </c>
      <c r="Y511" t="s">
        <v>1599</v>
      </c>
      <c r="Z511">
        <v>47500</v>
      </c>
      <c r="AA511" t="s">
        <v>47</v>
      </c>
      <c r="AB511" t="s">
        <v>64</v>
      </c>
      <c r="AC511" t="s">
        <v>53</v>
      </c>
      <c r="AD511" s="16">
        <f t="shared" si="65"/>
        <v>7</v>
      </c>
      <c r="AE511" s="15">
        <v>0</v>
      </c>
      <c r="AF511" s="15">
        <v>0</v>
      </c>
      <c r="AG511" s="15">
        <v>0</v>
      </c>
      <c r="AH511" s="15">
        <v>0</v>
      </c>
      <c r="AI511" s="15">
        <f t="shared" si="61"/>
        <v>0.42</v>
      </c>
      <c r="AJ511" s="15">
        <f t="shared" si="62"/>
        <v>7.42</v>
      </c>
      <c r="AK511" t="s">
        <v>47</v>
      </c>
    </row>
    <row r="512" spans="1:37" ht="15" customHeight="1" x14ac:dyDescent="0.35">
      <c r="A512">
        <v>690929</v>
      </c>
      <c r="B512" t="s">
        <v>37</v>
      </c>
      <c r="C512" t="s">
        <v>38</v>
      </c>
      <c r="D512" s="9" t="s">
        <v>39</v>
      </c>
      <c r="E512" s="10" t="s">
        <v>37</v>
      </c>
      <c r="F512" s="11"/>
      <c r="G512" t="s">
        <v>1600</v>
      </c>
      <c r="I512" t="s">
        <v>41</v>
      </c>
      <c r="J512" t="s">
        <v>1601</v>
      </c>
      <c r="K512" t="s">
        <v>43</v>
      </c>
      <c r="L512">
        <v>2</v>
      </c>
      <c r="M512" t="s">
        <v>44</v>
      </c>
      <c r="N512" t="s">
        <v>45</v>
      </c>
      <c r="O512" t="s">
        <v>46</v>
      </c>
      <c r="P512" s="5">
        <v>1</v>
      </c>
      <c r="Q512" s="12">
        <v>44759.652337962965</v>
      </c>
      <c r="R512" s="13">
        <v>44761</v>
      </c>
      <c r="T512" t="s">
        <v>47</v>
      </c>
      <c r="U512" t="s">
        <v>48</v>
      </c>
      <c r="V512" t="s">
        <v>114</v>
      </c>
      <c r="Y512" t="s">
        <v>1602</v>
      </c>
      <c r="Z512">
        <v>68000</v>
      </c>
      <c r="AA512" t="s">
        <v>47</v>
      </c>
      <c r="AB512" t="s">
        <v>56</v>
      </c>
      <c r="AC512" t="s">
        <v>53</v>
      </c>
      <c r="AD512" s="16">
        <f t="shared" si="65"/>
        <v>7</v>
      </c>
      <c r="AE512" s="15">
        <v>0</v>
      </c>
      <c r="AF512" s="15">
        <v>0</v>
      </c>
      <c r="AG512" s="15">
        <v>0</v>
      </c>
      <c r="AH512" s="15">
        <v>0</v>
      </c>
      <c r="AI512" s="15">
        <f t="shared" si="61"/>
        <v>0.42</v>
      </c>
      <c r="AJ512" s="15">
        <f t="shared" si="62"/>
        <v>7.42</v>
      </c>
      <c r="AK512" t="s">
        <v>47</v>
      </c>
    </row>
    <row r="513" spans="1:37" ht="15" customHeight="1" x14ac:dyDescent="0.35">
      <c r="A513">
        <v>690929</v>
      </c>
      <c r="B513" t="s">
        <v>37</v>
      </c>
      <c r="C513" t="s">
        <v>38</v>
      </c>
      <c r="D513" s="9" t="s">
        <v>39</v>
      </c>
      <c r="E513" s="10" t="s">
        <v>37</v>
      </c>
      <c r="F513" s="11"/>
      <c r="G513" t="s">
        <v>1603</v>
      </c>
      <c r="I513" t="s">
        <v>41</v>
      </c>
      <c r="J513" t="s">
        <v>1604</v>
      </c>
      <c r="K513" t="s">
        <v>43</v>
      </c>
      <c r="L513">
        <v>2</v>
      </c>
      <c r="M513" t="s">
        <v>44</v>
      </c>
      <c r="N513" t="s">
        <v>45</v>
      </c>
      <c r="O513" t="s">
        <v>46</v>
      </c>
      <c r="P513" s="5">
        <v>1</v>
      </c>
      <c r="Q513" s="12">
        <v>44758.69703703704</v>
      </c>
      <c r="R513" s="13">
        <v>44761</v>
      </c>
      <c r="T513" t="s">
        <v>47</v>
      </c>
      <c r="U513" t="s">
        <v>48</v>
      </c>
      <c r="V513" t="s">
        <v>114</v>
      </c>
      <c r="Y513" t="s">
        <v>1605</v>
      </c>
      <c r="Z513">
        <v>47500</v>
      </c>
      <c r="AA513" t="s">
        <v>47</v>
      </c>
      <c r="AB513" t="s">
        <v>56</v>
      </c>
      <c r="AC513" t="s">
        <v>53</v>
      </c>
      <c r="AD513" s="16">
        <f t="shared" si="65"/>
        <v>7</v>
      </c>
      <c r="AE513" s="15">
        <v>0</v>
      </c>
      <c r="AF513" s="15">
        <v>0</v>
      </c>
      <c r="AG513" s="15">
        <v>0</v>
      </c>
      <c r="AH513" s="15">
        <v>0</v>
      </c>
      <c r="AI513" s="15">
        <f t="shared" si="61"/>
        <v>0.42</v>
      </c>
      <c r="AJ513" s="15">
        <f t="shared" si="62"/>
        <v>7.42</v>
      </c>
      <c r="AK513" t="s">
        <v>47</v>
      </c>
    </row>
    <row r="514" spans="1:37" ht="15" customHeight="1" x14ac:dyDescent="0.35">
      <c r="A514">
        <v>690929</v>
      </c>
      <c r="B514" t="s">
        <v>37</v>
      </c>
      <c r="C514" t="s">
        <v>38</v>
      </c>
      <c r="D514" s="9" t="s">
        <v>39</v>
      </c>
      <c r="E514" s="10" t="s">
        <v>37</v>
      </c>
      <c r="F514" s="11"/>
      <c r="G514" t="s">
        <v>1606</v>
      </c>
      <c r="I514" t="s">
        <v>41</v>
      </c>
      <c r="J514" t="s">
        <v>1607</v>
      </c>
      <c r="K514" t="s">
        <v>43</v>
      </c>
      <c r="L514">
        <v>2</v>
      </c>
      <c r="M514" t="s">
        <v>44</v>
      </c>
      <c r="N514" t="s">
        <v>45</v>
      </c>
      <c r="O514" t="s">
        <v>46</v>
      </c>
      <c r="P514" s="5">
        <v>1</v>
      </c>
      <c r="Q514" s="12">
        <v>44756.60119212963</v>
      </c>
      <c r="R514" s="13">
        <v>44761</v>
      </c>
      <c r="T514" t="s">
        <v>47</v>
      </c>
      <c r="U514" t="s">
        <v>48</v>
      </c>
      <c r="V514" t="s">
        <v>57</v>
      </c>
      <c r="Y514" t="s">
        <v>1608</v>
      </c>
      <c r="Z514">
        <v>89808</v>
      </c>
      <c r="AA514" t="s">
        <v>51</v>
      </c>
      <c r="AB514" t="s">
        <v>64</v>
      </c>
      <c r="AC514" t="s">
        <v>53</v>
      </c>
      <c r="AD514" s="14">
        <f>IF(P514&lt;=1,13,IF(P514&lt;=2,23,IF(P514&lt;=3,35,IF(P514&lt;=4,43,IF(P514&lt;=5,53,IF(P514&lt;=6,63,IF(P514&lt;=7,71,IF(P514&lt;=8,79,IF(P514&lt;=9,87,IF(P514&lt;=10,95,IF(P514&lt;=11,105,IF(P514&lt;=12,114,IF(P514&lt;=13,119,IF(P514&lt;=14,127,IF(P514&lt;=15,135,IF(P514&lt;=16,143,IF(P514&lt;=17,153,IF(P514&lt;=18,163,IF(P514&lt;=19,171,IF(P514&lt;=20,185,IF(P514&lt;=21,193,IF(P514&lt;=22,201,IF(P514&lt;=23,210,IF(P514&lt;=24,220,IF(P514&lt;=25,230,IF(P514&lt;=26,240,IF(P514&lt;=27,250,IF(P514&lt;=28,260,IF(P514&lt;=29,270,IF(P514&lt;=30,280,280))))))))))))))))))))))))))))))</f>
        <v>13</v>
      </c>
      <c r="AE514" s="15">
        <v>0</v>
      </c>
      <c r="AF514" s="15">
        <v>0</v>
      </c>
      <c r="AG514" s="15">
        <v>0</v>
      </c>
      <c r="AH514" s="15">
        <v>0</v>
      </c>
      <c r="AI514" s="15">
        <f t="shared" ref="AI514:AI577" si="66">(AD514+AF514+AH514)*6%</f>
        <v>0.78</v>
      </c>
      <c r="AJ514" s="15">
        <f t="shared" ref="AJ514:AJ577" si="67">AD514+AF514+AH514+AI514</f>
        <v>13.78</v>
      </c>
      <c r="AK514" t="s">
        <v>51</v>
      </c>
    </row>
    <row r="515" spans="1:37" ht="15" customHeight="1" x14ac:dyDescent="0.35">
      <c r="A515">
        <v>690929</v>
      </c>
      <c r="B515" t="s">
        <v>37</v>
      </c>
      <c r="C515" t="s">
        <v>38</v>
      </c>
      <c r="D515" s="9" t="s">
        <v>39</v>
      </c>
      <c r="E515" s="10" t="s">
        <v>37</v>
      </c>
      <c r="F515" s="11"/>
      <c r="G515" t="s">
        <v>1609</v>
      </c>
      <c r="I515" t="s">
        <v>41</v>
      </c>
      <c r="J515" t="s">
        <v>1610</v>
      </c>
      <c r="K515" t="s">
        <v>43</v>
      </c>
      <c r="L515">
        <v>2</v>
      </c>
      <c r="M515" t="s">
        <v>44</v>
      </c>
      <c r="N515" t="s">
        <v>45</v>
      </c>
      <c r="O515" t="s">
        <v>46</v>
      </c>
      <c r="P515" s="5">
        <v>1</v>
      </c>
      <c r="Q515" s="12">
        <v>44759.480810185189</v>
      </c>
      <c r="R515" s="13">
        <v>44761</v>
      </c>
      <c r="T515" t="s">
        <v>47</v>
      </c>
      <c r="U515" t="s">
        <v>48</v>
      </c>
      <c r="V515" t="s">
        <v>62</v>
      </c>
      <c r="Y515" t="s">
        <v>1611</v>
      </c>
      <c r="Z515">
        <v>81300</v>
      </c>
      <c r="AA515" t="s">
        <v>47</v>
      </c>
      <c r="AB515" t="s">
        <v>1612</v>
      </c>
      <c r="AC515" t="s">
        <v>53</v>
      </c>
      <c r="AD515" s="16">
        <f t="shared" ref="AD515:AD528" si="68">IF(P515&lt;=1,7,7+0.8*ROUNDUP(P515-1,0))</f>
        <v>7</v>
      </c>
      <c r="AE515" s="15">
        <v>0</v>
      </c>
      <c r="AF515" s="15">
        <v>0</v>
      </c>
      <c r="AG515" s="15">
        <v>0</v>
      </c>
      <c r="AH515" s="15">
        <v>0</v>
      </c>
      <c r="AI515" s="15">
        <f t="shared" si="66"/>
        <v>0.42</v>
      </c>
      <c r="AJ515" s="15">
        <f t="shared" si="67"/>
        <v>7.42</v>
      </c>
      <c r="AK515" t="s">
        <v>47</v>
      </c>
    </row>
    <row r="516" spans="1:37" ht="15" customHeight="1" x14ac:dyDescent="0.35">
      <c r="A516">
        <v>690929</v>
      </c>
      <c r="B516" t="s">
        <v>37</v>
      </c>
      <c r="C516" t="s">
        <v>38</v>
      </c>
      <c r="D516" s="9" t="s">
        <v>39</v>
      </c>
      <c r="E516" s="10" t="s">
        <v>37</v>
      </c>
      <c r="F516" s="11"/>
      <c r="G516" t="s">
        <v>1613</v>
      </c>
      <c r="I516" t="s">
        <v>41</v>
      </c>
      <c r="J516" t="s">
        <v>1614</v>
      </c>
      <c r="K516" t="s">
        <v>43</v>
      </c>
      <c r="L516">
        <v>2</v>
      </c>
      <c r="M516" t="s">
        <v>44</v>
      </c>
      <c r="N516" t="s">
        <v>45</v>
      </c>
      <c r="O516" t="s">
        <v>46</v>
      </c>
      <c r="P516" s="5">
        <v>1</v>
      </c>
      <c r="Q516" s="12">
        <v>44759.754942129628</v>
      </c>
      <c r="R516" s="13">
        <v>44761</v>
      </c>
      <c r="T516" t="s">
        <v>47</v>
      </c>
      <c r="U516" t="s">
        <v>48</v>
      </c>
      <c r="V516" t="s">
        <v>76</v>
      </c>
      <c r="Y516" t="s">
        <v>1615</v>
      </c>
      <c r="Z516">
        <v>21800</v>
      </c>
      <c r="AA516" t="s">
        <v>47</v>
      </c>
      <c r="AB516" t="s">
        <v>48</v>
      </c>
      <c r="AC516" t="s">
        <v>53</v>
      </c>
      <c r="AD516" s="16">
        <f t="shared" si="68"/>
        <v>7</v>
      </c>
      <c r="AE516" s="15">
        <v>0</v>
      </c>
      <c r="AF516" s="15">
        <v>0</v>
      </c>
      <c r="AG516" s="15">
        <v>0</v>
      </c>
      <c r="AH516" s="15">
        <v>0</v>
      </c>
      <c r="AI516" s="15">
        <f t="shared" si="66"/>
        <v>0.42</v>
      </c>
      <c r="AJ516" s="15">
        <f t="shared" si="67"/>
        <v>7.42</v>
      </c>
      <c r="AK516" t="s">
        <v>47</v>
      </c>
    </row>
    <row r="517" spans="1:37" ht="15" customHeight="1" x14ac:dyDescent="0.35">
      <c r="A517">
        <v>690929</v>
      </c>
      <c r="B517" t="s">
        <v>37</v>
      </c>
      <c r="C517" t="s">
        <v>38</v>
      </c>
      <c r="D517" s="9" t="s">
        <v>39</v>
      </c>
      <c r="E517" s="10" t="s">
        <v>37</v>
      </c>
      <c r="F517" s="11"/>
      <c r="G517" t="s">
        <v>1616</v>
      </c>
      <c r="I517" t="s">
        <v>41</v>
      </c>
      <c r="J517" t="s">
        <v>779</v>
      </c>
      <c r="K517" t="s">
        <v>43</v>
      </c>
      <c r="L517">
        <v>2</v>
      </c>
      <c r="M517" t="s">
        <v>44</v>
      </c>
      <c r="N517" t="s">
        <v>45</v>
      </c>
      <c r="O517" t="s">
        <v>46</v>
      </c>
      <c r="P517" s="5">
        <v>1</v>
      </c>
      <c r="Q517" s="12">
        <v>44759.655081018522</v>
      </c>
      <c r="R517" s="13">
        <v>44761</v>
      </c>
      <c r="T517" t="s">
        <v>47</v>
      </c>
      <c r="U517" t="s">
        <v>48</v>
      </c>
      <c r="V517" t="s">
        <v>96</v>
      </c>
      <c r="Y517" t="s">
        <v>1617</v>
      </c>
      <c r="Z517">
        <v>18300</v>
      </c>
      <c r="AA517" t="s">
        <v>47</v>
      </c>
      <c r="AB517" t="s">
        <v>56</v>
      </c>
      <c r="AC517" t="s">
        <v>53</v>
      </c>
      <c r="AD517" s="16">
        <f t="shared" si="68"/>
        <v>7</v>
      </c>
      <c r="AE517" s="15">
        <v>0</v>
      </c>
      <c r="AF517" s="15">
        <v>0</v>
      </c>
      <c r="AG517" s="15">
        <v>0</v>
      </c>
      <c r="AH517" s="15">
        <v>0</v>
      </c>
      <c r="AI517" s="15">
        <f t="shared" si="66"/>
        <v>0.42</v>
      </c>
      <c r="AJ517" s="15">
        <f t="shared" si="67"/>
        <v>7.42</v>
      </c>
      <c r="AK517" t="s">
        <v>47</v>
      </c>
    </row>
    <row r="518" spans="1:37" ht="15" customHeight="1" x14ac:dyDescent="0.35">
      <c r="A518">
        <v>690929</v>
      </c>
      <c r="B518" t="s">
        <v>37</v>
      </c>
      <c r="C518" t="s">
        <v>38</v>
      </c>
      <c r="D518" s="9" t="s">
        <v>39</v>
      </c>
      <c r="E518" s="10" t="s">
        <v>37</v>
      </c>
      <c r="F518" s="11"/>
      <c r="G518" t="s">
        <v>1618</v>
      </c>
      <c r="I518" t="s">
        <v>41</v>
      </c>
      <c r="J518" t="s">
        <v>1619</v>
      </c>
      <c r="K518" t="s">
        <v>43</v>
      </c>
      <c r="L518">
        <v>2</v>
      </c>
      <c r="M518" t="s">
        <v>44</v>
      </c>
      <c r="N518" t="s">
        <v>45</v>
      </c>
      <c r="O518" t="s">
        <v>46</v>
      </c>
      <c r="P518" s="5">
        <v>1</v>
      </c>
      <c r="Q518" s="12">
        <v>44758.717187499999</v>
      </c>
      <c r="R518" s="13">
        <v>44761</v>
      </c>
      <c r="T518" t="s">
        <v>47</v>
      </c>
      <c r="U518" t="s">
        <v>48</v>
      </c>
      <c r="V518" t="s">
        <v>85</v>
      </c>
      <c r="Y518" t="s">
        <v>1620</v>
      </c>
      <c r="Z518">
        <v>14000</v>
      </c>
      <c r="AA518" t="s">
        <v>47</v>
      </c>
      <c r="AB518" t="s">
        <v>1621</v>
      </c>
      <c r="AC518" t="s">
        <v>53</v>
      </c>
      <c r="AD518" s="16">
        <f t="shared" si="68"/>
        <v>7</v>
      </c>
      <c r="AE518" s="15">
        <v>0</v>
      </c>
      <c r="AF518" s="15">
        <v>0</v>
      </c>
      <c r="AG518" s="15">
        <v>0</v>
      </c>
      <c r="AH518" s="15">
        <v>0</v>
      </c>
      <c r="AI518" s="15">
        <f t="shared" si="66"/>
        <v>0.42</v>
      </c>
      <c r="AJ518" s="15">
        <f t="shared" si="67"/>
        <v>7.42</v>
      </c>
      <c r="AK518" t="s">
        <v>47</v>
      </c>
    </row>
    <row r="519" spans="1:37" ht="15" customHeight="1" x14ac:dyDescent="0.35">
      <c r="A519">
        <v>690929</v>
      </c>
      <c r="B519" t="s">
        <v>37</v>
      </c>
      <c r="C519" t="s">
        <v>38</v>
      </c>
      <c r="D519" s="9" t="s">
        <v>39</v>
      </c>
      <c r="E519" s="10" t="s">
        <v>37</v>
      </c>
      <c r="F519" s="11"/>
      <c r="G519" t="s">
        <v>1622</v>
      </c>
      <c r="I519" t="s">
        <v>41</v>
      </c>
      <c r="J519" t="s">
        <v>1623</v>
      </c>
      <c r="K519" t="s">
        <v>43</v>
      </c>
      <c r="L519">
        <v>2</v>
      </c>
      <c r="M519" t="s">
        <v>44</v>
      </c>
      <c r="N519" t="s">
        <v>45</v>
      </c>
      <c r="O519" t="s">
        <v>46</v>
      </c>
      <c r="P519" s="5">
        <v>1</v>
      </c>
      <c r="Q519" s="12">
        <v>44758.715601851851</v>
      </c>
      <c r="R519" s="13">
        <v>44761</v>
      </c>
      <c r="T519" t="s">
        <v>47</v>
      </c>
      <c r="U519" t="s">
        <v>48</v>
      </c>
      <c r="V519" t="s">
        <v>114</v>
      </c>
      <c r="Y519" t="s">
        <v>1624</v>
      </c>
      <c r="Z519">
        <v>45300</v>
      </c>
      <c r="AA519" t="s">
        <v>47</v>
      </c>
      <c r="AB519" t="s">
        <v>56</v>
      </c>
      <c r="AC519" t="s">
        <v>53</v>
      </c>
      <c r="AD519" s="16">
        <f t="shared" si="68"/>
        <v>7</v>
      </c>
      <c r="AE519" s="15">
        <v>0</v>
      </c>
      <c r="AF519" s="15">
        <v>0</v>
      </c>
      <c r="AG519" s="15">
        <v>0</v>
      </c>
      <c r="AH519" s="15">
        <v>0</v>
      </c>
      <c r="AI519" s="15">
        <f t="shared" si="66"/>
        <v>0.42</v>
      </c>
      <c r="AJ519" s="15">
        <f t="shared" si="67"/>
        <v>7.42</v>
      </c>
      <c r="AK519" t="s">
        <v>47</v>
      </c>
    </row>
    <row r="520" spans="1:37" ht="15" customHeight="1" x14ac:dyDescent="0.35">
      <c r="A520">
        <v>690929</v>
      </c>
      <c r="B520" t="s">
        <v>37</v>
      </c>
      <c r="C520" t="s">
        <v>38</v>
      </c>
      <c r="D520" s="9" t="s">
        <v>39</v>
      </c>
      <c r="E520" s="10" t="s">
        <v>37</v>
      </c>
      <c r="F520" s="11"/>
      <c r="G520" t="s">
        <v>1625</v>
      </c>
      <c r="I520" t="s">
        <v>41</v>
      </c>
      <c r="J520" t="s">
        <v>1626</v>
      </c>
      <c r="K520" t="s">
        <v>43</v>
      </c>
      <c r="L520">
        <v>2</v>
      </c>
      <c r="M520" t="s">
        <v>44</v>
      </c>
      <c r="N520" t="s">
        <v>45</v>
      </c>
      <c r="O520" t="s">
        <v>46</v>
      </c>
      <c r="P520" s="5">
        <v>1</v>
      </c>
      <c r="Q520" s="12">
        <v>44759.6565162037</v>
      </c>
      <c r="R520" s="13">
        <v>44761</v>
      </c>
      <c r="T520" t="s">
        <v>47</v>
      </c>
      <c r="U520" t="s">
        <v>48</v>
      </c>
      <c r="V520" t="s">
        <v>62</v>
      </c>
      <c r="Y520" t="s">
        <v>1627</v>
      </c>
      <c r="Z520">
        <v>84000</v>
      </c>
      <c r="AA520" t="s">
        <v>47</v>
      </c>
      <c r="AB520" t="s">
        <v>1507</v>
      </c>
      <c r="AC520" t="s">
        <v>53</v>
      </c>
      <c r="AD520" s="16">
        <f t="shared" si="68"/>
        <v>7</v>
      </c>
      <c r="AE520" s="15">
        <v>0</v>
      </c>
      <c r="AF520" s="15">
        <v>0</v>
      </c>
      <c r="AG520" s="15">
        <v>0</v>
      </c>
      <c r="AH520" s="15">
        <v>0</v>
      </c>
      <c r="AI520" s="15">
        <f t="shared" si="66"/>
        <v>0.42</v>
      </c>
      <c r="AJ520" s="15">
        <f t="shared" si="67"/>
        <v>7.42</v>
      </c>
      <c r="AK520" t="s">
        <v>47</v>
      </c>
    </row>
    <row r="521" spans="1:37" ht="15" customHeight="1" x14ac:dyDescent="0.35">
      <c r="A521">
        <v>690929</v>
      </c>
      <c r="B521" t="s">
        <v>37</v>
      </c>
      <c r="C521" t="s">
        <v>38</v>
      </c>
      <c r="D521" s="9" t="s">
        <v>39</v>
      </c>
      <c r="E521" s="10" t="s">
        <v>37</v>
      </c>
      <c r="F521" s="11"/>
      <c r="G521" t="s">
        <v>1628</v>
      </c>
      <c r="I521" t="s">
        <v>41</v>
      </c>
      <c r="J521" t="s">
        <v>494</v>
      </c>
      <c r="K521" t="s">
        <v>43</v>
      </c>
      <c r="L521">
        <v>2</v>
      </c>
      <c r="M521" t="s">
        <v>44</v>
      </c>
      <c r="N521" t="s">
        <v>45</v>
      </c>
      <c r="O521" t="s">
        <v>46</v>
      </c>
      <c r="P521" s="5">
        <v>1</v>
      </c>
      <c r="Q521" s="12">
        <v>44757.635115740741</v>
      </c>
      <c r="R521" s="13">
        <v>44761</v>
      </c>
      <c r="T521" t="s">
        <v>47</v>
      </c>
      <c r="U521" t="s">
        <v>48</v>
      </c>
      <c r="V521" t="s">
        <v>128</v>
      </c>
      <c r="Y521" t="s">
        <v>495</v>
      </c>
      <c r="Z521">
        <v>59000</v>
      </c>
      <c r="AA521" t="s">
        <v>47</v>
      </c>
      <c r="AB521" t="s">
        <v>56</v>
      </c>
      <c r="AC521" t="s">
        <v>53</v>
      </c>
      <c r="AD521" s="16">
        <f t="shared" si="68"/>
        <v>7</v>
      </c>
      <c r="AE521" s="15">
        <v>0</v>
      </c>
      <c r="AF521" s="15">
        <v>0</v>
      </c>
      <c r="AG521" s="15">
        <v>0</v>
      </c>
      <c r="AH521" s="15">
        <v>0</v>
      </c>
      <c r="AI521" s="15">
        <f t="shared" si="66"/>
        <v>0.42</v>
      </c>
      <c r="AJ521" s="15">
        <f t="shared" si="67"/>
        <v>7.42</v>
      </c>
      <c r="AK521" t="s">
        <v>47</v>
      </c>
    </row>
    <row r="522" spans="1:37" ht="15" customHeight="1" x14ac:dyDescent="0.35">
      <c r="A522">
        <v>690929</v>
      </c>
      <c r="B522" t="s">
        <v>37</v>
      </c>
      <c r="C522" t="s">
        <v>38</v>
      </c>
      <c r="D522" s="9" t="s">
        <v>39</v>
      </c>
      <c r="E522" s="10" t="s">
        <v>37</v>
      </c>
      <c r="F522" s="11"/>
      <c r="G522" t="s">
        <v>1629</v>
      </c>
      <c r="I522" t="s">
        <v>41</v>
      </c>
      <c r="J522" t="s">
        <v>1630</v>
      </c>
      <c r="K522" t="s">
        <v>43</v>
      </c>
      <c r="L522">
        <v>2</v>
      </c>
      <c r="M522" t="s">
        <v>44</v>
      </c>
      <c r="N522" t="s">
        <v>45</v>
      </c>
      <c r="O522" t="s">
        <v>46</v>
      </c>
      <c r="P522" s="5">
        <v>1</v>
      </c>
      <c r="Q522" s="12">
        <v>44759.490995370368</v>
      </c>
      <c r="R522" s="13">
        <v>44761</v>
      </c>
      <c r="T522" t="s">
        <v>47</v>
      </c>
      <c r="U522" t="s">
        <v>48</v>
      </c>
      <c r="V522" t="s">
        <v>176</v>
      </c>
      <c r="Y522" t="s">
        <v>1631</v>
      </c>
      <c r="Z522">
        <v>77008</v>
      </c>
      <c r="AA522" t="s">
        <v>47</v>
      </c>
      <c r="AB522" t="s">
        <v>1632</v>
      </c>
      <c r="AC522" t="s">
        <v>53</v>
      </c>
      <c r="AD522" s="16">
        <f t="shared" si="68"/>
        <v>7</v>
      </c>
      <c r="AE522" s="15">
        <v>0</v>
      </c>
      <c r="AF522" s="15">
        <v>0</v>
      </c>
      <c r="AG522" s="15">
        <v>0</v>
      </c>
      <c r="AH522" s="15">
        <v>0</v>
      </c>
      <c r="AI522" s="15">
        <f t="shared" si="66"/>
        <v>0.42</v>
      </c>
      <c r="AJ522" s="15">
        <f t="shared" si="67"/>
        <v>7.42</v>
      </c>
      <c r="AK522" t="s">
        <v>47</v>
      </c>
    </row>
    <row r="523" spans="1:37" ht="15" customHeight="1" x14ac:dyDescent="0.35">
      <c r="A523">
        <v>690929</v>
      </c>
      <c r="B523" t="s">
        <v>37</v>
      </c>
      <c r="C523" t="s">
        <v>38</v>
      </c>
      <c r="D523" s="9" t="s">
        <v>39</v>
      </c>
      <c r="E523" s="10" t="s">
        <v>37</v>
      </c>
      <c r="F523" s="11"/>
      <c r="G523" t="s">
        <v>1633</v>
      </c>
      <c r="I523" t="s">
        <v>41</v>
      </c>
      <c r="J523" t="s">
        <v>1634</v>
      </c>
      <c r="K523" t="s">
        <v>43</v>
      </c>
      <c r="L523">
        <v>2</v>
      </c>
      <c r="M523" t="s">
        <v>44</v>
      </c>
      <c r="N523" t="s">
        <v>45</v>
      </c>
      <c r="O523" t="s">
        <v>46</v>
      </c>
      <c r="P523" s="5">
        <v>1</v>
      </c>
      <c r="Q523" s="12">
        <v>44758.692245370374</v>
      </c>
      <c r="R523" s="13">
        <v>44761</v>
      </c>
      <c r="T523" t="s">
        <v>47</v>
      </c>
      <c r="U523" t="s">
        <v>48</v>
      </c>
      <c r="V523" t="s">
        <v>114</v>
      </c>
      <c r="Y523" t="s">
        <v>1635</v>
      </c>
      <c r="Z523">
        <v>43200</v>
      </c>
      <c r="AA523" t="s">
        <v>47</v>
      </c>
      <c r="AB523" t="s">
        <v>56</v>
      </c>
      <c r="AC523" t="s">
        <v>53</v>
      </c>
      <c r="AD523" s="16">
        <f t="shared" si="68"/>
        <v>7</v>
      </c>
      <c r="AE523" s="15">
        <v>0</v>
      </c>
      <c r="AF523" s="15">
        <v>0</v>
      </c>
      <c r="AG523" s="15">
        <v>0</v>
      </c>
      <c r="AH523" s="15">
        <v>0</v>
      </c>
      <c r="AI523" s="15">
        <f t="shared" si="66"/>
        <v>0.42</v>
      </c>
      <c r="AJ523" s="15">
        <f t="shared" si="67"/>
        <v>7.42</v>
      </c>
      <c r="AK523" t="s">
        <v>47</v>
      </c>
    </row>
    <row r="524" spans="1:37" ht="15" customHeight="1" x14ac:dyDescent="0.35">
      <c r="A524">
        <v>690929</v>
      </c>
      <c r="B524" t="s">
        <v>37</v>
      </c>
      <c r="C524" t="s">
        <v>38</v>
      </c>
      <c r="D524" s="9" t="s">
        <v>39</v>
      </c>
      <c r="E524" s="10" t="s">
        <v>37</v>
      </c>
      <c r="F524" s="11"/>
      <c r="G524" t="s">
        <v>1636</v>
      </c>
      <c r="I524" t="s">
        <v>41</v>
      </c>
      <c r="J524" t="s">
        <v>1637</v>
      </c>
      <c r="K524" t="s">
        <v>43</v>
      </c>
      <c r="L524">
        <v>2</v>
      </c>
      <c r="M524" t="s">
        <v>44</v>
      </c>
      <c r="N524" t="s">
        <v>45</v>
      </c>
      <c r="O524" t="s">
        <v>46</v>
      </c>
      <c r="P524" s="5">
        <v>1</v>
      </c>
      <c r="Q524" s="12">
        <v>44758.688460648147</v>
      </c>
      <c r="R524" s="13">
        <v>44761</v>
      </c>
      <c r="T524" t="s">
        <v>47</v>
      </c>
      <c r="U524" t="s">
        <v>48</v>
      </c>
      <c r="V524" t="s">
        <v>62</v>
      </c>
      <c r="Y524" t="s">
        <v>1638</v>
      </c>
      <c r="Z524">
        <v>81550</v>
      </c>
      <c r="AA524" t="s">
        <v>47</v>
      </c>
      <c r="AB524" t="s">
        <v>1453</v>
      </c>
      <c r="AC524" t="s">
        <v>53</v>
      </c>
      <c r="AD524" s="16">
        <f t="shared" si="68"/>
        <v>7</v>
      </c>
      <c r="AE524" s="15">
        <v>0</v>
      </c>
      <c r="AF524" s="15">
        <v>0</v>
      </c>
      <c r="AG524" s="15">
        <v>0</v>
      </c>
      <c r="AH524" s="15">
        <v>0</v>
      </c>
      <c r="AI524" s="15">
        <f t="shared" si="66"/>
        <v>0.42</v>
      </c>
      <c r="AJ524" s="15">
        <f t="shared" si="67"/>
        <v>7.42</v>
      </c>
      <c r="AK524" t="s">
        <v>47</v>
      </c>
    </row>
    <row r="525" spans="1:37" ht="15" customHeight="1" x14ac:dyDescent="0.35">
      <c r="A525">
        <v>690929</v>
      </c>
      <c r="B525" t="s">
        <v>37</v>
      </c>
      <c r="C525" t="s">
        <v>38</v>
      </c>
      <c r="D525" s="9" t="s">
        <v>39</v>
      </c>
      <c r="E525" s="10" t="s">
        <v>37</v>
      </c>
      <c r="F525" s="11"/>
      <c r="G525" t="s">
        <v>1639</v>
      </c>
      <c r="I525" t="s">
        <v>41</v>
      </c>
      <c r="J525" t="s">
        <v>658</v>
      </c>
      <c r="K525" t="s">
        <v>43</v>
      </c>
      <c r="L525">
        <v>2</v>
      </c>
      <c r="M525" t="s">
        <v>44</v>
      </c>
      <c r="N525" t="s">
        <v>45</v>
      </c>
      <c r="O525" t="s">
        <v>46</v>
      </c>
      <c r="P525" s="5">
        <v>2</v>
      </c>
      <c r="Q525" s="12">
        <v>44758.735324074078</v>
      </c>
      <c r="R525" s="13">
        <v>44761</v>
      </c>
      <c r="T525" t="s">
        <v>47</v>
      </c>
      <c r="U525" t="s">
        <v>48</v>
      </c>
      <c r="V525" t="s">
        <v>71</v>
      </c>
      <c r="Y525" t="s">
        <v>1640</v>
      </c>
      <c r="Z525">
        <v>8600</v>
      </c>
      <c r="AA525" t="s">
        <v>47</v>
      </c>
      <c r="AB525" t="s">
        <v>1511</v>
      </c>
      <c r="AC525" t="s">
        <v>53</v>
      </c>
      <c r="AD525" s="16">
        <f t="shared" si="68"/>
        <v>7.8</v>
      </c>
      <c r="AE525" s="15">
        <v>0</v>
      </c>
      <c r="AF525" s="15">
        <v>0</v>
      </c>
      <c r="AG525" s="15">
        <v>0</v>
      </c>
      <c r="AH525" s="15">
        <v>0</v>
      </c>
      <c r="AI525" s="15">
        <f t="shared" si="66"/>
        <v>0.46799999999999997</v>
      </c>
      <c r="AJ525" s="15">
        <f t="shared" si="67"/>
        <v>8.2680000000000007</v>
      </c>
      <c r="AK525" t="s">
        <v>47</v>
      </c>
    </row>
    <row r="526" spans="1:37" ht="15" customHeight="1" x14ac:dyDescent="0.35">
      <c r="A526">
        <v>690929</v>
      </c>
      <c r="B526" t="s">
        <v>37</v>
      </c>
      <c r="C526" t="s">
        <v>38</v>
      </c>
      <c r="D526" s="9" t="s">
        <v>39</v>
      </c>
      <c r="E526" s="10" t="s">
        <v>37</v>
      </c>
      <c r="F526" s="11"/>
      <c r="G526" t="s">
        <v>1641</v>
      </c>
      <c r="I526" t="s">
        <v>41</v>
      </c>
      <c r="J526" t="s">
        <v>1642</v>
      </c>
      <c r="K526" t="s">
        <v>43</v>
      </c>
      <c r="L526">
        <v>2</v>
      </c>
      <c r="M526" t="s">
        <v>44</v>
      </c>
      <c r="N526" t="s">
        <v>45</v>
      </c>
      <c r="O526" t="s">
        <v>46</v>
      </c>
      <c r="P526" s="5">
        <v>1</v>
      </c>
      <c r="Q526" s="12">
        <v>44759.650613425925</v>
      </c>
      <c r="R526" s="13">
        <v>44761</v>
      </c>
      <c r="T526" t="s">
        <v>47</v>
      </c>
      <c r="U526" t="s">
        <v>48</v>
      </c>
      <c r="V526" t="s">
        <v>449</v>
      </c>
      <c r="Y526" t="s">
        <v>1643</v>
      </c>
      <c r="Z526">
        <v>2600</v>
      </c>
      <c r="AA526" t="s">
        <v>47</v>
      </c>
      <c r="AB526" t="s">
        <v>1511</v>
      </c>
      <c r="AC526" t="s">
        <v>53</v>
      </c>
      <c r="AD526" s="16">
        <f t="shared" si="68"/>
        <v>7</v>
      </c>
      <c r="AE526" s="15">
        <v>0</v>
      </c>
      <c r="AF526" s="15">
        <v>0</v>
      </c>
      <c r="AG526" s="15">
        <v>0</v>
      </c>
      <c r="AH526" s="15">
        <v>0</v>
      </c>
      <c r="AI526" s="15">
        <f t="shared" si="66"/>
        <v>0.42</v>
      </c>
      <c r="AJ526" s="15">
        <f t="shared" si="67"/>
        <v>7.42</v>
      </c>
      <c r="AK526" t="s">
        <v>47</v>
      </c>
    </row>
    <row r="527" spans="1:37" ht="15" customHeight="1" x14ac:dyDescent="0.35">
      <c r="A527">
        <v>690929</v>
      </c>
      <c r="B527" t="s">
        <v>37</v>
      </c>
      <c r="C527" t="s">
        <v>38</v>
      </c>
      <c r="D527" s="9" t="s">
        <v>39</v>
      </c>
      <c r="E527" s="10" t="s">
        <v>37</v>
      </c>
      <c r="F527" s="11"/>
      <c r="G527" t="s">
        <v>1644</v>
      </c>
      <c r="I527" t="s">
        <v>41</v>
      </c>
      <c r="J527" t="s">
        <v>1645</v>
      </c>
      <c r="K527" t="s">
        <v>43</v>
      </c>
      <c r="L527">
        <v>2</v>
      </c>
      <c r="M527" t="s">
        <v>44</v>
      </c>
      <c r="N527" t="s">
        <v>45</v>
      </c>
      <c r="O527" t="s">
        <v>46</v>
      </c>
      <c r="P527" s="5">
        <v>1</v>
      </c>
      <c r="Q527" s="12">
        <v>44758.69971064815</v>
      </c>
      <c r="R527" s="13">
        <v>44761</v>
      </c>
      <c r="T527" t="s">
        <v>47</v>
      </c>
      <c r="U527" t="s">
        <v>48</v>
      </c>
      <c r="V527" t="s">
        <v>138</v>
      </c>
      <c r="Y527" t="s">
        <v>1646</v>
      </c>
      <c r="Z527">
        <v>70100</v>
      </c>
      <c r="AA527" t="s">
        <v>47</v>
      </c>
      <c r="AB527" t="s">
        <v>56</v>
      </c>
      <c r="AC527" t="s">
        <v>53</v>
      </c>
      <c r="AD527" s="16">
        <f t="shared" si="68"/>
        <v>7</v>
      </c>
      <c r="AE527" s="15">
        <v>0</v>
      </c>
      <c r="AF527" s="15">
        <v>0</v>
      </c>
      <c r="AG527" s="15">
        <v>0</v>
      </c>
      <c r="AH527" s="15">
        <v>0</v>
      </c>
      <c r="AI527" s="15">
        <f t="shared" si="66"/>
        <v>0.42</v>
      </c>
      <c r="AJ527" s="15">
        <f t="shared" si="67"/>
        <v>7.42</v>
      </c>
      <c r="AK527" t="s">
        <v>47</v>
      </c>
    </row>
    <row r="528" spans="1:37" ht="15" customHeight="1" x14ac:dyDescent="0.35">
      <c r="A528">
        <v>690929</v>
      </c>
      <c r="B528" t="s">
        <v>37</v>
      </c>
      <c r="C528" t="s">
        <v>38</v>
      </c>
      <c r="D528" s="9" t="s">
        <v>39</v>
      </c>
      <c r="E528" s="10" t="s">
        <v>37</v>
      </c>
      <c r="F528" s="11"/>
      <c r="G528" t="s">
        <v>1647</v>
      </c>
      <c r="I528" t="s">
        <v>41</v>
      </c>
      <c r="J528" t="s">
        <v>1648</v>
      </c>
      <c r="K528" t="s">
        <v>43</v>
      </c>
      <c r="L528">
        <v>2</v>
      </c>
      <c r="M528" t="s">
        <v>44</v>
      </c>
      <c r="N528" t="s">
        <v>45</v>
      </c>
      <c r="O528" t="s">
        <v>46</v>
      </c>
      <c r="P528" s="5">
        <v>1</v>
      </c>
      <c r="Q528" s="12">
        <v>44759.677002314813</v>
      </c>
      <c r="R528" s="13">
        <v>44761</v>
      </c>
      <c r="T528" t="s">
        <v>47</v>
      </c>
      <c r="U528" t="s">
        <v>48</v>
      </c>
      <c r="V528" t="s">
        <v>71</v>
      </c>
      <c r="Y528" t="s">
        <v>1649</v>
      </c>
      <c r="Z528">
        <v>6700</v>
      </c>
      <c r="AA528" t="s">
        <v>47</v>
      </c>
      <c r="AB528" t="s">
        <v>1511</v>
      </c>
      <c r="AC528" t="s">
        <v>53</v>
      </c>
      <c r="AD528" s="16">
        <f t="shared" si="68"/>
        <v>7</v>
      </c>
      <c r="AE528" s="15">
        <v>0</v>
      </c>
      <c r="AF528" s="15">
        <v>0</v>
      </c>
      <c r="AG528" s="15">
        <v>0</v>
      </c>
      <c r="AH528" s="15">
        <v>0</v>
      </c>
      <c r="AI528" s="15">
        <f t="shared" si="66"/>
        <v>0.42</v>
      </c>
      <c r="AJ528" s="15">
        <f t="shared" si="67"/>
        <v>7.42</v>
      </c>
      <c r="AK528" t="s">
        <v>47</v>
      </c>
    </row>
    <row r="529" spans="1:37" ht="15" customHeight="1" x14ac:dyDescent="0.35">
      <c r="A529">
        <v>690929</v>
      </c>
      <c r="B529" t="s">
        <v>37</v>
      </c>
      <c r="C529" t="s">
        <v>38</v>
      </c>
      <c r="D529" s="9" t="s">
        <v>39</v>
      </c>
      <c r="E529" s="10" t="s">
        <v>37</v>
      </c>
      <c r="F529" s="11"/>
      <c r="G529" t="s">
        <v>1650</v>
      </c>
      <c r="I529" t="s">
        <v>41</v>
      </c>
      <c r="J529" t="s">
        <v>406</v>
      </c>
      <c r="K529" t="s">
        <v>43</v>
      </c>
      <c r="L529">
        <v>2</v>
      </c>
      <c r="M529" t="s">
        <v>44</v>
      </c>
      <c r="N529" t="s">
        <v>45</v>
      </c>
      <c r="O529" t="s">
        <v>46</v>
      </c>
      <c r="P529" s="5">
        <v>2</v>
      </c>
      <c r="Q529" s="12">
        <v>44758.725694444445</v>
      </c>
      <c r="R529" s="13">
        <v>44761</v>
      </c>
      <c r="T529" t="s">
        <v>47</v>
      </c>
      <c r="U529" t="s">
        <v>48</v>
      </c>
      <c r="V529" t="s">
        <v>114</v>
      </c>
      <c r="Y529" t="s">
        <v>1651</v>
      </c>
      <c r="Z529">
        <v>44000</v>
      </c>
      <c r="AA529" t="s">
        <v>47</v>
      </c>
      <c r="AB529" t="s">
        <v>56</v>
      </c>
      <c r="AC529" t="s">
        <v>53</v>
      </c>
      <c r="AD529" s="16">
        <f>IF(P529&lt;=1,7,7+0.8*ROUNDUP(P529-1,0))</f>
        <v>7.8</v>
      </c>
      <c r="AE529" s="15">
        <v>0</v>
      </c>
      <c r="AF529" s="15">
        <v>0</v>
      </c>
      <c r="AG529" s="15">
        <v>0</v>
      </c>
      <c r="AH529" s="15">
        <v>0</v>
      </c>
      <c r="AI529" s="15">
        <f t="shared" si="66"/>
        <v>0.46799999999999997</v>
      </c>
      <c r="AJ529" s="15">
        <f t="shared" si="67"/>
        <v>8.2680000000000007</v>
      </c>
      <c r="AK529" t="s">
        <v>47</v>
      </c>
    </row>
    <row r="530" spans="1:37" ht="15" customHeight="1" x14ac:dyDescent="0.35">
      <c r="A530">
        <v>690929</v>
      </c>
      <c r="B530" t="s">
        <v>37</v>
      </c>
      <c r="C530" t="s">
        <v>38</v>
      </c>
      <c r="D530" s="9" t="s">
        <v>39</v>
      </c>
      <c r="E530" s="10" t="s">
        <v>37</v>
      </c>
      <c r="F530" s="11"/>
      <c r="G530" t="s">
        <v>1652</v>
      </c>
      <c r="I530" t="s">
        <v>41</v>
      </c>
      <c r="J530" t="s">
        <v>1653</v>
      </c>
      <c r="K530" t="s">
        <v>43</v>
      </c>
      <c r="L530">
        <v>2</v>
      </c>
      <c r="M530" t="s">
        <v>44</v>
      </c>
      <c r="N530" t="s">
        <v>45</v>
      </c>
      <c r="O530" t="s">
        <v>46</v>
      </c>
      <c r="P530" s="5">
        <v>1</v>
      </c>
      <c r="Q530" s="12">
        <v>44758.702384259261</v>
      </c>
      <c r="R530" s="13">
        <v>44761</v>
      </c>
      <c r="T530" t="s">
        <v>47</v>
      </c>
      <c r="U530" t="s">
        <v>48</v>
      </c>
      <c r="V530" t="s">
        <v>62</v>
      </c>
      <c r="Y530" t="s">
        <v>1654</v>
      </c>
      <c r="Z530">
        <v>81300</v>
      </c>
      <c r="AA530" t="s">
        <v>47</v>
      </c>
      <c r="AB530" t="s">
        <v>1612</v>
      </c>
      <c r="AC530" t="s">
        <v>53</v>
      </c>
      <c r="AD530" s="16">
        <f t="shared" ref="AD530:AD547" si="69">IF(P530&lt;=1,7,7+0.8*ROUNDUP(P530-1,0))</f>
        <v>7</v>
      </c>
      <c r="AE530" s="15">
        <v>0</v>
      </c>
      <c r="AF530" s="15">
        <v>0</v>
      </c>
      <c r="AG530" s="15">
        <v>0</v>
      </c>
      <c r="AH530" s="15">
        <v>0</v>
      </c>
      <c r="AI530" s="15">
        <f t="shared" si="66"/>
        <v>0.42</v>
      </c>
      <c r="AJ530" s="15">
        <f t="shared" si="67"/>
        <v>7.42</v>
      </c>
      <c r="AK530" t="s">
        <v>47</v>
      </c>
    </row>
    <row r="531" spans="1:37" ht="15" customHeight="1" x14ac:dyDescent="0.35">
      <c r="A531">
        <v>690929</v>
      </c>
      <c r="B531" t="s">
        <v>37</v>
      </c>
      <c r="C531" t="s">
        <v>38</v>
      </c>
      <c r="D531" s="9" t="s">
        <v>39</v>
      </c>
      <c r="E531" s="10" t="s">
        <v>37</v>
      </c>
      <c r="F531" s="11"/>
      <c r="G531" t="s">
        <v>1655</v>
      </c>
      <c r="I531" t="s">
        <v>41</v>
      </c>
      <c r="J531" t="s">
        <v>1656</v>
      </c>
      <c r="K531" t="s">
        <v>43</v>
      </c>
      <c r="L531">
        <v>2</v>
      </c>
      <c r="M531" t="s">
        <v>44</v>
      </c>
      <c r="N531" t="s">
        <v>45</v>
      </c>
      <c r="O531" t="s">
        <v>46</v>
      </c>
      <c r="P531" s="5">
        <v>2</v>
      </c>
      <c r="Q531" s="12">
        <v>44758.733587962961</v>
      </c>
      <c r="R531" s="13">
        <v>44761</v>
      </c>
      <c r="T531" t="s">
        <v>47</v>
      </c>
      <c r="U531" t="s">
        <v>48</v>
      </c>
      <c r="V531" t="s">
        <v>100</v>
      </c>
      <c r="Y531" t="s">
        <v>1657</v>
      </c>
      <c r="Z531">
        <v>33000</v>
      </c>
      <c r="AA531" t="s">
        <v>47</v>
      </c>
      <c r="AB531" t="s">
        <v>1658</v>
      </c>
      <c r="AC531" t="s">
        <v>53</v>
      </c>
      <c r="AD531" s="16">
        <f t="shared" si="69"/>
        <v>7.8</v>
      </c>
      <c r="AE531" s="15">
        <v>0</v>
      </c>
      <c r="AF531" s="15">
        <v>0</v>
      </c>
      <c r="AG531" s="15">
        <v>0</v>
      </c>
      <c r="AH531" s="15">
        <v>0</v>
      </c>
      <c r="AI531" s="15">
        <f t="shared" si="66"/>
        <v>0.46799999999999997</v>
      </c>
      <c r="AJ531" s="15">
        <f t="shared" si="67"/>
        <v>8.2680000000000007</v>
      </c>
      <c r="AK531" t="s">
        <v>47</v>
      </c>
    </row>
    <row r="532" spans="1:37" ht="15" customHeight="1" x14ac:dyDescent="0.35">
      <c r="A532">
        <v>690929</v>
      </c>
      <c r="B532" t="s">
        <v>37</v>
      </c>
      <c r="C532" t="s">
        <v>38</v>
      </c>
      <c r="D532" s="9" t="s">
        <v>39</v>
      </c>
      <c r="E532" s="10" t="s">
        <v>37</v>
      </c>
      <c r="F532" s="11"/>
      <c r="G532" t="s">
        <v>1659</v>
      </c>
      <c r="I532" t="s">
        <v>41</v>
      </c>
      <c r="J532" t="s">
        <v>1660</v>
      </c>
      <c r="K532" t="s">
        <v>43</v>
      </c>
      <c r="L532">
        <v>2</v>
      </c>
      <c r="M532" t="s">
        <v>44</v>
      </c>
      <c r="N532" t="s">
        <v>45</v>
      </c>
      <c r="O532" t="s">
        <v>46</v>
      </c>
      <c r="P532" s="5">
        <v>1</v>
      </c>
      <c r="Q532" s="12">
        <v>44758.710289351853</v>
      </c>
      <c r="R532" s="13">
        <v>44761</v>
      </c>
      <c r="T532" t="s">
        <v>47</v>
      </c>
      <c r="U532" t="s">
        <v>48</v>
      </c>
      <c r="V532" t="s">
        <v>128</v>
      </c>
      <c r="Y532" t="s">
        <v>1661</v>
      </c>
      <c r="Z532">
        <v>56100</v>
      </c>
      <c r="AA532" t="s">
        <v>47</v>
      </c>
      <c r="AB532" t="s">
        <v>56</v>
      </c>
      <c r="AC532" t="s">
        <v>53</v>
      </c>
      <c r="AD532" s="16">
        <f t="shared" si="69"/>
        <v>7</v>
      </c>
      <c r="AE532" s="15">
        <v>0</v>
      </c>
      <c r="AF532" s="15">
        <v>0</v>
      </c>
      <c r="AG532" s="15">
        <v>0</v>
      </c>
      <c r="AH532" s="15">
        <v>0</v>
      </c>
      <c r="AI532" s="15">
        <f t="shared" si="66"/>
        <v>0.42</v>
      </c>
      <c r="AJ532" s="15">
        <f t="shared" si="67"/>
        <v>7.42</v>
      </c>
      <c r="AK532" t="s">
        <v>47</v>
      </c>
    </row>
    <row r="533" spans="1:37" ht="15" customHeight="1" x14ac:dyDescent="0.35">
      <c r="A533">
        <v>690929</v>
      </c>
      <c r="B533" t="s">
        <v>37</v>
      </c>
      <c r="C533" t="s">
        <v>38</v>
      </c>
      <c r="D533" s="9" t="s">
        <v>39</v>
      </c>
      <c r="E533" s="10" t="s">
        <v>37</v>
      </c>
      <c r="F533" s="11"/>
      <c r="G533" t="s">
        <v>1662</v>
      </c>
      <c r="I533" t="s">
        <v>41</v>
      </c>
      <c r="J533" t="s">
        <v>1663</v>
      </c>
      <c r="K533" t="s">
        <v>43</v>
      </c>
      <c r="L533">
        <v>2</v>
      </c>
      <c r="M533" t="s">
        <v>44</v>
      </c>
      <c r="N533" t="s">
        <v>45</v>
      </c>
      <c r="O533" t="s">
        <v>46</v>
      </c>
      <c r="P533" s="5">
        <v>1</v>
      </c>
      <c r="Q533" s="12">
        <v>44759.65861111111</v>
      </c>
      <c r="R533" s="13">
        <v>44761</v>
      </c>
      <c r="T533" t="s">
        <v>47</v>
      </c>
      <c r="U533" t="s">
        <v>48</v>
      </c>
      <c r="V533" t="s">
        <v>62</v>
      </c>
      <c r="Y533" t="s">
        <v>1664</v>
      </c>
      <c r="Z533">
        <v>81900</v>
      </c>
      <c r="AA533" t="s">
        <v>47</v>
      </c>
      <c r="AB533" t="s">
        <v>1453</v>
      </c>
      <c r="AC533" t="s">
        <v>53</v>
      </c>
      <c r="AD533" s="16">
        <f t="shared" si="69"/>
        <v>7</v>
      </c>
      <c r="AE533" s="15">
        <v>0</v>
      </c>
      <c r="AF533" s="15">
        <v>0</v>
      </c>
      <c r="AG533" s="15">
        <v>0</v>
      </c>
      <c r="AH533" s="15">
        <v>0</v>
      </c>
      <c r="AI533" s="15">
        <f t="shared" si="66"/>
        <v>0.42</v>
      </c>
      <c r="AJ533" s="15">
        <f t="shared" si="67"/>
        <v>7.42</v>
      </c>
      <c r="AK533" t="s">
        <v>47</v>
      </c>
    </row>
    <row r="534" spans="1:37" ht="15" customHeight="1" x14ac:dyDescent="0.35">
      <c r="A534">
        <v>690929</v>
      </c>
      <c r="B534" t="s">
        <v>37</v>
      </c>
      <c r="C534" t="s">
        <v>38</v>
      </c>
      <c r="D534" s="9" t="s">
        <v>39</v>
      </c>
      <c r="E534" s="10" t="s">
        <v>37</v>
      </c>
      <c r="F534" s="11"/>
      <c r="G534" t="s">
        <v>1665</v>
      </c>
      <c r="I534" t="s">
        <v>41</v>
      </c>
      <c r="J534" t="s">
        <v>1666</v>
      </c>
      <c r="K534" t="s">
        <v>43</v>
      </c>
      <c r="L534">
        <v>2</v>
      </c>
      <c r="M534" t="s">
        <v>44</v>
      </c>
      <c r="N534" t="s">
        <v>45</v>
      </c>
      <c r="O534" t="s">
        <v>46</v>
      </c>
      <c r="P534" s="5">
        <v>1</v>
      </c>
      <c r="Q534" s="12">
        <v>44758.704942129632</v>
      </c>
      <c r="R534" s="13">
        <v>44761</v>
      </c>
      <c r="T534" t="s">
        <v>47</v>
      </c>
      <c r="U534" t="s">
        <v>48</v>
      </c>
      <c r="V534" t="s">
        <v>128</v>
      </c>
      <c r="Y534" t="s">
        <v>1667</v>
      </c>
      <c r="Z534">
        <v>50470</v>
      </c>
      <c r="AA534" t="s">
        <v>47</v>
      </c>
      <c r="AB534" t="s">
        <v>56</v>
      </c>
      <c r="AC534" t="s">
        <v>53</v>
      </c>
      <c r="AD534" s="16">
        <f t="shared" si="69"/>
        <v>7</v>
      </c>
      <c r="AE534" s="15">
        <v>0</v>
      </c>
      <c r="AF534" s="15">
        <v>0</v>
      </c>
      <c r="AG534" s="15">
        <v>0</v>
      </c>
      <c r="AH534" s="15">
        <v>0</v>
      </c>
      <c r="AI534" s="15">
        <f t="shared" si="66"/>
        <v>0.42</v>
      </c>
      <c r="AJ534" s="15">
        <f t="shared" si="67"/>
        <v>7.42</v>
      </c>
      <c r="AK534" t="s">
        <v>47</v>
      </c>
    </row>
    <row r="535" spans="1:37" ht="15" customHeight="1" x14ac:dyDescent="0.35">
      <c r="A535">
        <v>690929</v>
      </c>
      <c r="B535" t="s">
        <v>37</v>
      </c>
      <c r="C535" t="s">
        <v>38</v>
      </c>
      <c r="D535" s="9" t="s">
        <v>39</v>
      </c>
      <c r="E535" s="10" t="s">
        <v>37</v>
      </c>
      <c r="F535" s="11"/>
      <c r="G535" t="s">
        <v>1668</v>
      </c>
      <c r="I535" t="s">
        <v>41</v>
      </c>
      <c r="J535" t="s">
        <v>1669</v>
      </c>
      <c r="K535" t="s">
        <v>43</v>
      </c>
      <c r="L535">
        <v>2</v>
      </c>
      <c r="M535" t="s">
        <v>44</v>
      </c>
      <c r="N535" t="s">
        <v>45</v>
      </c>
      <c r="O535" t="s">
        <v>46</v>
      </c>
      <c r="P535" s="5">
        <v>1</v>
      </c>
      <c r="Q535" s="12">
        <v>44759.48369212963</v>
      </c>
      <c r="R535" s="13">
        <v>44761</v>
      </c>
      <c r="T535" t="s">
        <v>47</v>
      </c>
      <c r="U535" t="s">
        <v>48</v>
      </c>
      <c r="V535" t="s">
        <v>100</v>
      </c>
      <c r="Y535" t="s">
        <v>1670</v>
      </c>
      <c r="Z535">
        <v>36000</v>
      </c>
      <c r="AA535" t="s">
        <v>47</v>
      </c>
      <c r="AB535" t="s">
        <v>1658</v>
      </c>
      <c r="AC535" t="s">
        <v>53</v>
      </c>
      <c r="AD535" s="16">
        <f t="shared" si="69"/>
        <v>7</v>
      </c>
      <c r="AE535" s="15">
        <v>0</v>
      </c>
      <c r="AF535" s="15">
        <v>0</v>
      </c>
      <c r="AG535" s="15">
        <v>0</v>
      </c>
      <c r="AH535" s="15">
        <v>0</v>
      </c>
      <c r="AI535" s="15">
        <f t="shared" si="66"/>
        <v>0.42</v>
      </c>
      <c r="AJ535" s="15">
        <f t="shared" si="67"/>
        <v>7.42</v>
      </c>
      <c r="AK535" t="s">
        <v>47</v>
      </c>
    </row>
    <row r="536" spans="1:37" ht="15" customHeight="1" x14ac:dyDescent="0.35">
      <c r="A536">
        <v>690929</v>
      </c>
      <c r="B536" t="s">
        <v>37</v>
      </c>
      <c r="C536" t="s">
        <v>38</v>
      </c>
      <c r="D536" s="9" t="s">
        <v>39</v>
      </c>
      <c r="E536" s="10" t="s">
        <v>37</v>
      </c>
      <c r="F536" s="11"/>
      <c r="G536" t="s">
        <v>1671</v>
      </c>
      <c r="I536" t="s">
        <v>41</v>
      </c>
      <c r="J536" t="s">
        <v>1672</v>
      </c>
      <c r="K536" t="s">
        <v>43</v>
      </c>
      <c r="L536">
        <v>2</v>
      </c>
      <c r="M536" t="s">
        <v>44</v>
      </c>
      <c r="N536" t="s">
        <v>45</v>
      </c>
      <c r="O536" t="s">
        <v>46</v>
      </c>
      <c r="P536" s="5">
        <v>1</v>
      </c>
      <c r="Q536" s="12">
        <v>44759.61347222222</v>
      </c>
      <c r="R536" s="13">
        <v>44761</v>
      </c>
      <c r="T536" t="s">
        <v>47</v>
      </c>
      <c r="U536" t="s">
        <v>48</v>
      </c>
      <c r="V536" t="s">
        <v>85</v>
      </c>
      <c r="Y536" t="s">
        <v>1673</v>
      </c>
      <c r="Z536">
        <v>11920</v>
      </c>
      <c r="AA536" t="s">
        <v>47</v>
      </c>
      <c r="AB536" t="s">
        <v>1490</v>
      </c>
      <c r="AC536" t="s">
        <v>53</v>
      </c>
      <c r="AD536" s="16">
        <f t="shared" si="69"/>
        <v>7</v>
      </c>
      <c r="AE536" s="15">
        <v>0</v>
      </c>
      <c r="AF536" s="15">
        <v>0</v>
      </c>
      <c r="AG536" s="15">
        <v>0</v>
      </c>
      <c r="AH536" s="15">
        <v>0</v>
      </c>
      <c r="AI536" s="15">
        <f t="shared" si="66"/>
        <v>0.42</v>
      </c>
      <c r="AJ536" s="15">
        <f t="shared" si="67"/>
        <v>7.42</v>
      </c>
      <c r="AK536" t="s">
        <v>47</v>
      </c>
    </row>
    <row r="537" spans="1:37" ht="15" customHeight="1" x14ac:dyDescent="0.35">
      <c r="A537">
        <v>690929</v>
      </c>
      <c r="B537" t="s">
        <v>37</v>
      </c>
      <c r="C537" t="s">
        <v>38</v>
      </c>
      <c r="D537" s="9" t="s">
        <v>39</v>
      </c>
      <c r="E537" s="10" t="s">
        <v>37</v>
      </c>
      <c r="F537" s="11"/>
      <c r="G537" t="s">
        <v>1674</v>
      </c>
      <c r="I537" t="s">
        <v>41</v>
      </c>
      <c r="J537" t="s">
        <v>1675</v>
      </c>
      <c r="K537" t="s">
        <v>43</v>
      </c>
      <c r="L537">
        <v>2</v>
      </c>
      <c r="M537" t="s">
        <v>44</v>
      </c>
      <c r="N537" t="s">
        <v>45</v>
      </c>
      <c r="O537" t="s">
        <v>46</v>
      </c>
      <c r="P537" s="5">
        <v>1</v>
      </c>
      <c r="Q537" s="12">
        <v>44759.60664351852</v>
      </c>
      <c r="R537" s="13">
        <v>44761</v>
      </c>
      <c r="T537" t="s">
        <v>47</v>
      </c>
      <c r="U537" t="s">
        <v>48</v>
      </c>
      <c r="V537" t="s">
        <v>62</v>
      </c>
      <c r="Y537" t="s">
        <v>1676</v>
      </c>
      <c r="Z537">
        <v>82000</v>
      </c>
      <c r="AA537" t="s">
        <v>47</v>
      </c>
      <c r="AB537" t="s">
        <v>1453</v>
      </c>
      <c r="AC537" t="s">
        <v>53</v>
      </c>
      <c r="AD537" s="16">
        <f t="shared" si="69"/>
        <v>7</v>
      </c>
      <c r="AE537" s="15">
        <v>0</v>
      </c>
      <c r="AF537" s="15">
        <v>0</v>
      </c>
      <c r="AG537" s="15">
        <v>0</v>
      </c>
      <c r="AH537" s="15">
        <v>0</v>
      </c>
      <c r="AI537" s="15">
        <f t="shared" si="66"/>
        <v>0.42</v>
      </c>
      <c r="AJ537" s="15">
        <f t="shared" si="67"/>
        <v>7.42</v>
      </c>
      <c r="AK537" t="s">
        <v>47</v>
      </c>
    </row>
    <row r="538" spans="1:37" ht="15" customHeight="1" x14ac:dyDescent="0.35">
      <c r="A538">
        <v>690929</v>
      </c>
      <c r="B538" t="s">
        <v>37</v>
      </c>
      <c r="C538" t="s">
        <v>38</v>
      </c>
      <c r="D538" s="9" t="s">
        <v>39</v>
      </c>
      <c r="E538" s="10" t="s">
        <v>37</v>
      </c>
      <c r="F538" s="11"/>
      <c r="G538" t="s">
        <v>1677</v>
      </c>
      <c r="I538" t="s">
        <v>41</v>
      </c>
      <c r="J538" t="s">
        <v>1678</v>
      </c>
      <c r="K538" t="s">
        <v>43</v>
      </c>
      <c r="L538">
        <v>2</v>
      </c>
      <c r="M538" t="s">
        <v>44</v>
      </c>
      <c r="N538" t="s">
        <v>45</v>
      </c>
      <c r="O538" t="s">
        <v>46</v>
      </c>
      <c r="P538" s="5">
        <v>1</v>
      </c>
      <c r="Q538" s="12">
        <v>44757.696504629632</v>
      </c>
      <c r="R538" s="13">
        <v>44761</v>
      </c>
      <c r="T538" t="s">
        <v>47</v>
      </c>
      <c r="U538" t="s">
        <v>48</v>
      </c>
      <c r="V538" t="s">
        <v>62</v>
      </c>
      <c r="Y538" t="s">
        <v>1679</v>
      </c>
      <c r="Z538">
        <v>80000</v>
      </c>
      <c r="AA538" t="s">
        <v>47</v>
      </c>
      <c r="AB538" t="s">
        <v>64</v>
      </c>
      <c r="AC538" t="s">
        <v>53</v>
      </c>
      <c r="AD538" s="16">
        <f t="shared" si="69"/>
        <v>7</v>
      </c>
      <c r="AE538" s="15">
        <v>0</v>
      </c>
      <c r="AF538" s="15">
        <v>0</v>
      </c>
      <c r="AG538" s="15">
        <v>0</v>
      </c>
      <c r="AH538" s="15">
        <v>0</v>
      </c>
      <c r="AI538" s="15">
        <f t="shared" si="66"/>
        <v>0.42</v>
      </c>
      <c r="AJ538" s="15">
        <f t="shared" si="67"/>
        <v>7.42</v>
      </c>
      <c r="AK538" t="s">
        <v>47</v>
      </c>
    </row>
    <row r="539" spans="1:37" ht="15" customHeight="1" x14ac:dyDescent="0.35">
      <c r="A539">
        <v>690929</v>
      </c>
      <c r="B539" t="s">
        <v>37</v>
      </c>
      <c r="C539" t="s">
        <v>38</v>
      </c>
      <c r="D539" s="9" t="s">
        <v>39</v>
      </c>
      <c r="E539" s="10" t="s">
        <v>37</v>
      </c>
      <c r="F539" s="11"/>
      <c r="G539" t="s">
        <v>1680</v>
      </c>
      <c r="I539" t="s">
        <v>41</v>
      </c>
      <c r="J539" t="s">
        <v>1681</v>
      </c>
      <c r="K539" t="s">
        <v>43</v>
      </c>
      <c r="L539">
        <v>2</v>
      </c>
      <c r="M539" t="s">
        <v>44</v>
      </c>
      <c r="N539" t="s">
        <v>45</v>
      </c>
      <c r="O539" t="s">
        <v>46</v>
      </c>
      <c r="P539" s="5">
        <v>1</v>
      </c>
      <c r="Q539" s="12">
        <v>44759.645358796297</v>
      </c>
      <c r="R539" s="13">
        <v>44761</v>
      </c>
      <c r="T539" t="s">
        <v>47</v>
      </c>
      <c r="U539" t="s">
        <v>48</v>
      </c>
      <c r="V539" t="s">
        <v>100</v>
      </c>
      <c r="Y539" t="s">
        <v>1682</v>
      </c>
      <c r="Z539">
        <v>34850</v>
      </c>
      <c r="AA539" t="s">
        <v>47</v>
      </c>
      <c r="AB539" t="s">
        <v>1658</v>
      </c>
      <c r="AC539" t="s">
        <v>53</v>
      </c>
      <c r="AD539" s="16">
        <f t="shared" si="69"/>
        <v>7</v>
      </c>
      <c r="AE539" s="15">
        <v>0</v>
      </c>
      <c r="AF539" s="15">
        <v>0</v>
      </c>
      <c r="AG539" s="15">
        <v>0</v>
      </c>
      <c r="AH539" s="15">
        <v>0</v>
      </c>
      <c r="AI539" s="15">
        <f t="shared" si="66"/>
        <v>0.42</v>
      </c>
      <c r="AJ539" s="15">
        <f t="shared" si="67"/>
        <v>7.42</v>
      </c>
      <c r="AK539" t="s">
        <v>47</v>
      </c>
    </row>
    <row r="540" spans="1:37" ht="15" customHeight="1" x14ac:dyDescent="0.35">
      <c r="A540">
        <v>690929</v>
      </c>
      <c r="B540" t="s">
        <v>37</v>
      </c>
      <c r="C540" t="s">
        <v>38</v>
      </c>
      <c r="D540" s="9" t="s">
        <v>39</v>
      </c>
      <c r="E540" s="10" t="s">
        <v>37</v>
      </c>
      <c r="F540" s="11"/>
      <c r="G540" t="s">
        <v>1683</v>
      </c>
      <c r="I540" t="s">
        <v>41</v>
      </c>
      <c r="J540" t="s">
        <v>1684</v>
      </c>
      <c r="K540" t="s">
        <v>43</v>
      </c>
      <c r="L540">
        <v>2</v>
      </c>
      <c r="M540" t="s">
        <v>44</v>
      </c>
      <c r="N540" t="s">
        <v>45</v>
      </c>
      <c r="O540" t="s">
        <v>46</v>
      </c>
      <c r="P540" s="5">
        <v>1</v>
      </c>
      <c r="Q540" s="12">
        <v>44759.488611111112</v>
      </c>
      <c r="R540" s="13">
        <v>44761</v>
      </c>
      <c r="T540" t="s">
        <v>47</v>
      </c>
      <c r="U540" t="s">
        <v>48</v>
      </c>
      <c r="V540" t="s">
        <v>114</v>
      </c>
      <c r="Y540" t="s">
        <v>1685</v>
      </c>
      <c r="Z540">
        <v>68100</v>
      </c>
      <c r="AA540" t="s">
        <v>47</v>
      </c>
      <c r="AB540" t="s">
        <v>56</v>
      </c>
      <c r="AC540" t="s">
        <v>53</v>
      </c>
      <c r="AD540" s="16">
        <f t="shared" si="69"/>
        <v>7</v>
      </c>
      <c r="AE540" s="15">
        <v>0</v>
      </c>
      <c r="AF540" s="15">
        <v>0</v>
      </c>
      <c r="AG540" s="15">
        <v>0</v>
      </c>
      <c r="AH540" s="15">
        <v>0</v>
      </c>
      <c r="AI540" s="15">
        <f t="shared" si="66"/>
        <v>0.42</v>
      </c>
      <c r="AJ540" s="15">
        <f t="shared" si="67"/>
        <v>7.42</v>
      </c>
      <c r="AK540" t="s">
        <v>47</v>
      </c>
    </row>
    <row r="541" spans="1:37" ht="15" customHeight="1" x14ac:dyDescent="0.35">
      <c r="A541">
        <v>690929</v>
      </c>
      <c r="B541" t="s">
        <v>37</v>
      </c>
      <c r="C541" t="s">
        <v>38</v>
      </c>
      <c r="D541" s="9" t="s">
        <v>39</v>
      </c>
      <c r="E541" s="10" t="s">
        <v>37</v>
      </c>
      <c r="F541" s="11"/>
      <c r="G541" t="s">
        <v>1686</v>
      </c>
      <c r="I541" t="s">
        <v>41</v>
      </c>
      <c r="J541" t="s">
        <v>1687</v>
      </c>
      <c r="K541" t="s">
        <v>43</v>
      </c>
      <c r="L541">
        <v>2</v>
      </c>
      <c r="M541" t="s">
        <v>44</v>
      </c>
      <c r="N541" t="s">
        <v>45</v>
      </c>
      <c r="O541" t="s">
        <v>46</v>
      </c>
      <c r="P541" s="5">
        <v>1</v>
      </c>
      <c r="Q541" s="12">
        <v>44756.547951388886</v>
      </c>
      <c r="R541" s="13">
        <v>44761</v>
      </c>
      <c r="T541" t="s">
        <v>47</v>
      </c>
      <c r="U541" t="s">
        <v>48</v>
      </c>
      <c r="V541" t="s">
        <v>114</v>
      </c>
      <c r="Y541" t="s">
        <v>1688</v>
      </c>
      <c r="Z541">
        <v>42200</v>
      </c>
      <c r="AA541" t="s">
        <v>47</v>
      </c>
      <c r="AB541" t="s">
        <v>64</v>
      </c>
      <c r="AC541" t="s">
        <v>53</v>
      </c>
      <c r="AD541" s="16">
        <f t="shared" si="69"/>
        <v>7</v>
      </c>
      <c r="AE541" s="15">
        <v>0</v>
      </c>
      <c r="AF541" s="15">
        <v>0</v>
      </c>
      <c r="AG541" s="15">
        <v>0</v>
      </c>
      <c r="AH541" s="15">
        <v>0</v>
      </c>
      <c r="AI541" s="15">
        <f t="shared" si="66"/>
        <v>0.42</v>
      </c>
      <c r="AJ541" s="15">
        <f t="shared" si="67"/>
        <v>7.42</v>
      </c>
      <c r="AK541" t="s">
        <v>47</v>
      </c>
    </row>
    <row r="542" spans="1:37" ht="15" customHeight="1" x14ac:dyDescent="0.35">
      <c r="A542">
        <v>690929</v>
      </c>
      <c r="B542" t="s">
        <v>37</v>
      </c>
      <c r="C542" t="s">
        <v>38</v>
      </c>
      <c r="D542" s="9" t="s">
        <v>39</v>
      </c>
      <c r="E542" s="10" t="s">
        <v>37</v>
      </c>
      <c r="F542" s="11"/>
      <c r="G542" t="s">
        <v>1689</v>
      </c>
      <c r="I542" t="s">
        <v>41</v>
      </c>
      <c r="J542" t="s">
        <v>1690</v>
      </c>
      <c r="K542" t="s">
        <v>43</v>
      </c>
      <c r="L542">
        <v>2</v>
      </c>
      <c r="M542" t="s">
        <v>44</v>
      </c>
      <c r="N542" t="s">
        <v>45</v>
      </c>
      <c r="O542" t="s">
        <v>46</v>
      </c>
      <c r="P542" s="5">
        <v>1</v>
      </c>
      <c r="Q542" s="12">
        <v>44758.7190625</v>
      </c>
      <c r="R542" s="13">
        <v>44761</v>
      </c>
      <c r="T542" t="s">
        <v>47</v>
      </c>
      <c r="U542" t="s">
        <v>48</v>
      </c>
      <c r="V542" t="s">
        <v>71</v>
      </c>
      <c r="Y542" t="s">
        <v>1691</v>
      </c>
      <c r="Z542">
        <v>9400</v>
      </c>
      <c r="AA542" t="s">
        <v>47</v>
      </c>
      <c r="AB542" t="s">
        <v>1467</v>
      </c>
      <c r="AC542" t="s">
        <v>53</v>
      </c>
      <c r="AD542" s="16">
        <f t="shared" si="69"/>
        <v>7</v>
      </c>
      <c r="AE542" s="15">
        <v>0</v>
      </c>
      <c r="AF542" s="15">
        <v>0</v>
      </c>
      <c r="AG542" s="15">
        <v>0</v>
      </c>
      <c r="AH542" s="15">
        <v>0</v>
      </c>
      <c r="AI542" s="15">
        <f t="shared" si="66"/>
        <v>0.42</v>
      </c>
      <c r="AJ542" s="15">
        <f t="shared" si="67"/>
        <v>7.42</v>
      </c>
      <c r="AK542" t="s">
        <v>47</v>
      </c>
    </row>
    <row r="543" spans="1:37" ht="15" customHeight="1" x14ac:dyDescent="0.35">
      <c r="A543">
        <v>690929</v>
      </c>
      <c r="B543" t="s">
        <v>37</v>
      </c>
      <c r="C543" t="s">
        <v>38</v>
      </c>
      <c r="D543" s="9" t="s">
        <v>39</v>
      </c>
      <c r="E543" s="10" t="s">
        <v>37</v>
      </c>
      <c r="F543" s="11"/>
      <c r="G543" t="s">
        <v>1692</v>
      </c>
      <c r="I543" t="s">
        <v>41</v>
      </c>
      <c r="J543" t="s">
        <v>1693</v>
      </c>
      <c r="K543" t="s">
        <v>43</v>
      </c>
      <c r="L543">
        <v>2</v>
      </c>
      <c r="M543" t="s">
        <v>44</v>
      </c>
      <c r="N543" t="s">
        <v>45</v>
      </c>
      <c r="O543" t="s">
        <v>46</v>
      </c>
      <c r="P543" s="5">
        <v>2</v>
      </c>
      <c r="Q543" s="12">
        <v>44758.723275462966</v>
      </c>
      <c r="R543" s="13">
        <v>44761</v>
      </c>
      <c r="T543" t="s">
        <v>47</v>
      </c>
      <c r="U543" t="s">
        <v>48</v>
      </c>
      <c r="V543" t="s">
        <v>62</v>
      </c>
      <c r="Y543" t="s">
        <v>1694</v>
      </c>
      <c r="Z543">
        <v>81560</v>
      </c>
      <c r="AA543" t="s">
        <v>47</v>
      </c>
      <c r="AB543" t="s">
        <v>1695</v>
      </c>
      <c r="AC543" t="s">
        <v>53</v>
      </c>
      <c r="AD543" s="16">
        <f t="shared" si="69"/>
        <v>7.8</v>
      </c>
      <c r="AE543" s="15">
        <v>0</v>
      </c>
      <c r="AF543" s="15">
        <v>0</v>
      </c>
      <c r="AG543" s="15">
        <v>0</v>
      </c>
      <c r="AH543" s="15">
        <v>0</v>
      </c>
      <c r="AI543" s="15">
        <f t="shared" si="66"/>
        <v>0.46799999999999997</v>
      </c>
      <c r="AJ543" s="15">
        <f t="shared" si="67"/>
        <v>8.2680000000000007</v>
      </c>
      <c r="AK543" t="s">
        <v>47</v>
      </c>
    </row>
    <row r="544" spans="1:37" ht="15" customHeight="1" x14ac:dyDescent="0.35">
      <c r="A544">
        <v>690929</v>
      </c>
      <c r="B544" t="s">
        <v>37</v>
      </c>
      <c r="C544" t="s">
        <v>38</v>
      </c>
      <c r="D544" s="9" t="s">
        <v>39</v>
      </c>
      <c r="E544" s="10" t="s">
        <v>37</v>
      </c>
      <c r="F544" s="11"/>
      <c r="G544" t="s">
        <v>1696</v>
      </c>
      <c r="I544" t="s">
        <v>41</v>
      </c>
      <c r="J544" t="s">
        <v>1697</v>
      </c>
      <c r="K544" t="s">
        <v>43</v>
      </c>
      <c r="L544">
        <v>2</v>
      </c>
      <c r="M544" t="s">
        <v>44</v>
      </c>
      <c r="N544" t="s">
        <v>45</v>
      </c>
      <c r="O544" t="s">
        <v>46</v>
      </c>
      <c r="P544" s="5">
        <v>1</v>
      </c>
      <c r="Q544" s="12">
        <v>44758.707789351851</v>
      </c>
      <c r="R544" s="13">
        <v>44761</v>
      </c>
      <c r="T544" t="s">
        <v>47</v>
      </c>
      <c r="U544" t="s">
        <v>48</v>
      </c>
      <c r="V544" t="s">
        <v>114</v>
      </c>
      <c r="Y544" t="s">
        <v>1698</v>
      </c>
      <c r="Z544">
        <v>41200</v>
      </c>
      <c r="AA544" t="s">
        <v>47</v>
      </c>
      <c r="AB544" t="s">
        <v>56</v>
      </c>
      <c r="AC544" t="s">
        <v>53</v>
      </c>
      <c r="AD544" s="16">
        <f t="shared" si="69"/>
        <v>7</v>
      </c>
      <c r="AE544" s="15">
        <v>0</v>
      </c>
      <c r="AF544" s="15">
        <v>0</v>
      </c>
      <c r="AG544" s="15">
        <v>0</v>
      </c>
      <c r="AH544" s="15">
        <v>0</v>
      </c>
      <c r="AI544" s="15">
        <f t="shared" si="66"/>
        <v>0.42</v>
      </c>
      <c r="AJ544" s="15">
        <f t="shared" si="67"/>
        <v>7.42</v>
      </c>
      <c r="AK544" t="s">
        <v>47</v>
      </c>
    </row>
    <row r="545" spans="1:37" ht="15" customHeight="1" x14ac:dyDescent="0.35">
      <c r="A545">
        <v>690929</v>
      </c>
      <c r="B545" t="s">
        <v>37</v>
      </c>
      <c r="C545" t="s">
        <v>38</v>
      </c>
      <c r="D545" s="9" t="s">
        <v>39</v>
      </c>
      <c r="E545" s="10" t="s">
        <v>37</v>
      </c>
      <c r="F545" s="11"/>
      <c r="G545" t="s">
        <v>1699</v>
      </c>
      <c r="I545" t="s">
        <v>41</v>
      </c>
      <c r="J545" t="s">
        <v>1700</v>
      </c>
      <c r="K545" t="s">
        <v>43</v>
      </c>
      <c r="L545">
        <v>2</v>
      </c>
      <c r="M545" t="s">
        <v>44</v>
      </c>
      <c r="N545" t="s">
        <v>45</v>
      </c>
      <c r="O545" t="s">
        <v>46</v>
      </c>
      <c r="P545" s="5">
        <v>1</v>
      </c>
      <c r="Q545" s="12">
        <v>44758.71402777778</v>
      </c>
      <c r="R545" s="13">
        <v>44761</v>
      </c>
      <c r="T545" t="s">
        <v>47</v>
      </c>
      <c r="U545" t="s">
        <v>48</v>
      </c>
      <c r="V545" t="s">
        <v>114</v>
      </c>
      <c r="Y545" t="s">
        <v>1701</v>
      </c>
      <c r="Z545">
        <v>48300</v>
      </c>
      <c r="AA545" t="s">
        <v>47</v>
      </c>
      <c r="AB545" t="s">
        <v>56</v>
      </c>
      <c r="AC545" t="s">
        <v>53</v>
      </c>
      <c r="AD545" s="16">
        <f t="shared" si="69"/>
        <v>7</v>
      </c>
      <c r="AE545" s="15">
        <v>0</v>
      </c>
      <c r="AF545" s="15">
        <v>0</v>
      </c>
      <c r="AG545" s="15">
        <v>0</v>
      </c>
      <c r="AH545" s="15">
        <v>0</v>
      </c>
      <c r="AI545" s="15">
        <f t="shared" si="66"/>
        <v>0.42</v>
      </c>
      <c r="AJ545" s="15">
        <f t="shared" si="67"/>
        <v>7.42</v>
      </c>
      <c r="AK545" t="s">
        <v>47</v>
      </c>
    </row>
    <row r="546" spans="1:37" ht="15" customHeight="1" x14ac:dyDescent="0.35">
      <c r="A546">
        <v>690929</v>
      </c>
      <c r="B546" t="s">
        <v>37</v>
      </c>
      <c r="C546" t="s">
        <v>38</v>
      </c>
      <c r="D546" s="9" t="s">
        <v>39</v>
      </c>
      <c r="E546" s="10" t="s">
        <v>37</v>
      </c>
      <c r="F546" s="11"/>
      <c r="G546" t="s">
        <v>1702</v>
      </c>
      <c r="I546" t="s">
        <v>41</v>
      </c>
      <c r="J546" t="s">
        <v>1703</v>
      </c>
      <c r="K546" t="s">
        <v>43</v>
      </c>
      <c r="L546">
        <v>2</v>
      </c>
      <c r="M546" t="s">
        <v>44</v>
      </c>
      <c r="N546" t="s">
        <v>45</v>
      </c>
      <c r="O546" t="s">
        <v>46</v>
      </c>
      <c r="P546" s="5">
        <v>1</v>
      </c>
      <c r="Q546" s="12">
        <v>44758.712083333332</v>
      </c>
      <c r="R546" s="13">
        <v>44761</v>
      </c>
      <c r="T546" t="s">
        <v>47</v>
      </c>
      <c r="U546" t="s">
        <v>48</v>
      </c>
      <c r="V546" t="s">
        <v>128</v>
      </c>
      <c r="Y546" t="s">
        <v>1704</v>
      </c>
      <c r="Z546">
        <v>57000</v>
      </c>
      <c r="AA546" t="s">
        <v>47</v>
      </c>
      <c r="AB546" t="s">
        <v>56</v>
      </c>
      <c r="AC546" t="s">
        <v>53</v>
      </c>
      <c r="AD546" s="16">
        <f t="shared" si="69"/>
        <v>7</v>
      </c>
      <c r="AE546" s="15">
        <v>0</v>
      </c>
      <c r="AF546" s="15">
        <v>0</v>
      </c>
      <c r="AG546" s="15">
        <v>0</v>
      </c>
      <c r="AH546" s="15">
        <v>0</v>
      </c>
      <c r="AI546" s="15">
        <f t="shared" si="66"/>
        <v>0.42</v>
      </c>
      <c r="AJ546" s="15">
        <f t="shared" si="67"/>
        <v>7.42</v>
      </c>
      <c r="AK546" t="s">
        <v>47</v>
      </c>
    </row>
    <row r="547" spans="1:37" ht="15" customHeight="1" x14ac:dyDescent="0.35">
      <c r="A547">
        <v>690929</v>
      </c>
      <c r="B547" t="s">
        <v>37</v>
      </c>
      <c r="C547" t="s">
        <v>38</v>
      </c>
      <c r="D547" s="9" t="s">
        <v>39</v>
      </c>
      <c r="E547" s="10" t="s">
        <v>37</v>
      </c>
      <c r="F547" s="11"/>
      <c r="G547" t="s">
        <v>1705</v>
      </c>
      <c r="I547" t="s">
        <v>41</v>
      </c>
      <c r="J547" t="s">
        <v>1706</v>
      </c>
      <c r="K547" t="s">
        <v>43</v>
      </c>
      <c r="L547">
        <v>2</v>
      </c>
      <c r="M547" t="s">
        <v>44</v>
      </c>
      <c r="N547" t="s">
        <v>45</v>
      </c>
      <c r="O547" t="s">
        <v>46</v>
      </c>
      <c r="P547" s="5">
        <v>1</v>
      </c>
      <c r="Q547" s="12">
        <v>44759.611631944441</v>
      </c>
      <c r="R547" s="13">
        <v>44761</v>
      </c>
      <c r="T547" t="s">
        <v>47</v>
      </c>
      <c r="U547" t="s">
        <v>48</v>
      </c>
      <c r="V547" t="s">
        <v>85</v>
      </c>
      <c r="Y547" t="s">
        <v>1707</v>
      </c>
      <c r="Z547">
        <v>13700</v>
      </c>
      <c r="AA547" t="s">
        <v>47</v>
      </c>
      <c r="AB547" t="s">
        <v>1477</v>
      </c>
      <c r="AC547" t="s">
        <v>53</v>
      </c>
      <c r="AD547" s="16">
        <f t="shared" si="69"/>
        <v>7</v>
      </c>
      <c r="AE547" s="15">
        <v>0</v>
      </c>
      <c r="AF547" s="15">
        <v>0</v>
      </c>
      <c r="AG547" s="15">
        <v>0</v>
      </c>
      <c r="AH547" s="15">
        <v>0</v>
      </c>
      <c r="AI547" s="15">
        <f t="shared" si="66"/>
        <v>0.42</v>
      </c>
      <c r="AJ547" s="15">
        <f t="shared" si="67"/>
        <v>7.42</v>
      </c>
      <c r="AK547" t="s">
        <v>47</v>
      </c>
    </row>
    <row r="548" spans="1:37" ht="15" customHeight="1" x14ac:dyDescent="0.35">
      <c r="A548">
        <v>690929</v>
      </c>
      <c r="B548" t="s">
        <v>37</v>
      </c>
      <c r="C548" t="s">
        <v>38</v>
      </c>
      <c r="D548" s="9" t="s">
        <v>39</v>
      </c>
      <c r="E548" s="10" t="s">
        <v>37</v>
      </c>
      <c r="F548" s="11"/>
      <c r="G548" t="s">
        <v>1708</v>
      </c>
      <c r="I548" t="s">
        <v>41</v>
      </c>
      <c r="J548" t="s">
        <v>1709</v>
      </c>
      <c r="K548" t="s">
        <v>43</v>
      </c>
      <c r="L548">
        <v>2</v>
      </c>
      <c r="M548" t="s">
        <v>44</v>
      </c>
      <c r="N548" t="s">
        <v>45</v>
      </c>
      <c r="O548" t="s">
        <v>46</v>
      </c>
      <c r="P548" s="5">
        <v>1</v>
      </c>
      <c r="Q548" s="12">
        <v>44755.529050925928</v>
      </c>
      <c r="R548" s="13">
        <v>44762</v>
      </c>
      <c r="T548" t="s">
        <v>47</v>
      </c>
      <c r="U548" t="s">
        <v>48</v>
      </c>
      <c r="V548" t="s">
        <v>80</v>
      </c>
      <c r="Y548" t="s">
        <v>1710</v>
      </c>
      <c r="Z548">
        <v>97200</v>
      </c>
      <c r="AA548" t="s">
        <v>51</v>
      </c>
      <c r="AB548" t="s">
        <v>807</v>
      </c>
      <c r="AC548" t="s">
        <v>53</v>
      </c>
      <c r="AD548" s="14">
        <f>IF(P548&lt;=1,13,IF(P548&lt;=2,23,IF(P548&lt;=3,35,IF(P548&lt;=4,43,IF(P548&lt;=5,53,IF(P548&lt;=6,63,IF(P548&lt;=7,71,IF(P548&lt;=8,79,IF(P548&lt;=9,87,IF(P548&lt;=10,95,IF(P548&lt;=11,105,IF(P548&lt;=12,114,IF(P548&lt;=13,119,IF(P548&lt;=14,127,IF(P548&lt;=15,135,IF(P548&lt;=16,143,IF(P548&lt;=17,153,IF(P548&lt;=18,163,IF(P548&lt;=19,171,IF(P548&lt;=20,185,IF(P548&lt;=21,193,IF(P548&lt;=22,201,IF(P548&lt;=23,210,IF(P548&lt;=24,220,IF(P548&lt;=25,230,IF(P548&lt;=26,240,IF(P548&lt;=27,250,IF(P548&lt;=28,260,IF(P548&lt;=29,270,IF(P548&lt;=30,280,280))))))))))))))))))))))))))))))</f>
        <v>13</v>
      </c>
      <c r="AE548" s="15">
        <v>0</v>
      </c>
      <c r="AF548" s="15">
        <v>0</v>
      </c>
      <c r="AG548" s="15">
        <v>0</v>
      </c>
      <c r="AH548" s="15">
        <v>0</v>
      </c>
      <c r="AI548" s="15">
        <f t="shared" si="66"/>
        <v>0.78</v>
      </c>
      <c r="AJ548" s="15">
        <f t="shared" si="67"/>
        <v>13.78</v>
      </c>
      <c r="AK548" t="s">
        <v>51</v>
      </c>
    </row>
    <row r="549" spans="1:37" ht="15" customHeight="1" x14ac:dyDescent="0.35">
      <c r="A549">
        <v>690929</v>
      </c>
      <c r="B549" t="s">
        <v>37</v>
      </c>
      <c r="C549" t="s">
        <v>38</v>
      </c>
      <c r="D549" s="9" t="s">
        <v>39</v>
      </c>
      <c r="E549" s="10" t="s">
        <v>37</v>
      </c>
      <c r="F549" s="11"/>
      <c r="G549" t="s">
        <v>1711</v>
      </c>
      <c r="I549" t="s">
        <v>41</v>
      </c>
      <c r="J549" t="s">
        <v>1712</v>
      </c>
      <c r="K549" t="s">
        <v>43</v>
      </c>
      <c r="L549">
        <v>2</v>
      </c>
      <c r="M549" t="s">
        <v>44</v>
      </c>
      <c r="N549" t="s">
        <v>45</v>
      </c>
      <c r="O549" t="s">
        <v>46</v>
      </c>
      <c r="P549" s="5">
        <v>1</v>
      </c>
      <c r="Q549" s="12">
        <v>44758.477847222224</v>
      </c>
      <c r="R549" s="13">
        <v>44762</v>
      </c>
      <c r="T549" t="s">
        <v>47</v>
      </c>
      <c r="U549" t="s">
        <v>48</v>
      </c>
      <c r="V549" t="s">
        <v>80</v>
      </c>
      <c r="Y549" t="s">
        <v>1713</v>
      </c>
      <c r="Z549">
        <v>93450</v>
      </c>
      <c r="AA549" t="s">
        <v>51</v>
      </c>
      <c r="AB549" t="s">
        <v>64</v>
      </c>
      <c r="AC549" t="s">
        <v>53</v>
      </c>
      <c r="AD549" s="14">
        <f>IF(P549&lt;=1,13,IF(P549&lt;=2,23,IF(P549&lt;=3,35,IF(P549&lt;=4,43,IF(P549&lt;=5,53,IF(P549&lt;=6,63,IF(P549&lt;=7,71,IF(P549&lt;=8,79,IF(P549&lt;=9,87,IF(P549&lt;=10,95,IF(P549&lt;=11,105,IF(P549&lt;=12,114,IF(P549&lt;=13,119,IF(P549&lt;=14,127,IF(P549&lt;=15,135,IF(P549&lt;=16,143,IF(P549&lt;=17,153,IF(P549&lt;=18,163,IF(P549&lt;=19,171,IF(P549&lt;=20,185,IF(P549&lt;=21,193,IF(P549&lt;=22,201,IF(P549&lt;=23,210,IF(P549&lt;=24,220,IF(P549&lt;=25,230,IF(P549&lt;=26,240,IF(P549&lt;=27,250,IF(P549&lt;=28,260,IF(P549&lt;=29,270,IF(P549&lt;=30,280,280))))))))))))))))))))))))))))))</f>
        <v>13</v>
      </c>
      <c r="AE549" s="15">
        <v>0</v>
      </c>
      <c r="AF549" s="15">
        <v>0</v>
      </c>
      <c r="AG549" s="15">
        <v>0</v>
      </c>
      <c r="AH549" s="15">
        <v>0</v>
      </c>
      <c r="AI549" s="15">
        <f t="shared" si="66"/>
        <v>0.78</v>
      </c>
      <c r="AJ549" s="15">
        <f t="shared" si="67"/>
        <v>13.78</v>
      </c>
      <c r="AK549" t="s">
        <v>51</v>
      </c>
    </row>
    <row r="550" spans="1:37" ht="15" customHeight="1" x14ac:dyDescent="0.35">
      <c r="A550">
        <v>690929</v>
      </c>
      <c r="B550" t="s">
        <v>37</v>
      </c>
      <c r="C550" t="s">
        <v>38</v>
      </c>
      <c r="D550" s="9" t="s">
        <v>39</v>
      </c>
      <c r="E550" s="10" t="s">
        <v>37</v>
      </c>
      <c r="F550" s="11"/>
      <c r="G550" t="s">
        <v>1714</v>
      </c>
      <c r="I550" t="s">
        <v>41</v>
      </c>
      <c r="J550" t="s">
        <v>1715</v>
      </c>
      <c r="K550" t="s">
        <v>43</v>
      </c>
      <c r="L550">
        <v>2</v>
      </c>
      <c r="M550" t="s">
        <v>44</v>
      </c>
      <c r="N550" t="s">
        <v>45</v>
      </c>
      <c r="O550" t="s">
        <v>46</v>
      </c>
      <c r="P550" s="5">
        <v>1</v>
      </c>
      <c r="Q550" s="12">
        <v>44760.732141203705</v>
      </c>
      <c r="R550" s="13">
        <v>44762</v>
      </c>
      <c r="T550" t="s">
        <v>47</v>
      </c>
      <c r="U550" t="s">
        <v>48</v>
      </c>
      <c r="V550" t="s">
        <v>76</v>
      </c>
      <c r="Y550" t="s">
        <v>1716</v>
      </c>
      <c r="Z550">
        <v>24000</v>
      </c>
      <c r="AA550" t="s">
        <v>47</v>
      </c>
      <c r="AB550" t="s">
        <v>48</v>
      </c>
      <c r="AC550" t="s">
        <v>53</v>
      </c>
      <c r="AD550" s="16">
        <f t="shared" ref="AD550:AD553" si="70">IF(P550&lt;=1,7,7+0.8*ROUNDUP(P550-1,0))</f>
        <v>7</v>
      </c>
      <c r="AE550" s="15">
        <v>0</v>
      </c>
      <c r="AF550" s="15">
        <v>0</v>
      </c>
      <c r="AG550" s="15">
        <v>0</v>
      </c>
      <c r="AH550" s="15">
        <v>0</v>
      </c>
      <c r="AI550" s="15">
        <f t="shared" si="66"/>
        <v>0.42</v>
      </c>
      <c r="AJ550" s="15">
        <f t="shared" si="67"/>
        <v>7.42</v>
      </c>
      <c r="AK550" t="s">
        <v>47</v>
      </c>
    </row>
    <row r="551" spans="1:37" ht="15" customHeight="1" x14ac:dyDescent="0.35">
      <c r="A551">
        <v>690929</v>
      </c>
      <c r="B551" t="s">
        <v>37</v>
      </c>
      <c r="C551" t="s">
        <v>38</v>
      </c>
      <c r="D551" s="9" t="s">
        <v>39</v>
      </c>
      <c r="E551" s="10" t="s">
        <v>37</v>
      </c>
      <c r="F551" s="11"/>
      <c r="G551" t="s">
        <v>1717</v>
      </c>
      <c r="I551" t="s">
        <v>41</v>
      </c>
      <c r="J551" t="s">
        <v>1718</v>
      </c>
      <c r="K551" t="s">
        <v>43</v>
      </c>
      <c r="L551">
        <v>2</v>
      </c>
      <c r="M551" t="s">
        <v>44</v>
      </c>
      <c r="N551" t="s">
        <v>45</v>
      </c>
      <c r="O551" t="s">
        <v>46</v>
      </c>
      <c r="P551" s="5">
        <v>1</v>
      </c>
      <c r="Q551" s="12">
        <v>44759.648680555554</v>
      </c>
      <c r="R551" s="13">
        <v>44762</v>
      </c>
      <c r="T551" t="s">
        <v>47</v>
      </c>
      <c r="U551" t="s">
        <v>48</v>
      </c>
      <c r="V551" t="s">
        <v>100</v>
      </c>
      <c r="Y551" t="s">
        <v>1719</v>
      </c>
      <c r="Z551">
        <v>34300</v>
      </c>
      <c r="AA551" t="s">
        <v>47</v>
      </c>
      <c r="AB551" t="s">
        <v>1658</v>
      </c>
      <c r="AC551" t="s">
        <v>53</v>
      </c>
      <c r="AD551" s="16">
        <f t="shared" si="70"/>
        <v>7</v>
      </c>
      <c r="AE551" s="15">
        <v>0</v>
      </c>
      <c r="AF551" s="15">
        <v>0</v>
      </c>
      <c r="AG551" s="15">
        <v>0</v>
      </c>
      <c r="AH551" s="15">
        <v>0</v>
      </c>
      <c r="AI551" s="15">
        <f t="shared" si="66"/>
        <v>0.42</v>
      </c>
      <c r="AJ551" s="15">
        <f t="shared" si="67"/>
        <v>7.42</v>
      </c>
      <c r="AK551" t="s">
        <v>47</v>
      </c>
    </row>
    <row r="552" spans="1:37" ht="15" customHeight="1" x14ac:dyDescent="0.35">
      <c r="A552">
        <v>690929</v>
      </c>
      <c r="B552" t="s">
        <v>37</v>
      </c>
      <c r="C552" t="s">
        <v>38</v>
      </c>
      <c r="D552" s="9" t="s">
        <v>39</v>
      </c>
      <c r="E552" s="10" t="s">
        <v>37</v>
      </c>
      <c r="F552" s="11"/>
      <c r="G552" t="s">
        <v>1720</v>
      </c>
      <c r="I552" t="s">
        <v>41</v>
      </c>
      <c r="J552" t="s">
        <v>1721</v>
      </c>
      <c r="K552" t="s">
        <v>43</v>
      </c>
      <c r="L552">
        <v>2</v>
      </c>
      <c r="M552" t="s">
        <v>44</v>
      </c>
      <c r="N552" t="s">
        <v>45</v>
      </c>
      <c r="O552" t="s">
        <v>46</v>
      </c>
      <c r="P552" s="5">
        <v>1</v>
      </c>
      <c r="Q552" s="12">
        <v>44760.503541666665</v>
      </c>
      <c r="R552" s="13">
        <v>44762</v>
      </c>
      <c r="T552" t="s">
        <v>47</v>
      </c>
      <c r="U552" t="s">
        <v>48</v>
      </c>
      <c r="V552" t="s">
        <v>62</v>
      </c>
      <c r="Y552" t="s">
        <v>1722</v>
      </c>
      <c r="Z552">
        <v>85000</v>
      </c>
      <c r="AA552" t="s">
        <v>47</v>
      </c>
      <c r="AB552" t="s">
        <v>1507</v>
      </c>
      <c r="AC552" t="s">
        <v>53</v>
      </c>
      <c r="AD552" s="16">
        <f t="shared" si="70"/>
        <v>7</v>
      </c>
      <c r="AE552" s="15">
        <v>0</v>
      </c>
      <c r="AF552" s="15">
        <v>0</v>
      </c>
      <c r="AG552" s="15">
        <v>0</v>
      </c>
      <c r="AH552" s="15">
        <v>0</v>
      </c>
      <c r="AI552" s="15">
        <f t="shared" si="66"/>
        <v>0.42</v>
      </c>
      <c r="AJ552" s="15">
        <f t="shared" si="67"/>
        <v>7.42</v>
      </c>
      <c r="AK552" t="s">
        <v>47</v>
      </c>
    </row>
    <row r="553" spans="1:37" ht="15" customHeight="1" x14ac:dyDescent="0.35">
      <c r="A553">
        <v>690929</v>
      </c>
      <c r="B553" t="s">
        <v>37</v>
      </c>
      <c r="C553" t="s">
        <v>38</v>
      </c>
      <c r="D553" s="9" t="s">
        <v>39</v>
      </c>
      <c r="E553" s="10" t="s">
        <v>37</v>
      </c>
      <c r="F553" s="11"/>
      <c r="G553" t="s">
        <v>1723</v>
      </c>
      <c r="I553" t="s">
        <v>41</v>
      </c>
      <c r="J553" t="s">
        <v>1724</v>
      </c>
      <c r="K553" t="s">
        <v>43</v>
      </c>
      <c r="L553">
        <v>2</v>
      </c>
      <c r="M553" t="s">
        <v>44</v>
      </c>
      <c r="N553" t="s">
        <v>45</v>
      </c>
      <c r="O553" t="s">
        <v>46</v>
      </c>
      <c r="P553" s="5">
        <v>1</v>
      </c>
      <c r="Q553" s="12">
        <v>44759.756597222222</v>
      </c>
      <c r="R553" s="13">
        <v>44762</v>
      </c>
      <c r="T553" t="s">
        <v>47</v>
      </c>
      <c r="U553" t="s">
        <v>48</v>
      </c>
      <c r="V553" t="s">
        <v>176</v>
      </c>
      <c r="Y553" t="s">
        <v>1725</v>
      </c>
      <c r="Z553">
        <v>76450</v>
      </c>
      <c r="AA553" t="s">
        <v>47</v>
      </c>
      <c r="AB553" t="s">
        <v>1726</v>
      </c>
      <c r="AC553" t="s">
        <v>53</v>
      </c>
      <c r="AD553" s="16">
        <f t="shared" si="70"/>
        <v>7</v>
      </c>
      <c r="AE553" s="15">
        <v>0</v>
      </c>
      <c r="AF553" s="15">
        <v>0</v>
      </c>
      <c r="AG553" s="15">
        <v>0</v>
      </c>
      <c r="AH553" s="15">
        <v>0</v>
      </c>
      <c r="AI553" s="15">
        <f t="shared" si="66"/>
        <v>0.42</v>
      </c>
      <c r="AJ553" s="15">
        <f t="shared" si="67"/>
        <v>7.42</v>
      </c>
      <c r="AK553" t="s">
        <v>47</v>
      </c>
    </row>
    <row r="554" spans="1:37" ht="15" customHeight="1" x14ac:dyDescent="0.35">
      <c r="A554">
        <v>690929</v>
      </c>
      <c r="B554" t="s">
        <v>37</v>
      </c>
      <c r="C554" t="s">
        <v>38</v>
      </c>
      <c r="D554" s="9" t="s">
        <v>39</v>
      </c>
      <c r="E554" s="10" t="s">
        <v>37</v>
      </c>
      <c r="F554" s="11"/>
      <c r="G554" t="s">
        <v>1727</v>
      </c>
      <c r="I554" t="s">
        <v>41</v>
      </c>
      <c r="J554" t="s">
        <v>1728</v>
      </c>
      <c r="K554" t="s">
        <v>43</v>
      </c>
      <c r="L554">
        <v>2</v>
      </c>
      <c r="M554" t="s">
        <v>44</v>
      </c>
      <c r="N554" t="s">
        <v>45</v>
      </c>
      <c r="O554" t="s">
        <v>46</v>
      </c>
      <c r="P554" s="5">
        <v>1</v>
      </c>
      <c r="Q554" s="12">
        <v>44755.718564814815</v>
      </c>
      <c r="R554" s="13">
        <v>44762</v>
      </c>
      <c r="T554" t="s">
        <v>47</v>
      </c>
      <c r="U554" t="s">
        <v>48</v>
      </c>
      <c r="V554" t="s">
        <v>57</v>
      </c>
      <c r="Y554" t="s">
        <v>1729</v>
      </c>
      <c r="Z554">
        <v>91000</v>
      </c>
      <c r="AA554" t="s">
        <v>51</v>
      </c>
      <c r="AB554" t="s">
        <v>64</v>
      </c>
      <c r="AC554" t="s">
        <v>53</v>
      </c>
      <c r="AD554" s="14">
        <f>IF(P554&lt;=1,13,IF(P554&lt;=2,23,IF(P554&lt;=3,35,IF(P554&lt;=4,43,IF(P554&lt;=5,53,IF(P554&lt;=6,63,IF(P554&lt;=7,71,IF(P554&lt;=8,79,IF(P554&lt;=9,87,IF(P554&lt;=10,95,IF(P554&lt;=11,105,IF(P554&lt;=12,114,IF(P554&lt;=13,119,IF(P554&lt;=14,127,IF(P554&lt;=15,135,IF(P554&lt;=16,143,IF(P554&lt;=17,153,IF(P554&lt;=18,163,IF(P554&lt;=19,171,IF(P554&lt;=20,185,IF(P554&lt;=21,193,IF(P554&lt;=22,201,IF(P554&lt;=23,210,IF(P554&lt;=24,220,IF(P554&lt;=25,230,IF(P554&lt;=26,240,IF(P554&lt;=27,250,IF(P554&lt;=28,260,IF(P554&lt;=29,270,IF(P554&lt;=30,280,280))))))))))))))))))))))))))))))</f>
        <v>13</v>
      </c>
      <c r="AE554" s="15">
        <v>0</v>
      </c>
      <c r="AF554" s="15">
        <v>0</v>
      </c>
      <c r="AG554" s="15">
        <v>0</v>
      </c>
      <c r="AH554" s="15">
        <v>0</v>
      </c>
      <c r="AI554" s="15">
        <f t="shared" si="66"/>
        <v>0.78</v>
      </c>
      <c r="AJ554" s="15">
        <f t="shared" si="67"/>
        <v>13.78</v>
      </c>
      <c r="AK554" t="s">
        <v>51</v>
      </c>
    </row>
    <row r="555" spans="1:37" ht="15" customHeight="1" x14ac:dyDescent="0.35">
      <c r="A555">
        <v>690929</v>
      </c>
      <c r="B555" t="s">
        <v>37</v>
      </c>
      <c r="C555" t="s">
        <v>38</v>
      </c>
      <c r="D555" s="9" t="s">
        <v>39</v>
      </c>
      <c r="E555" s="10" t="s">
        <v>37</v>
      </c>
      <c r="F555" s="11"/>
      <c r="G555" t="s">
        <v>1730</v>
      </c>
      <c r="I555" t="s">
        <v>41</v>
      </c>
      <c r="J555" t="s">
        <v>1731</v>
      </c>
      <c r="K555" t="s">
        <v>43</v>
      </c>
      <c r="L555">
        <v>2</v>
      </c>
      <c r="M555" t="s">
        <v>44</v>
      </c>
      <c r="N555" t="s">
        <v>45</v>
      </c>
      <c r="O555" t="s">
        <v>46</v>
      </c>
      <c r="P555" s="5">
        <v>10</v>
      </c>
      <c r="Q555" s="12">
        <v>44761.480092592596</v>
      </c>
      <c r="R555" s="13">
        <v>44762</v>
      </c>
      <c r="T555" t="s">
        <v>47</v>
      </c>
      <c r="U555" t="s">
        <v>48</v>
      </c>
      <c r="V555" t="s">
        <v>76</v>
      </c>
      <c r="Y555" t="s">
        <v>1732</v>
      </c>
      <c r="Z555">
        <v>21300</v>
      </c>
      <c r="AA555" t="s">
        <v>47</v>
      </c>
      <c r="AB555" t="s">
        <v>1733</v>
      </c>
      <c r="AC555" t="s">
        <v>53</v>
      </c>
      <c r="AD555" s="16">
        <f t="shared" ref="AD555:AD562" si="71">IF(P555&lt;=1,7,7+0.8*ROUNDUP(P555-1,0))</f>
        <v>14.2</v>
      </c>
      <c r="AE555" s="15">
        <v>0</v>
      </c>
      <c r="AF555" s="15">
        <v>0</v>
      </c>
      <c r="AG555" s="15">
        <v>0</v>
      </c>
      <c r="AH555" s="15">
        <v>0</v>
      </c>
      <c r="AI555" s="15">
        <f t="shared" si="66"/>
        <v>0.85199999999999998</v>
      </c>
      <c r="AJ555" s="15">
        <f t="shared" si="67"/>
        <v>15.052</v>
      </c>
      <c r="AK555" t="s">
        <v>47</v>
      </c>
    </row>
    <row r="556" spans="1:37" ht="15" customHeight="1" x14ac:dyDescent="0.35">
      <c r="A556">
        <v>690929</v>
      </c>
      <c r="B556" t="s">
        <v>37</v>
      </c>
      <c r="C556" t="s">
        <v>38</v>
      </c>
      <c r="D556" s="9" t="s">
        <v>39</v>
      </c>
      <c r="E556" s="10" t="s">
        <v>37</v>
      </c>
      <c r="F556" s="11"/>
      <c r="G556" t="s">
        <v>1734</v>
      </c>
      <c r="I556" t="s">
        <v>41</v>
      </c>
      <c r="J556" t="s">
        <v>1735</v>
      </c>
      <c r="K556" t="s">
        <v>43</v>
      </c>
      <c r="L556">
        <v>2</v>
      </c>
      <c r="M556" t="s">
        <v>44</v>
      </c>
      <c r="N556" t="s">
        <v>45</v>
      </c>
      <c r="O556" t="s">
        <v>46</v>
      </c>
      <c r="P556" s="5">
        <v>1</v>
      </c>
      <c r="Q556" s="12">
        <v>44760.740312499998</v>
      </c>
      <c r="R556" s="13">
        <v>44762</v>
      </c>
      <c r="T556" t="s">
        <v>47</v>
      </c>
      <c r="U556" t="s">
        <v>48</v>
      </c>
      <c r="V556" t="s">
        <v>96</v>
      </c>
      <c r="Y556" t="s">
        <v>1736</v>
      </c>
      <c r="Z556">
        <v>16250</v>
      </c>
      <c r="AA556" t="s">
        <v>47</v>
      </c>
      <c r="AB556" t="s">
        <v>56</v>
      </c>
      <c r="AC556" t="s">
        <v>53</v>
      </c>
      <c r="AD556" s="16">
        <f t="shared" si="71"/>
        <v>7</v>
      </c>
      <c r="AE556" s="15">
        <v>0</v>
      </c>
      <c r="AF556" s="15">
        <v>0</v>
      </c>
      <c r="AG556" s="15">
        <v>0</v>
      </c>
      <c r="AH556" s="15">
        <v>0</v>
      </c>
      <c r="AI556" s="15">
        <f t="shared" si="66"/>
        <v>0.42</v>
      </c>
      <c r="AJ556" s="15">
        <f t="shared" si="67"/>
        <v>7.42</v>
      </c>
      <c r="AK556" t="s">
        <v>47</v>
      </c>
    </row>
    <row r="557" spans="1:37" ht="15" customHeight="1" x14ac:dyDescent="0.35">
      <c r="A557">
        <v>690929</v>
      </c>
      <c r="B557" t="s">
        <v>37</v>
      </c>
      <c r="C557" t="s">
        <v>38</v>
      </c>
      <c r="D557" s="9" t="s">
        <v>39</v>
      </c>
      <c r="E557" s="10" t="s">
        <v>37</v>
      </c>
      <c r="F557" s="11"/>
      <c r="G557" t="s">
        <v>1737</v>
      </c>
      <c r="I557" t="s">
        <v>41</v>
      </c>
      <c r="J557" t="s">
        <v>159</v>
      </c>
      <c r="K557" t="s">
        <v>43</v>
      </c>
      <c r="L557">
        <v>2</v>
      </c>
      <c r="M557" t="s">
        <v>44</v>
      </c>
      <c r="N557" t="s">
        <v>45</v>
      </c>
      <c r="O557" t="s">
        <v>46</v>
      </c>
      <c r="P557" s="5">
        <v>1</v>
      </c>
      <c r="Q557" s="12">
        <v>44760.592766203707</v>
      </c>
      <c r="R557" s="13">
        <v>44762</v>
      </c>
      <c r="T557" t="s">
        <v>47</v>
      </c>
      <c r="U557" t="s">
        <v>48</v>
      </c>
      <c r="V557" t="s">
        <v>114</v>
      </c>
      <c r="Y557" t="s">
        <v>160</v>
      </c>
      <c r="Z557">
        <v>47000</v>
      </c>
      <c r="AA557" t="s">
        <v>47</v>
      </c>
      <c r="AB557" t="s">
        <v>56</v>
      </c>
      <c r="AC557" t="s">
        <v>53</v>
      </c>
      <c r="AD557" s="16">
        <f t="shared" si="71"/>
        <v>7</v>
      </c>
      <c r="AE557" s="15">
        <v>0</v>
      </c>
      <c r="AF557" s="15">
        <v>0</v>
      </c>
      <c r="AG557" s="15">
        <v>0</v>
      </c>
      <c r="AH557" s="15">
        <v>0</v>
      </c>
      <c r="AI557" s="15">
        <f t="shared" si="66"/>
        <v>0.42</v>
      </c>
      <c r="AJ557" s="15">
        <f t="shared" si="67"/>
        <v>7.42</v>
      </c>
      <c r="AK557" t="s">
        <v>47</v>
      </c>
    </row>
    <row r="558" spans="1:37" ht="15" customHeight="1" x14ac:dyDescent="0.35">
      <c r="A558">
        <v>690929</v>
      </c>
      <c r="B558" t="s">
        <v>37</v>
      </c>
      <c r="C558" t="s">
        <v>38</v>
      </c>
      <c r="D558" s="9" t="s">
        <v>39</v>
      </c>
      <c r="E558" s="10" t="s">
        <v>37</v>
      </c>
      <c r="F558" s="11"/>
      <c r="G558" t="s">
        <v>1738</v>
      </c>
      <c r="I558" t="s">
        <v>41</v>
      </c>
      <c r="J558" t="s">
        <v>1739</v>
      </c>
      <c r="K558" t="s">
        <v>43</v>
      </c>
      <c r="L558">
        <v>2</v>
      </c>
      <c r="M558" t="s">
        <v>44</v>
      </c>
      <c r="N558" t="s">
        <v>45</v>
      </c>
      <c r="O558" t="s">
        <v>46</v>
      </c>
      <c r="P558" s="5">
        <v>1</v>
      </c>
      <c r="Q558" s="12">
        <v>44759.759432870371</v>
      </c>
      <c r="R558" s="13">
        <v>44762</v>
      </c>
      <c r="T558" t="s">
        <v>47</v>
      </c>
      <c r="U558" t="s">
        <v>48</v>
      </c>
      <c r="V558" t="s">
        <v>71</v>
      </c>
      <c r="Y558" t="s">
        <v>1740</v>
      </c>
      <c r="Z558">
        <v>6000</v>
      </c>
      <c r="AA558" t="s">
        <v>47</v>
      </c>
      <c r="AB558" t="s">
        <v>1511</v>
      </c>
      <c r="AC558" t="s">
        <v>53</v>
      </c>
      <c r="AD558" s="16">
        <f t="shared" si="71"/>
        <v>7</v>
      </c>
      <c r="AE558" s="15">
        <v>0</v>
      </c>
      <c r="AF558" s="15">
        <v>0</v>
      </c>
      <c r="AG558" s="15">
        <v>0</v>
      </c>
      <c r="AH558" s="15">
        <v>0</v>
      </c>
      <c r="AI558" s="15">
        <f t="shared" si="66"/>
        <v>0.42</v>
      </c>
      <c r="AJ558" s="15">
        <f t="shared" si="67"/>
        <v>7.42</v>
      </c>
      <c r="AK558" t="s">
        <v>47</v>
      </c>
    </row>
    <row r="559" spans="1:37" ht="15" customHeight="1" x14ac:dyDescent="0.35">
      <c r="A559">
        <v>690929</v>
      </c>
      <c r="B559" t="s">
        <v>37</v>
      </c>
      <c r="C559" t="s">
        <v>38</v>
      </c>
      <c r="D559" s="9" t="s">
        <v>39</v>
      </c>
      <c r="E559" s="10" t="s">
        <v>37</v>
      </c>
      <c r="F559" s="11"/>
      <c r="G559" t="s">
        <v>1741</v>
      </c>
      <c r="I559" t="s">
        <v>41</v>
      </c>
      <c r="J559" t="s">
        <v>1742</v>
      </c>
      <c r="K559" t="s">
        <v>43</v>
      </c>
      <c r="L559">
        <v>2</v>
      </c>
      <c r="M559" t="s">
        <v>44</v>
      </c>
      <c r="N559" t="s">
        <v>45</v>
      </c>
      <c r="O559" t="s">
        <v>46</v>
      </c>
      <c r="P559" s="5">
        <v>12</v>
      </c>
      <c r="Q559" s="12">
        <v>44761.515648148146</v>
      </c>
      <c r="R559" s="13">
        <v>44762</v>
      </c>
      <c r="T559" t="s">
        <v>47</v>
      </c>
      <c r="U559" t="s">
        <v>48</v>
      </c>
      <c r="V559" t="s">
        <v>114</v>
      </c>
      <c r="Y559" t="s">
        <v>1743</v>
      </c>
      <c r="Z559">
        <v>43100</v>
      </c>
      <c r="AA559" t="s">
        <v>47</v>
      </c>
      <c r="AB559" t="s">
        <v>1744</v>
      </c>
      <c r="AC559" t="s">
        <v>53</v>
      </c>
      <c r="AD559" s="16">
        <f t="shared" si="71"/>
        <v>15.8</v>
      </c>
      <c r="AE559" s="15">
        <v>0</v>
      </c>
      <c r="AF559" s="15">
        <v>0</v>
      </c>
      <c r="AG559" s="15">
        <v>0</v>
      </c>
      <c r="AH559" s="15">
        <v>0</v>
      </c>
      <c r="AI559" s="15">
        <f t="shared" si="66"/>
        <v>0.94799999999999995</v>
      </c>
      <c r="AJ559" s="15">
        <f t="shared" si="67"/>
        <v>16.748000000000001</v>
      </c>
      <c r="AK559" t="s">
        <v>47</v>
      </c>
    </row>
    <row r="560" spans="1:37" ht="15" customHeight="1" x14ac:dyDescent="0.35">
      <c r="A560">
        <v>690929</v>
      </c>
      <c r="B560" t="s">
        <v>37</v>
      </c>
      <c r="C560" t="s">
        <v>38</v>
      </c>
      <c r="D560" s="9" t="s">
        <v>39</v>
      </c>
      <c r="E560" s="10" t="s">
        <v>37</v>
      </c>
      <c r="F560" s="11"/>
      <c r="G560" t="s">
        <v>1745</v>
      </c>
      <c r="I560" t="s">
        <v>41</v>
      </c>
      <c r="J560" t="s">
        <v>106</v>
      </c>
      <c r="K560" t="s">
        <v>43</v>
      </c>
      <c r="L560">
        <v>2</v>
      </c>
      <c r="M560" t="s">
        <v>44</v>
      </c>
      <c r="N560" t="s">
        <v>45</v>
      </c>
      <c r="O560" t="s">
        <v>46</v>
      </c>
      <c r="P560" s="5">
        <v>1</v>
      </c>
      <c r="Q560" s="12">
        <v>44761.591863425929</v>
      </c>
      <c r="R560" s="13">
        <v>44762</v>
      </c>
      <c r="T560" t="s">
        <v>47</v>
      </c>
      <c r="U560" t="s">
        <v>48</v>
      </c>
      <c r="V560" t="s">
        <v>67</v>
      </c>
      <c r="Y560" t="s">
        <v>107</v>
      </c>
      <c r="Z560">
        <v>28000</v>
      </c>
      <c r="AA560" t="s">
        <v>47</v>
      </c>
      <c r="AB560" t="s">
        <v>48</v>
      </c>
      <c r="AC560" t="s">
        <v>53</v>
      </c>
      <c r="AD560" s="16">
        <f t="shared" si="71"/>
        <v>7</v>
      </c>
      <c r="AE560" s="15">
        <v>0</v>
      </c>
      <c r="AF560" s="15">
        <v>0</v>
      </c>
      <c r="AG560" s="15">
        <v>0</v>
      </c>
      <c r="AH560" s="15">
        <v>0</v>
      </c>
      <c r="AI560" s="15">
        <f t="shared" si="66"/>
        <v>0.42</v>
      </c>
      <c r="AJ560" s="15">
        <f t="shared" si="67"/>
        <v>7.42</v>
      </c>
      <c r="AK560" t="s">
        <v>47</v>
      </c>
    </row>
    <row r="561" spans="1:37" ht="15" customHeight="1" x14ac:dyDescent="0.35">
      <c r="A561">
        <v>690929</v>
      </c>
      <c r="B561" t="s">
        <v>37</v>
      </c>
      <c r="C561" t="s">
        <v>38</v>
      </c>
      <c r="D561" s="9" t="s">
        <v>39</v>
      </c>
      <c r="E561" s="10" t="s">
        <v>37</v>
      </c>
      <c r="F561" s="11"/>
      <c r="G561" t="s">
        <v>1746</v>
      </c>
      <c r="I561" t="s">
        <v>41</v>
      </c>
      <c r="J561" t="s">
        <v>1747</v>
      </c>
      <c r="K561" t="s">
        <v>43</v>
      </c>
      <c r="L561">
        <v>2</v>
      </c>
      <c r="M561" t="s">
        <v>44</v>
      </c>
      <c r="N561" t="s">
        <v>45</v>
      </c>
      <c r="O561" t="s">
        <v>46</v>
      </c>
      <c r="P561" s="5">
        <v>1</v>
      </c>
      <c r="Q561" s="12">
        <v>44759.761458333334</v>
      </c>
      <c r="R561" s="13">
        <v>44762</v>
      </c>
      <c r="T561" t="s">
        <v>47</v>
      </c>
      <c r="U561" t="s">
        <v>48</v>
      </c>
      <c r="V561" t="s">
        <v>62</v>
      </c>
      <c r="Y561" t="s">
        <v>1748</v>
      </c>
      <c r="Z561">
        <v>82200</v>
      </c>
      <c r="AA561" t="s">
        <v>47</v>
      </c>
      <c r="AB561" t="s">
        <v>1453</v>
      </c>
      <c r="AC561" t="s">
        <v>53</v>
      </c>
      <c r="AD561" s="16">
        <f t="shared" si="71"/>
        <v>7</v>
      </c>
      <c r="AE561" s="15">
        <v>0</v>
      </c>
      <c r="AF561" s="15">
        <v>0</v>
      </c>
      <c r="AG561" s="15">
        <v>0</v>
      </c>
      <c r="AH561" s="15">
        <v>0</v>
      </c>
      <c r="AI561" s="15">
        <f t="shared" si="66"/>
        <v>0.42</v>
      </c>
      <c r="AJ561" s="15">
        <f t="shared" si="67"/>
        <v>7.42</v>
      </c>
      <c r="AK561" t="s">
        <v>47</v>
      </c>
    </row>
    <row r="562" spans="1:37" ht="15" customHeight="1" x14ac:dyDescent="0.35">
      <c r="A562">
        <v>690929</v>
      </c>
      <c r="B562" t="s">
        <v>37</v>
      </c>
      <c r="C562" t="s">
        <v>38</v>
      </c>
      <c r="D562" s="9" t="s">
        <v>39</v>
      </c>
      <c r="E562" s="10" t="s">
        <v>37</v>
      </c>
      <c r="F562" s="11"/>
      <c r="G562" t="s">
        <v>1749</v>
      </c>
      <c r="I562" t="s">
        <v>41</v>
      </c>
      <c r="J562" t="s">
        <v>255</v>
      </c>
      <c r="K562" t="s">
        <v>43</v>
      </c>
      <c r="L562">
        <v>2</v>
      </c>
      <c r="M562" t="s">
        <v>44</v>
      </c>
      <c r="N562" t="s">
        <v>45</v>
      </c>
      <c r="O562" t="s">
        <v>46</v>
      </c>
      <c r="P562" s="5">
        <v>11</v>
      </c>
      <c r="Q562" s="12">
        <v>44761.442060185182</v>
      </c>
      <c r="R562" s="13">
        <v>44762</v>
      </c>
      <c r="T562" t="s">
        <v>47</v>
      </c>
      <c r="U562" t="s">
        <v>48</v>
      </c>
      <c r="V562" t="s">
        <v>67</v>
      </c>
      <c r="Y562" t="s">
        <v>1750</v>
      </c>
      <c r="Z562">
        <v>26600</v>
      </c>
      <c r="AA562" t="s">
        <v>47</v>
      </c>
      <c r="AB562" t="s">
        <v>257</v>
      </c>
      <c r="AC562" t="s">
        <v>53</v>
      </c>
      <c r="AD562" s="16">
        <f t="shared" si="71"/>
        <v>15</v>
      </c>
      <c r="AE562" s="15">
        <v>0</v>
      </c>
      <c r="AF562" s="15">
        <v>0</v>
      </c>
      <c r="AG562" s="15">
        <v>0</v>
      </c>
      <c r="AH562" s="15">
        <v>0</v>
      </c>
      <c r="AI562" s="15">
        <f t="shared" si="66"/>
        <v>0.89999999999999991</v>
      </c>
      <c r="AJ562" s="15">
        <f t="shared" si="67"/>
        <v>15.9</v>
      </c>
      <c r="AK562" t="s">
        <v>47</v>
      </c>
    </row>
    <row r="563" spans="1:37" ht="15" customHeight="1" x14ac:dyDescent="0.35">
      <c r="A563">
        <v>690929</v>
      </c>
      <c r="B563" t="s">
        <v>37</v>
      </c>
      <c r="C563" t="s">
        <v>38</v>
      </c>
      <c r="D563" s="9" t="s">
        <v>39</v>
      </c>
      <c r="E563" s="10" t="s">
        <v>37</v>
      </c>
      <c r="F563" s="11"/>
      <c r="G563" t="s">
        <v>1751</v>
      </c>
      <c r="I563" t="s">
        <v>41</v>
      </c>
      <c r="J563" t="s">
        <v>1752</v>
      </c>
      <c r="K563" t="s">
        <v>43</v>
      </c>
      <c r="L563">
        <v>2</v>
      </c>
      <c r="M563" t="s">
        <v>44</v>
      </c>
      <c r="N563" t="s">
        <v>45</v>
      </c>
      <c r="O563" t="s">
        <v>46</v>
      </c>
      <c r="P563" s="5">
        <v>1</v>
      </c>
      <c r="Q563" s="12">
        <v>44756.493981481479</v>
      </c>
      <c r="R563" s="13">
        <v>44762</v>
      </c>
      <c r="T563" t="s">
        <v>47</v>
      </c>
      <c r="U563" t="s">
        <v>48</v>
      </c>
      <c r="V563" t="s">
        <v>80</v>
      </c>
      <c r="Y563" t="s">
        <v>1753</v>
      </c>
      <c r="Z563">
        <v>94300</v>
      </c>
      <c r="AA563" t="s">
        <v>51</v>
      </c>
      <c r="AB563" t="s">
        <v>64</v>
      </c>
      <c r="AC563" t="s">
        <v>53</v>
      </c>
      <c r="AD563" s="14">
        <f>IF(P563&lt;=1,13,IF(P563&lt;=2,23,IF(P563&lt;=3,35,IF(P563&lt;=4,43,IF(P563&lt;=5,53,IF(P563&lt;=6,63,IF(P563&lt;=7,71,IF(P563&lt;=8,79,IF(P563&lt;=9,87,IF(P563&lt;=10,95,IF(P563&lt;=11,105,IF(P563&lt;=12,114,IF(P563&lt;=13,119,IF(P563&lt;=14,127,IF(P563&lt;=15,135,IF(P563&lt;=16,143,IF(P563&lt;=17,153,IF(P563&lt;=18,163,IF(P563&lt;=19,171,IF(P563&lt;=20,185,IF(P563&lt;=21,193,IF(P563&lt;=22,201,IF(P563&lt;=23,210,IF(P563&lt;=24,220,IF(P563&lt;=25,230,IF(P563&lt;=26,240,IF(P563&lt;=27,250,IF(P563&lt;=28,260,IF(P563&lt;=29,270,IF(P563&lt;=30,280,280))))))))))))))))))))))))))))))</f>
        <v>13</v>
      </c>
      <c r="AE563" s="15">
        <v>0</v>
      </c>
      <c r="AF563" s="15">
        <v>0</v>
      </c>
      <c r="AG563" s="15">
        <v>0</v>
      </c>
      <c r="AH563" s="15">
        <v>0</v>
      </c>
      <c r="AI563" s="15">
        <f t="shared" si="66"/>
        <v>0.78</v>
      </c>
      <c r="AJ563" s="15">
        <f t="shared" si="67"/>
        <v>13.78</v>
      </c>
      <c r="AK563" t="s">
        <v>51</v>
      </c>
    </row>
    <row r="564" spans="1:37" ht="15" customHeight="1" x14ac:dyDescent="0.35">
      <c r="A564">
        <v>690929</v>
      </c>
      <c r="B564" t="s">
        <v>37</v>
      </c>
      <c r="C564" t="s">
        <v>38</v>
      </c>
      <c r="D564" s="9" t="s">
        <v>39</v>
      </c>
      <c r="E564" s="10" t="s">
        <v>37</v>
      </c>
      <c r="F564" s="11"/>
      <c r="G564" t="s">
        <v>1754</v>
      </c>
      <c r="I564" t="s">
        <v>41</v>
      </c>
      <c r="J564" t="s">
        <v>1755</v>
      </c>
      <c r="K564" t="s">
        <v>43</v>
      </c>
      <c r="L564">
        <v>2</v>
      </c>
      <c r="M564" t="s">
        <v>44</v>
      </c>
      <c r="N564" t="s">
        <v>45</v>
      </c>
      <c r="O564" t="s">
        <v>46</v>
      </c>
      <c r="P564" s="5">
        <v>3</v>
      </c>
      <c r="Q564" s="12">
        <v>44761.431192129632</v>
      </c>
      <c r="R564" s="13">
        <v>44762</v>
      </c>
      <c r="T564" t="s">
        <v>47</v>
      </c>
      <c r="U564" t="s">
        <v>48</v>
      </c>
      <c r="V564" t="s">
        <v>67</v>
      </c>
      <c r="Y564" t="s">
        <v>1756</v>
      </c>
      <c r="Z564">
        <v>26820</v>
      </c>
      <c r="AA564" t="s">
        <v>47</v>
      </c>
      <c r="AB564" t="s">
        <v>48</v>
      </c>
      <c r="AC564" t="s">
        <v>53</v>
      </c>
      <c r="AD564" s="16">
        <f t="shared" ref="AD564:AD586" si="72">IF(P564&lt;=1,7,7+0.8*ROUNDUP(P564-1,0))</f>
        <v>8.6</v>
      </c>
      <c r="AE564" s="15">
        <v>0</v>
      </c>
      <c r="AF564" s="15">
        <v>0</v>
      </c>
      <c r="AG564" s="15">
        <v>0</v>
      </c>
      <c r="AH564" s="15">
        <v>0</v>
      </c>
      <c r="AI564" s="15">
        <f t="shared" si="66"/>
        <v>0.51600000000000001</v>
      </c>
      <c r="AJ564" s="15">
        <f t="shared" si="67"/>
        <v>9.1159999999999997</v>
      </c>
      <c r="AK564" t="s">
        <v>47</v>
      </c>
    </row>
    <row r="565" spans="1:37" ht="15" customHeight="1" x14ac:dyDescent="0.35">
      <c r="A565">
        <v>690929</v>
      </c>
      <c r="B565" t="s">
        <v>37</v>
      </c>
      <c r="C565" t="s">
        <v>38</v>
      </c>
      <c r="D565" s="9" t="s">
        <v>39</v>
      </c>
      <c r="E565" s="10" t="s">
        <v>37</v>
      </c>
      <c r="F565" s="11"/>
      <c r="G565" t="s">
        <v>1757</v>
      </c>
      <c r="I565" t="s">
        <v>41</v>
      </c>
      <c r="J565" t="s">
        <v>1758</v>
      </c>
      <c r="K565" t="s">
        <v>43</v>
      </c>
      <c r="L565">
        <v>2</v>
      </c>
      <c r="M565" t="s">
        <v>44</v>
      </c>
      <c r="N565" t="s">
        <v>45</v>
      </c>
      <c r="O565" t="s">
        <v>46</v>
      </c>
      <c r="P565" s="5">
        <v>1</v>
      </c>
      <c r="Q565" s="12">
        <v>44758.75445601852</v>
      </c>
      <c r="R565" s="13">
        <v>44762</v>
      </c>
      <c r="T565" t="s">
        <v>47</v>
      </c>
      <c r="U565" t="s">
        <v>48</v>
      </c>
      <c r="V565" t="s">
        <v>138</v>
      </c>
      <c r="Y565" t="s">
        <v>1759</v>
      </c>
      <c r="Z565">
        <v>71200</v>
      </c>
      <c r="AA565" t="s">
        <v>47</v>
      </c>
      <c r="AB565" t="s">
        <v>56</v>
      </c>
      <c r="AC565" t="s">
        <v>53</v>
      </c>
      <c r="AD565" s="16">
        <f t="shared" si="72"/>
        <v>7</v>
      </c>
      <c r="AE565" s="15">
        <v>0</v>
      </c>
      <c r="AF565" s="15">
        <v>0</v>
      </c>
      <c r="AG565" s="15">
        <v>0</v>
      </c>
      <c r="AH565" s="15">
        <v>0</v>
      </c>
      <c r="AI565" s="15">
        <f t="shared" si="66"/>
        <v>0.42</v>
      </c>
      <c r="AJ565" s="15">
        <f t="shared" si="67"/>
        <v>7.42</v>
      </c>
      <c r="AK565" t="s">
        <v>47</v>
      </c>
    </row>
    <row r="566" spans="1:37" ht="15" customHeight="1" x14ac:dyDescent="0.35">
      <c r="A566">
        <v>690929</v>
      </c>
      <c r="B566" t="s">
        <v>37</v>
      </c>
      <c r="C566" t="s">
        <v>38</v>
      </c>
      <c r="D566" s="9" t="s">
        <v>39</v>
      </c>
      <c r="E566" s="10" t="s">
        <v>37</v>
      </c>
      <c r="F566" s="11"/>
      <c r="G566" t="s">
        <v>1760</v>
      </c>
      <c r="I566" t="s">
        <v>41</v>
      </c>
      <c r="J566" t="s">
        <v>1761</v>
      </c>
      <c r="K566" t="s">
        <v>43</v>
      </c>
      <c r="L566">
        <v>2</v>
      </c>
      <c r="M566" t="s">
        <v>44</v>
      </c>
      <c r="N566" t="s">
        <v>45</v>
      </c>
      <c r="O566" t="s">
        <v>46</v>
      </c>
      <c r="P566" s="5">
        <v>9</v>
      </c>
      <c r="Q566" s="12">
        <v>44760.459062499998</v>
      </c>
      <c r="R566" s="13">
        <v>44762</v>
      </c>
      <c r="T566" t="s">
        <v>47</v>
      </c>
      <c r="U566" t="s">
        <v>48</v>
      </c>
      <c r="V566" t="s">
        <v>114</v>
      </c>
      <c r="Y566" t="s">
        <v>1762</v>
      </c>
      <c r="Z566">
        <v>48000</v>
      </c>
      <c r="AA566" t="s">
        <v>47</v>
      </c>
      <c r="AB566" t="s">
        <v>64</v>
      </c>
      <c r="AC566" t="s">
        <v>53</v>
      </c>
      <c r="AD566" s="16">
        <f t="shared" si="72"/>
        <v>13.4</v>
      </c>
      <c r="AE566" s="15">
        <v>0</v>
      </c>
      <c r="AF566" s="15">
        <v>0</v>
      </c>
      <c r="AG566" s="15">
        <v>0</v>
      </c>
      <c r="AH566" s="15">
        <v>0</v>
      </c>
      <c r="AI566" s="15">
        <f t="shared" si="66"/>
        <v>0.80399999999999994</v>
      </c>
      <c r="AJ566" s="15">
        <f t="shared" si="67"/>
        <v>14.204000000000001</v>
      </c>
      <c r="AK566" t="s">
        <v>47</v>
      </c>
    </row>
    <row r="567" spans="1:37" ht="15" customHeight="1" x14ac:dyDescent="0.35">
      <c r="A567">
        <v>690929</v>
      </c>
      <c r="B567" t="s">
        <v>37</v>
      </c>
      <c r="C567" t="s">
        <v>38</v>
      </c>
      <c r="D567" s="9" t="s">
        <v>39</v>
      </c>
      <c r="E567" s="10" t="s">
        <v>37</v>
      </c>
      <c r="F567" s="11"/>
      <c r="G567" t="s">
        <v>1763</v>
      </c>
      <c r="I567" t="s">
        <v>41</v>
      </c>
      <c r="J567" t="s">
        <v>1764</v>
      </c>
      <c r="K567" t="s">
        <v>43</v>
      </c>
      <c r="L567">
        <v>2</v>
      </c>
      <c r="M567" t="s">
        <v>44</v>
      </c>
      <c r="N567" t="s">
        <v>45</v>
      </c>
      <c r="O567" t="s">
        <v>46</v>
      </c>
      <c r="P567" s="5">
        <v>1</v>
      </c>
      <c r="Q567" s="12">
        <v>44761.514074074075</v>
      </c>
      <c r="R567" s="13">
        <v>44763</v>
      </c>
      <c r="T567" t="s">
        <v>47</v>
      </c>
      <c r="U567" t="s">
        <v>48</v>
      </c>
      <c r="V567" t="s">
        <v>114</v>
      </c>
      <c r="Y567" t="s">
        <v>1765</v>
      </c>
      <c r="Z567">
        <v>43650</v>
      </c>
      <c r="AA567" t="s">
        <v>47</v>
      </c>
      <c r="AB567" t="s">
        <v>56</v>
      </c>
      <c r="AC567" t="s">
        <v>53</v>
      </c>
      <c r="AD567" s="16">
        <f t="shared" si="72"/>
        <v>7</v>
      </c>
      <c r="AE567" s="15">
        <v>0</v>
      </c>
      <c r="AF567" s="15">
        <v>0</v>
      </c>
      <c r="AG567" s="15">
        <v>0</v>
      </c>
      <c r="AH567" s="15">
        <v>0</v>
      </c>
      <c r="AI567" s="15">
        <f t="shared" si="66"/>
        <v>0.42</v>
      </c>
      <c r="AJ567" s="15">
        <f t="shared" si="67"/>
        <v>7.42</v>
      </c>
      <c r="AK567" t="s">
        <v>47</v>
      </c>
    </row>
    <row r="568" spans="1:37" ht="15" customHeight="1" x14ac:dyDescent="0.35">
      <c r="A568">
        <v>690929</v>
      </c>
      <c r="B568" t="s">
        <v>37</v>
      </c>
      <c r="C568" t="s">
        <v>38</v>
      </c>
      <c r="D568" s="9" t="s">
        <v>39</v>
      </c>
      <c r="E568" s="10" t="s">
        <v>37</v>
      </c>
      <c r="F568" s="11"/>
      <c r="G568" t="s">
        <v>1766</v>
      </c>
      <c r="I568" t="s">
        <v>41</v>
      </c>
      <c r="J568" t="s">
        <v>1767</v>
      </c>
      <c r="K568" t="s">
        <v>43</v>
      </c>
      <c r="L568">
        <v>2</v>
      </c>
      <c r="M568" t="s">
        <v>44</v>
      </c>
      <c r="N568" t="s">
        <v>45</v>
      </c>
      <c r="O568" t="s">
        <v>46</v>
      </c>
      <c r="P568" s="5">
        <v>4</v>
      </c>
      <c r="Q568" s="12">
        <v>44761.475127314814</v>
      </c>
      <c r="R568" s="13">
        <v>44763</v>
      </c>
      <c r="T568" t="s">
        <v>47</v>
      </c>
      <c r="U568" t="s">
        <v>48</v>
      </c>
      <c r="V568" t="s">
        <v>114</v>
      </c>
      <c r="Y568" t="s">
        <v>1768</v>
      </c>
      <c r="Z568">
        <v>43200</v>
      </c>
      <c r="AA568" t="s">
        <v>47</v>
      </c>
      <c r="AB568" t="s">
        <v>1769</v>
      </c>
      <c r="AC568" t="s">
        <v>53</v>
      </c>
      <c r="AD568" s="16">
        <f t="shared" si="72"/>
        <v>9.4</v>
      </c>
      <c r="AE568" s="15">
        <v>0</v>
      </c>
      <c r="AF568" s="15">
        <v>0</v>
      </c>
      <c r="AG568" s="15">
        <v>0</v>
      </c>
      <c r="AH568" s="15">
        <v>0</v>
      </c>
      <c r="AI568" s="15">
        <f t="shared" si="66"/>
        <v>0.56399999999999995</v>
      </c>
      <c r="AJ568" s="15">
        <f t="shared" si="67"/>
        <v>9.9640000000000004</v>
      </c>
      <c r="AK568" t="s">
        <v>47</v>
      </c>
    </row>
    <row r="569" spans="1:37" ht="15" customHeight="1" x14ac:dyDescent="0.35">
      <c r="A569">
        <v>690929</v>
      </c>
      <c r="B569" t="s">
        <v>37</v>
      </c>
      <c r="C569" t="s">
        <v>38</v>
      </c>
      <c r="D569" s="9" t="s">
        <v>39</v>
      </c>
      <c r="E569" s="10" t="s">
        <v>37</v>
      </c>
      <c r="F569" s="11"/>
      <c r="G569" t="s">
        <v>1770</v>
      </c>
      <c r="I569" t="s">
        <v>41</v>
      </c>
      <c r="J569" t="s">
        <v>1771</v>
      </c>
      <c r="K569" t="s">
        <v>43</v>
      </c>
      <c r="L569">
        <v>2</v>
      </c>
      <c r="M569" t="s">
        <v>44</v>
      </c>
      <c r="N569" t="s">
        <v>45</v>
      </c>
      <c r="O569" t="s">
        <v>46</v>
      </c>
      <c r="P569" s="5">
        <v>1</v>
      </c>
      <c r="Q569" s="12">
        <v>44761.738854166666</v>
      </c>
      <c r="R569" s="13">
        <v>44763</v>
      </c>
      <c r="T569" t="s">
        <v>47</v>
      </c>
      <c r="U569" t="s">
        <v>48</v>
      </c>
      <c r="V569" t="s">
        <v>76</v>
      </c>
      <c r="Y569" t="s">
        <v>1772</v>
      </c>
      <c r="Z569">
        <v>21040</v>
      </c>
      <c r="AA569" t="s">
        <v>47</v>
      </c>
      <c r="AB569" t="s">
        <v>48</v>
      </c>
      <c r="AC569" t="s">
        <v>53</v>
      </c>
      <c r="AD569" s="16">
        <f t="shared" si="72"/>
        <v>7</v>
      </c>
      <c r="AE569" s="15">
        <v>0</v>
      </c>
      <c r="AF569" s="15">
        <v>0</v>
      </c>
      <c r="AG569" s="15">
        <v>0</v>
      </c>
      <c r="AH569" s="15">
        <v>0</v>
      </c>
      <c r="AI569" s="15">
        <f t="shared" si="66"/>
        <v>0.42</v>
      </c>
      <c r="AJ569" s="15">
        <f t="shared" si="67"/>
        <v>7.42</v>
      </c>
      <c r="AK569" t="s">
        <v>47</v>
      </c>
    </row>
    <row r="570" spans="1:37" ht="15" customHeight="1" x14ac:dyDescent="0.35">
      <c r="A570">
        <v>690929</v>
      </c>
      <c r="B570" t="s">
        <v>37</v>
      </c>
      <c r="C570" t="s">
        <v>38</v>
      </c>
      <c r="D570" s="9" t="s">
        <v>39</v>
      </c>
      <c r="E570" s="10" t="s">
        <v>37</v>
      </c>
      <c r="F570" s="11"/>
      <c r="G570" t="s">
        <v>1773</v>
      </c>
      <c r="I570" t="s">
        <v>41</v>
      </c>
      <c r="J570" t="s">
        <v>1774</v>
      </c>
      <c r="K570" t="s">
        <v>43</v>
      </c>
      <c r="L570">
        <v>2</v>
      </c>
      <c r="M570" t="s">
        <v>44</v>
      </c>
      <c r="N570" t="s">
        <v>45</v>
      </c>
      <c r="O570" t="s">
        <v>46</v>
      </c>
      <c r="P570" s="5">
        <v>1</v>
      </c>
      <c r="Q570" s="12">
        <v>44761.735451388886</v>
      </c>
      <c r="R570" s="13">
        <v>44763</v>
      </c>
      <c r="T570" t="s">
        <v>47</v>
      </c>
      <c r="U570" t="s">
        <v>48</v>
      </c>
      <c r="V570" t="s">
        <v>67</v>
      </c>
      <c r="Y570" t="s">
        <v>1775</v>
      </c>
      <c r="Z570">
        <v>28200</v>
      </c>
      <c r="AA570" t="s">
        <v>47</v>
      </c>
      <c r="AB570" t="s">
        <v>48</v>
      </c>
      <c r="AC570" t="s">
        <v>53</v>
      </c>
      <c r="AD570" s="16">
        <f t="shared" si="72"/>
        <v>7</v>
      </c>
      <c r="AE570" s="15">
        <v>0</v>
      </c>
      <c r="AF570" s="15">
        <v>0</v>
      </c>
      <c r="AG570" s="15">
        <v>0</v>
      </c>
      <c r="AH570" s="15">
        <v>0</v>
      </c>
      <c r="AI570" s="15">
        <f t="shared" si="66"/>
        <v>0.42</v>
      </c>
      <c r="AJ570" s="15">
        <f t="shared" si="67"/>
        <v>7.42</v>
      </c>
      <c r="AK570" t="s">
        <v>47</v>
      </c>
    </row>
    <row r="571" spans="1:37" ht="15" customHeight="1" x14ac:dyDescent="0.35">
      <c r="A571">
        <v>690929</v>
      </c>
      <c r="B571" t="s">
        <v>37</v>
      </c>
      <c r="C571" t="s">
        <v>38</v>
      </c>
      <c r="D571" s="9" t="s">
        <v>39</v>
      </c>
      <c r="E571" s="10" t="s">
        <v>37</v>
      </c>
      <c r="F571" s="11"/>
      <c r="G571" t="s">
        <v>1776</v>
      </c>
      <c r="I571" t="s">
        <v>41</v>
      </c>
      <c r="J571" t="s">
        <v>242</v>
      </c>
      <c r="K571" t="s">
        <v>43</v>
      </c>
      <c r="L571">
        <v>2</v>
      </c>
      <c r="M571" t="s">
        <v>44</v>
      </c>
      <c r="N571" t="s">
        <v>45</v>
      </c>
      <c r="O571" t="s">
        <v>46</v>
      </c>
      <c r="P571" s="5">
        <v>7</v>
      </c>
      <c r="Q571" s="12">
        <v>44761.422881944447</v>
      </c>
      <c r="R571" s="13">
        <v>44763</v>
      </c>
      <c r="T571" t="s">
        <v>47</v>
      </c>
      <c r="U571" t="s">
        <v>48</v>
      </c>
      <c r="V571" t="s">
        <v>114</v>
      </c>
      <c r="Y571" t="s">
        <v>243</v>
      </c>
      <c r="Z571">
        <v>45200</v>
      </c>
      <c r="AA571" t="s">
        <v>47</v>
      </c>
      <c r="AB571" t="s">
        <v>1777</v>
      </c>
      <c r="AC571" t="s">
        <v>53</v>
      </c>
      <c r="AD571" s="16">
        <f t="shared" si="72"/>
        <v>11.8</v>
      </c>
      <c r="AE571" s="15">
        <v>0</v>
      </c>
      <c r="AF571" s="15">
        <v>0</v>
      </c>
      <c r="AG571" s="15">
        <v>0</v>
      </c>
      <c r="AH571" s="15">
        <v>0</v>
      </c>
      <c r="AI571" s="15">
        <f t="shared" si="66"/>
        <v>0.70799999999999996</v>
      </c>
      <c r="AJ571" s="15">
        <f t="shared" si="67"/>
        <v>12.508000000000001</v>
      </c>
      <c r="AK571" t="s">
        <v>47</v>
      </c>
    </row>
    <row r="572" spans="1:37" ht="15" customHeight="1" x14ac:dyDescent="0.35">
      <c r="A572">
        <v>690929</v>
      </c>
      <c r="B572" t="s">
        <v>37</v>
      </c>
      <c r="C572" t="s">
        <v>38</v>
      </c>
      <c r="D572" s="9" t="s">
        <v>39</v>
      </c>
      <c r="E572" s="10" t="s">
        <v>37</v>
      </c>
      <c r="F572" s="11"/>
      <c r="G572" t="s">
        <v>1778</v>
      </c>
      <c r="I572" t="s">
        <v>41</v>
      </c>
      <c r="J572" t="s">
        <v>1779</v>
      </c>
      <c r="K572" t="s">
        <v>43</v>
      </c>
      <c r="L572">
        <v>2</v>
      </c>
      <c r="M572" t="s">
        <v>44</v>
      </c>
      <c r="N572" t="s">
        <v>45</v>
      </c>
      <c r="O572" t="s">
        <v>46</v>
      </c>
      <c r="P572" s="5">
        <v>4</v>
      </c>
      <c r="Q572" s="12">
        <v>44761.427488425928</v>
      </c>
      <c r="R572" s="13">
        <v>44763</v>
      </c>
      <c r="T572" t="s">
        <v>47</v>
      </c>
      <c r="U572" t="s">
        <v>48</v>
      </c>
      <c r="V572" t="s">
        <v>138</v>
      </c>
      <c r="Y572" t="s">
        <v>1780</v>
      </c>
      <c r="Z572">
        <v>70450</v>
      </c>
      <c r="AA572" t="s">
        <v>47</v>
      </c>
      <c r="AB572" t="s">
        <v>1781</v>
      </c>
      <c r="AC572" t="s">
        <v>53</v>
      </c>
      <c r="AD572" s="16">
        <f t="shared" si="72"/>
        <v>9.4</v>
      </c>
      <c r="AE572" s="15">
        <v>0</v>
      </c>
      <c r="AF572" s="15">
        <v>0</v>
      </c>
      <c r="AG572" s="15">
        <v>0</v>
      </c>
      <c r="AH572" s="15">
        <v>0</v>
      </c>
      <c r="AI572" s="15">
        <f t="shared" si="66"/>
        <v>0.56399999999999995</v>
      </c>
      <c r="AJ572" s="15">
        <f t="shared" si="67"/>
        <v>9.9640000000000004</v>
      </c>
      <c r="AK572" t="s">
        <v>47</v>
      </c>
    </row>
    <row r="573" spans="1:37" ht="15" customHeight="1" x14ac:dyDescent="0.35">
      <c r="A573">
        <v>690929</v>
      </c>
      <c r="B573" t="s">
        <v>37</v>
      </c>
      <c r="C573" t="s">
        <v>38</v>
      </c>
      <c r="D573" s="9" t="s">
        <v>39</v>
      </c>
      <c r="E573" s="10" t="s">
        <v>37</v>
      </c>
      <c r="F573" s="11"/>
      <c r="G573" t="s">
        <v>1782</v>
      </c>
      <c r="I573" t="s">
        <v>41</v>
      </c>
      <c r="J573" t="s">
        <v>1783</v>
      </c>
      <c r="K573" t="s">
        <v>43</v>
      </c>
      <c r="L573">
        <v>2</v>
      </c>
      <c r="M573" t="s">
        <v>44</v>
      </c>
      <c r="N573" t="s">
        <v>45</v>
      </c>
      <c r="O573" t="s">
        <v>46</v>
      </c>
      <c r="P573" s="5">
        <v>6</v>
      </c>
      <c r="Q573" s="12">
        <v>44761.472233796296</v>
      </c>
      <c r="R573" s="13">
        <v>44763</v>
      </c>
      <c r="T573" t="s">
        <v>47</v>
      </c>
      <c r="U573" t="s">
        <v>48</v>
      </c>
      <c r="V573" t="s">
        <v>128</v>
      </c>
      <c r="Y573" t="s">
        <v>1784</v>
      </c>
      <c r="Z573">
        <v>50480</v>
      </c>
      <c r="AA573" t="s">
        <v>47</v>
      </c>
      <c r="AB573" t="s">
        <v>1785</v>
      </c>
      <c r="AC573" t="s">
        <v>53</v>
      </c>
      <c r="AD573" s="16">
        <f t="shared" si="72"/>
        <v>11</v>
      </c>
      <c r="AE573" s="15">
        <v>0</v>
      </c>
      <c r="AF573" s="15">
        <v>0</v>
      </c>
      <c r="AG573" s="15">
        <v>0</v>
      </c>
      <c r="AH573" s="15">
        <v>0</v>
      </c>
      <c r="AI573" s="15">
        <f t="shared" si="66"/>
        <v>0.65999999999999992</v>
      </c>
      <c r="AJ573" s="15">
        <f t="shared" si="67"/>
        <v>11.66</v>
      </c>
      <c r="AK573" t="s">
        <v>47</v>
      </c>
    </row>
    <row r="574" spans="1:37" ht="15" customHeight="1" x14ac:dyDescent="0.35">
      <c r="A574">
        <v>690929</v>
      </c>
      <c r="B574" t="s">
        <v>37</v>
      </c>
      <c r="C574" t="s">
        <v>38</v>
      </c>
      <c r="D574" s="9" t="s">
        <v>39</v>
      </c>
      <c r="E574" s="10" t="s">
        <v>37</v>
      </c>
      <c r="F574" s="11"/>
      <c r="G574" t="s">
        <v>1786</v>
      </c>
      <c r="I574" t="s">
        <v>41</v>
      </c>
      <c r="J574" t="s">
        <v>1787</v>
      </c>
      <c r="K574" t="s">
        <v>43</v>
      </c>
      <c r="L574">
        <v>2</v>
      </c>
      <c r="M574" t="s">
        <v>44</v>
      </c>
      <c r="N574" t="s">
        <v>45</v>
      </c>
      <c r="O574" t="s">
        <v>46</v>
      </c>
      <c r="P574" s="5">
        <v>1</v>
      </c>
      <c r="Q574" s="12">
        <v>44762.65520833333</v>
      </c>
      <c r="R574" s="13">
        <v>44763</v>
      </c>
      <c r="T574" t="s">
        <v>47</v>
      </c>
      <c r="U574" t="s">
        <v>48</v>
      </c>
      <c r="V574" t="s">
        <v>96</v>
      </c>
      <c r="Y574" t="s">
        <v>1788</v>
      </c>
      <c r="Z574">
        <v>16090</v>
      </c>
      <c r="AA574" t="s">
        <v>47</v>
      </c>
      <c r="AB574" t="s">
        <v>56</v>
      </c>
      <c r="AC574" t="s">
        <v>53</v>
      </c>
      <c r="AD574" s="16">
        <f t="shared" si="72"/>
        <v>7</v>
      </c>
      <c r="AE574" s="15">
        <v>0</v>
      </c>
      <c r="AF574" s="15">
        <v>0</v>
      </c>
      <c r="AG574" s="15">
        <v>0</v>
      </c>
      <c r="AH574" s="15">
        <v>0</v>
      </c>
      <c r="AI574" s="15">
        <f t="shared" si="66"/>
        <v>0.42</v>
      </c>
      <c r="AJ574" s="15">
        <f t="shared" si="67"/>
        <v>7.42</v>
      </c>
      <c r="AK574" t="s">
        <v>47</v>
      </c>
    </row>
    <row r="575" spans="1:37" ht="15" customHeight="1" x14ac:dyDescent="0.35">
      <c r="A575">
        <v>690929</v>
      </c>
      <c r="B575" t="s">
        <v>37</v>
      </c>
      <c r="C575" t="s">
        <v>38</v>
      </c>
      <c r="D575" s="9" t="s">
        <v>39</v>
      </c>
      <c r="E575" s="10" t="s">
        <v>37</v>
      </c>
      <c r="F575" s="11"/>
      <c r="G575" t="s">
        <v>1789</v>
      </c>
      <c r="I575" t="s">
        <v>41</v>
      </c>
      <c r="J575" t="s">
        <v>1790</v>
      </c>
      <c r="K575" t="s">
        <v>43</v>
      </c>
      <c r="L575">
        <v>2</v>
      </c>
      <c r="M575" t="s">
        <v>44</v>
      </c>
      <c r="N575" t="s">
        <v>45</v>
      </c>
      <c r="O575" t="s">
        <v>46</v>
      </c>
      <c r="P575" s="5">
        <v>1</v>
      </c>
      <c r="Q575" s="12">
        <v>44760.742372685185</v>
      </c>
      <c r="R575" s="13">
        <v>44763</v>
      </c>
      <c r="T575" t="s">
        <v>47</v>
      </c>
      <c r="U575" t="s">
        <v>48</v>
      </c>
      <c r="V575" t="s">
        <v>128</v>
      </c>
      <c r="Y575" t="s">
        <v>1791</v>
      </c>
      <c r="Z575">
        <v>46050</v>
      </c>
      <c r="AA575" t="s">
        <v>47</v>
      </c>
      <c r="AB575" t="s">
        <v>56</v>
      </c>
      <c r="AC575" t="s">
        <v>53</v>
      </c>
      <c r="AD575" s="16">
        <f t="shared" si="72"/>
        <v>7</v>
      </c>
      <c r="AE575" s="15">
        <v>0</v>
      </c>
      <c r="AF575" s="15">
        <v>0</v>
      </c>
      <c r="AG575" s="15">
        <v>0</v>
      </c>
      <c r="AH575" s="15">
        <v>0</v>
      </c>
      <c r="AI575" s="15">
        <f t="shared" si="66"/>
        <v>0.42</v>
      </c>
      <c r="AJ575" s="15">
        <f t="shared" si="67"/>
        <v>7.42</v>
      </c>
      <c r="AK575" t="s">
        <v>47</v>
      </c>
    </row>
    <row r="576" spans="1:37" ht="15" customHeight="1" x14ac:dyDescent="0.35">
      <c r="A576">
        <v>690929</v>
      </c>
      <c r="B576" t="s">
        <v>37</v>
      </c>
      <c r="C576" t="s">
        <v>38</v>
      </c>
      <c r="D576" s="9" t="s">
        <v>39</v>
      </c>
      <c r="E576" s="10" t="s">
        <v>37</v>
      </c>
      <c r="F576" s="11"/>
      <c r="G576" t="s">
        <v>1792</v>
      </c>
      <c r="I576" t="s">
        <v>41</v>
      </c>
      <c r="J576" t="s">
        <v>357</v>
      </c>
      <c r="K576" t="s">
        <v>43</v>
      </c>
      <c r="L576">
        <v>2</v>
      </c>
      <c r="M576" t="s">
        <v>44</v>
      </c>
      <c r="N576" t="s">
        <v>45</v>
      </c>
      <c r="O576" t="s">
        <v>46</v>
      </c>
      <c r="P576" s="5">
        <v>3</v>
      </c>
      <c r="Q576" s="12">
        <v>44761.468611111108</v>
      </c>
      <c r="R576" s="13">
        <v>44763</v>
      </c>
      <c r="T576" t="s">
        <v>47</v>
      </c>
      <c r="U576" t="s">
        <v>48</v>
      </c>
      <c r="V576" t="s">
        <v>114</v>
      </c>
      <c r="Y576" t="s">
        <v>1793</v>
      </c>
      <c r="Z576">
        <v>40100</v>
      </c>
      <c r="AA576" t="s">
        <v>47</v>
      </c>
      <c r="AB576" t="s">
        <v>56</v>
      </c>
      <c r="AC576" t="s">
        <v>53</v>
      </c>
      <c r="AD576" s="16">
        <f t="shared" si="72"/>
        <v>8.6</v>
      </c>
      <c r="AE576" s="15">
        <v>0</v>
      </c>
      <c r="AF576" s="15">
        <v>0</v>
      </c>
      <c r="AG576" s="15">
        <v>0</v>
      </c>
      <c r="AH576" s="15">
        <v>0</v>
      </c>
      <c r="AI576" s="15">
        <f t="shared" si="66"/>
        <v>0.51600000000000001</v>
      </c>
      <c r="AJ576" s="15">
        <f t="shared" si="67"/>
        <v>9.1159999999999997</v>
      </c>
      <c r="AK576" t="s">
        <v>47</v>
      </c>
    </row>
    <row r="577" spans="1:37" ht="15" customHeight="1" x14ac:dyDescent="0.35">
      <c r="A577">
        <v>690929</v>
      </c>
      <c r="B577" t="s">
        <v>37</v>
      </c>
      <c r="C577" t="s">
        <v>38</v>
      </c>
      <c r="D577" s="9" t="s">
        <v>39</v>
      </c>
      <c r="E577" s="10" t="s">
        <v>37</v>
      </c>
      <c r="F577" s="11"/>
      <c r="G577" t="s">
        <v>1794</v>
      </c>
      <c r="I577" t="s">
        <v>41</v>
      </c>
      <c r="J577" t="s">
        <v>699</v>
      </c>
      <c r="K577" t="s">
        <v>43</v>
      </c>
      <c r="L577">
        <v>2</v>
      </c>
      <c r="M577" t="s">
        <v>44</v>
      </c>
      <c r="N577" t="s">
        <v>45</v>
      </c>
      <c r="O577" t="s">
        <v>46</v>
      </c>
      <c r="P577" s="5">
        <v>4</v>
      </c>
      <c r="Q577" s="12">
        <v>44761.477662037039</v>
      </c>
      <c r="R577" s="13">
        <v>44763</v>
      </c>
      <c r="T577" t="s">
        <v>47</v>
      </c>
      <c r="U577" t="s">
        <v>48</v>
      </c>
      <c r="V577" t="s">
        <v>62</v>
      </c>
      <c r="Y577" t="s">
        <v>700</v>
      </c>
      <c r="Z577">
        <v>85000</v>
      </c>
      <c r="AA577" t="s">
        <v>47</v>
      </c>
      <c r="AB577" t="s">
        <v>64</v>
      </c>
      <c r="AC577" t="s">
        <v>53</v>
      </c>
      <c r="AD577" s="16">
        <f t="shared" si="72"/>
        <v>9.4</v>
      </c>
      <c r="AE577" s="15">
        <v>0</v>
      </c>
      <c r="AF577" s="15">
        <v>0</v>
      </c>
      <c r="AG577" s="15">
        <v>0</v>
      </c>
      <c r="AH577" s="15">
        <v>0</v>
      </c>
      <c r="AI577" s="15">
        <f t="shared" si="66"/>
        <v>0.56399999999999995</v>
      </c>
      <c r="AJ577" s="15">
        <f t="shared" si="67"/>
        <v>9.9640000000000004</v>
      </c>
      <c r="AK577" t="s">
        <v>47</v>
      </c>
    </row>
    <row r="578" spans="1:37" ht="15" customHeight="1" x14ac:dyDescent="0.35">
      <c r="A578">
        <v>690929</v>
      </c>
      <c r="B578" t="s">
        <v>37</v>
      </c>
      <c r="C578" t="s">
        <v>38</v>
      </c>
      <c r="D578" s="9" t="s">
        <v>39</v>
      </c>
      <c r="E578" s="10" t="s">
        <v>37</v>
      </c>
      <c r="F578" s="11"/>
      <c r="G578" t="s">
        <v>1795</v>
      </c>
      <c r="I578" t="s">
        <v>41</v>
      </c>
      <c r="J578" t="s">
        <v>1796</v>
      </c>
      <c r="K578" t="s">
        <v>43</v>
      </c>
      <c r="L578">
        <v>2</v>
      </c>
      <c r="M578" t="s">
        <v>44</v>
      </c>
      <c r="N578" t="s">
        <v>45</v>
      </c>
      <c r="O578" t="s">
        <v>46</v>
      </c>
      <c r="P578" s="5">
        <v>1</v>
      </c>
      <c r="Q578" s="12">
        <v>44762.625694444447</v>
      </c>
      <c r="R578" s="13">
        <v>44763</v>
      </c>
      <c r="T578" t="s">
        <v>47</v>
      </c>
      <c r="U578" t="s">
        <v>48</v>
      </c>
      <c r="V578" t="s">
        <v>76</v>
      </c>
      <c r="Y578" t="s">
        <v>1797</v>
      </c>
      <c r="Z578">
        <v>21300</v>
      </c>
      <c r="AA578" t="s">
        <v>47</v>
      </c>
      <c r="AB578" t="s">
        <v>48</v>
      </c>
      <c r="AC578" t="s">
        <v>53</v>
      </c>
      <c r="AD578" s="16">
        <f t="shared" si="72"/>
        <v>7</v>
      </c>
      <c r="AE578" s="15">
        <v>0</v>
      </c>
      <c r="AF578" s="15">
        <v>0</v>
      </c>
      <c r="AG578" s="15">
        <v>0</v>
      </c>
      <c r="AH578" s="15">
        <v>0</v>
      </c>
      <c r="AI578" s="15">
        <f t="shared" ref="AI578:AI641" si="73">(AD578+AF578+AH578)*6%</f>
        <v>0.42</v>
      </c>
      <c r="AJ578" s="15">
        <f t="shared" ref="AJ578:AJ641" si="74">AD578+AF578+AH578+AI578</f>
        <v>7.42</v>
      </c>
      <c r="AK578" t="s">
        <v>47</v>
      </c>
    </row>
    <row r="579" spans="1:37" ht="15" customHeight="1" x14ac:dyDescent="0.35">
      <c r="A579">
        <v>690929</v>
      </c>
      <c r="B579" t="s">
        <v>37</v>
      </c>
      <c r="C579" t="s">
        <v>38</v>
      </c>
      <c r="D579" s="9" t="s">
        <v>39</v>
      </c>
      <c r="E579" s="10" t="s">
        <v>37</v>
      </c>
      <c r="F579" s="11"/>
      <c r="G579" t="s">
        <v>1798</v>
      </c>
      <c r="I579" t="s">
        <v>41</v>
      </c>
      <c r="J579" t="s">
        <v>1799</v>
      </c>
      <c r="K579" t="s">
        <v>43</v>
      </c>
      <c r="L579">
        <v>2</v>
      </c>
      <c r="M579" t="s">
        <v>44</v>
      </c>
      <c r="N579" t="s">
        <v>45</v>
      </c>
      <c r="O579" t="s">
        <v>46</v>
      </c>
      <c r="P579" s="5">
        <v>1</v>
      </c>
      <c r="Q579" s="12">
        <v>44761.439872685187</v>
      </c>
      <c r="R579" s="13">
        <v>44763</v>
      </c>
      <c r="T579" t="s">
        <v>47</v>
      </c>
      <c r="U579" t="s">
        <v>48</v>
      </c>
      <c r="V579" t="s">
        <v>138</v>
      </c>
      <c r="Y579" t="s">
        <v>1800</v>
      </c>
      <c r="Z579">
        <v>72000</v>
      </c>
      <c r="AA579" t="s">
        <v>47</v>
      </c>
      <c r="AB579" t="s">
        <v>56</v>
      </c>
      <c r="AC579" t="s">
        <v>53</v>
      </c>
      <c r="AD579" s="16">
        <f t="shared" si="72"/>
        <v>7</v>
      </c>
      <c r="AE579" s="15">
        <v>0</v>
      </c>
      <c r="AF579" s="15">
        <v>0</v>
      </c>
      <c r="AG579" s="15">
        <v>0</v>
      </c>
      <c r="AH579" s="15">
        <v>0</v>
      </c>
      <c r="AI579" s="15">
        <f t="shared" si="73"/>
        <v>0.42</v>
      </c>
      <c r="AJ579" s="15">
        <f t="shared" si="74"/>
        <v>7.42</v>
      </c>
      <c r="AK579" t="s">
        <v>47</v>
      </c>
    </row>
    <row r="580" spans="1:37" ht="15" customHeight="1" x14ac:dyDescent="0.35">
      <c r="A580">
        <v>690929</v>
      </c>
      <c r="B580" t="s">
        <v>37</v>
      </c>
      <c r="C580" t="s">
        <v>38</v>
      </c>
      <c r="D580" s="9" t="s">
        <v>39</v>
      </c>
      <c r="E580" s="10" t="s">
        <v>37</v>
      </c>
      <c r="F580" s="11"/>
      <c r="G580" t="s">
        <v>1801</v>
      </c>
      <c r="I580" t="s">
        <v>41</v>
      </c>
      <c r="J580" t="s">
        <v>1802</v>
      </c>
      <c r="K580" t="s">
        <v>43</v>
      </c>
      <c r="L580">
        <v>2</v>
      </c>
      <c r="M580" t="s">
        <v>44</v>
      </c>
      <c r="N580" t="s">
        <v>45</v>
      </c>
      <c r="O580" t="s">
        <v>46</v>
      </c>
      <c r="P580" s="5">
        <v>1</v>
      </c>
      <c r="Q580" s="12">
        <v>44760.752696759257</v>
      </c>
      <c r="R580" s="13">
        <v>44763</v>
      </c>
      <c r="T580" t="s">
        <v>47</v>
      </c>
      <c r="U580" t="s">
        <v>48</v>
      </c>
      <c r="V580" t="s">
        <v>176</v>
      </c>
      <c r="Y580" t="s">
        <v>1803</v>
      </c>
      <c r="Z580">
        <v>77300</v>
      </c>
      <c r="AA580" t="s">
        <v>47</v>
      </c>
      <c r="AB580" t="s">
        <v>1726</v>
      </c>
      <c r="AC580" t="s">
        <v>53</v>
      </c>
      <c r="AD580" s="16">
        <f t="shared" si="72"/>
        <v>7</v>
      </c>
      <c r="AE580" s="15">
        <v>0</v>
      </c>
      <c r="AF580" s="15">
        <v>0</v>
      </c>
      <c r="AG580" s="15">
        <v>0</v>
      </c>
      <c r="AH580" s="15">
        <v>0</v>
      </c>
      <c r="AI580" s="15">
        <f t="shared" si="73"/>
        <v>0.42</v>
      </c>
      <c r="AJ580" s="15">
        <f t="shared" si="74"/>
        <v>7.42</v>
      </c>
      <c r="AK580" t="s">
        <v>47</v>
      </c>
    </row>
    <row r="581" spans="1:37" ht="15" customHeight="1" x14ac:dyDescent="0.35">
      <c r="A581">
        <v>690929</v>
      </c>
      <c r="B581" t="s">
        <v>37</v>
      </c>
      <c r="C581" t="s">
        <v>38</v>
      </c>
      <c r="D581" s="9" t="s">
        <v>39</v>
      </c>
      <c r="E581" s="10" t="s">
        <v>37</v>
      </c>
      <c r="F581" s="11"/>
      <c r="G581" t="s">
        <v>1804</v>
      </c>
      <c r="I581" t="s">
        <v>41</v>
      </c>
      <c r="J581" t="s">
        <v>1805</v>
      </c>
      <c r="K581" t="s">
        <v>43</v>
      </c>
      <c r="L581">
        <v>2</v>
      </c>
      <c r="M581" t="s">
        <v>44</v>
      </c>
      <c r="N581" t="s">
        <v>45</v>
      </c>
      <c r="O581" t="s">
        <v>46</v>
      </c>
      <c r="P581" s="5">
        <v>13</v>
      </c>
      <c r="Q581" s="12">
        <v>44761.455740740741</v>
      </c>
      <c r="R581" s="13">
        <v>44763</v>
      </c>
      <c r="T581" t="s">
        <v>47</v>
      </c>
      <c r="U581" t="s">
        <v>48</v>
      </c>
      <c r="V581" t="s">
        <v>100</v>
      </c>
      <c r="Y581" t="s">
        <v>1806</v>
      </c>
      <c r="Z581">
        <v>36000</v>
      </c>
      <c r="AA581" t="s">
        <v>47</v>
      </c>
      <c r="AB581" t="s">
        <v>1807</v>
      </c>
      <c r="AC581" t="s">
        <v>53</v>
      </c>
      <c r="AD581" s="16">
        <f t="shared" si="72"/>
        <v>16.600000000000001</v>
      </c>
      <c r="AE581" s="15">
        <v>0</v>
      </c>
      <c r="AF581" s="15">
        <v>0</v>
      </c>
      <c r="AG581" s="15">
        <v>0</v>
      </c>
      <c r="AH581" s="15">
        <v>0</v>
      </c>
      <c r="AI581" s="15">
        <f t="shared" si="73"/>
        <v>0.996</v>
      </c>
      <c r="AJ581" s="15">
        <f t="shared" si="74"/>
        <v>17.596</v>
      </c>
      <c r="AK581" t="s">
        <v>47</v>
      </c>
    </row>
    <row r="582" spans="1:37" ht="15" customHeight="1" x14ac:dyDescent="0.35">
      <c r="A582">
        <v>690929</v>
      </c>
      <c r="B582" t="s">
        <v>37</v>
      </c>
      <c r="C582" t="s">
        <v>38</v>
      </c>
      <c r="D582" s="9" t="s">
        <v>39</v>
      </c>
      <c r="E582" s="10" t="s">
        <v>37</v>
      </c>
      <c r="F582" s="11"/>
      <c r="G582" t="s">
        <v>1808</v>
      </c>
      <c r="I582" t="s">
        <v>41</v>
      </c>
      <c r="J582" t="s">
        <v>262</v>
      </c>
      <c r="K582" t="s">
        <v>43</v>
      </c>
      <c r="L582">
        <v>2</v>
      </c>
      <c r="M582" t="s">
        <v>44</v>
      </c>
      <c r="N582" t="s">
        <v>45</v>
      </c>
      <c r="O582" t="s">
        <v>46</v>
      </c>
      <c r="P582" s="5">
        <v>3</v>
      </c>
      <c r="Q582" s="12">
        <v>44761.436400462961</v>
      </c>
      <c r="R582" s="13">
        <v>44763</v>
      </c>
      <c r="T582" t="s">
        <v>47</v>
      </c>
      <c r="U582" t="s">
        <v>48</v>
      </c>
      <c r="V582" t="s">
        <v>62</v>
      </c>
      <c r="Y582" t="s">
        <v>263</v>
      </c>
      <c r="Z582">
        <v>84200</v>
      </c>
      <c r="AA582" t="s">
        <v>47</v>
      </c>
      <c r="AB582" t="s">
        <v>64</v>
      </c>
      <c r="AC582" t="s">
        <v>53</v>
      </c>
      <c r="AD582" s="16">
        <f t="shared" si="72"/>
        <v>8.6</v>
      </c>
      <c r="AE582" s="15">
        <v>0</v>
      </c>
      <c r="AF582" s="15">
        <v>0</v>
      </c>
      <c r="AG582" s="15">
        <v>0</v>
      </c>
      <c r="AH582" s="15">
        <v>0</v>
      </c>
      <c r="AI582" s="15">
        <f t="shared" si="73"/>
        <v>0.51600000000000001</v>
      </c>
      <c r="AJ582" s="15">
        <f t="shared" si="74"/>
        <v>9.1159999999999997</v>
      </c>
      <c r="AK582" t="s">
        <v>47</v>
      </c>
    </row>
    <row r="583" spans="1:37" ht="15" customHeight="1" x14ac:dyDescent="0.35">
      <c r="A583">
        <v>690929</v>
      </c>
      <c r="B583" t="s">
        <v>37</v>
      </c>
      <c r="C583" t="s">
        <v>38</v>
      </c>
      <c r="D583" s="9" t="s">
        <v>39</v>
      </c>
      <c r="E583" s="10" t="s">
        <v>37</v>
      </c>
      <c r="F583" s="11"/>
      <c r="G583" t="s">
        <v>1809</v>
      </c>
      <c r="I583" t="s">
        <v>41</v>
      </c>
      <c r="J583" t="s">
        <v>1810</v>
      </c>
      <c r="K583" t="s">
        <v>43</v>
      </c>
      <c r="L583">
        <v>2</v>
      </c>
      <c r="M583" t="s">
        <v>44</v>
      </c>
      <c r="N583" t="s">
        <v>45</v>
      </c>
      <c r="O583" t="s">
        <v>46</v>
      </c>
      <c r="P583" s="5">
        <v>1</v>
      </c>
      <c r="Q583" s="12">
        <v>44762.653912037036</v>
      </c>
      <c r="R583" s="13">
        <v>44763</v>
      </c>
      <c r="T583" t="s">
        <v>47</v>
      </c>
      <c r="U583" t="s">
        <v>48</v>
      </c>
      <c r="V583" t="s">
        <v>67</v>
      </c>
      <c r="Y583" t="s">
        <v>1811</v>
      </c>
      <c r="Z583">
        <v>25250</v>
      </c>
      <c r="AA583" t="s">
        <v>47</v>
      </c>
      <c r="AB583" t="s">
        <v>48</v>
      </c>
      <c r="AC583" t="s">
        <v>53</v>
      </c>
      <c r="AD583" s="16">
        <f t="shared" si="72"/>
        <v>7</v>
      </c>
      <c r="AE583" s="15">
        <v>0</v>
      </c>
      <c r="AF583" s="15">
        <v>0</v>
      </c>
      <c r="AG583" s="15">
        <v>0</v>
      </c>
      <c r="AH583" s="15">
        <v>0</v>
      </c>
      <c r="AI583" s="15">
        <f t="shared" si="73"/>
        <v>0.42</v>
      </c>
      <c r="AJ583" s="15">
        <f t="shared" si="74"/>
        <v>7.42</v>
      </c>
      <c r="AK583" t="s">
        <v>47</v>
      </c>
    </row>
    <row r="584" spans="1:37" ht="15" customHeight="1" x14ac:dyDescent="0.35">
      <c r="A584">
        <v>690929</v>
      </c>
      <c r="B584" t="s">
        <v>37</v>
      </c>
      <c r="C584" t="s">
        <v>38</v>
      </c>
      <c r="D584" s="9" t="s">
        <v>39</v>
      </c>
      <c r="E584" s="10" t="s">
        <v>37</v>
      </c>
      <c r="F584" s="11"/>
      <c r="G584" t="s">
        <v>1812</v>
      </c>
      <c r="I584" t="s">
        <v>41</v>
      </c>
      <c r="J584" t="s">
        <v>1813</v>
      </c>
      <c r="K584" t="s">
        <v>43</v>
      </c>
      <c r="L584">
        <v>2</v>
      </c>
      <c r="M584" t="s">
        <v>44</v>
      </c>
      <c r="N584" t="s">
        <v>45</v>
      </c>
      <c r="O584" t="s">
        <v>46</v>
      </c>
      <c r="P584" s="5">
        <v>1</v>
      </c>
      <c r="Q584" s="12">
        <v>44761.622870370367</v>
      </c>
      <c r="R584" s="13">
        <v>44763</v>
      </c>
      <c r="T584" t="s">
        <v>47</v>
      </c>
      <c r="U584" t="s">
        <v>48</v>
      </c>
      <c r="V584" t="s">
        <v>62</v>
      </c>
      <c r="Y584" t="s">
        <v>1814</v>
      </c>
      <c r="Z584">
        <v>83100</v>
      </c>
      <c r="AA584" t="s">
        <v>47</v>
      </c>
      <c r="AB584" t="s">
        <v>64</v>
      </c>
      <c r="AC584" t="s">
        <v>53</v>
      </c>
      <c r="AD584" s="16">
        <f t="shared" si="72"/>
        <v>7</v>
      </c>
      <c r="AE584" s="15">
        <v>0</v>
      </c>
      <c r="AF584" s="15">
        <v>0</v>
      </c>
      <c r="AG584" s="15">
        <v>0</v>
      </c>
      <c r="AH584" s="15">
        <v>0</v>
      </c>
      <c r="AI584" s="15">
        <f t="shared" si="73"/>
        <v>0.42</v>
      </c>
      <c r="AJ584" s="15">
        <f t="shared" si="74"/>
        <v>7.42</v>
      </c>
      <c r="AK584" t="s">
        <v>47</v>
      </c>
    </row>
    <row r="585" spans="1:37" ht="15" customHeight="1" x14ac:dyDescent="0.35">
      <c r="A585">
        <v>690929</v>
      </c>
      <c r="B585" t="s">
        <v>37</v>
      </c>
      <c r="C585" t="s">
        <v>38</v>
      </c>
      <c r="D585" s="9" t="s">
        <v>39</v>
      </c>
      <c r="E585" s="10" t="s">
        <v>37</v>
      </c>
      <c r="F585" s="11"/>
      <c r="G585" t="s">
        <v>1815</v>
      </c>
      <c r="I585" t="s">
        <v>41</v>
      </c>
      <c r="J585" t="s">
        <v>619</v>
      </c>
      <c r="K585" t="s">
        <v>43</v>
      </c>
      <c r="L585">
        <v>2</v>
      </c>
      <c r="M585" t="s">
        <v>44</v>
      </c>
      <c r="N585" t="s">
        <v>45</v>
      </c>
      <c r="O585" t="s">
        <v>46</v>
      </c>
      <c r="P585" s="5">
        <v>5</v>
      </c>
      <c r="Q585" s="12">
        <v>44761.464074074072</v>
      </c>
      <c r="R585" s="13">
        <v>44763</v>
      </c>
      <c r="T585" t="s">
        <v>47</v>
      </c>
      <c r="U585" t="s">
        <v>48</v>
      </c>
      <c r="V585" t="s">
        <v>114</v>
      </c>
      <c r="Y585" t="s">
        <v>1816</v>
      </c>
      <c r="Z585">
        <v>42300</v>
      </c>
      <c r="AA585" t="s">
        <v>47</v>
      </c>
      <c r="AB585" t="s">
        <v>1817</v>
      </c>
      <c r="AC585" t="s">
        <v>53</v>
      </c>
      <c r="AD585" s="16">
        <f t="shared" si="72"/>
        <v>10.199999999999999</v>
      </c>
      <c r="AE585" s="15">
        <v>0</v>
      </c>
      <c r="AF585" s="15">
        <v>0</v>
      </c>
      <c r="AG585" s="15">
        <v>0</v>
      </c>
      <c r="AH585" s="15">
        <v>0</v>
      </c>
      <c r="AI585" s="15">
        <f t="shared" si="73"/>
        <v>0.61199999999999999</v>
      </c>
      <c r="AJ585" s="15">
        <f t="shared" si="74"/>
        <v>10.811999999999999</v>
      </c>
      <c r="AK585" t="s">
        <v>47</v>
      </c>
    </row>
    <row r="586" spans="1:37" ht="15" customHeight="1" x14ac:dyDescent="0.35">
      <c r="A586">
        <v>690929</v>
      </c>
      <c r="B586" t="s">
        <v>37</v>
      </c>
      <c r="C586" t="s">
        <v>38</v>
      </c>
      <c r="D586" s="9" t="s">
        <v>39</v>
      </c>
      <c r="E586" s="10" t="s">
        <v>37</v>
      </c>
      <c r="F586" s="11"/>
      <c r="G586" t="s">
        <v>1818</v>
      </c>
      <c r="I586" t="s">
        <v>41</v>
      </c>
      <c r="J586" t="s">
        <v>1819</v>
      </c>
      <c r="K586" t="s">
        <v>43</v>
      </c>
      <c r="L586">
        <v>2</v>
      </c>
      <c r="M586" t="s">
        <v>44</v>
      </c>
      <c r="N586" t="s">
        <v>45</v>
      </c>
      <c r="O586" t="s">
        <v>46</v>
      </c>
      <c r="P586" s="5">
        <v>1</v>
      </c>
      <c r="Q586" s="12">
        <v>44762.627129629633</v>
      </c>
      <c r="R586" s="13">
        <v>44763</v>
      </c>
      <c r="T586" t="s">
        <v>47</v>
      </c>
      <c r="U586" t="s">
        <v>48</v>
      </c>
      <c r="V586" t="s">
        <v>96</v>
      </c>
      <c r="Y586" t="s">
        <v>1820</v>
      </c>
      <c r="Z586">
        <v>17500</v>
      </c>
      <c r="AA586" t="s">
        <v>47</v>
      </c>
      <c r="AB586" t="s">
        <v>56</v>
      </c>
      <c r="AC586" t="s">
        <v>53</v>
      </c>
      <c r="AD586" s="16">
        <f t="shared" si="72"/>
        <v>7</v>
      </c>
      <c r="AE586" s="15">
        <v>0</v>
      </c>
      <c r="AF586" s="15">
        <v>0</v>
      </c>
      <c r="AG586" s="15">
        <v>0</v>
      </c>
      <c r="AH586" s="15">
        <v>0</v>
      </c>
      <c r="AI586" s="15">
        <f t="shared" si="73"/>
        <v>0.42</v>
      </c>
      <c r="AJ586" s="15">
        <f t="shared" si="74"/>
        <v>7.42</v>
      </c>
      <c r="AK586" t="s">
        <v>47</v>
      </c>
    </row>
    <row r="587" spans="1:37" ht="15" customHeight="1" x14ac:dyDescent="0.35">
      <c r="A587">
        <v>690929</v>
      </c>
      <c r="B587" t="s">
        <v>37</v>
      </c>
      <c r="C587" t="s">
        <v>38</v>
      </c>
      <c r="D587" s="9" t="s">
        <v>39</v>
      </c>
      <c r="E587" s="10" t="s">
        <v>37</v>
      </c>
      <c r="F587" s="11"/>
      <c r="G587" t="s">
        <v>1821</v>
      </c>
      <c r="I587" t="s">
        <v>41</v>
      </c>
      <c r="J587" t="s">
        <v>1822</v>
      </c>
      <c r="K587" t="s">
        <v>43</v>
      </c>
      <c r="L587">
        <v>2</v>
      </c>
      <c r="M587" t="s">
        <v>44</v>
      </c>
      <c r="N587" t="s">
        <v>45</v>
      </c>
      <c r="O587" t="s">
        <v>46</v>
      </c>
      <c r="P587" s="5">
        <v>1</v>
      </c>
      <c r="Q587" s="12">
        <v>44761.734710648147</v>
      </c>
      <c r="R587" s="13">
        <v>44763</v>
      </c>
      <c r="T587" t="s">
        <v>47</v>
      </c>
      <c r="U587" t="s">
        <v>48</v>
      </c>
      <c r="V587" t="s">
        <v>67</v>
      </c>
      <c r="Y587" t="s">
        <v>1823</v>
      </c>
      <c r="Z587">
        <v>25150</v>
      </c>
      <c r="AA587" t="s">
        <v>47</v>
      </c>
      <c r="AB587" t="s">
        <v>48</v>
      </c>
      <c r="AC587" t="s">
        <v>53</v>
      </c>
      <c r="AD587" s="16">
        <f>IF(P587&lt;=1,7,7+0.8*ROUNDUP(P587-1,0))</f>
        <v>7</v>
      </c>
      <c r="AE587" s="15">
        <v>0</v>
      </c>
      <c r="AF587" s="15">
        <v>0</v>
      </c>
      <c r="AG587" s="15">
        <v>0</v>
      </c>
      <c r="AH587" s="15">
        <v>0</v>
      </c>
      <c r="AI587" s="15">
        <f t="shared" si="73"/>
        <v>0.42</v>
      </c>
      <c r="AJ587" s="15">
        <f t="shared" si="74"/>
        <v>7.42</v>
      </c>
      <c r="AK587" t="s">
        <v>47</v>
      </c>
    </row>
    <row r="588" spans="1:37" ht="15" customHeight="1" x14ac:dyDescent="0.35">
      <c r="A588">
        <v>690929</v>
      </c>
      <c r="B588" t="s">
        <v>37</v>
      </c>
      <c r="C588" t="s">
        <v>38</v>
      </c>
      <c r="D588" s="9" t="s">
        <v>39</v>
      </c>
      <c r="E588" s="10" t="s">
        <v>37</v>
      </c>
      <c r="F588" s="11"/>
      <c r="G588" t="s">
        <v>1824</v>
      </c>
      <c r="I588" t="s">
        <v>41</v>
      </c>
      <c r="J588" t="s">
        <v>1825</v>
      </c>
      <c r="K588" t="s">
        <v>43</v>
      </c>
      <c r="L588">
        <v>2</v>
      </c>
      <c r="M588" t="s">
        <v>44</v>
      </c>
      <c r="N588" t="s">
        <v>45</v>
      </c>
      <c r="O588" t="s">
        <v>46</v>
      </c>
      <c r="P588" s="5">
        <v>1</v>
      </c>
      <c r="Q588" s="12">
        <v>44760.743761574071</v>
      </c>
      <c r="R588" s="13">
        <v>44763</v>
      </c>
      <c r="T588" t="s">
        <v>47</v>
      </c>
      <c r="U588" t="s">
        <v>48</v>
      </c>
      <c r="V588" t="s">
        <v>114</v>
      </c>
      <c r="Y588" t="s">
        <v>1826</v>
      </c>
      <c r="Z588">
        <v>45600</v>
      </c>
      <c r="AA588" t="s">
        <v>47</v>
      </c>
      <c r="AB588" t="s">
        <v>56</v>
      </c>
      <c r="AC588" t="s">
        <v>53</v>
      </c>
      <c r="AD588" s="16">
        <f t="shared" ref="AD588:AD605" si="75">IF(P588&lt;=1,7,7+0.8*ROUNDUP(P588-1,0))</f>
        <v>7</v>
      </c>
      <c r="AE588" s="15">
        <v>0</v>
      </c>
      <c r="AF588" s="15">
        <v>0</v>
      </c>
      <c r="AG588" s="15">
        <v>0</v>
      </c>
      <c r="AH588" s="15">
        <v>0</v>
      </c>
      <c r="AI588" s="15">
        <f t="shared" si="73"/>
        <v>0.42</v>
      </c>
      <c r="AJ588" s="15">
        <f t="shared" si="74"/>
        <v>7.42</v>
      </c>
      <c r="AK588" t="s">
        <v>47</v>
      </c>
    </row>
    <row r="589" spans="1:37" ht="15" customHeight="1" x14ac:dyDescent="0.35">
      <c r="A589">
        <v>690929</v>
      </c>
      <c r="B589" t="s">
        <v>37</v>
      </c>
      <c r="C589" t="s">
        <v>38</v>
      </c>
      <c r="D589" s="9" t="s">
        <v>39</v>
      </c>
      <c r="E589" s="10" t="s">
        <v>37</v>
      </c>
      <c r="F589" s="11"/>
      <c r="G589" t="s">
        <v>1827</v>
      </c>
      <c r="I589" t="s">
        <v>41</v>
      </c>
      <c r="J589" t="s">
        <v>1103</v>
      </c>
      <c r="K589" t="s">
        <v>43</v>
      </c>
      <c r="L589">
        <v>2</v>
      </c>
      <c r="M589" t="s">
        <v>44</v>
      </c>
      <c r="N589" t="s">
        <v>45</v>
      </c>
      <c r="O589" t="s">
        <v>46</v>
      </c>
      <c r="P589" s="5">
        <v>5</v>
      </c>
      <c r="Q589" s="12">
        <v>44761.453101851854</v>
      </c>
      <c r="R589" s="13">
        <v>44763</v>
      </c>
      <c r="T589" t="s">
        <v>47</v>
      </c>
      <c r="U589" t="s">
        <v>48</v>
      </c>
      <c r="V589" t="s">
        <v>100</v>
      </c>
      <c r="Y589" t="s">
        <v>1828</v>
      </c>
      <c r="Z589">
        <v>32400</v>
      </c>
      <c r="AA589" t="s">
        <v>47</v>
      </c>
      <c r="AB589" t="s">
        <v>64</v>
      </c>
      <c r="AC589" t="s">
        <v>53</v>
      </c>
      <c r="AD589" s="16">
        <f t="shared" si="75"/>
        <v>10.199999999999999</v>
      </c>
      <c r="AE589" s="15">
        <v>0</v>
      </c>
      <c r="AF589" s="15">
        <v>0</v>
      </c>
      <c r="AG589" s="15">
        <v>0</v>
      </c>
      <c r="AH589" s="15">
        <v>0</v>
      </c>
      <c r="AI589" s="15">
        <f t="shared" si="73"/>
        <v>0.61199999999999999</v>
      </c>
      <c r="AJ589" s="15">
        <f t="shared" si="74"/>
        <v>10.811999999999999</v>
      </c>
      <c r="AK589" t="s">
        <v>47</v>
      </c>
    </row>
    <row r="590" spans="1:37" ht="15" customHeight="1" x14ac:dyDescent="0.35">
      <c r="A590">
        <v>690929</v>
      </c>
      <c r="B590" t="s">
        <v>37</v>
      </c>
      <c r="C590" t="s">
        <v>38</v>
      </c>
      <c r="D590" s="9" t="s">
        <v>39</v>
      </c>
      <c r="E590" s="10" t="s">
        <v>37</v>
      </c>
      <c r="F590" s="11"/>
      <c r="G590" t="s">
        <v>1829</v>
      </c>
      <c r="I590" t="s">
        <v>41</v>
      </c>
      <c r="J590" t="s">
        <v>1830</v>
      </c>
      <c r="K590" t="s">
        <v>43</v>
      </c>
      <c r="L590">
        <v>2</v>
      </c>
      <c r="M590" t="s">
        <v>44</v>
      </c>
      <c r="N590" t="s">
        <v>45</v>
      </c>
      <c r="O590" t="s">
        <v>46</v>
      </c>
      <c r="P590" s="5">
        <v>1</v>
      </c>
      <c r="Q590" s="12">
        <v>44760.750428240739</v>
      </c>
      <c r="R590" s="13">
        <v>44763</v>
      </c>
      <c r="T590" t="s">
        <v>47</v>
      </c>
      <c r="U590" t="s">
        <v>48</v>
      </c>
      <c r="V590" t="s">
        <v>114</v>
      </c>
      <c r="Y590" t="s">
        <v>1831</v>
      </c>
      <c r="Z590">
        <v>40160</v>
      </c>
      <c r="AA590" t="s">
        <v>47</v>
      </c>
      <c r="AB590" t="s">
        <v>56</v>
      </c>
      <c r="AC590" t="s">
        <v>53</v>
      </c>
      <c r="AD590" s="16">
        <f t="shared" si="75"/>
        <v>7</v>
      </c>
      <c r="AE590" s="15">
        <v>0</v>
      </c>
      <c r="AF590" s="15">
        <v>0</v>
      </c>
      <c r="AG590" s="15">
        <v>0</v>
      </c>
      <c r="AH590" s="15">
        <v>0</v>
      </c>
      <c r="AI590" s="15">
        <f t="shared" si="73"/>
        <v>0.42</v>
      </c>
      <c r="AJ590" s="15">
        <f t="shared" si="74"/>
        <v>7.42</v>
      </c>
      <c r="AK590" t="s">
        <v>47</v>
      </c>
    </row>
    <row r="591" spans="1:37" ht="15" customHeight="1" x14ac:dyDescent="0.35">
      <c r="A591">
        <v>690929</v>
      </c>
      <c r="B591" t="s">
        <v>37</v>
      </c>
      <c r="C591" t="s">
        <v>38</v>
      </c>
      <c r="D591" s="9" t="s">
        <v>39</v>
      </c>
      <c r="E591" s="10" t="s">
        <v>37</v>
      </c>
      <c r="F591" s="11"/>
      <c r="G591" t="s">
        <v>1832</v>
      </c>
      <c r="I591" t="s">
        <v>41</v>
      </c>
      <c r="J591" t="s">
        <v>1833</v>
      </c>
      <c r="K591" t="s">
        <v>43</v>
      </c>
      <c r="L591">
        <v>2</v>
      </c>
      <c r="M591" t="s">
        <v>44</v>
      </c>
      <c r="N591" t="s">
        <v>45</v>
      </c>
      <c r="O591" t="s">
        <v>46</v>
      </c>
      <c r="P591" s="5">
        <v>7</v>
      </c>
      <c r="Q591" s="12">
        <v>44761.494201388887</v>
      </c>
      <c r="R591" s="13">
        <v>44763</v>
      </c>
      <c r="T591" t="s">
        <v>47</v>
      </c>
      <c r="U591" t="s">
        <v>48</v>
      </c>
      <c r="V591" t="s">
        <v>62</v>
      </c>
      <c r="Y591" t="s">
        <v>370</v>
      </c>
      <c r="Z591">
        <v>81100</v>
      </c>
      <c r="AA591" t="s">
        <v>47</v>
      </c>
      <c r="AB591" t="s">
        <v>64</v>
      </c>
      <c r="AC591" t="s">
        <v>53</v>
      </c>
      <c r="AD591" s="16">
        <f t="shared" si="75"/>
        <v>11.8</v>
      </c>
      <c r="AE591" s="15">
        <v>0</v>
      </c>
      <c r="AF591" s="15">
        <v>0</v>
      </c>
      <c r="AG591" s="15">
        <v>0</v>
      </c>
      <c r="AH591" s="15">
        <v>0</v>
      </c>
      <c r="AI591" s="15">
        <f t="shared" si="73"/>
        <v>0.70799999999999996</v>
      </c>
      <c r="AJ591" s="15">
        <f t="shared" si="74"/>
        <v>12.508000000000001</v>
      </c>
      <c r="AK591" t="s">
        <v>47</v>
      </c>
    </row>
    <row r="592" spans="1:37" ht="15" customHeight="1" x14ac:dyDescent="0.35">
      <c r="A592">
        <v>690929</v>
      </c>
      <c r="B592" t="s">
        <v>37</v>
      </c>
      <c r="C592" t="s">
        <v>38</v>
      </c>
      <c r="D592" s="9" t="s">
        <v>39</v>
      </c>
      <c r="E592" s="10" t="s">
        <v>37</v>
      </c>
      <c r="F592" s="11"/>
      <c r="G592" t="s">
        <v>1834</v>
      </c>
      <c r="I592" t="s">
        <v>41</v>
      </c>
      <c r="J592" t="s">
        <v>843</v>
      </c>
      <c r="K592" t="s">
        <v>43</v>
      </c>
      <c r="L592">
        <v>2</v>
      </c>
      <c r="M592" t="s">
        <v>44</v>
      </c>
      <c r="N592" t="s">
        <v>45</v>
      </c>
      <c r="O592" t="s">
        <v>46</v>
      </c>
      <c r="P592" s="5">
        <v>16</v>
      </c>
      <c r="Q592" s="12">
        <v>44761.448136574072</v>
      </c>
      <c r="R592" s="13">
        <v>44763</v>
      </c>
      <c r="T592" t="s">
        <v>47</v>
      </c>
      <c r="U592" t="s">
        <v>48</v>
      </c>
      <c r="V592" t="s">
        <v>114</v>
      </c>
      <c r="Y592" t="s">
        <v>846</v>
      </c>
      <c r="Z592">
        <v>42000</v>
      </c>
      <c r="AA592" t="s">
        <v>47</v>
      </c>
      <c r="AB592" t="s">
        <v>64</v>
      </c>
      <c r="AC592" t="s">
        <v>53</v>
      </c>
      <c r="AD592" s="16">
        <f t="shared" si="75"/>
        <v>19</v>
      </c>
      <c r="AE592" s="15">
        <v>0</v>
      </c>
      <c r="AF592" s="15">
        <v>0</v>
      </c>
      <c r="AG592" s="15">
        <v>0</v>
      </c>
      <c r="AH592" s="15">
        <v>0</v>
      </c>
      <c r="AI592" s="15">
        <f t="shared" si="73"/>
        <v>1.1399999999999999</v>
      </c>
      <c r="AJ592" s="15">
        <f t="shared" si="74"/>
        <v>20.14</v>
      </c>
      <c r="AK592" t="s">
        <v>47</v>
      </c>
    </row>
    <row r="593" spans="1:37" ht="15" customHeight="1" x14ac:dyDescent="0.35">
      <c r="A593">
        <v>690929</v>
      </c>
      <c r="B593" t="s">
        <v>37</v>
      </c>
      <c r="C593" t="s">
        <v>38</v>
      </c>
      <c r="D593" s="9" t="s">
        <v>39</v>
      </c>
      <c r="E593" s="10" t="s">
        <v>37</v>
      </c>
      <c r="F593" s="11"/>
      <c r="G593" t="s">
        <v>1835</v>
      </c>
      <c r="I593" t="s">
        <v>41</v>
      </c>
      <c r="J593" t="s">
        <v>843</v>
      </c>
      <c r="K593" t="s">
        <v>43</v>
      </c>
      <c r="L593">
        <v>2</v>
      </c>
      <c r="M593" t="s">
        <v>44</v>
      </c>
      <c r="N593" t="s">
        <v>45</v>
      </c>
      <c r="O593" t="s">
        <v>46</v>
      </c>
      <c r="P593" s="5">
        <v>13</v>
      </c>
      <c r="Q593" s="12">
        <v>44761.450046296297</v>
      </c>
      <c r="R593" s="13">
        <v>44763</v>
      </c>
      <c r="T593" t="s">
        <v>47</v>
      </c>
      <c r="U593" t="s">
        <v>48</v>
      </c>
      <c r="V593" t="s">
        <v>114</v>
      </c>
      <c r="Y593" t="s">
        <v>846</v>
      </c>
      <c r="Z593">
        <v>42000</v>
      </c>
      <c r="AA593" t="s">
        <v>47</v>
      </c>
      <c r="AB593" t="s">
        <v>64</v>
      </c>
      <c r="AC593" t="s">
        <v>53</v>
      </c>
      <c r="AD593" s="16">
        <f t="shared" si="75"/>
        <v>16.600000000000001</v>
      </c>
      <c r="AE593" s="15">
        <v>0</v>
      </c>
      <c r="AF593" s="15">
        <v>0</v>
      </c>
      <c r="AG593" s="15">
        <v>0</v>
      </c>
      <c r="AH593" s="15">
        <v>0</v>
      </c>
      <c r="AI593" s="15">
        <f t="shared" si="73"/>
        <v>0.996</v>
      </c>
      <c r="AJ593" s="15">
        <f t="shared" si="74"/>
        <v>17.596</v>
      </c>
      <c r="AK593" t="s">
        <v>47</v>
      </c>
    </row>
    <row r="594" spans="1:37" ht="15" customHeight="1" x14ac:dyDescent="0.35">
      <c r="A594">
        <v>690929</v>
      </c>
      <c r="B594" t="s">
        <v>37</v>
      </c>
      <c r="C594" t="s">
        <v>38</v>
      </c>
      <c r="D594" s="9" t="s">
        <v>39</v>
      </c>
      <c r="E594" s="10" t="s">
        <v>37</v>
      </c>
      <c r="F594" s="11"/>
      <c r="G594" t="s">
        <v>1836</v>
      </c>
      <c r="I594" t="s">
        <v>41</v>
      </c>
      <c r="J594" t="s">
        <v>843</v>
      </c>
      <c r="K594" t="s">
        <v>43</v>
      </c>
      <c r="L594">
        <v>2</v>
      </c>
      <c r="M594" t="s">
        <v>44</v>
      </c>
      <c r="N594" t="s">
        <v>45</v>
      </c>
      <c r="O594" t="s">
        <v>46</v>
      </c>
      <c r="P594" s="5">
        <v>21</v>
      </c>
      <c r="Q594" s="12">
        <v>44761.444224537037</v>
      </c>
      <c r="R594" s="13">
        <v>44763</v>
      </c>
      <c r="T594" t="s">
        <v>47</v>
      </c>
      <c r="U594" t="s">
        <v>48</v>
      </c>
      <c r="V594" t="s">
        <v>114</v>
      </c>
      <c r="Y594" t="s">
        <v>846</v>
      </c>
      <c r="Z594">
        <v>42000</v>
      </c>
      <c r="AA594" t="s">
        <v>47</v>
      </c>
      <c r="AB594" t="s">
        <v>64</v>
      </c>
      <c r="AC594" t="s">
        <v>53</v>
      </c>
      <c r="AD594" s="16">
        <f t="shared" si="75"/>
        <v>23</v>
      </c>
      <c r="AE594" s="15">
        <v>0</v>
      </c>
      <c r="AF594" s="15">
        <v>0</v>
      </c>
      <c r="AG594" s="15">
        <v>0</v>
      </c>
      <c r="AH594" s="15">
        <v>0</v>
      </c>
      <c r="AI594" s="15">
        <f t="shared" si="73"/>
        <v>1.38</v>
      </c>
      <c r="AJ594" s="15">
        <f t="shared" si="74"/>
        <v>24.38</v>
      </c>
      <c r="AK594" t="s">
        <v>47</v>
      </c>
    </row>
    <row r="595" spans="1:37" ht="15" customHeight="1" x14ac:dyDescent="0.35">
      <c r="A595">
        <v>690929</v>
      </c>
      <c r="B595" t="s">
        <v>37</v>
      </c>
      <c r="C595" t="s">
        <v>38</v>
      </c>
      <c r="D595" s="9" t="s">
        <v>39</v>
      </c>
      <c r="E595" s="10" t="s">
        <v>37</v>
      </c>
      <c r="F595" s="11"/>
      <c r="G595" t="s">
        <v>1837</v>
      </c>
      <c r="I595" t="s">
        <v>41</v>
      </c>
      <c r="J595" t="s">
        <v>843</v>
      </c>
      <c r="K595" t="s">
        <v>43</v>
      </c>
      <c r="L595">
        <v>2</v>
      </c>
      <c r="M595" t="s">
        <v>44</v>
      </c>
      <c r="N595" t="s">
        <v>45</v>
      </c>
      <c r="O595" t="s">
        <v>46</v>
      </c>
      <c r="P595" s="5">
        <v>11</v>
      </c>
      <c r="Q595" s="12">
        <v>44761.446481481478</v>
      </c>
      <c r="R595" s="13">
        <v>44763</v>
      </c>
      <c r="T595" t="s">
        <v>47</v>
      </c>
      <c r="U595" t="s">
        <v>48</v>
      </c>
      <c r="V595" t="s">
        <v>114</v>
      </c>
      <c r="Y595" t="s">
        <v>846</v>
      </c>
      <c r="Z595">
        <v>42000</v>
      </c>
      <c r="AA595" t="s">
        <v>47</v>
      </c>
      <c r="AB595" t="s">
        <v>64</v>
      </c>
      <c r="AC595" t="s">
        <v>53</v>
      </c>
      <c r="AD595" s="16">
        <f t="shared" si="75"/>
        <v>15</v>
      </c>
      <c r="AE595" s="15">
        <v>0</v>
      </c>
      <c r="AF595" s="15">
        <v>0</v>
      </c>
      <c r="AG595" s="15">
        <v>0</v>
      </c>
      <c r="AH595" s="15">
        <v>0</v>
      </c>
      <c r="AI595" s="15">
        <f t="shared" si="73"/>
        <v>0.89999999999999991</v>
      </c>
      <c r="AJ595" s="15">
        <f t="shared" si="74"/>
        <v>15.9</v>
      </c>
      <c r="AK595" t="s">
        <v>47</v>
      </c>
    </row>
    <row r="596" spans="1:37" ht="15" customHeight="1" x14ac:dyDescent="0.35">
      <c r="A596">
        <v>690929</v>
      </c>
      <c r="B596" t="s">
        <v>37</v>
      </c>
      <c r="C596" t="s">
        <v>38</v>
      </c>
      <c r="D596" s="9" t="s">
        <v>39</v>
      </c>
      <c r="E596" s="10" t="s">
        <v>37</v>
      </c>
      <c r="F596" s="11"/>
      <c r="G596" t="s">
        <v>1838</v>
      </c>
      <c r="I596" t="s">
        <v>41</v>
      </c>
      <c r="J596" t="s">
        <v>1839</v>
      </c>
      <c r="K596" t="s">
        <v>43</v>
      </c>
      <c r="L596">
        <v>2</v>
      </c>
      <c r="M596" t="s">
        <v>44</v>
      </c>
      <c r="N596" t="s">
        <v>45</v>
      </c>
      <c r="O596" t="s">
        <v>46</v>
      </c>
      <c r="P596" s="5">
        <v>9</v>
      </c>
      <c r="Q596" s="12">
        <v>44761.458310185182</v>
      </c>
      <c r="R596" s="13">
        <v>44763</v>
      </c>
      <c r="T596" t="s">
        <v>47</v>
      </c>
      <c r="U596" t="s">
        <v>48</v>
      </c>
      <c r="V596" t="s">
        <v>114</v>
      </c>
      <c r="Y596" t="s">
        <v>1840</v>
      </c>
      <c r="Z596">
        <v>43000</v>
      </c>
      <c r="AA596" t="s">
        <v>47</v>
      </c>
      <c r="AB596" t="s">
        <v>1841</v>
      </c>
      <c r="AC596" t="s">
        <v>53</v>
      </c>
      <c r="AD596" s="16">
        <f t="shared" si="75"/>
        <v>13.4</v>
      </c>
      <c r="AE596" s="15">
        <v>0</v>
      </c>
      <c r="AF596" s="15">
        <v>0</v>
      </c>
      <c r="AG596" s="15">
        <v>0</v>
      </c>
      <c r="AH596" s="15">
        <v>0</v>
      </c>
      <c r="AI596" s="15">
        <f t="shared" si="73"/>
        <v>0.80399999999999994</v>
      </c>
      <c r="AJ596" s="15">
        <f t="shared" si="74"/>
        <v>14.204000000000001</v>
      </c>
      <c r="AK596" t="s">
        <v>47</v>
      </c>
    </row>
    <row r="597" spans="1:37" ht="15" customHeight="1" x14ac:dyDescent="0.35">
      <c r="A597">
        <v>690929</v>
      </c>
      <c r="B597" t="s">
        <v>37</v>
      </c>
      <c r="C597" t="s">
        <v>38</v>
      </c>
      <c r="D597" s="9" t="s">
        <v>39</v>
      </c>
      <c r="E597" s="10" t="s">
        <v>37</v>
      </c>
      <c r="F597" s="11"/>
      <c r="G597" t="s">
        <v>1842</v>
      </c>
      <c r="I597" t="s">
        <v>41</v>
      </c>
      <c r="J597" t="s">
        <v>1843</v>
      </c>
      <c r="K597" t="s">
        <v>43</v>
      </c>
      <c r="L597">
        <v>2</v>
      </c>
      <c r="M597" t="s">
        <v>44</v>
      </c>
      <c r="N597" t="s">
        <v>45</v>
      </c>
      <c r="O597" t="s">
        <v>46</v>
      </c>
      <c r="P597" s="5">
        <v>3</v>
      </c>
      <c r="Q597" s="12">
        <v>44761.652129629627</v>
      </c>
      <c r="R597" s="13">
        <v>44763</v>
      </c>
      <c r="T597" t="s">
        <v>47</v>
      </c>
      <c r="U597" t="s">
        <v>48</v>
      </c>
      <c r="V597" t="s">
        <v>96</v>
      </c>
      <c r="Y597" t="s">
        <v>1844</v>
      </c>
      <c r="Z597">
        <v>16200</v>
      </c>
      <c r="AA597" t="s">
        <v>47</v>
      </c>
      <c r="AB597" t="s">
        <v>56</v>
      </c>
      <c r="AC597" t="s">
        <v>53</v>
      </c>
      <c r="AD597" s="16">
        <f t="shared" si="75"/>
        <v>8.6</v>
      </c>
      <c r="AE597" s="15">
        <v>0</v>
      </c>
      <c r="AF597" s="15">
        <v>0</v>
      </c>
      <c r="AG597" s="15">
        <v>0</v>
      </c>
      <c r="AH597" s="15">
        <v>0</v>
      </c>
      <c r="AI597" s="15">
        <f t="shared" si="73"/>
        <v>0.51600000000000001</v>
      </c>
      <c r="AJ597" s="15">
        <f t="shared" si="74"/>
        <v>9.1159999999999997</v>
      </c>
      <c r="AK597" t="s">
        <v>47</v>
      </c>
    </row>
    <row r="598" spans="1:37" ht="15" customHeight="1" x14ac:dyDescent="0.35">
      <c r="A598">
        <v>690929</v>
      </c>
      <c r="B598" t="s">
        <v>37</v>
      </c>
      <c r="C598" t="s">
        <v>38</v>
      </c>
      <c r="D598" s="9" t="s">
        <v>39</v>
      </c>
      <c r="E598" s="10" t="s">
        <v>37</v>
      </c>
      <c r="F598" s="11"/>
      <c r="G598" t="s">
        <v>1845</v>
      </c>
      <c r="I598" t="s">
        <v>41</v>
      </c>
      <c r="J598" t="s">
        <v>1846</v>
      </c>
      <c r="K598" t="s">
        <v>43</v>
      </c>
      <c r="L598">
        <v>2</v>
      </c>
      <c r="M598" t="s">
        <v>44</v>
      </c>
      <c r="N598" t="s">
        <v>45</v>
      </c>
      <c r="O598" t="s">
        <v>46</v>
      </c>
      <c r="P598" s="5">
        <v>8</v>
      </c>
      <c r="Q598" s="12">
        <v>44761.460682870369</v>
      </c>
      <c r="R598" s="13">
        <v>44763</v>
      </c>
      <c r="T598" t="s">
        <v>47</v>
      </c>
      <c r="U598" t="s">
        <v>48</v>
      </c>
      <c r="V598" t="s">
        <v>128</v>
      </c>
      <c r="Y598" t="s">
        <v>1847</v>
      </c>
      <c r="Z598">
        <v>55100</v>
      </c>
      <c r="AA598" t="s">
        <v>47</v>
      </c>
      <c r="AB598" t="s">
        <v>64</v>
      </c>
      <c r="AC598" t="s">
        <v>53</v>
      </c>
      <c r="AD598" s="16">
        <f t="shared" si="75"/>
        <v>12.600000000000001</v>
      </c>
      <c r="AE598" s="15">
        <v>0</v>
      </c>
      <c r="AF598" s="15">
        <v>0</v>
      </c>
      <c r="AG598" s="15">
        <v>0</v>
      </c>
      <c r="AH598" s="15">
        <v>0</v>
      </c>
      <c r="AI598" s="15">
        <f t="shared" si="73"/>
        <v>0.75600000000000001</v>
      </c>
      <c r="AJ598" s="15">
        <f t="shared" si="74"/>
        <v>13.356000000000002</v>
      </c>
      <c r="AK598" t="s">
        <v>47</v>
      </c>
    </row>
    <row r="599" spans="1:37" ht="15" customHeight="1" x14ac:dyDescent="0.35">
      <c r="A599">
        <v>690929</v>
      </c>
      <c r="B599" t="s">
        <v>37</v>
      </c>
      <c r="C599" t="s">
        <v>38</v>
      </c>
      <c r="D599" s="9" t="s">
        <v>39</v>
      </c>
      <c r="E599" s="10" t="s">
        <v>37</v>
      </c>
      <c r="F599" s="11"/>
      <c r="G599" t="s">
        <v>1848</v>
      </c>
      <c r="I599" t="s">
        <v>41</v>
      </c>
      <c r="J599" t="s">
        <v>1849</v>
      </c>
      <c r="K599" t="s">
        <v>43</v>
      </c>
      <c r="L599">
        <v>2</v>
      </c>
      <c r="M599" t="s">
        <v>44</v>
      </c>
      <c r="N599" t="s">
        <v>45</v>
      </c>
      <c r="O599" t="s">
        <v>46</v>
      </c>
      <c r="P599" s="5">
        <v>1</v>
      </c>
      <c r="Q599" s="12">
        <v>44762.628078703703</v>
      </c>
      <c r="R599" s="13">
        <v>44763</v>
      </c>
      <c r="T599" t="s">
        <v>47</v>
      </c>
      <c r="U599" t="s">
        <v>48</v>
      </c>
      <c r="V599" t="s">
        <v>96</v>
      </c>
      <c r="Y599" t="s">
        <v>1850</v>
      </c>
      <c r="Z599">
        <v>16300</v>
      </c>
      <c r="AA599" t="s">
        <v>47</v>
      </c>
      <c r="AB599" t="s">
        <v>56</v>
      </c>
      <c r="AC599" t="s">
        <v>53</v>
      </c>
      <c r="AD599" s="16">
        <f t="shared" si="75"/>
        <v>7</v>
      </c>
      <c r="AE599" s="15">
        <v>0</v>
      </c>
      <c r="AF599" s="15">
        <v>0</v>
      </c>
      <c r="AG599" s="15">
        <v>0</v>
      </c>
      <c r="AH599" s="15">
        <v>0</v>
      </c>
      <c r="AI599" s="15">
        <f t="shared" si="73"/>
        <v>0.42</v>
      </c>
      <c r="AJ599" s="15">
        <f t="shared" si="74"/>
        <v>7.42</v>
      </c>
      <c r="AK599" t="s">
        <v>47</v>
      </c>
    </row>
    <row r="600" spans="1:37" ht="15" customHeight="1" x14ac:dyDescent="0.35">
      <c r="A600">
        <v>690929</v>
      </c>
      <c r="B600" t="s">
        <v>37</v>
      </c>
      <c r="C600" t="s">
        <v>38</v>
      </c>
      <c r="D600" s="9" t="s">
        <v>39</v>
      </c>
      <c r="E600" s="10" t="s">
        <v>37</v>
      </c>
      <c r="F600" s="11"/>
      <c r="G600" t="s">
        <v>1851</v>
      </c>
      <c r="I600" t="s">
        <v>41</v>
      </c>
      <c r="J600" t="s">
        <v>1852</v>
      </c>
      <c r="K600" t="s">
        <v>43</v>
      </c>
      <c r="L600">
        <v>2</v>
      </c>
      <c r="M600" t="s">
        <v>44</v>
      </c>
      <c r="N600" t="s">
        <v>45</v>
      </c>
      <c r="O600" t="s">
        <v>46</v>
      </c>
      <c r="P600" s="5">
        <v>24</v>
      </c>
      <c r="Q600" s="12">
        <v>44762.679039351853</v>
      </c>
      <c r="R600" s="13">
        <v>44763</v>
      </c>
      <c r="T600" t="s">
        <v>47</v>
      </c>
      <c r="U600" t="s">
        <v>48</v>
      </c>
      <c r="V600" t="s">
        <v>114</v>
      </c>
      <c r="Y600" t="s">
        <v>1853</v>
      </c>
      <c r="Z600">
        <v>42500</v>
      </c>
      <c r="AA600" t="s">
        <v>47</v>
      </c>
      <c r="AB600" t="s">
        <v>64</v>
      </c>
      <c r="AC600" t="s">
        <v>53</v>
      </c>
      <c r="AD600" s="16">
        <f t="shared" si="75"/>
        <v>25.400000000000002</v>
      </c>
      <c r="AE600" s="15">
        <v>0</v>
      </c>
      <c r="AF600" s="15">
        <v>0</v>
      </c>
      <c r="AG600" s="15">
        <v>0</v>
      </c>
      <c r="AH600" s="15">
        <v>0</v>
      </c>
      <c r="AI600" s="15">
        <f t="shared" si="73"/>
        <v>1.524</v>
      </c>
      <c r="AJ600" s="15">
        <f t="shared" si="74"/>
        <v>26.924000000000003</v>
      </c>
      <c r="AK600" t="s">
        <v>47</v>
      </c>
    </row>
    <row r="601" spans="1:37" ht="15" customHeight="1" x14ac:dyDescent="0.35">
      <c r="A601">
        <v>690929</v>
      </c>
      <c r="B601" t="s">
        <v>37</v>
      </c>
      <c r="C601" t="s">
        <v>38</v>
      </c>
      <c r="D601" s="9" t="s">
        <v>39</v>
      </c>
      <c r="E601" s="10" t="s">
        <v>37</v>
      </c>
      <c r="F601" s="11"/>
      <c r="G601" t="s">
        <v>1854</v>
      </c>
      <c r="I601" t="s">
        <v>41</v>
      </c>
      <c r="J601" t="s">
        <v>1855</v>
      </c>
      <c r="K601" t="s">
        <v>43</v>
      </c>
      <c r="L601">
        <v>2</v>
      </c>
      <c r="M601" t="s">
        <v>44</v>
      </c>
      <c r="N601" t="s">
        <v>45</v>
      </c>
      <c r="O601" t="s">
        <v>46</v>
      </c>
      <c r="P601" s="5">
        <v>1</v>
      </c>
      <c r="Q601" s="12">
        <v>44762.631261574075</v>
      </c>
      <c r="R601" s="13">
        <v>44763</v>
      </c>
      <c r="T601" t="s">
        <v>47</v>
      </c>
      <c r="U601" t="s">
        <v>48</v>
      </c>
      <c r="V601" t="s">
        <v>76</v>
      </c>
      <c r="Y601" t="s">
        <v>1856</v>
      </c>
      <c r="Z601">
        <v>23200</v>
      </c>
      <c r="AA601" t="s">
        <v>47</v>
      </c>
      <c r="AB601" t="s">
        <v>48</v>
      </c>
      <c r="AC601" t="s">
        <v>53</v>
      </c>
      <c r="AD601" s="16">
        <f t="shared" si="75"/>
        <v>7</v>
      </c>
      <c r="AE601" s="15">
        <v>0</v>
      </c>
      <c r="AF601" s="15">
        <v>0</v>
      </c>
      <c r="AG601" s="15">
        <v>0</v>
      </c>
      <c r="AH601" s="15">
        <v>0</v>
      </c>
      <c r="AI601" s="15">
        <f t="shared" si="73"/>
        <v>0.42</v>
      </c>
      <c r="AJ601" s="15">
        <f t="shared" si="74"/>
        <v>7.42</v>
      </c>
      <c r="AK601" t="s">
        <v>47</v>
      </c>
    </row>
    <row r="602" spans="1:37" ht="15" customHeight="1" x14ac:dyDescent="0.35">
      <c r="A602">
        <v>690929</v>
      </c>
      <c r="B602" t="s">
        <v>37</v>
      </c>
      <c r="C602" t="s">
        <v>38</v>
      </c>
      <c r="D602" s="9" t="s">
        <v>39</v>
      </c>
      <c r="E602" s="10" t="s">
        <v>37</v>
      </c>
      <c r="F602" s="11"/>
      <c r="G602" t="s">
        <v>1857</v>
      </c>
      <c r="I602" t="s">
        <v>41</v>
      </c>
      <c r="J602" t="s">
        <v>1858</v>
      </c>
      <c r="K602" t="s">
        <v>43</v>
      </c>
      <c r="L602">
        <v>2</v>
      </c>
      <c r="M602" t="s">
        <v>44</v>
      </c>
      <c r="N602" t="s">
        <v>45</v>
      </c>
      <c r="O602" t="s">
        <v>46</v>
      </c>
      <c r="P602" s="5">
        <v>3</v>
      </c>
      <c r="Q602" s="12">
        <v>44761.434212962966</v>
      </c>
      <c r="R602" s="13">
        <v>44763</v>
      </c>
      <c r="T602" t="s">
        <v>47</v>
      </c>
      <c r="U602" t="s">
        <v>48</v>
      </c>
      <c r="V602" t="s">
        <v>114</v>
      </c>
      <c r="Y602" t="s">
        <v>1859</v>
      </c>
      <c r="Z602">
        <v>68100</v>
      </c>
      <c r="AA602" t="s">
        <v>47</v>
      </c>
      <c r="AB602" t="s">
        <v>56</v>
      </c>
      <c r="AC602" t="s">
        <v>53</v>
      </c>
      <c r="AD602" s="16">
        <f t="shared" si="75"/>
        <v>8.6</v>
      </c>
      <c r="AE602" s="15">
        <v>0</v>
      </c>
      <c r="AF602" s="15">
        <v>0</v>
      </c>
      <c r="AG602" s="15">
        <v>0</v>
      </c>
      <c r="AH602" s="15">
        <v>0</v>
      </c>
      <c r="AI602" s="15">
        <f t="shared" si="73"/>
        <v>0.51600000000000001</v>
      </c>
      <c r="AJ602" s="15">
        <f t="shared" si="74"/>
        <v>9.1159999999999997</v>
      </c>
      <c r="AK602" t="s">
        <v>47</v>
      </c>
    </row>
    <row r="603" spans="1:37" ht="15" customHeight="1" x14ac:dyDescent="0.35">
      <c r="A603">
        <v>690929</v>
      </c>
      <c r="B603" t="s">
        <v>37</v>
      </c>
      <c r="C603" t="s">
        <v>38</v>
      </c>
      <c r="D603" s="9" t="s">
        <v>39</v>
      </c>
      <c r="E603" s="10" t="s">
        <v>37</v>
      </c>
      <c r="F603" s="11"/>
      <c r="G603" t="s">
        <v>1860</v>
      </c>
      <c r="I603" t="s">
        <v>41</v>
      </c>
      <c r="J603" t="s">
        <v>1861</v>
      </c>
      <c r="K603" t="s">
        <v>43</v>
      </c>
      <c r="L603">
        <v>2</v>
      </c>
      <c r="M603" t="s">
        <v>44</v>
      </c>
      <c r="N603" t="s">
        <v>45</v>
      </c>
      <c r="O603" t="s">
        <v>46</v>
      </c>
      <c r="P603" s="5">
        <v>1</v>
      </c>
      <c r="Q603" s="12">
        <v>44759.493020833332</v>
      </c>
      <c r="R603" s="13">
        <v>44763</v>
      </c>
      <c r="T603" t="s">
        <v>47</v>
      </c>
      <c r="U603" t="s">
        <v>48</v>
      </c>
      <c r="V603" t="s">
        <v>67</v>
      </c>
      <c r="Y603" t="s">
        <v>1862</v>
      </c>
      <c r="Z603">
        <v>26600</v>
      </c>
      <c r="AA603" t="s">
        <v>47</v>
      </c>
      <c r="AB603" t="s">
        <v>1621</v>
      </c>
      <c r="AC603" t="s">
        <v>53</v>
      </c>
      <c r="AD603" s="16">
        <f t="shared" si="75"/>
        <v>7</v>
      </c>
      <c r="AE603" s="15">
        <v>0</v>
      </c>
      <c r="AF603" s="15">
        <v>0</v>
      </c>
      <c r="AG603" s="15">
        <v>0</v>
      </c>
      <c r="AH603" s="15">
        <v>0</v>
      </c>
      <c r="AI603" s="15">
        <f t="shared" si="73"/>
        <v>0.42</v>
      </c>
      <c r="AJ603" s="15">
        <f t="shared" si="74"/>
        <v>7.42</v>
      </c>
      <c r="AK603" t="s">
        <v>47</v>
      </c>
    </row>
    <row r="604" spans="1:37" ht="15" customHeight="1" x14ac:dyDescent="0.35">
      <c r="A604">
        <v>690929</v>
      </c>
      <c r="B604" t="s">
        <v>37</v>
      </c>
      <c r="C604" t="s">
        <v>38</v>
      </c>
      <c r="D604" s="9" t="s">
        <v>39</v>
      </c>
      <c r="E604" s="10" t="s">
        <v>37</v>
      </c>
      <c r="F604" s="11"/>
      <c r="G604" t="s">
        <v>1863</v>
      </c>
      <c r="I604" t="s">
        <v>41</v>
      </c>
      <c r="J604" t="s">
        <v>1864</v>
      </c>
      <c r="K604" t="s">
        <v>43</v>
      </c>
      <c r="L604">
        <v>2</v>
      </c>
      <c r="M604" t="s">
        <v>44</v>
      </c>
      <c r="N604" t="s">
        <v>45</v>
      </c>
      <c r="O604" t="s">
        <v>46</v>
      </c>
      <c r="P604" s="5">
        <v>2</v>
      </c>
      <c r="Q604" s="12">
        <v>44758.728437500002</v>
      </c>
      <c r="R604" s="13">
        <v>44763</v>
      </c>
      <c r="T604" t="s">
        <v>47</v>
      </c>
      <c r="U604" t="s">
        <v>48</v>
      </c>
      <c r="V604" t="s">
        <v>176</v>
      </c>
      <c r="Y604" t="s">
        <v>1865</v>
      </c>
      <c r="Z604">
        <v>75150</v>
      </c>
      <c r="AA604" t="s">
        <v>47</v>
      </c>
      <c r="AB604" t="s">
        <v>1866</v>
      </c>
      <c r="AC604" t="s">
        <v>53</v>
      </c>
      <c r="AD604" s="16">
        <f t="shared" si="75"/>
        <v>7.8</v>
      </c>
      <c r="AE604" s="15">
        <v>0</v>
      </c>
      <c r="AF604" s="15">
        <v>0</v>
      </c>
      <c r="AG604" s="15">
        <v>0</v>
      </c>
      <c r="AH604" s="15">
        <v>0</v>
      </c>
      <c r="AI604" s="15">
        <f t="shared" si="73"/>
        <v>0.46799999999999997</v>
      </c>
      <c r="AJ604" s="15">
        <f t="shared" si="74"/>
        <v>8.2680000000000007</v>
      </c>
      <c r="AK604" t="s">
        <v>47</v>
      </c>
    </row>
    <row r="605" spans="1:37" ht="15" customHeight="1" x14ac:dyDescent="0.35">
      <c r="A605">
        <v>690929</v>
      </c>
      <c r="B605" t="s">
        <v>37</v>
      </c>
      <c r="C605" t="s">
        <v>38</v>
      </c>
      <c r="D605" s="9" t="s">
        <v>39</v>
      </c>
      <c r="E605" s="10" t="s">
        <v>37</v>
      </c>
      <c r="F605" s="11"/>
      <c r="G605" t="s">
        <v>1867</v>
      </c>
      <c r="I605" t="s">
        <v>41</v>
      </c>
      <c r="J605" t="s">
        <v>1868</v>
      </c>
      <c r="K605" t="s">
        <v>43</v>
      </c>
      <c r="L605">
        <v>2</v>
      </c>
      <c r="M605" t="s">
        <v>44</v>
      </c>
      <c r="N605" t="s">
        <v>45</v>
      </c>
      <c r="O605" t="s">
        <v>46</v>
      </c>
      <c r="P605" s="5">
        <v>3</v>
      </c>
      <c r="Q605" s="12">
        <v>44761.425520833334</v>
      </c>
      <c r="R605" s="13">
        <v>44763</v>
      </c>
      <c r="T605" t="s">
        <v>47</v>
      </c>
      <c r="U605" t="s">
        <v>48</v>
      </c>
      <c r="V605" t="s">
        <v>62</v>
      </c>
      <c r="Y605" t="s">
        <v>1869</v>
      </c>
      <c r="Z605">
        <v>81300</v>
      </c>
      <c r="AA605" t="s">
        <v>47</v>
      </c>
      <c r="AB605" t="s">
        <v>64</v>
      </c>
      <c r="AC605" t="s">
        <v>53</v>
      </c>
      <c r="AD605" s="16">
        <f t="shared" si="75"/>
        <v>8.6</v>
      </c>
      <c r="AE605" s="15">
        <v>0</v>
      </c>
      <c r="AF605" s="15">
        <v>0</v>
      </c>
      <c r="AG605" s="15">
        <v>0</v>
      </c>
      <c r="AH605" s="15">
        <v>0</v>
      </c>
      <c r="AI605" s="15">
        <f t="shared" si="73"/>
        <v>0.51600000000000001</v>
      </c>
      <c r="AJ605" s="15">
        <f t="shared" si="74"/>
        <v>9.1159999999999997</v>
      </c>
      <c r="AK605" t="s">
        <v>47</v>
      </c>
    </row>
    <row r="606" spans="1:37" ht="15" customHeight="1" x14ac:dyDescent="0.35">
      <c r="A606">
        <v>690929</v>
      </c>
      <c r="B606" t="s">
        <v>37</v>
      </c>
      <c r="C606" t="s">
        <v>38</v>
      </c>
      <c r="D606" s="9" t="s">
        <v>39</v>
      </c>
      <c r="E606" s="10" t="s">
        <v>37</v>
      </c>
      <c r="F606" s="11"/>
      <c r="G606" t="s">
        <v>1870</v>
      </c>
      <c r="I606" t="s">
        <v>41</v>
      </c>
      <c r="J606" t="s">
        <v>1871</v>
      </c>
      <c r="K606" t="s">
        <v>43</v>
      </c>
      <c r="L606">
        <v>2</v>
      </c>
      <c r="M606" t="s">
        <v>44</v>
      </c>
      <c r="N606" t="s">
        <v>45</v>
      </c>
      <c r="O606" t="s">
        <v>46</v>
      </c>
      <c r="P606" s="5">
        <v>1</v>
      </c>
      <c r="Q606" s="12">
        <v>44759.609837962962</v>
      </c>
      <c r="R606" s="13">
        <v>44764</v>
      </c>
      <c r="T606" t="s">
        <v>47</v>
      </c>
      <c r="U606" t="s">
        <v>48</v>
      </c>
      <c r="V606" t="s">
        <v>57</v>
      </c>
      <c r="Y606" t="s">
        <v>1872</v>
      </c>
      <c r="Z606">
        <v>91000</v>
      </c>
      <c r="AA606" t="s">
        <v>51</v>
      </c>
      <c r="AB606" t="s">
        <v>64</v>
      </c>
      <c r="AC606" t="s">
        <v>53</v>
      </c>
      <c r="AD606" s="14">
        <f>IF(P606&lt;=1,13,IF(P606&lt;=2,23,IF(P606&lt;=3,35,IF(P606&lt;=4,43,IF(P606&lt;=5,53,IF(P606&lt;=6,63,IF(P606&lt;=7,71,IF(P606&lt;=8,79,IF(P606&lt;=9,87,IF(P606&lt;=10,95,IF(P606&lt;=11,105,IF(P606&lt;=12,114,IF(P606&lt;=13,119,IF(P606&lt;=14,127,IF(P606&lt;=15,135,IF(P606&lt;=16,143,IF(P606&lt;=17,153,IF(P606&lt;=18,163,IF(P606&lt;=19,171,IF(P606&lt;=20,185,IF(P606&lt;=21,193,IF(P606&lt;=22,201,IF(P606&lt;=23,210,IF(P606&lt;=24,220,IF(P606&lt;=25,230,IF(P606&lt;=26,240,IF(P606&lt;=27,250,IF(P606&lt;=28,260,IF(P606&lt;=29,270,IF(P606&lt;=30,280,280))))))))))))))))))))))))))))))</f>
        <v>13</v>
      </c>
      <c r="AE606" s="15">
        <v>0</v>
      </c>
      <c r="AF606" s="15">
        <v>0</v>
      </c>
      <c r="AG606" s="15">
        <v>0</v>
      </c>
      <c r="AH606" s="15">
        <v>0</v>
      </c>
      <c r="AI606" s="15">
        <f t="shared" si="73"/>
        <v>0.78</v>
      </c>
      <c r="AJ606" s="15">
        <f t="shared" si="74"/>
        <v>13.78</v>
      </c>
      <c r="AK606" t="s">
        <v>51</v>
      </c>
    </row>
    <row r="607" spans="1:37" ht="15" customHeight="1" x14ac:dyDescent="0.35">
      <c r="A607">
        <v>690929</v>
      </c>
      <c r="B607" t="s">
        <v>37</v>
      </c>
      <c r="C607" t="s">
        <v>38</v>
      </c>
      <c r="D607" s="9" t="s">
        <v>39</v>
      </c>
      <c r="E607" s="10" t="s">
        <v>37</v>
      </c>
      <c r="F607" s="11"/>
      <c r="G607" t="s">
        <v>1873</v>
      </c>
      <c r="I607" t="s">
        <v>41</v>
      </c>
      <c r="J607" t="s">
        <v>1874</v>
      </c>
      <c r="K607" t="s">
        <v>43</v>
      </c>
      <c r="L607">
        <v>2</v>
      </c>
      <c r="M607" t="s">
        <v>44</v>
      </c>
      <c r="N607" t="s">
        <v>45</v>
      </c>
      <c r="O607" t="s">
        <v>46</v>
      </c>
      <c r="P607" s="5">
        <v>1</v>
      </c>
      <c r="Q607" s="12">
        <v>44762.393194444441</v>
      </c>
      <c r="R607" s="13">
        <v>44764</v>
      </c>
      <c r="T607" t="s">
        <v>47</v>
      </c>
      <c r="U607" t="s">
        <v>48</v>
      </c>
      <c r="V607" t="s">
        <v>114</v>
      </c>
      <c r="Y607" t="s">
        <v>1875</v>
      </c>
      <c r="Z607">
        <v>68100</v>
      </c>
      <c r="AA607" t="s">
        <v>47</v>
      </c>
      <c r="AB607" t="s">
        <v>56</v>
      </c>
      <c r="AC607" t="s">
        <v>53</v>
      </c>
      <c r="AD607" s="16">
        <f>IF(P607&lt;=1,7,7+0.8*ROUNDUP(P607-1,0))</f>
        <v>7</v>
      </c>
      <c r="AE607" s="15">
        <v>0</v>
      </c>
      <c r="AF607" s="15">
        <v>0</v>
      </c>
      <c r="AG607" s="15">
        <v>0</v>
      </c>
      <c r="AH607" s="15">
        <v>0</v>
      </c>
      <c r="AI607" s="15">
        <f t="shared" si="73"/>
        <v>0.42</v>
      </c>
      <c r="AJ607" s="15">
        <f t="shared" si="74"/>
        <v>7.42</v>
      </c>
      <c r="AK607" t="s">
        <v>47</v>
      </c>
    </row>
    <row r="608" spans="1:37" ht="15" customHeight="1" x14ac:dyDescent="0.35">
      <c r="A608">
        <v>690929</v>
      </c>
      <c r="B608" t="s">
        <v>37</v>
      </c>
      <c r="C608" t="s">
        <v>38</v>
      </c>
      <c r="D608" s="9" t="s">
        <v>39</v>
      </c>
      <c r="E608" s="10" t="s">
        <v>37</v>
      </c>
      <c r="F608" s="11"/>
      <c r="G608" t="s">
        <v>1876</v>
      </c>
      <c r="I608" t="s">
        <v>41</v>
      </c>
      <c r="J608" t="s">
        <v>1877</v>
      </c>
      <c r="K608" t="s">
        <v>43</v>
      </c>
      <c r="L608">
        <v>2</v>
      </c>
      <c r="M608" t="s">
        <v>44</v>
      </c>
      <c r="N608" t="s">
        <v>45</v>
      </c>
      <c r="O608" t="s">
        <v>46</v>
      </c>
      <c r="P608" s="5">
        <v>1</v>
      </c>
      <c r="Q608" s="12">
        <v>44762.396261574075</v>
      </c>
      <c r="R608" s="13">
        <v>44764</v>
      </c>
      <c r="T608" t="s">
        <v>47</v>
      </c>
      <c r="U608" t="s">
        <v>48</v>
      </c>
      <c r="V608" t="s">
        <v>114</v>
      </c>
      <c r="Y608" t="s">
        <v>1878</v>
      </c>
      <c r="Z608">
        <v>40000</v>
      </c>
      <c r="AA608" t="s">
        <v>47</v>
      </c>
      <c r="AB608" t="s">
        <v>56</v>
      </c>
      <c r="AC608" t="s">
        <v>53</v>
      </c>
      <c r="AD608" s="16">
        <f t="shared" ref="AD608:AD615" si="76">IF(P608&lt;=1,7,7+0.8*ROUNDUP(P608-1,0))</f>
        <v>7</v>
      </c>
      <c r="AE608" s="15">
        <v>0</v>
      </c>
      <c r="AF608" s="15">
        <v>0</v>
      </c>
      <c r="AG608" s="15">
        <v>0</v>
      </c>
      <c r="AH608" s="15">
        <v>0</v>
      </c>
      <c r="AI608" s="15">
        <f t="shared" si="73"/>
        <v>0.42</v>
      </c>
      <c r="AJ608" s="15">
        <f t="shared" si="74"/>
        <v>7.42</v>
      </c>
      <c r="AK608" t="s">
        <v>47</v>
      </c>
    </row>
    <row r="609" spans="1:37" ht="15" customHeight="1" x14ac:dyDescent="0.35">
      <c r="A609">
        <v>690929</v>
      </c>
      <c r="B609" t="s">
        <v>37</v>
      </c>
      <c r="C609" t="s">
        <v>38</v>
      </c>
      <c r="D609" s="9" t="s">
        <v>39</v>
      </c>
      <c r="E609" s="10" t="s">
        <v>37</v>
      </c>
      <c r="F609" s="11"/>
      <c r="G609" t="s">
        <v>1879</v>
      </c>
      <c r="I609" t="s">
        <v>41</v>
      </c>
      <c r="J609" t="s">
        <v>1880</v>
      </c>
      <c r="K609" t="s">
        <v>43</v>
      </c>
      <c r="L609">
        <v>2</v>
      </c>
      <c r="M609" t="s">
        <v>44</v>
      </c>
      <c r="N609" t="s">
        <v>45</v>
      </c>
      <c r="O609" t="s">
        <v>46</v>
      </c>
      <c r="P609" s="5">
        <v>1</v>
      </c>
      <c r="Q609" s="12">
        <v>44762.629907407405</v>
      </c>
      <c r="R609" s="13">
        <v>44764</v>
      </c>
      <c r="T609" t="s">
        <v>47</v>
      </c>
      <c r="U609" t="s">
        <v>48</v>
      </c>
      <c r="V609" t="s">
        <v>138</v>
      </c>
      <c r="Y609" t="s">
        <v>1881</v>
      </c>
      <c r="Z609">
        <v>73200</v>
      </c>
      <c r="AA609" t="s">
        <v>47</v>
      </c>
      <c r="AB609" t="s">
        <v>56</v>
      </c>
      <c r="AC609" t="s">
        <v>53</v>
      </c>
      <c r="AD609" s="16">
        <f t="shared" si="76"/>
        <v>7</v>
      </c>
      <c r="AE609" s="15">
        <v>0</v>
      </c>
      <c r="AF609" s="15">
        <v>0</v>
      </c>
      <c r="AG609" s="15">
        <v>0</v>
      </c>
      <c r="AH609" s="15">
        <v>0</v>
      </c>
      <c r="AI609" s="15">
        <f t="shared" si="73"/>
        <v>0.42</v>
      </c>
      <c r="AJ609" s="15">
        <f t="shared" si="74"/>
        <v>7.42</v>
      </c>
      <c r="AK609" t="s">
        <v>47</v>
      </c>
    </row>
    <row r="610" spans="1:37" ht="15" customHeight="1" x14ac:dyDescent="0.35">
      <c r="A610">
        <v>690929</v>
      </c>
      <c r="B610" t="s">
        <v>37</v>
      </c>
      <c r="C610" t="s">
        <v>38</v>
      </c>
      <c r="D610" s="9" t="s">
        <v>39</v>
      </c>
      <c r="E610" s="10" t="s">
        <v>37</v>
      </c>
      <c r="F610" s="11"/>
      <c r="G610" t="s">
        <v>1882</v>
      </c>
      <c r="I610" t="s">
        <v>41</v>
      </c>
      <c r="J610" t="s">
        <v>1883</v>
      </c>
      <c r="K610" t="s">
        <v>43</v>
      </c>
      <c r="L610">
        <v>2</v>
      </c>
      <c r="M610" t="s">
        <v>44</v>
      </c>
      <c r="N610" t="s">
        <v>45</v>
      </c>
      <c r="O610" t="s">
        <v>46</v>
      </c>
      <c r="P610" s="5">
        <v>1</v>
      </c>
      <c r="Q610" s="12">
        <v>44762.57172453704</v>
      </c>
      <c r="R610" s="13">
        <v>44764</v>
      </c>
      <c r="T610" t="s">
        <v>47</v>
      </c>
      <c r="U610" t="s">
        <v>48</v>
      </c>
      <c r="V610" t="s">
        <v>176</v>
      </c>
      <c r="Y610" t="s">
        <v>1884</v>
      </c>
      <c r="Z610">
        <v>75350</v>
      </c>
      <c r="AA610" t="s">
        <v>47</v>
      </c>
      <c r="AB610" t="s">
        <v>64</v>
      </c>
      <c r="AC610" t="s">
        <v>53</v>
      </c>
      <c r="AD610" s="16">
        <f t="shared" si="76"/>
        <v>7</v>
      </c>
      <c r="AE610" s="15">
        <v>0</v>
      </c>
      <c r="AF610" s="15">
        <v>0</v>
      </c>
      <c r="AG610" s="15">
        <v>0</v>
      </c>
      <c r="AH610" s="15">
        <v>0</v>
      </c>
      <c r="AI610" s="15">
        <f t="shared" si="73"/>
        <v>0.42</v>
      </c>
      <c r="AJ610" s="15">
        <f t="shared" si="74"/>
        <v>7.42</v>
      </c>
      <c r="AK610" t="s">
        <v>47</v>
      </c>
    </row>
    <row r="611" spans="1:37" ht="15" customHeight="1" x14ac:dyDescent="0.35">
      <c r="A611">
        <v>690929</v>
      </c>
      <c r="B611" t="s">
        <v>37</v>
      </c>
      <c r="C611" t="s">
        <v>38</v>
      </c>
      <c r="D611" s="9" t="s">
        <v>39</v>
      </c>
      <c r="E611" s="10" t="s">
        <v>37</v>
      </c>
      <c r="F611" s="11"/>
      <c r="G611" t="s">
        <v>1885</v>
      </c>
      <c r="I611" t="s">
        <v>41</v>
      </c>
      <c r="J611" t="s">
        <v>1886</v>
      </c>
      <c r="K611" t="s">
        <v>43</v>
      </c>
      <c r="L611">
        <v>2</v>
      </c>
      <c r="M611" t="s">
        <v>44</v>
      </c>
      <c r="N611" t="s">
        <v>45</v>
      </c>
      <c r="O611" t="s">
        <v>46</v>
      </c>
      <c r="P611" s="5">
        <v>1</v>
      </c>
      <c r="Q611" s="12">
        <v>44763.502743055556</v>
      </c>
      <c r="R611" s="13">
        <v>44764</v>
      </c>
      <c r="T611" t="s">
        <v>47</v>
      </c>
      <c r="U611" t="s">
        <v>48</v>
      </c>
      <c r="V611" t="s">
        <v>67</v>
      </c>
      <c r="Y611" t="s">
        <v>1887</v>
      </c>
      <c r="Z611">
        <v>26500</v>
      </c>
      <c r="AA611" t="s">
        <v>47</v>
      </c>
      <c r="AB611" t="s">
        <v>48</v>
      </c>
      <c r="AC611" t="s">
        <v>53</v>
      </c>
      <c r="AD611" s="16">
        <f t="shared" si="76"/>
        <v>7</v>
      </c>
      <c r="AE611" s="15">
        <v>0</v>
      </c>
      <c r="AF611" s="15">
        <v>0</v>
      </c>
      <c r="AG611" s="15">
        <v>0</v>
      </c>
      <c r="AH611" s="15">
        <v>0</v>
      </c>
      <c r="AI611" s="15">
        <f t="shared" si="73"/>
        <v>0.42</v>
      </c>
      <c r="AJ611" s="15">
        <f t="shared" si="74"/>
        <v>7.42</v>
      </c>
      <c r="AK611" t="s">
        <v>47</v>
      </c>
    </row>
    <row r="612" spans="1:37" ht="15" customHeight="1" x14ac:dyDescent="0.35">
      <c r="A612">
        <v>690929</v>
      </c>
      <c r="B612" t="s">
        <v>37</v>
      </c>
      <c r="C612" t="s">
        <v>38</v>
      </c>
      <c r="D612" s="9" t="s">
        <v>39</v>
      </c>
      <c r="E612" s="10" t="s">
        <v>37</v>
      </c>
      <c r="F612" s="11"/>
      <c r="G612" t="s">
        <v>1888</v>
      </c>
      <c r="I612" t="s">
        <v>41</v>
      </c>
      <c r="J612" t="s">
        <v>1889</v>
      </c>
      <c r="K612" t="s">
        <v>43</v>
      </c>
      <c r="L612">
        <v>2</v>
      </c>
      <c r="M612" t="s">
        <v>44</v>
      </c>
      <c r="N612" t="s">
        <v>45</v>
      </c>
      <c r="O612" t="s">
        <v>46</v>
      </c>
      <c r="P612" s="5">
        <v>1</v>
      </c>
      <c r="Q612" s="12">
        <v>44762.397581018522</v>
      </c>
      <c r="R612" s="13">
        <v>44764</v>
      </c>
      <c r="T612" t="s">
        <v>47</v>
      </c>
      <c r="U612" t="s">
        <v>48</v>
      </c>
      <c r="V612" t="s">
        <v>114</v>
      </c>
      <c r="Y612" t="s">
        <v>1890</v>
      </c>
      <c r="Z612">
        <v>68000</v>
      </c>
      <c r="AA612" t="s">
        <v>47</v>
      </c>
      <c r="AB612" t="s">
        <v>56</v>
      </c>
      <c r="AC612" t="s">
        <v>53</v>
      </c>
      <c r="AD612" s="16">
        <f t="shared" si="76"/>
        <v>7</v>
      </c>
      <c r="AE612" s="15">
        <v>0</v>
      </c>
      <c r="AF612" s="15">
        <v>0</v>
      </c>
      <c r="AG612" s="15">
        <v>0</v>
      </c>
      <c r="AH612" s="15">
        <v>0</v>
      </c>
      <c r="AI612" s="15">
        <f t="shared" si="73"/>
        <v>0.42</v>
      </c>
      <c r="AJ612" s="15">
        <f t="shared" si="74"/>
        <v>7.42</v>
      </c>
      <c r="AK612" t="s">
        <v>47</v>
      </c>
    </row>
    <row r="613" spans="1:37" ht="15" customHeight="1" x14ac:dyDescent="0.35">
      <c r="A613">
        <v>690929</v>
      </c>
      <c r="B613" t="s">
        <v>37</v>
      </c>
      <c r="C613" t="s">
        <v>38</v>
      </c>
      <c r="D613" s="9" t="s">
        <v>39</v>
      </c>
      <c r="E613" s="10" t="s">
        <v>37</v>
      </c>
      <c r="F613" s="11"/>
      <c r="G613" t="s">
        <v>1891</v>
      </c>
      <c r="I613" t="s">
        <v>41</v>
      </c>
      <c r="J613" t="s">
        <v>1892</v>
      </c>
      <c r="K613" t="s">
        <v>43</v>
      </c>
      <c r="L613">
        <v>2</v>
      </c>
      <c r="M613" t="s">
        <v>44</v>
      </c>
      <c r="N613" t="s">
        <v>45</v>
      </c>
      <c r="O613" t="s">
        <v>46</v>
      </c>
      <c r="P613" s="5">
        <v>1</v>
      </c>
      <c r="Q613" s="12">
        <v>44761.732662037037</v>
      </c>
      <c r="R613" s="13">
        <v>44764</v>
      </c>
      <c r="T613" t="s">
        <v>47</v>
      </c>
      <c r="U613" t="s">
        <v>48</v>
      </c>
      <c r="V613" t="s">
        <v>128</v>
      </c>
      <c r="Y613" t="s">
        <v>1893</v>
      </c>
      <c r="Z613">
        <v>57100</v>
      </c>
      <c r="AA613" t="s">
        <v>47</v>
      </c>
      <c r="AB613" t="s">
        <v>56</v>
      </c>
      <c r="AC613" t="s">
        <v>53</v>
      </c>
      <c r="AD613" s="16">
        <f t="shared" si="76"/>
        <v>7</v>
      </c>
      <c r="AE613" s="15">
        <v>0</v>
      </c>
      <c r="AF613" s="15">
        <v>0</v>
      </c>
      <c r="AG613" s="15">
        <v>0</v>
      </c>
      <c r="AH613" s="15">
        <v>0</v>
      </c>
      <c r="AI613" s="15">
        <f t="shared" si="73"/>
        <v>0.42</v>
      </c>
      <c r="AJ613" s="15">
        <f t="shared" si="74"/>
        <v>7.42</v>
      </c>
      <c r="AK613" t="s">
        <v>47</v>
      </c>
    </row>
    <row r="614" spans="1:37" ht="15" customHeight="1" x14ac:dyDescent="0.35">
      <c r="A614">
        <v>690929</v>
      </c>
      <c r="B614" t="s">
        <v>37</v>
      </c>
      <c r="C614" t="s">
        <v>38</v>
      </c>
      <c r="D614" s="9" t="s">
        <v>39</v>
      </c>
      <c r="E614" s="10" t="s">
        <v>37</v>
      </c>
      <c r="F614" s="11"/>
      <c r="G614" t="s">
        <v>1894</v>
      </c>
      <c r="I614" t="s">
        <v>41</v>
      </c>
      <c r="J614" t="s">
        <v>1895</v>
      </c>
      <c r="K614" t="s">
        <v>43</v>
      </c>
      <c r="L614">
        <v>2</v>
      </c>
      <c r="M614" t="s">
        <v>44</v>
      </c>
      <c r="N614" t="s">
        <v>45</v>
      </c>
      <c r="O614" t="s">
        <v>46</v>
      </c>
      <c r="P614" s="5">
        <v>1</v>
      </c>
      <c r="Q614" s="12">
        <v>44762.398854166669</v>
      </c>
      <c r="R614" s="13">
        <v>44764</v>
      </c>
      <c r="T614" t="s">
        <v>47</v>
      </c>
      <c r="U614" t="s">
        <v>48</v>
      </c>
      <c r="V614" t="s">
        <v>176</v>
      </c>
      <c r="Y614" t="s">
        <v>1896</v>
      </c>
      <c r="Z614">
        <v>75460</v>
      </c>
      <c r="AA614" t="s">
        <v>47</v>
      </c>
      <c r="AB614" t="s">
        <v>64</v>
      </c>
      <c r="AC614" t="s">
        <v>53</v>
      </c>
      <c r="AD614" s="16">
        <f t="shared" si="76"/>
        <v>7</v>
      </c>
      <c r="AE614" s="15">
        <v>0</v>
      </c>
      <c r="AF614" s="15">
        <v>0</v>
      </c>
      <c r="AG614" s="15">
        <v>0</v>
      </c>
      <c r="AH614" s="15">
        <v>0</v>
      </c>
      <c r="AI614" s="15">
        <f t="shared" si="73"/>
        <v>0.42</v>
      </c>
      <c r="AJ614" s="15">
        <f t="shared" si="74"/>
        <v>7.42</v>
      </c>
      <c r="AK614" t="s">
        <v>47</v>
      </c>
    </row>
    <row r="615" spans="1:37" ht="15" customHeight="1" x14ac:dyDescent="0.35">
      <c r="A615">
        <v>690929</v>
      </c>
      <c r="B615" t="s">
        <v>37</v>
      </c>
      <c r="C615" t="s">
        <v>38</v>
      </c>
      <c r="D615" s="9" t="s">
        <v>39</v>
      </c>
      <c r="E615" s="10" t="s">
        <v>37</v>
      </c>
      <c r="F615" s="11"/>
      <c r="G615" t="s">
        <v>1897</v>
      </c>
      <c r="I615" t="s">
        <v>41</v>
      </c>
      <c r="J615" t="s">
        <v>1898</v>
      </c>
      <c r="K615" t="s">
        <v>43</v>
      </c>
      <c r="L615">
        <v>2</v>
      </c>
      <c r="M615" t="s">
        <v>44</v>
      </c>
      <c r="N615" t="s">
        <v>45</v>
      </c>
      <c r="O615" t="s">
        <v>46</v>
      </c>
      <c r="P615" s="5">
        <v>1</v>
      </c>
      <c r="Q615" s="12">
        <v>44761.737118055556</v>
      </c>
      <c r="R615" s="13">
        <v>44764</v>
      </c>
      <c r="T615" t="s">
        <v>47</v>
      </c>
      <c r="U615" t="s">
        <v>48</v>
      </c>
      <c r="V615" t="s">
        <v>114</v>
      </c>
      <c r="Y615" t="s">
        <v>1899</v>
      </c>
      <c r="Z615">
        <v>47100</v>
      </c>
      <c r="AA615" t="s">
        <v>47</v>
      </c>
      <c r="AB615" t="s">
        <v>56</v>
      </c>
      <c r="AC615" t="s">
        <v>53</v>
      </c>
      <c r="AD615" s="16">
        <f t="shared" si="76"/>
        <v>7</v>
      </c>
      <c r="AE615" s="15">
        <v>0</v>
      </c>
      <c r="AF615" s="15">
        <v>0</v>
      </c>
      <c r="AG615" s="15">
        <v>0</v>
      </c>
      <c r="AH615" s="15">
        <v>0</v>
      </c>
      <c r="AI615" s="15">
        <f t="shared" si="73"/>
        <v>0.42</v>
      </c>
      <c r="AJ615" s="15">
        <f t="shared" si="74"/>
        <v>7.42</v>
      </c>
      <c r="AK615" t="s">
        <v>47</v>
      </c>
    </row>
    <row r="616" spans="1:37" ht="15" customHeight="1" x14ac:dyDescent="0.35">
      <c r="A616">
        <v>690929</v>
      </c>
      <c r="B616" t="s">
        <v>37</v>
      </c>
      <c r="C616" t="s">
        <v>38</v>
      </c>
      <c r="D616" s="9" t="s">
        <v>39</v>
      </c>
      <c r="E616" s="10" t="s">
        <v>37</v>
      </c>
      <c r="F616" s="11"/>
      <c r="G616" t="s">
        <v>1900</v>
      </c>
      <c r="I616" t="s">
        <v>41</v>
      </c>
      <c r="J616" t="s">
        <v>1901</v>
      </c>
      <c r="K616" t="s">
        <v>43</v>
      </c>
      <c r="L616">
        <v>2</v>
      </c>
      <c r="M616" t="s">
        <v>44</v>
      </c>
      <c r="N616" t="s">
        <v>45</v>
      </c>
      <c r="O616" t="s">
        <v>46</v>
      </c>
      <c r="P616" s="5">
        <v>1</v>
      </c>
      <c r="Q616" s="12">
        <v>44758.752627314818</v>
      </c>
      <c r="R616" s="13">
        <v>44764</v>
      </c>
      <c r="T616" t="s">
        <v>47</v>
      </c>
      <c r="U616" t="s">
        <v>48</v>
      </c>
      <c r="V616" t="s">
        <v>57</v>
      </c>
      <c r="Y616" t="s">
        <v>1902</v>
      </c>
      <c r="Z616">
        <v>91010</v>
      </c>
      <c r="AA616" t="s">
        <v>51</v>
      </c>
      <c r="AB616" t="s">
        <v>1903</v>
      </c>
      <c r="AC616" t="s">
        <v>53</v>
      </c>
      <c r="AD616" s="14">
        <f>IF(P616&lt;=1,13,IF(P616&lt;=2,23,IF(P616&lt;=3,35,IF(P616&lt;=4,43,IF(P616&lt;=5,53,IF(P616&lt;=6,63,IF(P616&lt;=7,71,IF(P616&lt;=8,79,IF(P616&lt;=9,87,IF(P616&lt;=10,95,IF(P616&lt;=11,105,IF(P616&lt;=12,114,IF(P616&lt;=13,119,IF(P616&lt;=14,127,IF(P616&lt;=15,135,IF(P616&lt;=16,143,IF(P616&lt;=17,153,IF(P616&lt;=18,163,IF(P616&lt;=19,171,IF(P616&lt;=20,185,IF(P616&lt;=21,193,IF(P616&lt;=22,201,IF(P616&lt;=23,210,IF(P616&lt;=24,220,IF(P616&lt;=25,230,IF(P616&lt;=26,240,IF(P616&lt;=27,250,IF(P616&lt;=28,260,IF(P616&lt;=29,270,IF(P616&lt;=30,280,280))))))))))))))))))))))))))))))</f>
        <v>13</v>
      </c>
      <c r="AE616" s="15">
        <v>0</v>
      </c>
      <c r="AF616" s="15">
        <v>0</v>
      </c>
      <c r="AG616" s="15">
        <v>0</v>
      </c>
      <c r="AH616" s="15">
        <v>0</v>
      </c>
      <c r="AI616" s="15">
        <f t="shared" si="73"/>
        <v>0.78</v>
      </c>
      <c r="AJ616" s="15">
        <f t="shared" si="74"/>
        <v>13.78</v>
      </c>
      <c r="AK616" t="s">
        <v>51</v>
      </c>
    </row>
    <row r="617" spans="1:37" ht="15" customHeight="1" x14ac:dyDescent="0.35">
      <c r="A617">
        <v>690929</v>
      </c>
      <c r="B617" t="s">
        <v>37</v>
      </c>
      <c r="C617" t="s">
        <v>38</v>
      </c>
      <c r="D617" s="9" t="s">
        <v>39</v>
      </c>
      <c r="E617" s="10" t="s">
        <v>37</v>
      </c>
      <c r="F617" s="11"/>
      <c r="G617" t="s">
        <v>1904</v>
      </c>
      <c r="I617" t="s">
        <v>41</v>
      </c>
      <c r="J617" t="s">
        <v>1905</v>
      </c>
      <c r="K617" t="s">
        <v>43</v>
      </c>
      <c r="L617">
        <v>2</v>
      </c>
      <c r="M617" t="s">
        <v>44</v>
      </c>
      <c r="N617" t="s">
        <v>45</v>
      </c>
      <c r="O617" t="s">
        <v>46</v>
      </c>
      <c r="P617" s="5">
        <v>1</v>
      </c>
      <c r="Q617" s="12">
        <v>44761.733460648145</v>
      </c>
      <c r="R617" s="13">
        <v>44764</v>
      </c>
      <c r="T617" t="s">
        <v>47</v>
      </c>
      <c r="U617" t="s">
        <v>48</v>
      </c>
      <c r="V617" t="s">
        <v>138</v>
      </c>
      <c r="Y617" t="s">
        <v>1906</v>
      </c>
      <c r="Z617">
        <v>73480</v>
      </c>
      <c r="AA617" t="s">
        <v>47</v>
      </c>
      <c r="AB617" t="s">
        <v>56</v>
      </c>
      <c r="AC617" t="s">
        <v>53</v>
      </c>
      <c r="AD617" s="16">
        <f t="shared" ref="AD617:AD618" si="77">IF(P617&lt;=1,7,7+0.8*ROUNDUP(P617-1,0))</f>
        <v>7</v>
      </c>
      <c r="AE617" s="15">
        <v>0</v>
      </c>
      <c r="AF617" s="15">
        <v>0</v>
      </c>
      <c r="AG617" s="15">
        <v>0</v>
      </c>
      <c r="AH617" s="15">
        <v>0</v>
      </c>
      <c r="AI617" s="15">
        <f t="shared" si="73"/>
        <v>0.42</v>
      </c>
      <c r="AJ617" s="15">
        <f t="shared" si="74"/>
        <v>7.42</v>
      </c>
      <c r="AK617" t="s">
        <v>47</v>
      </c>
    </row>
    <row r="618" spans="1:37" ht="15" customHeight="1" x14ac:dyDescent="0.35">
      <c r="A618">
        <v>690929</v>
      </c>
      <c r="B618" t="s">
        <v>37</v>
      </c>
      <c r="C618" t="s">
        <v>38</v>
      </c>
      <c r="D618" s="9" t="s">
        <v>39</v>
      </c>
      <c r="E618" s="10" t="s">
        <v>37</v>
      </c>
      <c r="F618" s="11"/>
      <c r="G618" t="s">
        <v>1907</v>
      </c>
      <c r="I618" t="s">
        <v>41</v>
      </c>
      <c r="J618" t="s">
        <v>103</v>
      </c>
      <c r="K618" t="s">
        <v>43</v>
      </c>
      <c r="L618">
        <v>2</v>
      </c>
      <c r="M618" t="s">
        <v>44</v>
      </c>
      <c r="N618" t="s">
        <v>45</v>
      </c>
      <c r="O618" t="s">
        <v>46</v>
      </c>
      <c r="P618" s="5">
        <v>1</v>
      </c>
      <c r="Q618" s="12">
        <v>44762.54478009259</v>
      </c>
      <c r="R618" s="13">
        <v>44764</v>
      </c>
      <c r="T618" t="s">
        <v>47</v>
      </c>
      <c r="U618" t="s">
        <v>48</v>
      </c>
      <c r="V618" t="s">
        <v>100</v>
      </c>
      <c r="Y618" t="s">
        <v>104</v>
      </c>
      <c r="Z618">
        <v>33000</v>
      </c>
      <c r="AA618" t="s">
        <v>47</v>
      </c>
      <c r="AB618" t="s">
        <v>64</v>
      </c>
      <c r="AC618" t="s">
        <v>53</v>
      </c>
      <c r="AD618" s="16">
        <f t="shared" si="77"/>
        <v>7</v>
      </c>
      <c r="AE618" s="15">
        <v>0</v>
      </c>
      <c r="AF618" s="15">
        <v>0</v>
      </c>
      <c r="AG618" s="15">
        <v>0</v>
      </c>
      <c r="AH618" s="15">
        <v>0</v>
      </c>
      <c r="AI618" s="15">
        <f t="shared" si="73"/>
        <v>0.42</v>
      </c>
      <c r="AJ618" s="15">
        <f t="shared" si="74"/>
        <v>7.42</v>
      </c>
      <c r="AK618" t="s">
        <v>47</v>
      </c>
    </row>
    <row r="619" spans="1:37" ht="15" customHeight="1" x14ac:dyDescent="0.35">
      <c r="A619">
        <v>690929</v>
      </c>
      <c r="B619" t="s">
        <v>37</v>
      </c>
      <c r="C619" t="s">
        <v>38</v>
      </c>
      <c r="D619" s="9" t="s">
        <v>39</v>
      </c>
      <c r="E619" s="10" t="s">
        <v>37</v>
      </c>
      <c r="F619" s="11"/>
      <c r="G619" t="s">
        <v>1908</v>
      </c>
      <c r="I619" t="s">
        <v>41</v>
      </c>
      <c r="J619" t="s">
        <v>1909</v>
      </c>
      <c r="K619" t="s">
        <v>43</v>
      </c>
      <c r="L619">
        <v>2</v>
      </c>
      <c r="M619" t="s">
        <v>44</v>
      </c>
      <c r="N619" t="s">
        <v>45</v>
      </c>
      <c r="O619" t="s">
        <v>46</v>
      </c>
      <c r="P619" s="5">
        <v>1</v>
      </c>
      <c r="Q619" s="12">
        <v>44762.394965277781</v>
      </c>
      <c r="R619" s="13">
        <v>44764</v>
      </c>
      <c r="T619" t="s">
        <v>47</v>
      </c>
      <c r="U619" t="s">
        <v>48</v>
      </c>
      <c r="V619" t="s">
        <v>114</v>
      </c>
      <c r="Y619" t="s">
        <v>1910</v>
      </c>
      <c r="Z619">
        <v>47410</v>
      </c>
      <c r="AA619" t="s">
        <v>47</v>
      </c>
      <c r="AB619" t="s">
        <v>56</v>
      </c>
      <c r="AC619" t="s">
        <v>53</v>
      </c>
      <c r="AD619" s="16">
        <f>IF(P619&lt;=1,7,7+0.8*ROUNDUP(P619-1,0))</f>
        <v>7</v>
      </c>
      <c r="AE619" s="15">
        <v>0</v>
      </c>
      <c r="AF619" s="15">
        <v>0</v>
      </c>
      <c r="AG619" s="15">
        <v>0</v>
      </c>
      <c r="AH619" s="15">
        <v>0</v>
      </c>
      <c r="AI619" s="15">
        <f t="shared" si="73"/>
        <v>0.42</v>
      </c>
      <c r="AJ619" s="15">
        <f t="shared" si="74"/>
        <v>7.42</v>
      </c>
      <c r="AK619" t="s">
        <v>47</v>
      </c>
    </row>
    <row r="620" spans="1:37" ht="15" customHeight="1" x14ac:dyDescent="0.35">
      <c r="A620">
        <v>690929</v>
      </c>
      <c r="B620" t="s">
        <v>37</v>
      </c>
      <c r="C620" t="s">
        <v>38</v>
      </c>
      <c r="D620" s="9" t="s">
        <v>39</v>
      </c>
      <c r="E620" s="10" t="s">
        <v>37</v>
      </c>
      <c r="F620" s="11"/>
      <c r="G620" t="s">
        <v>1911</v>
      </c>
      <c r="I620" t="s">
        <v>41</v>
      </c>
      <c r="J620" t="s">
        <v>1912</v>
      </c>
      <c r="K620" t="s">
        <v>43</v>
      </c>
      <c r="L620">
        <v>2</v>
      </c>
      <c r="M620" t="s">
        <v>44</v>
      </c>
      <c r="N620" t="s">
        <v>45</v>
      </c>
      <c r="O620" t="s">
        <v>46</v>
      </c>
      <c r="P620" s="5">
        <v>1</v>
      </c>
      <c r="Q620" s="12">
        <v>44762.652349537035</v>
      </c>
      <c r="R620" s="13">
        <v>44764</v>
      </c>
      <c r="T620" t="s">
        <v>47</v>
      </c>
      <c r="U620" t="s">
        <v>48</v>
      </c>
      <c r="V620" t="s">
        <v>100</v>
      </c>
      <c r="Y620" t="s">
        <v>1913</v>
      </c>
      <c r="Z620">
        <v>32040</v>
      </c>
      <c r="AA620" t="s">
        <v>47</v>
      </c>
      <c r="AB620" t="s">
        <v>64</v>
      </c>
      <c r="AC620" t="s">
        <v>53</v>
      </c>
      <c r="AD620" s="16">
        <f t="shared" ref="AD620:AD627" si="78">IF(P620&lt;=1,7,7+0.8*ROUNDUP(P620-1,0))</f>
        <v>7</v>
      </c>
      <c r="AE620" s="15">
        <v>0</v>
      </c>
      <c r="AF620" s="15">
        <v>0</v>
      </c>
      <c r="AG620" s="15">
        <v>0</v>
      </c>
      <c r="AH620" s="15">
        <v>0</v>
      </c>
      <c r="AI620" s="15">
        <f t="shared" si="73"/>
        <v>0.42</v>
      </c>
      <c r="AJ620" s="15">
        <f t="shared" si="74"/>
        <v>7.42</v>
      </c>
      <c r="AK620" t="s">
        <v>47</v>
      </c>
    </row>
    <row r="621" spans="1:37" ht="15" customHeight="1" x14ac:dyDescent="0.35">
      <c r="A621">
        <v>690929</v>
      </c>
      <c r="B621" t="s">
        <v>37</v>
      </c>
      <c r="C621" t="s">
        <v>38</v>
      </c>
      <c r="D621" s="9" t="s">
        <v>39</v>
      </c>
      <c r="E621" s="10" t="s">
        <v>37</v>
      </c>
      <c r="F621" s="11"/>
      <c r="G621" t="s">
        <v>1914</v>
      </c>
      <c r="I621" t="s">
        <v>41</v>
      </c>
      <c r="J621" t="s">
        <v>1915</v>
      </c>
      <c r="K621" t="s">
        <v>43</v>
      </c>
      <c r="L621">
        <v>2</v>
      </c>
      <c r="M621" t="s">
        <v>44</v>
      </c>
      <c r="N621" t="s">
        <v>45</v>
      </c>
      <c r="O621" t="s">
        <v>46</v>
      </c>
      <c r="P621" s="5">
        <v>1</v>
      </c>
      <c r="Q621" s="12">
        <v>44760.751550925925</v>
      </c>
      <c r="R621" s="13">
        <v>44764</v>
      </c>
      <c r="T621" t="s">
        <v>47</v>
      </c>
      <c r="U621" t="s">
        <v>48</v>
      </c>
      <c r="V621" t="s">
        <v>85</v>
      </c>
      <c r="Y621" t="s">
        <v>1916</v>
      </c>
      <c r="Z621">
        <v>10600</v>
      </c>
      <c r="AA621" t="s">
        <v>47</v>
      </c>
      <c r="AB621" t="s">
        <v>64</v>
      </c>
      <c r="AC621" t="s">
        <v>53</v>
      </c>
      <c r="AD621" s="16">
        <f t="shared" si="78"/>
        <v>7</v>
      </c>
      <c r="AE621" s="15">
        <v>0</v>
      </c>
      <c r="AF621" s="15">
        <v>0</v>
      </c>
      <c r="AG621" s="15">
        <v>0</v>
      </c>
      <c r="AH621" s="15">
        <v>0</v>
      </c>
      <c r="AI621" s="15">
        <f t="shared" si="73"/>
        <v>0.42</v>
      </c>
      <c r="AJ621" s="15">
        <f t="shared" si="74"/>
        <v>7.42</v>
      </c>
      <c r="AK621" t="s">
        <v>47</v>
      </c>
    </row>
    <row r="622" spans="1:37" ht="15" customHeight="1" x14ac:dyDescent="0.35">
      <c r="A622">
        <v>690929</v>
      </c>
      <c r="B622" t="s">
        <v>37</v>
      </c>
      <c r="C622" t="s">
        <v>38</v>
      </c>
      <c r="D622" s="9" t="s">
        <v>39</v>
      </c>
      <c r="E622" s="10" t="s">
        <v>37</v>
      </c>
      <c r="F622" s="11"/>
      <c r="G622" t="s">
        <v>1917</v>
      </c>
      <c r="I622" t="s">
        <v>41</v>
      </c>
      <c r="J622" t="s">
        <v>1918</v>
      </c>
      <c r="K622" t="s">
        <v>43</v>
      </c>
      <c r="L622">
        <v>2</v>
      </c>
      <c r="M622" t="s">
        <v>44</v>
      </c>
      <c r="N622" t="s">
        <v>45</v>
      </c>
      <c r="O622" t="s">
        <v>46</v>
      </c>
      <c r="P622" s="5">
        <v>1</v>
      </c>
      <c r="Q622" s="12">
        <v>44762.728101851855</v>
      </c>
      <c r="R622" s="13">
        <v>44765</v>
      </c>
      <c r="T622" t="s">
        <v>47</v>
      </c>
      <c r="U622" t="s">
        <v>48</v>
      </c>
      <c r="V622" t="s">
        <v>114</v>
      </c>
      <c r="Y622" t="s">
        <v>1919</v>
      </c>
      <c r="Z622">
        <v>42300</v>
      </c>
      <c r="AA622" t="s">
        <v>47</v>
      </c>
      <c r="AB622" t="s">
        <v>56</v>
      </c>
      <c r="AC622" t="s">
        <v>53</v>
      </c>
      <c r="AD622" s="16">
        <f t="shared" si="78"/>
        <v>7</v>
      </c>
      <c r="AE622" s="15">
        <v>0</v>
      </c>
      <c r="AF622" s="15">
        <v>0</v>
      </c>
      <c r="AG622" s="15">
        <v>0</v>
      </c>
      <c r="AH622" s="15">
        <v>0</v>
      </c>
      <c r="AI622" s="15">
        <f t="shared" si="73"/>
        <v>0.42</v>
      </c>
      <c r="AJ622" s="15">
        <f t="shared" si="74"/>
        <v>7.42</v>
      </c>
      <c r="AK622" t="s">
        <v>47</v>
      </c>
    </row>
    <row r="623" spans="1:37" ht="15" customHeight="1" x14ac:dyDescent="0.35">
      <c r="A623">
        <v>690929</v>
      </c>
      <c r="B623" t="s">
        <v>37</v>
      </c>
      <c r="C623" t="s">
        <v>38</v>
      </c>
      <c r="D623" s="9" t="s">
        <v>39</v>
      </c>
      <c r="E623" s="10" t="s">
        <v>37</v>
      </c>
      <c r="F623" s="11"/>
      <c r="G623" t="s">
        <v>1920</v>
      </c>
      <c r="I623" t="s">
        <v>41</v>
      </c>
      <c r="J623" t="s">
        <v>1921</v>
      </c>
      <c r="K623" t="s">
        <v>43</v>
      </c>
      <c r="L623">
        <v>2</v>
      </c>
      <c r="M623" t="s">
        <v>44</v>
      </c>
      <c r="N623" t="s">
        <v>45</v>
      </c>
      <c r="O623" t="s">
        <v>46</v>
      </c>
      <c r="P623" s="5">
        <v>1</v>
      </c>
      <c r="Q623" s="12">
        <v>44763.553206018521</v>
      </c>
      <c r="R623" s="13">
        <v>44765</v>
      </c>
      <c r="T623" t="s">
        <v>47</v>
      </c>
      <c r="U623" t="s">
        <v>48</v>
      </c>
      <c r="V623" t="s">
        <v>71</v>
      </c>
      <c r="Y623" t="s">
        <v>1922</v>
      </c>
      <c r="Z623">
        <v>6700</v>
      </c>
      <c r="AA623" t="s">
        <v>47</v>
      </c>
      <c r="AB623" t="s">
        <v>64</v>
      </c>
      <c r="AC623" t="s">
        <v>53</v>
      </c>
      <c r="AD623" s="16">
        <f t="shared" si="78"/>
        <v>7</v>
      </c>
      <c r="AE623" s="15">
        <v>0</v>
      </c>
      <c r="AF623" s="15">
        <v>0</v>
      </c>
      <c r="AG623" s="15">
        <v>0</v>
      </c>
      <c r="AH623" s="15">
        <v>0</v>
      </c>
      <c r="AI623" s="15">
        <f t="shared" si="73"/>
        <v>0.42</v>
      </c>
      <c r="AJ623" s="15">
        <f t="shared" si="74"/>
        <v>7.42</v>
      </c>
      <c r="AK623" t="s">
        <v>47</v>
      </c>
    </row>
    <row r="624" spans="1:37" ht="15" customHeight="1" x14ac:dyDescent="0.35">
      <c r="A624">
        <v>690929</v>
      </c>
      <c r="B624" t="s">
        <v>37</v>
      </c>
      <c r="C624" t="s">
        <v>38</v>
      </c>
      <c r="D624" s="9" t="s">
        <v>39</v>
      </c>
      <c r="E624" s="10" t="s">
        <v>37</v>
      </c>
      <c r="F624" s="11"/>
      <c r="G624" t="s">
        <v>1923</v>
      </c>
      <c r="I624" t="s">
        <v>41</v>
      </c>
      <c r="J624" t="s">
        <v>1924</v>
      </c>
      <c r="K624" t="s">
        <v>43</v>
      </c>
      <c r="L624">
        <v>2</v>
      </c>
      <c r="M624" t="s">
        <v>44</v>
      </c>
      <c r="N624" t="s">
        <v>45</v>
      </c>
      <c r="O624" t="s">
        <v>46</v>
      </c>
      <c r="P624" s="5">
        <v>1</v>
      </c>
      <c r="Q624" s="12">
        <v>44762.729456018518</v>
      </c>
      <c r="R624" s="13">
        <v>44765</v>
      </c>
      <c r="T624" t="s">
        <v>47</v>
      </c>
      <c r="U624" t="s">
        <v>48</v>
      </c>
      <c r="V624" t="s">
        <v>100</v>
      </c>
      <c r="Y624" t="s">
        <v>1925</v>
      </c>
      <c r="Z624">
        <v>30020</v>
      </c>
      <c r="AA624" t="s">
        <v>47</v>
      </c>
      <c r="AB624" t="s">
        <v>64</v>
      </c>
      <c r="AC624" t="s">
        <v>53</v>
      </c>
      <c r="AD624" s="16">
        <f t="shared" si="78"/>
        <v>7</v>
      </c>
      <c r="AE624" s="15">
        <v>0</v>
      </c>
      <c r="AF624" s="15">
        <v>0</v>
      </c>
      <c r="AG624" s="15">
        <v>0</v>
      </c>
      <c r="AH624" s="15">
        <v>0</v>
      </c>
      <c r="AI624" s="15">
        <f t="shared" si="73"/>
        <v>0.42</v>
      </c>
      <c r="AJ624" s="15">
        <f t="shared" si="74"/>
        <v>7.42</v>
      </c>
      <c r="AK624" t="s">
        <v>47</v>
      </c>
    </row>
    <row r="625" spans="1:37" ht="15" customHeight="1" x14ac:dyDescent="0.35">
      <c r="A625">
        <v>690929</v>
      </c>
      <c r="B625" t="s">
        <v>37</v>
      </c>
      <c r="C625" t="s">
        <v>38</v>
      </c>
      <c r="D625" s="9" t="s">
        <v>39</v>
      </c>
      <c r="E625" s="10" t="s">
        <v>37</v>
      </c>
      <c r="F625" s="11"/>
      <c r="G625" t="s">
        <v>1926</v>
      </c>
      <c r="I625" t="s">
        <v>41</v>
      </c>
      <c r="J625" t="s">
        <v>1927</v>
      </c>
      <c r="K625" t="s">
        <v>43</v>
      </c>
      <c r="L625">
        <v>2</v>
      </c>
      <c r="M625" t="s">
        <v>44</v>
      </c>
      <c r="N625" t="s">
        <v>45</v>
      </c>
      <c r="O625" t="s">
        <v>46</v>
      </c>
      <c r="P625" s="5">
        <v>2</v>
      </c>
      <c r="Q625" s="12">
        <v>44763.753530092596</v>
      </c>
      <c r="R625" s="13">
        <v>44765</v>
      </c>
      <c r="T625" t="s">
        <v>47</v>
      </c>
      <c r="U625" t="s">
        <v>56</v>
      </c>
      <c r="V625" t="s">
        <v>114</v>
      </c>
      <c r="Y625" t="s">
        <v>1928</v>
      </c>
      <c r="Z625">
        <v>43800</v>
      </c>
      <c r="AA625" t="s">
        <v>47</v>
      </c>
      <c r="AB625" t="s">
        <v>1929</v>
      </c>
      <c r="AC625" t="s">
        <v>53</v>
      </c>
      <c r="AD625" s="16">
        <f t="shared" si="78"/>
        <v>7.8</v>
      </c>
      <c r="AE625" s="15">
        <v>0</v>
      </c>
      <c r="AF625" s="15">
        <v>0</v>
      </c>
      <c r="AG625" s="15">
        <v>0</v>
      </c>
      <c r="AH625" s="15">
        <v>0</v>
      </c>
      <c r="AI625" s="15">
        <f t="shared" si="73"/>
        <v>0.46799999999999997</v>
      </c>
      <c r="AJ625" s="15">
        <f t="shared" si="74"/>
        <v>8.2680000000000007</v>
      </c>
      <c r="AK625" t="s">
        <v>47</v>
      </c>
    </row>
    <row r="626" spans="1:37" ht="15" customHeight="1" x14ac:dyDescent="0.35">
      <c r="A626">
        <v>690929</v>
      </c>
      <c r="B626" t="s">
        <v>37</v>
      </c>
      <c r="C626" t="s">
        <v>38</v>
      </c>
      <c r="D626" s="9" t="s">
        <v>39</v>
      </c>
      <c r="E626" s="10" t="s">
        <v>37</v>
      </c>
      <c r="F626" s="11"/>
      <c r="G626" t="s">
        <v>1930</v>
      </c>
      <c r="I626" t="s">
        <v>41</v>
      </c>
      <c r="J626" t="s">
        <v>1931</v>
      </c>
      <c r="K626" t="s">
        <v>43</v>
      </c>
      <c r="L626">
        <v>2</v>
      </c>
      <c r="M626" t="s">
        <v>44</v>
      </c>
      <c r="N626" t="s">
        <v>45</v>
      </c>
      <c r="O626" t="s">
        <v>46</v>
      </c>
      <c r="P626" s="5">
        <v>1</v>
      </c>
      <c r="Q626" s="12">
        <v>44763.559236111112</v>
      </c>
      <c r="R626" s="13">
        <v>44765</v>
      </c>
      <c r="T626" t="s">
        <v>47</v>
      </c>
      <c r="U626" t="s">
        <v>48</v>
      </c>
      <c r="V626" t="s">
        <v>114</v>
      </c>
      <c r="Y626" t="s">
        <v>1932</v>
      </c>
      <c r="Z626">
        <v>43400</v>
      </c>
      <c r="AA626" t="s">
        <v>47</v>
      </c>
      <c r="AB626" t="s">
        <v>56</v>
      </c>
      <c r="AC626" t="s">
        <v>53</v>
      </c>
      <c r="AD626" s="16">
        <f t="shared" si="78"/>
        <v>7</v>
      </c>
      <c r="AE626" s="15">
        <v>0</v>
      </c>
      <c r="AF626" s="15">
        <v>0</v>
      </c>
      <c r="AG626" s="15">
        <v>0</v>
      </c>
      <c r="AH626" s="15">
        <v>0</v>
      </c>
      <c r="AI626" s="15">
        <f t="shared" si="73"/>
        <v>0.42</v>
      </c>
      <c r="AJ626" s="15">
        <f t="shared" si="74"/>
        <v>7.42</v>
      </c>
      <c r="AK626" t="s">
        <v>47</v>
      </c>
    </row>
    <row r="627" spans="1:37" ht="15" customHeight="1" x14ac:dyDescent="0.35">
      <c r="A627">
        <v>690929</v>
      </c>
      <c r="B627" t="s">
        <v>37</v>
      </c>
      <c r="C627" t="s">
        <v>38</v>
      </c>
      <c r="D627" s="9" t="s">
        <v>39</v>
      </c>
      <c r="E627" s="10" t="s">
        <v>37</v>
      </c>
      <c r="F627" s="11"/>
      <c r="G627" t="s">
        <v>1933</v>
      </c>
      <c r="I627" t="s">
        <v>41</v>
      </c>
      <c r="J627" t="s">
        <v>1934</v>
      </c>
      <c r="K627" t="s">
        <v>43</v>
      </c>
      <c r="L627">
        <v>2</v>
      </c>
      <c r="M627" t="s">
        <v>44</v>
      </c>
      <c r="N627" t="s">
        <v>45</v>
      </c>
      <c r="O627" t="s">
        <v>46</v>
      </c>
      <c r="P627" s="5">
        <v>1</v>
      </c>
      <c r="Q627" s="12">
        <v>44763.5468287037</v>
      </c>
      <c r="R627" s="13">
        <v>44765</v>
      </c>
      <c r="T627" t="s">
        <v>47</v>
      </c>
      <c r="U627" t="s">
        <v>48</v>
      </c>
      <c r="V627" t="s">
        <v>114</v>
      </c>
      <c r="Y627" t="s">
        <v>1935</v>
      </c>
      <c r="Z627">
        <v>40100</v>
      </c>
      <c r="AA627" t="s">
        <v>47</v>
      </c>
      <c r="AB627" t="s">
        <v>56</v>
      </c>
      <c r="AC627" t="s">
        <v>53</v>
      </c>
      <c r="AD627" s="16">
        <f t="shared" si="78"/>
        <v>7</v>
      </c>
      <c r="AE627" s="15">
        <v>0</v>
      </c>
      <c r="AF627" s="15">
        <v>0</v>
      </c>
      <c r="AG627" s="15">
        <v>0</v>
      </c>
      <c r="AH627" s="15">
        <v>0</v>
      </c>
      <c r="AI627" s="15">
        <f t="shared" si="73"/>
        <v>0.42</v>
      </c>
      <c r="AJ627" s="15">
        <f t="shared" si="74"/>
        <v>7.42</v>
      </c>
      <c r="AK627" t="s">
        <v>47</v>
      </c>
    </row>
    <row r="628" spans="1:37" ht="15" customHeight="1" x14ac:dyDescent="0.35">
      <c r="A628">
        <v>690929</v>
      </c>
      <c r="B628" t="s">
        <v>37</v>
      </c>
      <c r="C628" t="s">
        <v>38</v>
      </c>
      <c r="D628" s="9" t="s">
        <v>39</v>
      </c>
      <c r="E628" s="10" t="s">
        <v>37</v>
      </c>
      <c r="F628" s="11"/>
      <c r="G628" t="s">
        <v>1936</v>
      </c>
      <c r="I628" t="s">
        <v>41</v>
      </c>
      <c r="J628" t="s">
        <v>1937</v>
      </c>
      <c r="K628" t="s">
        <v>43</v>
      </c>
      <c r="L628">
        <v>2</v>
      </c>
      <c r="M628" t="s">
        <v>44</v>
      </c>
      <c r="N628" t="s">
        <v>45</v>
      </c>
      <c r="O628" t="s">
        <v>46</v>
      </c>
      <c r="P628" s="5">
        <v>1</v>
      </c>
      <c r="Q628" s="12">
        <v>44757.63958333333</v>
      </c>
      <c r="R628" s="13">
        <v>44765</v>
      </c>
      <c r="T628" t="s">
        <v>47</v>
      </c>
      <c r="U628" t="s">
        <v>48</v>
      </c>
      <c r="V628" t="s">
        <v>57</v>
      </c>
      <c r="Y628" t="s">
        <v>1938</v>
      </c>
      <c r="Z628">
        <v>89158</v>
      </c>
      <c r="AA628" t="s">
        <v>51</v>
      </c>
      <c r="AB628" t="s">
        <v>64</v>
      </c>
      <c r="AC628" t="s">
        <v>53</v>
      </c>
      <c r="AD628" s="14">
        <f>IF(P628&lt;=1,13,IF(P628&lt;=2,23,IF(P628&lt;=3,35,IF(P628&lt;=4,43,IF(P628&lt;=5,53,IF(P628&lt;=6,63,IF(P628&lt;=7,71,IF(P628&lt;=8,79,IF(P628&lt;=9,87,IF(P628&lt;=10,95,IF(P628&lt;=11,105,IF(P628&lt;=12,114,IF(P628&lt;=13,119,IF(P628&lt;=14,127,IF(P628&lt;=15,135,IF(P628&lt;=16,143,IF(P628&lt;=17,153,IF(P628&lt;=18,163,IF(P628&lt;=19,171,IF(P628&lt;=20,185,IF(P628&lt;=21,193,IF(P628&lt;=22,201,IF(P628&lt;=23,210,IF(P628&lt;=24,220,IF(P628&lt;=25,230,IF(P628&lt;=26,240,IF(P628&lt;=27,250,IF(P628&lt;=28,260,IF(P628&lt;=29,270,IF(P628&lt;=30,280,280))))))))))))))))))))))))))))))</f>
        <v>13</v>
      </c>
      <c r="AE628" s="15">
        <v>0</v>
      </c>
      <c r="AF628" s="15">
        <v>0</v>
      </c>
      <c r="AG628" s="15">
        <v>0</v>
      </c>
      <c r="AH628" s="15">
        <v>0</v>
      </c>
      <c r="AI628" s="15">
        <f t="shared" si="73"/>
        <v>0.78</v>
      </c>
      <c r="AJ628" s="15">
        <f t="shared" si="74"/>
        <v>13.78</v>
      </c>
      <c r="AK628" t="s">
        <v>51</v>
      </c>
    </row>
    <row r="629" spans="1:37" ht="15" customHeight="1" x14ac:dyDescent="0.35">
      <c r="A629">
        <v>690929</v>
      </c>
      <c r="B629" t="s">
        <v>37</v>
      </c>
      <c r="C629" t="s">
        <v>38</v>
      </c>
      <c r="D629" s="9" t="s">
        <v>39</v>
      </c>
      <c r="E629" s="10" t="s">
        <v>37</v>
      </c>
      <c r="F629" s="11"/>
      <c r="G629" t="s">
        <v>1939</v>
      </c>
      <c r="I629" t="s">
        <v>41</v>
      </c>
      <c r="J629" t="s">
        <v>1940</v>
      </c>
      <c r="K629" t="s">
        <v>43</v>
      </c>
      <c r="L629">
        <v>2</v>
      </c>
      <c r="M629" t="s">
        <v>44</v>
      </c>
      <c r="N629" t="s">
        <v>45</v>
      </c>
      <c r="O629" t="s">
        <v>46</v>
      </c>
      <c r="P629" s="5">
        <v>1</v>
      </c>
      <c r="Q629" s="12">
        <v>44765.513321759259</v>
      </c>
      <c r="R629" s="13">
        <v>44766</v>
      </c>
      <c r="T629" t="s">
        <v>47</v>
      </c>
      <c r="U629" t="s">
        <v>48</v>
      </c>
      <c r="V629" t="s">
        <v>96</v>
      </c>
      <c r="Y629" t="s">
        <v>1941</v>
      </c>
      <c r="Z629">
        <v>18000</v>
      </c>
      <c r="AA629" t="s">
        <v>47</v>
      </c>
      <c r="AB629" t="s">
        <v>56</v>
      </c>
      <c r="AC629" t="s">
        <v>53</v>
      </c>
      <c r="AD629" s="16">
        <f t="shared" ref="AD629:AD634" si="79">IF(P629&lt;=1,7,7+0.8*ROUNDUP(P629-1,0))</f>
        <v>7</v>
      </c>
      <c r="AE629" s="15">
        <v>0</v>
      </c>
      <c r="AF629" s="15">
        <v>0</v>
      </c>
      <c r="AG629" s="15">
        <v>0</v>
      </c>
      <c r="AH629" s="15">
        <v>0</v>
      </c>
      <c r="AI629" s="15">
        <f t="shared" si="73"/>
        <v>0.42</v>
      </c>
      <c r="AJ629" s="15">
        <f t="shared" si="74"/>
        <v>7.42</v>
      </c>
      <c r="AK629" t="s">
        <v>47</v>
      </c>
    </row>
    <row r="630" spans="1:37" ht="15" customHeight="1" x14ac:dyDescent="0.35">
      <c r="A630">
        <v>690929</v>
      </c>
      <c r="B630" t="s">
        <v>37</v>
      </c>
      <c r="C630" t="s">
        <v>38</v>
      </c>
      <c r="D630" s="9" t="s">
        <v>39</v>
      </c>
      <c r="E630" s="10" t="s">
        <v>37</v>
      </c>
      <c r="F630" s="11"/>
      <c r="G630" t="s">
        <v>1942</v>
      </c>
      <c r="I630" t="s">
        <v>41</v>
      </c>
      <c r="J630" t="s">
        <v>1943</v>
      </c>
      <c r="K630" t="s">
        <v>43</v>
      </c>
      <c r="L630">
        <v>2</v>
      </c>
      <c r="M630" t="s">
        <v>44</v>
      </c>
      <c r="N630" t="s">
        <v>45</v>
      </c>
      <c r="O630" t="s">
        <v>46</v>
      </c>
      <c r="P630" s="5">
        <v>1</v>
      </c>
      <c r="Q630" s="12">
        <v>44765.467418981483</v>
      </c>
      <c r="R630" s="13">
        <v>44766</v>
      </c>
      <c r="T630" t="s">
        <v>47</v>
      </c>
      <c r="U630" t="s">
        <v>48</v>
      </c>
      <c r="V630" t="s">
        <v>96</v>
      </c>
      <c r="Y630" t="s">
        <v>1944</v>
      </c>
      <c r="Z630">
        <v>16150</v>
      </c>
      <c r="AA630" t="s">
        <v>47</v>
      </c>
      <c r="AB630" t="s">
        <v>56</v>
      </c>
      <c r="AC630" t="s">
        <v>53</v>
      </c>
      <c r="AD630" s="16">
        <f t="shared" si="79"/>
        <v>7</v>
      </c>
      <c r="AE630" s="15">
        <v>0</v>
      </c>
      <c r="AF630" s="15">
        <v>0</v>
      </c>
      <c r="AG630" s="15">
        <v>0</v>
      </c>
      <c r="AH630" s="15">
        <v>0</v>
      </c>
      <c r="AI630" s="15">
        <f t="shared" si="73"/>
        <v>0.42</v>
      </c>
      <c r="AJ630" s="15">
        <f t="shared" si="74"/>
        <v>7.42</v>
      </c>
      <c r="AK630" t="s">
        <v>47</v>
      </c>
    </row>
    <row r="631" spans="1:37" ht="15" customHeight="1" x14ac:dyDescent="0.35">
      <c r="A631">
        <v>690929</v>
      </c>
      <c r="B631" t="s">
        <v>37</v>
      </c>
      <c r="C631" t="s">
        <v>38</v>
      </c>
      <c r="D631" s="9" t="s">
        <v>39</v>
      </c>
      <c r="E631" s="10" t="s">
        <v>37</v>
      </c>
      <c r="F631" s="11"/>
      <c r="G631" t="s">
        <v>1945</v>
      </c>
      <c r="I631" t="s">
        <v>41</v>
      </c>
      <c r="J631" t="s">
        <v>1946</v>
      </c>
      <c r="K631" t="s">
        <v>43</v>
      </c>
      <c r="L631">
        <v>2</v>
      </c>
      <c r="M631" t="s">
        <v>44</v>
      </c>
      <c r="N631" t="s">
        <v>45</v>
      </c>
      <c r="O631" t="s">
        <v>46</v>
      </c>
      <c r="P631" s="5">
        <v>1</v>
      </c>
      <c r="Q631" s="12">
        <v>44764.633622685185</v>
      </c>
      <c r="R631" s="13">
        <v>44766</v>
      </c>
      <c r="T631" t="s">
        <v>47</v>
      </c>
      <c r="U631" t="s">
        <v>48</v>
      </c>
      <c r="V631" t="s">
        <v>76</v>
      </c>
      <c r="Y631" t="s">
        <v>1947</v>
      </c>
      <c r="Z631">
        <v>21010</v>
      </c>
      <c r="AA631" t="s">
        <v>47</v>
      </c>
      <c r="AB631" t="s">
        <v>1032</v>
      </c>
      <c r="AC631" t="s">
        <v>53</v>
      </c>
      <c r="AD631" s="16">
        <f t="shared" si="79"/>
        <v>7</v>
      </c>
      <c r="AE631" s="15">
        <v>0</v>
      </c>
      <c r="AF631" s="15">
        <v>0</v>
      </c>
      <c r="AG631" s="15">
        <v>0</v>
      </c>
      <c r="AH631" s="15">
        <v>0</v>
      </c>
      <c r="AI631" s="15">
        <f t="shared" si="73"/>
        <v>0.42</v>
      </c>
      <c r="AJ631" s="15">
        <f t="shared" si="74"/>
        <v>7.42</v>
      </c>
      <c r="AK631" t="s">
        <v>47</v>
      </c>
    </row>
    <row r="632" spans="1:37" ht="15" customHeight="1" x14ac:dyDescent="0.35">
      <c r="A632">
        <v>690929</v>
      </c>
      <c r="B632" t="s">
        <v>37</v>
      </c>
      <c r="C632" t="s">
        <v>38</v>
      </c>
      <c r="D632" s="9" t="s">
        <v>39</v>
      </c>
      <c r="E632" s="10" t="s">
        <v>37</v>
      </c>
      <c r="F632" s="11"/>
      <c r="G632" t="s">
        <v>1948</v>
      </c>
      <c r="I632" t="s">
        <v>41</v>
      </c>
      <c r="J632" t="s">
        <v>1949</v>
      </c>
      <c r="K632" t="s">
        <v>43</v>
      </c>
      <c r="L632">
        <v>2</v>
      </c>
      <c r="M632" t="s">
        <v>44</v>
      </c>
      <c r="N632" t="s">
        <v>45</v>
      </c>
      <c r="O632" t="s">
        <v>46</v>
      </c>
      <c r="P632" s="5">
        <v>1</v>
      </c>
      <c r="Q632" s="12">
        <v>44765.514606481483</v>
      </c>
      <c r="R632" s="13">
        <v>44766</v>
      </c>
      <c r="T632" t="s">
        <v>47</v>
      </c>
      <c r="U632" t="s">
        <v>48</v>
      </c>
      <c r="V632" t="s">
        <v>96</v>
      </c>
      <c r="Y632" t="s">
        <v>1950</v>
      </c>
      <c r="Z632">
        <v>18000</v>
      </c>
      <c r="AA632" t="s">
        <v>47</v>
      </c>
      <c r="AB632" t="s">
        <v>56</v>
      </c>
      <c r="AC632" t="s">
        <v>53</v>
      </c>
      <c r="AD632" s="16">
        <f t="shared" si="79"/>
        <v>7</v>
      </c>
      <c r="AE632" s="15">
        <v>0</v>
      </c>
      <c r="AF632" s="15">
        <v>0</v>
      </c>
      <c r="AG632" s="15">
        <v>0</v>
      </c>
      <c r="AH632" s="15">
        <v>0</v>
      </c>
      <c r="AI632" s="15">
        <f t="shared" si="73"/>
        <v>0.42</v>
      </c>
      <c r="AJ632" s="15">
        <f t="shared" si="74"/>
        <v>7.42</v>
      </c>
      <c r="AK632" t="s">
        <v>47</v>
      </c>
    </row>
    <row r="633" spans="1:37" ht="15" customHeight="1" x14ac:dyDescent="0.35">
      <c r="A633">
        <v>690929</v>
      </c>
      <c r="B633" t="s">
        <v>37</v>
      </c>
      <c r="C633" t="s">
        <v>38</v>
      </c>
      <c r="D633" s="9" t="s">
        <v>39</v>
      </c>
      <c r="E633" s="10" t="s">
        <v>37</v>
      </c>
      <c r="F633" s="11"/>
      <c r="G633" t="s">
        <v>1951</v>
      </c>
      <c r="I633" t="s">
        <v>41</v>
      </c>
      <c r="J633" t="s">
        <v>1952</v>
      </c>
      <c r="K633" t="s">
        <v>43</v>
      </c>
      <c r="L633">
        <v>2</v>
      </c>
      <c r="M633" t="s">
        <v>44</v>
      </c>
      <c r="N633" t="s">
        <v>45</v>
      </c>
      <c r="O633" t="s">
        <v>46</v>
      </c>
      <c r="P633" s="5">
        <v>1</v>
      </c>
      <c r="Q633" s="12">
        <v>44764.629560185182</v>
      </c>
      <c r="R633" s="13">
        <v>44766</v>
      </c>
      <c r="T633" t="s">
        <v>47</v>
      </c>
      <c r="U633" t="s">
        <v>48</v>
      </c>
      <c r="V633" t="s">
        <v>67</v>
      </c>
      <c r="Y633" t="s">
        <v>1953</v>
      </c>
      <c r="Z633">
        <v>27000</v>
      </c>
      <c r="AA633" t="s">
        <v>47</v>
      </c>
      <c r="AB633" t="s">
        <v>48</v>
      </c>
      <c r="AC633" t="s">
        <v>53</v>
      </c>
      <c r="AD633" s="16">
        <f t="shared" si="79"/>
        <v>7</v>
      </c>
      <c r="AE633" s="15">
        <v>0</v>
      </c>
      <c r="AF633" s="15">
        <v>0</v>
      </c>
      <c r="AG633" s="15">
        <v>0</v>
      </c>
      <c r="AH633" s="15">
        <v>0</v>
      </c>
      <c r="AI633" s="15">
        <f t="shared" si="73"/>
        <v>0.42</v>
      </c>
      <c r="AJ633" s="15">
        <f t="shared" si="74"/>
        <v>7.42</v>
      </c>
      <c r="AK633" t="s">
        <v>47</v>
      </c>
    </row>
    <row r="634" spans="1:37" ht="15" customHeight="1" x14ac:dyDescent="0.35">
      <c r="A634">
        <v>690929</v>
      </c>
      <c r="B634" t="s">
        <v>37</v>
      </c>
      <c r="C634" t="s">
        <v>38</v>
      </c>
      <c r="D634" s="9" t="s">
        <v>39</v>
      </c>
      <c r="E634" s="10" t="s">
        <v>37</v>
      </c>
      <c r="F634" s="11"/>
      <c r="G634" t="s">
        <v>1954</v>
      </c>
      <c r="I634" t="s">
        <v>41</v>
      </c>
      <c r="J634" t="s">
        <v>1955</v>
      </c>
      <c r="K634" t="s">
        <v>43</v>
      </c>
      <c r="L634">
        <v>2</v>
      </c>
      <c r="M634" t="s">
        <v>44</v>
      </c>
      <c r="N634" t="s">
        <v>45</v>
      </c>
      <c r="O634" t="s">
        <v>46</v>
      </c>
      <c r="P634" s="5">
        <v>2</v>
      </c>
      <c r="Q634" s="12">
        <v>44764.621412037035</v>
      </c>
      <c r="R634" s="13">
        <v>44766</v>
      </c>
      <c r="T634" t="s">
        <v>47</v>
      </c>
      <c r="U634" t="s">
        <v>48</v>
      </c>
      <c r="V634" t="s">
        <v>96</v>
      </c>
      <c r="Y634" t="s">
        <v>1956</v>
      </c>
      <c r="Z634">
        <v>17600</v>
      </c>
      <c r="AA634" t="s">
        <v>47</v>
      </c>
      <c r="AB634" t="s">
        <v>56</v>
      </c>
      <c r="AC634" t="s">
        <v>53</v>
      </c>
      <c r="AD634" s="16">
        <f t="shared" si="79"/>
        <v>7.8</v>
      </c>
      <c r="AE634" s="15">
        <v>0</v>
      </c>
      <c r="AF634" s="15">
        <v>0</v>
      </c>
      <c r="AG634" s="15">
        <v>0</v>
      </c>
      <c r="AH634" s="15">
        <v>0</v>
      </c>
      <c r="AI634" s="15">
        <f t="shared" si="73"/>
        <v>0.46799999999999997</v>
      </c>
      <c r="AJ634" s="15">
        <f t="shared" si="74"/>
        <v>8.2680000000000007</v>
      </c>
      <c r="AK634" t="s">
        <v>47</v>
      </c>
    </row>
    <row r="635" spans="1:37" ht="15" customHeight="1" x14ac:dyDescent="0.35">
      <c r="A635">
        <v>690929</v>
      </c>
      <c r="B635" t="s">
        <v>37</v>
      </c>
      <c r="C635" t="s">
        <v>38</v>
      </c>
      <c r="D635" s="9" t="s">
        <v>39</v>
      </c>
      <c r="E635" s="10" t="s">
        <v>37</v>
      </c>
      <c r="F635" s="11"/>
      <c r="G635" t="s">
        <v>1957</v>
      </c>
      <c r="I635" t="s">
        <v>41</v>
      </c>
      <c r="J635" t="s">
        <v>1958</v>
      </c>
      <c r="K635" t="s">
        <v>43</v>
      </c>
      <c r="L635">
        <v>2</v>
      </c>
      <c r="M635" t="s">
        <v>44</v>
      </c>
      <c r="N635" t="s">
        <v>45</v>
      </c>
      <c r="O635" t="s">
        <v>46</v>
      </c>
      <c r="P635" s="5">
        <v>1</v>
      </c>
      <c r="Q635" s="12">
        <v>44764.61996527778</v>
      </c>
      <c r="R635" s="13">
        <v>44766</v>
      </c>
      <c r="T635" t="s">
        <v>47</v>
      </c>
      <c r="U635" t="s">
        <v>48</v>
      </c>
      <c r="V635" t="s">
        <v>67</v>
      </c>
      <c r="Y635" t="s">
        <v>1959</v>
      </c>
      <c r="Z635">
        <v>26600</v>
      </c>
      <c r="AA635" t="s">
        <v>47</v>
      </c>
      <c r="AB635" t="s">
        <v>48</v>
      </c>
      <c r="AC635" t="s">
        <v>53</v>
      </c>
      <c r="AD635" s="16">
        <f>IF(P635&lt;=1,7,7+0.8*ROUNDUP(P635-1,0))</f>
        <v>7</v>
      </c>
      <c r="AE635" s="15">
        <v>0</v>
      </c>
      <c r="AF635" s="15">
        <v>0</v>
      </c>
      <c r="AG635" s="15">
        <v>0</v>
      </c>
      <c r="AH635" s="15">
        <v>0</v>
      </c>
      <c r="AI635" s="15">
        <f t="shared" si="73"/>
        <v>0.42</v>
      </c>
      <c r="AJ635" s="15">
        <f t="shared" si="74"/>
        <v>7.42</v>
      </c>
      <c r="AK635" t="s">
        <v>47</v>
      </c>
    </row>
    <row r="636" spans="1:37" ht="15" customHeight="1" x14ac:dyDescent="0.35">
      <c r="A636">
        <v>690929</v>
      </c>
      <c r="B636" t="s">
        <v>37</v>
      </c>
      <c r="C636" t="s">
        <v>38</v>
      </c>
      <c r="D636" s="9" t="s">
        <v>39</v>
      </c>
      <c r="E636" s="10" t="s">
        <v>37</v>
      </c>
      <c r="F636" s="11"/>
      <c r="G636" t="s">
        <v>1960</v>
      </c>
      <c r="I636" t="s">
        <v>41</v>
      </c>
      <c r="J636" t="s">
        <v>1961</v>
      </c>
      <c r="K636" t="s">
        <v>43</v>
      </c>
      <c r="L636">
        <v>2</v>
      </c>
      <c r="M636" t="s">
        <v>44</v>
      </c>
      <c r="N636" t="s">
        <v>45</v>
      </c>
      <c r="O636" t="s">
        <v>46</v>
      </c>
      <c r="P636" s="5">
        <v>1</v>
      </c>
      <c r="Q636" s="12">
        <v>44763.763101851851</v>
      </c>
      <c r="R636" s="13">
        <v>44766</v>
      </c>
      <c r="T636" t="s">
        <v>47</v>
      </c>
      <c r="U636" t="s">
        <v>56</v>
      </c>
      <c r="V636" t="s">
        <v>114</v>
      </c>
      <c r="Y636" t="s">
        <v>1962</v>
      </c>
      <c r="Z636">
        <v>43000</v>
      </c>
      <c r="AA636" t="s">
        <v>47</v>
      </c>
      <c r="AB636" t="s">
        <v>56</v>
      </c>
      <c r="AC636" t="s">
        <v>53</v>
      </c>
      <c r="AD636" s="16">
        <f t="shared" ref="AD636:AD648" si="80">IF(P636&lt;=1,7,7+0.8*ROUNDUP(P636-1,0))</f>
        <v>7</v>
      </c>
      <c r="AE636" s="15">
        <v>0</v>
      </c>
      <c r="AF636" s="15">
        <v>0</v>
      </c>
      <c r="AG636" s="15">
        <v>0</v>
      </c>
      <c r="AH636" s="15">
        <v>0</v>
      </c>
      <c r="AI636" s="15">
        <f t="shared" si="73"/>
        <v>0.42</v>
      </c>
      <c r="AJ636" s="15">
        <f t="shared" si="74"/>
        <v>7.42</v>
      </c>
      <c r="AK636" t="s">
        <v>47</v>
      </c>
    </row>
    <row r="637" spans="1:37" ht="15" customHeight="1" x14ac:dyDescent="0.35">
      <c r="A637">
        <v>690929</v>
      </c>
      <c r="B637" t="s">
        <v>37</v>
      </c>
      <c r="C637" t="s">
        <v>38</v>
      </c>
      <c r="D637" s="9" t="s">
        <v>39</v>
      </c>
      <c r="E637" s="10" t="s">
        <v>37</v>
      </c>
      <c r="F637" s="11"/>
      <c r="G637" t="s">
        <v>1963</v>
      </c>
      <c r="I637" t="s">
        <v>41</v>
      </c>
      <c r="J637" t="s">
        <v>1964</v>
      </c>
      <c r="K637" t="s">
        <v>43</v>
      </c>
      <c r="L637">
        <v>2</v>
      </c>
      <c r="M637" t="s">
        <v>44</v>
      </c>
      <c r="N637" t="s">
        <v>45</v>
      </c>
      <c r="O637" t="s">
        <v>46</v>
      </c>
      <c r="P637" s="5">
        <v>1</v>
      </c>
      <c r="Q637" s="12">
        <v>44765.614328703705</v>
      </c>
      <c r="R637" s="13">
        <v>44766</v>
      </c>
      <c r="T637" t="s">
        <v>47</v>
      </c>
      <c r="U637" t="s">
        <v>48</v>
      </c>
      <c r="V637" t="s">
        <v>96</v>
      </c>
      <c r="Y637" t="s">
        <v>1965</v>
      </c>
      <c r="Z637">
        <v>16200</v>
      </c>
      <c r="AA637" t="s">
        <v>47</v>
      </c>
      <c r="AB637" t="s">
        <v>56</v>
      </c>
      <c r="AC637" t="s">
        <v>53</v>
      </c>
      <c r="AD637" s="16">
        <f t="shared" si="80"/>
        <v>7</v>
      </c>
      <c r="AE637" s="15">
        <v>0</v>
      </c>
      <c r="AF637" s="15">
        <v>0</v>
      </c>
      <c r="AG637" s="15">
        <v>0</v>
      </c>
      <c r="AH637" s="15">
        <v>0</v>
      </c>
      <c r="AI637" s="15">
        <f t="shared" si="73"/>
        <v>0.42</v>
      </c>
      <c r="AJ637" s="15">
        <f t="shared" si="74"/>
        <v>7.42</v>
      </c>
      <c r="AK637" t="s">
        <v>47</v>
      </c>
    </row>
    <row r="638" spans="1:37" ht="15" customHeight="1" x14ac:dyDescent="0.35">
      <c r="A638">
        <v>690929</v>
      </c>
      <c r="B638" t="s">
        <v>37</v>
      </c>
      <c r="C638" t="s">
        <v>38</v>
      </c>
      <c r="D638" s="9" t="s">
        <v>39</v>
      </c>
      <c r="E638" s="10" t="s">
        <v>37</v>
      </c>
      <c r="F638" s="11"/>
      <c r="G638" t="s">
        <v>1966</v>
      </c>
      <c r="I638" t="s">
        <v>41</v>
      </c>
      <c r="J638" t="s">
        <v>1967</v>
      </c>
      <c r="K638" t="s">
        <v>43</v>
      </c>
      <c r="L638">
        <v>2</v>
      </c>
      <c r="M638" t="s">
        <v>44</v>
      </c>
      <c r="N638" t="s">
        <v>45</v>
      </c>
      <c r="O638" t="s">
        <v>46</v>
      </c>
      <c r="P638" s="5">
        <v>1</v>
      </c>
      <c r="Q638" s="12">
        <v>44764.632222222222</v>
      </c>
      <c r="R638" s="13">
        <v>44766</v>
      </c>
      <c r="T638" t="s">
        <v>47</v>
      </c>
      <c r="U638" t="s">
        <v>48</v>
      </c>
      <c r="V638" t="s">
        <v>96</v>
      </c>
      <c r="Y638" t="s">
        <v>1968</v>
      </c>
      <c r="Z638">
        <v>18400</v>
      </c>
      <c r="AA638" t="s">
        <v>47</v>
      </c>
      <c r="AB638" t="s">
        <v>56</v>
      </c>
      <c r="AC638" t="s">
        <v>53</v>
      </c>
      <c r="AD638" s="16">
        <f t="shared" si="80"/>
        <v>7</v>
      </c>
      <c r="AE638" s="15">
        <v>0</v>
      </c>
      <c r="AF638" s="15">
        <v>0</v>
      </c>
      <c r="AG638" s="15">
        <v>0</v>
      </c>
      <c r="AH638" s="15">
        <v>0</v>
      </c>
      <c r="AI638" s="15">
        <f t="shared" si="73"/>
        <v>0.42</v>
      </c>
      <c r="AJ638" s="15">
        <f t="shared" si="74"/>
        <v>7.42</v>
      </c>
      <c r="AK638" t="s">
        <v>47</v>
      </c>
    </row>
    <row r="639" spans="1:37" ht="15" customHeight="1" x14ac:dyDescent="0.35">
      <c r="A639">
        <v>690929</v>
      </c>
      <c r="B639" t="s">
        <v>37</v>
      </c>
      <c r="C639" t="s">
        <v>38</v>
      </c>
      <c r="D639" s="9" t="s">
        <v>39</v>
      </c>
      <c r="E639" s="10" t="s">
        <v>37</v>
      </c>
      <c r="F639" s="11"/>
      <c r="G639" t="s">
        <v>1969</v>
      </c>
      <c r="I639" t="s">
        <v>41</v>
      </c>
      <c r="J639" t="s">
        <v>1970</v>
      </c>
      <c r="K639" t="s">
        <v>43</v>
      </c>
      <c r="L639">
        <v>2</v>
      </c>
      <c r="M639" t="s">
        <v>44</v>
      </c>
      <c r="N639" t="s">
        <v>45</v>
      </c>
      <c r="O639" t="s">
        <v>46</v>
      </c>
      <c r="P639" s="5">
        <v>1</v>
      </c>
      <c r="Q639" s="12">
        <v>44766.610219907408</v>
      </c>
      <c r="R639" s="13">
        <v>44767</v>
      </c>
      <c r="T639" t="s">
        <v>47</v>
      </c>
      <c r="U639" t="s">
        <v>48</v>
      </c>
      <c r="V639" t="s">
        <v>96</v>
      </c>
      <c r="Y639" t="s">
        <v>1971</v>
      </c>
      <c r="Z639">
        <v>18000</v>
      </c>
      <c r="AA639" t="s">
        <v>47</v>
      </c>
      <c r="AB639" t="s">
        <v>56</v>
      </c>
      <c r="AC639" t="s">
        <v>53</v>
      </c>
      <c r="AD639" s="16">
        <f t="shared" si="80"/>
        <v>7</v>
      </c>
      <c r="AE639" s="15">
        <v>0</v>
      </c>
      <c r="AF639" s="15">
        <v>0</v>
      </c>
      <c r="AG639" s="15">
        <v>0</v>
      </c>
      <c r="AH639" s="15">
        <v>0</v>
      </c>
      <c r="AI639" s="15">
        <f t="shared" si="73"/>
        <v>0.42</v>
      </c>
      <c r="AJ639" s="15">
        <f t="shared" si="74"/>
        <v>7.42</v>
      </c>
      <c r="AK639" t="s">
        <v>47</v>
      </c>
    </row>
    <row r="640" spans="1:37" ht="15" customHeight="1" x14ac:dyDescent="0.35">
      <c r="A640">
        <v>690929</v>
      </c>
      <c r="B640" t="s">
        <v>37</v>
      </c>
      <c r="C640" t="s">
        <v>38</v>
      </c>
      <c r="D640" s="9" t="s">
        <v>39</v>
      </c>
      <c r="E640" s="10" t="s">
        <v>37</v>
      </c>
      <c r="F640" s="11"/>
      <c r="G640" t="s">
        <v>1972</v>
      </c>
      <c r="I640" t="s">
        <v>41</v>
      </c>
      <c r="J640" t="s">
        <v>1973</v>
      </c>
      <c r="K640" t="s">
        <v>43</v>
      </c>
      <c r="L640">
        <v>2</v>
      </c>
      <c r="M640" t="s">
        <v>44</v>
      </c>
      <c r="N640" t="s">
        <v>45</v>
      </c>
      <c r="O640" t="s">
        <v>46</v>
      </c>
      <c r="P640" s="5">
        <v>1</v>
      </c>
      <c r="Q640" s="12">
        <v>44765.465428240743</v>
      </c>
      <c r="R640" s="13">
        <v>44767</v>
      </c>
      <c r="T640" t="s">
        <v>47</v>
      </c>
      <c r="U640" t="s">
        <v>48</v>
      </c>
      <c r="V640" t="s">
        <v>62</v>
      </c>
      <c r="Y640" t="s">
        <v>1974</v>
      </c>
      <c r="Z640">
        <v>84000</v>
      </c>
      <c r="AA640" t="s">
        <v>47</v>
      </c>
      <c r="AB640" t="s">
        <v>64</v>
      </c>
      <c r="AC640" t="s">
        <v>53</v>
      </c>
      <c r="AD640" s="16">
        <f t="shared" si="80"/>
        <v>7</v>
      </c>
      <c r="AE640" s="15">
        <v>0</v>
      </c>
      <c r="AF640" s="15">
        <v>0</v>
      </c>
      <c r="AG640" s="15">
        <v>0</v>
      </c>
      <c r="AH640" s="15">
        <v>0</v>
      </c>
      <c r="AI640" s="15">
        <f t="shared" si="73"/>
        <v>0.42</v>
      </c>
      <c r="AJ640" s="15">
        <f t="shared" si="74"/>
        <v>7.42</v>
      </c>
      <c r="AK640" t="s">
        <v>47</v>
      </c>
    </row>
    <row r="641" spans="1:37" ht="15" customHeight="1" x14ac:dyDescent="0.35">
      <c r="A641">
        <v>690929</v>
      </c>
      <c r="B641" t="s">
        <v>37</v>
      </c>
      <c r="C641" t="s">
        <v>38</v>
      </c>
      <c r="D641" s="9" t="s">
        <v>39</v>
      </c>
      <c r="E641" s="10" t="s">
        <v>37</v>
      </c>
      <c r="F641" s="11"/>
      <c r="G641" t="s">
        <v>1975</v>
      </c>
      <c r="I641" t="s">
        <v>41</v>
      </c>
      <c r="J641" t="s">
        <v>1976</v>
      </c>
      <c r="K641" t="s">
        <v>43</v>
      </c>
      <c r="L641">
        <v>2</v>
      </c>
      <c r="M641" t="s">
        <v>44</v>
      </c>
      <c r="N641" t="s">
        <v>45</v>
      </c>
      <c r="O641" t="s">
        <v>46</v>
      </c>
      <c r="P641" s="5">
        <v>1</v>
      </c>
      <c r="Q641" s="12">
        <v>44764.623472222222</v>
      </c>
      <c r="R641" s="13">
        <v>44767</v>
      </c>
      <c r="T641" t="s">
        <v>47</v>
      </c>
      <c r="U641" t="s">
        <v>48</v>
      </c>
      <c r="V641" t="s">
        <v>100</v>
      </c>
      <c r="Y641" t="s">
        <v>1977</v>
      </c>
      <c r="Z641">
        <v>31900</v>
      </c>
      <c r="AA641" t="s">
        <v>47</v>
      </c>
      <c r="AB641" t="s">
        <v>64</v>
      </c>
      <c r="AC641" t="s">
        <v>53</v>
      </c>
      <c r="AD641" s="16">
        <f t="shared" si="80"/>
        <v>7</v>
      </c>
      <c r="AE641" s="15">
        <v>0</v>
      </c>
      <c r="AF641" s="15">
        <v>0</v>
      </c>
      <c r="AG641" s="15">
        <v>0</v>
      </c>
      <c r="AH641" s="15">
        <v>0</v>
      </c>
      <c r="AI641" s="15">
        <f t="shared" si="73"/>
        <v>0.42</v>
      </c>
      <c r="AJ641" s="15">
        <f t="shared" si="74"/>
        <v>7.42</v>
      </c>
      <c r="AK641" t="s">
        <v>47</v>
      </c>
    </row>
    <row r="642" spans="1:37" ht="15" customHeight="1" x14ac:dyDescent="0.35">
      <c r="A642">
        <v>690929</v>
      </c>
      <c r="B642" t="s">
        <v>37</v>
      </c>
      <c r="C642" t="s">
        <v>38</v>
      </c>
      <c r="D642" s="9" t="s">
        <v>39</v>
      </c>
      <c r="E642" s="10" t="s">
        <v>37</v>
      </c>
      <c r="F642" s="11"/>
      <c r="G642" t="s">
        <v>1978</v>
      </c>
      <c r="I642" t="s">
        <v>41</v>
      </c>
      <c r="J642" t="s">
        <v>1979</v>
      </c>
      <c r="K642" t="s">
        <v>43</v>
      </c>
      <c r="L642">
        <v>2</v>
      </c>
      <c r="M642" t="s">
        <v>44</v>
      </c>
      <c r="N642" t="s">
        <v>45</v>
      </c>
      <c r="O642" t="s">
        <v>46</v>
      </c>
      <c r="P642" s="5">
        <v>1</v>
      </c>
      <c r="Q642" s="12">
        <v>44765.610833333332</v>
      </c>
      <c r="R642" s="13">
        <v>44767</v>
      </c>
      <c r="T642" t="s">
        <v>47</v>
      </c>
      <c r="U642" t="s">
        <v>48</v>
      </c>
      <c r="V642" t="s">
        <v>85</v>
      </c>
      <c r="Y642" t="s">
        <v>1980</v>
      </c>
      <c r="Z642">
        <v>13210</v>
      </c>
      <c r="AA642" t="s">
        <v>47</v>
      </c>
      <c r="AB642" t="s">
        <v>64</v>
      </c>
      <c r="AC642" t="s">
        <v>53</v>
      </c>
      <c r="AD642" s="16">
        <f t="shared" si="80"/>
        <v>7</v>
      </c>
      <c r="AE642" s="15">
        <v>0</v>
      </c>
      <c r="AF642" s="15">
        <v>0</v>
      </c>
      <c r="AG642" s="15">
        <v>0</v>
      </c>
      <c r="AH642" s="15">
        <v>0</v>
      </c>
      <c r="AI642" s="15">
        <f t="shared" ref="AI642:AI705" si="81">(AD642+AF642+AH642)*6%</f>
        <v>0.42</v>
      </c>
      <c r="AJ642" s="15">
        <f t="shared" ref="AJ642:AJ705" si="82">AD642+AF642+AH642+AI642</f>
        <v>7.42</v>
      </c>
      <c r="AK642" t="s">
        <v>47</v>
      </c>
    </row>
    <row r="643" spans="1:37" ht="15" customHeight="1" x14ac:dyDescent="0.35">
      <c r="A643">
        <v>690929</v>
      </c>
      <c r="B643" t="s">
        <v>37</v>
      </c>
      <c r="C643" t="s">
        <v>38</v>
      </c>
      <c r="D643" s="9" t="s">
        <v>39</v>
      </c>
      <c r="E643" s="10" t="s">
        <v>37</v>
      </c>
      <c r="F643" s="11"/>
      <c r="G643" t="s">
        <v>1981</v>
      </c>
      <c r="I643" t="s">
        <v>41</v>
      </c>
      <c r="J643" t="s">
        <v>1982</v>
      </c>
      <c r="K643" t="s">
        <v>43</v>
      </c>
      <c r="L643">
        <v>2</v>
      </c>
      <c r="M643" t="s">
        <v>44</v>
      </c>
      <c r="N643" t="s">
        <v>45</v>
      </c>
      <c r="O643" t="s">
        <v>46</v>
      </c>
      <c r="P643" s="5">
        <v>1</v>
      </c>
      <c r="Q643" s="12">
        <v>44765.472002314818</v>
      </c>
      <c r="R643" s="13">
        <v>44767</v>
      </c>
      <c r="T643" t="s">
        <v>47</v>
      </c>
      <c r="U643" t="s">
        <v>48</v>
      </c>
      <c r="V643" t="s">
        <v>114</v>
      </c>
      <c r="Y643" t="s">
        <v>1983</v>
      </c>
      <c r="Z643">
        <v>47300</v>
      </c>
      <c r="AA643" t="s">
        <v>47</v>
      </c>
      <c r="AB643" t="s">
        <v>64</v>
      </c>
      <c r="AC643" t="s">
        <v>53</v>
      </c>
      <c r="AD643" s="16">
        <f t="shared" si="80"/>
        <v>7</v>
      </c>
      <c r="AE643" s="15">
        <v>0</v>
      </c>
      <c r="AF643" s="15">
        <v>0</v>
      </c>
      <c r="AG643" s="15">
        <v>0</v>
      </c>
      <c r="AH643" s="15">
        <v>0</v>
      </c>
      <c r="AI643" s="15">
        <f t="shared" si="81"/>
        <v>0.42</v>
      </c>
      <c r="AJ643" s="15">
        <f t="shared" si="82"/>
        <v>7.42</v>
      </c>
      <c r="AK643" t="s">
        <v>47</v>
      </c>
    </row>
    <row r="644" spans="1:37" ht="15" customHeight="1" x14ac:dyDescent="0.35">
      <c r="A644">
        <v>690929</v>
      </c>
      <c r="B644" t="s">
        <v>37</v>
      </c>
      <c r="C644" t="s">
        <v>38</v>
      </c>
      <c r="D644" s="9" t="s">
        <v>39</v>
      </c>
      <c r="E644" s="10" t="s">
        <v>37</v>
      </c>
      <c r="F644" s="11"/>
      <c r="G644" t="s">
        <v>1984</v>
      </c>
      <c r="I644" t="s">
        <v>41</v>
      </c>
      <c r="J644" t="s">
        <v>1985</v>
      </c>
      <c r="K644" t="s">
        <v>43</v>
      </c>
      <c r="L644">
        <v>2</v>
      </c>
      <c r="M644" t="s">
        <v>44</v>
      </c>
      <c r="N644" t="s">
        <v>45</v>
      </c>
      <c r="O644" t="s">
        <v>46</v>
      </c>
      <c r="P644" s="5">
        <v>1</v>
      </c>
      <c r="Q644" s="12">
        <v>44766.608923611115</v>
      </c>
      <c r="R644" s="13">
        <v>44767</v>
      </c>
      <c r="T644" t="s">
        <v>47</v>
      </c>
      <c r="U644" t="s">
        <v>48</v>
      </c>
      <c r="V644" t="s">
        <v>96</v>
      </c>
      <c r="Y644" t="s">
        <v>1986</v>
      </c>
      <c r="Z644">
        <v>16200</v>
      </c>
      <c r="AA644" t="s">
        <v>47</v>
      </c>
      <c r="AB644" t="s">
        <v>56</v>
      </c>
      <c r="AC644" t="s">
        <v>53</v>
      </c>
      <c r="AD644" s="16">
        <f t="shared" si="80"/>
        <v>7</v>
      </c>
      <c r="AE644" s="15">
        <v>0</v>
      </c>
      <c r="AF644" s="15">
        <v>0</v>
      </c>
      <c r="AG644" s="15">
        <v>0</v>
      </c>
      <c r="AH644" s="15">
        <v>0</v>
      </c>
      <c r="AI644" s="15">
        <f t="shared" si="81"/>
        <v>0.42</v>
      </c>
      <c r="AJ644" s="15">
        <f t="shared" si="82"/>
        <v>7.42</v>
      </c>
      <c r="AK644" t="s">
        <v>47</v>
      </c>
    </row>
    <row r="645" spans="1:37" ht="15" customHeight="1" x14ac:dyDescent="0.35">
      <c r="A645">
        <v>690929</v>
      </c>
      <c r="B645" t="s">
        <v>37</v>
      </c>
      <c r="C645" t="s">
        <v>38</v>
      </c>
      <c r="D645" s="9" t="s">
        <v>39</v>
      </c>
      <c r="E645" s="10" t="s">
        <v>37</v>
      </c>
      <c r="F645" s="11"/>
      <c r="G645" t="s">
        <v>1987</v>
      </c>
      <c r="I645" t="s">
        <v>41</v>
      </c>
      <c r="J645" t="s">
        <v>1988</v>
      </c>
      <c r="K645" t="s">
        <v>43</v>
      </c>
      <c r="L645">
        <v>2</v>
      </c>
      <c r="M645" t="s">
        <v>44</v>
      </c>
      <c r="N645" t="s">
        <v>45</v>
      </c>
      <c r="O645" t="s">
        <v>46</v>
      </c>
      <c r="P645" s="5">
        <v>1</v>
      </c>
      <c r="Q645" s="12">
        <v>44765.468923611108</v>
      </c>
      <c r="R645" s="13">
        <v>44767</v>
      </c>
      <c r="T645" t="s">
        <v>47</v>
      </c>
      <c r="U645" t="s">
        <v>48</v>
      </c>
      <c r="V645" t="s">
        <v>138</v>
      </c>
      <c r="Y645" t="s">
        <v>1989</v>
      </c>
      <c r="Z645">
        <v>71300</v>
      </c>
      <c r="AA645" t="s">
        <v>47</v>
      </c>
      <c r="AB645" t="s">
        <v>64</v>
      </c>
      <c r="AC645" t="s">
        <v>53</v>
      </c>
      <c r="AD645" s="16">
        <f t="shared" si="80"/>
        <v>7</v>
      </c>
      <c r="AE645" s="15">
        <v>0</v>
      </c>
      <c r="AF645" s="15">
        <v>0</v>
      </c>
      <c r="AG645" s="15">
        <v>0</v>
      </c>
      <c r="AH645" s="15">
        <v>0</v>
      </c>
      <c r="AI645" s="15">
        <f t="shared" si="81"/>
        <v>0.42</v>
      </c>
      <c r="AJ645" s="15">
        <f t="shared" si="82"/>
        <v>7.42</v>
      </c>
      <c r="AK645" t="s">
        <v>47</v>
      </c>
    </row>
    <row r="646" spans="1:37" ht="15" customHeight="1" x14ac:dyDescent="0.35">
      <c r="A646">
        <v>690929</v>
      </c>
      <c r="B646" t="s">
        <v>37</v>
      </c>
      <c r="C646" t="s">
        <v>38</v>
      </c>
      <c r="D646" s="9" t="s">
        <v>39</v>
      </c>
      <c r="E646" s="10" t="s">
        <v>37</v>
      </c>
      <c r="F646" s="11"/>
      <c r="G646" t="s">
        <v>1990</v>
      </c>
      <c r="I646" t="s">
        <v>41</v>
      </c>
      <c r="J646" t="s">
        <v>1991</v>
      </c>
      <c r="K646" t="s">
        <v>43</v>
      </c>
      <c r="L646">
        <v>2</v>
      </c>
      <c r="M646" t="s">
        <v>44</v>
      </c>
      <c r="N646" t="s">
        <v>45</v>
      </c>
      <c r="O646" t="s">
        <v>46</v>
      </c>
      <c r="P646" s="5">
        <v>1</v>
      </c>
      <c r="Q646" s="12">
        <v>44765.747002314813</v>
      </c>
      <c r="R646" s="13">
        <v>44767</v>
      </c>
      <c r="T646" t="s">
        <v>47</v>
      </c>
      <c r="U646" t="s">
        <v>48</v>
      </c>
      <c r="V646" t="s">
        <v>76</v>
      </c>
      <c r="Y646" t="s">
        <v>1992</v>
      </c>
      <c r="Z646">
        <v>21040</v>
      </c>
      <c r="AA646" t="s">
        <v>47</v>
      </c>
      <c r="AB646" t="s">
        <v>48</v>
      </c>
      <c r="AC646" t="s">
        <v>53</v>
      </c>
      <c r="AD646" s="16">
        <f t="shared" si="80"/>
        <v>7</v>
      </c>
      <c r="AE646" s="15">
        <v>0</v>
      </c>
      <c r="AF646" s="15">
        <v>0</v>
      </c>
      <c r="AG646" s="15">
        <v>0</v>
      </c>
      <c r="AH646" s="15">
        <v>0</v>
      </c>
      <c r="AI646" s="15">
        <f t="shared" si="81"/>
        <v>0.42</v>
      </c>
      <c r="AJ646" s="15">
        <f t="shared" si="82"/>
        <v>7.42</v>
      </c>
      <c r="AK646" t="s">
        <v>47</v>
      </c>
    </row>
    <row r="647" spans="1:37" ht="15" customHeight="1" x14ac:dyDescent="0.35">
      <c r="A647">
        <v>690929</v>
      </c>
      <c r="B647" t="s">
        <v>37</v>
      </c>
      <c r="C647" t="s">
        <v>38</v>
      </c>
      <c r="D647" s="9" t="s">
        <v>39</v>
      </c>
      <c r="E647" s="10" t="s">
        <v>37</v>
      </c>
      <c r="F647" s="11"/>
      <c r="G647" t="s">
        <v>1993</v>
      </c>
      <c r="I647" t="s">
        <v>41</v>
      </c>
      <c r="J647" t="s">
        <v>1994</v>
      </c>
      <c r="K647" t="s">
        <v>43</v>
      </c>
      <c r="L647">
        <v>2</v>
      </c>
      <c r="M647" t="s">
        <v>44</v>
      </c>
      <c r="N647" t="s">
        <v>45</v>
      </c>
      <c r="O647" t="s">
        <v>46</v>
      </c>
      <c r="P647" s="5">
        <v>3</v>
      </c>
      <c r="Q647" s="12">
        <v>44766.575798611113</v>
      </c>
      <c r="R647" s="13">
        <v>44767</v>
      </c>
      <c r="T647" t="s">
        <v>47</v>
      </c>
      <c r="U647" t="s">
        <v>48</v>
      </c>
      <c r="V647" t="s">
        <v>114</v>
      </c>
      <c r="Y647" t="s">
        <v>1995</v>
      </c>
      <c r="Z647">
        <v>42600</v>
      </c>
      <c r="AA647" t="s">
        <v>47</v>
      </c>
      <c r="AB647" t="s">
        <v>1996</v>
      </c>
      <c r="AC647" t="s">
        <v>53</v>
      </c>
      <c r="AD647" s="16">
        <f t="shared" si="80"/>
        <v>8.6</v>
      </c>
      <c r="AE647" s="15">
        <v>0</v>
      </c>
      <c r="AF647" s="15">
        <v>0</v>
      </c>
      <c r="AG647" s="15">
        <v>0</v>
      </c>
      <c r="AH647" s="15">
        <v>0</v>
      </c>
      <c r="AI647" s="15">
        <f t="shared" si="81"/>
        <v>0.51600000000000001</v>
      </c>
      <c r="AJ647" s="15">
        <f t="shared" si="82"/>
        <v>9.1159999999999997</v>
      </c>
      <c r="AK647" t="s">
        <v>47</v>
      </c>
    </row>
    <row r="648" spans="1:37" ht="15" customHeight="1" x14ac:dyDescent="0.35">
      <c r="A648">
        <v>690929</v>
      </c>
      <c r="B648" t="s">
        <v>37</v>
      </c>
      <c r="C648" t="s">
        <v>38</v>
      </c>
      <c r="D648" s="9" t="s">
        <v>39</v>
      </c>
      <c r="E648" s="10" t="s">
        <v>37</v>
      </c>
      <c r="F648" s="11"/>
      <c r="G648" t="s">
        <v>1997</v>
      </c>
      <c r="I648" t="s">
        <v>41</v>
      </c>
      <c r="J648" t="s">
        <v>1998</v>
      </c>
      <c r="K648" t="s">
        <v>43</v>
      </c>
      <c r="L648">
        <v>2</v>
      </c>
      <c r="M648" t="s">
        <v>44</v>
      </c>
      <c r="N648" t="s">
        <v>45</v>
      </c>
      <c r="O648" t="s">
        <v>46</v>
      </c>
      <c r="P648" s="5">
        <v>1</v>
      </c>
      <c r="Q648" s="12">
        <v>44764.733425925922</v>
      </c>
      <c r="R648" s="13">
        <v>44767</v>
      </c>
      <c r="T648" t="s">
        <v>47</v>
      </c>
      <c r="U648" t="s">
        <v>48</v>
      </c>
      <c r="V648" t="s">
        <v>128</v>
      </c>
      <c r="Y648" t="s">
        <v>1999</v>
      </c>
      <c r="Z648">
        <v>56100</v>
      </c>
      <c r="AA648" t="s">
        <v>47</v>
      </c>
      <c r="AB648" t="s">
        <v>64</v>
      </c>
      <c r="AC648" t="s">
        <v>53</v>
      </c>
      <c r="AD648" s="16">
        <f t="shared" si="80"/>
        <v>7</v>
      </c>
      <c r="AE648" s="15">
        <v>0</v>
      </c>
      <c r="AF648" s="15">
        <v>0</v>
      </c>
      <c r="AG648" s="15">
        <v>0</v>
      </c>
      <c r="AH648" s="15">
        <v>0</v>
      </c>
      <c r="AI648" s="15">
        <f t="shared" si="81"/>
        <v>0.42</v>
      </c>
      <c r="AJ648" s="15">
        <f t="shared" si="82"/>
        <v>7.42</v>
      </c>
      <c r="AK648" t="s">
        <v>47</v>
      </c>
    </row>
    <row r="649" spans="1:37" ht="15" customHeight="1" x14ac:dyDescent="0.35">
      <c r="A649">
        <v>690929</v>
      </c>
      <c r="B649" t="s">
        <v>37</v>
      </c>
      <c r="C649" t="s">
        <v>38</v>
      </c>
      <c r="D649" s="9" t="s">
        <v>39</v>
      </c>
      <c r="E649" s="10" t="s">
        <v>37</v>
      </c>
      <c r="F649" s="11"/>
      <c r="G649" t="s">
        <v>2000</v>
      </c>
      <c r="I649" t="s">
        <v>41</v>
      </c>
      <c r="J649" t="s">
        <v>1961</v>
      </c>
      <c r="K649" t="s">
        <v>43</v>
      </c>
      <c r="L649">
        <v>2</v>
      </c>
      <c r="M649" t="s">
        <v>44</v>
      </c>
      <c r="N649" t="s">
        <v>45</v>
      </c>
      <c r="O649" t="s">
        <v>46</v>
      </c>
      <c r="P649" s="5">
        <v>1</v>
      </c>
      <c r="Q649" s="12">
        <v>44763.693611111114</v>
      </c>
      <c r="R649" s="13">
        <v>44767</v>
      </c>
      <c r="T649" t="s">
        <v>47</v>
      </c>
      <c r="U649" t="s">
        <v>56</v>
      </c>
      <c r="V649" t="s">
        <v>114</v>
      </c>
      <c r="Y649" t="s">
        <v>2001</v>
      </c>
      <c r="Z649">
        <v>41150</v>
      </c>
      <c r="AA649" t="s">
        <v>47</v>
      </c>
      <c r="AB649" t="s">
        <v>56</v>
      </c>
      <c r="AC649" t="s">
        <v>53</v>
      </c>
      <c r="AD649" s="16">
        <f>IF(P649&lt;=1,7,7+0.8*ROUNDUP(P649-1,0))</f>
        <v>7</v>
      </c>
      <c r="AE649" s="15">
        <v>0</v>
      </c>
      <c r="AF649" s="15">
        <v>0</v>
      </c>
      <c r="AG649" s="15">
        <v>0</v>
      </c>
      <c r="AH649" s="15">
        <v>0</v>
      </c>
      <c r="AI649" s="15">
        <f t="shared" si="81"/>
        <v>0.42</v>
      </c>
      <c r="AJ649" s="15">
        <f t="shared" si="82"/>
        <v>7.42</v>
      </c>
      <c r="AK649" t="s">
        <v>47</v>
      </c>
    </row>
    <row r="650" spans="1:37" ht="15" customHeight="1" x14ac:dyDescent="0.35">
      <c r="A650">
        <v>690929</v>
      </c>
      <c r="B650" t="s">
        <v>37</v>
      </c>
      <c r="C650" t="s">
        <v>38</v>
      </c>
      <c r="D650" s="9" t="s">
        <v>39</v>
      </c>
      <c r="E650" s="10" t="s">
        <v>37</v>
      </c>
      <c r="F650" s="11"/>
      <c r="G650" t="s">
        <v>2002</v>
      </c>
      <c r="I650" t="s">
        <v>41</v>
      </c>
      <c r="J650" t="s">
        <v>2003</v>
      </c>
      <c r="K650" t="s">
        <v>43</v>
      </c>
      <c r="L650">
        <v>2</v>
      </c>
      <c r="M650" t="s">
        <v>44</v>
      </c>
      <c r="N650" t="s">
        <v>45</v>
      </c>
      <c r="O650" t="s">
        <v>46</v>
      </c>
      <c r="P650" s="5">
        <v>1</v>
      </c>
      <c r="Q650" s="12">
        <v>44764.625659722224</v>
      </c>
      <c r="R650" s="13">
        <v>44767</v>
      </c>
      <c r="T650" t="s">
        <v>47</v>
      </c>
      <c r="U650" t="s">
        <v>48</v>
      </c>
      <c r="V650" t="s">
        <v>71</v>
      </c>
      <c r="Y650" t="s">
        <v>2004</v>
      </c>
      <c r="Z650">
        <v>6050</v>
      </c>
      <c r="AA650" t="s">
        <v>47</v>
      </c>
      <c r="AB650" t="s">
        <v>64</v>
      </c>
      <c r="AC650" t="s">
        <v>53</v>
      </c>
      <c r="AD650" s="16">
        <f t="shared" ref="AD650:AD661" si="83">IF(P650&lt;=1,7,7+0.8*ROUNDUP(P650-1,0))</f>
        <v>7</v>
      </c>
      <c r="AE650" s="15">
        <v>0</v>
      </c>
      <c r="AF650" s="15">
        <v>0</v>
      </c>
      <c r="AG650" s="15">
        <v>0</v>
      </c>
      <c r="AH650" s="15">
        <v>0</v>
      </c>
      <c r="AI650" s="15">
        <f t="shared" si="81"/>
        <v>0.42</v>
      </c>
      <c r="AJ650" s="15">
        <f t="shared" si="82"/>
        <v>7.42</v>
      </c>
      <c r="AK650" t="s">
        <v>47</v>
      </c>
    </row>
    <row r="651" spans="1:37" ht="15" customHeight="1" x14ac:dyDescent="0.35">
      <c r="A651">
        <v>690929</v>
      </c>
      <c r="B651" t="s">
        <v>37</v>
      </c>
      <c r="C651" t="s">
        <v>38</v>
      </c>
      <c r="D651" s="9" t="s">
        <v>39</v>
      </c>
      <c r="E651" s="10" t="s">
        <v>37</v>
      </c>
      <c r="F651" s="11"/>
      <c r="G651" t="s">
        <v>2005</v>
      </c>
      <c r="I651" t="s">
        <v>41</v>
      </c>
      <c r="J651" t="s">
        <v>2006</v>
      </c>
      <c r="K651" t="s">
        <v>43</v>
      </c>
      <c r="L651">
        <v>2</v>
      </c>
      <c r="M651" t="s">
        <v>44</v>
      </c>
      <c r="N651" t="s">
        <v>45</v>
      </c>
      <c r="O651" t="s">
        <v>46</v>
      </c>
      <c r="P651" s="5">
        <v>1</v>
      </c>
      <c r="Q651" s="12">
        <v>44764.618414351855</v>
      </c>
      <c r="R651" s="13">
        <v>44767</v>
      </c>
      <c r="T651" t="s">
        <v>47</v>
      </c>
      <c r="U651" t="s">
        <v>48</v>
      </c>
      <c r="V651" t="s">
        <v>114</v>
      </c>
      <c r="Y651" t="s">
        <v>2007</v>
      </c>
      <c r="Z651">
        <v>43800</v>
      </c>
      <c r="AA651" t="s">
        <v>47</v>
      </c>
      <c r="AB651" t="s">
        <v>64</v>
      </c>
      <c r="AC651" t="s">
        <v>53</v>
      </c>
      <c r="AD651" s="16">
        <f t="shared" si="83"/>
        <v>7</v>
      </c>
      <c r="AE651" s="15">
        <v>0</v>
      </c>
      <c r="AF651" s="15">
        <v>0</v>
      </c>
      <c r="AG651" s="15">
        <v>0</v>
      </c>
      <c r="AH651" s="15">
        <v>0</v>
      </c>
      <c r="AI651" s="15">
        <f t="shared" si="81"/>
        <v>0.42</v>
      </c>
      <c r="AJ651" s="15">
        <f t="shared" si="82"/>
        <v>7.42</v>
      </c>
      <c r="AK651" t="s">
        <v>47</v>
      </c>
    </row>
    <row r="652" spans="1:37" ht="15" customHeight="1" x14ac:dyDescent="0.35">
      <c r="A652">
        <v>690929</v>
      </c>
      <c r="B652" t="s">
        <v>37</v>
      </c>
      <c r="C652" t="s">
        <v>38</v>
      </c>
      <c r="D652" s="9" t="s">
        <v>39</v>
      </c>
      <c r="E652" s="10" t="s">
        <v>37</v>
      </c>
      <c r="F652" s="11"/>
      <c r="G652" t="s">
        <v>2008</v>
      </c>
      <c r="I652" t="s">
        <v>41</v>
      </c>
      <c r="J652" t="s">
        <v>2009</v>
      </c>
      <c r="K652" t="s">
        <v>43</v>
      </c>
      <c r="L652">
        <v>2</v>
      </c>
      <c r="M652" t="s">
        <v>44</v>
      </c>
      <c r="N652" t="s">
        <v>45</v>
      </c>
      <c r="O652" t="s">
        <v>46</v>
      </c>
      <c r="P652" s="5">
        <v>1</v>
      </c>
      <c r="Q652" s="12">
        <v>44764.627604166664</v>
      </c>
      <c r="R652" s="13">
        <v>44767</v>
      </c>
      <c r="T652" t="s">
        <v>47</v>
      </c>
      <c r="U652" t="s">
        <v>48</v>
      </c>
      <c r="V652" t="s">
        <v>62</v>
      </c>
      <c r="Y652" t="s">
        <v>2010</v>
      </c>
      <c r="Z652">
        <v>83010</v>
      </c>
      <c r="AA652" t="s">
        <v>47</v>
      </c>
      <c r="AB652" t="s">
        <v>64</v>
      </c>
      <c r="AC652" t="s">
        <v>53</v>
      </c>
      <c r="AD652" s="16">
        <f t="shared" si="83"/>
        <v>7</v>
      </c>
      <c r="AE652" s="15">
        <v>0</v>
      </c>
      <c r="AF652" s="15">
        <v>0</v>
      </c>
      <c r="AG652" s="15">
        <v>0</v>
      </c>
      <c r="AH652" s="15">
        <v>0</v>
      </c>
      <c r="AI652" s="15">
        <f t="shared" si="81"/>
        <v>0.42</v>
      </c>
      <c r="AJ652" s="15">
        <f t="shared" si="82"/>
        <v>7.42</v>
      </c>
      <c r="AK652" t="s">
        <v>47</v>
      </c>
    </row>
    <row r="653" spans="1:37" ht="15" customHeight="1" x14ac:dyDescent="0.35">
      <c r="A653">
        <v>690929</v>
      </c>
      <c r="B653" t="s">
        <v>37</v>
      </c>
      <c r="C653" t="s">
        <v>38</v>
      </c>
      <c r="D653" s="9" t="s">
        <v>39</v>
      </c>
      <c r="E653" s="10" t="s">
        <v>37</v>
      </c>
      <c r="F653" s="11"/>
      <c r="G653" t="s">
        <v>2011</v>
      </c>
      <c r="I653" t="s">
        <v>41</v>
      </c>
      <c r="J653" t="s">
        <v>2012</v>
      </c>
      <c r="K653" t="s">
        <v>43</v>
      </c>
      <c r="L653">
        <v>2</v>
      </c>
      <c r="M653" t="s">
        <v>44</v>
      </c>
      <c r="N653" t="s">
        <v>45</v>
      </c>
      <c r="O653" t="s">
        <v>46</v>
      </c>
      <c r="P653" s="5">
        <v>1</v>
      </c>
      <c r="Q653" s="12">
        <v>44764.631018518521</v>
      </c>
      <c r="R653" s="13">
        <v>44767</v>
      </c>
      <c r="T653" t="s">
        <v>47</v>
      </c>
      <c r="U653" t="s">
        <v>48</v>
      </c>
      <c r="V653" t="s">
        <v>114</v>
      </c>
      <c r="Y653" t="s">
        <v>2013</v>
      </c>
      <c r="Z653">
        <v>43300</v>
      </c>
      <c r="AA653" t="s">
        <v>47</v>
      </c>
      <c r="AB653" t="s">
        <v>64</v>
      </c>
      <c r="AC653" t="s">
        <v>53</v>
      </c>
      <c r="AD653" s="16">
        <f t="shared" si="83"/>
        <v>7</v>
      </c>
      <c r="AE653" s="15">
        <v>0</v>
      </c>
      <c r="AF653" s="15">
        <v>0</v>
      </c>
      <c r="AG653" s="15">
        <v>0</v>
      </c>
      <c r="AH653" s="15">
        <v>0</v>
      </c>
      <c r="AI653" s="15">
        <f t="shared" si="81"/>
        <v>0.42</v>
      </c>
      <c r="AJ653" s="15">
        <f t="shared" si="82"/>
        <v>7.42</v>
      </c>
      <c r="AK653" t="s">
        <v>47</v>
      </c>
    </row>
    <row r="654" spans="1:37" ht="15" customHeight="1" x14ac:dyDescent="0.35">
      <c r="A654">
        <v>690929</v>
      </c>
      <c r="B654" t="s">
        <v>37</v>
      </c>
      <c r="C654" t="s">
        <v>38</v>
      </c>
      <c r="D654" s="9" t="s">
        <v>39</v>
      </c>
      <c r="E654" s="10" t="s">
        <v>37</v>
      </c>
      <c r="F654" s="11"/>
      <c r="G654" t="s">
        <v>2014</v>
      </c>
      <c r="I654" t="s">
        <v>41</v>
      </c>
      <c r="J654" t="s">
        <v>2015</v>
      </c>
      <c r="K654" t="s">
        <v>43</v>
      </c>
      <c r="L654">
        <v>2</v>
      </c>
      <c r="M654" t="s">
        <v>44</v>
      </c>
      <c r="N654" t="s">
        <v>45</v>
      </c>
      <c r="O654" t="s">
        <v>46</v>
      </c>
      <c r="P654" s="5">
        <v>1</v>
      </c>
      <c r="Q654" s="12">
        <v>44765.736180555556</v>
      </c>
      <c r="R654" s="13">
        <v>44767</v>
      </c>
      <c r="T654" t="s">
        <v>47</v>
      </c>
      <c r="U654" t="s">
        <v>48</v>
      </c>
      <c r="V654" t="s">
        <v>114</v>
      </c>
      <c r="Y654" t="s">
        <v>2016</v>
      </c>
      <c r="Z654">
        <v>56000</v>
      </c>
      <c r="AA654" t="s">
        <v>47</v>
      </c>
      <c r="AB654" t="s">
        <v>64</v>
      </c>
      <c r="AC654" t="s">
        <v>53</v>
      </c>
      <c r="AD654" s="16">
        <f t="shared" si="83"/>
        <v>7</v>
      </c>
      <c r="AE654" s="15">
        <v>0</v>
      </c>
      <c r="AF654" s="15">
        <v>0</v>
      </c>
      <c r="AG654" s="15">
        <v>0</v>
      </c>
      <c r="AH654" s="15">
        <v>0</v>
      </c>
      <c r="AI654" s="15">
        <f t="shared" si="81"/>
        <v>0.42</v>
      </c>
      <c r="AJ654" s="15">
        <f t="shared" si="82"/>
        <v>7.42</v>
      </c>
      <c r="AK654" t="s">
        <v>47</v>
      </c>
    </row>
    <row r="655" spans="1:37" ht="15" customHeight="1" x14ac:dyDescent="0.35">
      <c r="A655">
        <v>690929</v>
      </c>
      <c r="B655" t="s">
        <v>37</v>
      </c>
      <c r="C655" t="s">
        <v>38</v>
      </c>
      <c r="D655" s="9" t="s">
        <v>39</v>
      </c>
      <c r="E655" s="10" t="s">
        <v>37</v>
      </c>
      <c r="F655" s="11"/>
      <c r="G655" t="s">
        <v>2017</v>
      </c>
      <c r="I655" t="s">
        <v>41</v>
      </c>
      <c r="J655" t="s">
        <v>2018</v>
      </c>
      <c r="K655" t="s">
        <v>43</v>
      </c>
      <c r="L655">
        <v>2</v>
      </c>
      <c r="M655" t="s">
        <v>44</v>
      </c>
      <c r="N655" t="s">
        <v>45</v>
      </c>
      <c r="O655" t="s">
        <v>46</v>
      </c>
      <c r="P655" s="5">
        <v>2</v>
      </c>
      <c r="Q655" s="12">
        <v>44765.526516203703</v>
      </c>
      <c r="R655" s="13">
        <v>44767</v>
      </c>
      <c r="T655" t="s">
        <v>47</v>
      </c>
      <c r="U655" t="s">
        <v>48</v>
      </c>
      <c r="V655" t="s">
        <v>114</v>
      </c>
      <c r="Y655" t="s">
        <v>2019</v>
      </c>
      <c r="Z655">
        <v>42700</v>
      </c>
      <c r="AA655" t="s">
        <v>47</v>
      </c>
      <c r="AB655" t="s">
        <v>64</v>
      </c>
      <c r="AC655" t="s">
        <v>53</v>
      </c>
      <c r="AD655" s="16">
        <f t="shared" si="83"/>
        <v>7.8</v>
      </c>
      <c r="AE655" s="15">
        <v>0</v>
      </c>
      <c r="AF655" s="15">
        <v>0</v>
      </c>
      <c r="AG655" s="15">
        <v>0</v>
      </c>
      <c r="AH655" s="15">
        <v>0</v>
      </c>
      <c r="AI655" s="15">
        <f t="shared" si="81"/>
        <v>0.46799999999999997</v>
      </c>
      <c r="AJ655" s="15">
        <f t="shared" si="82"/>
        <v>8.2680000000000007</v>
      </c>
      <c r="AK655" t="s">
        <v>47</v>
      </c>
    </row>
    <row r="656" spans="1:37" ht="15" customHeight="1" x14ac:dyDescent="0.35">
      <c r="A656">
        <v>690929</v>
      </c>
      <c r="B656" t="s">
        <v>37</v>
      </c>
      <c r="C656" t="s">
        <v>38</v>
      </c>
      <c r="D656" s="9" t="s">
        <v>39</v>
      </c>
      <c r="E656" s="10" t="s">
        <v>37</v>
      </c>
      <c r="F656" s="11"/>
      <c r="G656" t="s">
        <v>2020</v>
      </c>
      <c r="I656" t="s">
        <v>41</v>
      </c>
      <c r="J656" t="s">
        <v>2021</v>
      </c>
      <c r="K656" t="s">
        <v>43</v>
      </c>
      <c r="L656">
        <v>2</v>
      </c>
      <c r="M656" t="s">
        <v>44</v>
      </c>
      <c r="N656" t="s">
        <v>45</v>
      </c>
      <c r="O656" t="s">
        <v>46</v>
      </c>
      <c r="P656" s="5">
        <v>1</v>
      </c>
      <c r="Q656" s="12">
        <v>44766.604467592595</v>
      </c>
      <c r="R656" s="13">
        <v>44767</v>
      </c>
      <c r="T656" t="s">
        <v>47</v>
      </c>
      <c r="U656" t="s">
        <v>48</v>
      </c>
      <c r="V656" t="s">
        <v>96</v>
      </c>
      <c r="Y656" t="s">
        <v>2022</v>
      </c>
      <c r="Z656">
        <v>17700</v>
      </c>
      <c r="AA656" t="s">
        <v>47</v>
      </c>
      <c r="AB656" t="s">
        <v>56</v>
      </c>
      <c r="AC656" t="s">
        <v>53</v>
      </c>
      <c r="AD656" s="16">
        <f t="shared" si="83"/>
        <v>7</v>
      </c>
      <c r="AE656" s="15">
        <v>0</v>
      </c>
      <c r="AF656" s="15">
        <v>0</v>
      </c>
      <c r="AG656" s="15">
        <v>0</v>
      </c>
      <c r="AH656" s="15">
        <v>0</v>
      </c>
      <c r="AI656" s="15">
        <f t="shared" si="81"/>
        <v>0.42</v>
      </c>
      <c r="AJ656" s="15">
        <f t="shared" si="82"/>
        <v>7.42</v>
      </c>
      <c r="AK656" t="s">
        <v>47</v>
      </c>
    </row>
    <row r="657" spans="1:37" ht="15" customHeight="1" x14ac:dyDescent="0.35">
      <c r="A657">
        <v>690929</v>
      </c>
      <c r="B657" t="s">
        <v>37</v>
      </c>
      <c r="C657" t="s">
        <v>38</v>
      </c>
      <c r="D657" s="9" t="s">
        <v>39</v>
      </c>
      <c r="E657" s="10" t="s">
        <v>37</v>
      </c>
      <c r="F657" s="11"/>
      <c r="G657" t="s">
        <v>2023</v>
      </c>
      <c r="I657" t="s">
        <v>41</v>
      </c>
      <c r="J657" t="s">
        <v>2024</v>
      </c>
      <c r="K657" t="s">
        <v>43</v>
      </c>
      <c r="L657">
        <v>2</v>
      </c>
      <c r="M657" t="s">
        <v>44</v>
      </c>
      <c r="N657" t="s">
        <v>45</v>
      </c>
      <c r="O657" t="s">
        <v>46</v>
      </c>
      <c r="P657" s="5">
        <v>1</v>
      </c>
      <c r="Q657" s="12">
        <v>44766.606689814813</v>
      </c>
      <c r="R657" s="13">
        <v>44767</v>
      </c>
      <c r="T657" t="s">
        <v>47</v>
      </c>
      <c r="U657" t="s">
        <v>48</v>
      </c>
      <c r="V657" t="s">
        <v>128</v>
      </c>
      <c r="Y657" t="s">
        <v>2025</v>
      </c>
      <c r="Z657">
        <v>53100</v>
      </c>
      <c r="AA657" t="s">
        <v>47</v>
      </c>
      <c r="AB657" t="s">
        <v>64</v>
      </c>
      <c r="AC657" t="s">
        <v>53</v>
      </c>
      <c r="AD657" s="16">
        <f t="shared" si="83"/>
        <v>7</v>
      </c>
      <c r="AE657" s="15">
        <v>0</v>
      </c>
      <c r="AF657" s="15">
        <v>0</v>
      </c>
      <c r="AG657" s="15">
        <v>0</v>
      </c>
      <c r="AH657" s="15">
        <v>0</v>
      </c>
      <c r="AI657" s="15">
        <f t="shared" si="81"/>
        <v>0.42</v>
      </c>
      <c r="AJ657" s="15">
        <f t="shared" si="82"/>
        <v>7.42</v>
      </c>
      <c r="AK657" t="s">
        <v>47</v>
      </c>
    </row>
    <row r="658" spans="1:37" ht="15" customHeight="1" x14ac:dyDescent="0.35">
      <c r="A658">
        <v>690929</v>
      </c>
      <c r="B658" t="s">
        <v>37</v>
      </c>
      <c r="C658" t="s">
        <v>38</v>
      </c>
      <c r="D658" s="9" t="s">
        <v>39</v>
      </c>
      <c r="E658" s="10" t="s">
        <v>37</v>
      </c>
      <c r="F658" s="11"/>
      <c r="G658" t="s">
        <v>2026</v>
      </c>
      <c r="I658" t="s">
        <v>41</v>
      </c>
      <c r="J658" t="s">
        <v>2027</v>
      </c>
      <c r="K658" t="s">
        <v>43</v>
      </c>
      <c r="L658">
        <v>2</v>
      </c>
      <c r="M658" t="s">
        <v>44</v>
      </c>
      <c r="N658" t="s">
        <v>45</v>
      </c>
      <c r="O658" t="s">
        <v>46</v>
      </c>
      <c r="P658" s="5">
        <v>1</v>
      </c>
      <c r="Q658" s="12">
        <v>44766.616446759261</v>
      </c>
      <c r="R658" s="13">
        <v>44767</v>
      </c>
      <c r="T658" t="s">
        <v>47</v>
      </c>
      <c r="U658" t="s">
        <v>48</v>
      </c>
      <c r="V658" t="s">
        <v>114</v>
      </c>
      <c r="Y658" t="s">
        <v>2028</v>
      </c>
      <c r="Z658">
        <v>45800</v>
      </c>
      <c r="AA658" t="s">
        <v>47</v>
      </c>
      <c r="AB658" t="s">
        <v>64</v>
      </c>
      <c r="AC658" t="s">
        <v>53</v>
      </c>
      <c r="AD658" s="16">
        <f t="shared" si="83"/>
        <v>7</v>
      </c>
      <c r="AE658" s="15">
        <v>0</v>
      </c>
      <c r="AF658" s="15">
        <v>0</v>
      </c>
      <c r="AG658" s="15">
        <v>0</v>
      </c>
      <c r="AH658" s="15">
        <v>0</v>
      </c>
      <c r="AI658" s="15">
        <f t="shared" si="81"/>
        <v>0.42</v>
      </c>
      <c r="AJ658" s="15">
        <f t="shared" si="82"/>
        <v>7.42</v>
      </c>
      <c r="AK658" t="s">
        <v>47</v>
      </c>
    </row>
    <row r="659" spans="1:37" ht="15" customHeight="1" x14ac:dyDescent="0.35">
      <c r="A659">
        <v>690929</v>
      </c>
      <c r="B659" t="s">
        <v>37</v>
      </c>
      <c r="C659" t="s">
        <v>38</v>
      </c>
      <c r="D659" s="9" t="s">
        <v>39</v>
      </c>
      <c r="E659" s="10" t="s">
        <v>37</v>
      </c>
      <c r="F659" s="11"/>
      <c r="G659" t="s">
        <v>2029</v>
      </c>
      <c r="I659" t="s">
        <v>41</v>
      </c>
      <c r="J659" t="s">
        <v>2030</v>
      </c>
      <c r="K659" t="s">
        <v>43</v>
      </c>
      <c r="L659">
        <v>2</v>
      </c>
      <c r="M659" t="s">
        <v>44</v>
      </c>
      <c r="N659" t="s">
        <v>45</v>
      </c>
      <c r="O659" t="s">
        <v>46</v>
      </c>
      <c r="P659" s="5">
        <v>1</v>
      </c>
      <c r="Q659" s="12">
        <v>44765.385162037041</v>
      </c>
      <c r="R659" s="13">
        <v>44767</v>
      </c>
      <c r="T659" t="s">
        <v>47</v>
      </c>
      <c r="U659" t="s">
        <v>48</v>
      </c>
      <c r="V659" t="s">
        <v>128</v>
      </c>
      <c r="Y659" t="s">
        <v>2031</v>
      </c>
      <c r="Z659">
        <v>59200</v>
      </c>
      <c r="AA659" t="s">
        <v>47</v>
      </c>
      <c r="AB659" t="s">
        <v>64</v>
      </c>
      <c r="AC659" t="s">
        <v>53</v>
      </c>
      <c r="AD659" s="16">
        <f t="shared" si="83"/>
        <v>7</v>
      </c>
      <c r="AE659" s="15">
        <v>0</v>
      </c>
      <c r="AF659" s="15">
        <v>0</v>
      </c>
      <c r="AG659" s="15">
        <v>0</v>
      </c>
      <c r="AH659" s="15">
        <v>0</v>
      </c>
      <c r="AI659" s="15">
        <f t="shared" si="81"/>
        <v>0.42</v>
      </c>
      <c r="AJ659" s="15">
        <f t="shared" si="82"/>
        <v>7.42</v>
      </c>
      <c r="AK659" t="s">
        <v>47</v>
      </c>
    </row>
    <row r="660" spans="1:37" ht="15" customHeight="1" x14ac:dyDescent="0.35">
      <c r="A660">
        <v>690929</v>
      </c>
      <c r="B660" t="s">
        <v>37</v>
      </c>
      <c r="C660" t="s">
        <v>38</v>
      </c>
      <c r="D660" s="9" t="s">
        <v>39</v>
      </c>
      <c r="E660" s="10" t="s">
        <v>37</v>
      </c>
      <c r="F660" s="11"/>
      <c r="G660" t="s">
        <v>2032</v>
      </c>
      <c r="I660" t="s">
        <v>41</v>
      </c>
      <c r="J660" t="s">
        <v>2033</v>
      </c>
      <c r="K660" t="s">
        <v>43</v>
      </c>
      <c r="L660">
        <v>2</v>
      </c>
      <c r="M660" t="s">
        <v>44</v>
      </c>
      <c r="N660" t="s">
        <v>45</v>
      </c>
      <c r="O660" t="s">
        <v>46</v>
      </c>
      <c r="P660" s="5">
        <v>1</v>
      </c>
      <c r="Q660" s="12">
        <v>44765.612951388888</v>
      </c>
      <c r="R660" s="13">
        <v>44767</v>
      </c>
      <c r="T660" t="s">
        <v>47</v>
      </c>
      <c r="U660" t="s">
        <v>48</v>
      </c>
      <c r="V660" t="s">
        <v>128</v>
      </c>
      <c r="Y660" t="s">
        <v>2034</v>
      </c>
      <c r="Z660">
        <v>55100</v>
      </c>
      <c r="AA660" t="s">
        <v>47</v>
      </c>
      <c r="AB660" t="s">
        <v>64</v>
      </c>
      <c r="AC660" t="s">
        <v>53</v>
      </c>
      <c r="AD660" s="16">
        <f t="shared" si="83"/>
        <v>7</v>
      </c>
      <c r="AE660" s="15">
        <v>0</v>
      </c>
      <c r="AF660" s="15">
        <v>0</v>
      </c>
      <c r="AG660" s="15">
        <v>0</v>
      </c>
      <c r="AH660" s="15">
        <v>0</v>
      </c>
      <c r="AI660" s="15">
        <f t="shared" si="81"/>
        <v>0.42</v>
      </c>
      <c r="AJ660" s="15">
        <f t="shared" si="82"/>
        <v>7.42</v>
      </c>
      <c r="AK660" t="s">
        <v>47</v>
      </c>
    </row>
    <row r="661" spans="1:37" ht="15" customHeight="1" x14ac:dyDescent="0.35">
      <c r="A661">
        <v>690929</v>
      </c>
      <c r="B661" t="s">
        <v>37</v>
      </c>
      <c r="C661" t="s">
        <v>38</v>
      </c>
      <c r="D661" s="9" t="s">
        <v>39</v>
      </c>
      <c r="E661" s="10" t="s">
        <v>37</v>
      </c>
      <c r="F661" s="11"/>
      <c r="G661" t="s">
        <v>2035</v>
      </c>
      <c r="I661" t="s">
        <v>41</v>
      </c>
      <c r="J661" t="s">
        <v>987</v>
      </c>
      <c r="K661" t="s">
        <v>43</v>
      </c>
      <c r="L661">
        <v>2</v>
      </c>
      <c r="M661" t="s">
        <v>44</v>
      </c>
      <c r="N661" t="s">
        <v>45</v>
      </c>
      <c r="O661" t="s">
        <v>46</v>
      </c>
      <c r="P661" s="5">
        <v>2</v>
      </c>
      <c r="Q661" s="12">
        <v>44766.58666666667</v>
      </c>
      <c r="R661" s="13">
        <v>44767</v>
      </c>
      <c r="T661" t="s">
        <v>47</v>
      </c>
      <c r="U661" t="s">
        <v>48</v>
      </c>
      <c r="V661" t="s">
        <v>114</v>
      </c>
      <c r="Y661" t="s">
        <v>2036</v>
      </c>
      <c r="Z661">
        <v>40000</v>
      </c>
      <c r="AA661" t="s">
        <v>47</v>
      </c>
      <c r="AB661" t="s">
        <v>2037</v>
      </c>
      <c r="AC661" t="s">
        <v>53</v>
      </c>
      <c r="AD661" s="16">
        <f t="shared" si="83"/>
        <v>7.8</v>
      </c>
      <c r="AE661" s="15">
        <v>0</v>
      </c>
      <c r="AF661" s="15">
        <v>0</v>
      </c>
      <c r="AG661" s="15">
        <v>0</v>
      </c>
      <c r="AH661" s="15">
        <v>0</v>
      </c>
      <c r="AI661" s="15">
        <f t="shared" si="81"/>
        <v>0.46799999999999997</v>
      </c>
      <c r="AJ661" s="15">
        <f t="shared" si="82"/>
        <v>8.2680000000000007</v>
      </c>
      <c r="AK661" t="s">
        <v>47</v>
      </c>
    </row>
    <row r="662" spans="1:37" ht="15" customHeight="1" x14ac:dyDescent="0.35">
      <c r="A662">
        <v>690929</v>
      </c>
      <c r="B662" t="s">
        <v>37</v>
      </c>
      <c r="C662" t="s">
        <v>38</v>
      </c>
      <c r="D662" s="9" t="s">
        <v>39</v>
      </c>
      <c r="E662" s="10" t="s">
        <v>37</v>
      </c>
      <c r="F662" s="11"/>
      <c r="G662" t="s">
        <v>2038</v>
      </c>
      <c r="I662" t="s">
        <v>41</v>
      </c>
      <c r="J662" t="s">
        <v>2039</v>
      </c>
      <c r="K662" t="s">
        <v>43</v>
      </c>
      <c r="L662">
        <v>2</v>
      </c>
      <c r="M662" t="s">
        <v>44</v>
      </c>
      <c r="N662" t="s">
        <v>45</v>
      </c>
      <c r="O662" t="s">
        <v>46</v>
      </c>
      <c r="P662" s="5">
        <v>4</v>
      </c>
      <c r="Q662" s="12">
        <v>44761.696851851855</v>
      </c>
      <c r="R662" s="13">
        <v>44767</v>
      </c>
      <c r="T662" t="s">
        <v>47</v>
      </c>
      <c r="U662" t="s">
        <v>48</v>
      </c>
      <c r="V662" t="s">
        <v>57</v>
      </c>
      <c r="Y662" t="s">
        <v>2040</v>
      </c>
      <c r="Z662">
        <v>89000</v>
      </c>
      <c r="AA662" t="s">
        <v>51</v>
      </c>
      <c r="AB662" t="s">
        <v>2041</v>
      </c>
      <c r="AC662" t="s">
        <v>53</v>
      </c>
      <c r="AD662" s="14">
        <f>IF(P662&lt;=1,13,IF(P662&lt;=2,23,IF(P662&lt;=3,35,IF(P662&lt;=4,43,IF(P662&lt;=5,53,IF(P662&lt;=6,63,IF(P662&lt;=7,71,IF(P662&lt;=8,79,IF(P662&lt;=9,87,IF(P662&lt;=10,95,IF(P662&lt;=11,105,IF(P662&lt;=12,114,IF(P662&lt;=13,119,IF(P662&lt;=14,127,IF(P662&lt;=15,135,IF(P662&lt;=16,143,IF(P662&lt;=17,153,IF(P662&lt;=18,163,IF(P662&lt;=19,171,IF(P662&lt;=20,185,IF(P662&lt;=21,193,IF(P662&lt;=22,201,IF(P662&lt;=23,210,IF(P662&lt;=24,220,IF(P662&lt;=25,230,IF(P662&lt;=26,240,IF(P662&lt;=27,250,IF(P662&lt;=28,260,IF(P662&lt;=29,270,IF(P662&lt;=30,280,280))))))))))))))))))))))))))))))</f>
        <v>43</v>
      </c>
      <c r="AE662" s="15">
        <v>0</v>
      </c>
      <c r="AF662" s="15">
        <v>0</v>
      </c>
      <c r="AG662" s="15">
        <v>0</v>
      </c>
      <c r="AH662" s="15">
        <v>0</v>
      </c>
      <c r="AI662" s="15">
        <f t="shared" si="81"/>
        <v>2.58</v>
      </c>
      <c r="AJ662" s="15">
        <f t="shared" si="82"/>
        <v>45.58</v>
      </c>
      <c r="AK662" t="s">
        <v>51</v>
      </c>
    </row>
    <row r="663" spans="1:37" ht="15" customHeight="1" x14ac:dyDescent="0.35">
      <c r="A663">
        <v>690929</v>
      </c>
      <c r="B663" t="s">
        <v>37</v>
      </c>
      <c r="C663" t="s">
        <v>38</v>
      </c>
      <c r="D663" s="9" t="s">
        <v>39</v>
      </c>
      <c r="E663" s="10" t="s">
        <v>37</v>
      </c>
      <c r="F663" s="11"/>
      <c r="G663" t="s">
        <v>2042</v>
      </c>
      <c r="I663" t="s">
        <v>41</v>
      </c>
      <c r="J663" t="s">
        <v>2043</v>
      </c>
      <c r="K663" t="s">
        <v>43</v>
      </c>
      <c r="L663">
        <v>2</v>
      </c>
      <c r="M663" t="s">
        <v>44</v>
      </c>
      <c r="N663" t="s">
        <v>45</v>
      </c>
      <c r="O663" t="s">
        <v>46</v>
      </c>
      <c r="P663" s="5">
        <v>1</v>
      </c>
      <c r="Q663" s="12">
        <v>44766.610925925925</v>
      </c>
      <c r="R663" s="13">
        <v>44767</v>
      </c>
      <c r="T663" t="s">
        <v>47</v>
      </c>
      <c r="U663" t="s">
        <v>48</v>
      </c>
      <c r="V663" t="s">
        <v>128</v>
      </c>
      <c r="Y663" t="s">
        <v>2044</v>
      </c>
      <c r="Z663">
        <v>47800</v>
      </c>
      <c r="AA663" t="s">
        <v>47</v>
      </c>
      <c r="AB663" t="s">
        <v>64</v>
      </c>
      <c r="AC663" t="s">
        <v>53</v>
      </c>
      <c r="AD663" s="16">
        <f t="shared" ref="AD663:AD726" si="84">IF(P663&lt;=1,7,7+0.8*ROUNDUP(P663-1,0))</f>
        <v>7</v>
      </c>
      <c r="AE663" s="15">
        <v>0</v>
      </c>
      <c r="AF663" s="15">
        <v>0</v>
      </c>
      <c r="AG663" s="15">
        <v>0</v>
      </c>
      <c r="AH663" s="15">
        <v>0</v>
      </c>
      <c r="AI663" s="15">
        <f t="shared" si="81"/>
        <v>0.42</v>
      </c>
      <c r="AJ663" s="15">
        <f t="shared" si="82"/>
        <v>7.42</v>
      </c>
      <c r="AK663" t="s">
        <v>47</v>
      </c>
    </row>
    <row r="664" spans="1:37" ht="15" customHeight="1" x14ac:dyDescent="0.35">
      <c r="A664">
        <v>690929</v>
      </c>
      <c r="B664" t="s">
        <v>37</v>
      </c>
      <c r="C664" t="s">
        <v>38</v>
      </c>
      <c r="D664" s="9" t="s">
        <v>39</v>
      </c>
      <c r="E664" s="10" t="s">
        <v>37</v>
      </c>
      <c r="F664" s="11"/>
      <c r="G664" t="s">
        <v>2045</v>
      </c>
      <c r="I664" t="s">
        <v>41</v>
      </c>
      <c r="J664" t="s">
        <v>2046</v>
      </c>
      <c r="K664" t="s">
        <v>43</v>
      </c>
      <c r="L664">
        <v>2</v>
      </c>
      <c r="M664" t="s">
        <v>44</v>
      </c>
      <c r="N664" t="s">
        <v>45</v>
      </c>
      <c r="O664" t="s">
        <v>46</v>
      </c>
      <c r="P664" s="5">
        <v>1</v>
      </c>
      <c r="Q664" s="12">
        <v>44766.737604166665</v>
      </c>
      <c r="R664" s="13">
        <v>44768</v>
      </c>
      <c r="T664" t="s">
        <v>47</v>
      </c>
      <c r="U664" t="s">
        <v>48</v>
      </c>
      <c r="V664" t="s">
        <v>114</v>
      </c>
      <c r="Y664" t="s">
        <v>2047</v>
      </c>
      <c r="Z664">
        <v>40460</v>
      </c>
      <c r="AA664" t="s">
        <v>47</v>
      </c>
      <c r="AB664" t="s">
        <v>64</v>
      </c>
      <c r="AC664" t="s">
        <v>53</v>
      </c>
      <c r="AD664" s="16">
        <f t="shared" si="84"/>
        <v>7</v>
      </c>
      <c r="AE664" s="15">
        <v>0</v>
      </c>
      <c r="AF664" s="15">
        <v>0</v>
      </c>
      <c r="AG664" s="15">
        <v>0</v>
      </c>
      <c r="AH664" s="15">
        <v>0</v>
      </c>
      <c r="AI664" s="15">
        <f t="shared" si="81"/>
        <v>0.42</v>
      </c>
      <c r="AJ664" s="15">
        <f t="shared" si="82"/>
        <v>7.42</v>
      </c>
      <c r="AK664" t="s">
        <v>47</v>
      </c>
    </row>
    <row r="665" spans="1:37" ht="15" customHeight="1" x14ac:dyDescent="0.35">
      <c r="A665">
        <v>690929</v>
      </c>
      <c r="B665" t="s">
        <v>37</v>
      </c>
      <c r="C665" t="s">
        <v>38</v>
      </c>
      <c r="D665" s="9" t="s">
        <v>39</v>
      </c>
      <c r="E665" s="10" t="s">
        <v>37</v>
      </c>
      <c r="F665" s="11"/>
      <c r="G665" t="s">
        <v>2048</v>
      </c>
      <c r="I665" t="s">
        <v>41</v>
      </c>
      <c r="J665" t="s">
        <v>2049</v>
      </c>
      <c r="K665" t="s">
        <v>43</v>
      </c>
      <c r="L665">
        <v>2</v>
      </c>
      <c r="M665" t="s">
        <v>44</v>
      </c>
      <c r="N665" t="s">
        <v>45</v>
      </c>
      <c r="O665" t="s">
        <v>46</v>
      </c>
      <c r="P665" s="5">
        <v>1</v>
      </c>
      <c r="Q665" s="12">
        <v>44767.624849537038</v>
      </c>
      <c r="R665" s="13">
        <v>44768</v>
      </c>
      <c r="T665" t="s">
        <v>47</v>
      </c>
      <c r="U665" t="s">
        <v>48</v>
      </c>
      <c r="V665" t="s">
        <v>67</v>
      </c>
      <c r="Y665" t="s">
        <v>2050</v>
      </c>
      <c r="Z665">
        <v>28000</v>
      </c>
      <c r="AA665" t="s">
        <v>47</v>
      </c>
      <c r="AB665" t="s">
        <v>48</v>
      </c>
      <c r="AC665" t="s">
        <v>53</v>
      </c>
      <c r="AD665" s="16">
        <f t="shared" si="84"/>
        <v>7</v>
      </c>
      <c r="AE665" s="15">
        <v>0</v>
      </c>
      <c r="AF665" s="15">
        <v>0</v>
      </c>
      <c r="AG665" s="15">
        <v>0</v>
      </c>
      <c r="AH665" s="15">
        <v>0</v>
      </c>
      <c r="AI665" s="15">
        <f t="shared" si="81"/>
        <v>0.42</v>
      </c>
      <c r="AJ665" s="15">
        <f t="shared" si="82"/>
        <v>7.42</v>
      </c>
      <c r="AK665" t="s">
        <v>47</v>
      </c>
    </row>
    <row r="666" spans="1:37" ht="15" customHeight="1" x14ac:dyDescent="0.35">
      <c r="A666">
        <v>690929</v>
      </c>
      <c r="B666" t="s">
        <v>37</v>
      </c>
      <c r="C666" t="s">
        <v>38</v>
      </c>
      <c r="D666" s="9" t="s">
        <v>39</v>
      </c>
      <c r="E666" s="10" t="s">
        <v>37</v>
      </c>
      <c r="F666" s="11"/>
      <c r="G666" t="s">
        <v>2051</v>
      </c>
      <c r="I666" t="s">
        <v>41</v>
      </c>
      <c r="J666" t="s">
        <v>2052</v>
      </c>
      <c r="K666" t="s">
        <v>43</v>
      </c>
      <c r="L666">
        <v>2</v>
      </c>
      <c r="M666" t="s">
        <v>44</v>
      </c>
      <c r="N666" t="s">
        <v>45</v>
      </c>
      <c r="O666" t="s">
        <v>46</v>
      </c>
      <c r="P666" s="5">
        <v>1</v>
      </c>
      <c r="Q666" s="12">
        <v>44766.689432870371</v>
      </c>
      <c r="R666" s="13">
        <v>44768</v>
      </c>
      <c r="T666" t="s">
        <v>47</v>
      </c>
      <c r="U666" t="s">
        <v>48</v>
      </c>
      <c r="V666" t="s">
        <v>76</v>
      </c>
      <c r="Y666" t="s">
        <v>2053</v>
      </c>
      <c r="Z666">
        <v>21200</v>
      </c>
      <c r="AA666" t="s">
        <v>47</v>
      </c>
      <c r="AB666" t="s">
        <v>48</v>
      </c>
      <c r="AC666" t="s">
        <v>53</v>
      </c>
      <c r="AD666" s="16">
        <f t="shared" si="84"/>
        <v>7</v>
      </c>
      <c r="AE666" s="15">
        <v>0</v>
      </c>
      <c r="AF666" s="15">
        <v>0</v>
      </c>
      <c r="AG666" s="15">
        <v>0</v>
      </c>
      <c r="AH666" s="15">
        <v>0</v>
      </c>
      <c r="AI666" s="15">
        <f t="shared" si="81"/>
        <v>0.42</v>
      </c>
      <c r="AJ666" s="15">
        <f t="shared" si="82"/>
        <v>7.42</v>
      </c>
      <c r="AK666" t="s">
        <v>47</v>
      </c>
    </row>
    <row r="667" spans="1:37" ht="15" customHeight="1" x14ac:dyDescent="0.35">
      <c r="A667">
        <v>690929</v>
      </c>
      <c r="B667" t="s">
        <v>37</v>
      </c>
      <c r="C667" t="s">
        <v>38</v>
      </c>
      <c r="D667" s="9" t="s">
        <v>39</v>
      </c>
      <c r="E667" s="10" t="s">
        <v>37</v>
      </c>
      <c r="F667" s="11"/>
      <c r="G667" t="s">
        <v>2054</v>
      </c>
      <c r="I667" t="s">
        <v>41</v>
      </c>
      <c r="J667" t="s">
        <v>2055</v>
      </c>
      <c r="K667" t="s">
        <v>43</v>
      </c>
      <c r="L667">
        <v>2</v>
      </c>
      <c r="M667" t="s">
        <v>44</v>
      </c>
      <c r="N667" t="s">
        <v>45</v>
      </c>
      <c r="O667" t="s">
        <v>46</v>
      </c>
      <c r="P667" s="5">
        <v>1</v>
      </c>
      <c r="Q667" s="12">
        <v>44766.567037037035</v>
      </c>
      <c r="R667" s="13">
        <v>44768</v>
      </c>
      <c r="T667" t="s">
        <v>47</v>
      </c>
      <c r="U667" t="s">
        <v>48</v>
      </c>
      <c r="V667" t="s">
        <v>96</v>
      </c>
      <c r="Y667" t="s">
        <v>2056</v>
      </c>
      <c r="Z667">
        <v>16150</v>
      </c>
      <c r="AA667" t="s">
        <v>47</v>
      </c>
      <c r="AB667" t="s">
        <v>56</v>
      </c>
      <c r="AC667" t="s">
        <v>53</v>
      </c>
      <c r="AD667" s="16">
        <f t="shared" si="84"/>
        <v>7</v>
      </c>
      <c r="AE667" s="15">
        <v>0</v>
      </c>
      <c r="AF667" s="15">
        <v>0</v>
      </c>
      <c r="AG667" s="15">
        <v>0</v>
      </c>
      <c r="AH667" s="15">
        <v>0</v>
      </c>
      <c r="AI667" s="15">
        <f t="shared" si="81"/>
        <v>0.42</v>
      </c>
      <c r="AJ667" s="15">
        <f t="shared" si="82"/>
        <v>7.42</v>
      </c>
      <c r="AK667" t="s">
        <v>47</v>
      </c>
    </row>
    <row r="668" spans="1:37" ht="15" customHeight="1" x14ac:dyDescent="0.35">
      <c r="A668">
        <v>690929</v>
      </c>
      <c r="B668" t="s">
        <v>37</v>
      </c>
      <c r="C668" t="s">
        <v>38</v>
      </c>
      <c r="D668" s="9" t="s">
        <v>39</v>
      </c>
      <c r="E668" s="10" t="s">
        <v>37</v>
      </c>
      <c r="F668" s="11"/>
      <c r="G668" t="s">
        <v>2057</v>
      </c>
      <c r="I668" t="s">
        <v>41</v>
      </c>
      <c r="J668" t="s">
        <v>2058</v>
      </c>
      <c r="K668" t="s">
        <v>43</v>
      </c>
      <c r="L668">
        <v>2</v>
      </c>
      <c r="M668" t="s">
        <v>44</v>
      </c>
      <c r="N668" t="s">
        <v>45</v>
      </c>
      <c r="O668" t="s">
        <v>46</v>
      </c>
      <c r="P668" s="5">
        <v>1</v>
      </c>
      <c r="Q668" s="12">
        <v>44766.721446759257</v>
      </c>
      <c r="R668" s="13">
        <v>44768</v>
      </c>
      <c r="T668" t="s">
        <v>47</v>
      </c>
      <c r="U668" t="s">
        <v>48</v>
      </c>
      <c r="V668" t="s">
        <v>67</v>
      </c>
      <c r="Y668" t="s">
        <v>2059</v>
      </c>
      <c r="Z668">
        <v>28500</v>
      </c>
      <c r="AA668" t="s">
        <v>47</v>
      </c>
      <c r="AB668" t="s">
        <v>48</v>
      </c>
      <c r="AC668" t="s">
        <v>53</v>
      </c>
      <c r="AD668" s="16">
        <f t="shared" si="84"/>
        <v>7</v>
      </c>
      <c r="AE668" s="15">
        <v>0</v>
      </c>
      <c r="AF668" s="15">
        <v>0</v>
      </c>
      <c r="AG668" s="15">
        <v>0</v>
      </c>
      <c r="AH668" s="15">
        <v>0</v>
      </c>
      <c r="AI668" s="15">
        <f t="shared" si="81"/>
        <v>0.42</v>
      </c>
      <c r="AJ668" s="15">
        <f t="shared" si="82"/>
        <v>7.42</v>
      </c>
      <c r="AK668" t="s">
        <v>47</v>
      </c>
    </row>
    <row r="669" spans="1:37" ht="15" customHeight="1" x14ac:dyDescent="0.35">
      <c r="A669">
        <v>690929</v>
      </c>
      <c r="B669" t="s">
        <v>37</v>
      </c>
      <c r="C669" t="s">
        <v>38</v>
      </c>
      <c r="D669" s="9" t="s">
        <v>39</v>
      </c>
      <c r="E669" s="10" t="s">
        <v>37</v>
      </c>
      <c r="F669" s="11"/>
      <c r="G669" t="s">
        <v>2060</v>
      </c>
      <c r="I669" t="s">
        <v>41</v>
      </c>
      <c r="J669" t="s">
        <v>2061</v>
      </c>
      <c r="K669" t="s">
        <v>43</v>
      </c>
      <c r="L669">
        <v>2</v>
      </c>
      <c r="M669" t="s">
        <v>44</v>
      </c>
      <c r="N669" t="s">
        <v>45</v>
      </c>
      <c r="O669" t="s">
        <v>46</v>
      </c>
      <c r="P669" s="5">
        <v>1</v>
      </c>
      <c r="Q669" s="12">
        <v>44766.733726851853</v>
      </c>
      <c r="R669" s="13">
        <v>44768</v>
      </c>
      <c r="T669" t="s">
        <v>47</v>
      </c>
      <c r="U669" t="s">
        <v>48</v>
      </c>
      <c r="V669" t="s">
        <v>114</v>
      </c>
      <c r="Y669" t="s">
        <v>2062</v>
      </c>
      <c r="Z669">
        <v>42300</v>
      </c>
      <c r="AA669" t="s">
        <v>47</v>
      </c>
      <c r="AB669" t="s">
        <v>64</v>
      </c>
      <c r="AC669" t="s">
        <v>53</v>
      </c>
      <c r="AD669" s="16">
        <f t="shared" si="84"/>
        <v>7</v>
      </c>
      <c r="AE669" s="15">
        <v>0</v>
      </c>
      <c r="AF669" s="15">
        <v>0</v>
      </c>
      <c r="AG669" s="15">
        <v>0</v>
      </c>
      <c r="AH669" s="15">
        <v>0</v>
      </c>
      <c r="AI669" s="15">
        <f t="shared" si="81"/>
        <v>0.42</v>
      </c>
      <c r="AJ669" s="15">
        <f t="shared" si="82"/>
        <v>7.42</v>
      </c>
      <c r="AK669" t="s">
        <v>47</v>
      </c>
    </row>
    <row r="670" spans="1:37" ht="15" customHeight="1" x14ac:dyDescent="0.35">
      <c r="A670">
        <v>690929</v>
      </c>
      <c r="B670" t="s">
        <v>37</v>
      </c>
      <c r="C670" t="s">
        <v>38</v>
      </c>
      <c r="D670" s="9" t="s">
        <v>39</v>
      </c>
      <c r="E670" s="10" t="s">
        <v>37</v>
      </c>
      <c r="F670" s="11"/>
      <c r="G670" t="s">
        <v>2063</v>
      </c>
      <c r="I670" t="s">
        <v>41</v>
      </c>
      <c r="J670" t="s">
        <v>2064</v>
      </c>
      <c r="K670" t="s">
        <v>43</v>
      </c>
      <c r="L670">
        <v>2</v>
      </c>
      <c r="M670" t="s">
        <v>44</v>
      </c>
      <c r="N670" t="s">
        <v>45</v>
      </c>
      <c r="O670" t="s">
        <v>46</v>
      </c>
      <c r="P670" s="5">
        <v>3</v>
      </c>
      <c r="Q670" s="12">
        <v>44766.587500000001</v>
      </c>
      <c r="R670" s="13">
        <v>44768</v>
      </c>
      <c r="T670" t="s">
        <v>47</v>
      </c>
      <c r="U670" t="s">
        <v>48</v>
      </c>
      <c r="V670" t="s">
        <v>62</v>
      </c>
      <c r="Y670" t="s">
        <v>2065</v>
      </c>
      <c r="Z670">
        <v>81300</v>
      </c>
      <c r="AA670" t="s">
        <v>47</v>
      </c>
      <c r="AB670" t="s">
        <v>64</v>
      </c>
      <c r="AC670" t="s">
        <v>53</v>
      </c>
      <c r="AD670" s="16">
        <f t="shared" si="84"/>
        <v>8.6</v>
      </c>
      <c r="AE670" s="15">
        <v>0</v>
      </c>
      <c r="AF670" s="15">
        <v>0</v>
      </c>
      <c r="AG670" s="15">
        <v>0</v>
      </c>
      <c r="AH670" s="15">
        <v>0</v>
      </c>
      <c r="AI670" s="15">
        <f t="shared" si="81"/>
        <v>0.51600000000000001</v>
      </c>
      <c r="AJ670" s="15">
        <f t="shared" si="82"/>
        <v>9.1159999999999997</v>
      </c>
      <c r="AK670" t="s">
        <v>47</v>
      </c>
    </row>
    <row r="671" spans="1:37" ht="15" customHeight="1" x14ac:dyDescent="0.35">
      <c r="A671">
        <v>690929</v>
      </c>
      <c r="B671" t="s">
        <v>37</v>
      </c>
      <c r="C671" t="s">
        <v>38</v>
      </c>
      <c r="D671" s="9" t="s">
        <v>39</v>
      </c>
      <c r="E671" s="10" t="s">
        <v>37</v>
      </c>
      <c r="F671" s="11"/>
      <c r="G671" t="s">
        <v>2066</v>
      </c>
      <c r="I671" t="s">
        <v>41</v>
      </c>
      <c r="J671" t="s">
        <v>2067</v>
      </c>
      <c r="K671" t="s">
        <v>43</v>
      </c>
      <c r="L671">
        <v>2</v>
      </c>
      <c r="M671" t="s">
        <v>44</v>
      </c>
      <c r="N671" t="s">
        <v>45</v>
      </c>
      <c r="O671" t="s">
        <v>46</v>
      </c>
      <c r="P671" s="5">
        <v>1</v>
      </c>
      <c r="Q671" s="12">
        <v>44766.619409722225</v>
      </c>
      <c r="R671" s="13">
        <v>44768</v>
      </c>
      <c r="T671" t="s">
        <v>47</v>
      </c>
      <c r="U671" t="s">
        <v>48</v>
      </c>
      <c r="V671" t="s">
        <v>100</v>
      </c>
      <c r="Y671" t="s">
        <v>2068</v>
      </c>
      <c r="Z671">
        <v>31200</v>
      </c>
      <c r="AA671" t="s">
        <v>47</v>
      </c>
      <c r="AB671" t="s">
        <v>64</v>
      </c>
      <c r="AC671" t="s">
        <v>53</v>
      </c>
      <c r="AD671" s="16">
        <f t="shared" si="84"/>
        <v>7</v>
      </c>
      <c r="AE671" s="15">
        <v>0</v>
      </c>
      <c r="AF671" s="15">
        <v>0</v>
      </c>
      <c r="AG671" s="15">
        <v>0</v>
      </c>
      <c r="AH671" s="15">
        <v>0</v>
      </c>
      <c r="AI671" s="15">
        <f t="shared" si="81"/>
        <v>0.42</v>
      </c>
      <c r="AJ671" s="15">
        <f t="shared" si="82"/>
        <v>7.42</v>
      </c>
      <c r="AK671" t="s">
        <v>47</v>
      </c>
    </row>
    <row r="672" spans="1:37" ht="15" customHeight="1" x14ac:dyDescent="0.35">
      <c r="A672">
        <v>690929</v>
      </c>
      <c r="B672" t="s">
        <v>37</v>
      </c>
      <c r="C672" t="s">
        <v>38</v>
      </c>
      <c r="D672" s="9" t="s">
        <v>39</v>
      </c>
      <c r="E672" s="10" t="s">
        <v>37</v>
      </c>
      <c r="F672" s="11"/>
      <c r="G672" t="s">
        <v>2069</v>
      </c>
      <c r="I672" t="s">
        <v>41</v>
      </c>
      <c r="J672" t="s">
        <v>2070</v>
      </c>
      <c r="K672" t="s">
        <v>43</v>
      </c>
      <c r="L672">
        <v>2</v>
      </c>
      <c r="M672" t="s">
        <v>44</v>
      </c>
      <c r="N672" t="s">
        <v>45</v>
      </c>
      <c r="O672" t="s">
        <v>46</v>
      </c>
      <c r="P672" s="5">
        <v>1</v>
      </c>
      <c r="Q672" s="12">
        <v>44766.585138888891</v>
      </c>
      <c r="R672" s="13">
        <v>44768</v>
      </c>
      <c r="T672" t="s">
        <v>47</v>
      </c>
      <c r="U672" t="s">
        <v>48</v>
      </c>
      <c r="V672" t="s">
        <v>71</v>
      </c>
      <c r="Y672" t="s">
        <v>2071</v>
      </c>
      <c r="Z672">
        <v>5150</v>
      </c>
      <c r="AA672" t="s">
        <v>47</v>
      </c>
      <c r="AB672" t="s">
        <v>64</v>
      </c>
      <c r="AC672" t="s">
        <v>53</v>
      </c>
      <c r="AD672" s="16">
        <f t="shared" si="84"/>
        <v>7</v>
      </c>
      <c r="AE672" s="15">
        <v>0</v>
      </c>
      <c r="AF672" s="15">
        <v>0</v>
      </c>
      <c r="AG672" s="15">
        <v>0</v>
      </c>
      <c r="AH672" s="15">
        <v>0</v>
      </c>
      <c r="AI672" s="15">
        <f t="shared" si="81"/>
        <v>0.42</v>
      </c>
      <c r="AJ672" s="15">
        <f t="shared" si="82"/>
        <v>7.42</v>
      </c>
      <c r="AK672" t="s">
        <v>47</v>
      </c>
    </row>
    <row r="673" spans="1:37" ht="15" customHeight="1" x14ac:dyDescent="0.35">
      <c r="A673">
        <v>690929</v>
      </c>
      <c r="B673" t="s">
        <v>37</v>
      </c>
      <c r="C673" t="s">
        <v>38</v>
      </c>
      <c r="D673" s="9" t="s">
        <v>39</v>
      </c>
      <c r="E673" s="10" t="s">
        <v>37</v>
      </c>
      <c r="F673" s="11"/>
      <c r="G673" t="s">
        <v>2072</v>
      </c>
      <c r="I673" t="s">
        <v>41</v>
      </c>
      <c r="J673" t="s">
        <v>2073</v>
      </c>
      <c r="K673" t="s">
        <v>43</v>
      </c>
      <c r="L673">
        <v>2</v>
      </c>
      <c r="M673" t="s">
        <v>44</v>
      </c>
      <c r="N673" t="s">
        <v>45</v>
      </c>
      <c r="O673" t="s">
        <v>46</v>
      </c>
      <c r="P673" s="5">
        <v>1</v>
      </c>
      <c r="Q673" s="12">
        <v>44766.617673611108</v>
      </c>
      <c r="R673" s="13">
        <v>44768</v>
      </c>
      <c r="T673" t="s">
        <v>47</v>
      </c>
      <c r="U673" t="s">
        <v>48</v>
      </c>
      <c r="V673" t="s">
        <v>67</v>
      </c>
      <c r="Y673" t="s">
        <v>2074</v>
      </c>
      <c r="Z673">
        <v>28400</v>
      </c>
      <c r="AA673" t="s">
        <v>47</v>
      </c>
      <c r="AB673" t="s">
        <v>48</v>
      </c>
      <c r="AC673" t="s">
        <v>53</v>
      </c>
      <c r="AD673" s="16">
        <f t="shared" si="84"/>
        <v>7</v>
      </c>
      <c r="AE673" s="15">
        <v>0</v>
      </c>
      <c r="AF673" s="15">
        <v>0</v>
      </c>
      <c r="AG673" s="15">
        <v>0</v>
      </c>
      <c r="AH673" s="15">
        <v>0</v>
      </c>
      <c r="AI673" s="15">
        <f t="shared" si="81"/>
        <v>0.42</v>
      </c>
      <c r="AJ673" s="15">
        <f t="shared" si="82"/>
        <v>7.42</v>
      </c>
      <c r="AK673" t="s">
        <v>47</v>
      </c>
    </row>
    <row r="674" spans="1:37" ht="15" customHeight="1" x14ac:dyDescent="0.35">
      <c r="A674">
        <v>690929</v>
      </c>
      <c r="B674" t="s">
        <v>37</v>
      </c>
      <c r="C674" t="s">
        <v>38</v>
      </c>
      <c r="D674" s="9" t="s">
        <v>39</v>
      </c>
      <c r="E674" s="10" t="s">
        <v>37</v>
      </c>
      <c r="F674" s="11"/>
      <c r="G674" t="s">
        <v>2075</v>
      </c>
      <c r="I674" t="s">
        <v>41</v>
      </c>
      <c r="J674" t="s">
        <v>1498</v>
      </c>
      <c r="K674" t="s">
        <v>43</v>
      </c>
      <c r="L674">
        <v>2</v>
      </c>
      <c r="M674" t="s">
        <v>44</v>
      </c>
      <c r="N674" t="s">
        <v>45</v>
      </c>
      <c r="O674" t="s">
        <v>46</v>
      </c>
      <c r="P674" s="5">
        <v>2</v>
      </c>
      <c r="Q674" s="12">
        <v>44766.777615740742</v>
      </c>
      <c r="R674" s="13">
        <v>44768</v>
      </c>
      <c r="T674" t="s">
        <v>47</v>
      </c>
      <c r="U674" t="s">
        <v>48</v>
      </c>
      <c r="V674" t="s">
        <v>114</v>
      </c>
      <c r="Y674" t="s">
        <v>1499</v>
      </c>
      <c r="Z674">
        <v>40170</v>
      </c>
      <c r="AA674" t="s">
        <v>47</v>
      </c>
      <c r="AB674" t="s">
        <v>2076</v>
      </c>
      <c r="AC674" t="s">
        <v>53</v>
      </c>
      <c r="AD674" s="16">
        <f t="shared" si="84"/>
        <v>7.8</v>
      </c>
      <c r="AE674" s="15">
        <v>0</v>
      </c>
      <c r="AF674" s="15">
        <v>0</v>
      </c>
      <c r="AG674" s="15">
        <v>0</v>
      </c>
      <c r="AH674" s="15">
        <v>0</v>
      </c>
      <c r="AI674" s="15">
        <f t="shared" si="81"/>
        <v>0.46799999999999997</v>
      </c>
      <c r="AJ674" s="15">
        <f t="shared" si="82"/>
        <v>8.2680000000000007</v>
      </c>
      <c r="AK674" t="s">
        <v>47</v>
      </c>
    </row>
    <row r="675" spans="1:37" ht="15" customHeight="1" x14ac:dyDescent="0.35">
      <c r="A675">
        <v>690929</v>
      </c>
      <c r="B675" t="s">
        <v>37</v>
      </c>
      <c r="C675" t="s">
        <v>38</v>
      </c>
      <c r="D675" s="9" t="s">
        <v>39</v>
      </c>
      <c r="E675" s="10" t="s">
        <v>37</v>
      </c>
      <c r="F675" s="11"/>
      <c r="G675" t="s">
        <v>2077</v>
      </c>
      <c r="I675" t="s">
        <v>41</v>
      </c>
      <c r="J675" t="s">
        <v>2078</v>
      </c>
      <c r="K675" t="s">
        <v>43</v>
      </c>
      <c r="L675">
        <v>2</v>
      </c>
      <c r="M675" t="s">
        <v>44</v>
      </c>
      <c r="N675" t="s">
        <v>45</v>
      </c>
      <c r="O675" t="s">
        <v>46</v>
      </c>
      <c r="P675" s="5">
        <v>1</v>
      </c>
      <c r="Q675" s="12">
        <v>44766.686388888891</v>
      </c>
      <c r="R675" s="13">
        <v>44768</v>
      </c>
      <c r="T675" t="s">
        <v>47</v>
      </c>
      <c r="U675" t="s">
        <v>48</v>
      </c>
      <c r="V675" t="s">
        <v>67</v>
      </c>
      <c r="Y675" t="s">
        <v>2079</v>
      </c>
      <c r="Z675">
        <v>27000</v>
      </c>
      <c r="AA675" t="s">
        <v>47</v>
      </c>
      <c r="AB675" t="s">
        <v>48</v>
      </c>
      <c r="AC675" t="s">
        <v>53</v>
      </c>
      <c r="AD675" s="16">
        <f t="shared" si="84"/>
        <v>7</v>
      </c>
      <c r="AE675" s="15">
        <v>0</v>
      </c>
      <c r="AF675" s="15">
        <v>0</v>
      </c>
      <c r="AG675" s="15">
        <v>0</v>
      </c>
      <c r="AH675" s="15">
        <v>0</v>
      </c>
      <c r="AI675" s="15">
        <f t="shared" si="81"/>
        <v>0.42</v>
      </c>
      <c r="AJ675" s="15">
        <f t="shared" si="82"/>
        <v>7.42</v>
      </c>
      <c r="AK675" t="s">
        <v>47</v>
      </c>
    </row>
    <row r="676" spans="1:37" ht="15" customHeight="1" x14ac:dyDescent="0.35">
      <c r="A676">
        <v>690929</v>
      </c>
      <c r="B676" t="s">
        <v>37</v>
      </c>
      <c r="C676" t="s">
        <v>38</v>
      </c>
      <c r="D676" s="9" t="s">
        <v>39</v>
      </c>
      <c r="E676" s="10" t="s">
        <v>37</v>
      </c>
      <c r="F676" s="11"/>
      <c r="G676" t="s">
        <v>2080</v>
      </c>
      <c r="I676" t="s">
        <v>41</v>
      </c>
      <c r="J676" t="s">
        <v>2081</v>
      </c>
      <c r="K676" t="s">
        <v>43</v>
      </c>
      <c r="L676">
        <v>2</v>
      </c>
      <c r="M676" t="s">
        <v>44</v>
      </c>
      <c r="N676" t="s">
        <v>45</v>
      </c>
      <c r="O676" t="s">
        <v>46</v>
      </c>
      <c r="P676" s="5">
        <v>1</v>
      </c>
      <c r="Q676" s="12">
        <v>44766.716805555552</v>
      </c>
      <c r="R676" s="13">
        <v>44768</v>
      </c>
      <c r="T676" t="s">
        <v>47</v>
      </c>
      <c r="U676" t="s">
        <v>64</v>
      </c>
      <c r="V676" t="s">
        <v>114</v>
      </c>
      <c r="Y676" t="s">
        <v>2082</v>
      </c>
      <c r="Z676">
        <v>42700</v>
      </c>
      <c r="AA676" t="s">
        <v>47</v>
      </c>
      <c r="AB676" t="s">
        <v>64</v>
      </c>
      <c r="AC676" t="s">
        <v>53</v>
      </c>
      <c r="AD676" s="16">
        <f t="shared" si="84"/>
        <v>7</v>
      </c>
      <c r="AE676" s="15">
        <v>0</v>
      </c>
      <c r="AF676" s="15">
        <v>0</v>
      </c>
      <c r="AG676" s="15">
        <v>0</v>
      </c>
      <c r="AH676" s="15">
        <v>0</v>
      </c>
      <c r="AI676" s="15">
        <f t="shared" si="81"/>
        <v>0.42</v>
      </c>
      <c r="AJ676" s="15">
        <f t="shared" si="82"/>
        <v>7.42</v>
      </c>
      <c r="AK676" t="s">
        <v>47</v>
      </c>
    </row>
    <row r="677" spans="1:37" ht="15" customHeight="1" x14ac:dyDescent="0.35">
      <c r="A677">
        <v>690929</v>
      </c>
      <c r="B677" t="s">
        <v>37</v>
      </c>
      <c r="C677" t="s">
        <v>38</v>
      </c>
      <c r="D677" s="9" t="s">
        <v>39</v>
      </c>
      <c r="E677" s="10" t="s">
        <v>37</v>
      </c>
      <c r="F677" s="11"/>
      <c r="G677" t="s">
        <v>2083</v>
      </c>
      <c r="I677" t="s">
        <v>41</v>
      </c>
      <c r="J677" t="s">
        <v>2084</v>
      </c>
      <c r="K677" t="s">
        <v>43</v>
      </c>
      <c r="L677">
        <v>2</v>
      </c>
      <c r="M677" t="s">
        <v>44</v>
      </c>
      <c r="N677" t="s">
        <v>45</v>
      </c>
      <c r="O677" t="s">
        <v>46</v>
      </c>
      <c r="P677" s="5">
        <v>1</v>
      </c>
      <c r="Q677" s="12">
        <v>44766.693888888891</v>
      </c>
      <c r="R677" s="13">
        <v>44768</v>
      </c>
      <c r="T677" t="s">
        <v>47</v>
      </c>
      <c r="U677" t="s">
        <v>48</v>
      </c>
      <c r="V677" t="s">
        <v>67</v>
      </c>
      <c r="Y677" t="s">
        <v>2085</v>
      </c>
      <c r="Z677">
        <v>25000</v>
      </c>
      <c r="AA677" t="s">
        <v>47</v>
      </c>
      <c r="AB677" t="s">
        <v>48</v>
      </c>
      <c r="AC677" t="s">
        <v>53</v>
      </c>
      <c r="AD677" s="16">
        <f t="shared" si="84"/>
        <v>7</v>
      </c>
      <c r="AE677" s="15">
        <v>0</v>
      </c>
      <c r="AF677" s="15">
        <v>0</v>
      </c>
      <c r="AG677" s="15">
        <v>0</v>
      </c>
      <c r="AH677" s="15">
        <v>0</v>
      </c>
      <c r="AI677" s="15">
        <f t="shared" si="81"/>
        <v>0.42</v>
      </c>
      <c r="AJ677" s="15">
        <f t="shared" si="82"/>
        <v>7.42</v>
      </c>
      <c r="AK677" t="s">
        <v>47</v>
      </c>
    </row>
    <row r="678" spans="1:37" ht="15" customHeight="1" x14ac:dyDescent="0.35">
      <c r="A678">
        <v>690929</v>
      </c>
      <c r="B678" t="s">
        <v>37</v>
      </c>
      <c r="C678" t="s">
        <v>38</v>
      </c>
      <c r="D678" s="9" t="s">
        <v>39</v>
      </c>
      <c r="E678" s="10" t="s">
        <v>37</v>
      </c>
      <c r="F678" s="11"/>
      <c r="G678" t="s">
        <v>2086</v>
      </c>
      <c r="I678" t="s">
        <v>41</v>
      </c>
      <c r="J678" t="s">
        <v>2087</v>
      </c>
      <c r="K678" t="s">
        <v>43</v>
      </c>
      <c r="L678">
        <v>2</v>
      </c>
      <c r="M678" t="s">
        <v>44</v>
      </c>
      <c r="N678" t="s">
        <v>45</v>
      </c>
      <c r="O678" t="s">
        <v>46</v>
      </c>
      <c r="P678" s="5">
        <v>1</v>
      </c>
      <c r="Q678" s="12">
        <v>44766.697858796295</v>
      </c>
      <c r="R678" s="13">
        <v>44768</v>
      </c>
      <c r="T678" t="s">
        <v>47</v>
      </c>
      <c r="U678" t="s">
        <v>48</v>
      </c>
      <c r="V678" t="s">
        <v>114</v>
      </c>
      <c r="Y678" t="s">
        <v>2088</v>
      </c>
      <c r="Z678">
        <v>47620</v>
      </c>
      <c r="AA678" t="s">
        <v>47</v>
      </c>
      <c r="AB678" t="s">
        <v>64</v>
      </c>
      <c r="AC678" t="s">
        <v>53</v>
      </c>
      <c r="AD678" s="16">
        <f t="shared" si="84"/>
        <v>7</v>
      </c>
      <c r="AE678" s="15">
        <v>0</v>
      </c>
      <c r="AF678" s="15">
        <v>0</v>
      </c>
      <c r="AG678" s="15">
        <v>0</v>
      </c>
      <c r="AH678" s="15">
        <v>0</v>
      </c>
      <c r="AI678" s="15">
        <f t="shared" si="81"/>
        <v>0.42</v>
      </c>
      <c r="AJ678" s="15">
        <f t="shared" si="82"/>
        <v>7.42</v>
      </c>
      <c r="AK678" t="s">
        <v>47</v>
      </c>
    </row>
    <row r="679" spans="1:37" ht="15" customHeight="1" x14ac:dyDescent="0.35">
      <c r="A679">
        <v>690929</v>
      </c>
      <c r="B679" t="s">
        <v>37</v>
      </c>
      <c r="C679" t="s">
        <v>38</v>
      </c>
      <c r="D679" s="9" t="s">
        <v>39</v>
      </c>
      <c r="E679" s="10" t="s">
        <v>37</v>
      </c>
      <c r="F679" s="11"/>
      <c r="G679" t="s">
        <v>2089</v>
      </c>
      <c r="I679" t="s">
        <v>41</v>
      </c>
      <c r="J679" t="s">
        <v>2090</v>
      </c>
      <c r="K679" t="s">
        <v>43</v>
      </c>
      <c r="L679">
        <v>2</v>
      </c>
      <c r="M679" t="s">
        <v>44</v>
      </c>
      <c r="N679" t="s">
        <v>45</v>
      </c>
      <c r="O679" t="s">
        <v>46</v>
      </c>
      <c r="P679" s="5">
        <v>1</v>
      </c>
      <c r="Q679" s="12">
        <v>44766.418541666666</v>
      </c>
      <c r="R679" s="13">
        <v>44768</v>
      </c>
      <c r="T679" t="s">
        <v>47</v>
      </c>
      <c r="U679" t="s">
        <v>48</v>
      </c>
      <c r="V679" t="s">
        <v>62</v>
      </c>
      <c r="Y679" t="s">
        <v>2091</v>
      </c>
      <c r="Z679">
        <v>81900</v>
      </c>
      <c r="AA679" t="s">
        <v>47</v>
      </c>
      <c r="AB679" t="s">
        <v>64</v>
      </c>
      <c r="AC679" t="s">
        <v>53</v>
      </c>
      <c r="AD679" s="16">
        <f t="shared" si="84"/>
        <v>7</v>
      </c>
      <c r="AE679" s="15">
        <v>0</v>
      </c>
      <c r="AF679" s="15">
        <v>0</v>
      </c>
      <c r="AG679" s="15">
        <v>0</v>
      </c>
      <c r="AH679" s="15">
        <v>0</v>
      </c>
      <c r="AI679" s="15">
        <f t="shared" si="81"/>
        <v>0.42</v>
      </c>
      <c r="AJ679" s="15">
        <f t="shared" si="82"/>
        <v>7.42</v>
      </c>
      <c r="AK679" t="s">
        <v>47</v>
      </c>
    </row>
    <row r="680" spans="1:37" ht="15" customHeight="1" x14ac:dyDescent="0.35">
      <c r="A680">
        <v>690929</v>
      </c>
      <c r="B680" t="s">
        <v>37</v>
      </c>
      <c r="C680" t="s">
        <v>38</v>
      </c>
      <c r="D680" s="9" t="s">
        <v>39</v>
      </c>
      <c r="E680" s="10" t="s">
        <v>37</v>
      </c>
      <c r="F680" s="11"/>
      <c r="G680" t="s">
        <v>2092</v>
      </c>
      <c r="I680" t="s">
        <v>41</v>
      </c>
      <c r="J680" t="s">
        <v>2093</v>
      </c>
      <c r="K680" t="s">
        <v>43</v>
      </c>
      <c r="L680">
        <v>2</v>
      </c>
      <c r="M680" t="s">
        <v>44</v>
      </c>
      <c r="N680" t="s">
        <v>45</v>
      </c>
      <c r="O680" t="s">
        <v>46</v>
      </c>
      <c r="P680" s="5">
        <v>1</v>
      </c>
      <c r="Q680" s="12">
        <v>44766.607766203706</v>
      </c>
      <c r="R680" s="13">
        <v>44768</v>
      </c>
      <c r="T680" t="s">
        <v>47</v>
      </c>
      <c r="U680" t="s">
        <v>48</v>
      </c>
      <c r="V680" t="s">
        <v>71</v>
      </c>
      <c r="Y680" t="s">
        <v>2094</v>
      </c>
      <c r="Z680">
        <v>6100</v>
      </c>
      <c r="AA680" t="s">
        <v>47</v>
      </c>
      <c r="AB680" t="s">
        <v>64</v>
      </c>
      <c r="AC680" t="s">
        <v>53</v>
      </c>
      <c r="AD680" s="16">
        <f t="shared" si="84"/>
        <v>7</v>
      </c>
      <c r="AE680" s="15">
        <v>0</v>
      </c>
      <c r="AF680" s="15">
        <v>0</v>
      </c>
      <c r="AG680" s="15">
        <v>0</v>
      </c>
      <c r="AH680" s="15">
        <v>0</v>
      </c>
      <c r="AI680" s="15">
        <f t="shared" si="81"/>
        <v>0.42</v>
      </c>
      <c r="AJ680" s="15">
        <f t="shared" si="82"/>
        <v>7.42</v>
      </c>
      <c r="AK680" t="s">
        <v>47</v>
      </c>
    </row>
    <row r="681" spans="1:37" ht="15" customHeight="1" x14ac:dyDescent="0.35">
      <c r="A681">
        <v>690929</v>
      </c>
      <c r="B681" t="s">
        <v>37</v>
      </c>
      <c r="C681" t="s">
        <v>38</v>
      </c>
      <c r="D681" s="9" t="s">
        <v>39</v>
      </c>
      <c r="E681" s="10" t="s">
        <v>37</v>
      </c>
      <c r="F681" s="11"/>
      <c r="G681" t="s">
        <v>2095</v>
      </c>
      <c r="I681" t="s">
        <v>41</v>
      </c>
      <c r="J681" t="s">
        <v>2096</v>
      </c>
      <c r="K681" t="s">
        <v>43</v>
      </c>
      <c r="L681">
        <v>2</v>
      </c>
      <c r="M681" t="s">
        <v>44</v>
      </c>
      <c r="N681" t="s">
        <v>45</v>
      </c>
      <c r="O681" t="s">
        <v>46</v>
      </c>
      <c r="P681" s="5">
        <v>1</v>
      </c>
      <c r="Q681" s="12">
        <v>44766.611840277779</v>
      </c>
      <c r="R681" s="13">
        <v>44768</v>
      </c>
      <c r="T681" t="s">
        <v>47</v>
      </c>
      <c r="U681" t="s">
        <v>48</v>
      </c>
      <c r="V681" t="s">
        <v>62</v>
      </c>
      <c r="Y681" t="s">
        <v>2097</v>
      </c>
      <c r="Z681">
        <v>81900</v>
      </c>
      <c r="AA681" t="s">
        <v>47</v>
      </c>
      <c r="AB681" t="s">
        <v>64</v>
      </c>
      <c r="AC681" t="s">
        <v>53</v>
      </c>
      <c r="AD681" s="16">
        <f t="shared" si="84"/>
        <v>7</v>
      </c>
      <c r="AE681" s="15">
        <v>0</v>
      </c>
      <c r="AF681" s="15">
        <v>0</v>
      </c>
      <c r="AG681" s="15">
        <v>0</v>
      </c>
      <c r="AH681" s="15">
        <v>0</v>
      </c>
      <c r="AI681" s="15">
        <f t="shared" si="81"/>
        <v>0.42</v>
      </c>
      <c r="AJ681" s="15">
        <f t="shared" si="82"/>
        <v>7.42</v>
      </c>
      <c r="AK681" t="s">
        <v>47</v>
      </c>
    </row>
    <row r="682" spans="1:37" ht="15" customHeight="1" x14ac:dyDescent="0.35">
      <c r="A682">
        <v>690929</v>
      </c>
      <c r="B682" t="s">
        <v>37</v>
      </c>
      <c r="C682" t="s">
        <v>38</v>
      </c>
      <c r="D682" s="9" t="s">
        <v>39</v>
      </c>
      <c r="E682" s="10" t="s">
        <v>37</v>
      </c>
      <c r="F682" s="11"/>
      <c r="G682" t="s">
        <v>2098</v>
      </c>
      <c r="I682" t="s">
        <v>41</v>
      </c>
      <c r="J682" t="s">
        <v>2099</v>
      </c>
      <c r="K682" t="s">
        <v>43</v>
      </c>
      <c r="L682">
        <v>2</v>
      </c>
      <c r="M682" t="s">
        <v>44</v>
      </c>
      <c r="N682" t="s">
        <v>45</v>
      </c>
      <c r="O682" t="s">
        <v>46</v>
      </c>
      <c r="P682" s="5">
        <v>2</v>
      </c>
      <c r="Q682" s="12">
        <v>44767.506006944444</v>
      </c>
      <c r="R682" s="13">
        <v>44768</v>
      </c>
      <c r="T682" t="s">
        <v>47</v>
      </c>
      <c r="U682" t="s">
        <v>48</v>
      </c>
      <c r="V682" t="s">
        <v>128</v>
      </c>
      <c r="Y682" t="s">
        <v>2100</v>
      </c>
      <c r="Z682">
        <v>53300</v>
      </c>
      <c r="AA682" t="s">
        <v>47</v>
      </c>
      <c r="AB682" t="s">
        <v>2101</v>
      </c>
      <c r="AC682" t="s">
        <v>53</v>
      </c>
      <c r="AD682" s="16">
        <f t="shared" si="84"/>
        <v>7.8</v>
      </c>
      <c r="AE682" s="15">
        <v>0</v>
      </c>
      <c r="AF682" s="15">
        <v>0</v>
      </c>
      <c r="AG682" s="15">
        <v>0</v>
      </c>
      <c r="AH682" s="15">
        <v>0</v>
      </c>
      <c r="AI682" s="15">
        <f t="shared" si="81"/>
        <v>0.46799999999999997</v>
      </c>
      <c r="AJ682" s="15">
        <f t="shared" si="82"/>
        <v>8.2680000000000007</v>
      </c>
      <c r="AK682" t="s">
        <v>47</v>
      </c>
    </row>
    <row r="683" spans="1:37" ht="15" customHeight="1" x14ac:dyDescent="0.35">
      <c r="A683">
        <v>690929</v>
      </c>
      <c r="B683" t="s">
        <v>37</v>
      </c>
      <c r="C683" t="s">
        <v>38</v>
      </c>
      <c r="D683" s="9" t="s">
        <v>39</v>
      </c>
      <c r="E683" s="10" t="s">
        <v>37</v>
      </c>
      <c r="F683" s="11"/>
      <c r="G683" t="s">
        <v>2102</v>
      </c>
      <c r="I683" t="s">
        <v>41</v>
      </c>
      <c r="J683" t="s">
        <v>2103</v>
      </c>
      <c r="K683" t="s">
        <v>43</v>
      </c>
      <c r="L683">
        <v>2</v>
      </c>
      <c r="M683" t="s">
        <v>44</v>
      </c>
      <c r="N683" t="s">
        <v>45</v>
      </c>
      <c r="O683" t="s">
        <v>46</v>
      </c>
      <c r="P683" s="5">
        <v>1</v>
      </c>
      <c r="Q683" s="12">
        <v>44766.700358796297</v>
      </c>
      <c r="R683" s="13">
        <v>44768</v>
      </c>
      <c r="T683" t="s">
        <v>47</v>
      </c>
      <c r="U683" t="s">
        <v>48</v>
      </c>
      <c r="V683" t="s">
        <v>67</v>
      </c>
      <c r="Y683" t="s">
        <v>2104</v>
      </c>
      <c r="Z683">
        <v>26690</v>
      </c>
      <c r="AA683" t="s">
        <v>47</v>
      </c>
      <c r="AB683" t="s">
        <v>48</v>
      </c>
      <c r="AC683" t="s">
        <v>53</v>
      </c>
      <c r="AD683" s="16">
        <f t="shared" si="84"/>
        <v>7</v>
      </c>
      <c r="AE683" s="15">
        <v>0</v>
      </c>
      <c r="AF683" s="15">
        <v>0</v>
      </c>
      <c r="AG683" s="15">
        <v>0</v>
      </c>
      <c r="AH683" s="15">
        <v>0</v>
      </c>
      <c r="AI683" s="15">
        <f t="shared" si="81"/>
        <v>0.42</v>
      </c>
      <c r="AJ683" s="15">
        <f t="shared" si="82"/>
        <v>7.42</v>
      </c>
      <c r="AK683" t="s">
        <v>47</v>
      </c>
    </row>
    <row r="684" spans="1:37" ht="15" customHeight="1" x14ac:dyDescent="0.35">
      <c r="A684">
        <v>690929</v>
      </c>
      <c r="B684" t="s">
        <v>37</v>
      </c>
      <c r="C684" t="s">
        <v>38</v>
      </c>
      <c r="D684" s="9" t="s">
        <v>39</v>
      </c>
      <c r="E684" s="10" t="s">
        <v>37</v>
      </c>
      <c r="F684" s="11"/>
      <c r="G684" t="s">
        <v>2105</v>
      </c>
      <c r="I684" t="s">
        <v>41</v>
      </c>
      <c r="J684" t="s">
        <v>2106</v>
      </c>
      <c r="K684" t="s">
        <v>43</v>
      </c>
      <c r="L684">
        <v>2</v>
      </c>
      <c r="M684" t="s">
        <v>44</v>
      </c>
      <c r="N684" t="s">
        <v>45</v>
      </c>
      <c r="O684" t="s">
        <v>46</v>
      </c>
      <c r="P684" s="5">
        <v>1</v>
      </c>
      <c r="Q684" s="12">
        <v>44766.739849537036</v>
      </c>
      <c r="R684" s="13">
        <v>44768</v>
      </c>
      <c r="T684" t="s">
        <v>47</v>
      </c>
      <c r="U684" t="s">
        <v>48</v>
      </c>
      <c r="V684" t="s">
        <v>114</v>
      </c>
      <c r="Y684" t="s">
        <v>2107</v>
      </c>
      <c r="Z684">
        <v>43200</v>
      </c>
      <c r="AA684" t="s">
        <v>47</v>
      </c>
      <c r="AB684" t="s">
        <v>64</v>
      </c>
      <c r="AC684" t="s">
        <v>53</v>
      </c>
      <c r="AD684" s="16">
        <f t="shared" si="84"/>
        <v>7</v>
      </c>
      <c r="AE684" s="15">
        <v>0</v>
      </c>
      <c r="AF684" s="15">
        <v>0</v>
      </c>
      <c r="AG684" s="15">
        <v>0</v>
      </c>
      <c r="AH684" s="15">
        <v>0</v>
      </c>
      <c r="AI684" s="15">
        <f t="shared" si="81"/>
        <v>0.42</v>
      </c>
      <c r="AJ684" s="15">
        <f t="shared" si="82"/>
        <v>7.42</v>
      </c>
      <c r="AK684" t="s">
        <v>47</v>
      </c>
    </row>
    <row r="685" spans="1:37" ht="15" customHeight="1" x14ac:dyDescent="0.35">
      <c r="A685">
        <v>690929</v>
      </c>
      <c r="B685" t="s">
        <v>37</v>
      </c>
      <c r="C685" t="s">
        <v>38</v>
      </c>
      <c r="D685" s="9" t="s">
        <v>39</v>
      </c>
      <c r="E685" s="10" t="s">
        <v>37</v>
      </c>
      <c r="F685" s="11"/>
      <c r="G685" t="s">
        <v>2108</v>
      </c>
      <c r="I685" t="s">
        <v>41</v>
      </c>
      <c r="J685" t="s">
        <v>2109</v>
      </c>
      <c r="K685" t="s">
        <v>43</v>
      </c>
      <c r="L685">
        <v>2</v>
      </c>
      <c r="M685" t="s">
        <v>44</v>
      </c>
      <c r="N685" t="s">
        <v>45</v>
      </c>
      <c r="O685" t="s">
        <v>46</v>
      </c>
      <c r="P685" s="5">
        <v>2</v>
      </c>
      <c r="Q685" s="12">
        <v>44766.748043981483</v>
      </c>
      <c r="R685" s="13">
        <v>44768</v>
      </c>
      <c r="T685" t="s">
        <v>47</v>
      </c>
      <c r="U685" t="s">
        <v>48</v>
      </c>
      <c r="V685" t="s">
        <v>114</v>
      </c>
      <c r="Y685" t="s">
        <v>2110</v>
      </c>
      <c r="Z685">
        <v>45700</v>
      </c>
      <c r="AA685" t="s">
        <v>47</v>
      </c>
      <c r="AB685" t="s">
        <v>64</v>
      </c>
      <c r="AC685" t="s">
        <v>53</v>
      </c>
      <c r="AD685" s="16">
        <f t="shared" si="84"/>
        <v>7.8</v>
      </c>
      <c r="AE685" s="15">
        <v>0</v>
      </c>
      <c r="AF685" s="15">
        <v>0</v>
      </c>
      <c r="AG685" s="15">
        <v>0</v>
      </c>
      <c r="AH685" s="15">
        <v>0</v>
      </c>
      <c r="AI685" s="15">
        <f t="shared" si="81"/>
        <v>0.46799999999999997</v>
      </c>
      <c r="AJ685" s="15">
        <f t="shared" si="82"/>
        <v>8.2680000000000007</v>
      </c>
      <c r="AK685" t="s">
        <v>47</v>
      </c>
    </row>
    <row r="686" spans="1:37" ht="15" customHeight="1" x14ac:dyDescent="0.35">
      <c r="A686">
        <v>690929</v>
      </c>
      <c r="B686" t="s">
        <v>37</v>
      </c>
      <c r="C686" t="s">
        <v>38</v>
      </c>
      <c r="D686" s="9" t="s">
        <v>39</v>
      </c>
      <c r="E686" s="10" t="s">
        <v>37</v>
      </c>
      <c r="F686" s="11"/>
      <c r="G686" t="s">
        <v>2111</v>
      </c>
      <c r="I686" t="s">
        <v>41</v>
      </c>
      <c r="J686" t="s">
        <v>2112</v>
      </c>
      <c r="K686" t="s">
        <v>43</v>
      </c>
      <c r="L686">
        <v>2</v>
      </c>
      <c r="M686" t="s">
        <v>44</v>
      </c>
      <c r="N686" t="s">
        <v>45</v>
      </c>
      <c r="O686" t="s">
        <v>46</v>
      </c>
      <c r="P686" s="5">
        <v>1</v>
      </c>
      <c r="Q686" s="12">
        <v>44766.704814814817</v>
      </c>
      <c r="R686" s="13">
        <v>44768</v>
      </c>
      <c r="T686" t="s">
        <v>47</v>
      </c>
      <c r="U686" t="s">
        <v>48</v>
      </c>
      <c r="V686" t="s">
        <v>67</v>
      </c>
      <c r="Y686" t="s">
        <v>2113</v>
      </c>
      <c r="Z686">
        <v>28050</v>
      </c>
      <c r="AA686" t="s">
        <v>47</v>
      </c>
      <c r="AB686" t="s">
        <v>48</v>
      </c>
      <c r="AC686" t="s">
        <v>53</v>
      </c>
      <c r="AD686" s="16">
        <f t="shared" si="84"/>
        <v>7</v>
      </c>
      <c r="AE686" s="15">
        <v>0</v>
      </c>
      <c r="AF686" s="15">
        <v>0</v>
      </c>
      <c r="AG686" s="15">
        <v>0</v>
      </c>
      <c r="AH686" s="15">
        <v>0</v>
      </c>
      <c r="AI686" s="15">
        <f t="shared" si="81"/>
        <v>0.42</v>
      </c>
      <c r="AJ686" s="15">
        <f t="shared" si="82"/>
        <v>7.42</v>
      </c>
      <c r="AK686" t="s">
        <v>47</v>
      </c>
    </row>
    <row r="687" spans="1:37" ht="15" customHeight="1" x14ac:dyDescent="0.35">
      <c r="A687">
        <v>690929</v>
      </c>
      <c r="B687" t="s">
        <v>37</v>
      </c>
      <c r="C687" t="s">
        <v>38</v>
      </c>
      <c r="D687" s="9" t="s">
        <v>39</v>
      </c>
      <c r="E687" s="10" t="s">
        <v>37</v>
      </c>
      <c r="F687" s="11"/>
      <c r="G687" t="s">
        <v>2114</v>
      </c>
      <c r="I687" t="s">
        <v>41</v>
      </c>
      <c r="J687" t="s">
        <v>2115</v>
      </c>
      <c r="K687" t="s">
        <v>43</v>
      </c>
      <c r="L687">
        <v>2</v>
      </c>
      <c r="M687" t="s">
        <v>44</v>
      </c>
      <c r="N687" t="s">
        <v>45</v>
      </c>
      <c r="O687" t="s">
        <v>46</v>
      </c>
      <c r="P687" s="5">
        <v>1</v>
      </c>
      <c r="Q687" s="12">
        <v>44766.731527777774</v>
      </c>
      <c r="R687" s="13">
        <v>44768</v>
      </c>
      <c r="T687" t="s">
        <v>47</v>
      </c>
      <c r="U687" t="s">
        <v>48</v>
      </c>
      <c r="V687" t="s">
        <v>114</v>
      </c>
      <c r="Y687" t="s">
        <v>2116</v>
      </c>
      <c r="Z687">
        <v>43500</v>
      </c>
      <c r="AA687" t="s">
        <v>47</v>
      </c>
      <c r="AB687" t="s">
        <v>64</v>
      </c>
      <c r="AC687" t="s">
        <v>53</v>
      </c>
      <c r="AD687" s="16">
        <f t="shared" si="84"/>
        <v>7</v>
      </c>
      <c r="AE687" s="15">
        <v>0</v>
      </c>
      <c r="AF687" s="15">
        <v>0</v>
      </c>
      <c r="AG687" s="15">
        <v>0</v>
      </c>
      <c r="AH687" s="15">
        <v>0</v>
      </c>
      <c r="AI687" s="15">
        <f t="shared" si="81"/>
        <v>0.42</v>
      </c>
      <c r="AJ687" s="15">
        <f t="shared" si="82"/>
        <v>7.42</v>
      </c>
      <c r="AK687" t="s">
        <v>47</v>
      </c>
    </row>
    <row r="688" spans="1:37" ht="15" customHeight="1" x14ac:dyDescent="0.35">
      <c r="A688">
        <v>690929</v>
      </c>
      <c r="B688" t="s">
        <v>37</v>
      </c>
      <c r="C688" t="s">
        <v>38</v>
      </c>
      <c r="D688" s="9" t="s">
        <v>39</v>
      </c>
      <c r="E688" s="10" t="s">
        <v>37</v>
      </c>
      <c r="F688" s="11"/>
      <c r="G688" t="s">
        <v>2117</v>
      </c>
      <c r="I688" t="s">
        <v>41</v>
      </c>
      <c r="J688" t="s">
        <v>2118</v>
      </c>
      <c r="K688" t="s">
        <v>43</v>
      </c>
      <c r="L688">
        <v>2</v>
      </c>
      <c r="M688" t="s">
        <v>44</v>
      </c>
      <c r="N688" t="s">
        <v>45</v>
      </c>
      <c r="O688" t="s">
        <v>46</v>
      </c>
      <c r="P688" s="5">
        <v>1</v>
      </c>
      <c r="Q688" s="12">
        <v>44766.732893518521</v>
      </c>
      <c r="R688" s="13">
        <v>44768</v>
      </c>
      <c r="T688" t="s">
        <v>47</v>
      </c>
      <c r="U688" t="s">
        <v>48</v>
      </c>
      <c r="V688" t="s">
        <v>76</v>
      </c>
      <c r="Y688" t="s">
        <v>2119</v>
      </c>
      <c r="Z688">
        <v>24300</v>
      </c>
      <c r="AA688" t="s">
        <v>47</v>
      </c>
      <c r="AB688" t="s">
        <v>48</v>
      </c>
      <c r="AC688" t="s">
        <v>53</v>
      </c>
      <c r="AD688" s="16">
        <f t="shared" si="84"/>
        <v>7</v>
      </c>
      <c r="AE688" s="15">
        <v>0</v>
      </c>
      <c r="AF688" s="15">
        <v>0</v>
      </c>
      <c r="AG688" s="15">
        <v>0</v>
      </c>
      <c r="AH688" s="15">
        <v>0</v>
      </c>
      <c r="AI688" s="15">
        <f t="shared" si="81"/>
        <v>0.42</v>
      </c>
      <c r="AJ688" s="15">
        <f t="shared" si="82"/>
        <v>7.42</v>
      </c>
      <c r="AK688" t="s">
        <v>47</v>
      </c>
    </row>
    <row r="689" spans="1:37" ht="15" customHeight="1" x14ac:dyDescent="0.35">
      <c r="A689">
        <v>690929</v>
      </c>
      <c r="B689" t="s">
        <v>37</v>
      </c>
      <c r="C689" t="s">
        <v>38</v>
      </c>
      <c r="D689" s="9" t="s">
        <v>39</v>
      </c>
      <c r="E689" s="10" t="s">
        <v>37</v>
      </c>
      <c r="F689" s="11"/>
      <c r="G689" t="s">
        <v>2120</v>
      </c>
      <c r="I689" t="s">
        <v>41</v>
      </c>
      <c r="J689" t="s">
        <v>2121</v>
      </c>
      <c r="K689" t="s">
        <v>43</v>
      </c>
      <c r="L689">
        <v>2</v>
      </c>
      <c r="M689" t="s">
        <v>44</v>
      </c>
      <c r="N689" t="s">
        <v>45</v>
      </c>
      <c r="O689" t="s">
        <v>46</v>
      </c>
      <c r="P689" s="5">
        <v>1</v>
      </c>
      <c r="Q689" s="12">
        <v>44766.679618055554</v>
      </c>
      <c r="R689" s="13">
        <v>44769</v>
      </c>
      <c r="T689" t="s">
        <v>47</v>
      </c>
      <c r="U689" t="s">
        <v>48</v>
      </c>
      <c r="V689" t="s">
        <v>62</v>
      </c>
      <c r="Y689" t="s">
        <v>2122</v>
      </c>
      <c r="Z689">
        <v>81750</v>
      </c>
      <c r="AA689" t="s">
        <v>47</v>
      </c>
      <c r="AB689" t="s">
        <v>64</v>
      </c>
      <c r="AC689" t="s">
        <v>53</v>
      </c>
      <c r="AD689" s="16">
        <f t="shared" si="84"/>
        <v>7</v>
      </c>
      <c r="AE689" s="15">
        <v>0</v>
      </c>
      <c r="AF689" s="15">
        <v>0</v>
      </c>
      <c r="AG689" s="15">
        <v>0</v>
      </c>
      <c r="AH689" s="15">
        <v>0</v>
      </c>
      <c r="AI689" s="15">
        <f t="shared" si="81"/>
        <v>0.42</v>
      </c>
      <c r="AJ689" s="15">
        <f t="shared" si="82"/>
        <v>7.42</v>
      </c>
      <c r="AK689" t="s">
        <v>47</v>
      </c>
    </row>
    <row r="690" spans="1:37" ht="15" customHeight="1" x14ac:dyDescent="0.35">
      <c r="A690">
        <v>690929</v>
      </c>
      <c r="B690" t="s">
        <v>37</v>
      </c>
      <c r="C690" t="s">
        <v>38</v>
      </c>
      <c r="D690" s="9" t="s">
        <v>39</v>
      </c>
      <c r="E690" s="10" t="s">
        <v>37</v>
      </c>
      <c r="F690" s="11"/>
      <c r="G690" t="s">
        <v>2123</v>
      </c>
      <c r="I690" t="s">
        <v>41</v>
      </c>
      <c r="J690" t="s">
        <v>2124</v>
      </c>
      <c r="K690" t="s">
        <v>43</v>
      </c>
      <c r="L690">
        <v>2</v>
      </c>
      <c r="M690" t="s">
        <v>44</v>
      </c>
      <c r="N690" t="s">
        <v>45</v>
      </c>
      <c r="O690" t="s">
        <v>46</v>
      </c>
      <c r="P690" s="5">
        <v>1</v>
      </c>
      <c r="Q690" s="12">
        <v>44767.722858796296</v>
      </c>
      <c r="R690" s="13">
        <v>44769</v>
      </c>
      <c r="T690" t="s">
        <v>47</v>
      </c>
      <c r="U690" t="s">
        <v>48</v>
      </c>
      <c r="V690" t="s">
        <v>67</v>
      </c>
      <c r="Y690" t="s">
        <v>2125</v>
      </c>
      <c r="Z690">
        <v>26600</v>
      </c>
      <c r="AA690" t="s">
        <v>47</v>
      </c>
      <c r="AB690" t="s">
        <v>48</v>
      </c>
      <c r="AC690" t="s">
        <v>53</v>
      </c>
      <c r="AD690" s="16">
        <f t="shared" si="84"/>
        <v>7</v>
      </c>
      <c r="AE690" s="15">
        <v>0</v>
      </c>
      <c r="AF690" s="15">
        <v>0</v>
      </c>
      <c r="AG690" s="15">
        <v>0</v>
      </c>
      <c r="AH690" s="15">
        <v>0</v>
      </c>
      <c r="AI690" s="15">
        <f t="shared" si="81"/>
        <v>0.42</v>
      </c>
      <c r="AJ690" s="15">
        <f t="shared" si="82"/>
        <v>7.42</v>
      </c>
      <c r="AK690" t="s">
        <v>47</v>
      </c>
    </row>
    <row r="691" spans="1:37" ht="15" customHeight="1" x14ac:dyDescent="0.35">
      <c r="A691">
        <v>690929</v>
      </c>
      <c r="B691" t="s">
        <v>37</v>
      </c>
      <c r="C691" t="s">
        <v>38</v>
      </c>
      <c r="D691" s="9" t="s">
        <v>39</v>
      </c>
      <c r="E691" s="10" t="s">
        <v>37</v>
      </c>
      <c r="F691" s="11"/>
      <c r="G691" t="s">
        <v>2126</v>
      </c>
      <c r="I691" t="s">
        <v>41</v>
      </c>
      <c r="J691" t="s">
        <v>2127</v>
      </c>
      <c r="K691" t="s">
        <v>43</v>
      </c>
      <c r="L691">
        <v>2</v>
      </c>
      <c r="M691" t="s">
        <v>44</v>
      </c>
      <c r="N691" t="s">
        <v>45</v>
      </c>
      <c r="O691" t="s">
        <v>46</v>
      </c>
      <c r="P691" s="5">
        <v>2</v>
      </c>
      <c r="Q691" s="12">
        <v>44766.753229166665</v>
      </c>
      <c r="R691" s="13">
        <v>44769</v>
      </c>
      <c r="T691" t="s">
        <v>47</v>
      </c>
      <c r="U691" t="s">
        <v>48</v>
      </c>
      <c r="V691" t="s">
        <v>85</v>
      </c>
      <c r="Y691" t="s">
        <v>2128</v>
      </c>
      <c r="Z691">
        <v>14200</v>
      </c>
      <c r="AA691" t="s">
        <v>47</v>
      </c>
      <c r="AB691" t="s">
        <v>64</v>
      </c>
      <c r="AC691" t="s">
        <v>53</v>
      </c>
      <c r="AD691" s="16">
        <f t="shared" si="84"/>
        <v>7.8</v>
      </c>
      <c r="AE691" s="15">
        <v>0</v>
      </c>
      <c r="AF691" s="15">
        <v>0</v>
      </c>
      <c r="AG691" s="15">
        <v>0</v>
      </c>
      <c r="AH691" s="15">
        <v>0</v>
      </c>
      <c r="AI691" s="15">
        <f t="shared" si="81"/>
        <v>0.46799999999999997</v>
      </c>
      <c r="AJ691" s="15">
        <f t="shared" si="82"/>
        <v>8.2680000000000007</v>
      </c>
      <c r="AK691" t="s">
        <v>47</v>
      </c>
    </row>
    <row r="692" spans="1:37" ht="15" customHeight="1" x14ac:dyDescent="0.35">
      <c r="A692">
        <v>690929</v>
      </c>
      <c r="B692" t="s">
        <v>37</v>
      </c>
      <c r="C692" t="s">
        <v>38</v>
      </c>
      <c r="D692" s="9" t="s">
        <v>39</v>
      </c>
      <c r="E692" s="10" t="s">
        <v>37</v>
      </c>
      <c r="F692" s="11"/>
      <c r="G692" t="s">
        <v>2129</v>
      </c>
      <c r="I692" t="s">
        <v>41</v>
      </c>
      <c r="J692" t="s">
        <v>2130</v>
      </c>
      <c r="K692" t="s">
        <v>43</v>
      </c>
      <c r="L692">
        <v>2</v>
      </c>
      <c r="M692" t="s">
        <v>44</v>
      </c>
      <c r="N692" t="s">
        <v>45</v>
      </c>
      <c r="O692" t="s">
        <v>46</v>
      </c>
      <c r="P692" s="5">
        <v>2</v>
      </c>
      <c r="Q692" s="12">
        <v>44766.751435185186</v>
      </c>
      <c r="R692" s="13">
        <v>44769</v>
      </c>
      <c r="T692" t="s">
        <v>47</v>
      </c>
      <c r="U692" t="s">
        <v>48</v>
      </c>
      <c r="V692" t="s">
        <v>85</v>
      </c>
      <c r="Y692" t="s">
        <v>2131</v>
      </c>
      <c r="Z692">
        <v>11950</v>
      </c>
      <c r="AA692" t="s">
        <v>47</v>
      </c>
      <c r="AB692" t="s">
        <v>64</v>
      </c>
      <c r="AC692" t="s">
        <v>53</v>
      </c>
      <c r="AD692" s="16">
        <f t="shared" si="84"/>
        <v>7.8</v>
      </c>
      <c r="AE692" s="15">
        <v>0</v>
      </c>
      <c r="AF692" s="15">
        <v>0</v>
      </c>
      <c r="AG692" s="15">
        <v>0</v>
      </c>
      <c r="AH692" s="15">
        <v>0</v>
      </c>
      <c r="AI692" s="15">
        <f t="shared" si="81"/>
        <v>0.46799999999999997</v>
      </c>
      <c r="AJ692" s="15">
        <f t="shared" si="82"/>
        <v>8.2680000000000007</v>
      </c>
      <c r="AK692" t="s">
        <v>47</v>
      </c>
    </row>
    <row r="693" spans="1:37" ht="15" customHeight="1" x14ac:dyDescent="0.35">
      <c r="A693">
        <v>690929</v>
      </c>
      <c r="B693" t="s">
        <v>37</v>
      </c>
      <c r="C693" t="s">
        <v>38</v>
      </c>
      <c r="D693" s="9" t="s">
        <v>39</v>
      </c>
      <c r="E693" s="10" t="s">
        <v>37</v>
      </c>
      <c r="F693" s="11"/>
      <c r="G693" t="s">
        <v>2132</v>
      </c>
      <c r="I693" t="s">
        <v>41</v>
      </c>
      <c r="J693" t="s">
        <v>2133</v>
      </c>
      <c r="K693" t="s">
        <v>43</v>
      </c>
      <c r="L693">
        <v>2</v>
      </c>
      <c r="M693" t="s">
        <v>44</v>
      </c>
      <c r="N693" t="s">
        <v>45</v>
      </c>
      <c r="O693" t="s">
        <v>46</v>
      </c>
      <c r="P693" s="5">
        <v>1</v>
      </c>
      <c r="Q693" s="12">
        <v>44766.713993055557</v>
      </c>
      <c r="R693" s="13">
        <v>44769</v>
      </c>
      <c r="T693" t="s">
        <v>47</v>
      </c>
      <c r="U693" t="s">
        <v>48</v>
      </c>
      <c r="V693" t="s">
        <v>96</v>
      </c>
      <c r="Y693" t="s">
        <v>2134</v>
      </c>
      <c r="Z693">
        <v>16070</v>
      </c>
      <c r="AA693" t="s">
        <v>47</v>
      </c>
      <c r="AB693" t="s">
        <v>56</v>
      </c>
      <c r="AC693" t="s">
        <v>53</v>
      </c>
      <c r="AD693" s="16">
        <f t="shared" si="84"/>
        <v>7</v>
      </c>
      <c r="AE693" s="15">
        <v>0</v>
      </c>
      <c r="AF693" s="15">
        <v>0</v>
      </c>
      <c r="AG693" s="15">
        <v>0</v>
      </c>
      <c r="AH693" s="15">
        <v>0</v>
      </c>
      <c r="AI693" s="15">
        <f t="shared" si="81"/>
        <v>0.42</v>
      </c>
      <c r="AJ693" s="15">
        <f t="shared" si="82"/>
        <v>7.42</v>
      </c>
      <c r="AK693" t="s">
        <v>47</v>
      </c>
    </row>
    <row r="694" spans="1:37" ht="15" customHeight="1" x14ac:dyDescent="0.35">
      <c r="A694">
        <v>690929</v>
      </c>
      <c r="B694" t="s">
        <v>37</v>
      </c>
      <c r="C694" t="s">
        <v>38</v>
      </c>
      <c r="D694" s="9" t="s">
        <v>39</v>
      </c>
      <c r="E694" s="10" t="s">
        <v>37</v>
      </c>
      <c r="F694" s="11"/>
      <c r="G694" t="s">
        <v>2135</v>
      </c>
      <c r="I694" t="s">
        <v>41</v>
      </c>
      <c r="J694" t="s">
        <v>911</v>
      </c>
      <c r="K694" t="s">
        <v>43</v>
      </c>
      <c r="L694">
        <v>2</v>
      </c>
      <c r="M694" t="s">
        <v>44</v>
      </c>
      <c r="N694" t="s">
        <v>45</v>
      </c>
      <c r="O694" t="s">
        <v>46</v>
      </c>
      <c r="P694" s="5">
        <v>1</v>
      </c>
      <c r="Q694" s="12">
        <v>44767.742986111109</v>
      </c>
      <c r="R694" s="13">
        <v>44769</v>
      </c>
      <c r="T694" t="s">
        <v>47</v>
      </c>
      <c r="U694" t="s">
        <v>48</v>
      </c>
      <c r="V694" t="s">
        <v>114</v>
      </c>
      <c r="Y694" t="s">
        <v>2136</v>
      </c>
      <c r="Z694">
        <v>45000</v>
      </c>
      <c r="AA694" t="s">
        <v>47</v>
      </c>
      <c r="AB694" t="s">
        <v>64</v>
      </c>
      <c r="AC694" t="s">
        <v>53</v>
      </c>
      <c r="AD694" s="16">
        <f t="shared" si="84"/>
        <v>7</v>
      </c>
      <c r="AE694" s="15">
        <v>0</v>
      </c>
      <c r="AF694" s="15">
        <v>0</v>
      </c>
      <c r="AG694" s="15">
        <v>0</v>
      </c>
      <c r="AH694" s="15">
        <v>0</v>
      </c>
      <c r="AI694" s="15">
        <f t="shared" si="81"/>
        <v>0.42</v>
      </c>
      <c r="AJ694" s="15">
        <f t="shared" si="82"/>
        <v>7.42</v>
      </c>
      <c r="AK694" t="s">
        <v>47</v>
      </c>
    </row>
    <row r="695" spans="1:37" ht="15" customHeight="1" x14ac:dyDescent="0.35">
      <c r="A695">
        <v>690929</v>
      </c>
      <c r="B695" t="s">
        <v>37</v>
      </c>
      <c r="C695" t="s">
        <v>38</v>
      </c>
      <c r="D695" s="9" t="s">
        <v>39</v>
      </c>
      <c r="E695" s="10" t="s">
        <v>37</v>
      </c>
      <c r="F695" s="11"/>
      <c r="G695" t="s">
        <v>2137</v>
      </c>
      <c r="I695" t="s">
        <v>41</v>
      </c>
      <c r="J695" t="s">
        <v>2138</v>
      </c>
      <c r="K695" t="s">
        <v>43</v>
      </c>
      <c r="L695">
        <v>2</v>
      </c>
      <c r="M695" t="s">
        <v>44</v>
      </c>
      <c r="N695" t="s">
        <v>45</v>
      </c>
      <c r="O695" t="s">
        <v>46</v>
      </c>
      <c r="P695" s="5">
        <v>1</v>
      </c>
      <c r="Q695" s="12">
        <v>44767.725706018522</v>
      </c>
      <c r="R695" s="13">
        <v>44769</v>
      </c>
      <c r="T695" t="s">
        <v>47</v>
      </c>
      <c r="U695" t="s">
        <v>48</v>
      </c>
      <c r="V695" t="s">
        <v>128</v>
      </c>
      <c r="Y695" t="s">
        <v>2139</v>
      </c>
      <c r="Z695">
        <v>56100</v>
      </c>
      <c r="AA695" t="s">
        <v>47</v>
      </c>
      <c r="AB695" t="s">
        <v>64</v>
      </c>
      <c r="AC695" t="s">
        <v>53</v>
      </c>
      <c r="AD695" s="16">
        <f t="shared" si="84"/>
        <v>7</v>
      </c>
      <c r="AE695" s="15">
        <v>0</v>
      </c>
      <c r="AF695" s="15">
        <v>0</v>
      </c>
      <c r="AG695" s="15">
        <v>0</v>
      </c>
      <c r="AH695" s="15">
        <v>0</v>
      </c>
      <c r="AI695" s="15">
        <f t="shared" si="81"/>
        <v>0.42</v>
      </c>
      <c r="AJ695" s="15">
        <f t="shared" si="82"/>
        <v>7.42</v>
      </c>
      <c r="AK695" t="s">
        <v>47</v>
      </c>
    </row>
    <row r="696" spans="1:37" ht="15" customHeight="1" x14ac:dyDescent="0.35">
      <c r="A696">
        <v>690929</v>
      </c>
      <c r="B696" t="s">
        <v>37</v>
      </c>
      <c r="C696" t="s">
        <v>38</v>
      </c>
      <c r="D696" s="9" t="s">
        <v>39</v>
      </c>
      <c r="E696" s="10" t="s">
        <v>37</v>
      </c>
      <c r="F696" s="11"/>
      <c r="G696" t="s">
        <v>2140</v>
      </c>
      <c r="I696" t="s">
        <v>41</v>
      </c>
      <c r="J696" t="s">
        <v>2141</v>
      </c>
      <c r="K696" t="s">
        <v>43</v>
      </c>
      <c r="L696">
        <v>2</v>
      </c>
      <c r="M696" t="s">
        <v>44</v>
      </c>
      <c r="N696" t="s">
        <v>45</v>
      </c>
      <c r="O696" t="s">
        <v>46</v>
      </c>
      <c r="P696" s="5">
        <v>1</v>
      </c>
      <c r="Q696" s="12">
        <v>44767.721724537034</v>
      </c>
      <c r="R696" s="13">
        <v>44769</v>
      </c>
      <c r="T696" t="s">
        <v>47</v>
      </c>
      <c r="U696" t="s">
        <v>48</v>
      </c>
      <c r="V696" t="s">
        <v>76</v>
      </c>
      <c r="Y696" t="s">
        <v>2142</v>
      </c>
      <c r="Z696">
        <v>21080</v>
      </c>
      <c r="AA696" t="s">
        <v>47</v>
      </c>
      <c r="AB696" t="s">
        <v>48</v>
      </c>
      <c r="AC696" t="s">
        <v>53</v>
      </c>
      <c r="AD696" s="16">
        <f t="shared" si="84"/>
        <v>7</v>
      </c>
      <c r="AE696" s="15">
        <v>0</v>
      </c>
      <c r="AF696" s="15">
        <v>0</v>
      </c>
      <c r="AG696" s="15">
        <v>0</v>
      </c>
      <c r="AH696" s="15">
        <v>0</v>
      </c>
      <c r="AI696" s="15">
        <f t="shared" si="81"/>
        <v>0.42</v>
      </c>
      <c r="AJ696" s="15">
        <f t="shared" si="82"/>
        <v>7.42</v>
      </c>
      <c r="AK696" t="s">
        <v>47</v>
      </c>
    </row>
    <row r="697" spans="1:37" ht="15" customHeight="1" x14ac:dyDescent="0.35">
      <c r="A697">
        <v>690929</v>
      </c>
      <c r="B697" t="s">
        <v>37</v>
      </c>
      <c r="C697" t="s">
        <v>38</v>
      </c>
      <c r="D697" s="9" t="s">
        <v>39</v>
      </c>
      <c r="E697" s="10" t="s">
        <v>37</v>
      </c>
      <c r="F697" s="11"/>
      <c r="G697" t="s">
        <v>2143</v>
      </c>
      <c r="I697" t="s">
        <v>41</v>
      </c>
      <c r="J697" t="s">
        <v>2144</v>
      </c>
      <c r="K697" t="s">
        <v>43</v>
      </c>
      <c r="L697">
        <v>2</v>
      </c>
      <c r="M697" t="s">
        <v>44</v>
      </c>
      <c r="N697" t="s">
        <v>45</v>
      </c>
      <c r="O697" t="s">
        <v>46</v>
      </c>
      <c r="P697" s="5">
        <v>1</v>
      </c>
      <c r="Q697" s="12">
        <v>44766.571770833332</v>
      </c>
      <c r="R697" s="13">
        <v>44769</v>
      </c>
      <c r="T697" t="s">
        <v>47</v>
      </c>
      <c r="U697" t="s">
        <v>48</v>
      </c>
      <c r="V697" t="s">
        <v>100</v>
      </c>
      <c r="Y697" t="s">
        <v>2145</v>
      </c>
      <c r="Z697">
        <v>31150</v>
      </c>
      <c r="AA697" t="s">
        <v>47</v>
      </c>
      <c r="AB697" t="s">
        <v>64</v>
      </c>
      <c r="AC697" t="s">
        <v>53</v>
      </c>
      <c r="AD697" s="16">
        <f t="shared" si="84"/>
        <v>7</v>
      </c>
      <c r="AE697" s="15">
        <v>0</v>
      </c>
      <c r="AF697" s="15">
        <v>0</v>
      </c>
      <c r="AG697" s="15">
        <v>0</v>
      </c>
      <c r="AH697" s="15">
        <v>0</v>
      </c>
      <c r="AI697" s="15">
        <f t="shared" si="81"/>
        <v>0.42</v>
      </c>
      <c r="AJ697" s="15">
        <f t="shared" si="82"/>
        <v>7.42</v>
      </c>
      <c r="AK697" t="s">
        <v>47</v>
      </c>
    </row>
    <row r="698" spans="1:37" ht="15" customHeight="1" x14ac:dyDescent="0.35">
      <c r="A698">
        <v>690929</v>
      </c>
      <c r="B698" t="s">
        <v>37</v>
      </c>
      <c r="C698" t="s">
        <v>38</v>
      </c>
      <c r="D698" s="9" t="s">
        <v>39</v>
      </c>
      <c r="E698" s="10" t="s">
        <v>37</v>
      </c>
      <c r="F698" s="11"/>
      <c r="G698" t="s">
        <v>2146</v>
      </c>
      <c r="I698" t="s">
        <v>41</v>
      </c>
      <c r="J698" t="s">
        <v>2147</v>
      </c>
      <c r="K698" t="s">
        <v>43</v>
      </c>
      <c r="L698">
        <v>2</v>
      </c>
      <c r="M698" t="s">
        <v>44</v>
      </c>
      <c r="N698" t="s">
        <v>45</v>
      </c>
      <c r="O698" t="s">
        <v>46</v>
      </c>
      <c r="P698" s="5">
        <v>1</v>
      </c>
      <c r="Q698" s="12">
        <v>44768.564421296294</v>
      </c>
      <c r="R698" s="13">
        <v>44769</v>
      </c>
      <c r="T698" t="s">
        <v>47</v>
      </c>
      <c r="U698" t="s">
        <v>48</v>
      </c>
      <c r="V698" t="s">
        <v>67</v>
      </c>
      <c r="Y698" t="s">
        <v>2148</v>
      </c>
      <c r="Z698">
        <v>27000</v>
      </c>
      <c r="AA698" t="s">
        <v>47</v>
      </c>
      <c r="AB698" t="s">
        <v>48</v>
      </c>
      <c r="AC698" t="s">
        <v>53</v>
      </c>
      <c r="AD698" s="16">
        <f t="shared" si="84"/>
        <v>7</v>
      </c>
      <c r="AE698" s="15">
        <v>0</v>
      </c>
      <c r="AF698" s="15">
        <v>0</v>
      </c>
      <c r="AG698" s="15">
        <v>0</v>
      </c>
      <c r="AH698" s="15">
        <v>0</v>
      </c>
      <c r="AI698" s="15">
        <f t="shared" si="81"/>
        <v>0.42</v>
      </c>
      <c r="AJ698" s="15">
        <f t="shared" si="82"/>
        <v>7.42</v>
      </c>
      <c r="AK698" t="s">
        <v>47</v>
      </c>
    </row>
    <row r="699" spans="1:37" ht="15" customHeight="1" x14ac:dyDescent="0.35">
      <c r="A699">
        <v>690929</v>
      </c>
      <c r="B699" t="s">
        <v>37</v>
      </c>
      <c r="C699" t="s">
        <v>38</v>
      </c>
      <c r="D699" s="9" t="s">
        <v>39</v>
      </c>
      <c r="E699" s="10" t="s">
        <v>37</v>
      </c>
      <c r="F699" s="11"/>
      <c r="G699" t="s">
        <v>2149</v>
      </c>
      <c r="I699" t="s">
        <v>41</v>
      </c>
      <c r="J699" t="s">
        <v>2150</v>
      </c>
      <c r="K699" t="s">
        <v>43</v>
      </c>
      <c r="L699">
        <v>2</v>
      </c>
      <c r="M699" t="s">
        <v>44</v>
      </c>
      <c r="N699" t="s">
        <v>45</v>
      </c>
      <c r="O699" t="s">
        <v>46</v>
      </c>
      <c r="P699" s="5">
        <v>1</v>
      </c>
      <c r="Q699" s="12">
        <v>44766.695891203701</v>
      </c>
      <c r="R699" s="13">
        <v>44769</v>
      </c>
      <c r="T699" t="s">
        <v>47</v>
      </c>
      <c r="U699" t="s">
        <v>48</v>
      </c>
      <c r="V699" t="s">
        <v>138</v>
      </c>
      <c r="Y699" t="s">
        <v>2151</v>
      </c>
      <c r="Z699">
        <v>72120</v>
      </c>
      <c r="AA699" t="s">
        <v>47</v>
      </c>
      <c r="AB699" t="s">
        <v>590</v>
      </c>
      <c r="AC699" t="s">
        <v>53</v>
      </c>
      <c r="AD699" s="16">
        <f t="shared" si="84"/>
        <v>7</v>
      </c>
      <c r="AE699" s="15">
        <v>0</v>
      </c>
      <c r="AF699" s="15">
        <v>0</v>
      </c>
      <c r="AG699" s="15">
        <v>0</v>
      </c>
      <c r="AH699" s="15">
        <v>0</v>
      </c>
      <c r="AI699" s="15">
        <f t="shared" si="81"/>
        <v>0.42</v>
      </c>
      <c r="AJ699" s="15">
        <f t="shared" si="82"/>
        <v>7.42</v>
      </c>
      <c r="AK699" t="s">
        <v>47</v>
      </c>
    </row>
    <row r="700" spans="1:37" ht="15" customHeight="1" x14ac:dyDescent="0.35">
      <c r="A700">
        <v>690929</v>
      </c>
      <c r="B700" t="s">
        <v>37</v>
      </c>
      <c r="C700" t="s">
        <v>38</v>
      </c>
      <c r="D700" s="9" t="s">
        <v>39</v>
      </c>
      <c r="E700" s="10" t="s">
        <v>37</v>
      </c>
      <c r="F700" s="11"/>
      <c r="G700" t="s">
        <v>2152</v>
      </c>
      <c r="I700" t="s">
        <v>41</v>
      </c>
      <c r="J700" t="s">
        <v>2153</v>
      </c>
      <c r="K700" t="s">
        <v>43</v>
      </c>
      <c r="L700">
        <v>2</v>
      </c>
      <c r="M700" t="s">
        <v>44</v>
      </c>
      <c r="N700" t="s">
        <v>45</v>
      </c>
      <c r="O700" t="s">
        <v>46</v>
      </c>
      <c r="P700" s="5">
        <v>1</v>
      </c>
      <c r="Q700" s="12">
        <v>44766.706469907411</v>
      </c>
      <c r="R700" s="13">
        <v>44769</v>
      </c>
      <c r="T700" t="s">
        <v>47</v>
      </c>
      <c r="U700" t="s">
        <v>48</v>
      </c>
      <c r="V700" t="s">
        <v>138</v>
      </c>
      <c r="Y700" t="s">
        <v>2154</v>
      </c>
      <c r="Z700">
        <v>72120</v>
      </c>
      <c r="AA700" t="s">
        <v>47</v>
      </c>
      <c r="AB700" t="s">
        <v>590</v>
      </c>
      <c r="AC700" t="s">
        <v>53</v>
      </c>
      <c r="AD700" s="16">
        <f t="shared" si="84"/>
        <v>7</v>
      </c>
      <c r="AE700" s="15">
        <v>0</v>
      </c>
      <c r="AF700" s="15">
        <v>0</v>
      </c>
      <c r="AG700" s="15">
        <v>0</v>
      </c>
      <c r="AH700" s="15">
        <v>0</v>
      </c>
      <c r="AI700" s="15">
        <f t="shared" si="81"/>
        <v>0.42</v>
      </c>
      <c r="AJ700" s="15">
        <f t="shared" si="82"/>
        <v>7.42</v>
      </c>
      <c r="AK700" t="s">
        <v>47</v>
      </c>
    </row>
    <row r="701" spans="1:37" ht="15" customHeight="1" x14ac:dyDescent="0.35">
      <c r="A701">
        <v>690929</v>
      </c>
      <c r="B701" t="s">
        <v>37</v>
      </c>
      <c r="C701" t="s">
        <v>38</v>
      </c>
      <c r="D701" s="9" t="s">
        <v>39</v>
      </c>
      <c r="E701" s="10" t="s">
        <v>37</v>
      </c>
      <c r="F701" s="11"/>
      <c r="G701" t="s">
        <v>2155</v>
      </c>
      <c r="I701" t="s">
        <v>41</v>
      </c>
      <c r="J701" t="s">
        <v>2156</v>
      </c>
      <c r="K701" t="s">
        <v>43</v>
      </c>
      <c r="L701">
        <v>2</v>
      </c>
      <c r="M701" t="s">
        <v>44</v>
      </c>
      <c r="N701" t="s">
        <v>45</v>
      </c>
      <c r="O701" t="s">
        <v>46</v>
      </c>
      <c r="P701" s="5">
        <v>1</v>
      </c>
      <c r="Q701" s="12">
        <v>44768.521874999999</v>
      </c>
      <c r="R701" s="13">
        <v>44769</v>
      </c>
      <c r="T701" t="s">
        <v>47</v>
      </c>
      <c r="U701" t="s">
        <v>48</v>
      </c>
      <c r="V701" t="s">
        <v>114</v>
      </c>
      <c r="Y701" t="s">
        <v>2157</v>
      </c>
      <c r="Z701">
        <v>42200</v>
      </c>
      <c r="AA701" t="s">
        <v>47</v>
      </c>
      <c r="AB701" t="s">
        <v>64</v>
      </c>
      <c r="AC701" t="s">
        <v>53</v>
      </c>
      <c r="AD701" s="16">
        <f t="shared" si="84"/>
        <v>7</v>
      </c>
      <c r="AE701" s="15">
        <v>0</v>
      </c>
      <c r="AF701" s="15">
        <v>0</v>
      </c>
      <c r="AG701" s="15">
        <v>0</v>
      </c>
      <c r="AH701" s="15">
        <v>0</v>
      </c>
      <c r="AI701" s="15">
        <f t="shared" si="81"/>
        <v>0.42</v>
      </c>
      <c r="AJ701" s="15">
        <f t="shared" si="82"/>
        <v>7.42</v>
      </c>
      <c r="AK701" t="s">
        <v>47</v>
      </c>
    </row>
    <row r="702" spans="1:37" ht="15" customHeight="1" x14ac:dyDescent="0.35">
      <c r="A702">
        <v>690929</v>
      </c>
      <c r="B702" t="s">
        <v>37</v>
      </c>
      <c r="C702" t="s">
        <v>38</v>
      </c>
      <c r="D702" s="9" t="s">
        <v>39</v>
      </c>
      <c r="E702" s="10" t="s">
        <v>37</v>
      </c>
      <c r="F702" s="11"/>
      <c r="G702" t="s">
        <v>2158</v>
      </c>
      <c r="I702" t="s">
        <v>41</v>
      </c>
      <c r="J702" t="s">
        <v>2159</v>
      </c>
      <c r="K702" t="s">
        <v>43</v>
      </c>
      <c r="L702">
        <v>2</v>
      </c>
      <c r="M702" t="s">
        <v>44</v>
      </c>
      <c r="N702" t="s">
        <v>45</v>
      </c>
      <c r="O702" t="s">
        <v>46</v>
      </c>
      <c r="P702" s="5">
        <v>1</v>
      </c>
      <c r="Q702" s="12">
        <v>44766.673935185187</v>
      </c>
      <c r="R702" s="13">
        <v>44769</v>
      </c>
      <c r="T702" t="s">
        <v>47</v>
      </c>
      <c r="U702" t="s">
        <v>48</v>
      </c>
      <c r="V702" t="s">
        <v>138</v>
      </c>
      <c r="Y702" t="s">
        <v>2160</v>
      </c>
      <c r="Z702">
        <v>70450</v>
      </c>
      <c r="AA702" t="s">
        <v>47</v>
      </c>
      <c r="AB702" t="s">
        <v>64</v>
      </c>
      <c r="AC702" t="s">
        <v>53</v>
      </c>
      <c r="AD702" s="16">
        <f t="shared" si="84"/>
        <v>7</v>
      </c>
      <c r="AE702" s="15">
        <v>0</v>
      </c>
      <c r="AF702" s="15">
        <v>0</v>
      </c>
      <c r="AG702" s="15">
        <v>0</v>
      </c>
      <c r="AH702" s="15">
        <v>0</v>
      </c>
      <c r="AI702" s="15">
        <f t="shared" si="81"/>
        <v>0.42</v>
      </c>
      <c r="AJ702" s="15">
        <f t="shared" si="82"/>
        <v>7.42</v>
      </c>
      <c r="AK702" t="s">
        <v>47</v>
      </c>
    </row>
    <row r="703" spans="1:37" ht="15" customHeight="1" x14ac:dyDescent="0.35">
      <c r="A703">
        <v>690929</v>
      </c>
      <c r="B703" t="s">
        <v>37</v>
      </c>
      <c r="C703" t="s">
        <v>38</v>
      </c>
      <c r="D703" s="9" t="s">
        <v>39</v>
      </c>
      <c r="E703" s="10" t="s">
        <v>37</v>
      </c>
      <c r="F703" s="11"/>
      <c r="G703" t="s">
        <v>2161</v>
      </c>
      <c r="I703" t="s">
        <v>41</v>
      </c>
      <c r="J703" t="s">
        <v>2162</v>
      </c>
      <c r="K703" t="s">
        <v>43</v>
      </c>
      <c r="L703">
        <v>2</v>
      </c>
      <c r="M703" t="s">
        <v>44</v>
      </c>
      <c r="N703" t="s">
        <v>45</v>
      </c>
      <c r="O703" t="s">
        <v>46</v>
      </c>
      <c r="P703" s="5">
        <v>1</v>
      </c>
      <c r="Q703" s="12">
        <v>44767.716053240743</v>
      </c>
      <c r="R703" s="13">
        <v>44769</v>
      </c>
      <c r="T703" t="s">
        <v>47</v>
      </c>
      <c r="U703" t="s">
        <v>48</v>
      </c>
      <c r="V703" t="s">
        <v>114</v>
      </c>
      <c r="Y703" t="s">
        <v>2163</v>
      </c>
      <c r="Z703">
        <v>45800</v>
      </c>
      <c r="AA703" t="s">
        <v>47</v>
      </c>
      <c r="AB703" t="s">
        <v>64</v>
      </c>
      <c r="AC703" t="s">
        <v>53</v>
      </c>
      <c r="AD703" s="16">
        <f t="shared" si="84"/>
        <v>7</v>
      </c>
      <c r="AE703" s="15">
        <v>0</v>
      </c>
      <c r="AF703" s="15">
        <v>0</v>
      </c>
      <c r="AG703" s="15">
        <v>0</v>
      </c>
      <c r="AH703" s="15">
        <v>0</v>
      </c>
      <c r="AI703" s="15">
        <f t="shared" si="81"/>
        <v>0.42</v>
      </c>
      <c r="AJ703" s="15">
        <f t="shared" si="82"/>
        <v>7.42</v>
      </c>
      <c r="AK703" t="s">
        <v>47</v>
      </c>
    </row>
    <row r="704" spans="1:37" ht="15" customHeight="1" x14ac:dyDescent="0.35">
      <c r="A704">
        <v>690929</v>
      </c>
      <c r="B704" t="s">
        <v>37</v>
      </c>
      <c r="C704" t="s">
        <v>38</v>
      </c>
      <c r="D704" s="9" t="s">
        <v>39</v>
      </c>
      <c r="E704" s="10" t="s">
        <v>37</v>
      </c>
      <c r="F704" s="11"/>
      <c r="G704" t="s">
        <v>2164</v>
      </c>
      <c r="I704" t="s">
        <v>41</v>
      </c>
      <c r="J704" t="s">
        <v>2165</v>
      </c>
      <c r="K704" t="s">
        <v>43</v>
      </c>
      <c r="L704">
        <v>2</v>
      </c>
      <c r="M704" t="s">
        <v>44</v>
      </c>
      <c r="N704" t="s">
        <v>45</v>
      </c>
      <c r="O704" t="s">
        <v>46</v>
      </c>
      <c r="P704" s="5">
        <v>2</v>
      </c>
      <c r="Q704" s="12">
        <v>44766.743923611109</v>
      </c>
      <c r="R704" s="13">
        <v>44769</v>
      </c>
      <c r="T704" t="s">
        <v>47</v>
      </c>
      <c r="U704" t="s">
        <v>48</v>
      </c>
      <c r="V704" t="s">
        <v>85</v>
      </c>
      <c r="Y704" t="s">
        <v>2166</v>
      </c>
      <c r="Z704">
        <v>14120</v>
      </c>
      <c r="AA704" t="s">
        <v>47</v>
      </c>
      <c r="AB704" t="s">
        <v>2167</v>
      </c>
      <c r="AC704" t="s">
        <v>53</v>
      </c>
      <c r="AD704" s="16">
        <f t="shared" si="84"/>
        <v>7.8</v>
      </c>
      <c r="AE704" s="15">
        <v>0</v>
      </c>
      <c r="AF704" s="15">
        <v>0</v>
      </c>
      <c r="AG704" s="15">
        <v>0</v>
      </c>
      <c r="AH704" s="15">
        <v>0</v>
      </c>
      <c r="AI704" s="15">
        <f t="shared" si="81"/>
        <v>0.46799999999999997</v>
      </c>
      <c r="AJ704" s="15">
        <f t="shared" si="82"/>
        <v>8.2680000000000007</v>
      </c>
      <c r="AK704" t="s">
        <v>47</v>
      </c>
    </row>
    <row r="705" spans="1:37" ht="15" customHeight="1" x14ac:dyDescent="0.35">
      <c r="A705">
        <v>690929</v>
      </c>
      <c r="B705" t="s">
        <v>37</v>
      </c>
      <c r="C705" t="s">
        <v>38</v>
      </c>
      <c r="D705" s="9" t="s">
        <v>39</v>
      </c>
      <c r="E705" s="10" t="s">
        <v>37</v>
      </c>
      <c r="F705" s="11"/>
      <c r="G705" t="s">
        <v>2168</v>
      </c>
      <c r="I705" t="s">
        <v>41</v>
      </c>
      <c r="J705" t="s">
        <v>2169</v>
      </c>
      <c r="K705" t="s">
        <v>43</v>
      </c>
      <c r="L705">
        <v>2</v>
      </c>
      <c r="M705" t="s">
        <v>44</v>
      </c>
      <c r="N705" t="s">
        <v>45</v>
      </c>
      <c r="O705" t="s">
        <v>46</v>
      </c>
      <c r="P705" s="5">
        <v>1</v>
      </c>
      <c r="Q705" s="12">
        <v>44768.558807870373</v>
      </c>
      <c r="R705" s="13">
        <v>44769</v>
      </c>
      <c r="T705" t="s">
        <v>47</v>
      </c>
      <c r="U705" t="s">
        <v>48</v>
      </c>
      <c r="V705" t="s">
        <v>67</v>
      </c>
      <c r="Y705" t="s">
        <v>2170</v>
      </c>
      <c r="Z705">
        <v>27000</v>
      </c>
      <c r="AA705" t="s">
        <v>47</v>
      </c>
      <c r="AB705" t="s">
        <v>48</v>
      </c>
      <c r="AC705" t="s">
        <v>53</v>
      </c>
      <c r="AD705" s="16">
        <f t="shared" si="84"/>
        <v>7</v>
      </c>
      <c r="AE705" s="15">
        <v>0</v>
      </c>
      <c r="AF705" s="15">
        <v>0</v>
      </c>
      <c r="AG705" s="15">
        <v>0</v>
      </c>
      <c r="AH705" s="15">
        <v>0</v>
      </c>
      <c r="AI705" s="15">
        <f t="shared" si="81"/>
        <v>0.42</v>
      </c>
      <c r="AJ705" s="15">
        <f t="shared" si="82"/>
        <v>7.42</v>
      </c>
      <c r="AK705" t="s">
        <v>47</v>
      </c>
    </row>
    <row r="706" spans="1:37" ht="15" customHeight="1" x14ac:dyDescent="0.35">
      <c r="A706">
        <v>690929</v>
      </c>
      <c r="B706" t="s">
        <v>37</v>
      </c>
      <c r="C706" t="s">
        <v>38</v>
      </c>
      <c r="D706" s="9" t="s">
        <v>39</v>
      </c>
      <c r="E706" s="10" t="s">
        <v>37</v>
      </c>
      <c r="F706" s="11"/>
      <c r="G706" t="s">
        <v>2171</v>
      </c>
      <c r="I706" t="s">
        <v>41</v>
      </c>
      <c r="J706" t="s">
        <v>1146</v>
      </c>
      <c r="K706" t="s">
        <v>43</v>
      </c>
      <c r="L706">
        <v>2</v>
      </c>
      <c r="M706" t="s">
        <v>44</v>
      </c>
      <c r="N706" t="s">
        <v>45</v>
      </c>
      <c r="O706" t="s">
        <v>46</v>
      </c>
      <c r="P706" s="5">
        <v>1</v>
      </c>
      <c r="Q706" s="12">
        <v>44768.626793981479</v>
      </c>
      <c r="R706" s="13">
        <v>44769</v>
      </c>
      <c r="T706" t="s">
        <v>47</v>
      </c>
      <c r="U706" t="s">
        <v>48</v>
      </c>
      <c r="V706" t="s">
        <v>114</v>
      </c>
      <c r="Y706" t="s">
        <v>2172</v>
      </c>
      <c r="Z706">
        <v>40000</v>
      </c>
      <c r="AA706" t="s">
        <v>47</v>
      </c>
      <c r="AB706" t="s">
        <v>64</v>
      </c>
      <c r="AC706" t="s">
        <v>53</v>
      </c>
      <c r="AD706" s="16">
        <f t="shared" si="84"/>
        <v>7</v>
      </c>
      <c r="AE706" s="15">
        <v>0</v>
      </c>
      <c r="AF706" s="15">
        <v>0</v>
      </c>
      <c r="AG706" s="15">
        <v>0</v>
      </c>
      <c r="AH706" s="15">
        <v>0</v>
      </c>
      <c r="AI706" s="15">
        <f t="shared" ref="AI706:AI769" si="85">(AD706+AF706+AH706)*6%</f>
        <v>0.42</v>
      </c>
      <c r="AJ706" s="15">
        <f t="shared" ref="AJ706:AJ769" si="86">AD706+AF706+AH706+AI706</f>
        <v>7.42</v>
      </c>
      <c r="AK706" t="s">
        <v>47</v>
      </c>
    </row>
    <row r="707" spans="1:37" ht="15" customHeight="1" x14ac:dyDescent="0.35">
      <c r="A707">
        <v>690929</v>
      </c>
      <c r="B707" t="s">
        <v>37</v>
      </c>
      <c r="C707" t="s">
        <v>38</v>
      </c>
      <c r="D707" s="9" t="s">
        <v>39</v>
      </c>
      <c r="E707" s="10" t="s">
        <v>37</v>
      </c>
      <c r="F707" s="11"/>
      <c r="G707" t="s">
        <v>2173</v>
      </c>
      <c r="I707" t="s">
        <v>41</v>
      </c>
      <c r="J707" t="s">
        <v>2174</v>
      </c>
      <c r="K707" t="s">
        <v>43</v>
      </c>
      <c r="L707">
        <v>2</v>
      </c>
      <c r="M707" t="s">
        <v>44</v>
      </c>
      <c r="N707" t="s">
        <v>45</v>
      </c>
      <c r="O707" t="s">
        <v>46</v>
      </c>
      <c r="P707" s="5">
        <v>2</v>
      </c>
      <c r="Q707" s="12">
        <v>44768.637291666666</v>
      </c>
      <c r="R707" s="13">
        <v>44769</v>
      </c>
      <c r="T707" t="s">
        <v>47</v>
      </c>
      <c r="U707" t="s">
        <v>48</v>
      </c>
      <c r="V707" t="s">
        <v>76</v>
      </c>
      <c r="Y707" t="s">
        <v>2175</v>
      </c>
      <c r="Z707">
        <v>21070</v>
      </c>
      <c r="AA707" t="s">
        <v>47</v>
      </c>
      <c r="AB707" t="s">
        <v>48</v>
      </c>
      <c r="AC707" t="s">
        <v>53</v>
      </c>
      <c r="AD707" s="16">
        <f t="shared" si="84"/>
        <v>7.8</v>
      </c>
      <c r="AE707" s="15">
        <v>0</v>
      </c>
      <c r="AF707" s="15">
        <v>0</v>
      </c>
      <c r="AG707" s="15">
        <v>0</v>
      </c>
      <c r="AH707" s="15">
        <v>0</v>
      </c>
      <c r="AI707" s="15">
        <f t="shared" si="85"/>
        <v>0.46799999999999997</v>
      </c>
      <c r="AJ707" s="15">
        <f t="shared" si="86"/>
        <v>8.2680000000000007</v>
      </c>
      <c r="AK707" t="s">
        <v>47</v>
      </c>
    </row>
    <row r="708" spans="1:37" ht="15" customHeight="1" x14ac:dyDescent="0.35">
      <c r="A708">
        <v>690929</v>
      </c>
      <c r="B708" t="s">
        <v>37</v>
      </c>
      <c r="C708" t="s">
        <v>38</v>
      </c>
      <c r="D708" s="9" t="s">
        <v>39</v>
      </c>
      <c r="E708" s="10" t="s">
        <v>37</v>
      </c>
      <c r="F708" s="11"/>
      <c r="G708" t="s">
        <v>2176</v>
      </c>
      <c r="I708" t="s">
        <v>41</v>
      </c>
      <c r="J708" t="s">
        <v>2177</v>
      </c>
      <c r="K708" t="s">
        <v>43</v>
      </c>
      <c r="L708">
        <v>2</v>
      </c>
      <c r="M708" t="s">
        <v>44</v>
      </c>
      <c r="N708" t="s">
        <v>45</v>
      </c>
      <c r="O708" t="s">
        <v>46</v>
      </c>
      <c r="P708" s="5">
        <v>1</v>
      </c>
      <c r="Q708" s="12">
        <v>44766.677152777775</v>
      </c>
      <c r="R708" s="13">
        <v>44769</v>
      </c>
      <c r="T708" t="s">
        <v>47</v>
      </c>
      <c r="U708" t="s">
        <v>48</v>
      </c>
      <c r="V708" t="s">
        <v>62</v>
      </c>
      <c r="Y708" t="s">
        <v>2178</v>
      </c>
      <c r="Z708">
        <v>81850</v>
      </c>
      <c r="AA708" t="s">
        <v>47</v>
      </c>
      <c r="AB708" t="s">
        <v>64</v>
      </c>
      <c r="AC708" t="s">
        <v>53</v>
      </c>
      <c r="AD708" s="16">
        <f t="shared" si="84"/>
        <v>7</v>
      </c>
      <c r="AE708" s="15">
        <v>0</v>
      </c>
      <c r="AF708" s="15">
        <v>0</v>
      </c>
      <c r="AG708" s="15">
        <v>0</v>
      </c>
      <c r="AH708" s="15">
        <v>0</v>
      </c>
      <c r="AI708" s="15">
        <f t="shared" si="85"/>
        <v>0.42</v>
      </c>
      <c r="AJ708" s="15">
        <f t="shared" si="86"/>
        <v>7.42</v>
      </c>
      <c r="AK708" t="s">
        <v>47</v>
      </c>
    </row>
    <row r="709" spans="1:37" ht="15" customHeight="1" x14ac:dyDescent="0.35">
      <c r="A709">
        <v>690929</v>
      </c>
      <c r="B709" t="s">
        <v>37</v>
      </c>
      <c r="C709" t="s">
        <v>38</v>
      </c>
      <c r="D709" s="9" t="s">
        <v>39</v>
      </c>
      <c r="E709" s="10" t="s">
        <v>37</v>
      </c>
      <c r="F709" s="11"/>
      <c r="G709" t="s">
        <v>2179</v>
      </c>
      <c r="I709" t="s">
        <v>41</v>
      </c>
      <c r="J709" t="s">
        <v>2180</v>
      </c>
      <c r="K709" t="s">
        <v>43</v>
      </c>
      <c r="L709">
        <v>2</v>
      </c>
      <c r="M709" t="s">
        <v>44</v>
      </c>
      <c r="N709" t="s">
        <v>45</v>
      </c>
      <c r="O709" t="s">
        <v>46</v>
      </c>
      <c r="P709" s="5">
        <v>1</v>
      </c>
      <c r="Q709" s="12">
        <v>44767.720775462964</v>
      </c>
      <c r="R709" s="13">
        <v>44769</v>
      </c>
      <c r="T709" t="s">
        <v>47</v>
      </c>
      <c r="U709" t="s">
        <v>48</v>
      </c>
      <c r="V709" t="s">
        <v>114</v>
      </c>
      <c r="Y709" t="s">
        <v>2181</v>
      </c>
      <c r="Z709">
        <v>68000</v>
      </c>
      <c r="AA709" t="s">
        <v>47</v>
      </c>
      <c r="AB709" t="s">
        <v>64</v>
      </c>
      <c r="AC709" t="s">
        <v>53</v>
      </c>
      <c r="AD709" s="16">
        <f t="shared" si="84"/>
        <v>7</v>
      </c>
      <c r="AE709" s="15">
        <v>0</v>
      </c>
      <c r="AF709" s="15">
        <v>0</v>
      </c>
      <c r="AG709" s="15">
        <v>0</v>
      </c>
      <c r="AH709" s="15">
        <v>0</v>
      </c>
      <c r="AI709" s="15">
        <f t="shared" si="85"/>
        <v>0.42</v>
      </c>
      <c r="AJ709" s="15">
        <f t="shared" si="86"/>
        <v>7.42</v>
      </c>
      <c r="AK709" t="s">
        <v>47</v>
      </c>
    </row>
    <row r="710" spans="1:37" ht="15" customHeight="1" x14ac:dyDescent="0.35">
      <c r="A710">
        <v>690929</v>
      </c>
      <c r="B710" t="s">
        <v>37</v>
      </c>
      <c r="C710" t="s">
        <v>38</v>
      </c>
      <c r="D710" s="9" t="s">
        <v>39</v>
      </c>
      <c r="E710" s="10" t="s">
        <v>37</v>
      </c>
      <c r="F710" s="11"/>
      <c r="G710" t="s">
        <v>2182</v>
      </c>
      <c r="I710" t="s">
        <v>41</v>
      </c>
      <c r="J710" t="s">
        <v>2183</v>
      </c>
      <c r="K710" t="s">
        <v>43</v>
      </c>
      <c r="L710">
        <v>2</v>
      </c>
      <c r="M710" t="s">
        <v>44</v>
      </c>
      <c r="N710" t="s">
        <v>45</v>
      </c>
      <c r="O710" t="s">
        <v>46</v>
      </c>
      <c r="P710" s="5">
        <v>1</v>
      </c>
      <c r="Q710" s="12">
        <v>44768.559814814813</v>
      </c>
      <c r="R710" s="13">
        <v>44769</v>
      </c>
      <c r="T710" t="s">
        <v>47</v>
      </c>
      <c r="U710" t="s">
        <v>48</v>
      </c>
      <c r="V710" t="s">
        <v>114</v>
      </c>
      <c r="Y710" t="s">
        <v>1584</v>
      </c>
      <c r="Z710">
        <v>40170</v>
      </c>
      <c r="AA710" t="s">
        <v>47</v>
      </c>
      <c r="AB710" t="s">
        <v>64</v>
      </c>
      <c r="AC710" t="s">
        <v>53</v>
      </c>
      <c r="AD710" s="16">
        <f t="shared" si="84"/>
        <v>7</v>
      </c>
      <c r="AE710" s="15">
        <v>0</v>
      </c>
      <c r="AF710" s="15">
        <v>0</v>
      </c>
      <c r="AG710" s="15">
        <v>0</v>
      </c>
      <c r="AH710" s="15">
        <v>0</v>
      </c>
      <c r="AI710" s="15">
        <f t="shared" si="85"/>
        <v>0.42</v>
      </c>
      <c r="AJ710" s="15">
        <f t="shared" si="86"/>
        <v>7.42</v>
      </c>
      <c r="AK710" t="s">
        <v>47</v>
      </c>
    </row>
    <row r="711" spans="1:37" ht="15" customHeight="1" x14ac:dyDescent="0.35">
      <c r="A711">
        <v>690929</v>
      </c>
      <c r="B711" t="s">
        <v>37</v>
      </c>
      <c r="C711" t="s">
        <v>38</v>
      </c>
      <c r="D711" s="9" t="s">
        <v>39</v>
      </c>
      <c r="E711" s="10" t="s">
        <v>37</v>
      </c>
      <c r="F711" s="11"/>
      <c r="G711" t="s">
        <v>2184</v>
      </c>
      <c r="I711" t="s">
        <v>41</v>
      </c>
      <c r="J711" t="s">
        <v>2185</v>
      </c>
      <c r="K711" t="s">
        <v>43</v>
      </c>
      <c r="L711">
        <v>2</v>
      </c>
      <c r="M711" t="s">
        <v>44</v>
      </c>
      <c r="N711" t="s">
        <v>45</v>
      </c>
      <c r="O711" t="s">
        <v>46</v>
      </c>
      <c r="P711" s="5">
        <v>1</v>
      </c>
      <c r="Q711" s="12">
        <v>44767.732835648145</v>
      </c>
      <c r="R711" s="13">
        <v>44769</v>
      </c>
      <c r="T711" t="s">
        <v>47</v>
      </c>
      <c r="U711" t="s">
        <v>48</v>
      </c>
      <c r="V711" t="s">
        <v>76</v>
      </c>
      <c r="Y711" t="s">
        <v>2186</v>
      </c>
      <c r="Z711">
        <v>24030</v>
      </c>
      <c r="AA711" t="s">
        <v>47</v>
      </c>
      <c r="AB711" t="s">
        <v>48</v>
      </c>
      <c r="AC711" t="s">
        <v>53</v>
      </c>
      <c r="AD711" s="16">
        <f t="shared" si="84"/>
        <v>7</v>
      </c>
      <c r="AE711" s="15">
        <v>0</v>
      </c>
      <c r="AF711" s="15">
        <v>0</v>
      </c>
      <c r="AG711" s="15">
        <v>0</v>
      </c>
      <c r="AH711" s="15">
        <v>0</v>
      </c>
      <c r="AI711" s="15">
        <f t="shared" si="85"/>
        <v>0.42</v>
      </c>
      <c r="AJ711" s="15">
        <f t="shared" si="86"/>
        <v>7.42</v>
      </c>
      <c r="AK711" t="s">
        <v>47</v>
      </c>
    </row>
    <row r="712" spans="1:37" ht="15" customHeight="1" x14ac:dyDescent="0.35">
      <c r="A712">
        <v>690929</v>
      </c>
      <c r="B712" t="s">
        <v>37</v>
      </c>
      <c r="C712" t="s">
        <v>38</v>
      </c>
      <c r="D712" s="9" t="s">
        <v>39</v>
      </c>
      <c r="E712" s="10" t="s">
        <v>37</v>
      </c>
      <c r="F712" s="11"/>
      <c r="G712" t="s">
        <v>2187</v>
      </c>
      <c r="I712" t="s">
        <v>41</v>
      </c>
      <c r="J712" t="s">
        <v>2188</v>
      </c>
      <c r="K712" t="s">
        <v>43</v>
      </c>
      <c r="L712">
        <v>2</v>
      </c>
      <c r="M712" t="s">
        <v>44</v>
      </c>
      <c r="N712" t="s">
        <v>45</v>
      </c>
      <c r="O712" t="s">
        <v>46</v>
      </c>
      <c r="P712" s="5">
        <v>1</v>
      </c>
      <c r="Q712" s="12">
        <v>44768.518310185187</v>
      </c>
      <c r="R712" s="13">
        <v>44769</v>
      </c>
      <c r="T712" t="s">
        <v>47</v>
      </c>
      <c r="U712" t="s">
        <v>48</v>
      </c>
      <c r="V712" t="s">
        <v>114</v>
      </c>
      <c r="Y712" t="s">
        <v>2189</v>
      </c>
      <c r="Z712">
        <v>47130</v>
      </c>
      <c r="AA712" t="s">
        <v>47</v>
      </c>
      <c r="AB712" t="s">
        <v>64</v>
      </c>
      <c r="AC712" t="s">
        <v>53</v>
      </c>
      <c r="AD712" s="16">
        <f t="shared" si="84"/>
        <v>7</v>
      </c>
      <c r="AE712" s="15">
        <v>0</v>
      </c>
      <c r="AF712" s="15">
        <v>0</v>
      </c>
      <c r="AG712" s="15">
        <v>0</v>
      </c>
      <c r="AH712" s="15">
        <v>0</v>
      </c>
      <c r="AI712" s="15">
        <f t="shared" si="85"/>
        <v>0.42</v>
      </c>
      <c r="AJ712" s="15">
        <f t="shared" si="86"/>
        <v>7.42</v>
      </c>
      <c r="AK712" t="s">
        <v>47</v>
      </c>
    </row>
    <row r="713" spans="1:37" ht="15" customHeight="1" x14ac:dyDescent="0.35">
      <c r="A713">
        <v>690929</v>
      </c>
      <c r="B713" t="s">
        <v>37</v>
      </c>
      <c r="C713" t="s">
        <v>38</v>
      </c>
      <c r="D713" s="9" t="s">
        <v>39</v>
      </c>
      <c r="E713" s="10" t="s">
        <v>37</v>
      </c>
      <c r="F713" s="11"/>
      <c r="G713" t="s">
        <v>2190</v>
      </c>
      <c r="I713" t="s">
        <v>41</v>
      </c>
      <c r="J713" t="s">
        <v>2191</v>
      </c>
      <c r="K713" t="s">
        <v>43</v>
      </c>
      <c r="L713">
        <v>2</v>
      </c>
      <c r="M713" t="s">
        <v>44</v>
      </c>
      <c r="N713" t="s">
        <v>45</v>
      </c>
      <c r="O713" t="s">
        <v>46</v>
      </c>
      <c r="P713" s="5">
        <v>1</v>
      </c>
      <c r="Q713" s="12">
        <v>44766.681932870371</v>
      </c>
      <c r="R713" s="13">
        <v>44769</v>
      </c>
      <c r="T713" t="s">
        <v>47</v>
      </c>
      <c r="U713" t="s">
        <v>48</v>
      </c>
      <c r="V713" t="s">
        <v>100</v>
      </c>
      <c r="Y713" t="s">
        <v>2192</v>
      </c>
      <c r="Z713">
        <v>33000</v>
      </c>
      <c r="AA713" t="s">
        <v>47</v>
      </c>
      <c r="AB713" t="s">
        <v>64</v>
      </c>
      <c r="AC713" t="s">
        <v>53</v>
      </c>
      <c r="AD713" s="16">
        <f t="shared" si="84"/>
        <v>7</v>
      </c>
      <c r="AE713" s="15">
        <v>0</v>
      </c>
      <c r="AF713" s="15">
        <v>0</v>
      </c>
      <c r="AG713" s="15">
        <v>0</v>
      </c>
      <c r="AH713" s="15">
        <v>0</v>
      </c>
      <c r="AI713" s="15">
        <f t="shared" si="85"/>
        <v>0.42</v>
      </c>
      <c r="AJ713" s="15">
        <f t="shared" si="86"/>
        <v>7.42</v>
      </c>
      <c r="AK713" t="s">
        <v>47</v>
      </c>
    </row>
    <row r="714" spans="1:37" ht="15" customHeight="1" x14ac:dyDescent="0.35">
      <c r="A714">
        <v>690929</v>
      </c>
      <c r="B714" t="s">
        <v>37</v>
      </c>
      <c r="C714" t="s">
        <v>38</v>
      </c>
      <c r="D714" s="9" t="s">
        <v>39</v>
      </c>
      <c r="E714" s="10" t="s">
        <v>37</v>
      </c>
      <c r="F714" s="11"/>
      <c r="G714" t="s">
        <v>2193</v>
      </c>
      <c r="I714" t="s">
        <v>41</v>
      </c>
      <c r="J714" t="s">
        <v>2194</v>
      </c>
      <c r="K714" t="s">
        <v>43</v>
      </c>
      <c r="L714">
        <v>2</v>
      </c>
      <c r="M714" t="s">
        <v>44</v>
      </c>
      <c r="N714" t="s">
        <v>45</v>
      </c>
      <c r="O714" t="s">
        <v>46</v>
      </c>
      <c r="P714" s="5">
        <v>1</v>
      </c>
      <c r="Q714" s="12">
        <v>44768.592129629629</v>
      </c>
      <c r="R714" s="13">
        <v>44769</v>
      </c>
      <c r="T714" t="s">
        <v>47</v>
      </c>
      <c r="U714" t="s">
        <v>48</v>
      </c>
      <c r="V714" t="s">
        <v>114</v>
      </c>
      <c r="Y714" t="s">
        <v>2195</v>
      </c>
      <c r="Z714">
        <v>40400</v>
      </c>
      <c r="AA714" t="s">
        <v>47</v>
      </c>
      <c r="AB714" t="s">
        <v>64</v>
      </c>
      <c r="AC714" t="s">
        <v>53</v>
      </c>
      <c r="AD714" s="16">
        <f t="shared" si="84"/>
        <v>7</v>
      </c>
      <c r="AE714" s="15">
        <v>0</v>
      </c>
      <c r="AF714" s="15">
        <v>0</v>
      </c>
      <c r="AG714" s="15">
        <v>0</v>
      </c>
      <c r="AH714" s="15">
        <v>0</v>
      </c>
      <c r="AI714" s="15">
        <f t="shared" si="85"/>
        <v>0.42</v>
      </c>
      <c r="AJ714" s="15">
        <f t="shared" si="86"/>
        <v>7.42</v>
      </c>
      <c r="AK714" t="s">
        <v>47</v>
      </c>
    </row>
    <row r="715" spans="1:37" ht="15" customHeight="1" x14ac:dyDescent="0.35">
      <c r="A715">
        <v>690929</v>
      </c>
      <c r="B715" t="s">
        <v>37</v>
      </c>
      <c r="C715" t="s">
        <v>38</v>
      </c>
      <c r="D715" s="9" t="s">
        <v>39</v>
      </c>
      <c r="E715" s="10" t="s">
        <v>37</v>
      </c>
      <c r="F715" s="11"/>
      <c r="G715" t="s">
        <v>2196</v>
      </c>
      <c r="I715" t="s">
        <v>41</v>
      </c>
      <c r="J715" t="s">
        <v>2197</v>
      </c>
      <c r="K715" t="s">
        <v>43</v>
      </c>
      <c r="L715">
        <v>2</v>
      </c>
      <c r="M715" t="s">
        <v>44</v>
      </c>
      <c r="N715" t="s">
        <v>45</v>
      </c>
      <c r="O715" t="s">
        <v>46</v>
      </c>
      <c r="P715" s="5">
        <v>1</v>
      </c>
      <c r="Q715" s="12">
        <v>44766.71193287037</v>
      </c>
      <c r="R715" s="13">
        <v>44769</v>
      </c>
      <c r="T715" t="s">
        <v>47</v>
      </c>
      <c r="U715" t="s">
        <v>48</v>
      </c>
      <c r="V715" t="s">
        <v>138</v>
      </c>
      <c r="Y715" t="s">
        <v>2198</v>
      </c>
      <c r="Z715">
        <v>71800</v>
      </c>
      <c r="AA715" t="s">
        <v>47</v>
      </c>
      <c r="AB715" t="s">
        <v>64</v>
      </c>
      <c r="AC715" t="s">
        <v>53</v>
      </c>
      <c r="AD715" s="16">
        <f t="shared" si="84"/>
        <v>7</v>
      </c>
      <c r="AE715" s="15">
        <v>0</v>
      </c>
      <c r="AF715" s="15">
        <v>0</v>
      </c>
      <c r="AG715" s="15">
        <v>0</v>
      </c>
      <c r="AH715" s="15">
        <v>0</v>
      </c>
      <c r="AI715" s="15">
        <f t="shared" si="85"/>
        <v>0.42</v>
      </c>
      <c r="AJ715" s="15">
        <f t="shared" si="86"/>
        <v>7.42</v>
      </c>
      <c r="AK715" t="s">
        <v>47</v>
      </c>
    </row>
    <row r="716" spans="1:37" ht="15" customHeight="1" x14ac:dyDescent="0.35">
      <c r="A716">
        <v>690929</v>
      </c>
      <c r="B716" t="s">
        <v>37</v>
      </c>
      <c r="C716" t="s">
        <v>38</v>
      </c>
      <c r="D716" s="9" t="s">
        <v>39</v>
      </c>
      <c r="E716" s="10" t="s">
        <v>37</v>
      </c>
      <c r="F716" s="11"/>
      <c r="G716" t="s">
        <v>2199</v>
      </c>
      <c r="I716" t="s">
        <v>41</v>
      </c>
      <c r="J716" t="s">
        <v>2200</v>
      </c>
      <c r="K716" t="s">
        <v>43</v>
      </c>
      <c r="L716">
        <v>2</v>
      </c>
      <c r="M716" t="s">
        <v>44</v>
      </c>
      <c r="N716" t="s">
        <v>45</v>
      </c>
      <c r="O716" t="s">
        <v>46</v>
      </c>
      <c r="P716" s="5">
        <v>1</v>
      </c>
      <c r="Q716" s="12">
        <v>44766.568564814814</v>
      </c>
      <c r="R716" s="13">
        <v>44769</v>
      </c>
      <c r="T716" t="s">
        <v>47</v>
      </c>
      <c r="U716" t="s">
        <v>48</v>
      </c>
      <c r="V716" t="s">
        <v>176</v>
      </c>
      <c r="Y716" t="s">
        <v>2201</v>
      </c>
      <c r="Z716">
        <v>78300</v>
      </c>
      <c r="AA716" t="s">
        <v>47</v>
      </c>
      <c r="AB716" t="s">
        <v>64</v>
      </c>
      <c r="AC716" t="s">
        <v>53</v>
      </c>
      <c r="AD716" s="16">
        <f t="shared" si="84"/>
        <v>7</v>
      </c>
      <c r="AE716" s="15">
        <v>0</v>
      </c>
      <c r="AF716" s="15">
        <v>0</v>
      </c>
      <c r="AG716" s="15">
        <v>0</v>
      </c>
      <c r="AH716" s="15">
        <v>0</v>
      </c>
      <c r="AI716" s="15">
        <f t="shared" si="85"/>
        <v>0.42</v>
      </c>
      <c r="AJ716" s="15">
        <f t="shared" si="86"/>
        <v>7.42</v>
      </c>
      <c r="AK716" t="s">
        <v>47</v>
      </c>
    </row>
    <row r="717" spans="1:37" ht="15" customHeight="1" x14ac:dyDescent="0.35">
      <c r="A717">
        <v>690929</v>
      </c>
      <c r="B717" t="s">
        <v>37</v>
      </c>
      <c r="C717" t="s">
        <v>38</v>
      </c>
      <c r="D717" s="9" t="s">
        <v>39</v>
      </c>
      <c r="E717" s="10" t="s">
        <v>37</v>
      </c>
      <c r="F717" s="11"/>
      <c r="G717" t="s">
        <v>2202</v>
      </c>
      <c r="I717" t="s">
        <v>41</v>
      </c>
      <c r="J717" t="s">
        <v>2203</v>
      </c>
      <c r="K717" t="s">
        <v>43</v>
      </c>
      <c r="L717">
        <v>2</v>
      </c>
      <c r="M717" t="s">
        <v>44</v>
      </c>
      <c r="N717" t="s">
        <v>45</v>
      </c>
      <c r="O717" t="s">
        <v>46</v>
      </c>
      <c r="P717" s="5">
        <v>1</v>
      </c>
      <c r="Q717" s="12">
        <v>44766.729247685187</v>
      </c>
      <c r="R717" s="13">
        <v>44769</v>
      </c>
      <c r="T717" t="s">
        <v>47</v>
      </c>
      <c r="U717" t="s">
        <v>48</v>
      </c>
      <c r="V717" t="s">
        <v>62</v>
      </c>
      <c r="Y717" t="s">
        <v>2204</v>
      </c>
      <c r="Z717">
        <v>81200</v>
      </c>
      <c r="AA717" t="s">
        <v>47</v>
      </c>
      <c r="AB717" t="s">
        <v>64</v>
      </c>
      <c r="AC717" t="s">
        <v>53</v>
      </c>
      <c r="AD717" s="16">
        <f t="shared" si="84"/>
        <v>7</v>
      </c>
      <c r="AE717" s="15">
        <v>0</v>
      </c>
      <c r="AF717" s="15">
        <v>0</v>
      </c>
      <c r="AG717" s="15">
        <v>0</v>
      </c>
      <c r="AH717" s="15">
        <v>0</v>
      </c>
      <c r="AI717" s="15">
        <f t="shared" si="85"/>
        <v>0.42</v>
      </c>
      <c r="AJ717" s="15">
        <f t="shared" si="86"/>
        <v>7.42</v>
      </c>
      <c r="AK717" t="s">
        <v>47</v>
      </c>
    </row>
    <row r="718" spans="1:37" ht="15" customHeight="1" x14ac:dyDescent="0.35">
      <c r="A718">
        <v>690929</v>
      </c>
      <c r="B718" t="s">
        <v>37</v>
      </c>
      <c r="C718" t="s">
        <v>38</v>
      </c>
      <c r="D718" s="9" t="s">
        <v>39</v>
      </c>
      <c r="E718" s="10" t="s">
        <v>37</v>
      </c>
      <c r="F718" s="11"/>
      <c r="G718" t="s">
        <v>2205</v>
      </c>
      <c r="I718" t="s">
        <v>41</v>
      </c>
      <c r="J718" t="s">
        <v>2206</v>
      </c>
      <c r="K718" t="s">
        <v>43</v>
      </c>
      <c r="L718">
        <v>2</v>
      </c>
      <c r="M718" t="s">
        <v>44</v>
      </c>
      <c r="N718" t="s">
        <v>45</v>
      </c>
      <c r="O718" t="s">
        <v>46</v>
      </c>
      <c r="P718" s="5">
        <v>1</v>
      </c>
      <c r="Q718" s="12">
        <v>44768.514907407407</v>
      </c>
      <c r="R718" s="13">
        <v>44769</v>
      </c>
      <c r="T718" t="s">
        <v>47</v>
      </c>
      <c r="U718" t="s">
        <v>48</v>
      </c>
      <c r="V718" t="s">
        <v>114</v>
      </c>
      <c r="Y718" t="s">
        <v>2207</v>
      </c>
      <c r="Z718">
        <v>42000</v>
      </c>
      <c r="AA718" t="s">
        <v>47</v>
      </c>
      <c r="AB718" t="s">
        <v>64</v>
      </c>
      <c r="AC718" t="s">
        <v>53</v>
      </c>
      <c r="AD718" s="16">
        <f t="shared" si="84"/>
        <v>7</v>
      </c>
      <c r="AE718" s="15">
        <v>0</v>
      </c>
      <c r="AF718" s="15">
        <v>0</v>
      </c>
      <c r="AG718" s="15">
        <v>0</v>
      </c>
      <c r="AH718" s="15">
        <v>0</v>
      </c>
      <c r="AI718" s="15">
        <f t="shared" si="85"/>
        <v>0.42</v>
      </c>
      <c r="AJ718" s="15">
        <f t="shared" si="86"/>
        <v>7.42</v>
      </c>
      <c r="AK718" t="s">
        <v>47</v>
      </c>
    </row>
    <row r="719" spans="1:37" ht="15" customHeight="1" x14ac:dyDescent="0.35">
      <c r="A719">
        <v>690929</v>
      </c>
      <c r="B719" t="s">
        <v>37</v>
      </c>
      <c r="C719" t="s">
        <v>38</v>
      </c>
      <c r="D719" s="9" t="s">
        <v>39</v>
      </c>
      <c r="E719" s="10" t="s">
        <v>37</v>
      </c>
      <c r="F719" s="11"/>
      <c r="G719" t="s">
        <v>2208</v>
      </c>
      <c r="I719" t="s">
        <v>41</v>
      </c>
      <c r="J719" t="s">
        <v>2209</v>
      </c>
      <c r="K719" t="s">
        <v>43</v>
      </c>
      <c r="L719">
        <v>2</v>
      </c>
      <c r="M719" t="s">
        <v>44</v>
      </c>
      <c r="N719" t="s">
        <v>45</v>
      </c>
      <c r="O719" t="s">
        <v>46</v>
      </c>
      <c r="P719" s="5">
        <v>1</v>
      </c>
      <c r="Q719" s="12">
        <v>44768.589120370372</v>
      </c>
      <c r="R719" s="13">
        <v>44769</v>
      </c>
      <c r="T719" t="s">
        <v>47</v>
      </c>
      <c r="U719" t="s">
        <v>48</v>
      </c>
      <c r="V719" t="s">
        <v>96</v>
      </c>
      <c r="Y719" t="s">
        <v>2210</v>
      </c>
      <c r="Z719">
        <v>15350</v>
      </c>
      <c r="AA719" t="s">
        <v>47</v>
      </c>
      <c r="AB719" t="s">
        <v>56</v>
      </c>
      <c r="AC719" t="s">
        <v>53</v>
      </c>
      <c r="AD719" s="16">
        <f t="shared" si="84"/>
        <v>7</v>
      </c>
      <c r="AE719" s="15">
        <v>0</v>
      </c>
      <c r="AF719" s="15">
        <v>0</v>
      </c>
      <c r="AG719" s="15">
        <v>0</v>
      </c>
      <c r="AH719" s="15">
        <v>0</v>
      </c>
      <c r="AI719" s="15">
        <f t="shared" si="85"/>
        <v>0.42</v>
      </c>
      <c r="AJ719" s="15">
        <f t="shared" si="86"/>
        <v>7.42</v>
      </c>
      <c r="AK719" t="s">
        <v>47</v>
      </c>
    </row>
    <row r="720" spans="1:37" ht="15" customHeight="1" x14ac:dyDescent="0.35">
      <c r="A720">
        <v>690929</v>
      </c>
      <c r="B720" t="s">
        <v>37</v>
      </c>
      <c r="C720" t="s">
        <v>38</v>
      </c>
      <c r="D720" s="9" t="s">
        <v>39</v>
      </c>
      <c r="E720" s="10" t="s">
        <v>37</v>
      </c>
      <c r="F720" s="11"/>
      <c r="G720" t="s">
        <v>2211</v>
      </c>
      <c r="I720" t="s">
        <v>41</v>
      </c>
      <c r="J720" t="s">
        <v>2212</v>
      </c>
      <c r="K720" t="s">
        <v>43</v>
      </c>
      <c r="L720">
        <v>2</v>
      </c>
      <c r="M720" t="s">
        <v>44</v>
      </c>
      <c r="N720" t="s">
        <v>45</v>
      </c>
      <c r="O720" t="s">
        <v>46</v>
      </c>
      <c r="P720" s="5">
        <v>1</v>
      </c>
      <c r="Q720" s="12">
        <v>44766.690995370373</v>
      </c>
      <c r="R720" s="13">
        <v>44769</v>
      </c>
      <c r="T720" t="s">
        <v>47</v>
      </c>
      <c r="U720" t="s">
        <v>48</v>
      </c>
      <c r="V720" t="s">
        <v>114</v>
      </c>
      <c r="Y720" t="s">
        <v>2213</v>
      </c>
      <c r="Z720">
        <v>42200</v>
      </c>
      <c r="AA720" t="s">
        <v>47</v>
      </c>
      <c r="AB720" t="s">
        <v>64</v>
      </c>
      <c r="AC720" t="s">
        <v>53</v>
      </c>
      <c r="AD720" s="16">
        <f t="shared" si="84"/>
        <v>7</v>
      </c>
      <c r="AE720" s="15">
        <v>0</v>
      </c>
      <c r="AF720" s="15">
        <v>0</v>
      </c>
      <c r="AG720" s="15">
        <v>0</v>
      </c>
      <c r="AH720" s="15">
        <v>0</v>
      </c>
      <c r="AI720" s="15">
        <f t="shared" si="85"/>
        <v>0.42</v>
      </c>
      <c r="AJ720" s="15">
        <f t="shared" si="86"/>
        <v>7.42</v>
      </c>
      <c r="AK720" t="s">
        <v>47</v>
      </c>
    </row>
    <row r="721" spans="1:37" ht="15" customHeight="1" x14ac:dyDescent="0.35">
      <c r="A721">
        <v>690929</v>
      </c>
      <c r="B721" t="s">
        <v>37</v>
      </c>
      <c r="C721" t="s">
        <v>38</v>
      </c>
      <c r="D721" s="9" t="s">
        <v>39</v>
      </c>
      <c r="E721" s="10" t="s">
        <v>37</v>
      </c>
      <c r="F721" s="11"/>
      <c r="G721" t="s">
        <v>2214</v>
      </c>
      <c r="I721" t="s">
        <v>41</v>
      </c>
      <c r="J721" t="s">
        <v>2215</v>
      </c>
      <c r="K721" t="s">
        <v>43</v>
      </c>
      <c r="L721">
        <v>2</v>
      </c>
      <c r="M721" t="s">
        <v>44</v>
      </c>
      <c r="N721" t="s">
        <v>45</v>
      </c>
      <c r="O721" t="s">
        <v>46</v>
      </c>
      <c r="P721" s="5">
        <v>1</v>
      </c>
      <c r="Q721" s="12">
        <v>44768.519699074073</v>
      </c>
      <c r="R721" s="13">
        <v>44769</v>
      </c>
      <c r="T721" t="s">
        <v>47</v>
      </c>
      <c r="U721" t="s">
        <v>48</v>
      </c>
      <c r="V721" t="s">
        <v>128</v>
      </c>
      <c r="Y721" t="s">
        <v>2216</v>
      </c>
      <c r="Z721">
        <v>56100</v>
      </c>
      <c r="AA721" t="s">
        <v>47</v>
      </c>
      <c r="AB721" t="s">
        <v>64</v>
      </c>
      <c r="AC721" t="s">
        <v>53</v>
      </c>
      <c r="AD721" s="16">
        <f t="shared" si="84"/>
        <v>7</v>
      </c>
      <c r="AE721" s="15">
        <v>0</v>
      </c>
      <c r="AF721" s="15">
        <v>0</v>
      </c>
      <c r="AG721" s="15">
        <v>0</v>
      </c>
      <c r="AH721" s="15">
        <v>0</v>
      </c>
      <c r="AI721" s="15">
        <f t="shared" si="85"/>
        <v>0.42</v>
      </c>
      <c r="AJ721" s="15">
        <f t="shared" si="86"/>
        <v>7.42</v>
      </c>
      <c r="AK721" t="s">
        <v>47</v>
      </c>
    </row>
    <row r="722" spans="1:37" ht="15" customHeight="1" x14ac:dyDescent="0.35">
      <c r="A722">
        <v>690929</v>
      </c>
      <c r="B722" t="s">
        <v>37</v>
      </c>
      <c r="C722" t="s">
        <v>38</v>
      </c>
      <c r="D722" s="9" t="s">
        <v>39</v>
      </c>
      <c r="E722" s="10" t="s">
        <v>37</v>
      </c>
      <c r="F722" s="11"/>
      <c r="G722" t="s">
        <v>2217</v>
      </c>
      <c r="I722" t="s">
        <v>41</v>
      </c>
      <c r="J722" t="s">
        <v>1697</v>
      </c>
      <c r="K722" t="s">
        <v>43</v>
      </c>
      <c r="L722">
        <v>2</v>
      </c>
      <c r="M722" t="s">
        <v>44</v>
      </c>
      <c r="N722" t="s">
        <v>45</v>
      </c>
      <c r="O722" t="s">
        <v>46</v>
      </c>
      <c r="P722" s="5">
        <v>1</v>
      </c>
      <c r="Q722" s="12">
        <v>44768.509780092594</v>
      </c>
      <c r="R722" s="13">
        <v>44769</v>
      </c>
      <c r="T722" t="s">
        <v>47</v>
      </c>
      <c r="U722" t="s">
        <v>48</v>
      </c>
      <c r="V722" t="s">
        <v>114</v>
      </c>
      <c r="Y722" t="s">
        <v>1698</v>
      </c>
      <c r="Z722">
        <v>41200</v>
      </c>
      <c r="AA722" t="s">
        <v>47</v>
      </c>
      <c r="AB722" t="s">
        <v>64</v>
      </c>
      <c r="AC722" t="s">
        <v>53</v>
      </c>
      <c r="AD722" s="16">
        <f t="shared" si="84"/>
        <v>7</v>
      </c>
      <c r="AE722" s="15">
        <v>0</v>
      </c>
      <c r="AF722" s="15">
        <v>0</v>
      </c>
      <c r="AG722" s="15">
        <v>0</v>
      </c>
      <c r="AH722" s="15">
        <v>0</v>
      </c>
      <c r="AI722" s="15">
        <f t="shared" si="85"/>
        <v>0.42</v>
      </c>
      <c r="AJ722" s="15">
        <f t="shared" si="86"/>
        <v>7.42</v>
      </c>
      <c r="AK722" t="s">
        <v>47</v>
      </c>
    </row>
    <row r="723" spans="1:37" ht="15" customHeight="1" x14ac:dyDescent="0.35">
      <c r="A723">
        <v>690929</v>
      </c>
      <c r="B723" t="s">
        <v>37</v>
      </c>
      <c r="C723" t="s">
        <v>38</v>
      </c>
      <c r="D723" s="9" t="s">
        <v>39</v>
      </c>
      <c r="E723" s="10" t="s">
        <v>37</v>
      </c>
      <c r="F723" s="11"/>
      <c r="G723" t="s">
        <v>2218</v>
      </c>
      <c r="I723" t="s">
        <v>41</v>
      </c>
      <c r="J723" t="s">
        <v>2219</v>
      </c>
      <c r="K723" t="s">
        <v>43</v>
      </c>
      <c r="L723">
        <v>2</v>
      </c>
      <c r="M723" t="s">
        <v>44</v>
      </c>
      <c r="N723" t="s">
        <v>45</v>
      </c>
      <c r="O723" t="s">
        <v>46</v>
      </c>
      <c r="P723" s="5">
        <v>1</v>
      </c>
      <c r="Q723" s="12">
        <v>44768.419016203705</v>
      </c>
      <c r="R723" s="13">
        <v>44769</v>
      </c>
      <c r="T723" t="s">
        <v>47</v>
      </c>
      <c r="U723" t="s">
        <v>48</v>
      </c>
      <c r="V723" t="s">
        <v>96</v>
      </c>
      <c r="Y723" t="s">
        <v>2220</v>
      </c>
      <c r="Z723">
        <v>17500</v>
      </c>
      <c r="AA723" t="s">
        <v>47</v>
      </c>
      <c r="AB723" t="s">
        <v>826</v>
      </c>
      <c r="AC723" t="s">
        <v>53</v>
      </c>
      <c r="AD723" s="16">
        <f t="shared" si="84"/>
        <v>7</v>
      </c>
      <c r="AE723" s="15">
        <v>0</v>
      </c>
      <c r="AF723" s="15">
        <v>0</v>
      </c>
      <c r="AG723" s="15">
        <v>0</v>
      </c>
      <c r="AH723" s="15">
        <v>0</v>
      </c>
      <c r="AI723" s="15">
        <f t="shared" si="85"/>
        <v>0.42</v>
      </c>
      <c r="AJ723" s="15">
        <f t="shared" si="86"/>
        <v>7.42</v>
      </c>
      <c r="AK723" t="s">
        <v>47</v>
      </c>
    </row>
    <row r="724" spans="1:37" ht="15" customHeight="1" x14ac:dyDescent="0.35">
      <c r="A724">
        <v>690929</v>
      </c>
      <c r="B724" t="s">
        <v>37</v>
      </c>
      <c r="C724" t="s">
        <v>38</v>
      </c>
      <c r="D724" s="9" t="s">
        <v>39</v>
      </c>
      <c r="E724" s="10" t="s">
        <v>37</v>
      </c>
      <c r="F724" s="11"/>
      <c r="G724" t="s">
        <v>2221</v>
      </c>
      <c r="I724" t="s">
        <v>41</v>
      </c>
      <c r="J724" t="s">
        <v>2222</v>
      </c>
      <c r="K724" t="s">
        <v>43</v>
      </c>
      <c r="L724">
        <v>2</v>
      </c>
      <c r="M724" t="s">
        <v>44</v>
      </c>
      <c r="N724" t="s">
        <v>45</v>
      </c>
      <c r="O724" t="s">
        <v>46</v>
      </c>
      <c r="P724" s="5">
        <v>1</v>
      </c>
      <c r="Q724" s="12">
        <v>44766.735023148147</v>
      </c>
      <c r="R724" s="13">
        <v>44769</v>
      </c>
      <c r="T724" t="s">
        <v>47</v>
      </c>
      <c r="U724" t="s">
        <v>48</v>
      </c>
      <c r="V724" t="s">
        <v>62</v>
      </c>
      <c r="Y724" t="s">
        <v>2223</v>
      </c>
      <c r="Z724">
        <v>81900</v>
      </c>
      <c r="AA724" t="s">
        <v>47</v>
      </c>
      <c r="AB724" t="s">
        <v>64</v>
      </c>
      <c r="AC724" t="s">
        <v>53</v>
      </c>
      <c r="AD724" s="16">
        <f t="shared" si="84"/>
        <v>7</v>
      </c>
      <c r="AE724" s="15">
        <v>0</v>
      </c>
      <c r="AF724" s="15">
        <v>0</v>
      </c>
      <c r="AG724" s="15">
        <v>0</v>
      </c>
      <c r="AH724" s="15">
        <v>0</v>
      </c>
      <c r="AI724" s="15">
        <f t="shared" si="85"/>
        <v>0.42</v>
      </c>
      <c r="AJ724" s="15">
        <f t="shared" si="86"/>
        <v>7.42</v>
      </c>
      <c r="AK724" t="s">
        <v>47</v>
      </c>
    </row>
    <row r="725" spans="1:37" ht="15" customHeight="1" x14ac:dyDescent="0.35">
      <c r="A725">
        <v>690929</v>
      </c>
      <c r="B725" t="s">
        <v>37</v>
      </c>
      <c r="C725" t="s">
        <v>38</v>
      </c>
      <c r="D725" s="9" t="s">
        <v>39</v>
      </c>
      <c r="E725" s="10" t="s">
        <v>37</v>
      </c>
      <c r="F725" s="11"/>
      <c r="G725" t="s">
        <v>2224</v>
      </c>
      <c r="I725" t="s">
        <v>41</v>
      </c>
      <c r="J725" t="s">
        <v>2225</v>
      </c>
      <c r="K725" t="s">
        <v>43</v>
      </c>
      <c r="L725">
        <v>2</v>
      </c>
      <c r="M725" t="s">
        <v>44</v>
      </c>
      <c r="N725" t="s">
        <v>45</v>
      </c>
      <c r="O725" t="s">
        <v>46</v>
      </c>
      <c r="P725" s="5">
        <v>1</v>
      </c>
      <c r="Q725" s="12">
        <v>44766.708958333336</v>
      </c>
      <c r="R725" s="13">
        <v>44769</v>
      </c>
      <c r="T725" t="s">
        <v>47</v>
      </c>
      <c r="U725" t="s">
        <v>48</v>
      </c>
      <c r="V725" t="s">
        <v>85</v>
      </c>
      <c r="Y725" t="s">
        <v>2226</v>
      </c>
      <c r="Z725">
        <v>11010</v>
      </c>
      <c r="AA725" t="s">
        <v>47</v>
      </c>
      <c r="AB725" t="s">
        <v>64</v>
      </c>
      <c r="AC725" t="s">
        <v>53</v>
      </c>
      <c r="AD725" s="16">
        <f t="shared" si="84"/>
        <v>7</v>
      </c>
      <c r="AE725" s="15">
        <v>0</v>
      </c>
      <c r="AF725" s="15">
        <v>0</v>
      </c>
      <c r="AG725" s="15">
        <v>0</v>
      </c>
      <c r="AH725" s="15">
        <v>0</v>
      </c>
      <c r="AI725" s="15">
        <f t="shared" si="85"/>
        <v>0.42</v>
      </c>
      <c r="AJ725" s="15">
        <f t="shared" si="86"/>
        <v>7.42</v>
      </c>
      <c r="AK725" t="s">
        <v>47</v>
      </c>
    </row>
    <row r="726" spans="1:37" ht="15" customHeight="1" x14ac:dyDescent="0.35">
      <c r="A726">
        <v>690929</v>
      </c>
      <c r="B726" t="s">
        <v>37</v>
      </c>
      <c r="C726" t="s">
        <v>38</v>
      </c>
      <c r="D726" s="9" t="s">
        <v>39</v>
      </c>
      <c r="E726" s="10" t="s">
        <v>37</v>
      </c>
      <c r="F726" s="11"/>
      <c r="G726" t="s">
        <v>2227</v>
      </c>
      <c r="I726" t="s">
        <v>41</v>
      </c>
      <c r="J726" t="s">
        <v>2228</v>
      </c>
      <c r="K726" t="s">
        <v>43</v>
      </c>
      <c r="L726">
        <v>2</v>
      </c>
      <c r="M726" t="s">
        <v>44</v>
      </c>
      <c r="N726" t="s">
        <v>45</v>
      </c>
      <c r="O726" t="s">
        <v>46</v>
      </c>
      <c r="P726" s="5">
        <v>1</v>
      </c>
      <c r="Q726" s="12">
        <v>44769.54409722222</v>
      </c>
      <c r="R726" s="13">
        <v>44770</v>
      </c>
      <c r="T726" t="s">
        <v>47</v>
      </c>
      <c r="U726" t="s">
        <v>48</v>
      </c>
      <c r="V726" t="s">
        <v>67</v>
      </c>
      <c r="Y726" t="s">
        <v>2229</v>
      </c>
      <c r="Z726">
        <v>25150</v>
      </c>
      <c r="AA726" t="s">
        <v>47</v>
      </c>
      <c r="AB726" t="s">
        <v>48</v>
      </c>
      <c r="AC726" t="s">
        <v>53</v>
      </c>
      <c r="AD726" s="16">
        <f t="shared" si="84"/>
        <v>7</v>
      </c>
      <c r="AE726" s="15">
        <v>0</v>
      </c>
      <c r="AF726" s="15">
        <v>0</v>
      </c>
      <c r="AG726" s="15">
        <v>0</v>
      </c>
      <c r="AH726" s="15">
        <v>0</v>
      </c>
      <c r="AI726" s="15">
        <f t="shared" si="85"/>
        <v>0.42</v>
      </c>
      <c r="AJ726" s="15">
        <f t="shared" si="86"/>
        <v>7.42</v>
      </c>
      <c r="AK726" t="s">
        <v>47</v>
      </c>
    </row>
    <row r="727" spans="1:37" ht="15" customHeight="1" x14ac:dyDescent="0.35">
      <c r="A727">
        <v>690929</v>
      </c>
      <c r="B727" t="s">
        <v>37</v>
      </c>
      <c r="C727" t="s">
        <v>38</v>
      </c>
      <c r="D727" s="9" t="s">
        <v>39</v>
      </c>
      <c r="E727" s="10" t="s">
        <v>37</v>
      </c>
      <c r="F727" s="11"/>
      <c r="G727" t="s">
        <v>2230</v>
      </c>
      <c r="I727" t="s">
        <v>41</v>
      </c>
      <c r="J727" t="s">
        <v>2231</v>
      </c>
      <c r="K727" t="s">
        <v>43</v>
      </c>
      <c r="L727">
        <v>2</v>
      </c>
      <c r="M727" t="s">
        <v>44</v>
      </c>
      <c r="N727" t="s">
        <v>45</v>
      </c>
      <c r="O727" t="s">
        <v>46</v>
      </c>
      <c r="P727" s="5">
        <v>1</v>
      </c>
      <c r="Q727" s="12">
        <v>44768.512303240743</v>
      </c>
      <c r="R727" s="13">
        <v>44770</v>
      </c>
      <c r="T727" t="s">
        <v>47</v>
      </c>
      <c r="U727" t="s">
        <v>48</v>
      </c>
      <c r="V727" t="s">
        <v>62</v>
      </c>
      <c r="Y727" t="s">
        <v>2232</v>
      </c>
      <c r="Z727">
        <v>83200</v>
      </c>
      <c r="AA727" t="s">
        <v>47</v>
      </c>
      <c r="AB727" t="s">
        <v>64</v>
      </c>
      <c r="AC727" t="s">
        <v>53</v>
      </c>
      <c r="AD727" s="16">
        <f t="shared" ref="AD727:AD731" si="87">IF(P727&lt;=1,7,7+0.8*ROUNDUP(P727-1,0))</f>
        <v>7</v>
      </c>
      <c r="AE727" s="15">
        <v>0</v>
      </c>
      <c r="AF727" s="15">
        <v>0</v>
      </c>
      <c r="AG727" s="15">
        <v>0</v>
      </c>
      <c r="AH727" s="15">
        <v>0</v>
      </c>
      <c r="AI727" s="15">
        <f t="shared" si="85"/>
        <v>0.42</v>
      </c>
      <c r="AJ727" s="15">
        <f t="shared" si="86"/>
        <v>7.42</v>
      </c>
      <c r="AK727" t="s">
        <v>47</v>
      </c>
    </row>
    <row r="728" spans="1:37" ht="15" customHeight="1" x14ac:dyDescent="0.35">
      <c r="A728">
        <v>690929</v>
      </c>
      <c r="B728" t="s">
        <v>37</v>
      </c>
      <c r="C728" t="s">
        <v>38</v>
      </c>
      <c r="D728" s="9" t="s">
        <v>39</v>
      </c>
      <c r="E728" s="10" t="s">
        <v>37</v>
      </c>
      <c r="F728" s="11"/>
      <c r="G728" t="s">
        <v>2233</v>
      </c>
      <c r="I728" t="s">
        <v>41</v>
      </c>
      <c r="J728" t="s">
        <v>2234</v>
      </c>
      <c r="K728" t="s">
        <v>43</v>
      </c>
      <c r="L728">
        <v>2</v>
      </c>
      <c r="M728" t="s">
        <v>44</v>
      </c>
      <c r="N728" t="s">
        <v>45</v>
      </c>
      <c r="O728" t="s">
        <v>46</v>
      </c>
      <c r="P728" s="5">
        <v>1</v>
      </c>
      <c r="Q728" s="12">
        <v>44768.593495370369</v>
      </c>
      <c r="R728" s="13">
        <v>44770</v>
      </c>
      <c r="T728" t="s">
        <v>47</v>
      </c>
      <c r="U728" t="s">
        <v>48</v>
      </c>
      <c r="V728" t="s">
        <v>176</v>
      </c>
      <c r="Y728" t="s">
        <v>2235</v>
      </c>
      <c r="Z728">
        <v>76100</v>
      </c>
      <c r="AA728" t="s">
        <v>47</v>
      </c>
      <c r="AB728" t="s">
        <v>64</v>
      </c>
      <c r="AC728" t="s">
        <v>53</v>
      </c>
      <c r="AD728" s="16">
        <f t="shared" si="87"/>
        <v>7</v>
      </c>
      <c r="AE728" s="15">
        <v>0</v>
      </c>
      <c r="AF728" s="15">
        <v>0</v>
      </c>
      <c r="AG728" s="15">
        <v>0</v>
      </c>
      <c r="AH728" s="15">
        <v>0</v>
      </c>
      <c r="AI728" s="15">
        <f t="shared" si="85"/>
        <v>0.42</v>
      </c>
      <c r="AJ728" s="15">
        <f t="shared" si="86"/>
        <v>7.42</v>
      </c>
      <c r="AK728" t="s">
        <v>47</v>
      </c>
    </row>
    <row r="729" spans="1:37" ht="15" customHeight="1" x14ac:dyDescent="0.35">
      <c r="A729">
        <v>690929</v>
      </c>
      <c r="B729" t="s">
        <v>37</v>
      </c>
      <c r="C729" t="s">
        <v>38</v>
      </c>
      <c r="D729" s="9" t="s">
        <v>39</v>
      </c>
      <c r="E729" s="10" t="s">
        <v>37</v>
      </c>
      <c r="F729" s="11"/>
      <c r="G729" t="s">
        <v>2236</v>
      </c>
      <c r="I729" t="s">
        <v>41</v>
      </c>
      <c r="J729" t="s">
        <v>2237</v>
      </c>
      <c r="K729" t="s">
        <v>43</v>
      </c>
      <c r="L729">
        <v>2</v>
      </c>
      <c r="M729" t="s">
        <v>44</v>
      </c>
      <c r="N729" t="s">
        <v>45</v>
      </c>
      <c r="O729" t="s">
        <v>46</v>
      </c>
      <c r="P729" s="5">
        <v>1</v>
      </c>
      <c r="Q729" s="12">
        <v>44767.739803240744</v>
      </c>
      <c r="R729" s="13">
        <v>44770</v>
      </c>
      <c r="T729" t="s">
        <v>47</v>
      </c>
      <c r="U729" t="s">
        <v>48</v>
      </c>
      <c r="V729" t="s">
        <v>62</v>
      </c>
      <c r="Y729" t="s">
        <v>2238</v>
      </c>
      <c r="Z729">
        <v>86000</v>
      </c>
      <c r="AA729" t="s">
        <v>47</v>
      </c>
      <c r="AB729" t="s">
        <v>64</v>
      </c>
      <c r="AC729" t="s">
        <v>53</v>
      </c>
      <c r="AD729" s="16">
        <f t="shared" si="87"/>
        <v>7</v>
      </c>
      <c r="AE729" s="15">
        <v>0</v>
      </c>
      <c r="AF729" s="15">
        <v>0</v>
      </c>
      <c r="AG729" s="15">
        <v>0</v>
      </c>
      <c r="AH729" s="15">
        <v>0</v>
      </c>
      <c r="AI729" s="15">
        <f t="shared" si="85"/>
        <v>0.42</v>
      </c>
      <c r="AJ729" s="15">
        <f t="shared" si="86"/>
        <v>7.42</v>
      </c>
      <c r="AK729" t="s">
        <v>47</v>
      </c>
    </row>
    <row r="730" spans="1:37" ht="15" customHeight="1" x14ac:dyDescent="0.35">
      <c r="A730">
        <v>690929</v>
      </c>
      <c r="B730" t="s">
        <v>37</v>
      </c>
      <c r="C730" t="s">
        <v>38</v>
      </c>
      <c r="D730" s="9" t="s">
        <v>39</v>
      </c>
      <c r="E730" s="10" t="s">
        <v>37</v>
      </c>
      <c r="F730" s="11"/>
      <c r="G730" t="s">
        <v>2239</v>
      </c>
      <c r="I730" t="s">
        <v>41</v>
      </c>
      <c r="J730" t="s">
        <v>2240</v>
      </c>
      <c r="K730" t="s">
        <v>43</v>
      </c>
      <c r="L730">
        <v>2</v>
      </c>
      <c r="M730" t="s">
        <v>44</v>
      </c>
      <c r="N730" t="s">
        <v>45</v>
      </c>
      <c r="O730" t="s">
        <v>46</v>
      </c>
      <c r="P730" s="5">
        <v>1</v>
      </c>
      <c r="Q730" s="12">
        <v>44769.611157407409</v>
      </c>
      <c r="R730" s="13">
        <v>44770</v>
      </c>
      <c r="T730" t="s">
        <v>47</v>
      </c>
      <c r="U730" t="s">
        <v>48</v>
      </c>
      <c r="V730" t="s">
        <v>176</v>
      </c>
      <c r="Y730" t="s">
        <v>2241</v>
      </c>
      <c r="Z730">
        <v>75250</v>
      </c>
      <c r="AA730" t="s">
        <v>47</v>
      </c>
      <c r="AB730" t="s">
        <v>64</v>
      </c>
      <c r="AC730" t="s">
        <v>53</v>
      </c>
      <c r="AD730" s="16">
        <f t="shared" si="87"/>
        <v>7</v>
      </c>
      <c r="AE730" s="15">
        <v>0</v>
      </c>
      <c r="AF730" s="15">
        <v>0</v>
      </c>
      <c r="AG730" s="15">
        <v>0</v>
      </c>
      <c r="AH730" s="15">
        <v>0</v>
      </c>
      <c r="AI730" s="15">
        <f t="shared" si="85"/>
        <v>0.42</v>
      </c>
      <c r="AJ730" s="15">
        <f t="shared" si="86"/>
        <v>7.42</v>
      </c>
      <c r="AK730" t="s">
        <v>47</v>
      </c>
    </row>
    <row r="731" spans="1:37" ht="15" customHeight="1" x14ac:dyDescent="0.35">
      <c r="A731">
        <v>690929</v>
      </c>
      <c r="B731" t="s">
        <v>37</v>
      </c>
      <c r="C731" t="s">
        <v>38</v>
      </c>
      <c r="D731" s="9" t="s">
        <v>39</v>
      </c>
      <c r="E731" s="10" t="s">
        <v>37</v>
      </c>
      <c r="F731" s="11"/>
      <c r="G731" t="s">
        <v>2242</v>
      </c>
      <c r="I731" t="s">
        <v>41</v>
      </c>
      <c r="J731" t="s">
        <v>843</v>
      </c>
      <c r="K731" t="s">
        <v>43</v>
      </c>
      <c r="L731">
        <v>2</v>
      </c>
      <c r="M731" t="s">
        <v>44</v>
      </c>
      <c r="N731" t="s">
        <v>45</v>
      </c>
      <c r="O731" t="s">
        <v>46</v>
      </c>
      <c r="P731" s="5">
        <v>10</v>
      </c>
      <c r="Q731" s="12">
        <v>44769.452650462961</v>
      </c>
      <c r="R731" s="13">
        <v>44770</v>
      </c>
      <c r="T731" t="s">
        <v>47</v>
      </c>
      <c r="U731" t="s">
        <v>48</v>
      </c>
      <c r="V731" t="s">
        <v>114</v>
      </c>
      <c r="Y731" t="s">
        <v>846</v>
      </c>
      <c r="Z731">
        <v>42000</v>
      </c>
      <c r="AA731" t="s">
        <v>47</v>
      </c>
      <c r="AB731" t="s">
        <v>2243</v>
      </c>
      <c r="AC731" t="s">
        <v>53</v>
      </c>
      <c r="AD731" s="16">
        <f t="shared" si="87"/>
        <v>14.2</v>
      </c>
      <c r="AE731" s="15">
        <v>0</v>
      </c>
      <c r="AF731" s="15">
        <v>0</v>
      </c>
      <c r="AG731" s="15">
        <v>0</v>
      </c>
      <c r="AH731" s="15">
        <v>0</v>
      </c>
      <c r="AI731" s="15">
        <f t="shared" si="85"/>
        <v>0.85199999999999998</v>
      </c>
      <c r="AJ731" s="15">
        <f t="shared" si="86"/>
        <v>15.052</v>
      </c>
      <c r="AK731" t="s">
        <v>47</v>
      </c>
    </row>
    <row r="732" spans="1:37" ht="15" customHeight="1" x14ac:dyDescent="0.35">
      <c r="A732">
        <v>690929</v>
      </c>
      <c r="B732" t="s">
        <v>37</v>
      </c>
      <c r="C732" t="s">
        <v>38</v>
      </c>
      <c r="D732" s="9" t="s">
        <v>39</v>
      </c>
      <c r="E732" s="10" t="s">
        <v>37</v>
      </c>
      <c r="F732" s="11"/>
      <c r="G732" t="s">
        <v>2244</v>
      </c>
      <c r="I732" t="s">
        <v>41</v>
      </c>
      <c r="J732" t="s">
        <v>2245</v>
      </c>
      <c r="K732" t="s">
        <v>43</v>
      </c>
      <c r="L732">
        <v>2</v>
      </c>
      <c r="M732" t="s">
        <v>44</v>
      </c>
      <c r="N732" t="s">
        <v>45</v>
      </c>
      <c r="O732" t="s">
        <v>46</v>
      </c>
      <c r="P732" s="5">
        <v>4</v>
      </c>
      <c r="Q732" s="12">
        <v>44768.694675925923</v>
      </c>
      <c r="R732" s="13">
        <v>44770</v>
      </c>
      <c r="T732" t="s">
        <v>47</v>
      </c>
      <c r="U732" t="s">
        <v>48</v>
      </c>
      <c r="V732" t="s">
        <v>85</v>
      </c>
      <c r="Y732" t="s">
        <v>2246</v>
      </c>
      <c r="Z732">
        <v>10990</v>
      </c>
      <c r="AA732" t="s">
        <v>47</v>
      </c>
      <c r="AB732" t="s">
        <v>2247</v>
      </c>
      <c r="AC732" t="s">
        <v>53</v>
      </c>
      <c r="AD732" s="16">
        <f>IF(P732&lt;=1,7,7+0.8*ROUNDUP(P732-1,0))</f>
        <v>9.4</v>
      </c>
      <c r="AE732" s="15">
        <v>0</v>
      </c>
      <c r="AF732" s="15">
        <v>0</v>
      </c>
      <c r="AG732" s="15">
        <v>0</v>
      </c>
      <c r="AH732" s="15">
        <v>0</v>
      </c>
      <c r="AI732" s="15">
        <f t="shared" si="85"/>
        <v>0.56399999999999995</v>
      </c>
      <c r="AJ732" s="15">
        <f t="shared" si="86"/>
        <v>9.9640000000000004</v>
      </c>
      <c r="AK732" t="s">
        <v>47</v>
      </c>
    </row>
    <row r="733" spans="1:37" ht="15" customHeight="1" x14ac:dyDescent="0.35">
      <c r="A733">
        <v>690929</v>
      </c>
      <c r="B733" t="s">
        <v>37</v>
      </c>
      <c r="C733" t="s">
        <v>38</v>
      </c>
      <c r="D733" s="9" t="s">
        <v>39</v>
      </c>
      <c r="E733" s="10" t="s">
        <v>37</v>
      </c>
      <c r="F733" s="11"/>
      <c r="G733" t="s">
        <v>2248</v>
      </c>
      <c r="I733" t="s">
        <v>41</v>
      </c>
      <c r="J733" t="s">
        <v>2249</v>
      </c>
      <c r="K733" t="s">
        <v>43</v>
      </c>
      <c r="L733">
        <v>2</v>
      </c>
      <c r="M733" t="s">
        <v>44</v>
      </c>
      <c r="N733" t="s">
        <v>45</v>
      </c>
      <c r="O733" t="s">
        <v>46</v>
      </c>
      <c r="P733" s="5">
        <v>1</v>
      </c>
      <c r="Q733" s="12">
        <v>44766.725497685184</v>
      </c>
      <c r="R733" s="13">
        <v>44770</v>
      </c>
      <c r="T733" t="s">
        <v>47</v>
      </c>
      <c r="U733" t="s">
        <v>48</v>
      </c>
      <c r="V733" t="s">
        <v>138</v>
      </c>
      <c r="Y733" t="s">
        <v>2250</v>
      </c>
      <c r="Z733">
        <v>71800</v>
      </c>
      <c r="AA733" t="s">
        <v>47</v>
      </c>
      <c r="AB733" t="s">
        <v>64</v>
      </c>
      <c r="AC733" t="s">
        <v>53</v>
      </c>
      <c r="AD733" s="16">
        <f t="shared" ref="AD733:AD761" si="88">IF(P733&lt;=1,7,7+0.8*ROUNDUP(P733-1,0))</f>
        <v>7</v>
      </c>
      <c r="AE733" s="15">
        <v>0</v>
      </c>
      <c r="AF733" s="15">
        <v>0</v>
      </c>
      <c r="AG733" s="15">
        <v>0</v>
      </c>
      <c r="AH733" s="15">
        <v>0</v>
      </c>
      <c r="AI733" s="15">
        <f t="shared" si="85"/>
        <v>0.42</v>
      </c>
      <c r="AJ733" s="15">
        <f t="shared" si="86"/>
        <v>7.42</v>
      </c>
      <c r="AK733" t="s">
        <v>47</v>
      </c>
    </row>
    <row r="734" spans="1:37" ht="15" customHeight="1" x14ac:dyDescent="0.35">
      <c r="A734">
        <v>690929</v>
      </c>
      <c r="B734" t="s">
        <v>37</v>
      </c>
      <c r="C734" t="s">
        <v>38</v>
      </c>
      <c r="D734" s="9" t="s">
        <v>39</v>
      </c>
      <c r="E734" s="10" t="s">
        <v>37</v>
      </c>
      <c r="F734" s="11"/>
      <c r="G734" t="s">
        <v>2251</v>
      </c>
      <c r="I734" t="s">
        <v>41</v>
      </c>
      <c r="J734" t="s">
        <v>2252</v>
      </c>
      <c r="K734" t="s">
        <v>43</v>
      </c>
      <c r="L734">
        <v>2</v>
      </c>
      <c r="M734" t="s">
        <v>44</v>
      </c>
      <c r="N734" t="s">
        <v>45</v>
      </c>
      <c r="O734" t="s">
        <v>46</v>
      </c>
      <c r="P734" s="5">
        <v>1</v>
      </c>
      <c r="Q734" s="12">
        <v>44766.605925925927</v>
      </c>
      <c r="R734" s="13">
        <v>44770</v>
      </c>
      <c r="T734" t="s">
        <v>47</v>
      </c>
      <c r="U734" t="s">
        <v>48</v>
      </c>
      <c r="V734" t="s">
        <v>85</v>
      </c>
      <c r="Y734" t="s">
        <v>2253</v>
      </c>
      <c r="Z734">
        <v>11950</v>
      </c>
      <c r="AA734" t="s">
        <v>47</v>
      </c>
      <c r="AB734" t="s">
        <v>64</v>
      </c>
      <c r="AC734" t="s">
        <v>53</v>
      </c>
      <c r="AD734" s="16">
        <f t="shared" si="88"/>
        <v>7</v>
      </c>
      <c r="AE734" s="15">
        <v>0</v>
      </c>
      <c r="AF734" s="15">
        <v>0</v>
      </c>
      <c r="AG734" s="15">
        <v>0</v>
      </c>
      <c r="AH734" s="15">
        <v>0</v>
      </c>
      <c r="AI734" s="15">
        <f t="shared" si="85"/>
        <v>0.42</v>
      </c>
      <c r="AJ734" s="15">
        <f t="shared" si="86"/>
        <v>7.42</v>
      </c>
      <c r="AK734" t="s">
        <v>47</v>
      </c>
    </row>
    <row r="735" spans="1:37" ht="15" customHeight="1" x14ac:dyDescent="0.35">
      <c r="A735">
        <v>690929</v>
      </c>
      <c r="B735" t="s">
        <v>37</v>
      </c>
      <c r="C735" t="s">
        <v>38</v>
      </c>
      <c r="D735" s="9" t="s">
        <v>39</v>
      </c>
      <c r="E735" s="10" t="s">
        <v>37</v>
      </c>
      <c r="F735" s="11"/>
      <c r="G735" t="s">
        <v>2254</v>
      </c>
      <c r="I735" t="s">
        <v>41</v>
      </c>
      <c r="J735" t="s">
        <v>2255</v>
      </c>
      <c r="K735" t="s">
        <v>43</v>
      </c>
      <c r="L735">
        <v>2</v>
      </c>
      <c r="M735" t="s">
        <v>44</v>
      </c>
      <c r="N735" t="s">
        <v>45</v>
      </c>
      <c r="O735" t="s">
        <v>46</v>
      </c>
      <c r="P735" s="5">
        <v>1</v>
      </c>
      <c r="Q735" s="12">
        <v>44767.745208333334</v>
      </c>
      <c r="R735" s="13">
        <v>44770</v>
      </c>
      <c r="T735" t="s">
        <v>47</v>
      </c>
      <c r="U735" t="s">
        <v>48</v>
      </c>
      <c r="V735" t="s">
        <v>96</v>
      </c>
      <c r="Y735" t="s">
        <v>2256</v>
      </c>
      <c r="Z735">
        <v>18300</v>
      </c>
      <c r="AA735" t="s">
        <v>47</v>
      </c>
      <c r="AB735" t="s">
        <v>64</v>
      </c>
      <c r="AC735" t="s">
        <v>53</v>
      </c>
      <c r="AD735" s="16">
        <f t="shared" si="88"/>
        <v>7</v>
      </c>
      <c r="AE735" s="15">
        <v>0</v>
      </c>
      <c r="AF735" s="15">
        <v>0</v>
      </c>
      <c r="AG735" s="15">
        <v>0</v>
      </c>
      <c r="AH735" s="15">
        <v>0</v>
      </c>
      <c r="AI735" s="15">
        <f t="shared" si="85"/>
        <v>0.42</v>
      </c>
      <c r="AJ735" s="15">
        <f t="shared" si="86"/>
        <v>7.42</v>
      </c>
      <c r="AK735" t="s">
        <v>47</v>
      </c>
    </row>
    <row r="736" spans="1:37" ht="15" customHeight="1" x14ac:dyDescent="0.35">
      <c r="A736">
        <v>690929</v>
      </c>
      <c r="B736" t="s">
        <v>37</v>
      </c>
      <c r="C736" t="s">
        <v>38</v>
      </c>
      <c r="D736" s="9" t="s">
        <v>39</v>
      </c>
      <c r="E736" s="10" t="s">
        <v>37</v>
      </c>
      <c r="F736" s="11"/>
      <c r="G736" t="s">
        <v>2257</v>
      </c>
      <c r="I736" t="s">
        <v>41</v>
      </c>
      <c r="J736" t="s">
        <v>242</v>
      </c>
      <c r="K736" t="s">
        <v>43</v>
      </c>
      <c r="L736">
        <v>2</v>
      </c>
      <c r="M736" t="s">
        <v>44</v>
      </c>
      <c r="N736" t="s">
        <v>45</v>
      </c>
      <c r="O736" t="s">
        <v>46</v>
      </c>
      <c r="P736" s="5">
        <v>7</v>
      </c>
      <c r="Q736" s="12">
        <v>44769.437442129631</v>
      </c>
      <c r="R736" s="13">
        <v>44770</v>
      </c>
      <c r="T736" t="s">
        <v>47</v>
      </c>
      <c r="U736" t="s">
        <v>48</v>
      </c>
      <c r="V736" t="s">
        <v>114</v>
      </c>
      <c r="Y736" t="s">
        <v>243</v>
      </c>
      <c r="Z736">
        <v>45200</v>
      </c>
      <c r="AA736" t="s">
        <v>47</v>
      </c>
      <c r="AB736" t="s">
        <v>1777</v>
      </c>
      <c r="AC736" t="s">
        <v>53</v>
      </c>
      <c r="AD736" s="16">
        <f t="shared" si="88"/>
        <v>11.8</v>
      </c>
      <c r="AE736" s="15">
        <v>0</v>
      </c>
      <c r="AF736" s="15">
        <v>0</v>
      </c>
      <c r="AG736" s="15">
        <v>0</v>
      </c>
      <c r="AH736" s="15">
        <v>0</v>
      </c>
      <c r="AI736" s="15">
        <f t="shared" si="85"/>
        <v>0.70799999999999996</v>
      </c>
      <c r="AJ736" s="15">
        <f t="shared" si="86"/>
        <v>12.508000000000001</v>
      </c>
      <c r="AK736" t="s">
        <v>47</v>
      </c>
    </row>
    <row r="737" spans="1:37" ht="15" customHeight="1" x14ac:dyDescent="0.35">
      <c r="A737">
        <v>690929</v>
      </c>
      <c r="B737" t="s">
        <v>37</v>
      </c>
      <c r="C737" t="s">
        <v>38</v>
      </c>
      <c r="D737" s="9" t="s">
        <v>39</v>
      </c>
      <c r="E737" s="10" t="s">
        <v>37</v>
      </c>
      <c r="F737" s="11"/>
      <c r="G737" t="s">
        <v>2258</v>
      </c>
      <c r="I737" t="s">
        <v>41</v>
      </c>
      <c r="J737" t="s">
        <v>2259</v>
      </c>
      <c r="K737" t="s">
        <v>43</v>
      </c>
      <c r="L737">
        <v>2</v>
      </c>
      <c r="M737" t="s">
        <v>44</v>
      </c>
      <c r="N737" t="s">
        <v>45</v>
      </c>
      <c r="O737" t="s">
        <v>46</v>
      </c>
      <c r="P737" s="5">
        <v>3</v>
      </c>
      <c r="Q737" s="12">
        <v>44768.523113425923</v>
      </c>
      <c r="R737" s="13">
        <v>44770</v>
      </c>
      <c r="T737" t="s">
        <v>47</v>
      </c>
      <c r="U737" t="s">
        <v>48</v>
      </c>
      <c r="V737" t="s">
        <v>100</v>
      </c>
      <c r="Y737" t="s">
        <v>2260</v>
      </c>
      <c r="Z737">
        <v>36000</v>
      </c>
      <c r="AA737" t="s">
        <v>47</v>
      </c>
      <c r="AB737" t="s">
        <v>1807</v>
      </c>
      <c r="AC737" t="s">
        <v>53</v>
      </c>
      <c r="AD737" s="16">
        <f t="shared" si="88"/>
        <v>8.6</v>
      </c>
      <c r="AE737" s="15">
        <v>0</v>
      </c>
      <c r="AF737" s="15">
        <v>0</v>
      </c>
      <c r="AG737" s="15">
        <v>0</v>
      </c>
      <c r="AH737" s="15">
        <v>0</v>
      </c>
      <c r="AI737" s="15">
        <f t="shared" si="85"/>
        <v>0.51600000000000001</v>
      </c>
      <c r="AJ737" s="15">
        <f t="shared" si="86"/>
        <v>9.1159999999999997</v>
      </c>
      <c r="AK737" t="s">
        <v>47</v>
      </c>
    </row>
    <row r="738" spans="1:37" ht="15" customHeight="1" x14ac:dyDescent="0.35">
      <c r="A738">
        <v>690929</v>
      </c>
      <c r="B738" t="s">
        <v>37</v>
      </c>
      <c r="C738" t="s">
        <v>38</v>
      </c>
      <c r="D738" s="9" t="s">
        <v>39</v>
      </c>
      <c r="E738" s="10" t="s">
        <v>37</v>
      </c>
      <c r="F738" s="11"/>
      <c r="G738" t="s">
        <v>2261</v>
      </c>
      <c r="I738" t="s">
        <v>41</v>
      </c>
      <c r="J738" t="s">
        <v>2262</v>
      </c>
      <c r="K738" t="s">
        <v>43</v>
      </c>
      <c r="L738">
        <v>2</v>
      </c>
      <c r="M738" t="s">
        <v>44</v>
      </c>
      <c r="N738" t="s">
        <v>45</v>
      </c>
      <c r="O738" t="s">
        <v>46</v>
      </c>
      <c r="P738" s="5">
        <v>1</v>
      </c>
      <c r="Q738" s="12">
        <v>44768.516863425924</v>
      </c>
      <c r="R738" s="13">
        <v>44770</v>
      </c>
      <c r="T738" t="s">
        <v>47</v>
      </c>
      <c r="U738" t="s">
        <v>48</v>
      </c>
      <c r="V738" t="s">
        <v>138</v>
      </c>
      <c r="Y738" t="s">
        <v>2263</v>
      </c>
      <c r="Z738">
        <v>71950</v>
      </c>
      <c r="AA738" t="s">
        <v>47</v>
      </c>
      <c r="AB738" t="s">
        <v>64</v>
      </c>
      <c r="AC738" t="s">
        <v>53</v>
      </c>
      <c r="AD738" s="16">
        <f t="shared" si="88"/>
        <v>7</v>
      </c>
      <c r="AE738" s="15">
        <v>0</v>
      </c>
      <c r="AF738" s="15">
        <v>0</v>
      </c>
      <c r="AG738" s="15">
        <v>0</v>
      </c>
      <c r="AH738" s="15">
        <v>0</v>
      </c>
      <c r="AI738" s="15">
        <f t="shared" si="85"/>
        <v>0.42</v>
      </c>
      <c r="AJ738" s="15">
        <f t="shared" si="86"/>
        <v>7.42</v>
      </c>
      <c r="AK738" t="s">
        <v>47</v>
      </c>
    </row>
    <row r="739" spans="1:37" ht="15" customHeight="1" x14ac:dyDescent="0.35">
      <c r="A739">
        <v>690929</v>
      </c>
      <c r="B739" t="s">
        <v>37</v>
      </c>
      <c r="C739" t="s">
        <v>38</v>
      </c>
      <c r="D739" s="9" t="s">
        <v>39</v>
      </c>
      <c r="E739" s="10" t="s">
        <v>37</v>
      </c>
      <c r="F739" s="11"/>
      <c r="G739" t="s">
        <v>2264</v>
      </c>
      <c r="I739" t="s">
        <v>41</v>
      </c>
      <c r="J739" t="s">
        <v>2265</v>
      </c>
      <c r="K739" t="s">
        <v>43</v>
      </c>
      <c r="L739">
        <v>2</v>
      </c>
      <c r="M739" t="s">
        <v>44</v>
      </c>
      <c r="N739" t="s">
        <v>45</v>
      </c>
      <c r="O739" t="s">
        <v>46</v>
      </c>
      <c r="P739" s="5">
        <v>3</v>
      </c>
      <c r="Q739" s="12">
        <v>44769.455879629626</v>
      </c>
      <c r="R739" s="13">
        <v>44770</v>
      </c>
      <c r="T739" t="s">
        <v>47</v>
      </c>
      <c r="U739" t="s">
        <v>48</v>
      </c>
      <c r="V739" t="s">
        <v>114</v>
      </c>
      <c r="Y739" t="s">
        <v>2266</v>
      </c>
      <c r="Z739">
        <v>62150</v>
      </c>
      <c r="AA739" t="s">
        <v>47</v>
      </c>
      <c r="AB739" t="s">
        <v>2267</v>
      </c>
      <c r="AC739" t="s">
        <v>53</v>
      </c>
      <c r="AD739" s="16">
        <f t="shared" si="88"/>
        <v>8.6</v>
      </c>
      <c r="AE739" s="15">
        <v>0</v>
      </c>
      <c r="AF739" s="15">
        <v>0</v>
      </c>
      <c r="AG739" s="15">
        <v>0</v>
      </c>
      <c r="AH739" s="15">
        <v>0</v>
      </c>
      <c r="AI739" s="15">
        <f t="shared" si="85"/>
        <v>0.51600000000000001</v>
      </c>
      <c r="AJ739" s="15">
        <f t="shared" si="86"/>
        <v>9.1159999999999997</v>
      </c>
      <c r="AK739" t="s">
        <v>47</v>
      </c>
    </row>
    <row r="740" spans="1:37" ht="15" customHeight="1" x14ac:dyDescent="0.35">
      <c r="A740">
        <v>690929</v>
      </c>
      <c r="B740" t="s">
        <v>37</v>
      </c>
      <c r="C740" t="s">
        <v>38</v>
      </c>
      <c r="D740" s="9" t="s">
        <v>39</v>
      </c>
      <c r="E740" s="10" t="s">
        <v>37</v>
      </c>
      <c r="F740" s="11"/>
      <c r="G740" t="s">
        <v>2268</v>
      </c>
      <c r="I740" t="s">
        <v>41</v>
      </c>
      <c r="J740" t="s">
        <v>2269</v>
      </c>
      <c r="K740" t="s">
        <v>43</v>
      </c>
      <c r="L740">
        <v>2</v>
      </c>
      <c r="M740" t="s">
        <v>44</v>
      </c>
      <c r="N740" t="s">
        <v>45</v>
      </c>
      <c r="O740" t="s">
        <v>46</v>
      </c>
      <c r="P740" s="5">
        <v>1</v>
      </c>
      <c r="Q740" s="12">
        <v>44768.629953703705</v>
      </c>
      <c r="R740" s="13">
        <v>44770</v>
      </c>
      <c r="T740" t="s">
        <v>47</v>
      </c>
      <c r="U740" t="s">
        <v>48</v>
      </c>
      <c r="V740" t="s">
        <v>62</v>
      </c>
      <c r="Y740" t="s">
        <v>2270</v>
      </c>
      <c r="Z740">
        <v>85040</v>
      </c>
      <c r="AA740" t="s">
        <v>47</v>
      </c>
      <c r="AB740" t="s">
        <v>64</v>
      </c>
      <c r="AC740" t="s">
        <v>53</v>
      </c>
      <c r="AD740" s="16">
        <f t="shared" si="88"/>
        <v>7</v>
      </c>
      <c r="AE740" s="15">
        <v>0</v>
      </c>
      <c r="AF740" s="15">
        <v>0</v>
      </c>
      <c r="AG740" s="15">
        <v>0</v>
      </c>
      <c r="AH740" s="15">
        <v>0</v>
      </c>
      <c r="AI740" s="15">
        <f t="shared" si="85"/>
        <v>0.42</v>
      </c>
      <c r="AJ740" s="15">
        <f t="shared" si="86"/>
        <v>7.42</v>
      </c>
      <c r="AK740" t="s">
        <v>47</v>
      </c>
    </row>
    <row r="741" spans="1:37" ht="15" customHeight="1" x14ac:dyDescent="0.35">
      <c r="A741">
        <v>690929</v>
      </c>
      <c r="B741" t="s">
        <v>37</v>
      </c>
      <c r="C741" t="s">
        <v>38</v>
      </c>
      <c r="D741" s="9" t="s">
        <v>39</v>
      </c>
      <c r="E741" s="10" t="s">
        <v>37</v>
      </c>
      <c r="F741" s="11"/>
      <c r="G741" t="s">
        <v>2271</v>
      </c>
      <c r="I741" t="s">
        <v>41</v>
      </c>
      <c r="J741" t="s">
        <v>2272</v>
      </c>
      <c r="K741" t="s">
        <v>43</v>
      </c>
      <c r="L741">
        <v>2</v>
      </c>
      <c r="M741" t="s">
        <v>44</v>
      </c>
      <c r="N741" t="s">
        <v>45</v>
      </c>
      <c r="O741" t="s">
        <v>46</v>
      </c>
      <c r="P741" s="5">
        <v>4</v>
      </c>
      <c r="Q741" s="12">
        <v>44769.444976851853</v>
      </c>
      <c r="R741" s="13">
        <v>44770</v>
      </c>
      <c r="T741" t="s">
        <v>47</v>
      </c>
      <c r="U741" t="s">
        <v>48</v>
      </c>
      <c r="V741" t="s">
        <v>128</v>
      </c>
      <c r="Y741" t="s">
        <v>2273</v>
      </c>
      <c r="Z741">
        <v>46350</v>
      </c>
      <c r="AA741" t="s">
        <v>47</v>
      </c>
      <c r="AB741" t="s">
        <v>1785</v>
      </c>
      <c r="AC741" t="s">
        <v>53</v>
      </c>
      <c r="AD741" s="16">
        <f t="shared" si="88"/>
        <v>9.4</v>
      </c>
      <c r="AE741" s="15">
        <v>0</v>
      </c>
      <c r="AF741" s="15">
        <v>0</v>
      </c>
      <c r="AG741" s="15">
        <v>0</v>
      </c>
      <c r="AH741" s="15">
        <v>0</v>
      </c>
      <c r="AI741" s="15">
        <f t="shared" si="85"/>
        <v>0.56399999999999995</v>
      </c>
      <c r="AJ741" s="15">
        <f t="shared" si="86"/>
        <v>9.9640000000000004</v>
      </c>
      <c r="AK741" t="s">
        <v>47</v>
      </c>
    </row>
    <row r="742" spans="1:37" ht="15" customHeight="1" x14ac:dyDescent="0.35">
      <c r="A742">
        <v>690929</v>
      </c>
      <c r="B742" t="s">
        <v>37</v>
      </c>
      <c r="C742" t="s">
        <v>38</v>
      </c>
      <c r="D742" s="9" t="s">
        <v>39</v>
      </c>
      <c r="E742" s="10" t="s">
        <v>37</v>
      </c>
      <c r="F742" s="11"/>
      <c r="G742" t="s">
        <v>2274</v>
      </c>
      <c r="I742" t="s">
        <v>41</v>
      </c>
      <c r="J742" t="s">
        <v>2275</v>
      </c>
      <c r="K742" t="s">
        <v>43</v>
      </c>
      <c r="L742">
        <v>2</v>
      </c>
      <c r="M742" t="s">
        <v>44</v>
      </c>
      <c r="N742" t="s">
        <v>45</v>
      </c>
      <c r="O742" t="s">
        <v>46</v>
      </c>
      <c r="P742" s="5">
        <v>1</v>
      </c>
      <c r="Q742" s="12">
        <v>44767.724317129629</v>
      </c>
      <c r="R742" s="13">
        <v>44770</v>
      </c>
      <c r="T742" t="s">
        <v>47</v>
      </c>
      <c r="U742" t="s">
        <v>48</v>
      </c>
      <c r="V742" t="s">
        <v>71</v>
      </c>
      <c r="Y742" t="s">
        <v>2276</v>
      </c>
      <c r="Z742">
        <v>9400</v>
      </c>
      <c r="AA742" t="s">
        <v>47</v>
      </c>
      <c r="AB742" t="s">
        <v>64</v>
      </c>
      <c r="AC742" t="s">
        <v>53</v>
      </c>
      <c r="AD742" s="16">
        <f t="shared" si="88"/>
        <v>7</v>
      </c>
      <c r="AE742" s="15">
        <v>0</v>
      </c>
      <c r="AF742" s="15">
        <v>0</v>
      </c>
      <c r="AG742" s="15">
        <v>0</v>
      </c>
      <c r="AH742" s="15">
        <v>0</v>
      </c>
      <c r="AI742" s="15">
        <f t="shared" si="85"/>
        <v>0.42</v>
      </c>
      <c r="AJ742" s="15">
        <f t="shared" si="86"/>
        <v>7.42</v>
      </c>
      <c r="AK742" t="s">
        <v>47</v>
      </c>
    </row>
    <row r="743" spans="1:37" ht="15" customHeight="1" x14ac:dyDescent="0.35">
      <c r="A743">
        <v>690929</v>
      </c>
      <c r="B743" t="s">
        <v>37</v>
      </c>
      <c r="C743" t="s">
        <v>38</v>
      </c>
      <c r="D743" s="9" t="s">
        <v>39</v>
      </c>
      <c r="E743" s="10" t="s">
        <v>37</v>
      </c>
      <c r="F743" s="11"/>
      <c r="G743" t="s">
        <v>2277</v>
      </c>
      <c r="I743" t="s">
        <v>41</v>
      </c>
      <c r="J743" t="s">
        <v>843</v>
      </c>
      <c r="K743" t="s">
        <v>43</v>
      </c>
      <c r="L743">
        <v>2</v>
      </c>
      <c r="M743" t="s">
        <v>44</v>
      </c>
      <c r="N743" t="s">
        <v>45</v>
      </c>
      <c r="O743" t="s">
        <v>46</v>
      </c>
      <c r="P743" s="5">
        <v>19</v>
      </c>
      <c r="Q743" s="12">
        <v>44769.450486111113</v>
      </c>
      <c r="R743" s="13">
        <v>44770</v>
      </c>
      <c r="T743" t="s">
        <v>47</v>
      </c>
      <c r="U743" t="s">
        <v>48</v>
      </c>
      <c r="V743" t="s">
        <v>114</v>
      </c>
      <c r="Y743" t="s">
        <v>846</v>
      </c>
      <c r="Z743">
        <v>42000</v>
      </c>
      <c r="AA743" t="s">
        <v>47</v>
      </c>
      <c r="AB743" t="s">
        <v>2243</v>
      </c>
      <c r="AC743" t="s">
        <v>53</v>
      </c>
      <c r="AD743" s="16">
        <f t="shared" si="88"/>
        <v>21.4</v>
      </c>
      <c r="AE743" s="15">
        <v>0</v>
      </c>
      <c r="AF743" s="15">
        <v>0</v>
      </c>
      <c r="AG743" s="15">
        <v>0</v>
      </c>
      <c r="AH743" s="15">
        <v>0</v>
      </c>
      <c r="AI743" s="15">
        <f t="shared" si="85"/>
        <v>1.2839999999999998</v>
      </c>
      <c r="AJ743" s="15">
        <f t="shared" si="86"/>
        <v>22.683999999999997</v>
      </c>
      <c r="AK743" t="s">
        <v>47</v>
      </c>
    </row>
    <row r="744" spans="1:37" ht="15" customHeight="1" x14ac:dyDescent="0.35">
      <c r="A744">
        <v>690929</v>
      </c>
      <c r="B744" t="s">
        <v>37</v>
      </c>
      <c r="C744" t="s">
        <v>38</v>
      </c>
      <c r="D744" s="9" t="s">
        <v>39</v>
      </c>
      <c r="E744" s="10" t="s">
        <v>37</v>
      </c>
      <c r="F744" s="11"/>
      <c r="G744" t="s">
        <v>2278</v>
      </c>
      <c r="I744" t="s">
        <v>41</v>
      </c>
      <c r="J744" t="s">
        <v>2279</v>
      </c>
      <c r="K744" t="s">
        <v>43</v>
      </c>
      <c r="L744">
        <v>2</v>
      </c>
      <c r="M744" t="s">
        <v>44</v>
      </c>
      <c r="N744" t="s">
        <v>45</v>
      </c>
      <c r="O744" t="s">
        <v>46</v>
      </c>
      <c r="P744" s="5">
        <v>5</v>
      </c>
      <c r="Q744" s="12">
        <v>44768.417500000003</v>
      </c>
      <c r="R744" s="13">
        <v>44770</v>
      </c>
      <c r="T744" t="s">
        <v>47</v>
      </c>
      <c r="U744" t="s">
        <v>48</v>
      </c>
      <c r="V744" t="s">
        <v>96</v>
      </c>
      <c r="Y744" t="s">
        <v>2280</v>
      </c>
      <c r="Z744">
        <v>18300</v>
      </c>
      <c r="AA744" t="s">
        <v>47</v>
      </c>
      <c r="AB744" t="s">
        <v>225</v>
      </c>
      <c r="AC744" t="s">
        <v>53</v>
      </c>
      <c r="AD744" s="16">
        <f t="shared" si="88"/>
        <v>10.199999999999999</v>
      </c>
      <c r="AE744" s="15">
        <v>0</v>
      </c>
      <c r="AF744" s="15">
        <v>0</v>
      </c>
      <c r="AG744" s="15">
        <v>0</v>
      </c>
      <c r="AH744" s="15">
        <v>0</v>
      </c>
      <c r="AI744" s="15">
        <f t="shared" si="85"/>
        <v>0.61199999999999999</v>
      </c>
      <c r="AJ744" s="15">
        <f t="shared" si="86"/>
        <v>10.811999999999999</v>
      </c>
      <c r="AK744" t="s">
        <v>47</v>
      </c>
    </row>
    <row r="745" spans="1:37" ht="15" customHeight="1" x14ac:dyDescent="0.35">
      <c r="A745">
        <v>690929</v>
      </c>
      <c r="B745" t="s">
        <v>37</v>
      </c>
      <c r="C745" t="s">
        <v>38</v>
      </c>
      <c r="D745" s="9" t="s">
        <v>39</v>
      </c>
      <c r="E745" s="10" t="s">
        <v>37</v>
      </c>
      <c r="F745" s="11"/>
      <c r="G745" t="s">
        <v>2281</v>
      </c>
      <c r="I745" t="s">
        <v>41</v>
      </c>
      <c r="J745" t="s">
        <v>2282</v>
      </c>
      <c r="K745" t="s">
        <v>43</v>
      </c>
      <c r="L745">
        <v>2</v>
      </c>
      <c r="M745" t="s">
        <v>44</v>
      </c>
      <c r="N745" t="s">
        <v>45</v>
      </c>
      <c r="O745" t="s">
        <v>46</v>
      </c>
      <c r="P745" s="5">
        <v>1</v>
      </c>
      <c r="Q745" s="12">
        <v>44767.748819444445</v>
      </c>
      <c r="R745" s="13">
        <v>44770</v>
      </c>
      <c r="T745" t="s">
        <v>47</v>
      </c>
      <c r="U745" t="s">
        <v>48</v>
      </c>
      <c r="V745" t="s">
        <v>128</v>
      </c>
      <c r="Y745" t="s">
        <v>2283</v>
      </c>
      <c r="Z745">
        <v>50050</v>
      </c>
      <c r="AA745" t="s">
        <v>47</v>
      </c>
      <c r="AB745" t="s">
        <v>64</v>
      </c>
      <c r="AC745" t="s">
        <v>53</v>
      </c>
      <c r="AD745" s="16">
        <f t="shared" si="88"/>
        <v>7</v>
      </c>
      <c r="AE745" s="15">
        <v>0</v>
      </c>
      <c r="AF745" s="15">
        <v>0</v>
      </c>
      <c r="AG745" s="15">
        <v>0</v>
      </c>
      <c r="AH745" s="15">
        <v>0</v>
      </c>
      <c r="AI745" s="15">
        <f t="shared" si="85"/>
        <v>0.42</v>
      </c>
      <c r="AJ745" s="15">
        <f t="shared" si="86"/>
        <v>7.42</v>
      </c>
      <c r="AK745" t="s">
        <v>47</v>
      </c>
    </row>
    <row r="746" spans="1:37" ht="15" customHeight="1" x14ac:dyDescent="0.35">
      <c r="A746">
        <v>690929</v>
      </c>
      <c r="B746" t="s">
        <v>37</v>
      </c>
      <c r="C746" t="s">
        <v>38</v>
      </c>
      <c r="D746" s="9" t="s">
        <v>39</v>
      </c>
      <c r="E746" s="10" t="s">
        <v>37</v>
      </c>
      <c r="F746" s="11"/>
      <c r="G746" t="s">
        <v>2284</v>
      </c>
      <c r="I746" t="s">
        <v>41</v>
      </c>
      <c r="J746" t="s">
        <v>2285</v>
      </c>
      <c r="K746" t="s">
        <v>43</v>
      </c>
      <c r="L746">
        <v>2</v>
      </c>
      <c r="M746" t="s">
        <v>44</v>
      </c>
      <c r="N746" t="s">
        <v>45</v>
      </c>
      <c r="O746" t="s">
        <v>46</v>
      </c>
      <c r="P746" s="5">
        <v>1</v>
      </c>
      <c r="Q746" s="12">
        <v>44767.746828703705</v>
      </c>
      <c r="R746" s="13">
        <v>44770</v>
      </c>
      <c r="T746" t="s">
        <v>47</v>
      </c>
      <c r="U746" t="s">
        <v>48</v>
      </c>
      <c r="V746" t="s">
        <v>100</v>
      </c>
      <c r="Y746" t="s">
        <v>2286</v>
      </c>
      <c r="Z746">
        <v>32100</v>
      </c>
      <c r="AA746" t="s">
        <v>47</v>
      </c>
      <c r="AB746" t="s">
        <v>64</v>
      </c>
      <c r="AC746" t="s">
        <v>53</v>
      </c>
      <c r="AD746" s="16">
        <f t="shared" si="88"/>
        <v>7</v>
      </c>
      <c r="AE746" s="15">
        <v>0</v>
      </c>
      <c r="AF746" s="15">
        <v>0</v>
      </c>
      <c r="AG746" s="15">
        <v>0</v>
      </c>
      <c r="AH746" s="15">
        <v>0</v>
      </c>
      <c r="AI746" s="15">
        <f t="shared" si="85"/>
        <v>0.42</v>
      </c>
      <c r="AJ746" s="15">
        <f t="shared" si="86"/>
        <v>7.42</v>
      </c>
      <c r="AK746" t="s">
        <v>47</v>
      </c>
    </row>
    <row r="747" spans="1:37" ht="15" customHeight="1" x14ac:dyDescent="0.35">
      <c r="A747">
        <v>690929</v>
      </c>
      <c r="B747" t="s">
        <v>37</v>
      </c>
      <c r="C747" t="s">
        <v>38</v>
      </c>
      <c r="D747" s="9" t="s">
        <v>39</v>
      </c>
      <c r="E747" s="10" t="s">
        <v>37</v>
      </c>
      <c r="F747" s="11"/>
      <c r="G747" t="s">
        <v>2287</v>
      </c>
      <c r="I747" t="s">
        <v>41</v>
      </c>
      <c r="J747" t="s">
        <v>2288</v>
      </c>
      <c r="K747" t="s">
        <v>43</v>
      </c>
      <c r="L747">
        <v>2</v>
      </c>
      <c r="M747" t="s">
        <v>44</v>
      </c>
      <c r="N747" t="s">
        <v>45</v>
      </c>
      <c r="O747" t="s">
        <v>46</v>
      </c>
      <c r="P747" s="5">
        <v>5</v>
      </c>
      <c r="Q747" s="12">
        <v>44769.565833333334</v>
      </c>
      <c r="R747" s="13">
        <v>44770</v>
      </c>
      <c r="T747" t="s">
        <v>47</v>
      </c>
      <c r="U747" t="s">
        <v>48</v>
      </c>
      <c r="V747" t="s">
        <v>114</v>
      </c>
      <c r="Y747" t="s">
        <v>2289</v>
      </c>
      <c r="Z747">
        <v>54200</v>
      </c>
      <c r="AA747" t="s">
        <v>47</v>
      </c>
      <c r="AB747" t="s">
        <v>2290</v>
      </c>
      <c r="AC747" t="s">
        <v>53</v>
      </c>
      <c r="AD747" s="16">
        <f t="shared" si="88"/>
        <v>10.199999999999999</v>
      </c>
      <c r="AE747" s="15">
        <v>0</v>
      </c>
      <c r="AF747" s="15">
        <v>0</v>
      </c>
      <c r="AG747" s="15">
        <v>0</v>
      </c>
      <c r="AH747" s="15">
        <v>0</v>
      </c>
      <c r="AI747" s="15">
        <f t="shared" si="85"/>
        <v>0.61199999999999999</v>
      </c>
      <c r="AJ747" s="15">
        <f t="shared" si="86"/>
        <v>10.811999999999999</v>
      </c>
      <c r="AK747" t="s">
        <v>47</v>
      </c>
    </row>
    <row r="748" spans="1:37" ht="15" customHeight="1" x14ac:dyDescent="0.35">
      <c r="A748">
        <v>690929</v>
      </c>
      <c r="B748" t="s">
        <v>37</v>
      </c>
      <c r="C748" t="s">
        <v>38</v>
      </c>
      <c r="D748" s="9" t="s">
        <v>39</v>
      </c>
      <c r="E748" s="10" t="s">
        <v>37</v>
      </c>
      <c r="F748" s="11"/>
      <c r="G748" t="s">
        <v>2291</v>
      </c>
      <c r="I748" t="s">
        <v>41</v>
      </c>
      <c r="J748" t="s">
        <v>855</v>
      </c>
      <c r="K748" t="s">
        <v>43</v>
      </c>
      <c r="L748">
        <v>2</v>
      </c>
      <c r="M748" t="s">
        <v>44</v>
      </c>
      <c r="N748" t="s">
        <v>45</v>
      </c>
      <c r="O748" t="s">
        <v>46</v>
      </c>
      <c r="P748" s="5">
        <v>13</v>
      </c>
      <c r="Q748" s="12">
        <v>44769.564212962963</v>
      </c>
      <c r="R748" s="13">
        <v>44770</v>
      </c>
      <c r="T748" t="s">
        <v>47</v>
      </c>
      <c r="U748" t="s">
        <v>48</v>
      </c>
      <c r="V748" t="s">
        <v>96</v>
      </c>
      <c r="Y748" t="s">
        <v>2292</v>
      </c>
      <c r="Z748">
        <v>18500</v>
      </c>
      <c r="AA748" t="s">
        <v>47</v>
      </c>
      <c r="AB748" t="s">
        <v>826</v>
      </c>
      <c r="AC748" t="s">
        <v>53</v>
      </c>
      <c r="AD748" s="16">
        <f t="shared" si="88"/>
        <v>16.600000000000001</v>
      </c>
      <c r="AE748" s="15">
        <v>0</v>
      </c>
      <c r="AF748" s="15">
        <v>0</v>
      </c>
      <c r="AG748" s="15">
        <v>0</v>
      </c>
      <c r="AH748" s="15">
        <v>0</v>
      </c>
      <c r="AI748" s="15">
        <f t="shared" si="85"/>
        <v>0.996</v>
      </c>
      <c r="AJ748" s="15">
        <f t="shared" si="86"/>
        <v>17.596</v>
      </c>
      <c r="AK748" t="s">
        <v>47</v>
      </c>
    </row>
    <row r="749" spans="1:37" ht="15" customHeight="1" x14ac:dyDescent="0.35">
      <c r="A749">
        <v>690929</v>
      </c>
      <c r="B749" t="s">
        <v>37</v>
      </c>
      <c r="C749" t="s">
        <v>38</v>
      </c>
      <c r="D749" s="9" t="s">
        <v>39</v>
      </c>
      <c r="E749" s="10" t="s">
        <v>37</v>
      </c>
      <c r="F749" s="11"/>
      <c r="G749" t="s">
        <v>2293</v>
      </c>
      <c r="I749" t="s">
        <v>41</v>
      </c>
      <c r="J749" t="s">
        <v>2294</v>
      </c>
      <c r="K749" t="s">
        <v>43</v>
      </c>
      <c r="L749">
        <v>2</v>
      </c>
      <c r="M749" t="s">
        <v>44</v>
      </c>
      <c r="N749" t="s">
        <v>45</v>
      </c>
      <c r="O749" t="s">
        <v>46</v>
      </c>
      <c r="P749" s="5">
        <v>3</v>
      </c>
      <c r="Q749" s="12">
        <v>44769.649710648147</v>
      </c>
      <c r="R749" s="13">
        <v>44770</v>
      </c>
      <c r="T749" t="s">
        <v>47</v>
      </c>
      <c r="U749" t="s">
        <v>48</v>
      </c>
      <c r="V749" t="s">
        <v>76</v>
      </c>
      <c r="Y749" t="s">
        <v>2295</v>
      </c>
      <c r="Z749">
        <v>22000</v>
      </c>
      <c r="AA749" t="s">
        <v>47</v>
      </c>
      <c r="AB749" t="s">
        <v>143</v>
      </c>
      <c r="AC749" t="s">
        <v>53</v>
      </c>
      <c r="AD749" s="16">
        <f t="shared" si="88"/>
        <v>8.6</v>
      </c>
      <c r="AE749" s="15">
        <v>0</v>
      </c>
      <c r="AF749" s="15">
        <v>0</v>
      </c>
      <c r="AG749" s="15">
        <v>0</v>
      </c>
      <c r="AH749" s="15">
        <v>0</v>
      </c>
      <c r="AI749" s="15">
        <f t="shared" si="85"/>
        <v>0.51600000000000001</v>
      </c>
      <c r="AJ749" s="15">
        <f t="shared" si="86"/>
        <v>9.1159999999999997</v>
      </c>
      <c r="AK749" t="s">
        <v>47</v>
      </c>
    </row>
    <row r="750" spans="1:37" ht="15" customHeight="1" x14ac:dyDescent="0.35">
      <c r="A750">
        <v>690929</v>
      </c>
      <c r="B750" t="s">
        <v>37</v>
      </c>
      <c r="C750" t="s">
        <v>38</v>
      </c>
      <c r="D750" s="9" t="s">
        <v>39</v>
      </c>
      <c r="E750" s="10" t="s">
        <v>37</v>
      </c>
      <c r="F750" s="11"/>
      <c r="G750" t="s">
        <v>2296</v>
      </c>
      <c r="I750" t="s">
        <v>41</v>
      </c>
      <c r="J750" t="s">
        <v>2297</v>
      </c>
      <c r="K750" t="s">
        <v>43</v>
      </c>
      <c r="L750">
        <v>2</v>
      </c>
      <c r="M750" t="s">
        <v>44</v>
      </c>
      <c r="N750" t="s">
        <v>45</v>
      </c>
      <c r="O750" t="s">
        <v>46</v>
      </c>
      <c r="P750" s="5">
        <v>1</v>
      </c>
      <c r="Q750" s="12">
        <v>44768.561944444446</v>
      </c>
      <c r="R750" s="13">
        <v>44770</v>
      </c>
      <c r="T750" t="s">
        <v>47</v>
      </c>
      <c r="U750" t="s">
        <v>48</v>
      </c>
      <c r="V750" t="s">
        <v>96</v>
      </c>
      <c r="Y750" t="s">
        <v>2298</v>
      </c>
      <c r="Z750">
        <v>16100</v>
      </c>
      <c r="AA750" t="s">
        <v>47</v>
      </c>
      <c r="AB750" t="s">
        <v>64</v>
      </c>
      <c r="AC750" t="s">
        <v>53</v>
      </c>
      <c r="AD750" s="16">
        <f t="shared" si="88"/>
        <v>7</v>
      </c>
      <c r="AE750" s="15">
        <v>0</v>
      </c>
      <c r="AF750" s="15">
        <v>0</v>
      </c>
      <c r="AG750" s="15">
        <v>0</v>
      </c>
      <c r="AH750" s="15">
        <v>0</v>
      </c>
      <c r="AI750" s="15">
        <f t="shared" si="85"/>
        <v>0.42</v>
      </c>
      <c r="AJ750" s="15">
        <f t="shared" si="86"/>
        <v>7.42</v>
      </c>
      <c r="AK750" t="s">
        <v>47</v>
      </c>
    </row>
    <row r="751" spans="1:37" ht="15" customHeight="1" x14ac:dyDescent="0.35">
      <c r="A751">
        <v>690929</v>
      </c>
      <c r="B751" t="s">
        <v>37</v>
      </c>
      <c r="C751" t="s">
        <v>38</v>
      </c>
      <c r="D751" s="9" t="s">
        <v>39</v>
      </c>
      <c r="E751" s="10" t="s">
        <v>37</v>
      </c>
      <c r="F751" s="11"/>
      <c r="G751" t="s">
        <v>2299</v>
      </c>
      <c r="I751" t="s">
        <v>41</v>
      </c>
      <c r="J751" t="s">
        <v>242</v>
      </c>
      <c r="K751" t="s">
        <v>43</v>
      </c>
      <c r="L751">
        <v>2</v>
      </c>
      <c r="M751" t="s">
        <v>44</v>
      </c>
      <c r="N751" t="s">
        <v>45</v>
      </c>
      <c r="O751" t="s">
        <v>46</v>
      </c>
      <c r="P751" s="5">
        <v>10</v>
      </c>
      <c r="Q751" s="12">
        <v>44769.446458333332</v>
      </c>
      <c r="R751" s="13">
        <v>44770</v>
      </c>
      <c r="T751" t="s">
        <v>47</v>
      </c>
      <c r="U751" t="s">
        <v>48</v>
      </c>
      <c r="V751" t="s">
        <v>114</v>
      </c>
      <c r="Y751" t="s">
        <v>243</v>
      </c>
      <c r="Z751">
        <v>45200</v>
      </c>
      <c r="AA751" t="s">
        <v>47</v>
      </c>
      <c r="AB751" t="s">
        <v>1777</v>
      </c>
      <c r="AC751" t="s">
        <v>53</v>
      </c>
      <c r="AD751" s="16">
        <f t="shared" si="88"/>
        <v>14.2</v>
      </c>
      <c r="AE751" s="15">
        <v>0</v>
      </c>
      <c r="AF751" s="15">
        <v>0</v>
      </c>
      <c r="AG751" s="15">
        <v>0</v>
      </c>
      <c r="AH751" s="15">
        <v>0</v>
      </c>
      <c r="AI751" s="15">
        <f t="shared" si="85"/>
        <v>0.85199999999999998</v>
      </c>
      <c r="AJ751" s="15">
        <f t="shared" si="86"/>
        <v>15.052</v>
      </c>
      <c r="AK751" t="s">
        <v>47</v>
      </c>
    </row>
    <row r="752" spans="1:37" ht="15" customHeight="1" x14ac:dyDescent="0.35">
      <c r="A752">
        <v>690929</v>
      </c>
      <c r="B752" t="s">
        <v>37</v>
      </c>
      <c r="C752" t="s">
        <v>38</v>
      </c>
      <c r="D752" s="9" t="s">
        <v>39</v>
      </c>
      <c r="E752" s="10" t="s">
        <v>37</v>
      </c>
      <c r="F752" s="11"/>
      <c r="G752" t="s">
        <v>2300</v>
      </c>
      <c r="I752" t="s">
        <v>41</v>
      </c>
      <c r="J752" t="s">
        <v>2301</v>
      </c>
      <c r="K752" t="s">
        <v>43</v>
      </c>
      <c r="L752">
        <v>2</v>
      </c>
      <c r="M752" t="s">
        <v>44</v>
      </c>
      <c r="N752" t="s">
        <v>45</v>
      </c>
      <c r="O752" t="s">
        <v>46</v>
      </c>
      <c r="P752" s="5">
        <v>1</v>
      </c>
      <c r="Q752" s="12">
        <v>44769.593449074076</v>
      </c>
      <c r="R752" s="13">
        <v>44770</v>
      </c>
      <c r="T752" t="s">
        <v>47</v>
      </c>
      <c r="U752" t="s">
        <v>48</v>
      </c>
      <c r="V752" t="s">
        <v>114</v>
      </c>
      <c r="Y752" t="s">
        <v>2302</v>
      </c>
      <c r="Z752">
        <v>44010</v>
      </c>
      <c r="AA752" t="s">
        <v>47</v>
      </c>
      <c r="AB752" t="s">
        <v>64</v>
      </c>
      <c r="AC752" t="s">
        <v>53</v>
      </c>
      <c r="AD752" s="16">
        <f t="shared" si="88"/>
        <v>7</v>
      </c>
      <c r="AE752" s="15">
        <v>0</v>
      </c>
      <c r="AF752" s="15">
        <v>0</v>
      </c>
      <c r="AG752" s="15">
        <v>0</v>
      </c>
      <c r="AH752" s="15">
        <v>0</v>
      </c>
      <c r="AI752" s="15">
        <f t="shared" si="85"/>
        <v>0.42</v>
      </c>
      <c r="AJ752" s="15">
        <f t="shared" si="86"/>
        <v>7.42</v>
      </c>
      <c r="AK752" t="s">
        <v>47</v>
      </c>
    </row>
    <row r="753" spans="1:37" ht="15" customHeight="1" x14ac:dyDescent="0.35">
      <c r="A753">
        <v>690929</v>
      </c>
      <c r="B753" t="s">
        <v>37</v>
      </c>
      <c r="C753" t="s">
        <v>38</v>
      </c>
      <c r="D753" s="9" t="s">
        <v>39</v>
      </c>
      <c r="E753" s="10" t="s">
        <v>37</v>
      </c>
      <c r="F753" s="11"/>
      <c r="G753" t="s">
        <v>2303</v>
      </c>
      <c r="I753" t="s">
        <v>41</v>
      </c>
      <c r="J753" t="s">
        <v>2304</v>
      </c>
      <c r="K753" t="s">
        <v>43</v>
      </c>
      <c r="L753">
        <v>2</v>
      </c>
      <c r="M753" t="s">
        <v>44</v>
      </c>
      <c r="N753" t="s">
        <v>45</v>
      </c>
      <c r="O753" t="s">
        <v>46</v>
      </c>
      <c r="P753" s="5">
        <v>1</v>
      </c>
      <c r="Q753" s="12">
        <v>44769.59474537037</v>
      </c>
      <c r="R753" s="13">
        <v>44770</v>
      </c>
      <c r="T753" t="s">
        <v>47</v>
      </c>
      <c r="U753" t="s">
        <v>48</v>
      </c>
      <c r="V753" t="s">
        <v>76</v>
      </c>
      <c r="Y753" t="s">
        <v>2305</v>
      </c>
      <c r="Z753">
        <v>20918</v>
      </c>
      <c r="AA753" t="s">
        <v>47</v>
      </c>
      <c r="AB753" t="s">
        <v>48</v>
      </c>
      <c r="AC753" t="s">
        <v>53</v>
      </c>
      <c r="AD753" s="16">
        <f t="shared" si="88"/>
        <v>7</v>
      </c>
      <c r="AE753" s="15">
        <v>0</v>
      </c>
      <c r="AF753" s="15">
        <v>0</v>
      </c>
      <c r="AG753" s="15">
        <v>0</v>
      </c>
      <c r="AH753" s="15">
        <v>0</v>
      </c>
      <c r="AI753" s="15">
        <f t="shared" si="85"/>
        <v>0.42</v>
      </c>
      <c r="AJ753" s="15">
        <f t="shared" si="86"/>
        <v>7.42</v>
      </c>
      <c r="AK753" t="s">
        <v>47</v>
      </c>
    </row>
    <row r="754" spans="1:37" ht="15" customHeight="1" x14ac:dyDescent="0.35">
      <c r="A754">
        <v>690929</v>
      </c>
      <c r="B754" t="s">
        <v>37</v>
      </c>
      <c r="C754" t="s">
        <v>38</v>
      </c>
      <c r="D754" s="9" t="s">
        <v>39</v>
      </c>
      <c r="E754" s="10" t="s">
        <v>37</v>
      </c>
      <c r="F754" s="11"/>
      <c r="G754" t="s">
        <v>2306</v>
      </c>
      <c r="I754" t="s">
        <v>41</v>
      </c>
      <c r="J754" t="s">
        <v>2307</v>
      </c>
      <c r="K754" t="s">
        <v>43</v>
      </c>
      <c r="L754">
        <v>2</v>
      </c>
      <c r="M754" t="s">
        <v>44</v>
      </c>
      <c r="N754" t="s">
        <v>45</v>
      </c>
      <c r="O754" t="s">
        <v>46</v>
      </c>
      <c r="P754" s="5">
        <v>1</v>
      </c>
      <c r="Q754" s="12">
        <v>44767.727233796293</v>
      </c>
      <c r="R754" s="13">
        <v>44770</v>
      </c>
      <c r="T754" t="s">
        <v>47</v>
      </c>
      <c r="U754" t="s">
        <v>48</v>
      </c>
      <c r="V754" t="s">
        <v>62</v>
      </c>
      <c r="Y754" t="s">
        <v>2308</v>
      </c>
      <c r="Z754">
        <v>81500</v>
      </c>
      <c r="AA754" t="s">
        <v>47</v>
      </c>
      <c r="AB754" t="s">
        <v>64</v>
      </c>
      <c r="AC754" t="s">
        <v>53</v>
      </c>
      <c r="AD754" s="16">
        <f t="shared" si="88"/>
        <v>7</v>
      </c>
      <c r="AE754" s="15">
        <v>0</v>
      </c>
      <c r="AF754" s="15">
        <v>0</v>
      </c>
      <c r="AG754" s="15">
        <v>0</v>
      </c>
      <c r="AH754" s="15">
        <v>0</v>
      </c>
      <c r="AI754" s="15">
        <f t="shared" si="85"/>
        <v>0.42</v>
      </c>
      <c r="AJ754" s="15">
        <f t="shared" si="86"/>
        <v>7.42</v>
      </c>
      <c r="AK754" t="s">
        <v>47</v>
      </c>
    </row>
    <row r="755" spans="1:37" ht="15" customHeight="1" x14ac:dyDescent="0.35">
      <c r="A755">
        <v>690929</v>
      </c>
      <c r="B755" t="s">
        <v>37</v>
      </c>
      <c r="C755" t="s">
        <v>38</v>
      </c>
      <c r="D755" s="9" t="s">
        <v>39</v>
      </c>
      <c r="E755" s="10" t="s">
        <v>37</v>
      </c>
      <c r="F755" s="11"/>
      <c r="G755" t="s">
        <v>2309</v>
      </c>
      <c r="I755" t="s">
        <v>41</v>
      </c>
      <c r="J755" t="s">
        <v>302</v>
      </c>
      <c r="K755" t="s">
        <v>43</v>
      </c>
      <c r="L755">
        <v>2</v>
      </c>
      <c r="M755" t="s">
        <v>44</v>
      </c>
      <c r="N755" t="s">
        <v>45</v>
      </c>
      <c r="O755" t="s">
        <v>46</v>
      </c>
      <c r="P755" s="5">
        <v>11</v>
      </c>
      <c r="Q755" s="12">
        <v>44769.448148148149</v>
      </c>
      <c r="R755" s="13">
        <v>44770</v>
      </c>
      <c r="T755" t="s">
        <v>47</v>
      </c>
      <c r="U755" t="s">
        <v>48</v>
      </c>
      <c r="V755" t="s">
        <v>67</v>
      </c>
      <c r="Y755" t="s">
        <v>2310</v>
      </c>
      <c r="Z755">
        <v>28700</v>
      </c>
      <c r="AA755" t="s">
        <v>47</v>
      </c>
      <c r="AB755" t="s">
        <v>2311</v>
      </c>
      <c r="AC755" t="s">
        <v>53</v>
      </c>
      <c r="AD755" s="16">
        <f t="shared" si="88"/>
        <v>15</v>
      </c>
      <c r="AE755" s="15">
        <v>0</v>
      </c>
      <c r="AF755" s="15">
        <v>0</v>
      </c>
      <c r="AG755" s="15">
        <v>0</v>
      </c>
      <c r="AH755" s="15">
        <v>0</v>
      </c>
      <c r="AI755" s="15">
        <f t="shared" si="85"/>
        <v>0.89999999999999991</v>
      </c>
      <c r="AJ755" s="15">
        <f t="shared" si="86"/>
        <v>15.9</v>
      </c>
      <c r="AK755" t="s">
        <v>47</v>
      </c>
    </row>
    <row r="756" spans="1:37" ht="15" customHeight="1" x14ac:dyDescent="0.35">
      <c r="A756">
        <v>690929</v>
      </c>
      <c r="B756" t="s">
        <v>37</v>
      </c>
      <c r="C756" t="s">
        <v>38</v>
      </c>
      <c r="D756" s="9" t="s">
        <v>39</v>
      </c>
      <c r="E756" s="10" t="s">
        <v>37</v>
      </c>
      <c r="F756" s="11"/>
      <c r="G756" t="s">
        <v>2312</v>
      </c>
      <c r="I756" t="s">
        <v>41</v>
      </c>
      <c r="J756" t="s">
        <v>843</v>
      </c>
      <c r="K756" t="s">
        <v>43</v>
      </c>
      <c r="L756">
        <v>2</v>
      </c>
      <c r="M756" t="s">
        <v>44</v>
      </c>
      <c r="N756" t="s">
        <v>45</v>
      </c>
      <c r="O756" t="s">
        <v>46</v>
      </c>
      <c r="P756" s="5">
        <v>27</v>
      </c>
      <c r="Q756" s="12">
        <v>44769.451643518521</v>
      </c>
      <c r="R756" s="13">
        <v>44770</v>
      </c>
      <c r="T756" t="s">
        <v>47</v>
      </c>
      <c r="U756" t="s">
        <v>48</v>
      </c>
      <c r="V756" t="s">
        <v>114</v>
      </c>
      <c r="Y756" t="s">
        <v>846</v>
      </c>
      <c r="Z756">
        <v>42000</v>
      </c>
      <c r="AA756" t="s">
        <v>47</v>
      </c>
      <c r="AB756" t="s">
        <v>2243</v>
      </c>
      <c r="AC756" t="s">
        <v>53</v>
      </c>
      <c r="AD756" s="16">
        <f t="shared" si="88"/>
        <v>27.8</v>
      </c>
      <c r="AE756" s="15">
        <v>0</v>
      </c>
      <c r="AF756" s="15">
        <v>0</v>
      </c>
      <c r="AG756" s="15">
        <v>0</v>
      </c>
      <c r="AH756" s="15">
        <v>0</v>
      </c>
      <c r="AI756" s="15">
        <f t="shared" si="85"/>
        <v>1.6679999999999999</v>
      </c>
      <c r="AJ756" s="15">
        <f t="shared" si="86"/>
        <v>29.468</v>
      </c>
      <c r="AK756" t="s">
        <v>47</v>
      </c>
    </row>
    <row r="757" spans="1:37" ht="15" customHeight="1" x14ac:dyDescent="0.35">
      <c r="A757">
        <v>690929</v>
      </c>
      <c r="B757" t="s">
        <v>37</v>
      </c>
      <c r="C757" t="s">
        <v>38</v>
      </c>
      <c r="D757" s="9" t="s">
        <v>39</v>
      </c>
      <c r="E757" s="10" t="s">
        <v>37</v>
      </c>
      <c r="F757" s="11"/>
      <c r="G757" t="s">
        <v>2313</v>
      </c>
      <c r="I757" t="s">
        <v>41</v>
      </c>
      <c r="J757" t="s">
        <v>2314</v>
      </c>
      <c r="K757" t="s">
        <v>43</v>
      </c>
      <c r="L757">
        <v>2</v>
      </c>
      <c r="M757" t="s">
        <v>44</v>
      </c>
      <c r="N757" t="s">
        <v>45</v>
      </c>
      <c r="O757" t="s">
        <v>46</v>
      </c>
      <c r="P757" s="5">
        <v>1</v>
      </c>
      <c r="Q757" s="12">
        <v>44767.740844907406</v>
      </c>
      <c r="R757" s="13">
        <v>44770</v>
      </c>
      <c r="T757" t="s">
        <v>47</v>
      </c>
      <c r="U757" t="s">
        <v>48</v>
      </c>
      <c r="V757" t="s">
        <v>96</v>
      </c>
      <c r="Y757" t="s">
        <v>2315</v>
      </c>
      <c r="Z757">
        <v>16040</v>
      </c>
      <c r="AA757" t="s">
        <v>47</v>
      </c>
      <c r="AB757" t="s">
        <v>64</v>
      </c>
      <c r="AC757" t="s">
        <v>53</v>
      </c>
      <c r="AD757" s="16">
        <f t="shared" si="88"/>
        <v>7</v>
      </c>
      <c r="AE757" s="15">
        <v>0</v>
      </c>
      <c r="AF757" s="15">
        <v>0</v>
      </c>
      <c r="AG757" s="15">
        <v>0</v>
      </c>
      <c r="AH757" s="15">
        <v>0</v>
      </c>
      <c r="AI757" s="15">
        <f t="shared" si="85"/>
        <v>0.42</v>
      </c>
      <c r="AJ757" s="15">
        <f t="shared" si="86"/>
        <v>7.42</v>
      </c>
      <c r="AK757" t="s">
        <v>47</v>
      </c>
    </row>
    <row r="758" spans="1:37" ht="15" customHeight="1" x14ac:dyDescent="0.35">
      <c r="A758">
        <v>690929</v>
      </c>
      <c r="B758" t="s">
        <v>37</v>
      </c>
      <c r="C758" t="s">
        <v>38</v>
      </c>
      <c r="D758" s="9" t="s">
        <v>39</v>
      </c>
      <c r="E758" s="10" t="s">
        <v>37</v>
      </c>
      <c r="F758" s="11"/>
      <c r="G758" t="s">
        <v>2316</v>
      </c>
      <c r="I758" t="s">
        <v>41</v>
      </c>
      <c r="J758" t="s">
        <v>2317</v>
      </c>
      <c r="K758" t="s">
        <v>43</v>
      </c>
      <c r="L758">
        <v>2</v>
      </c>
      <c r="M758" t="s">
        <v>44</v>
      </c>
      <c r="N758" t="s">
        <v>45</v>
      </c>
      <c r="O758" t="s">
        <v>46</v>
      </c>
      <c r="P758" s="5">
        <v>1</v>
      </c>
      <c r="Q758" s="12">
        <v>44769.484976851854</v>
      </c>
      <c r="R758" s="13">
        <v>44771</v>
      </c>
      <c r="T758" t="s">
        <v>47</v>
      </c>
      <c r="U758" t="s">
        <v>48</v>
      </c>
      <c r="V758" t="s">
        <v>62</v>
      </c>
      <c r="Y758" t="s">
        <v>2318</v>
      </c>
      <c r="Z758">
        <v>81700</v>
      </c>
      <c r="AA758" t="s">
        <v>47</v>
      </c>
      <c r="AB758" t="s">
        <v>64</v>
      </c>
      <c r="AC758" t="s">
        <v>53</v>
      </c>
      <c r="AD758" s="16">
        <f t="shared" si="88"/>
        <v>7</v>
      </c>
      <c r="AE758" s="15">
        <v>0</v>
      </c>
      <c r="AF758" s="15">
        <v>0</v>
      </c>
      <c r="AG758" s="15">
        <v>0</v>
      </c>
      <c r="AH758" s="15">
        <v>0</v>
      </c>
      <c r="AI758" s="15">
        <f t="shared" si="85"/>
        <v>0.42</v>
      </c>
      <c r="AJ758" s="15">
        <f t="shared" si="86"/>
        <v>7.42</v>
      </c>
      <c r="AK758" t="s">
        <v>47</v>
      </c>
    </row>
    <row r="759" spans="1:37" ht="15" customHeight="1" x14ac:dyDescent="0.35">
      <c r="A759">
        <v>690929</v>
      </c>
      <c r="B759" t="s">
        <v>37</v>
      </c>
      <c r="C759" t="s">
        <v>38</v>
      </c>
      <c r="D759" s="9" t="s">
        <v>39</v>
      </c>
      <c r="E759" s="10" t="s">
        <v>37</v>
      </c>
      <c r="F759" s="11"/>
      <c r="G759" t="s">
        <v>2319</v>
      </c>
      <c r="I759" t="s">
        <v>41</v>
      </c>
      <c r="J759" t="s">
        <v>2320</v>
      </c>
      <c r="K759" t="s">
        <v>43</v>
      </c>
      <c r="L759">
        <v>2</v>
      </c>
      <c r="M759" t="s">
        <v>44</v>
      </c>
      <c r="N759" t="s">
        <v>45</v>
      </c>
      <c r="O759" t="s">
        <v>46</v>
      </c>
      <c r="P759" s="5">
        <v>1</v>
      </c>
      <c r="Q759" s="12">
        <v>44769.738506944443</v>
      </c>
      <c r="R759" s="13">
        <v>44771</v>
      </c>
      <c r="T759" t="s">
        <v>47</v>
      </c>
      <c r="U759" t="s">
        <v>48</v>
      </c>
      <c r="V759" t="s">
        <v>67</v>
      </c>
      <c r="Y759" t="s">
        <v>2321</v>
      </c>
      <c r="Z759">
        <v>26100</v>
      </c>
      <c r="AA759" t="s">
        <v>47</v>
      </c>
      <c r="AB759" t="s">
        <v>48</v>
      </c>
      <c r="AC759" t="s">
        <v>53</v>
      </c>
      <c r="AD759" s="16">
        <f t="shared" si="88"/>
        <v>7</v>
      </c>
      <c r="AE759" s="15">
        <v>0</v>
      </c>
      <c r="AF759" s="15">
        <v>0</v>
      </c>
      <c r="AG759" s="15">
        <v>0</v>
      </c>
      <c r="AH759" s="15">
        <v>0</v>
      </c>
      <c r="AI759" s="15">
        <f t="shared" si="85"/>
        <v>0.42</v>
      </c>
      <c r="AJ759" s="15">
        <f t="shared" si="86"/>
        <v>7.42</v>
      </c>
      <c r="AK759" t="s">
        <v>47</v>
      </c>
    </row>
    <row r="760" spans="1:37" ht="15" customHeight="1" x14ac:dyDescent="0.35">
      <c r="A760">
        <v>690929</v>
      </c>
      <c r="B760" t="s">
        <v>37</v>
      </c>
      <c r="C760" t="s">
        <v>38</v>
      </c>
      <c r="D760" s="9" t="s">
        <v>39</v>
      </c>
      <c r="E760" s="10" t="s">
        <v>37</v>
      </c>
      <c r="F760" s="11"/>
      <c r="G760" t="s">
        <v>2322</v>
      </c>
      <c r="I760" t="s">
        <v>41</v>
      </c>
      <c r="J760" t="s">
        <v>2323</v>
      </c>
      <c r="K760" t="s">
        <v>43</v>
      </c>
      <c r="L760">
        <v>2</v>
      </c>
      <c r="M760" t="s">
        <v>44</v>
      </c>
      <c r="N760" t="s">
        <v>45</v>
      </c>
      <c r="O760" t="s">
        <v>46</v>
      </c>
      <c r="P760" s="5">
        <v>7</v>
      </c>
      <c r="Q760" s="12">
        <v>44769.454155092593</v>
      </c>
      <c r="R760" s="13">
        <v>44771</v>
      </c>
      <c r="T760" t="s">
        <v>47</v>
      </c>
      <c r="U760" t="s">
        <v>48</v>
      </c>
      <c r="V760" t="s">
        <v>62</v>
      </c>
      <c r="Y760" t="s">
        <v>2324</v>
      </c>
      <c r="Z760">
        <v>80350</v>
      </c>
      <c r="AA760" t="s">
        <v>47</v>
      </c>
      <c r="AB760" t="s">
        <v>2325</v>
      </c>
      <c r="AC760" t="s">
        <v>53</v>
      </c>
      <c r="AD760" s="16">
        <f t="shared" si="88"/>
        <v>11.8</v>
      </c>
      <c r="AE760" s="15">
        <v>0</v>
      </c>
      <c r="AF760" s="15">
        <v>0</v>
      </c>
      <c r="AG760" s="15">
        <v>0</v>
      </c>
      <c r="AH760" s="15">
        <v>0</v>
      </c>
      <c r="AI760" s="15">
        <f t="shared" si="85"/>
        <v>0.70799999999999996</v>
      </c>
      <c r="AJ760" s="15">
        <f t="shared" si="86"/>
        <v>12.508000000000001</v>
      </c>
      <c r="AK760" t="s">
        <v>47</v>
      </c>
    </row>
    <row r="761" spans="1:37" ht="15" customHeight="1" x14ac:dyDescent="0.35">
      <c r="A761">
        <v>690929</v>
      </c>
      <c r="B761" t="s">
        <v>37</v>
      </c>
      <c r="C761" t="s">
        <v>38</v>
      </c>
      <c r="D761" s="9" t="s">
        <v>39</v>
      </c>
      <c r="E761" s="10" t="s">
        <v>37</v>
      </c>
      <c r="F761" s="11"/>
      <c r="G761" t="s">
        <v>2326</v>
      </c>
      <c r="I761" t="s">
        <v>41</v>
      </c>
      <c r="J761" t="s">
        <v>2327</v>
      </c>
      <c r="K761" t="s">
        <v>43</v>
      </c>
      <c r="L761">
        <v>2</v>
      </c>
      <c r="M761" t="s">
        <v>44</v>
      </c>
      <c r="N761" t="s">
        <v>45</v>
      </c>
      <c r="O761" t="s">
        <v>46</v>
      </c>
      <c r="P761" s="5">
        <v>2</v>
      </c>
      <c r="Q761" s="12">
        <v>44769.725428240738</v>
      </c>
      <c r="R761" s="13">
        <v>44771</v>
      </c>
      <c r="T761" t="s">
        <v>47</v>
      </c>
      <c r="U761" t="s">
        <v>48</v>
      </c>
      <c r="V761" t="s">
        <v>67</v>
      </c>
      <c r="Y761" t="s">
        <v>2328</v>
      </c>
      <c r="Z761">
        <v>27000</v>
      </c>
      <c r="AA761" t="s">
        <v>47</v>
      </c>
      <c r="AB761" t="s">
        <v>48</v>
      </c>
      <c r="AC761" t="s">
        <v>53</v>
      </c>
      <c r="AD761" s="16">
        <f t="shared" si="88"/>
        <v>7.8</v>
      </c>
      <c r="AE761" s="15">
        <v>0</v>
      </c>
      <c r="AF761" s="15">
        <v>0</v>
      </c>
      <c r="AG761" s="15">
        <v>0</v>
      </c>
      <c r="AH761" s="15">
        <v>0</v>
      </c>
      <c r="AI761" s="15">
        <f t="shared" si="85"/>
        <v>0.46799999999999997</v>
      </c>
      <c r="AJ761" s="15">
        <f t="shared" si="86"/>
        <v>8.2680000000000007</v>
      </c>
      <c r="AK761" t="s">
        <v>47</v>
      </c>
    </row>
    <row r="762" spans="1:37" ht="15" customHeight="1" x14ac:dyDescent="0.35">
      <c r="A762">
        <v>690929</v>
      </c>
      <c r="B762" t="s">
        <v>37</v>
      </c>
      <c r="C762" t="s">
        <v>38</v>
      </c>
      <c r="D762" s="9" t="s">
        <v>39</v>
      </c>
      <c r="E762" s="10" t="s">
        <v>37</v>
      </c>
      <c r="F762" s="11"/>
      <c r="G762" t="s">
        <v>2329</v>
      </c>
      <c r="I762" t="s">
        <v>41</v>
      </c>
      <c r="J762" t="s">
        <v>2330</v>
      </c>
      <c r="K762" t="s">
        <v>43</v>
      </c>
      <c r="L762">
        <v>2</v>
      </c>
      <c r="M762" t="s">
        <v>44</v>
      </c>
      <c r="N762" t="s">
        <v>45</v>
      </c>
      <c r="O762" t="s">
        <v>46</v>
      </c>
      <c r="P762" s="5">
        <v>2</v>
      </c>
      <c r="Q762" s="12">
        <v>44761.698877314811</v>
      </c>
      <c r="R762" s="13">
        <v>44771</v>
      </c>
      <c r="T762" t="s">
        <v>47</v>
      </c>
      <c r="U762" t="s">
        <v>48</v>
      </c>
      <c r="V762" t="s">
        <v>57</v>
      </c>
      <c r="Y762" t="s">
        <v>2331</v>
      </c>
      <c r="Z762">
        <v>91150</v>
      </c>
      <c r="AA762" t="s">
        <v>51</v>
      </c>
      <c r="AB762" t="s">
        <v>64</v>
      </c>
      <c r="AC762" t="s">
        <v>53</v>
      </c>
      <c r="AD762" s="14">
        <f>IF(P762&lt;=1,13,IF(P762&lt;=2,23,IF(P762&lt;=3,35,IF(P762&lt;=4,43,IF(P762&lt;=5,53,IF(P762&lt;=6,63,IF(P762&lt;=7,71,IF(P762&lt;=8,79,IF(P762&lt;=9,87,IF(P762&lt;=10,95,IF(P762&lt;=11,105,IF(P762&lt;=12,114,IF(P762&lt;=13,119,IF(P762&lt;=14,127,IF(P762&lt;=15,135,IF(P762&lt;=16,143,IF(P762&lt;=17,153,IF(P762&lt;=18,163,IF(P762&lt;=19,171,IF(P762&lt;=20,185,IF(P762&lt;=21,193,IF(P762&lt;=22,201,IF(P762&lt;=23,210,IF(P762&lt;=24,220,IF(P762&lt;=25,230,IF(P762&lt;=26,240,IF(P762&lt;=27,250,IF(P762&lt;=28,260,IF(P762&lt;=29,270,IF(P762&lt;=30,280,280))))))))))))))))))))))))))))))</f>
        <v>23</v>
      </c>
      <c r="AE762" s="15">
        <v>0</v>
      </c>
      <c r="AF762" s="15">
        <v>0</v>
      </c>
      <c r="AG762" s="15">
        <v>0</v>
      </c>
      <c r="AH762" s="15">
        <v>0</v>
      </c>
      <c r="AI762" s="15">
        <f t="shared" si="85"/>
        <v>1.38</v>
      </c>
      <c r="AJ762" s="15">
        <f t="shared" si="86"/>
        <v>24.38</v>
      </c>
      <c r="AK762" t="s">
        <v>51</v>
      </c>
    </row>
    <row r="763" spans="1:37" ht="15" customHeight="1" x14ac:dyDescent="0.35">
      <c r="A763">
        <v>690929</v>
      </c>
      <c r="B763" t="s">
        <v>37</v>
      </c>
      <c r="C763" t="s">
        <v>38</v>
      </c>
      <c r="D763" s="9" t="s">
        <v>39</v>
      </c>
      <c r="E763" s="10" t="s">
        <v>37</v>
      </c>
      <c r="F763" s="11"/>
      <c r="G763" t="s">
        <v>2332</v>
      </c>
      <c r="I763" t="s">
        <v>41</v>
      </c>
      <c r="J763" t="s">
        <v>2333</v>
      </c>
      <c r="K763" t="s">
        <v>43</v>
      </c>
      <c r="L763">
        <v>2</v>
      </c>
      <c r="M763" t="s">
        <v>44</v>
      </c>
      <c r="N763" t="s">
        <v>45</v>
      </c>
      <c r="O763" t="s">
        <v>46</v>
      </c>
      <c r="P763" s="5">
        <v>4</v>
      </c>
      <c r="Q763" s="12">
        <v>44769.440196759257</v>
      </c>
      <c r="R763" s="13">
        <v>44771</v>
      </c>
      <c r="T763" t="s">
        <v>47</v>
      </c>
      <c r="U763" t="s">
        <v>48</v>
      </c>
      <c r="V763" t="s">
        <v>100</v>
      </c>
      <c r="Y763" t="s">
        <v>2334</v>
      </c>
      <c r="Z763">
        <v>35800</v>
      </c>
      <c r="AA763" t="s">
        <v>47</v>
      </c>
      <c r="AB763" t="s">
        <v>2335</v>
      </c>
      <c r="AC763" t="s">
        <v>53</v>
      </c>
      <c r="AD763" s="16">
        <f t="shared" ref="AD763:AD793" si="89">IF(P763&lt;=1,7,7+0.8*ROUNDUP(P763-1,0))</f>
        <v>9.4</v>
      </c>
      <c r="AE763" s="15">
        <v>0</v>
      </c>
      <c r="AF763" s="15">
        <v>0</v>
      </c>
      <c r="AG763" s="15">
        <v>0</v>
      </c>
      <c r="AH763" s="15">
        <v>0</v>
      </c>
      <c r="AI763" s="15">
        <f t="shared" si="85"/>
        <v>0.56399999999999995</v>
      </c>
      <c r="AJ763" s="15">
        <f t="shared" si="86"/>
        <v>9.9640000000000004</v>
      </c>
      <c r="AK763" t="s">
        <v>47</v>
      </c>
    </row>
    <row r="764" spans="1:37" ht="15" customHeight="1" x14ac:dyDescent="0.35">
      <c r="A764">
        <v>690929</v>
      </c>
      <c r="B764" t="s">
        <v>37</v>
      </c>
      <c r="C764" t="s">
        <v>38</v>
      </c>
      <c r="D764" s="9" t="s">
        <v>39</v>
      </c>
      <c r="E764" s="10" t="s">
        <v>37</v>
      </c>
      <c r="F764" s="11"/>
      <c r="G764" t="s">
        <v>2336</v>
      </c>
      <c r="I764" t="s">
        <v>41</v>
      </c>
      <c r="J764" t="s">
        <v>2337</v>
      </c>
      <c r="K764" t="s">
        <v>43</v>
      </c>
      <c r="L764">
        <v>2</v>
      </c>
      <c r="M764" t="s">
        <v>44</v>
      </c>
      <c r="N764" t="s">
        <v>45</v>
      </c>
      <c r="O764" t="s">
        <v>46</v>
      </c>
      <c r="P764" s="5">
        <v>1</v>
      </c>
      <c r="Q764" s="12">
        <v>44770.612222222226</v>
      </c>
      <c r="R764" s="13">
        <v>44771</v>
      </c>
      <c r="T764" t="s">
        <v>47</v>
      </c>
      <c r="U764" t="s">
        <v>48</v>
      </c>
      <c r="V764" t="s">
        <v>96</v>
      </c>
      <c r="Y764" t="s">
        <v>2338</v>
      </c>
      <c r="Z764">
        <v>16150</v>
      </c>
      <c r="AA764" t="s">
        <v>47</v>
      </c>
      <c r="AB764" t="s">
        <v>56</v>
      </c>
      <c r="AC764" t="s">
        <v>53</v>
      </c>
      <c r="AD764" s="16">
        <f t="shared" si="89"/>
        <v>7</v>
      </c>
      <c r="AE764" s="15">
        <v>0</v>
      </c>
      <c r="AF764" s="15">
        <v>0</v>
      </c>
      <c r="AG764" s="15">
        <v>0</v>
      </c>
      <c r="AH764" s="15">
        <v>0</v>
      </c>
      <c r="AI764" s="15">
        <f t="shared" si="85"/>
        <v>0.42</v>
      </c>
      <c r="AJ764" s="15">
        <f t="shared" si="86"/>
        <v>7.42</v>
      </c>
      <c r="AK764" t="s">
        <v>47</v>
      </c>
    </row>
    <row r="765" spans="1:37" ht="15" customHeight="1" x14ac:dyDescent="0.35">
      <c r="A765">
        <v>690929</v>
      </c>
      <c r="B765" t="s">
        <v>37</v>
      </c>
      <c r="C765" t="s">
        <v>38</v>
      </c>
      <c r="D765" s="9" t="s">
        <v>39</v>
      </c>
      <c r="E765" s="10" t="s">
        <v>37</v>
      </c>
      <c r="F765" s="11"/>
      <c r="G765" t="s">
        <v>2339</v>
      </c>
      <c r="I765" t="s">
        <v>41</v>
      </c>
      <c r="J765" t="s">
        <v>1833</v>
      </c>
      <c r="K765" t="s">
        <v>43</v>
      </c>
      <c r="L765">
        <v>2</v>
      </c>
      <c r="M765" t="s">
        <v>44</v>
      </c>
      <c r="N765" t="s">
        <v>45</v>
      </c>
      <c r="O765" t="s">
        <v>46</v>
      </c>
      <c r="P765" s="5">
        <v>10</v>
      </c>
      <c r="Q765" s="12">
        <v>44769.449097222219</v>
      </c>
      <c r="R765" s="13">
        <v>44771</v>
      </c>
      <c r="T765" t="s">
        <v>47</v>
      </c>
      <c r="U765" t="s">
        <v>48</v>
      </c>
      <c r="V765" t="s">
        <v>62</v>
      </c>
      <c r="Y765" t="s">
        <v>370</v>
      </c>
      <c r="Z765">
        <v>81100</v>
      </c>
      <c r="AA765" t="s">
        <v>47</v>
      </c>
      <c r="AB765" t="s">
        <v>2340</v>
      </c>
      <c r="AC765" t="s">
        <v>53</v>
      </c>
      <c r="AD765" s="16">
        <f t="shared" si="89"/>
        <v>14.2</v>
      </c>
      <c r="AE765" s="15">
        <v>0</v>
      </c>
      <c r="AF765" s="15">
        <v>0</v>
      </c>
      <c r="AG765" s="15">
        <v>0</v>
      </c>
      <c r="AH765" s="15">
        <v>0</v>
      </c>
      <c r="AI765" s="15">
        <f t="shared" si="85"/>
        <v>0.85199999999999998</v>
      </c>
      <c r="AJ765" s="15">
        <f t="shared" si="86"/>
        <v>15.052</v>
      </c>
      <c r="AK765" t="s">
        <v>47</v>
      </c>
    </row>
    <row r="766" spans="1:37" ht="15" customHeight="1" x14ac:dyDescent="0.35">
      <c r="A766">
        <v>690929</v>
      </c>
      <c r="B766" t="s">
        <v>37</v>
      </c>
      <c r="C766" t="s">
        <v>38</v>
      </c>
      <c r="D766" s="9" t="s">
        <v>39</v>
      </c>
      <c r="E766" s="10" t="s">
        <v>37</v>
      </c>
      <c r="F766" s="11"/>
      <c r="G766" t="s">
        <v>2341</v>
      </c>
      <c r="I766" t="s">
        <v>41</v>
      </c>
      <c r="J766" t="s">
        <v>2342</v>
      </c>
      <c r="K766" t="s">
        <v>43</v>
      </c>
      <c r="L766">
        <v>2</v>
      </c>
      <c r="M766" t="s">
        <v>44</v>
      </c>
      <c r="N766" t="s">
        <v>45</v>
      </c>
      <c r="O766" t="s">
        <v>46</v>
      </c>
      <c r="P766" s="5">
        <v>1</v>
      </c>
      <c r="Q766" s="12">
        <v>44769.613749999997</v>
      </c>
      <c r="R766" s="13">
        <v>44771</v>
      </c>
      <c r="T766" t="s">
        <v>47</v>
      </c>
      <c r="U766" t="s">
        <v>48</v>
      </c>
      <c r="V766" t="s">
        <v>62</v>
      </c>
      <c r="Y766" t="s">
        <v>2343</v>
      </c>
      <c r="Z766">
        <v>80350</v>
      </c>
      <c r="AA766" t="s">
        <v>47</v>
      </c>
      <c r="AB766" t="s">
        <v>64</v>
      </c>
      <c r="AC766" t="s">
        <v>53</v>
      </c>
      <c r="AD766" s="16">
        <f t="shared" si="89"/>
        <v>7</v>
      </c>
      <c r="AE766" s="15">
        <v>0</v>
      </c>
      <c r="AF766" s="15">
        <v>0</v>
      </c>
      <c r="AG766" s="15">
        <v>0</v>
      </c>
      <c r="AH766" s="15">
        <v>0</v>
      </c>
      <c r="AI766" s="15">
        <f t="shared" si="85"/>
        <v>0.42</v>
      </c>
      <c r="AJ766" s="15">
        <f t="shared" si="86"/>
        <v>7.42</v>
      </c>
      <c r="AK766" t="s">
        <v>47</v>
      </c>
    </row>
    <row r="767" spans="1:37" ht="15" customHeight="1" x14ac:dyDescent="0.35">
      <c r="A767">
        <v>690929</v>
      </c>
      <c r="B767" t="s">
        <v>37</v>
      </c>
      <c r="C767" t="s">
        <v>38</v>
      </c>
      <c r="D767" s="9" t="s">
        <v>39</v>
      </c>
      <c r="E767" s="10" t="s">
        <v>37</v>
      </c>
      <c r="F767" s="11"/>
      <c r="G767" t="s">
        <v>2344</v>
      </c>
      <c r="I767" t="s">
        <v>41</v>
      </c>
      <c r="J767" t="s">
        <v>2345</v>
      </c>
      <c r="K767" t="s">
        <v>43</v>
      </c>
      <c r="L767">
        <v>2</v>
      </c>
      <c r="M767" t="s">
        <v>44</v>
      </c>
      <c r="N767" t="s">
        <v>45</v>
      </c>
      <c r="O767" t="s">
        <v>46</v>
      </c>
      <c r="P767" s="5">
        <v>1</v>
      </c>
      <c r="Q767" s="12">
        <v>44770.609548611108</v>
      </c>
      <c r="R767" s="13">
        <v>44771</v>
      </c>
      <c r="T767" t="s">
        <v>47</v>
      </c>
      <c r="U767" t="s">
        <v>48</v>
      </c>
      <c r="V767" t="s">
        <v>67</v>
      </c>
      <c r="Y767" t="s">
        <v>2346</v>
      </c>
      <c r="Z767">
        <v>26500</v>
      </c>
      <c r="AA767" t="s">
        <v>47</v>
      </c>
      <c r="AB767" t="s">
        <v>48</v>
      </c>
      <c r="AC767" t="s">
        <v>53</v>
      </c>
      <c r="AD767" s="16">
        <f t="shared" si="89"/>
        <v>7</v>
      </c>
      <c r="AE767" s="15">
        <v>0</v>
      </c>
      <c r="AF767" s="15">
        <v>0</v>
      </c>
      <c r="AG767" s="15">
        <v>0</v>
      </c>
      <c r="AH767" s="15">
        <v>0</v>
      </c>
      <c r="AI767" s="15">
        <f t="shared" si="85"/>
        <v>0.42</v>
      </c>
      <c r="AJ767" s="15">
        <f t="shared" si="86"/>
        <v>7.42</v>
      </c>
      <c r="AK767" t="s">
        <v>47</v>
      </c>
    </row>
    <row r="768" spans="1:37" ht="15" customHeight="1" x14ac:dyDescent="0.35">
      <c r="A768">
        <v>690929</v>
      </c>
      <c r="B768" t="s">
        <v>37</v>
      </c>
      <c r="C768" t="s">
        <v>38</v>
      </c>
      <c r="D768" s="9" t="s">
        <v>39</v>
      </c>
      <c r="E768" s="10" t="s">
        <v>37</v>
      </c>
      <c r="F768" s="11"/>
      <c r="G768" t="s">
        <v>2347</v>
      </c>
      <c r="I768" t="s">
        <v>41</v>
      </c>
      <c r="J768" t="s">
        <v>2348</v>
      </c>
      <c r="K768" t="s">
        <v>43</v>
      </c>
      <c r="L768">
        <v>2</v>
      </c>
      <c r="M768" t="s">
        <v>44</v>
      </c>
      <c r="N768" t="s">
        <v>45</v>
      </c>
      <c r="O768" t="s">
        <v>46</v>
      </c>
      <c r="P768" s="5">
        <v>1</v>
      </c>
      <c r="Q768" s="12">
        <v>44770.592789351853</v>
      </c>
      <c r="R768" s="13">
        <v>44771</v>
      </c>
      <c r="T768" t="s">
        <v>47</v>
      </c>
      <c r="U768" t="s">
        <v>48</v>
      </c>
      <c r="V768" t="s">
        <v>114</v>
      </c>
      <c r="Y768" t="s">
        <v>2349</v>
      </c>
      <c r="Z768">
        <v>68100</v>
      </c>
      <c r="AA768" t="s">
        <v>47</v>
      </c>
      <c r="AB768" t="s">
        <v>64</v>
      </c>
      <c r="AC768" t="s">
        <v>53</v>
      </c>
      <c r="AD768" s="16">
        <f t="shared" si="89"/>
        <v>7</v>
      </c>
      <c r="AE768" s="15">
        <v>0</v>
      </c>
      <c r="AF768" s="15">
        <v>0</v>
      </c>
      <c r="AG768" s="15">
        <v>0</v>
      </c>
      <c r="AH768" s="15">
        <v>0</v>
      </c>
      <c r="AI768" s="15">
        <f t="shared" si="85"/>
        <v>0.42</v>
      </c>
      <c r="AJ768" s="15">
        <f t="shared" si="86"/>
        <v>7.42</v>
      </c>
      <c r="AK768" t="s">
        <v>47</v>
      </c>
    </row>
    <row r="769" spans="1:37" ht="15" customHeight="1" x14ac:dyDescent="0.35">
      <c r="A769">
        <v>690929</v>
      </c>
      <c r="B769" t="s">
        <v>37</v>
      </c>
      <c r="C769" t="s">
        <v>38</v>
      </c>
      <c r="D769" s="9" t="s">
        <v>39</v>
      </c>
      <c r="E769" s="10" t="s">
        <v>37</v>
      </c>
      <c r="F769" s="11"/>
      <c r="G769" t="s">
        <v>2350</v>
      </c>
      <c r="I769" t="s">
        <v>41</v>
      </c>
      <c r="J769" t="s">
        <v>2351</v>
      </c>
      <c r="K769" t="s">
        <v>43</v>
      </c>
      <c r="L769">
        <v>2</v>
      </c>
      <c r="M769" t="s">
        <v>44</v>
      </c>
      <c r="N769" t="s">
        <v>45</v>
      </c>
      <c r="O769" t="s">
        <v>46</v>
      </c>
      <c r="P769" s="5">
        <v>1</v>
      </c>
      <c r="Q769" s="12">
        <v>44769.746388888889</v>
      </c>
      <c r="R769" s="13">
        <v>44771</v>
      </c>
      <c r="T769" t="s">
        <v>47</v>
      </c>
      <c r="U769" t="s">
        <v>48</v>
      </c>
      <c r="V769" t="s">
        <v>76</v>
      </c>
      <c r="Y769" t="s">
        <v>2352</v>
      </c>
      <c r="Z769">
        <v>21600</v>
      </c>
      <c r="AA769" t="s">
        <v>47</v>
      </c>
      <c r="AB769" t="s">
        <v>48</v>
      </c>
      <c r="AC769" t="s">
        <v>53</v>
      </c>
      <c r="AD769" s="16">
        <f t="shared" si="89"/>
        <v>7</v>
      </c>
      <c r="AE769" s="15">
        <v>0</v>
      </c>
      <c r="AF769" s="15">
        <v>0</v>
      </c>
      <c r="AG769" s="15">
        <v>0</v>
      </c>
      <c r="AH769" s="15">
        <v>0</v>
      </c>
      <c r="AI769" s="15">
        <f t="shared" si="85"/>
        <v>0.42</v>
      </c>
      <c r="AJ769" s="15">
        <f t="shared" si="86"/>
        <v>7.42</v>
      </c>
      <c r="AK769" t="s">
        <v>47</v>
      </c>
    </row>
    <row r="770" spans="1:37" ht="15" customHeight="1" x14ac:dyDescent="0.35">
      <c r="A770">
        <v>690929</v>
      </c>
      <c r="B770" t="s">
        <v>37</v>
      </c>
      <c r="C770" t="s">
        <v>38</v>
      </c>
      <c r="D770" s="9" t="s">
        <v>39</v>
      </c>
      <c r="E770" s="10" t="s">
        <v>37</v>
      </c>
      <c r="F770" s="11"/>
      <c r="G770" t="s">
        <v>2353</v>
      </c>
      <c r="I770" t="s">
        <v>41</v>
      </c>
      <c r="J770" t="s">
        <v>2354</v>
      </c>
      <c r="K770" t="s">
        <v>43</v>
      </c>
      <c r="L770">
        <v>2</v>
      </c>
      <c r="M770" t="s">
        <v>44</v>
      </c>
      <c r="N770" t="s">
        <v>45</v>
      </c>
      <c r="O770" t="s">
        <v>46</v>
      </c>
      <c r="P770" s="5">
        <v>1</v>
      </c>
      <c r="Q770" s="12">
        <v>44769.612164351849</v>
      </c>
      <c r="R770" s="13">
        <v>44771</v>
      </c>
      <c r="T770" t="s">
        <v>47</v>
      </c>
      <c r="U770" t="s">
        <v>48</v>
      </c>
      <c r="V770" t="s">
        <v>85</v>
      </c>
      <c r="Y770" t="s">
        <v>2355</v>
      </c>
      <c r="Z770">
        <v>14300</v>
      </c>
      <c r="AA770" t="s">
        <v>47</v>
      </c>
      <c r="AB770" t="s">
        <v>64</v>
      </c>
      <c r="AC770" t="s">
        <v>53</v>
      </c>
      <c r="AD770" s="16">
        <f t="shared" si="89"/>
        <v>7</v>
      </c>
      <c r="AE770" s="15">
        <v>0</v>
      </c>
      <c r="AF770" s="15">
        <v>0</v>
      </c>
      <c r="AG770" s="15">
        <v>0</v>
      </c>
      <c r="AH770" s="15">
        <v>0</v>
      </c>
      <c r="AI770" s="15">
        <f t="shared" ref="AI770:AI814" si="90">(AD770+AF770+AH770)*6%</f>
        <v>0.42</v>
      </c>
      <c r="AJ770" s="15">
        <f t="shared" ref="AJ770:AJ814" si="91">AD770+AF770+AH770+AI770</f>
        <v>7.42</v>
      </c>
      <c r="AK770" t="s">
        <v>47</v>
      </c>
    </row>
    <row r="771" spans="1:37" ht="15" customHeight="1" x14ac:dyDescent="0.35">
      <c r="A771">
        <v>690929</v>
      </c>
      <c r="B771" t="s">
        <v>37</v>
      </c>
      <c r="C771" t="s">
        <v>38</v>
      </c>
      <c r="D771" s="9" t="s">
        <v>39</v>
      </c>
      <c r="E771" s="10" t="s">
        <v>37</v>
      </c>
      <c r="F771" s="11"/>
      <c r="G771" t="s">
        <v>2356</v>
      </c>
      <c r="I771" t="s">
        <v>41</v>
      </c>
      <c r="J771" t="s">
        <v>619</v>
      </c>
      <c r="K771" t="s">
        <v>43</v>
      </c>
      <c r="L771">
        <v>2</v>
      </c>
      <c r="M771" t="s">
        <v>44</v>
      </c>
      <c r="N771" t="s">
        <v>45</v>
      </c>
      <c r="O771" t="s">
        <v>46</v>
      </c>
      <c r="P771" s="5">
        <v>4</v>
      </c>
      <c r="Q771" s="12">
        <v>44769.710196759261</v>
      </c>
      <c r="R771" s="13">
        <v>44771</v>
      </c>
      <c r="T771" t="s">
        <v>47</v>
      </c>
      <c r="U771" t="s">
        <v>48</v>
      </c>
      <c r="V771" t="s">
        <v>114</v>
      </c>
      <c r="Y771" t="s">
        <v>2357</v>
      </c>
      <c r="Z771">
        <v>42300</v>
      </c>
      <c r="AA771" t="s">
        <v>47</v>
      </c>
      <c r="AB771" t="s">
        <v>1817</v>
      </c>
      <c r="AC771" t="s">
        <v>53</v>
      </c>
      <c r="AD771" s="16">
        <f t="shared" si="89"/>
        <v>9.4</v>
      </c>
      <c r="AE771" s="15">
        <v>0</v>
      </c>
      <c r="AF771" s="15">
        <v>0</v>
      </c>
      <c r="AG771" s="15">
        <v>0</v>
      </c>
      <c r="AH771" s="15">
        <v>0</v>
      </c>
      <c r="AI771" s="15">
        <f t="shared" si="90"/>
        <v>0.56399999999999995</v>
      </c>
      <c r="AJ771" s="15">
        <f t="shared" si="91"/>
        <v>9.9640000000000004</v>
      </c>
      <c r="AK771" t="s">
        <v>47</v>
      </c>
    </row>
    <row r="772" spans="1:37" ht="15" customHeight="1" x14ac:dyDescent="0.35">
      <c r="A772">
        <v>690929</v>
      </c>
      <c r="B772" t="s">
        <v>37</v>
      </c>
      <c r="C772" t="s">
        <v>38</v>
      </c>
      <c r="D772" s="9" t="s">
        <v>39</v>
      </c>
      <c r="E772" s="10" t="s">
        <v>37</v>
      </c>
      <c r="F772" s="11"/>
      <c r="G772" t="s">
        <v>2358</v>
      </c>
      <c r="I772" t="s">
        <v>41</v>
      </c>
      <c r="J772" t="s">
        <v>2359</v>
      </c>
      <c r="K772" t="s">
        <v>43</v>
      </c>
      <c r="L772">
        <v>2</v>
      </c>
      <c r="M772" t="s">
        <v>44</v>
      </c>
      <c r="N772" t="s">
        <v>45</v>
      </c>
      <c r="O772" t="s">
        <v>46</v>
      </c>
      <c r="P772" s="5">
        <v>1</v>
      </c>
      <c r="Q772" s="12">
        <v>44769.727962962963</v>
      </c>
      <c r="R772" s="13">
        <v>44771</v>
      </c>
      <c r="T772" t="s">
        <v>47</v>
      </c>
      <c r="U772" t="s">
        <v>48</v>
      </c>
      <c r="V772" t="s">
        <v>114</v>
      </c>
      <c r="Y772" t="s">
        <v>2360</v>
      </c>
      <c r="Z772">
        <v>68100</v>
      </c>
      <c r="AA772" t="s">
        <v>47</v>
      </c>
      <c r="AB772" t="s">
        <v>64</v>
      </c>
      <c r="AC772" t="s">
        <v>53</v>
      </c>
      <c r="AD772" s="16">
        <f t="shared" si="89"/>
        <v>7</v>
      </c>
      <c r="AE772" s="15">
        <v>0</v>
      </c>
      <c r="AF772" s="15">
        <v>0</v>
      </c>
      <c r="AG772" s="15">
        <v>0</v>
      </c>
      <c r="AH772" s="15">
        <v>0</v>
      </c>
      <c r="AI772" s="15">
        <f t="shared" si="90"/>
        <v>0.42</v>
      </c>
      <c r="AJ772" s="15">
        <f t="shared" si="91"/>
        <v>7.42</v>
      </c>
      <c r="AK772" t="s">
        <v>47</v>
      </c>
    </row>
    <row r="773" spans="1:37" ht="15" customHeight="1" x14ac:dyDescent="0.35">
      <c r="A773">
        <v>690929</v>
      </c>
      <c r="B773" t="s">
        <v>37</v>
      </c>
      <c r="C773" t="s">
        <v>38</v>
      </c>
      <c r="D773" s="9" t="s">
        <v>39</v>
      </c>
      <c r="E773" s="10" t="s">
        <v>37</v>
      </c>
      <c r="F773" s="11"/>
      <c r="G773" t="s">
        <v>2361</v>
      </c>
      <c r="I773" t="s">
        <v>41</v>
      </c>
      <c r="J773" t="s">
        <v>166</v>
      </c>
      <c r="K773" t="s">
        <v>43</v>
      </c>
      <c r="L773">
        <v>2</v>
      </c>
      <c r="M773" t="s">
        <v>44</v>
      </c>
      <c r="N773" t="s">
        <v>45</v>
      </c>
      <c r="O773" t="s">
        <v>46</v>
      </c>
      <c r="P773" s="5">
        <v>3</v>
      </c>
      <c r="Q773" s="12">
        <v>44770.615960648145</v>
      </c>
      <c r="R773" s="13">
        <v>44771</v>
      </c>
      <c r="T773" t="s">
        <v>47</v>
      </c>
      <c r="U773" t="s">
        <v>48</v>
      </c>
      <c r="V773" t="s">
        <v>76</v>
      </c>
      <c r="Y773" t="s">
        <v>167</v>
      </c>
      <c r="Z773">
        <v>21700</v>
      </c>
      <c r="AA773" t="s">
        <v>47</v>
      </c>
      <c r="AB773" t="s">
        <v>1015</v>
      </c>
      <c r="AC773" t="s">
        <v>53</v>
      </c>
      <c r="AD773" s="16">
        <f t="shared" si="89"/>
        <v>8.6</v>
      </c>
      <c r="AE773" s="15">
        <v>0</v>
      </c>
      <c r="AF773" s="15">
        <v>0</v>
      </c>
      <c r="AG773" s="15">
        <v>0</v>
      </c>
      <c r="AH773" s="15">
        <v>0</v>
      </c>
      <c r="AI773" s="15">
        <f t="shared" si="90"/>
        <v>0.51600000000000001</v>
      </c>
      <c r="AJ773" s="15">
        <f t="shared" si="91"/>
        <v>9.1159999999999997</v>
      </c>
      <c r="AK773" t="s">
        <v>47</v>
      </c>
    </row>
    <row r="774" spans="1:37" ht="15" customHeight="1" x14ac:dyDescent="0.35">
      <c r="A774">
        <v>690929</v>
      </c>
      <c r="B774" t="s">
        <v>37</v>
      </c>
      <c r="C774" t="s">
        <v>38</v>
      </c>
      <c r="D774" s="9" t="s">
        <v>39</v>
      </c>
      <c r="E774" s="10" t="s">
        <v>37</v>
      </c>
      <c r="F774" s="11"/>
      <c r="G774" t="s">
        <v>2362</v>
      </c>
      <c r="I774" t="s">
        <v>41</v>
      </c>
      <c r="J774" t="s">
        <v>2363</v>
      </c>
      <c r="K774" t="s">
        <v>43</v>
      </c>
      <c r="L774">
        <v>2</v>
      </c>
      <c r="M774" t="s">
        <v>44</v>
      </c>
      <c r="N774" t="s">
        <v>45</v>
      </c>
      <c r="O774" t="s">
        <v>46</v>
      </c>
      <c r="P774" s="5">
        <v>5</v>
      </c>
      <c r="Q774" s="12">
        <v>44769.73715277778</v>
      </c>
      <c r="R774" s="13">
        <v>44771</v>
      </c>
      <c r="T774" t="s">
        <v>47</v>
      </c>
      <c r="U774" t="s">
        <v>48</v>
      </c>
      <c r="V774" t="s">
        <v>114</v>
      </c>
      <c r="Y774" t="s">
        <v>2364</v>
      </c>
      <c r="Z774">
        <v>47620</v>
      </c>
      <c r="AA774" t="s">
        <v>47</v>
      </c>
      <c r="AB774" t="s">
        <v>2365</v>
      </c>
      <c r="AC774" t="s">
        <v>53</v>
      </c>
      <c r="AD774" s="16">
        <f t="shared" si="89"/>
        <v>10.199999999999999</v>
      </c>
      <c r="AE774" s="15">
        <v>0</v>
      </c>
      <c r="AF774" s="15">
        <v>0</v>
      </c>
      <c r="AG774" s="15">
        <v>0</v>
      </c>
      <c r="AH774" s="15">
        <v>0</v>
      </c>
      <c r="AI774" s="15">
        <f t="shared" si="90"/>
        <v>0.61199999999999999</v>
      </c>
      <c r="AJ774" s="15">
        <f t="shared" si="91"/>
        <v>10.811999999999999</v>
      </c>
      <c r="AK774" t="s">
        <v>47</v>
      </c>
    </row>
    <row r="775" spans="1:37" ht="15" customHeight="1" x14ac:dyDescent="0.35">
      <c r="A775">
        <v>690929</v>
      </c>
      <c r="B775" t="s">
        <v>37</v>
      </c>
      <c r="C775" t="s">
        <v>38</v>
      </c>
      <c r="D775" s="9" t="s">
        <v>39</v>
      </c>
      <c r="E775" s="10" t="s">
        <v>37</v>
      </c>
      <c r="F775" s="11"/>
      <c r="G775" t="s">
        <v>2366</v>
      </c>
      <c r="I775" t="s">
        <v>41</v>
      </c>
      <c r="J775" t="s">
        <v>2367</v>
      </c>
      <c r="K775" t="s">
        <v>43</v>
      </c>
      <c r="L775">
        <v>2</v>
      </c>
      <c r="M775" t="s">
        <v>44</v>
      </c>
      <c r="N775" t="s">
        <v>45</v>
      </c>
      <c r="O775" t="s">
        <v>46</v>
      </c>
      <c r="P775" s="5">
        <v>1</v>
      </c>
      <c r="Q775" s="12">
        <v>44770.605543981481</v>
      </c>
      <c r="R775" s="13">
        <v>44771</v>
      </c>
      <c r="T775" t="s">
        <v>47</v>
      </c>
      <c r="U775" t="s">
        <v>48</v>
      </c>
      <c r="V775" t="s">
        <v>76</v>
      </c>
      <c r="Y775" t="s">
        <v>2368</v>
      </c>
      <c r="Z775">
        <v>21700</v>
      </c>
      <c r="AA775" t="s">
        <v>47</v>
      </c>
      <c r="AB775" t="s">
        <v>48</v>
      </c>
      <c r="AC775" t="s">
        <v>53</v>
      </c>
      <c r="AD775" s="16">
        <f t="shared" si="89"/>
        <v>7</v>
      </c>
      <c r="AE775" s="15">
        <v>0</v>
      </c>
      <c r="AF775" s="15">
        <v>0</v>
      </c>
      <c r="AG775" s="15">
        <v>0</v>
      </c>
      <c r="AH775" s="15">
        <v>0</v>
      </c>
      <c r="AI775" s="15">
        <f t="shared" si="90"/>
        <v>0.42</v>
      </c>
      <c r="AJ775" s="15">
        <f t="shared" si="91"/>
        <v>7.42</v>
      </c>
      <c r="AK775" t="s">
        <v>47</v>
      </c>
    </row>
    <row r="776" spans="1:37" ht="15" customHeight="1" x14ac:dyDescent="0.35">
      <c r="A776">
        <v>690929</v>
      </c>
      <c r="B776" t="s">
        <v>37</v>
      </c>
      <c r="C776" t="s">
        <v>38</v>
      </c>
      <c r="D776" s="9" t="s">
        <v>39</v>
      </c>
      <c r="E776" s="10" t="s">
        <v>37</v>
      </c>
      <c r="F776" s="11"/>
      <c r="G776" t="s">
        <v>2369</v>
      </c>
      <c r="I776" t="s">
        <v>41</v>
      </c>
      <c r="J776" t="s">
        <v>2370</v>
      </c>
      <c r="K776" t="s">
        <v>43</v>
      </c>
      <c r="L776">
        <v>2</v>
      </c>
      <c r="M776" t="s">
        <v>44</v>
      </c>
      <c r="N776" t="s">
        <v>45</v>
      </c>
      <c r="O776" t="s">
        <v>46</v>
      </c>
      <c r="P776" s="5">
        <v>1</v>
      </c>
      <c r="Q776" s="12">
        <v>44768.563379629632</v>
      </c>
      <c r="R776" s="13">
        <v>44771</v>
      </c>
      <c r="T776" t="s">
        <v>47</v>
      </c>
      <c r="U776" t="s">
        <v>48</v>
      </c>
      <c r="V776" t="s">
        <v>128</v>
      </c>
      <c r="Y776" t="s">
        <v>2371</v>
      </c>
      <c r="Z776">
        <v>50586</v>
      </c>
      <c r="AA776" t="s">
        <v>47</v>
      </c>
      <c r="AB776" t="s">
        <v>64</v>
      </c>
      <c r="AC776" t="s">
        <v>53</v>
      </c>
      <c r="AD776" s="16">
        <f t="shared" si="89"/>
        <v>7</v>
      </c>
      <c r="AE776" s="15">
        <v>0</v>
      </c>
      <c r="AF776" s="15">
        <v>0</v>
      </c>
      <c r="AG776" s="15">
        <v>0</v>
      </c>
      <c r="AH776" s="15">
        <v>0</v>
      </c>
      <c r="AI776" s="15">
        <f t="shared" si="90"/>
        <v>0.42</v>
      </c>
      <c r="AJ776" s="15">
        <f t="shared" si="91"/>
        <v>7.42</v>
      </c>
      <c r="AK776" t="s">
        <v>47</v>
      </c>
    </row>
    <row r="777" spans="1:37" ht="15" customHeight="1" x14ac:dyDescent="0.35">
      <c r="A777">
        <v>690929</v>
      </c>
      <c r="B777" t="s">
        <v>37</v>
      </c>
      <c r="C777" t="s">
        <v>38</v>
      </c>
      <c r="D777" s="9" t="s">
        <v>39</v>
      </c>
      <c r="E777" s="10" t="s">
        <v>37</v>
      </c>
      <c r="F777" s="11"/>
      <c r="G777" t="s">
        <v>2372</v>
      </c>
      <c r="I777" t="s">
        <v>41</v>
      </c>
      <c r="J777" t="s">
        <v>2373</v>
      </c>
      <c r="K777" t="s">
        <v>43</v>
      </c>
      <c r="L777">
        <v>2</v>
      </c>
      <c r="M777" t="s">
        <v>44</v>
      </c>
      <c r="N777" t="s">
        <v>45</v>
      </c>
      <c r="O777" t="s">
        <v>46</v>
      </c>
      <c r="P777" s="5">
        <v>3</v>
      </c>
      <c r="Q777" s="12">
        <v>44769.443078703705</v>
      </c>
      <c r="R777" s="13">
        <v>44771</v>
      </c>
      <c r="T777" t="s">
        <v>47</v>
      </c>
      <c r="U777" t="s">
        <v>48</v>
      </c>
      <c r="V777" t="s">
        <v>85</v>
      </c>
      <c r="Y777" t="s">
        <v>2374</v>
      </c>
      <c r="Z777">
        <v>13300</v>
      </c>
      <c r="AA777" t="s">
        <v>47</v>
      </c>
      <c r="AB777" t="s">
        <v>2375</v>
      </c>
      <c r="AC777" t="s">
        <v>53</v>
      </c>
      <c r="AD777" s="16">
        <f t="shared" si="89"/>
        <v>8.6</v>
      </c>
      <c r="AE777" s="15">
        <v>0</v>
      </c>
      <c r="AF777" s="15">
        <v>0</v>
      </c>
      <c r="AG777" s="15">
        <v>0</v>
      </c>
      <c r="AH777" s="15">
        <v>0</v>
      </c>
      <c r="AI777" s="15">
        <f t="shared" si="90"/>
        <v>0.51600000000000001</v>
      </c>
      <c r="AJ777" s="15">
        <f t="shared" si="91"/>
        <v>9.1159999999999997</v>
      </c>
      <c r="AK777" t="s">
        <v>47</v>
      </c>
    </row>
    <row r="778" spans="1:37" ht="15" customHeight="1" x14ac:dyDescent="0.35">
      <c r="A778">
        <v>690929</v>
      </c>
      <c r="B778" t="s">
        <v>37</v>
      </c>
      <c r="C778" t="s">
        <v>38</v>
      </c>
      <c r="D778" s="9" t="s">
        <v>39</v>
      </c>
      <c r="E778" s="10" t="s">
        <v>37</v>
      </c>
      <c r="F778" s="11"/>
      <c r="G778" t="s">
        <v>2376</v>
      </c>
      <c r="I778" t="s">
        <v>41</v>
      </c>
      <c r="J778" t="s">
        <v>2377</v>
      </c>
      <c r="K778" t="s">
        <v>43</v>
      </c>
      <c r="L778">
        <v>2</v>
      </c>
      <c r="M778" t="s">
        <v>44</v>
      </c>
      <c r="N778" t="s">
        <v>45</v>
      </c>
      <c r="O778" t="s">
        <v>46</v>
      </c>
      <c r="P778" s="5">
        <v>2</v>
      </c>
      <c r="Q778" s="12">
        <v>44769.708252314813</v>
      </c>
      <c r="R778" s="13">
        <v>44771</v>
      </c>
      <c r="T778" t="s">
        <v>47</v>
      </c>
      <c r="U778" t="s">
        <v>48</v>
      </c>
      <c r="V778" t="s">
        <v>114</v>
      </c>
      <c r="Y778" t="s">
        <v>2378</v>
      </c>
      <c r="Z778">
        <v>43500</v>
      </c>
      <c r="AA778" t="s">
        <v>47</v>
      </c>
      <c r="AB778" t="s">
        <v>64</v>
      </c>
      <c r="AC778" t="s">
        <v>53</v>
      </c>
      <c r="AD778" s="16">
        <f t="shared" si="89"/>
        <v>7.8</v>
      </c>
      <c r="AE778" s="15">
        <v>0</v>
      </c>
      <c r="AF778" s="15">
        <v>0</v>
      </c>
      <c r="AG778" s="15">
        <v>0</v>
      </c>
      <c r="AH778" s="15">
        <v>0</v>
      </c>
      <c r="AI778" s="15">
        <f t="shared" si="90"/>
        <v>0.46799999999999997</v>
      </c>
      <c r="AJ778" s="15">
        <f t="shared" si="91"/>
        <v>8.2680000000000007</v>
      </c>
      <c r="AK778" t="s">
        <v>47</v>
      </c>
    </row>
    <row r="779" spans="1:37" ht="15" customHeight="1" x14ac:dyDescent="0.35">
      <c r="A779">
        <v>690929</v>
      </c>
      <c r="B779" t="s">
        <v>37</v>
      </c>
      <c r="C779" t="s">
        <v>38</v>
      </c>
      <c r="D779" s="9" t="s">
        <v>39</v>
      </c>
      <c r="E779" s="10" t="s">
        <v>37</v>
      </c>
      <c r="F779" s="11"/>
      <c r="G779" t="s">
        <v>2379</v>
      </c>
      <c r="I779" t="s">
        <v>41</v>
      </c>
      <c r="J779" t="s">
        <v>2380</v>
      </c>
      <c r="K779" t="s">
        <v>43</v>
      </c>
      <c r="L779">
        <v>2</v>
      </c>
      <c r="M779" t="s">
        <v>44</v>
      </c>
      <c r="N779" t="s">
        <v>45</v>
      </c>
      <c r="O779" t="s">
        <v>46</v>
      </c>
      <c r="P779" s="5">
        <v>1</v>
      </c>
      <c r="Q779" s="12">
        <v>44770.596122685187</v>
      </c>
      <c r="R779" s="13">
        <v>44771</v>
      </c>
      <c r="T779" t="s">
        <v>47</v>
      </c>
      <c r="U779" t="s">
        <v>48</v>
      </c>
      <c r="V779" t="s">
        <v>114</v>
      </c>
      <c r="Y779" t="s">
        <v>2381</v>
      </c>
      <c r="Z779">
        <v>53100</v>
      </c>
      <c r="AA779" t="s">
        <v>47</v>
      </c>
      <c r="AB779" t="s">
        <v>64</v>
      </c>
      <c r="AC779" t="s">
        <v>53</v>
      </c>
      <c r="AD779" s="16">
        <f t="shared" si="89"/>
        <v>7</v>
      </c>
      <c r="AE779" s="15">
        <v>0</v>
      </c>
      <c r="AF779" s="15">
        <v>0</v>
      </c>
      <c r="AG779" s="15">
        <v>0</v>
      </c>
      <c r="AH779" s="15">
        <v>0</v>
      </c>
      <c r="AI779" s="15">
        <f t="shared" si="90"/>
        <v>0.42</v>
      </c>
      <c r="AJ779" s="15">
        <f t="shared" si="91"/>
        <v>7.42</v>
      </c>
      <c r="AK779" t="s">
        <v>47</v>
      </c>
    </row>
    <row r="780" spans="1:37" ht="15" customHeight="1" x14ac:dyDescent="0.35">
      <c r="A780">
        <v>690929</v>
      </c>
      <c r="B780" t="s">
        <v>37</v>
      </c>
      <c r="C780" t="s">
        <v>38</v>
      </c>
      <c r="D780" s="9" t="s">
        <v>39</v>
      </c>
      <c r="E780" s="10" t="s">
        <v>37</v>
      </c>
      <c r="F780" s="11"/>
      <c r="G780" t="s">
        <v>2382</v>
      </c>
      <c r="I780" t="s">
        <v>41</v>
      </c>
      <c r="J780" t="s">
        <v>2383</v>
      </c>
      <c r="K780" t="s">
        <v>43</v>
      </c>
      <c r="L780">
        <v>2</v>
      </c>
      <c r="M780" t="s">
        <v>44</v>
      </c>
      <c r="N780" t="s">
        <v>45</v>
      </c>
      <c r="O780" t="s">
        <v>46</v>
      </c>
      <c r="P780" s="5">
        <v>1</v>
      </c>
      <c r="Q780" s="12">
        <v>44770.610983796294</v>
      </c>
      <c r="R780" s="13">
        <v>44771</v>
      </c>
      <c r="T780" t="s">
        <v>47</v>
      </c>
      <c r="U780" t="s">
        <v>48</v>
      </c>
      <c r="V780" t="s">
        <v>67</v>
      </c>
      <c r="Y780" t="s">
        <v>2384</v>
      </c>
      <c r="Z780">
        <v>27000</v>
      </c>
      <c r="AA780" t="s">
        <v>47</v>
      </c>
      <c r="AB780" t="s">
        <v>48</v>
      </c>
      <c r="AC780" t="s">
        <v>53</v>
      </c>
      <c r="AD780" s="16">
        <f t="shared" si="89"/>
        <v>7</v>
      </c>
      <c r="AE780" s="15">
        <v>0</v>
      </c>
      <c r="AF780" s="15">
        <v>0</v>
      </c>
      <c r="AG780" s="15">
        <v>0</v>
      </c>
      <c r="AH780" s="15">
        <v>0</v>
      </c>
      <c r="AI780" s="15">
        <f t="shared" si="90"/>
        <v>0.42</v>
      </c>
      <c r="AJ780" s="15">
        <f t="shared" si="91"/>
        <v>7.42</v>
      </c>
      <c r="AK780" t="s">
        <v>47</v>
      </c>
    </row>
    <row r="781" spans="1:37" ht="15" customHeight="1" x14ac:dyDescent="0.35">
      <c r="A781">
        <v>690929</v>
      </c>
      <c r="B781" t="s">
        <v>37</v>
      </c>
      <c r="C781" t="s">
        <v>38</v>
      </c>
      <c r="D781" s="9" t="s">
        <v>39</v>
      </c>
      <c r="E781" s="10" t="s">
        <v>37</v>
      </c>
      <c r="F781" s="11"/>
      <c r="G781" t="s">
        <v>2385</v>
      </c>
      <c r="I781" t="s">
        <v>41</v>
      </c>
      <c r="J781" t="s">
        <v>2386</v>
      </c>
      <c r="K781" t="s">
        <v>43</v>
      </c>
      <c r="L781">
        <v>2</v>
      </c>
      <c r="M781" t="s">
        <v>44</v>
      </c>
      <c r="N781" t="s">
        <v>45</v>
      </c>
      <c r="O781" t="s">
        <v>46</v>
      </c>
      <c r="P781" s="5">
        <v>1</v>
      </c>
      <c r="Q781" s="12">
        <v>44770.608101851853</v>
      </c>
      <c r="R781" s="13">
        <v>44771</v>
      </c>
      <c r="T781" t="s">
        <v>47</v>
      </c>
      <c r="U781" t="s">
        <v>48</v>
      </c>
      <c r="V781" t="s">
        <v>138</v>
      </c>
      <c r="Y781" t="s">
        <v>2387</v>
      </c>
      <c r="Z781">
        <v>71800</v>
      </c>
      <c r="AA781" t="s">
        <v>47</v>
      </c>
      <c r="AB781" t="s">
        <v>64</v>
      </c>
      <c r="AC781" t="s">
        <v>53</v>
      </c>
      <c r="AD781" s="16">
        <f t="shared" si="89"/>
        <v>7</v>
      </c>
      <c r="AE781" s="15">
        <v>0</v>
      </c>
      <c r="AF781" s="15">
        <v>0</v>
      </c>
      <c r="AG781" s="15">
        <v>0</v>
      </c>
      <c r="AH781" s="15">
        <v>0</v>
      </c>
      <c r="AI781" s="15">
        <f t="shared" si="90"/>
        <v>0.42</v>
      </c>
      <c r="AJ781" s="15">
        <f t="shared" si="91"/>
        <v>7.42</v>
      </c>
      <c r="AK781" t="s">
        <v>47</v>
      </c>
    </row>
    <row r="782" spans="1:37" ht="15" customHeight="1" x14ac:dyDescent="0.35">
      <c r="A782">
        <v>690929</v>
      </c>
      <c r="B782" t="s">
        <v>37</v>
      </c>
      <c r="C782" t="s">
        <v>38</v>
      </c>
      <c r="D782" s="9" t="s">
        <v>39</v>
      </c>
      <c r="E782" s="10" t="s">
        <v>37</v>
      </c>
      <c r="F782" s="11"/>
      <c r="G782" t="s">
        <v>2388</v>
      </c>
      <c r="I782" t="s">
        <v>41</v>
      </c>
      <c r="J782" t="s">
        <v>2389</v>
      </c>
      <c r="K782" t="s">
        <v>43</v>
      </c>
      <c r="L782">
        <v>2</v>
      </c>
      <c r="M782" t="s">
        <v>44</v>
      </c>
      <c r="N782" t="s">
        <v>45</v>
      </c>
      <c r="O782" t="s">
        <v>46</v>
      </c>
      <c r="P782" s="5">
        <v>1</v>
      </c>
      <c r="Q782" s="12">
        <v>44770.695254629631</v>
      </c>
      <c r="R782" s="13">
        <v>44772</v>
      </c>
      <c r="T782" t="s">
        <v>47</v>
      </c>
      <c r="U782" t="s">
        <v>56</v>
      </c>
      <c r="V782" t="s">
        <v>67</v>
      </c>
      <c r="Y782" t="s">
        <v>2390</v>
      </c>
      <c r="Z782">
        <v>25150</v>
      </c>
      <c r="AA782" t="s">
        <v>47</v>
      </c>
      <c r="AB782" t="s">
        <v>56</v>
      </c>
      <c r="AC782" t="s">
        <v>53</v>
      </c>
      <c r="AD782" s="16">
        <f t="shared" si="89"/>
        <v>7</v>
      </c>
      <c r="AE782" s="15">
        <v>0</v>
      </c>
      <c r="AF782" s="15">
        <v>0</v>
      </c>
      <c r="AG782" s="15">
        <v>0</v>
      </c>
      <c r="AH782" s="15">
        <v>0</v>
      </c>
      <c r="AI782" s="15">
        <f t="shared" si="90"/>
        <v>0.42</v>
      </c>
      <c r="AJ782" s="15">
        <f t="shared" si="91"/>
        <v>7.42</v>
      </c>
      <c r="AK782" t="s">
        <v>47</v>
      </c>
    </row>
    <row r="783" spans="1:37" ht="15" customHeight="1" x14ac:dyDescent="0.35">
      <c r="A783">
        <v>690929</v>
      </c>
      <c r="B783" t="s">
        <v>37</v>
      </c>
      <c r="C783" t="s">
        <v>38</v>
      </c>
      <c r="D783" s="9" t="s">
        <v>39</v>
      </c>
      <c r="E783" s="10" t="s">
        <v>37</v>
      </c>
      <c r="F783" s="11"/>
      <c r="G783" t="s">
        <v>2391</v>
      </c>
      <c r="I783" t="s">
        <v>41</v>
      </c>
      <c r="J783" t="s">
        <v>2392</v>
      </c>
      <c r="K783" t="s">
        <v>43</v>
      </c>
      <c r="L783">
        <v>2</v>
      </c>
      <c r="M783" t="s">
        <v>44</v>
      </c>
      <c r="N783" t="s">
        <v>45</v>
      </c>
      <c r="O783" t="s">
        <v>46</v>
      </c>
      <c r="P783" s="5">
        <v>1</v>
      </c>
      <c r="Q783" s="12">
        <v>44769.732974537037</v>
      </c>
      <c r="R783" s="13">
        <v>44772</v>
      </c>
      <c r="T783" t="s">
        <v>47</v>
      </c>
      <c r="U783" t="s">
        <v>48</v>
      </c>
      <c r="V783" t="s">
        <v>100</v>
      </c>
      <c r="Y783" t="s">
        <v>2393</v>
      </c>
      <c r="Z783">
        <v>30020</v>
      </c>
      <c r="AA783" t="s">
        <v>47</v>
      </c>
      <c r="AB783" t="s">
        <v>64</v>
      </c>
      <c r="AC783" t="s">
        <v>53</v>
      </c>
      <c r="AD783" s="16">
        <f t="shared" si="89"/>
        <v>7</v>
      </c>
      <c r="AE783" s="15">
        <v>0</v>
      </c>
      <c r="AF783" s="15">
        <v>0</v>
      </c>
      <c r="AG783" s="15">
        <v>0</v>
      </c>
      <c r="AH783" s="15">
        <v>0</v>
      </c>
      <c r="AI783" s="15">
        <f t="shared" si="90"/>
        <v>0.42</v>
      </c>
      <c r="AJ783" s="15">
        <f t="shared" si="91"/>
        <v>7.42</v>
      </c>
      <c r="AK783" t="s">
        <v>47</v>
      </c>
    </row>
    <row r="784" spans="1:37" ht="15" customHeight="1" x14ac:dyDescent="0.35">
      <c r="A784">
        <v>690929</v>
      </c>
      <c r="B784" t="s">
        <v>37</v>
      </c>
      <c r="C784" t="s">
        <v>38</v>
      </c>
      <c r="D784" s="9" t="s">
        <v>39</v>
      </c>
      <c r="E784" s="10" t="s">
        <v>37</v>
      </c>
      <c r="F784" s="11"/>
      <c r="G784" t="s">
        <v>2394</v>
      </c>
      <c r="I784" t="s">
        <v>41</v>
      </c>
      <c r="J784" t="s">
        <v>2395</v>
      </c>
      <c r="K784" t="s">
        <v>43</v>
      </c>
      <c r="L784">
        <v>2</v>
      </c>
      <c r="M784" t="s">
        <v>44</v>
      </c>
      <c r="N784" t="s">
        <v>45</v>
      </c>
      <c r="O784" t="s">
        <v>46</v>
      </c>
      <c r="P784" s="5">
        <v>1</v>
      </c>
      <c r="Q784" s="12">
        <v>44770.75613425926</v>
      </c>
      <c r="R784" s="13">
        <v>44772</v>
      </c>
      <c r="T784" t="s">
        <v>47</v>
      </c>
      <c r="U784" t="s">
        <v>56</v>
      </c>
      <c r="V784" t="s">
        <v>114</v>
      </c>
      <c r="Y784" t="s">
        <v>2396</v>
      </c>
      <c r="Z784">
        <v>40460</v>
      </c>
      <c r="AA784" t="s">
        <v>47</v>
      </c>
      <c r="AB784" t="s">
        <v>64</v>
      </c>
      <c r="AC784" t="s">
        <v>53</v>
      </c>
      <c r="AD784" s="16">
        <f t="shared" si="89"/>
        <v>7</v>
      </c>
      <c r="AE784" s="15">
        <v>0</v>
      </c>
      <c r="AF784" s="15">
        <v>0</v>
      </c>
      <c r="AG784" s="15">
        <v>0</v>
      </c>
      <c r="AH784" s="15">
        <v>0</v>
      </c>
      <c r="AI784" s="15">
        <f t="shared" si="90"/>
        <v>0.42</v>
      </c>
      <c r="AJ784" s="15">
        <f t="shared" si="91"/>
        <v>7.42</v>
      </c>
      <c r="AK784" t="s">
        <v>47</v>
      </c>
    </row>
    <row r="785" spans="1:37" ht="15" customHeight="1" x14ac:dyDescent="0.35">
      <c r="A785">
        <v>690929</v>
      </c>
      <c r="B785" t="s">
        <v>37</v>
      </c>
      <c r="C785" t="s">
        <v>38</v>
      </c>
      <c r="D785" s="9" t="s">
        <v>39</v>
      </c>
      <c r="E785" s="10" t="s">
        <v>37</v>
      </c>
      <c r="F785" s="11"/>
      <c r="G785" t="s">
        <v>2397</v>
      </c>
      <c r="I785" t="s">
        <v>41</v>
      </c>
      <c r="J785" t="s">
        <v>2398</v>
      </c>
      <c r="K785" t="s">
        <v>43</v>
      </c>
      <c r="L785">
        <v>2</v>
      </c>
      <c r="M785" t="s">
        <v>44</v>
      </c>
      <c r="N785" t="s">
        <v>45</v>
      </c>
      <c r="O785" t="s">
        <v>46</v>
      </c>
      <c r="P785" s="5">
        <v>1</v>
      </c>
      <c r="Q785" s="12">
        <v>44769.74119212963</v>
      </c>
      <c r="R785" s="13">
        <v>44772</v>
      </c>
      <c r="T785" t="s">
        <v>47</v>
      </c>
      <c r="U785" t="s">
        <v>48</v>
      </c>
      <c r="V785" t="s">
        <v>100</v>
      </c>
      <c r="Y785" t="s">
        <v>2399</v>
      </c>
      <c r="Z785">
        <v>31500</v>
      </c>
      <c r="AA785" t="s">
        <v>47</v>
      </c>
      <c r="AB785" t="s">
        <v>64</v>
      </c>
      <c r="AC785" t="s">
        <v>53</v>
      </c>
      <c r="AD785" s="16">
        <f t="shared" si="89"/>
        <v>7</v>
      </c>
      <c r="AE785" s="15">
        <v>0</v>
      </c>
      <c r="AF785" s="15">
        <v>0</v>
      </c>
      <c r="AG785" s="15">
        <v>0</v>
      </c>
      <c r="AH785" s="15">
        <v>0</v>
      </c>
      <c r="AI785" s="15">
        <f t="shared" si="90"/>
        <v>0.42</v>
      </c>
      <c r="AJ785" s="15">
        <f t="shared" si="91"/>
        <v>7.42</v>
      </c>
      <c r="AK785" t="s">
        <v>47</v>
      </c>
    </row>
    <row r="786" spans="1:37" ht="15" customHeight="1" x14ac:dyDescent="0.35">
      <c r="A786">
        <v>690929</v>
      </c>
      <c r="B786" t="s">
        <v>37</v>
      </c>
      <c r="C786" t="s">
        <v>38</v>
      </c>
      <c r="D786" s="9" t="s">
        <v>39</v>
      </c>
      <c r="E786" s="10" t="s">
        <v>37</v>
      </c>
      <c r="F786" s="11"/>
      <c r="G786" t="s">
        <v>2400</v>
      </c>
      <c r="I786" t="s">
        <v>41</v>
      </c>
      <c r="J786" t="s">
        <v>2401</v>
      </c>
      <c r="K786" t="s">
        <v>43</v>
      </c>
      <c r="L786">
        <v>2</v>
      </c>
      <c r="M786" t="s">
        <v>44</v>
      </c>
      <c r="N786" t="s">
        <v>45</v>
      </c>
      <c r="O786" t="s">
        <v>46</v>
      </c>
      <c r="P786" s="5">
        <v>1</v>
      </c>
      <c r="Q786" s="12">
        <v>44769.743495370371</v>
      </c>
      <c r="R786" s="13">
        <v>44772</v>
      </c>
      <c r="T786" t="s">
        <v>47</v>
      </c>
      <c r="U786" t="s">
        <v>48</v>
      </c>
      <c r="V786" t="s">
        <v>100</v>
      </c>
      <c r="Y786" t="s">
        <v>2402</v>
      </c>
      <c r="Z786">
        <v>30020</v>
      </c>
      <c r="AA786" t="s">
        <v>47</v>
      </c>
      <c r="AB786" t="s">
        <v>64</v>
      </c>
      <c r="AC786" t="s">
        <v>53</v>
      </c>
      <c r="AD786" s="16">
        <f t="shared" si="89"/>
        <v>7</v>
      </c>
      <c r="AE786" s="15">
        <v>0</v>
      </c>
      <c r="AF786" s="15">
        <v>0</v>
      </c>
      <c r="AG786" s="15">
        <v>0</v>
      </c>
      <c r="AH786" s="15">
        <v>0</v>
      </c>
      <c r="AI786" s="15">
        <f t="shared" si="90"/>
        <v>0.42</v>
      </c>
      <c r="AJ786" s="15">
        <f t="shared" si="91"/>
        <v>7.42</v>
      </c>
      <c r="AK786" t="s">
        <v>47</v>
      </c>
    </row>
    <row r="787" spans="1:37" ht="15" customHeight="1" x14ac:dyDescent="0.35">
      <c r="A787">
        <v>690929</v>
      </c>
      <c r="B787" t="s">
        <v>37</v>
      </c>
      <c r="C787" t="s">
        <v>38</v>
      </c>
      <c r="D787" s="9" t="s">
        <v>39</v>
      </c>
      <c r="E787" s="10" t="s">
        <v>37</v>
      </c>
      <c r="F787" s="11"/>
      <c r="G787" t="s">
        <v>2403</v>
      </c>
      <c r="I787" t="s">
        <v>41</v>
      </c>
      <c r="J787" t="s">
        <v>2404</v>
      </c>
      <c r="K787" t="s">
        <v>43</v>
      </c>
      <c r="L787">
        <v>2</v>
      </c>
      <c r="M787" t="s">
        <v>44</v>
      </c>
      <c r="N787" t="s">
        <v>45</v>
      </c>
      <c r="O787" t="s">
        <v>46</v>
      </c>
      <c r="P787" s="5">
        <v>1</v>
      </c>
      <c r="Q787" s="12">
        <v>44769.71665509259</v>
      </c>
      <c r="R787" s="13">
        <v>44772</v>
      </c>
      <c r="T787" t="s">
        <v>47</v>
      </c>
      <c r="U787" t="s">
        <v>48</v>
      </c>
      <c r="V787" t="s">
        <v>85</v>
      </c>
      <c r="Y787" t="s">
        <v>2405</v>
      </c>
      <c r="Z787">
        <v>11900</v>
      </c>
      <c r="AA787" t="s">
        <v>47</v>
      </c>
      <c r="AB787" t="s">
        <v>64</v>
      </c>
      <c r="AC787" t="s">
        <v>53</v>
      </c>
      <c r="AD787" s="16">
        <f t="shared" si="89"/>
        <v>7</v>
      </c>
      <c r="AE787" s="15">
        <v>0</v>
      </c>
      <c r="AF787" s="15">
        <v>0</v>
      </c>
      <c r="AG787" s="15">
        <v>0</v>
      </c>
      <c r="AH787" s="15">
        <v>0</v>
      </c>
      <c r="AI787" s="15">
        <f t="shared" si="90"/>
        <v>0.42</v>
      </c>
      <c r="AJ787" s="15">
        <f t="shared" si="91"/>
        <v>7.42</v>
      </c>
      <c r="AK787" t="s">
        <v>47</v>
      </c>
    </row>
    <row r="788" spans="1:37" ht="15" customHeight="1" x14ac:dyDescent="0.35">
      <c r="A788">
        <v>690929</v>
      </c>
      <c r="B788" t="s">
        <v>37</v>
      </c>
      <c r="C788" t="s">
        <v>38</v>
      </c>
      <c r="D788" s="9" t="s">
        <v>39</v>
      </c>
      <c r="E788" s="10" t="s">
        <v>37</v>
      </c>
      <c r="F788" s="11"/>
      <c r="G788" t="s">
        <v>2406</v>
      </c>
      <c r="I788" t="s">
        <v>41</v>
      </c>
      <c r="J788" t="s">
        <v>2407</v>
      </c>
      <c r="K788" t="s">
        <v>43</v>
      </c>
      <c r="L788">
        <v>2</v>
      </c>
      <c r="M788" t="s">
        <v>44</v>
      </c>
      <c r="N788" t="s">
        <v>45</v>
      </c>
      <c r="O788" t="s">
        <v>46</v>
      </c>
      <c r="P788" s="5">
        <v>1</v>
      </c>
      <c r="Q788" s="12">
        <v>44769.722962962966</v>
      </c>
      <c r="R788" s="13">
        <v>44772</v>
      </c>
      <c r="T788" t="s">
        <v>47</v>
      </c>
      <c r="U788" t="s">
        <v>48</v>
      </c>
      <c r="V788" t="s">
        <v>85</v>
      </c>
      <c r="Y788" t="s">
        <v>2408</v>
      </c>
      <c r="Z788">
        <v>10450</v>
      </c>
      <c r="AA788" t="s">
        <v>47</v>
      </c>
      <c r="AB788" t="s">
        <v>64</v>
      </c>
      <c r="AC788" t="s">
        <v>53</v>
      </c>
      <c r="AD788" s="16">
        <f t="shared" si="89"/>
        <v>7</v>
      </c>
      <c r="AE788" s="15">
        <v>0</v>
      </c>
      <c r="AF788" s="15">
        <v>0</v>
      </c>
      <c r="AG788" s="15">
        <v>0</v>
      </c>
      <c r="AH788" s="15">
        <v>0</v>
      </c>
      <c r="AI788" s="15">
        <f t="shared" si="90"/>
        <v>0.42</v>
      </c>
      <c r="AJ788" s="15">
        <f t="shared" si="91"/>
        <v>7.42</v>
      </c>
      <c r="AK788" t="s">
        <v>47</v>
      </c>
    </row>
    <row r="789" spans="1:37" ht="15" customHeight="1" x14ac:dyDescent="0.35">
      <c r="A789">
        <v>690929</v>
      </c>
      <c r="B789" t="s">
        <v>37</v>
      </c>
      <c r="C789" t="s">
        <v>38</v>
      </c>
      <c r="D789" s="9" t="s">
        <v>39</v>
      </c>
      <c r="E789" s="10" t="s">
        <v>37</v>
      </c>
      <c r="F789" s="11"/>
      <c r="G789" t="s">
        <v>2409</v>
      </c>
      <c r="I789" t="s">
        <v>41</v>
      </c>
      <c r="J789" t="s">
        <v>2410</v>
      </c>
      <c r="K789" t="s">
        <v>43</v>
      </c>
      <c r="L789">
        <v>2</v>
      </c>
      <c r="M789" t="s">
        <v>44</v>
      </c>
      <c r="N789" t="s">
        <v>45</v>
      </c>
      <c r="O789" t="s">
        <v>46</v>
      </c>
      <c r="P789" s="5">
        <v>1</v>
      </c>
      <c r="Q789" s="12">
        <v>44769.744710648149</v>
      </c>
      <c r="R789" s="13">
        <v>44772</v>
      </c>
      <c r="T789" t="s">
        <v>47</v>
      </c>
      <c r="U789" t="s">
        <v>48</v>
      </c>
      <c r="V789" t="s">
        <v>100</v>
      </c>
      <c r="Y789" t="s">
        <v>2411</v>
      </c>
      <c r="Z789">
        <v>31100</v>
      </c>
      <c r="AA789" t="s">
        <v>47</v>
      </c>
      <c r="AB789" t="s">
        <v>64</v>
      </c>
      <c r="AC789" t="s">
        <v>53</v>
      </c>
      <c r="AD789" s="16">
        <f t="shared" si="89"/>
        <v>7</v>
      </c>
      <c r="AE789" s="15">
        <v>0</v>
      </c>
      <c r="AF789" s="15">
        <v>0</v>
      </c>
      <c r="AG789" s="15">
        <v>0</v>
      </c>
      <c r="AH789" s="15">
        <v>0</v>
      </c>
      <c r="AI789" s="15">
        <f t="shared" si="90"/>
        <v>0.42</v>
      </c>
      <c r="AJ789" s="15">
        <f t="shared" si="91"/>
        <v>7.42</v>
      </c>
      <c r="AK789" t="s">
        <v>47</v>
      </c>
    </row>
    <row r="790" spans="1:37" ht="15" customHeight="1" x14ac:dyDescent="0.35">
      <c r="A790">
        <v>690929</v>
      </c>
      <c r="B790" t="s">
        <v>37</v>
      </c>
      <c r="C790" t="s">
        <v>38</v>
      </c>
      <c r="D790" s="9" t="s">
        <v>39</v>
      </c>
      <c r="E790" s="10" t="s">
        <v>37</v>
      </c>
      <c r="F790" s="11"/>
      <c r="G790" t="s">
        <v>2412</v>
      </c>
      <c r="I790" t="s">
        <v>41</v>
      </c>
      <c r="J790" t="s">
        <v>1103</v>
      </c>
      <c r="K790" t="s">
        <v>43</v>
      </c>
      <c r="L790">
        <v>2</v>
      </c>
      <c r="M790" t="s">
        <v>44</v>
      </c>
      <c r="N790" t="s">
        <v>45</v>
      </c>
      <c r="O790" t="s">
        <v>46</v>
      </c>
      <c r="P790" s="5">
        <v>2</v>
      </c>
      <c r="Q790" s="12">
        <v>44769.705717592595</v>
      </c>
      <c r="R790" s="13">
        <v>44772</v>
      </c>
      <c r="T790" t="s">
        <v>47</v>
      </c>
      <c r="U790" t="s">
        <v>48</v>
      </c>
      <c r="V790" t="s">
        <v>100</v>
      </c>
      <c r="Y790" t="s">
        <v>1828</v>
      </c>
      <c r="Z790">
        <v>32400</v>
      </c>
      <c r="AA790" t="s">
        <v>47</v>
      </c>
      <c r="AB790" t="s">
        <v>64</v>
      </c>
      <c r="AC790" t="s">
        <v>53</v>
      </c>
      <c r="AD790" s="16">
        <f t="shared" si="89"/>
        <v>7.8</v>
      </c>
      <c r="AE790" s="15">
        <v>0</v>
      </c>
      <c r="AF790" s="15">
        <v>0</v>
      </c>
      <c r="AG790" s="15">
        <v>0</v>
      </c>
      <c r="AH790" s="15">
        <v>0</v>
      </c>
      <c r="AI790" s="15">
        <f t="shared" si="90"/>
        <v>0.46799999999999997</v>
      </c>
      <c r="AJ790" s="15">
        <f t="shared" si="91"/>
        <v>8.2680000000000007</v>
      </c>
      <c r="AK790" t="s">
        <v>47</v>
      </c>
    </row>
    <row r="791" spans="1:37" ht="15" customHeight="1" x14ac:dyDescent="0.35">
      <c r="A791">
        <v>690929</v>
      </c>
      <c r="B791" t="s">
        <v>37</v>
      </c>
      <c r="C791" t="s">
        <v>38</v>
      </c>
      <c r="D791" s="9" t="s">
        <v>39</v>
      </c>
      <c r="E791" s="10" t="s">
        <v>37</v>
      </c>
      <c r="F791" s="11"/>
      <c r="G791" t="s">
        <v>2413</v>
      </c>
      <c r="I791" t="s">
        <v>41</v>
      </c>
      <c r="J791" t="s">
        <v>2414</v>
      </c>
      <c r="K791" t="s">
        <v>43</v>
      </c>
      <c r="L791">
        <v>2</v>
      </c>
      <c r="M791" t="s">
        <v>44</v>
      </c>
      <c r="N791" t="s">
        <v>45</v>
      </c>
      <c r="O791" t="s">
        <v>46</v>
      </c>
      <c r="P791" s="5">
        <v>1</v>
      </c>
      <c r="Q791" s="12">
        <v>44770.591585648152</v>
      </c>
      <c r="R791" s="13">
        <v>44772</v>
      </c>
      <c r="T791" t="s">
        <v>47</v>
      </c>
      <c r="U791" t="s">
        <v>48</v>
      </c>
      <c r="V791" t="s">
        <v>71</v>
      </c>
      <c r="Y791" t="s">
        <v>2415</v>
      </c>
      <c r="Z791">
        <v>8500</v>
      </c>
      <c r="AA791" t="s">
        <v>47</v>
      </c>
      <c r="AB791" t="s">
        <v>64</v>
      </c>
      <c r="AC791" t="s">
        <v>53</v>
      </c>
      <c r="AD791" s="16">
        <f t="shared" si="89"/>
        <v>7</v>
      </c>
      <c r="AE791" s="15">
        <v>0</v>
      </c>
      <c r="AF791" s="15">
        <v>0</v>
      </c>
      <c r="AG791" s="15">
        <v>0</v>
      </c>
      <c r="AH791" s="15">
        <v>0</v>
      </c>
      <c r="AI791" s="15">
        <f t="shared" si="90"/>
        <v>0.42</v>
      </c>
      <c r="AJ791" s="15">
        <f t="shared" si="91"/>
        <v>7.42</v>
      </c>
      <c r="AK791" t="s">
        <v>47</v>
      </c>
    </row>
    <row r="792" spans="1:37" ht="15" customHeight="1" x14ac:dyDescent="0.35">
      <c r="A792">
        <v>690929</v>
      </c>
      <c r="B792" t="s">
        <v>37</v>
      </c>
      <c r="C792" t="s">
        <v>38</v>
      </c>
      <c r="D792" s="9" t="s">
        <v>39</v>
      </c>
      <c r="E792" s="10" t="s">
        <v>37</v>
      </c>
      <c r="F792" s="11"/>
      <c r="G792" t="s">
        <v>2416</v>
      </c>
      <c r="I792" t="s">
        <v>41</v>
      </c>
      <c r="J792" t="s">
        <v>2417</v>
      </c>
      <c r="K792" t="s">
        <v>43</v>
      </c>
      <c r="L792">
        <v>2</v>
      </c>
      <c r="M792" t="s">
        <v>44</v>
      </c>
      <c r="N792" t="s">
        <v>45</v>
      </c>
      <c r="O792" t="s">
        <v>46</v>
      </c>
      <c r="P792" s="5">
        <v>1</v>
      </c>
      <c r="Q792" s="12">
        <v>44770.594328703701</v>
      </c>
      <c r="R792" s="13">
        <v>44772</v>
      </c>
      <c r="T792" t="s">
        <v>47</v>
      </c>
      <c r="U792" t="s">
        <v>48</v>
      </c>
      <c r="V792" t="s">
        <v>71</v>
      </c>
      <c r="Y792" t="s">
        <v>2418</v>
      </c>
      <c r="Z792">
        <v>9090</v>
      </c>
      <c r="AA792" t="s">
        <v>47</v>
      </c>
      <c r="AB792" t="s">
        <v>64</v>
      </c>
      <c r="AC792" t="s">
        <v>53</v>
      </c>
      <c r="AD792" s="16">
        <f t="shared" si="89"/>
        <v>7</v>
      </c>
      <c r="AE792" s="15">
        <v>0</v>
      </c>
      <c r="AF792" s="15">
        <v>0</v>
      </c>
      <c r="AG792" s="15">
        <v>0</v>
      </c>
      <c r="AH792" s="15">
        <v>0</v>
      </c>
      <c r="AI792" s="15">
        <f t="shared" si="90"/>
        <v>0.42</v>
      </c>
      <c r="AJ792" s="15">
        <f t="shared" si="91"/>
        <v>7.42</v>
      </c>
      <c r="AK792" t="s">
        <v>47</v>
      </c>
    </row>
    <row r="793" spans="1:37" ht="15" customHeight="1" x14ac:dyDescent="0.35">
      <c r="A793">
        <v>690929</v>
      </c>
      <c r="B793" t="s">
        <v>37</v>
      </c>
      <c r="C793" t="s">
        <v>38</v>
      </c>
      <c r="D793" s="9" t="s">
        <v>39</v>
      </c>
      <c r="E793" s="10" t="s">
        <v>37</v>
      </c>
      <c r="F793" s="11"/>
      <c r="G793" t="s">
        <v>2419</v>
      </c>
      <c r="I793" t="s">
        <v>41</v>
      </c>
      <c r="J793" t="s">
        <v>2420</v>
      </c>
      <c r="K793" t="s">
        <v>43</v>
      </c>
      <c r="L793">
        <v>2</v>
      </c>
      <c r="M793" t="s">
        <v>44</v>
      </c>
      <c r="N793" t="s">
        <v>45</v>
      </c>
      <c r="O793" t="s">
        <v>46</v>
      </c>
      <c r="P793" s="5">
        <v>1</v>
      </c>
      <c r="Q793" s="12">
        <v>44767.735937500001</v>
      </c>
      <c r="R793" s="13">
        <v>44772</v>
      </c>
      <c r="T793" t="s">
        <v>47</v>
      </c>
      <c r="U793" t="s">
        <v>48</v>
      </c>
      <c r="V793" t="s">
        <v>114</v>
      </c>
      <c r="Y793" t="s">
        <v>2421</v>
      </c>
      <c r="Z793">
        <v>43200</v>
      </c>
      <c r="AA793" t="s">
        <v>47</v>
      </c>
      <c r="AB793" t="s">
        <v>64</v>
      </c>
      <c r="AC793" t="s">
        <v>53</v>
      </c>
      <c r="AD793" s="16">
        <f t="shared" si="89"/>
        <v>7</v>
      </c>
      <c r="AE793" s="15">
        <v>0</v>
      </c>
      <c r="AF793" s="15">
        <v>0</v>
      </c>
      <c r="AG793" s="15">
        <v>0</v>
      </c>
      <c r="AH793" s="15">
        <v>0</v>
      </c>
      <c r="AI793" s="15">
        <f t="shared" si="90"/>
        <v>0.42</v>
      </c>
      <c r="AJ793" s="15">
        <f t="shared" si="91"/>
        <v>7.42</v>
      </c>
      <c r="AK793" t="s">
        <v>47</v>
      </c>
    </row>
    <row r="794" spans="1:37" ht="15" customHeight="1" x14ac:dyDescent="0.35">
      <c r="A794">
        <v>690929</v>
      </c>
      <c r="B794" t="s">
        <v>37</v>
      </c>
      <c r="C794" t="s">
        <v>38</v>
      </c>
      <c r="D794" s="9" t="s">
        <v>39</v>
      </c>
      <c r="E794" s="10" t="s">
        <v>37</v>
      </c>
      <c r="F794" s="11"/>
      <c r="G794" t="s">
        <v>2422</v>
      </c>
      <c r="I794" t="s">
        <v>41</v>
      </c>
      <c r="J794" t="s">
        <v>2423</v>
      </c>
      <c r="K794" t="s">
        <v>43</v>
      </c>
      <c r="L794">
        <v>2</v>
      </c>
      <c r="M794" t="s">
        <v>44</v>
      </c>
      <c r="N794" t="s">
        <v>45</v>
      </c>
      <c r="O794" t="s">
        <v>46</v>
      </c>
      <c r="P794" s="5">
        <v>18</v>
      </c>
      <c r="Q794" s="12">
        <v>44768.45758101852</v>
      </c>
      <c r="R794" s="13">
        <v>44772</v>
      </c>
      <c r="T794" t="s">
        <v>47</v>
      </c>
      <c r="U794" t="s">
        <v>48</v>
      </c>
      <c r="V794" t="s">
        <v>80</v>
      </c>
      <c r="Y794" t="s">
        <v>2424</v>
      </c>
      <c r="Z794">
        <v>93250</v>
      </c>
      <c r="AA794" t="s">
        <v>51</v>
      </c>
      <c r="AB794" t="s">
        <v>111</v>
      </c>
      <c r="AC794" t="s">
        <v>53</v>
      </c>
      <c r="AD794" s="14">
        <f>IF(P794&lt;=1,13,IF(P794&lt;=2,23,IF(P794&lt;=3,35,IF(P794&lt;=4,43,IF(P794&lt;=5,53,IF(P794&lt;=6,63,IF(P794&lt;=7,71,IF(P794&lt;=8,79,IF(P794&lt;=9,87,IF(P794&lt;=10,95,IF(P794&lt;=11,105,IF(P794&lt;=12,114,IF(P794&lt;=13,119,IF(P794&lt;=14,127,IF(P794&lt;=15,135,IF(P794&lt;=16,143,IF(P794&lt;=17,153,IF(P794&lt;=18,163,IF(P794&lt;=19,171,IF(P794&lt;=20,185,IF(P794&lt;=21,193,IF(P794&lt;=22,201,IF(P794&lt;=23,210,IF(P794&lt;=24,220,IF(P794&lt;=25,230,IF(P794&lt;=26,240,IF(P794&lt;=27,250,IF(P794&lt;=28,260,IF(P794&lt;=29,270,IF(P794&lt;=30,280,280))))))))))))))))))))))))))))))</f>
        <v>163</v>
      </c>
      <c r="AE794" s="15">
        <v>0</v>
      </c>
      <c r="AF794" s="15">
        <v>0</v>
      </c>
      <c r="AG794" s="15">
        <v>0</v>
      </c>
      <c r="AH794" s="15">
        <v>0</v>
      </c>
      <c r="AI794" s="15">
        <f t="shared" si="90"/>
        <v>9.7799999999999994</v>
      </c>
      <c r="AJ794" s="15">
        <f t="shared" si="91"/>
        <v>172.78</v>
      </c>
      <c r="AK794" t="s">
        <v>51</v>
      </c>
    </row>
    <row r="795" spans="1:37" ht="15" customHeight="1" x14ac:dyDescent="0.35">
      <c r="A795">
        <v>690929</v>
      </c>
      <c r="B795" t="s">
        <v>37</v>
      </c>
      <c r="C795" t="s">
        <v>38</v>
      </c>
      <c r="D795" s="9" t="s">
        <v>39</v>
      </c>
      <c r="E795" s="10" t="s">
        <v>37</v>
      </c>
      <c r="F795" s="11"/>
      <c r="G795" t="s">
        <v>2425</v>
      </c>
      <c r="I795" t="s">
        <v>41</v>
      </c>
      <c r="J795" t="s">
        <v>2423</v>
      </c>
      <c r="K795" t="s">
        <v>43</v>
      </c>
      <c r="L795">
        <v>2</v>
      </c>
      <c r="M795" t="s">
        <v>44</v>
      </c>
      <c r="N795" t="s">
        <v>45</v>
      </c>
      <c r="O795" t="s">
        <v>46</v>
      </c>
      <c r="P795" s="5">
        <v>5</v>
      </c>
      <c r="Q795" s="12">
        <v>44768.453773148147</v>
      </c>
      <c r="R795" s="13">
        <v>44772</v>
      </c>
      <c r="T795" t="s">
        <v>47</v>
      </c>
      <c r="U795" t="s">
        <v>48</v>
      </c>
      <c r="V795" t="s">
        <v>80</v>
      </c>
      <c r="Y795" t="s">
        <v>2426</v>
      </c>
      <c r="Z795">
        <v>93250</v>
      </c>
      <c r="AA795" t="s">
        <v>51</v>
      </c>
      <c r="AB795" t="s">
        <v>111</v>
      </c>
      <c r="AC795" t="s">
        <v>53</v>
      </c>
      <c r="AD795" s="14">
        <f>IF(P795&lt;=1,13,IF(P795&lt;=2,23,IF(P795&lt;=3,35,IF(P795&lt;=4,43,IF(P795&lt;=5,53,IF(P795&lt;=6,63,IF(P795&lt;=7,71,IF(P795&lt;=8,79,IF(P795&lt;=9,87,IF(P795&lt;=10,95,IF(P795&lt;=11,105,IF(P795&lt;=12,114,IF(P795&lt;=13,119,IF(P795&lt;=14,127,IF(P795&lt;=15,135,IF(P795&lt;=16,143,IF(P795&lt;=17,153,IF(P795&lt;=18,163,IF(P795&lt;=19,171,IF(P795&lt;=20,185,IF(P795&lt;=21,193,IF(P795&lt;=22,201,IF(P795&lt;=23,210,IF(P795&lt;=24,220,IF(P795&lt;=25,230,IF(P795&lt;=26,240,IF(P795&lt;=27,250,IF(P795&lt;=28,260,IF(P795&lt;=29,270,IF(P795&lt;=30,280,280))))))))))))))))))))))))))))))</f>
        <v>53</v>
      </c>
      <c r="AE795" s="15">
        <v>0</v>
      </c>
      <c r="AF795" s="15">
        <v>0</v>
      </c>
      <c r="AG795" s="15">
        <v>0</v>
      </c>
      <c r="AH795" s="15">
        <v>0</v>
      </c>
      <c r="AI795" s="15">
        <f t="shared" si="90"/>
        <v>3.1799999999999997</v>
      </c>
      <c r="AJ795" s="15">
        <f t="shared" si="91"/>
        <v>56.18</v>
      </c>
      <c r="AK795" t="s">
        <v>51</v>
      </c>
    </row>
    <row r="796" spans="1:37" ht="15" customHeight="1" x14ac:dyDescent="0.35">
      <c r="A796">
        <v>690929</v>
      </c>
      <c r="B796" t="s">
        <v>37</v>
      </c>
      <c r="C796" t="s">
        <v>38</v>
      </c>
      <c r="D796" s="9" t="s">
        <v>39</v>
      </c>
      <c r="E796" s="10" t="s">
        <v>37</v>
      </c>
      <c r="F796" s="11"/>
      <c r="G796" t="s">
        <v>2427</v>
      </c>
      <c r="I796" t="s">
        <v>41</v>
      </c>
      <c r="J796" t="s">
        <v>861</v>
      </c>
      <c r="K796" t="s">
        <v>43</v>
      </c>
      <c r="L796">
        <v>2</v>
      </c>
      <c r="M796" t="s">
        <v>44</v>
      </c>
      <c r="N796" t="s">
        <v>45</v>
      </c>
      <c r="O796" t="s">
        <v>46</v>
      </c>
      <c r="P796" s="5">
        <v>1</v>
      </c>
      <c r="Q796" s="12">
        <v>44770.759409722225</v>
      </c>
      <c r="R796" s="13">
        <v>44772</v>
      </c>
      <c r="T796" t="s">
        <v>47</v>
      </c>
      <c r="U796" t="s">
        <v>56</v>
      </c>
      <c r="V796" t="s">
        <v>67</v>
      </c>
      <c r="Y796" t="s">
        <v>862</v>
      </c>
      <c r="Z796">
        <v>26600</v>
      </c>
      <c r="AA796" t="s">
        <v>47</v>
      </c>
      <c r="AB796" t="s">
        <v>56</v>
      </c>
      <c r="AC796" t="s">
        <v>53</v>
      </c>
      <c r="AD796" s="16">
        <f t="shared" ref="AD796:AD814" si="92">IF(P796&lt;=1,7,7+0.8*ROUNDUP(P796-1,0))</f>
        <v>7</v>
      </c>
      <c r="AE796" s="15">
        <v>0</v>
      </c>
      <c r="AF796" s="15">
        <v>0</v>
      </c>
      <c r="AG796" s="15">
        <v>0</v>
      </c>
      <c r="AH796" s="15">
        <v>0</v>
      </c>
      <c r="AI796" s="15">
        <f t="shared" si="90"/>
        <v>0.42</v>
      </c>
      <c r="AJ796" s="15">
        <f t="shared" si="91"/>
        <v>7.42</v>
      </c>
      <c r="AK796" t="s">
        <v>47</v>
      </c>
    </row>
    <row r="797" spans="1:37" ht="15" customHeight="1" x14ac:dyDescent="0.35">
      <c r="A797">
        <v>690929</v>
      </c>
      <c r="B797" t="s">
        <v>37</v>
      </c>
      <c r="C797" t="s">
        <v>38</v>
      </c>
      <c r="D797" s="9" t="s">
        <v>39</v>
      </c>
      <c r="E797" s="10" t="s">
        <v>37</v>
      </c>
      <c r="F797" s="11"/>
      <c r="G797" t="s">
        <v>2428</v>
      </c>
      <c r="I797" t="s">
        <v>41</v>
      </c>
      <c r="J797" t="s">
        <v>2429</v>
      </c>
      <c r="K797" t="s">
        <v>43</v>
      </c>
      <c r="L797">
        <v>2</v>
      </c>
      <c r="M797" t="s">
        <v>44</v>
      </c>
      <c r="N797" t="s">
        <v>45</v>
      </c>
      <c r="O797" t="s">
        <v>46</v>
      </c>
      <c r="P797" s="5">
        <v>1</v>
      </c>
      <c r="Q797" s="12">
        <v>44770.590081018519</v>
      </c>
      <c r="R797" s="13">
        <v>44772</v>
      </c>
      <c r="T797" t="s">
        <v>47</v>
      </c>
      <c r="U797" t="s">
        <v>48</v>
      </c>
      <c r="V797" t="s">
        <v>114</v>
      </c>
      <c r="Y797" t="s">
        <v>2430</v>
      </c>
      <c r="Z797">
        <v>68100</v>
      </c>
      <c r="AA797" t="s">
        <v>47</v>
      </c>
      <c r="AB797" t="s">
        <v>64</v>
      </c>
      <c r="AC797" t="s">
        <v>53</v>
      </c>
      <c r="AD797" s="16">
        <f t="shared" si="92"/>
        <v>7</v>
      </c>
      <c r="AE797" s="15">
        <v>0</v>
      </c>
      <c r="AF797" s="15">
        <v>0</v>
      </c>
      <c r="AG797" s="15">
        <v>0</v>
      </c>
      <c r="AH797" s="15">
        <v>0</v>
      </c>
      <c r="AI797" s="15">
        <f t="shared" si="90"/>
        <v>0.42</v>
      </c>
      <c r="AJ797" s="15">
        <f t="shared" si="91"/>
        <v>7.42</v>
      </c>
      <c r="AK797" t="s">
        <v>47</v>
      </c>
    </row>
    <row r="798" spans="1:37" ht="15" customHeight="1" x14ac:dyDescent="0.35">
      <c r="A798">
        <v>690929</v>
      </c>
      <c r="B798" t="s">
        <v>37</v>
      </c>
      <c r="C798" t="s">
        <v>38</v>
      </c>
      <c r="D798" s="9" t="s">
        <v>39</v>
      </c>
      <c r="E798" s="10" t="s">
        <v>37</v>
      </c>
      <c r="F798" s="11"/>
      <c r="G798" t="s">
        <v>2431</v>
      </c>
      <c r="I798" t="s">
        <v>41</v>
      </c>
      <c r="J798" t="s">
        <v>2432</v>
      </c>
      <c r="K798" t="s">
        <v>43</v>
      </c>
      <c r="L798">
        <v>2</v>
      </c>
      <c r="M798" t="s">
        <v>44</v>
      </c>
      <c r="N798" t="s">
        <v>45</v>
      </c>
      <c r="O798" t="s">
        <v>46</v>
      </c>
      <c r="P798" s="5">
        <v>1</v>
      </c>
      <c r="Q798" s="12">
        <v>44770.674120370371</v>
      </c>
      <c r="R798" s="13">
        <v>44772</v>
      </c>
      <c r="T798" t="s">
        <v>47</v>
      </c>
      <c r="U798" t="s">
        <v>48</v>
      </c>
      <c r="V798" t="s">
        <v>67</v>
      </c>
      <c r="Y798" t="s">
        <v>2433</v>
      </c>
      <c r="Z798">
        <v>27600</v>
      </c>
      <c r="AA798" t="s">
        <v>47</v>
      </c>
      <c r="AB798" t="s">
        <v>64</v>
      </c>
      <c r="AC798" t="s">
        <v>53</v>
      </c>
      <c r="AD798" s="16">
        <f t="shared" si="92"/>
        <v>7</v>
      </c>
      <c r="AE798" s="15">
        <v>0</v>
      </c>
      <c r="AF798" s="15">
        <v>0</v>
      </c>
      <c r="AG798" s="15">
        <v>0</v>
      </c>
      <c r="AH798" s="15">
        <v>0</v>
      </c>
      <c r="AI798" s="15">
        <f t="shared" si="90"/>
        <v>0.42</v>
      </c>
      <c r="AJ798" s="15">
        <f t="shared" si="91"/>
        <v>7.42</v>
      </c>
      <c r="AK798" t="s">
        <v>47</v>
      </c>
    </row>
    <row r="799" spans="1:37" ht="15" customHeight="1" x14ac:dyDescent="0.35">
      <c r="A799">
        <v>690929</v>
      </c>
      <c r="B799" t="s">
        <v>37</v>
      </c>
      <c r="C799" t="s">
        <v>38</v>
      </c>
      <c r="D799" s="9" t="s">
        <v>39</v>
      </c>
      <c r="E799" s="10" t="s">
        <v>37</v>
      </c>
      <c r="F799" s="11"/>
      <c r="G799" t="s">
        <v>2434</v>
      </c>
      <c r="I799" t="s">
        <v>41</v>
      </c>
      <c r="J799" t="s">
        <v>2435</v>
      </c>
      <c r="K799" t="s">
        <v>43</v>
      </c>
      <c r="L799">
        <v>2</v>
      </c>
      <c r="M799" t="s">
        <v>44</v>
      </c>
      <c r="N799" t="s">
        <v>45</v>
      </c>
      <c r="O799" t="s">
        <v>46</v>
      </c>
      <c r="P799" s="5">
        <v>1</v>
      </c>
      <c r="Q799" s="12">
        <v>44770.505983796298</v>
      </c>
      <c r="R799" s="13">
        <v>44772</v>
      </c>
      <c r="T799" t="s">
        <v>47</v>
      </c>
      <c r="U799" t="s">
        <v>48</v>
      </c>
      <c r="V799" t="s">
        <v>96</v>
      </c>
      <c r="Y799" t="s">
        <v>2436</v>
      </c>
      <c r="Z799">
        <v>18300</v>
      </c>
      <c r="AA799" t="s">
        <v>47</v>
      </c>
      <c r="AB799" t="s">
        <v>56</v>
      </c>
      <c r="AC799" t="s">
        <v>53</v>
      </c>
      <c r="AD799" s="16">
        <f t="shared" si="92"/>
        <v>7</v>
      </c>
      <c r="AE799" s="15">
        <v>0</v>
      </c>
      <c r="AF799" s="15">
        <v>0</v>
      </c>
      <c r="AG799" s="15">
        <v>0</v>
      </c>
      <c r="AH799" s="15">
        <v>0</v>
      </c>
      <c r="AI799" s="15">
        <f t="shared" si="90"/>
        <v>0.42</v>
      </c>
      <c r="AJ799" s="15">
        <f t="shared" si="91"/>
        <v>7.42</v>
      </c>
      <c r="AK799" t="s">
        <v>47</v>
      </c>
    </row>
    <row r="800" spans="1:37" ht="15" customHeight="1" x14ac:dyDescent="0.35">
      <c r="A800">
        <v>690929</v>
      </c>
      <c r="B800" t="s">
        <v>37</v>
      </c>
      <c r="C800" t="s">
        <v>38</v>
      </c>
      <c r="D800" s="9" t="s">
        <v>39</v>
      </c>
      <c r="E800" s="10" t="s">
        <v>37</v>
      </c>
      <c r="F800" s="11"/>
      <c r="G800" t="s">
        <v>2437</v>
      </c>
      <c r="I800" t="s">
        <v>41</v>
      </c>
      <c r="J800" t="s">
        <v>2438</v>
      </c>
      <c r="K800" t="s">
        <v>43</v>
      </c>
      <c r="L800">
        <v>2</v>
      </c>
      <c r="M800" t="s">
        <v>44</v>
      </c>
      <c r="N800" t="s">
        <v>45</v>
      </c>
      <c r="O800" t="s">
        <v>46</v>
      </c>
      <c r="P800" s="5">
        <v>2</v>
      </c>
      <c r="Q800" s="12">
        <v>44770.780949074076</v>
      </c>
      <c r="R800" s="13">
        <v>44772</v>
      </c>
      <c r="T800" t="s">
        <v>47</v>
      </c>
      <c r="U800" t="s">
        <v>56</v>
      </c>
      <c r="V800" t="s">
        <v>114</v>
      </c>
      <c r="Y800" t="s">
        <v>2439</v>
      </c>
      <c r="Z800">
        <v>68000</v>
      </c>
      <c r="AA800" t="s">
        <v>47</v>
      </c>
      <c r="AB800" t="s">
        <v>2290</v>
      </c>
      <c r="AC800" t="s">
        <v>53</v>
      </c>
      <c r="AD800" s="16">
        <f t="shared" si="92"/>
        <v>7.8</v>
      </c>
      <c r="AE800" s="15">
        <v>0</v>
      </c>
      <c r="AF800" s="15">
        <v>0</v>
      </c>
      <c r="AG800" s="15">
        <v>0</v>
      </c>
      <c r="AH800" s="15">
        <v>0</v>
      </c>
      <c r="AI800" s="15">
        <f t="shared" si="90"/>
        <v>0.46799999999999997</v>
      </c>
      <c r="AJ800" s="15">
        <f t="shared" si="91"/>
        <v>8.2680000000000007</v>
      </c>
      <c r="AK800" t="s">
        <v>47</v>
      </c>
    </row>
    <row r="801" spans="1:37" ht="15" customHeight="1" x14ac:dyDescent="0.35">
      <c r="A801">
        <v>690929</v>
      </c>
      <c r="B801" t="s">
        <v>37</v>
      </c>
      <c r="C801" t="s">
        <v>38</v>
      </c>
      <c r="D801" s="9" t="s">
        <v>39</v>
      </c>
      <c r="E801" s="10" t="s">
        <v>37</v>
      </c>
      <c r="F801" s="11"/>
      <c r="G801" t="s">
        <v>2440</v>
      </c>
      <c r="I801" t="s">
        <v>41</v>
      </c>
      <c r="J801" t="s">
        <v>2441</v>
      </c>
      <c r="K801" t="s">
        <v>43</v>
      </c>
      <c r="L801">
        <v>2</v>
      </c>
      <c r="M801" t="s">
        <v>44</v>
      </c>
      <c r="N801" t="s">
        <v>45</v>
      </c>
      <c r="O801" t="s">
        <v>46</v>
      </c>
      <c r="P801" s="5">
        <v>1</v>
      </c>
      <c r="Q801" s="12">
        <v>44769.733912037038</v>
      </c>
      <c r="R801" s="13">
        <v>44772</v>
      </c>
      <c r="T801" t="s">
        <v>47</v>
      </c>
      <c r="U801" t="s">
        <v>48</v>
      </c>
      <c r="V801" t="s">
        <v>100</v>
      </c>
      <c r="Y801" t="s">
        <v>2442</v>
      </c>
      <c r="Z801">
        <v>33400</v>
      </c>
      <c r="AA801" t="s">
        <v>47</v>
      </c>
      <c r="AB801" t="s">
        <v>64</v>
      </c>
      <c r="AC801" t="s">
        <v>53</v>
      </c>
      <c r="AD801" s="16">
        <f t="shared" si="92"/>
        <v>7</v>
      </c>
      <c r="AE801" s="15">
        <v>0</v>
      </c>
      <c r="AF801" s="15">
        <v>0</v>
      </c>
      <c r="AG801" s="15">
        <v>0</v>
      </c>
      <c r="AH801" s="15">
        <v>0</v>
      </c>
      <c r="AI801" s="15">
        <f t="shared" si="90"/>
        <v>0.42</v>
      </c>
      <c r="AJ801" s="15">
        <f t="shared" si="91"/>
        <v>7.42</v>
      </c>
      <c r="AK801" t="s">
        <v>47</v>
      </c>
    </row>
    <row r="802" spans="1:37" ht="15" customHeight="1" x14ac:dyDescent="0.35">
      <c r="A802">
        <v>690929</v>
      </c>
      <c r="B802" t="s">
        <v>37</v>
      </c>
      <c r="C802" t="s">
        <v>38</v>
      </c>
      <c r="D802" s="9" t="s">
        <v>39</v>
      </c>
      <c r="E802" s="10" t="s">
        <v>37</v>
      </c>
      <c r="F802" s="11"/>
      <c r="G802" t="s">
        <v>2443</v>
      </c>
      <c r="I802" t="s">
        <v>41</v>
      </c>
      <c r="J802" t="s">
        <v>2444</v>
      </c>
      <c r="K802" t="s">
        <v>43</v>
      </c>
      <c r="L802">
        <v>2</v>
      </c>
      <c r="M802" t="s">
        <v>44</v>
      </c>
      <c r="N802" t="s">
        <v>45</v>
      </c>
      <c r="O802" t="s">
        <v>46</v>
      </c>
      <c r="P802" s="5">
        <v>12</v>
      </c>
      <c r="Q802" s="12">
        <v>44770.525277777779</v>
      </c>
      <c r="R802" s="13">
        <v>44772</v>
      </c>
      <c r="T802" t="s">
        <v>47</v>
      </c>
      <c r="U802" t="s">
        <v>48</v>
      </c>
      <c r="V802" t="s">
        <v>138</v>
      </c>
      <c r="Y802" t="s">
        <v>2445</v>
      </c>
      <c r="Z802">
        <v>71050</v>
      </c>
      <c r="AA802" t="s">
        <v>47</v>
      </c>
      <c r="AB802" t="s">
        <v>2446</v>
      </c>
      <c r="AC802" t="s">
        <v>53</v>
      </c>
      <c r="AD802" s="16">
        <f t="shared" si="92"/>
        <v>15.8</v>
      </c>
      <c r="AE802" s="15">
        <v>0</v>
      </c>
      <c r="AF802" s="15">
        <v>0</v>
      </c>
      <c r="AG802" s="15">
        <v>0</v>
      </c>
      <c r="AH802" s="15">
        <v>0</v>
      </c>
      <c r="AI802" s="15">
        <f t="shared" si="90"/>
        <v>0.94799999999999995</v>
      </c>
      <c r="AJ802" s="15">
        <f t="shared" si="91"/>
        <v>16.748000000000001</v>
      </c>
      <c r="AK802" t="s">
        <v>47</v>
      </c>
    </row>
    <row r="803" spans="1:37" ht="15" customHeight="1" x14ac:dyDescent="0.35">
      <c r="A803">
        <v>690929</v>
      </c>
      <c r="B803" t="s">
        <v>37</v>
      </c>
      <c r="C803" t="s">
        <v>38</v>
      </c>
      <c r="D803" s="9" t="s">
        <v>39</v>
      </c>
      <c r="E803" s="10" t="s">
        <v>37</v>
      </c>
      <c r="F803" s="11"/>
      <c r="G803" t="s">
        <v>2447</v>
      </c>
      <c r="I803" t="s">
        <v>41</v>
      </c>
      <c r="J803" t="s">
        <v>2448</v>
      </c>
      <c r="K803" t="s">
        <v>43</v>
      </c>
      <c r="L803">
        <v>2</v>
      </c>
      <c r="M803" t="s">
        <v>44</v>
      </c>
      <c r="N803" t="s">
        <v>45</v>
      </c>
      <c r="O803" t="s">
        <v>46</v>
      </c>
      <c r="P803" s="5">
        <v>4</v>
      </c>
      <c r="Q803" s="12">
        <v>44770.599062499998</v>
      </c>
      <c r="R803" s="13">
        <v>44772</v>
      </c>
      <c r="T803" t="s">
        <v>47</v>
      </c>
      <c r="U803" t="s">
        <v>48</v>
      </c>
      <c r="V803" t="s">
        <v>96</v>
      </c>
      <c r="Y803" t="s">
        <v>2449</v>
      </c>
      <c r="Z803">
        <v>17610</v>
      </c>
      <c r="AA803" t="s">
        <v>47</v>
      </c>
      <c r="AB803" t="s">
        <v>212</v>
      </c>
      <c r="AC803" t="s">
        <v>53</v>
      </c>
      <c r="AD803" s="16">
        <f t="shared" si="92"/>
        <v>9.4</v>
      </c>
      <c r="AE803" s="15">
        <v>0</v>
      </c>
      <c r="AF803" s="15">
        <v>0</v>
      </c>
      <c r="AG803" s="15">
        <v>0</v>
      </c>
      <c r="AH803" s="15">
        <v>0</v>
      </c>
      <c r="AI803" s="15">
        <f t="shared" si="90"/>
        <v>0.56399999999999995</v>
      </c>
      <c r="AJ803" s="15">
        <f t="shared" si="91"/>
        <v>9.9640000000000004</v>
      </c>
      <c r="AK803" t="s">
        <v>47</v>
      </c>
    </row>
    <row r="804" spans="1:37" ht="15" customHeight="1" x14ac:dyDescent="0.35">
      <c r="A804">
        <v>690929</v>
      </c>
      <c r="B804" t="s">
        <v>37</v>
      </c>
      <c r="C804" t="s">
        <v>38</v>
      </c>
      <c r="D804" s="9" t="s">
        <v>39</v>
      </c>
      <c r="E804" s="10" t="s">
        <v>37</v>
      </c>
      <c r="F804" s="11"/>
      <c r="G804" t="s">
        <v>2450</v>
      </c>
      <c r="I804" t="s">
        <v>41</v>
      </c>
      <c r="J804" t="s">
        <v>2451</v>
      </c>
      <c r="K804" t="s">
        <v>43</v>
      </c>
      <c r="L804">
        <v>2</v>
      </c>
      <c r="M804" t="s">
        <v>44</v>
      </c>
      <c r="N804" t="s">
        <v>45</v>
      </c>
      <c r="O804" t="s">
        <v>46</v>
      </c>
      <c r="P804" s="5">
        <v>1</v>
      </c>
      <c r="Q804" s="12">
        <v>44771.657129629632</v>
      </c>
      <c r="R804" s="13">
        <v>44773</v>
      </c>
      <c r="T804" t="s">
        <v>47</v>
      </c>
      <c r="U804" t="s">
        <v>48</v>
      </c>
      <c r="V804" t="s">
        <v>114</v>
      </c>
      <c r="Y804" t="s">
        <v>2452</v>
      </c>
      <c r="Z804">
        <v>44000</v>
      </c>
      <c r="AA804" t="s">
        <v>47</v>
      </c>
      <c r="AB804" t="s">
        <v>64</v>
      </c>
      <c r="AC804" t="s">
        <v>53</v>
      </c>
      <c r="AD804" s="16">
        <f t="shared" si="92"/>
        <v>7</v>
      </c>
      <c r="AE804" s="15">
        <v>0</v>
      </c>
      <c r="AF804" s="15">
        <v>0</v>
      </c>
      <c r="AG804" s="15">
        <v>0</v>
      </c>
      <c r="AH804" s="15">
        <v>0</v>
      </c>
      <c r="AI804" s="15">
        <f t="shared" si="90"/>
        <v>0.42</v>
      </c>
      <c r="AJ804" s="15">
        <f t="shared" si="91"/>
        <v>7.42</v>
      </c>
      <c r="AK804" t="s">
        <v>47</v>
      </c>
    </row>
    <row r="805" spans="1:37" ht="15" customHeight="1" x14ac:dyDescent="0.35">
      <c r="A805">
        <v>690929</v>
      </c>
      <c r="B805" t="s">
        <v>37</v>
      </c>
      <c r="C805" t="s">
        <v>38</v>
      </c>
      <c r="D805" s="9" t="s">
        <v>39</v>
      </c>
      <c r="E805" s="10" t="s">
        <v>37</v>
      </c>
      <c r="F805" s="11"/>
      <c r="G805" t="s">
        <v>2453</v>
      </c>
      <c r="I805" t="s">
        <v>41</v>
      </c>
      <c r="J805" t="s">
        <v>2454</v>
      </c>
      <c r="K805" t="s">
        <v>43</v>
      </c>
      <c r="L805">
        <v>2</v>
      </c>
      <c r="M805" t="s">
        <v>44</v>
      </c>
      <c r="N805" t="s">
        <v>45</v>
      </c>
      <c r="O805" t="s">
        <v>46</v>
      </c>
      <c r="P805" s="5">
        <v>1</v>
      </c>
      <c r="Q805" s="12">
        <v>44771.696134259262</v>
      </c>
      <c r="R805" s="13">
        <v>44773</v>
      </c>
      <c r="T805" t="s">
        <v>47</v>
      </c>
      <c r="U805" t="s">
        <v>48</v>
      </c>
      <c r="V805" t="s">
        <v>114</v>
      </c>
      <c r="Y805" t="s">
        <v>2455</v>
      </c>
      <c r="Z805">
        <v>55100</v>
      </c>
      <c r="AA805" t="s">
        <v>47</v>
      </c>
      <c r="AB805" t="s">
        <v>64</v>
      </c>
      <c r="AC805" t="s">
        <v>53</v>
      </c>
      <c r="AD805" s="16">
        <f t="shared" si="92"/>
        <v>7</v>
      </c>
      <c r="AE805" s="15">
        <v>0</v>
      </c>
      <c r="AF805" s="15">
        <v>0</v>
      </c>
      <c r="AG805" s="15">
        <v>0</v>
      </c>
      <c r="AH805" s="15">
        <v>0</v>
      </c>
      <c r="AI805" s="15">
        <f t="shared" si="90"/>
        <v>0.42</v>
      </c>
      <c r="AJ805" s="15">
        <f t="shared" si="91"/>
        <v>7.42</v>
      </c>
      <c r="AK805" t="s">
        <v>47</v>
      </c>
    </row>
    <row r="806" spans="1:37" ht="15" customHeight="1" x14ac:dyDescent="0.35">
      <c r="A806">
        <v>690929</v>
      </c>
      <c r="B806" t="s">
        <v>37</v>
      </c>
      <c r="C806" t="s">
        <v>38</v>
      </c>
      <c r="D806" s="9" t="s">
        <v>39</v>
      </c>
      <c r="E806" s="10" t="s">
        <v>37</v>
      </c>
      <c r="F806" s="11"/>
      <c r="G806" t="s">
        <v>2456</v>
      </c>
      <c r="I806" t="s">
        <v>41</v>
      </c>
      <c r="J806" t="s">
        <v>2457</v>
      </c>
      <c r="K806" t="s">
        <v>43</v>
      </c>
      <c r="L806">
        <v>2</v>
      </c>
      <c r="M806" t="s">
        <v>44</v>
      </c>
      <c r="N806" t="s">
        <v>45</v>
      </c>
      <c r="O806" t="s">
        <v>46</v>
      </c>
      <c r="P806" s="5">
        <v>1</v>
      </c>
      <c r="Q806" s="12">
        <v>44772.393900462965</v>
      </c>
      <c r="R806" s="13">
        <v>44773</v>
      </c>
      <c r="T806" t="s">
        <v>47</v>
      </c>
      <c r="U806" t="s">
        <v>48</v>
      </c>
      <c r="V806" t="s">
        <v>67</v>
      </c>
      <c r="Y806" t="s">
        <v>2458</v>
      </c>
      <c r="Z806">
        <v>25150</v>
      </c>
      <c r="AA806" t="s">
        <v>47</v>
      </c>
      <c r="AB806" t="s">
        <v>48</v>
      </c>
      <c r="AC806" t="s">
        <v>53</v>
      </c>
      <c r="AD806" s="16">
        <f t="shared" si="92"/>
        <v>7</v>
      </c>
      <c r="AE806" s="15">
        <v>0</v>
      </c>
      <c r="AF806" s="15">
        <v>0</v>
      </c>
      <c r="AG806" s="15">
        <v>0</v>
      </c>
      <c r="AH806" s="15">
        <v>0</v>
      </c>
      <c r="AI806" s="15">
        <f t="shared" si="90"/>
        <v>0.42</v>
      </c>
      <c r="AJ806" s="15">
        <f t="shared" si="91"/>
        <v>7.42</v>
      </c>
      <c r="AK806" t="s">
        <v>47</v>
      </c>
    </row>
    <row r="807" spans="1:37" ht="15" customHeight="1" x14ac:dyDescent="0.35">
      <c r="A807">
        <v>690929</v>
      </c>
      <c r="B807" t="s">
        <v>37</v>
      </c>
      <c r="C807" t="s">
        <v>38</v>
      </c>
      <c r="D807" s="9" t="s">
        <v>39</v>
      </c>
      <c r="E807" s="10" t="s">
        <v>37</v>
      </c>
      <c r="F807" s="11"/>
      <c r="G807" t="s">
        <v>2459</v>
      </c>
      <c r="I807" t="s">
        <v>41</v>
      </c>
      <c r="J807" t="s">
        <v>2460</v>
      </c>
      <c r="K807" t="s">
        <v>43</v>
      </c>
      <c r="L807">
        <v>2</v>
      </c>
      <c r="M807" t="s">
        <v>44</v>
      </c>
      <c r="N807" t="s">
        <v>45</v>
      </c>
      <c r="O807" t="s">
        <v>46</v>
      </c>
      <c r="P807" s="5">
        <v>1</v>
      </c>
      <c r="Q807" s="12">
        <v>44771.675636574073</v>
      </c>
      <c r="R807" s="13">
        <v>44773</v>
      </c>
      <c r="T807" t="s">
        <v>47</v>
      </c>
      <c r="U807" t="s">
        <v>48</v>
      </c>
      <c r="V807" t="s">
        <v>138</v>
      </c>
      <c r="Y807" t="s">
        <v>2461</v>
      </c>
      <c r="Z807">
        <v>72120</v>
      </c>
      <c r="AA807" t="s">
        <v>47</v>
      </c>
      <c r="AB807" t="s">
        <v>64</v>
      </c>
      <c r="AC807" t="s">
        <v>53</v>
      </c>
      <c r="AD807" s="16">
        <f t="shared" si="92"/>
        <v>7</v>
      </c>
      <c r="AE807" s="15">
        <v>0</v>
      </c>
      <c r="AF807" s="15">
        <v>0</v>
      </c>
      <c r="AG807" s="15">
        <v>0</v>
      </c>
      <c r="AH807" s="15">
        <v>0</v>
      </c>
      <c r="AI807" s="15">
        <f t="shared" si="90"/>
        <v>0.42</v>
      </c>
      <c r="AJ807" s="15">
        <f t="shared" si="91"/>
        <v>7.42</v>
      </c>
      <c r="AK807" t="s">
        <v>47</v>
      </c>
    </row>
    <row r="808" spans="1:37" ht="15" customHeight="1" x14ac:dyDescent="0.35">
      <c r="A808">
        <v>690929</v>
      </c>
      <c r="B808" t="s">
        <v>37</v>
      </c>
      <c r="C808" t="s">
        <v>38</v>
      </c>
      <c r="D808" s="9" t="s">
        <v>39</v>
      </c>
      <c r="E808" s="10" t="s">
        <v>37</v>
      </c>
      <c r="F808" s="11"/>
      <c r="G808" t="s">
        <v>2462</v>
      </c>
      <c r="I808" t="s">
        <v>41</v>
      </c>
      <c r="J808" t="s">
        <v>2463</v>
      </c>
      <c r="K808" t="s">
        <v>43</v>
      </c>
      <c r="L808">
        <v>2</v>
      </c>
      <c r="M808" t="s">
        <v>44</v>
      </c>
      <c r="N808" t="s">
        <v>45</v>
      </c>
      <c r="O808" t="s">
        <v>46</v>
      </c>
      <c r="P808" s="5">
        <v>1</v>
      </c>
      <c r="Q808" s="12">
        <v>44772.615347222221</v>
      </c>
      <c r="R808" s="13">
        <v>44773</v>
      </c>
      <c r="T808" t="s">
        <v>47</v>
      </c>
      <c r="U808" t="s">
        <v>48</v>
      </c>
      <c r="V808" t="s">
        <v>114</v>
      </c>
      <c r="Y808" t="s">
        <v>2464</v>
      </c>
      <c r="Z808">
        <v>48300</v>
      </c>
      <c r="AA808" t="s">
        <v>47</v>
      </c>
      <c r="AB808" t="s">
        <v>64</v>
      </c>
      <c r="AC808" t="s">
        <v>53</v>
      </c>
      <c r="AD808" s="16">
        <f t="shared" si="92"/>
        <v>7</v>
      </c>
      <c r="AE808" s="15">
        <v>0</v>
      </c>
      <c r="AF808" s="15">
        <v>0</v>
      </c>
      <c r="AG808" s="15">
        <v>0</v>
      </c>
      <c r="AH808" s="15">
        <v>0</v>
      </c>
      <c r="AI808" s="15">
        <f t="shared" si="90"/>
        <v>0.42</v>
      </c>
      <c r="AJ808" s="15">
        <f t="shared" si="91"/>
        <v>7.42</v>
      </c>
      <c r="AK808" t="s">
        <v>47</v>
      </c>
    </row>
    <row r="809" spans="1:37" ht="15" customHeight="1" x14ac:dyDescent="0.35">
      <c r="A809">
        <v>690929</v>
      </c>
      <c r="B809" t="s">
        <v>37</v>
      </c>
      <c r="C809" t="s">
        <v>38</v>
      </c>
      <c r="D809" s="9" t="s">
        <v>39</v>
      </c>
      <c r="E809" s="10" t="s">
        <v>37</v>
      </c>
      <c r="F809" s="11"/>
      <c r="G809" t="s">
        <v>2465</v>
      </c>
      <c r="I809" t="s">
        <v>41</v>
      </c>
      <c r="J809" t="s">
        <v>2466</v>
      </c>
      <c r="K809" t="s">
        <v>43</v>
      </c>
      <c r="L809">
        <v>2</v>
      </c>
      <c r="M809" t="s">
        <v>44</v>
      </c>
      <c r="N809" t="s">
        <v>45</v>
      </c>
      <c r="O809" t="s">
        <v>46</v>
      </c>
      <c r="P809" s="5">
        <v>1</v>
      </c>
      <c r="Q809" s="12">
        <v>44772.62091435185</v>
      </c>
      <c r="R809" s="13">
        <v>44773</v>
      </c>
      <c r="T809" t="s">
        <v>47</v>
      </c>
      <c r="U809" t="s">
        <v>48</v>
      </c>
      <c r="V809" t="s">
        <v>76</v>
      </c>
      <c r="Y809" t="s">
        <v>2467</v>
      </c>
      <c r="Z809">
        <v>22000</v>
      </c>
      <c r="AA809" t="s">
        <v>47</v>
      </c>
      <c r="AB809" t="s">
        <v>56</v>
      </c>
      <c r="AC809" t="s">
        <v>53</v>
      </c>
      <c r="AD809" s="16">
        <f t="shared" si="92"/>
        <v>7</v>
      </c>
      <c r="AE809" s="15">
        <v>0</v>
      </c>
      <c r="AF809" s="15">
        <v>0</v>
      </c>
      <c r="AG809" s="15">
        <v>0</v>
      </c>
      <c r="AH809" s="15">
        <v>0</v>
      </c>
      <c r="AI809" s="15">
        <f t="shared" si="90"/>
        <v>0.42</v>
      </c>
      <c r="AJ809" s="15">
        <f t="shared" si="91"/>
        <v>7.42</v>
      </c>
      <c r="AK809" t="s">
        <v>47</v>
      </c>
    </row>
    <row r="810" spans="1:37" ht="15" customHeight="1" x14ac:dyDescent="0.35">
      <c r="A810">
        <v>690929</v>
      </c>
      <c r="B810" t="s">
        <v>37</v>
      </c>
      <c r="C810" t="s">
        <v>38</v>
      </c>
      <c r="D810" s="9" t="s">
        <v>39</v>
      </c>
      <c r="E810" s="10" t="s">
        <v>37</v>
      </c>
      <c r="F810" s="11"/>
      <c r="G810" t="s">
        <v>2468</v>
      </c>
      <c r="I810" t="s">
        <v>41</v>
      </c>
      <c r="J810" t="s">
        <v>2469</v>
      </c>
      <c r="K810" t="s">
        <v>43</v>
      </c>
      <c r="L810">
        <v>2</v>
      </c>
      <c r="M810" t="s">
        <v>44</v>
      </c>
      <c r="N810" t="s">
        <v>45</v>
      </c>
      <c r="O810" t="s">
        <v>46</v>
      </c>
      <c r="P810" s="5">
        <v>1</v>
      </c>
      <c r="Q810" s="12">
        <v>44769.731944444444</v>
      </c>
      <c r="R810" s="13">
        <v>44773</v>
      </c>
      <c r="T810" t="s">
        <v>47</v>
      </c>
      <c r="U810" t="s">
        <v>48</v>
      </c>
      <c r="V810" t="s">
        <v>71</v>
      </c>
      <c r="Y810" t="s">
        <v>2470</v>
      </c>
      <c r="Z810">
        <v>5300</v>
      </c>
      <c r="AA810" t="s">
        <v>47</v>
      </c>
      <c r="AB810" t="s">
        <v>64</v>
      </c>
      <c r="AC810" t="s">
        <v>53</v>
      </c>
      <c r="AD810" s="16">
        <f t="shared" si="92"/>
        <v>7</v>
      </c>
      <c r="AE810" s="15">
        <v>0</v>
      </c>
      <c r="AF810" s="15">
        <v>0</v>
      </c>
      <c r="AG810" s="15">
        <v>0</v>
      </c>
      <c r="AH810" s="15">
        <v>0</v>
      </c>
      <c r="AI810" s="15">
        <f t="shared" si="90"/>
        <v>0.42</v>
      </c>
      <c r="AJ810" s="15">
        <f t="shared" si="91"/>
        <v>7.42</v>
      </c>
      <c r="AK810" t="s">
        <v>47</v>
      </c>
    </row>
    <row r="811" spans="1:37" ht="15" customHeight="1" x14ac:dyDescent="0.35">
      <c r="A811">
        <v>690929</v>
      </c>
      <c r="B811" t="s">
        <v>37</v>
      </c>
      <c r="C811" t="s">
        <v>38</v>
      </c>
      <c r="D811" s="9" t="s">
        <v>39</v>
      </c>
      <c r="E811" s="10" t="s">
        <v>37</v>
      </c>
      <c r="F811" s="11"/>
      <c r="G811" t="s">
        <v>2471</v>
      </c>
      <c r="I811" t="s">
        <v>41</v>
      </c>
      <c r="J811" t="s">
        <v>2472</v>
      </c>
      <c r="K811" t="s">
        <v>43</v>
      </c>
      <c r="L811">
        <v>2</v>
      </c>
      <c r="M811" t="s">
        <v>44</v>
      </c>
      <c r="N811" t="s">
        <v>45</v>
      </c>
      <c r="O811" t="s">
        <v>46</v>
      </c>
      <c r="P811" s="5">
        <v>1</v>
      </c>
      <c r="Q811" s="12">
        <v>44771.670937499999</v>
      </c>
      <c r="R811" s="13">
        <v>44773</v>
      </c>
      <c r="T811" t="s">
        <v>47</v>
      </c>
      <c r="U811" t="s">
        <v>48</v>
      </c>
      <c r="V811" t="s">
        <v>114</v>
      </c>
      <c r="Y811" t="s">
        <v>2473</v>
      </c>
      <c r="Z811">
        <v>43650</v>
      </c>
      <c r="AA811" t="s">
        <v>47</v>
      </c>
      <c r="AB811" t="s">
        <v>64</v>
      </c>
      <c r="AC811" t="s">
        <v>53</v>
      </c>
      <c r="AD811" s="16">
        <f t="shared" si="92"/>
        <v>7</v>
      </c>
      <c r="AE811" s="15">
        <v>0</v>
      </c>
      <c r="AF811" s="15">
        <v>0</v>
      </c>
      <c r="AG811" s="15">
        <v>0</v>
      </c>
      <c r="AH811" s="15">
        <v>0</v>
      </c>
      <c r="AI811" s="15">
        <f t="shared" si="90"/>
        <v>0.42</v>
      </c>
      <c r="AJ811" s="15">
        <f t="shared" si="91"/>
        <v>7.42</v>
      </c>
      <c r="AK811" t="s">
        <v>47</v>
      </c>
    </row>
    <row r="812" spans="1:37" ht="15" customHeight="1" x14ac:dyDescent="0.35">
      <c r="A812">
        <v>690929</v>
      </c>
      <c r="B812" t="s">
        <v>37</v>
      </c>
      <c r="C812" t="s">
        <v>38</v>
      </c>
      <c r="D812" s="9" t="s">
        <v>39</v>
      </c>
      <c r="E812" s="10" t="s">
        <v>37</v>
      </c>
      <c r="F812" s="11"/>
      <c r="G812" t="s">
        <v>2474</v>
      </c>
      <c r="I812" t="s">
        <v>41</v>
      </c>
      <c r="J812" t="s">
        <v>2475</v>
      </c>
      <c r="K812" t="s">
        <v>43</v>
      </c>
      <c r="L812">
        <v>2</v>
      </c>
      <c r="M812" t="s">
        <v>44</v>
      </c>
      <c r="N812" t="s">
        <v>45</v>
      </c>
      <c r="O812" t="s">
        <v>46</v>
      </c>
      <c r="P812" s="5">
        <v>1</v>
      </c>
      <c r="Q812" s="12">
        <v>44771.686585648145</v>
      </c>
      <c r="R812" s="13">
        <v>44773</v>
      </c>
      <c r="T812" t="s">
        <v>47</v>
      </c>
      <c r="U812" t="s">
        <v>48</v>
      </c>
      <c r="V812" t="s">
        <v>114</v>
      </c>
      <c r="Y812" t="s">
        <v>2476</v>
      </c>
      <c r="Z812">
        <v>43000</v>
      </c>
      <c r="AA812" t="s">
        <v>47</v>
      </c>
      <c r="AB812" t="s">
        <v>64</v>
      </c>
      <c r="AC812" t="s">
        <v>53</v>
      </c>
      <c r="AD812" s="16">
        <f t="shared" si="92"/>
        <v>7</v>
      </c>
      <c r="AE812" s="15">
        <v>0</v>
      </c>
      <c r="AF812" s="15">
        <v>0</v>
      </c>
      <c r="AG812" s="15">
        <v>0</v>
      </c>
      <c r="AH812" s="15">
        <v>0</v>
      </c>
      <c r="AI812" s="15">
        <f t="shared" si="90"/>
        <v>0.42</v>
      </c>
      <c r="AJ812" s="15">
        <f t="shared" si="91"/>
        <v>7.42</v>
      </c>
      <c r="AK812" t="s">
        <v>47</v>
      </c>
    </row>
    <row r="813" spans="1:37" ht="15" customHeight="1" x14ac:dyDescent="0.35">
      <c r="A813">
        <v>690929</v>
      </c>
      <c r="B813" t="s">
        <v>37</v>
      </c>
      <c r="C813" t="s">
        <v>38</v>
      </c>
      <c r="D813" s="9" t="s">
        <v>39</v>
      </c>
      <c r="E813" s="10" t="s">
        <v>37</v>
      </c>
      <c r="F813" s="11"/>
      <c r="G813" t="s">
        <v>2477</v>
      </c>
      <c r="I813" t="s">
        <v>41</v>
      </c>
      <c r="J813" t="s">
        <v>2070</v>
      </c>
      <c r="K813" t="s">
        <v>43</v>
      </c>
      <c r="L813">
        <v>2</v>
      </c>
      <c r="M813" t="s">
        <v>44</v>
      </c>
      <c r="N813" t="s">
        <v>45</v>
      </c>
      <c r="O813" t="s">
        <v>46</v>
      </c>
      <c r="P813" s="5">
        <v>6</v>
      </c>
      <c r="Q813" s="12">
        <v>44769.457291666666</v>
      </c>
      <c r="R813" s="13">
        <v>44773</v>
      </c>
      <c r="T813" t="s">
        <v>47</v>
      </c>
      <c r="U813" t="s">
        <v>48</v>
      </c>
      <c r="V813" t="s">
        <v>71</v>
      </c>
      <c r="Y813" t="s">
        <v>2071</v>
      </c>
      <c r="Z813">
        <v>5150</v>
      </c>
      <c r="AA813" t="s">
        <v>47</v>
      </c>
      <c r="AB813" t="s">
        <v>2478</v>
      </c>
      <c r="AC813" t="s">
        <v>53</v>
      </c>
      <c r="AD813" s="16">
        <f t="shared" si="92"/>
        <v>11</v>
      </c>
      <c r="AE813" s="15">
        <v>0</v>
      </c>
      <c r="AF813" s="15">
        <v>0</v>
      </c>
      <c r="AG813" s="15">
        <v>0</v>
      </c>
      <c r="AH813" s="15">
        <v>0</v>
      </c>
      <c r="AI813" s="15">
        <f t="shared" si="90"/>
        <v>0.65999999999999992</v>
      </c>
      <c r="AJ813" s="15">
        <f t="shared" si="91"/>
        <v>11.66</v>
      </c>
      <c r="AK813" t="s">
        <v>47</v>
      </c>
    </row>
    <row r="814" spans="1:37" ht="15" customHeight="1" x14ac:dyDescent="0.35">
      <c r="A814">
        <v>690929</v>
      </c>
      <c r="B814" t="s">
        <v>37</v>
      </c>
      <c r="C814" t="s">
        <v>38</v>
      </c>
      <c r="D814" s="9" t="s">
        <v>39</v>
      </c>
      <c r="E814" s="10" t="s">
        <v>37</v>
      </c>
      <c r="F814" s="11"/>
      <c r="G814" t="s">
        <v>2479</v>
      </c>
      <c r="I814" t="s">
        <v>41</v>
      </c>
      <c r="J814" t="s">
        <v>2480</v>
      </c>
      <c r="K814" t="s">
        <v>43</v>
      </c>
      <c r="L814">
        <v>2</v>
      </c>
      <c r="M814" t="s">
        <v>44</v>
      </c>
      <c r="N814" t="s">
        <v>45</v>
      </c>
      <c r="O814" t="s">
        <v>46</v>
      </c>
      <c r="P814" s="5">
        <v>1</v>
      </c>
      <c r="Q814" s="12">
        <v>44771.659247685187</v>
      </c>
      <c r="R814" s="13">
        <v>44773</v>
      </c>
      <c r="T814" t="s">
        <v>47</v>
      </c>
      <c r="U814" t="s">
        <v>48</v>
      </c>
      <c r="V814" t="s">
        <v>114</v>
      </c>
      <c r="Y814" t="s">
        <v>2481</v>
      </c>
      <c r="Z814">
        <v>43100</v>
      </c>
      <c r="AA814" t="s">
        <v>47</v>
      </c>
      <c r="AB814" t="s">
        <v>64</v>
      </c>
      <c r="AC814" t="s">
        <v>53</v>
      </c>
      <c r="AD814" s="16">
        <f t="shared" si="92"/>
        <v>7</v>
      </c>
      <c r="AE814" s="15">
        <v>0</v>
      </c>
      <c r="AF814" s="15">
        <v>0</v>
      </c>
      <c r="AG814" s="15">
        <v>0</v>
      </c>
      <c r="AH814" s="15">
        <v>0</v>
      </c>
      <c r="AI814" s="15">
        <f t="shared" si="90"/>
        <v>0.42</v>
      </c>
      <c r="AJ814" s="15">
        <f t="shared" si="91"/>
        <v>7.42</v>
      </c>
      <c r="AK814" t="s">
        <v>47</v>
      </c>
    </row>
    <row r="816" spans="1:37" x14ac:dyDescent="0.35">
      <c r="AD816" s="17">
        <f>SUM(AD2:AD814)</f>
        <v>6943.4000000000051</v>
      </c>
      <c r="AE816" s="18">
        <f>SUM(AE2:AE814)</f>
        <v>0</v>
      </c>
      <c r="AF816" s="18">
        <f>SUM(AF2:AF814)</f>
        <v>0</v>
      </c>
      <c r="AG816" s="18">
        <f>SUM(AG2:AG814)</f>
        <v>0</v>
      </c>
      <c r="AH816" s="18">
        <f>SUM(AH2:AH814)</f>
        <v>0</v>
      </c>
      <c r="AI816" s="18">
        <f>SUM(AI2:AI814)</f>
        <v>416.60400000000129</v>
      </c>
      <c r="AJ816" s="18">
        <f>SUM(AJ2:AJ814)</f>
        <v>7360.0040000000299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2022-08-08T13:02:33Z</dcterms:created>
  <dcterms:modified xsi:type="dcterms:W3CDTF">2022-08-08T13:02:34Z</dcterms:modified>
</cp:coreProperties>
</file>