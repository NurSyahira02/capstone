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3\Jul'23\Billing\ASN\Split\ASN walk-in\"/>
    </mc:Choice>
  </mc:AlternateContent>
  <xr:revisionPtr revIDLastSave="0" documentId="8_{62E4C9D0-70EB-45E4-8558-87C7450A9BC5}" xr6:coauthVersionLast="47" xr6:coauthVersionMax="47" xr10:uidLastSave="{00000000-0000-0000-0000-000000000000}"/>
  <bookViews>
    <workbookView xWindow="28680" yWindow="480" windowWidth="29040" windowHeight="15840" xr2:uid="{EC325AA2-C51C-437B-BAB5-1585E990B2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07" i="1" l="1"/>
  <c r="AE507" i="1"/>
  <c r="AD507" i="1"/>
  <c r="AC507" i="1"/>
  <c r="AB507" i="1"/>
  <c r="AA507" i="1"/>
  <c r="Z507" i="1"/>
  <c r="Z505" i="1"/>
  <c r="Z504" i="1"/>
  <c r="AE503" i="1"/>
  <c r="Z503" i="1"/>
  <c r="Z502" i="1"/>
  <c r="Z501" i="1"/>
  <c r="AF500" i="1"/>
  <c r="AE500" i="1"/>
  <c r="Z500" i="1"/>
  <c r="AE499" i="1"/>
  <c r="AF499" i="1" s="1"/>
  <c r="Z499" i="1"/>
  <c r="Z498" i="1"/>
  <c r="Z497" i="1"/>
  <c r="AE497" i="1" s="1"/>
  <c r="AF497" i="1" s="1"/>
  <c r="Z496" i="1"/>
  <c r="AE496" i="1" s="1"/>
  <c r="AF496" i="1" s="1"/>
  <c r="AE495" i="1"/>
  <c r="Z495" i="1"/>
  <c r="Z494" i="1"/>
  <c r="Z493" i="1"/>
  <c r="AF492" i="1"/>
  <c r="AE492" i="1"/>
  <c r="Z492" i="1"/>
  <c r="AE491" i="1"/>
  <c r="AF491" i="1" s="1"/>
  <c r="Z491" i="1"/>
  <c r="Z490" i="1"/>
  <c r="Z489" i="1"/>
  <c r="AE489" i="1" s="1"/>
  <c r="AF489" i="1" s="1"/>
  <c r="Z488" i="1"/>
  <c r="AE488" i="1" s="1"/>
  <c r="AF488" i="1" s="1"/>
  <c r="AE487" i="1"/>
  <c r="Z487" i="1"/>
  <c r="Z486" i="1"/>
  <c r="Z485" i="1"/>
  <c r="AF484" i="1"/>
  <c r="AE484" i="1"/>
  <c r="Z484" i="1"/>
  <c r="AE483" i="1"/>
  <c r="AF483" i="1" s="1"/>
  <c r="Z483" i="1"/>
  <c r="Z482" i="1"/>
  <c r="Z481" i="1"/>
  <c r="AE481" i="1" s="1"/>
  <c r="AF481" i="1" s="1"/>
  <c r="Z480" i="1"/>
  <c r="AE480" i="1" s="1"/>
  <c r="AF480" i="1" s="1"/>
  <c r="AE479" i="1"/>
  <c r="Z479" i="1"/>
  <c r="AF479" i="1" s="1"/>
  <c r="Z478" i="1"/>
  <c r="Z477" i="1"/>
  <c r="AF476" i="1"/>
  <c r="AE476" i="1"/>
  <c r="Z476" i="1"/>
  <c r="AE475" i="1"/>
  <c r="AF475" i="1" s="1"/>
  <c r="Z475" i="1"/>
  <c r="Z474" i="1"/>
  <c r="Z473" i="1"/>
  <c r="AE473" i="1" s="1"/>
  <c r="AF473" i="1" s="1"/>
  <c r="Z472" i="1"/>
  <c r="AE472" i="1" s="1"/>
  <c r="AF472" i="1" s="1"/>
  <c r="AE471" i="1"/>
  <c r="Z471" i="1"/>
  <c r="Z470" i="1"/>
  <c r="Z469" i="1"/>
  <c r="AF468" i="1"/>
  <c r="AE468" i="1"/>
  <c r="Z468" i="1"/>
  <c r="AE467" i="1"/>
  <c r="AF467" i="1" s="1"/>
  <c r="Z467" i="1"/>
  <c r="Z466" i="1"/>
  <c r="Z465" i="1"/>
  <c r="AE465" i="1" s="1"/>
  <c r="AF465" i="1" s="1"/>
  <c r="Z464" i="1"/>
  <c r="AE464" i="1" s="1"/>
  <c r="AF464" i="1" s="1"/>
  <c r="AE463" i="1"/>
  <c r="Z463" i="1"/>
  <c r="AF463" i="1" s="1"/>
  <c r="Z462" i="1"/>
  <c r="Z461" i="1"/>
  <c r="AF460" i="1"/>
  <c r="AE460" i="1"/>
  <c r="Z460" i="1"/>
  <c r="AE459" i="1"/>
  <c r="AF459" i="1" s="1"/>
  <c r="Z459" i="1"/>
  <c r="Z458" i="1"/>
  <c r="Z457" i="1"/>
  <c r="AE457" i="1" s="1"/>
  <c r="AF457" i="1" s="1"/>
  <c r="AF456" i="1"/>
  <c r="AE456" i="1"/>
  <c r="Z456" i="1"/>
  <c r="AE455" i="1"/>
  <c r="Z455" i="1"/>
  <c r="AF455" i="1" s="1"/>
  <c r="Z454" i="1"/>
  <c r="Z453" i="1"/>
  <c r="AF452" i="1"/>
  <c r="AE452" i="1"/>
  <c r="Z452" i="1"/>
  <c r="AE451" i="1"/>
  <c r="AF451" i="1" s="1"/>
  <c r="Z451" i="1"/>
  <c r="Z450" i="1"/>
  <c r="Z449" i="1"/>
  <c r="AE449" i="1" s="1"/>
  <c r="AF449" i="1" s="1"/>
  <c r="Z448" i="1"/>
  <c r="AE448" i="1" s="1"/>
  <c r="AF448" i="1" s="1"/>
  <c r="AE447" i="1"/>
  <c r="Z447" i="1"/>
  <c r="AF447" i="1" s="1"/>
  <c r="Z446" i="1"/>
  <c r="Z445" i="1"/>
  <c r="AF444" i="1"/>
  <c r="AE444" i="1"/>
  <c r="Z444" i="1"/>
  <c r="AE443" i="1"/>
  <c r="AF443" i="1" s="1"/>
  <c r="Z443" i="1"/>
  <c r="Z442" i="1"/>
  <c r="Z441" i="1"/>
  <c r="AE441" i="1" s="1"/>
  <c r="AF441" i="1" s="1"/>
  <c r="Z440" i="1"/>
  <c r="AE440" i="1" s="1"/>
  <c r="AF440" i="1" s="1"/>
  <c r="AE439" i="1"/>
  <c r="Z439" i="1"/>
  <c r="AF439" i="1" s="1"/>
  <c r="Z438" i="1"/>
  <c r="Z437" i="1"/>
  <c r="AF436" i="1"/>
  <c r="AE436" i="1"/>
  <c r="Z436" i="1"/>
  <c r="AE435" i="1"/>
  <c r="AF435" i="1" s="1"/>
  <c r="Z435" i="1"/>
  <c r="Z434" i="1"/>
  <c r="Z433" i="1"/>
  <c r="AE433" i="1" s="1"/>
  <c r="AF433" i="1" s="1"/>
  <c r="Z432" i="1"/>
  <c r="AE432" i="1" s="1"/>
  <c r="AF432" i="1" s="1"/>
  <c r="AE431" i="1"/>
  <c r="Z431" i="1"/>
  <c r="AF431" i="1" s="1"/>
  <c r="Z430" i="1"/>
  <c r="Z429" i="1"/>
  <c r="AF428" i="1"/>
  <c r="AE428" i="1"/>
  <c r="Z428" i="1"/>
  <c r="AE427" i="1"/>
  <c r="Z427" i="1"/>
  <c r="AF427" i="1" s="1"/>
  <c r="Z426" i="1"/>
  <c r="AE425" i="1"/>
  <c r="AF425" i="1" s="1"/>
  <c r="Z425" i="1"/>
  <c r="AF424" i="1"/>
  <c r="AE424" i="1"/>
  <c r="Z424" i="1"/>
  <c r="AE423" i="1"/>
  <c r="AF423" i="1" s="1"/>
  <c r="Z423" i="1"/>
  <c r="Z422" i="1"/>
  <c r="Z421" i="1"/>
  <c r="Z420" i="1"/>
  <c r="AE420" i="1" s="1"/>
  <c r="AF420" i="1" s="1"/>
  <c r="AE419" i="1"/>
  <c r="Z419" i="1"/>
  <c r="AF419" i="1" s="1"/>
  <c r="Z418" i="1"/>
  <c r="AE417" i="1"/>
  <c r="AF417" i="1" s="1"/>
  <c r="Z417" i="1"/>
  <c r="AF416" i="1"/>
  <c r="AE416" i="1"/>
  <c r="Z416" i="1"/>
  <c r="AE415" i="1"/>
  <c r="AF415" i="1" s="1"/>
  <c r="Z415" i="1"/>
  <c r="Z414" i="1"/>
  <c r="Z413" i="1"/>
  <c r="AF412" i="1"/>
  <c r="Z412" i="1"/>
  <c r="AE412" i="1" s="1"/>
  <c r="Z411" i="1"/>
  <c r="Z410" i="1"/>
  <c r="AE409" i="1"/>
  <c r="AF409" i="1" s="1"/>
  <c r="Z409" i="1"/>
  <c r="AE408" i="1"/>
  <c r="AF408" i="1" s="1"/>
  <c r="Z408" i="1"/>
  <c r="AE407" i="1"/>
  <c r="AF407" i="1" s="1"/>
  <c r="Z407" i="1"/>
  <c r="Z406" i="1"/>
  <c r="Z405" i="1"/>
  <c r="AE405" i="1" s="1"/>
  <c r="AF405" i="1" s="1"/>
  <c r="AF404" i="1"/>
  <c r="Z404" i="1"/>
  <c r="AE404" i="1" s="1"/>
  <c r="Z403" i="1"/>
  <c r="Z402" i="1"/>
  <c r="AE401" i="1"/>
  <c r="AF401" i="1" s="1"/>
  <c r="Z401" i="1"/>
  <c r="AE400" i="1"/>
  <c r="AF400" i="1" s="1"/>
  <c r="Z400" i="1"/>
  <c r="AE399" i="1"/>
  <c r="Z399" i="1"/>
  <c r="Z398" i="1"/>
  <c r="Z397" i="1"/>
  <c r="AE397" i="1" s="1"/>
  <c r="AF397" i="1" s="1"/>
  <c r="AF396" i="1"/>
  <c r="Z396" i="1"/>
  <c r="AE396" i="1" s="1"/>
  <c r="Z395" i="1"/>
  <c r="Z394" i="1"/>
  <c r="AE393" i="1"/>
  <c r="AF393" i="1" s="1"/>
  <c r="Z393" i="1"/>
  <c r="AE392" i="1"/>
  <c r="AF392" i="1" s="1"/>
  <c r="Z392" i="1"/>
  <c r="AE391" i="1"/>
  <c r="Z391" i="1"/>
  <c r="Z390" i="1"/>
  <c r="Z389" i="1"/>
  <c r="AE389" i="1" s="1"/>
  <c r="AF389" i="1" s="1"/>
  <c r="AF388" i="1"/>
  <c r="AE388" i="1"/>
  <c r="Z388" i="1"/>
  <c r="Z387" i="1"/>
  <c r="Z386" i="1"/>
  <c r="AF385" i="1"/>
  <c r="AE385" i="1"/>
  <c r="Z385" i="1"/>
  <c r="AE384" i="1"/>
  <c r="AF384" i="1" s="1"/>
  <c r="Z384" i="1"/>
  <c r="AE383" i="1"/>
  <c r="Z383" i="1"/>
  <c r="Z382" i="1"/>
  <c r="Z381" i="1"/>
  <c r="AF380" i="1"/>
  <c r="AE380" i="1"/>
  <c r="Z380" i="1"/>
  <c r="Z379" i="1"/>
  <c r="Z378" i="1"/>
  <c r="AF377" i="1"/>
  <c r="AE377" i="1"/>
  <c r="Z377" i="1"/>
  <c r="AE376" i="1"/>
  <c r="AF376" i="1" s="1"/>
  <c r="Z376" i="1"/>
  <c r="AE375" i="1"/>
  <c r="Z375" i="1"/>
  <c r="Z374" i="1"/>
  <c r="Z373" i="1"/>
  <c r="AE373" i="1" s="1"/>
  <c r="AF373" i="1" s="1"/>
  <c r="AF372" i="1"/>
  <c r="AE372" i="1"/>
  <c r="Z372" i="1"/>
  <c r="Z371" i="1"/>
  <c r="Z370" i="1"/>
  <c r="AF369" i="1"/>
  <c r="AE369" i="1"/>
  <c r="Z369" i="1"/>
  <c r="AE368" i="1"/>
  <c r="AF368" i="1" s="1"/>
  <c r="Z368" i="1"/>
  <c r="AE367" i="1"/>
  <c r="Z367" i="1"/>
  <c r="AF367" i="1" s="1"/>
  <c r="Z366" i="1"/>
  <c r="Z365" i="1"/>
  <c r="AE365" i="1" s="1"/>
  <c r="AF365" i="1" s="1"/>
  <c r="AF364" i="1"/>
  <c r="AE364" i="1"/>
  <c r="Z364" i="1"/>
  <c r="Z363" i="1"/>
  <c r="Z362" i="1"/>
  <c r="AF361" i="1"/>
  <c r="AE361" i="1"/>
  <c r="Z361" i="1"/>
  <c r="AE360" i="1"/>
  <c r="AF360" i="1" s="1"/>
  <c r="Z360" i="1"/>
  <c r="AE359" i="1"/>
  <c r="Z359" i="1"/>
  <c r="Z358" i="1"/>
  <c r="Z357" i="1"/>
  <c r="AF356" i="1"/>
  <c r="AE356" i="1"/>
  <c r="Z356" i="1"/>
  <c r="AE355" i="1"/>
  <c r="Z355" i="1"/>
  <c r="AF355" i="1" s="1"/>
  <c r="Z354" i="1"/>
  <c r="AF353" i="1"/>
  <c r="AE353" i="1"/>
  <c r="Z353" i="1"/>
  <c r="AF352" i="1"/>
  <c r="AE352" i="1"/>
  <c r="Z352" i="1"/>
  <c r="AE351" i="1"/>
  <c r="Z351" i="1"/>
  <c r="Z350" i="1"/>
  <c r="Z349" i="1"/>
  <c r="AF348" i="1"/>
  <c r="AE348" i="1"/>
  <c r="Z348" i="1"/>
  <c r="AE347" i="1"/>
  <c r="Z347" i="1"/>
  <c r="AF347" i="1" s="1"/>
  <c r="Z346" i="1"/>
  <c r="AF345" i="1"/>
  <c r="AE345" i="1"/>
  <c r="Z345" i="1"/>
  <c r="AF344" i="1"/>
  <c r="AE344" i="1"/>
  <c r="Z344" i="1"/>
  <c r="AE343" i="1"/>
  <c r="Z343" i="1"/>
  <c r="Z342" i="1"/>
  <c r="Z341" i="1"/>
  <c r="AE341" i="1" s="1"/>
  <c r="AF341" i="1" s="1"/>
  <c r="AF340" i="1"/>
  <c r="AE340" i="1"/>
  <c r="Z340" i="1"/>
  <c r="AE339" i="1"/>
  <c r="Z339" i="1"/>
  <c r="AF339" i="1" s="1"/>
  <c r="Z338" i="1"/>
  <c r="AF337" i="1"/>
  <c r="AE337" i="1"/>
  <c r="Z337" i="1"/>
  <c r="AF336" i="1"/>
  <c r="AE336" i="1"/>
  <c r="Z336" i="1"/>
  <c r="AE335" i="1"/>
  <c r="Z335" i="1"/>
  <c r="Z334" i="1"/>
  <c r="Z333" i="1"/>
  <c r="AE333" i="1" s="1"/>
  <c r="AF333" i="1" s="1"/>
  <c r="AF332" i="1"/>
  <c r="AE332" i="1"/>
  <c r="Z332" i="1"/>
  <c r="AE331" i="1"/>
  <c r="Z331" i="1"/>
  <c r="AF331" i="1" s="1"/>
  <c r="Z330" i="1"/>
  <c r="AF329" i="1"/>
  <c r="AE329" i="1"/>
  <c r="Z329" i="1"/>
  <c r="AF328" i="1"/>
  <c r="AE328" i="1"/>
  <c r="Z328" i="1"/>
  <c r="AE327" i="1"/>
  <c r="Z327" i="1"/>
  <c r="Z326" i="1"/>
  <c r="Z325" i="1"/>
  <c r="AE325" i="1" s="1"/>
  <c r="AF325" i="1" s="1"/>
  <c r="AF324" i="1"/>
  <c r="AE324" i="1"/>
  <c r="Z324" i="1"/>
  <c r="Z323" i="1"/>
  <c r="Z322" i="1"/>
  <c r="AF321" i="1"/>
  <c r="AE321" i="1"/>
  <c r="Z321" i="1"/>
  <c r="AE320" i="1"/>
  <c r="AF320" i="1" s="1"/>
  <c r="Z320" i="1"/>
  <c r="AE319" i="1"/>
  <c r="Z319" i="1"/>
  <c r="Z318" i="1"/>
  <c r="Z317" i="1"/>
  <c r="AE317" i="1" s="1"/>
  <c r="AF317" i="1" s="1"/>
  <c r="AF316" i="1"/>
  <c r="AE316" i="1"/>
  <c r="Z316" i="1"/>
  <c r="Z315" i="1"/>
  <c r="Z314" i="1"/>
  <c r="AF313" i="1"/>
  <c r="AE313" i="1"/>
  <c r="Z313" i="1"/>
  <c r="AE312" i="1"/>
  <c r="AF312" i="1" s="1"/>
  <c r="Z312" i="1"/>
  <c r="AE311" i="1"/>
  <c r="Z311" i="1"/>
  <c r="Z310" i="1"/>
  <c r="Z309" i="1"/>
  <c r="AE309" i="1" s="1"/>
  <c r="AF309" i="1" s="1"/>
  <c r="AF308" i="1"/>
  <c r="AE308" i="1"/>
  <c r="Z308" i="1"/>
  <c r="Z307" i="1"/>
  <c r="Z306" i="1"/>
  <c r="AF305" i="1"/>
  <c r="AE305" i="1"/>
  <c r="Z305" i="1"/>
  <c r="AE304" i="1"/>
  <c r="AF304" i="1" s="1"/>
  <c r="Z304" i="1"/>
  <c r="AE303" i="1"/>
  <c r="Z303" i="1"/>
  <c r="AF303" i="1" s="1"/>
  <c r="Z302" i="1"/>
  <c r="Z301" i="1"/>
  <c r="AE301" i="1" s="1"/>
  <c r="AF301" i="1" s="1"/>
  <c r="AF300" i="1"/>
  <c r="AE300" i="1"/>
  <c r="Z300" i="1"/>
  <c r="Z299" i="1"/>
  <c r="Z298" i="1"/>
  <c r="AF297" i="1"/>
  <c r="AE297" i="1"/>
  <c r="Z297" i="1"/>
  <c r="AE296" i="1"/>
  <c r="AF296" i="1" s="1"/>
  <c r="Z296" i="1"/>
  <c r="AE295" i="1"/>
  <c r="Z295" i="1"/>
  <c r="Z294" i="1"/>
  <c r="Z293" i="1"/>
  <c r="AE293" i="1" s="1"/>
  <c r="AF293" i="1" s="1"/>
  <c r="AF292" i="1"/>
  <c r="AE292" i="1"/>
  <c r="Z292" i="1"/>
  <c r="Z291" i="1"/>
  <c r="Z290" i="1"/>
  <c r="AF289" i="1"/>
  <c r="AE289" i="1"/>
  <c r="Z289" i="1"/>
  <c r="AE288" i="1"/>
  <c r="AF288" i="1" s="1"/>
  <c r="Z288" i="1"/>
  <c r="AE287" i="1"/>
  <c r="Z287" i="1"/>
  <c r="Z286" i="1"/>
  <c r="Z285" i="1"/>
  <c r="AE285" i="1" s="1"/>
  <c r="AF285" i="1" s="1"/>
  <c r="AF284" i="1"/>
  <c r="AE284" i="1"/>
  <c r="Z284" i="1"/>
  <c r="Z283" i="1"/>
  <c r="Z282" i="1"/>
  <c r="AF281" i="1"/>
  <c r="AE281" i="1"/>
  <c r="Z281" i="1"/>
  <c r="AE280" i="1"/>
  <c r="AF280" i="1" s="1"/>
  <c r="Z280" i="1"/>
  <c r="AE279" i="1"/>
  <c r="Z279" i="1"/>
  <c r="Z278" i="1"/>
  <c r="Z277" i="1"/>
  <c r="AE277" i="1" s="1"/>
  <c r="AF277" i="1" s="1"/>
  <c r="AF276" i="1"/>
  <c r="AE276" i="1"/>
  <c r="Z276" i="1"/>
  <c r="Z275" i="1"/>
  <c r="Z274" i="1"/>
  <c r="AF273" i="1"/>
  <c r="AE273" i="1"/>
  <c r="Z273" i="1"/>
  <c r="AE272" i="1"/>
  <c r="AF272" i="1" s="1"/>
  <c r="Z272" i="1"/>
  <c r="AE271" i="1"/>
  <c r="Z271" i="1"/>
  <c r="AF271" i="1" s="1"/>
  <c r="Z270" i="1"/>
  <c r="Z269" i="1"/>
  <c r="AE269" i="1" s="1"/>
  <c r="AF269" i="1" s="1"/>
  <c r="AF268" i="1"/>
  <c r="AE268" i="1"/>
  <c r="Z268" i="1"/>
  <c r="Z267" i="1"/>
  <c r="Z266" i="1"/>
  <c r="AF265" i="1"/>
  <c r="AE265" i="1"/>
  <c r="Z265" i="1"/>
  <c r="AE264" i="1"/>
  <c r="AF264" i="1" s="1"/>
  <c r="Z264" i="1"/>
  <c r="AE263" i="1"/>
  <c r="Z263" i="1"/>
  <c r="Z262" i="1"/>
  <c r="Z261" i="1"/>
  <c r="AF260" i="1"/>
  <c r="AE260" i="1"/>
  <c r="Z260" i="1"/>
  <c r="Z259" i="1"/>
  <c r="Z258" i="1"/>
  <c r="AF257" i="1"/>
  <c r="AE257" i="1"/>
  <c r="Z257" i="1"/>
  <c r="AE256" i="1"/>
  <c r="AF256" i="1" s="1"/>
  <c r="Z256" i="1"/>
  <c r="AE255" i="1"/>
  <c r="Z255" i="1"/>
  <c r="Z254" i="1"/>
  <c r="Z253" i="1"/>
  <c r="AF252" i="1"/>
  <c r="AE252" i="1"/>
  <c r="Z252" i="1"/>
  <c r="Z251" i="1"/>
  <c r="Z250" i="1"/>
  <c r="AF249" i="1"/>
  <c r="AE249" i="1"/>
  <c r="Z249" i="1"/>
  <c r="AE248" i="1"/>
  <c r="AF248" i="1" s="1"/>
  <c r="Z248" i="1"/>
  <c r="AE247" i="1"/>
  <c r="AF247" i="1" s="1"/>
  <c r="Z247" i="1"/>
  <c r="Z246" i="1"/>
  <c r="Z245" i="1"/>
  <c r="AF244" i="1"/>
  <c r="AE244" i="1"/>
  <c r="Z244" i="1"/>
  <c r="Z243" i="1"/>
  <c r="Z242" i="1"/>
  <c r="AF241" i="1"/>
  <c r="AE241" i="1"/>
  <c r="Z241" i="1"/>
  <c r="AE240" i="1"/>
  <c r="AF240" i="1" s="1"/>
  <c r="Z240" i="1"/>
  <c r="AE239" i="1"/>
  <c r="Z239" i="1"/>
  <c r="AF239" i="1" s="1"/>
  <c r="Z238" i="1"/>
  <c r="Z237" i="1"/>
  <c r="AF236" i="1"/>
  <c r="AE236" i="1"/>
  <c r="Z236" i="1"/>
  <c r="Z235" i="1"/>
  <c r="Z234" i="1"/>
  <c r="AF233" i="1"/>
  <c r="AE233" i="1"/>
  <c r="Z233" i="1"/>
  <c r="AE232" i="1"/>
  <c r="AF232" i="1" s="1"/>
  <c r="Z232" i="1"/>
  <c r="AE231" i="1"/>
  <c r="AF231" i="1" s="1"/>
  <c r="Z231" i="1"/>
  <c r="Z230" i="1"/>
  <c r="Z229" i="1"/>
  <c r="AE229" i="1" s="1"/>
  <c r="AF229" i="1" s="1"/>
  <c r="AF228" i="1"/>
  <c r="AE228" i="1"/>
  <c r="Z228" i="1"/>
  <c r="Z227" i="1"/>
  <c r="Z226" i="1"/>
  <c r="AF225" i="1"/>
  <c r="AE225" i="1"/>
  <c r="Z225" i="1"/>
  <c r="AE224" i="1"/>
  <c r="AF224" i="1" s="1"/>
  <c r="Z224" i="1"/>
  <c r="AE223" i="1"/>
  <c r="Z223" i="1"/>
  <c r="Z222" i="1"/>
  <c r="Z221" i="1"/>
  <c r="AE221" i="1" s="1"/>
  <c r="AF221" i="1" s="1"/>
  <c r="AF220" i="1"/>
  <c r="AE220" i="1"/>
  <c r="Z220" i="1"/>
  <c r="Z219" i="1"/>
  <c r="Z218" i="1"/>
  <c r="AF217" i="1"/>
  <c r="AE217" i="1"/>
  <c r="Z217" i="1"/>
  <c r="AE216" i="1"/>
  <c r="AF216" i="1" s="1"/>
  <c r="Z216" i="1"/>
  <c r="AE215" i="1"/>
  <c r="Z215" i="1"/>
  <c r="Z214" i="1"/>
  <c r="Z213" i="1"/>
  <c r="AE213" i="1" s="1"/>
  <c r="AF213" i="1" s="1"/>
  <c r="AF212" i="1"/>
  <c r="AE212" i="1"/>
  <c r="Z212" i="1"/>
  <c r="Z211" i="1"/>
  <c r="Z210" i="1"/>
  <c r="AF209" i="1"/>
  <c r="AE209" i="1"/>
  <c r="Z209" i="1"/>
  <c r="AE208" i="1"/>
  <c r="AF208" i="1" s="1"/>
  <c r="Z208" i="1"/>
  <c r="AE207" i="1"/>
  <c r="Z207" i="1"/>
  <c r="AF207" i="1" s="1"/>
  <c r="Z206" i="1"/>
  <c r="Z205" i="1"/>
  <c r="AE205" i="1" s="1"/>
  <c r="AF205" i="1" s="1"/>
  <c r="AF204" i="1"/>
  <c r="AE204" i="1"/>
  <c r="Z204" i="1"/>
  <c r="Z203" i="1"/>
  <c r="Z202" i="1"/>
  <c r="AF201" i="1"/>
  <c r="AE201" i="1"/>
  <c r="Z201" i="1"/>
  <c r="AE200" i="1"/>
  <c r="AF200" i="1" s="1"/>
  <c r="Z200" i="1"/>
  <c r="AE199" i="1"/>
  <c r="Z199" i="1"/>
  <c r="Z198" i="1"/>
  <c r="Z197" i="1"/>
  <c r="AE197" i="1" s="1"/>
  <c r="AF197" i="1" s="1"/>
  <c r="AF196" i="1"/>
  <c r="AE196" i="1"/>
  <c r="Z196" i="1"/>
  <c r="Z195" i="1"/>
  <c r="Z194" i="1"/>
  <c r="AF193" i="1"/>
  <c r="AE193" i="1"/>
  <c r="Z193" i="1"/>
  <c r="AE192" i="1"/>
  <c r="AF192" i="1" s="1"/>
  <c r="Z192" i="1"/>
  <c r="AE191" i="1"/>
  <c r="Z191" i="1"/>
  <c r="Z190" i="1"/>
  <c r="Z189" i="1"/>
  <c r="AE189" i="1" s="1"/>
  <c r="AF189" i="1" s="1"/>
  <c r="AF188" i="1"/>
  <c r="AE188" i="1"/>
  <c r="Z188" i="1"/>
  <c r="Z187" i="1"/>
  <c r="Z186" i="1"/>
  <c r="AF185" i="1"/>
  <c r="AE185" i="1"/>
  <c r="Z185" i="1"/>
  <c r="AE184" i="1"/>
  <c r="AF184" i="1" s="1"/>
  <c r="Z184" i="1"/>
  <c r="Z183" i="1"/>
  <c r="AE183" i="1" s="1"/>
  <c r="AF183" i="1" s="1"/>
  <c r="Z182" i="1"/>
  <c r="AE182" i="1" s="1"/>
  <c r="AF182" i="1" s="1"/>
  <c r="AF181" i="1"/>
  <c r="Z181" i="1"/>
  <c r="AE181" i="1" s="1"/>
  <c r="Z180" i="1"/>
  <c r="Z179" i="1"/>
  <c r="AE178" i="1"/>
  <c r="Z178" i="1"/>
  <c r="AF177" i="1"/>
  <c r="AE177" i="1"/>
  <c r="Z177" i="1"/>
  <c r="AE176" i="1"/>
  <c r="AF176" i="1" s="1"/>
  <c r="Z176" i="1"/>
  <c r="Z175" i="1"/>
  <c r="AE175" i="1" s="1"/>
  <c r="Z174" i="1"/>
  <c r="AE174" i="1" s="1"/>
  <c r="Z173" i="1"/>
  <c r="AE173" i="1" s="1"/>
  <c r="AE172" i="1"/>
  <c r="Z172" i="1"/>
  <c r="AF172" i="1" s="1"/>
  <c r="AE171" i="1"/>
  <c r="Z171" i="1"/>
  <c r="Z170" i="1"/>
  <c r="AF169" i="1"/>
  <c r="AE169" i="1"/>
  <c r="Z169" i="1"/>
  <c r="AE168" i="1"/>
  <c r="AF168" i="1" s="1"/>
  <c r="Z168" i="1"/>
  <c r="Z167" i="1"/>
  <c r="Z166" i="1"/>
  <c r="AE166" i="1" s="1"/>
  <c r="Z165" i="1"/>
  <c r="AE165" i="1" s="1"/>
  <c r="Z164" i="1"/>
  <c r="Z163" i="1"/>
  <c r="AE163" i="1" s="1"/>
  <c r="AF163" i="1" s="1"/>
  <c r="AE162" i="1"/>
  <c r="Z162" i="1"/>
  <c r="AF162" i="1" s="1"/>
  <c r="Z161" i="1"/>
  <c r="AE160" i="1"/>
  <c r="Z160" i="1"/>
  <c r="AF160" i="1" s="1"/>
  <c r="Z159" i="1"/>
  <c r="AE159" i="1" s="1"/>
  <c r="AF159" i="1" s="1"/>
  <c r="AE158" i="1"/>
  <c r="AF158" i="1" s="1"/>
  <c r="Z158" i="1"/>
  <c r="Z157" i="1"/>
  <c r="AE157" i="1" s="1"/>
  <c r="Z156" i="1"/>
  <c r="Z155" i="1"/>
  <c r="AE155" i="1" s="1"/>
  <c r="AF155" i="1" s="1"/>
  <c r="AE154" i="1"/>
  <c r="Z154" i="1"/>
  <c r="AF154" i="1" s="1"/>
  <c r="Z153" i="1"/>
  <c r="AE152" i="1"/>
  <c r="Z152" i="1"/>
  <c r="AF152" i="1" s="1"/>
  <c r="Z151" i="1"/>
  <c r="AE151" i="1" s="1"/>
  <c r="AF151" i="1" s="1"/>
  <c r="AE150" i="1"/>
  <c r="AF150" i="1" s="1"/>
  <c r="Z150" i="1"/>
  <c r="Z149" i="1"/>
  <c r="AE149" i="1" s="1"/>
  <c r="Z148" i="1"/>
  <c r="Z147" i="1"/>
  <c r="AE147" i="1" s="1"/>
  <c r="AF147" i="1" s="1"/>
  <c r="AE146" i="1"/>
  <c r="Z146" i="1"/>
  <c r="AF146" i="1" s="1"/>
  <c r="Z145" i="1"/>
  <c r="AE144" i="1"/>
  <c r="Z144" i="1"/>
  <c r="AF144" i="1" s="1"/>
  <c r="Z143" i="1"/>
  <c r="AE143" i="1" s="1"/>
  <c r="AF143" i="1" s="1"/>
  <c r="AE142" i="1"/>
  <c r="AF142" i="1" s="1"/>
  <c r="Z142" i="1"/>
  <c r="Z141" i="1"/>
  <c r="AE141" i="1" s="1"/>
  <c r="Z140" i="1"/>
  <c r="Z139" i="1"/>
  <c r="AE139" i="1" s="1"/>
  <c r="AF139" i="1" s="1"/>
  <c r="AE138" i="1"/>
  <c r="Z138" i="1"/>
  <c r="AF138" i="1" s="1"/>
  <c r="Z137" i="1"/>
  <c r="AE136" i="1"/>
  <c r="Z136" i="1"/>
  <c r="AF136" i="1" s="1"/>
  <c r="AF135" i="1"/>
  <c r="AE135" i="1"/>
  <c r="Z135" i="1"/>
  <c r="AE134" i="1"/>
  <c r="AF134" i="1" s="1"/>
  <c r="Z134" i="1"/>
  <c r="Z133" i="1"/>
  <c r="AE133" i="1" s="1"/>
  <c r="Z132" i="1"/>
  <c r="Z131" i="1"/>
  <c r="AE131" i="1" s="1"/>
  <c r="AF131" i="1" s="1"/>
  <c r="AE130" i="1"/>
  <c r="Z130" i="1"/>
  <c r="AF130" i="1" s="1"/>
  <c r="Z129" i="1"/>
  <c r="AE128" i="1"/>
  <c r="Z128" i="1"/>
  <c r="AF128" i="1" s="1"/>
  <c r="AF127" i="1"/>
  <c r="AE127" i="1"/>
  <c r="Z127" i="1"/>
  <c r="AE126" i="1"/>
  <c r="AF126" i="1" s="1"/>
  <c r="Z126" i="1"/>
  <c r="Z125" i="1"/>
  <c r="AE125" i="1" s="1"/>
  <c r="Z124" i="1"/>
  <c r="Z123" i="1"/>
  <c r="AE123" i="1" s="1"/>
  <c r="AF123" i="1" s="1"/>
  <c r="AE122" i="1"/>
  <c r="Z122" i="1"/>
  <c r="AF122" i="1" s="1"/>
  <c r="Z121" i="1"/>
  <c r="AE120" i="1"/>
  <c r="Z120" i="1"/>
  <c r="AF120" i="1" s="1"/>
  <c r="AF119" i="1"/>
  <c r="AE119" i="1"/>
  <c r="Z119" i="1"/>
  <c r="AE118" i="1"/>
  <c r="AF118" i="1" s="1"/>
  <c r="Z118" i="1"/>
  <c r="Z117" i="1"/>
  <c r="AE117" i="1" s="1"/>
  <c r="Z116" i="1"/>
  <c r="Z115" i="1"/>
  <c r="AE115" i="1" s="1"/>
  <c r="AF115" i="1" s="1"/>
  <c r="AE114" i="1"/>
  <c r="Z114" i="1"/>
  <c r="AF114" i="1" s="1"/>
  <c r="Z113" i="1"/>
  <c r="AE112" i="1"/>
  <c r="Z112" i="1"/>
  <c r="AF112" i="1" s="1"/>
  <c r="AF111" i="1"/>
  <c r="AE111" i="1"/>
  <c r="Z111" i="1"/>
  <c r="AE110" i="1"/>
  <c r="AF110" i="1" s="1"/>
  <c r="Z110" i="1"/>
  <c r="Z109" i="1"/>
  <c r="AE109" i="1" s="1"/>
  <c r="Z108" i="1"/>
  <c r="Z107" i="1"/>
  <c r="AE107" i="1" s="1"/>
  <c r="AF107" i="1" s="1"/>
  <c r="AE106" i="1"/>
  <c r="Z106" i="1"/>
  <c r="AF106" i="1" s="1"/>
  <c r="Z105" i="1"/>
  <c r="AE104" i="1"/>
  <c r="Z104" i="1"/>
  <c r="AF104" i="1" s="1"/>
  <c r="AF103" i="1"/>
  <c r="AE103" i="1"/>
  <c r="Z103" i="1"/>
  <c r="AE102" i="1"/>
  <c r="AF102" i="1" s="1"/>
  <c r="Z102" i="1"/>
  <c r="Z101" i="1"/>
  <c r="AE101" i="1" s="1"/>
  <c r="Z100" i="1"/>
  <c r="Z99" i="1"/>
  <c r="AE99" i="1" s="1"/>
  <c r="AF99" i="1" s="1"/>
  <c r="AE98" i="1"/>
  <c r="Z98" i="1"/>
  <c r="AF98" i="1" s="1"/>
  <c r="Z97" i="1"/>
  <c r="AE96" i="1"/>
  <c r="Z96" i="1"/>
  <c r="AF96" i="1" s="1"/>
  <c r="AF95" i="1"/>
  <c r="AE95" i="1"/>
  <c r="Z95" i="1"/>
  <c r="AE94" i="1"/>
  <c r="AF94" i="1" s="1"/>
  <c r="Z94" i="1"/>
  <c r="Z93" i="1"/>
  <c r="AE93" i="1" s="1"/>
  <c r="Z92" i="1"/>
  <c r="Z91" i="1"/>
  <c r="AE91" i="1" s="1"/>
  <c r="AF91" i="1" s="1"/>
  <c r="AE90" i="1"/>
  <c r="Z90" i="1"/>
  <c r="AF90" i="1" s="1"/>
  <c r="Z89" i="1"/>
  <c r="AE88" i="1"/>
  <c r="Z88" i="1"/>
  <c r="AF88" i="1" s="1"/>
  <c r="AF87" i="1"/>
  <c r="AE87" i="1"/>
  <c r="Z87" i="1"/>
  <c r="AE86" i="1"/>
  <c r="AF86" i="1" s="1"/>
  <c r="Z86" i="1"/>
  <c r="Z85" i="1"/>
  <c r="AE85" i="1" s="1"/>
  <c r="Z84" i="1"/>
  <c r="Z83" i="1"/>
  <c r="AE83" i="1" s="1"/>
  <c r="AF83" i="1" s="1"/>
  <c r="AE82" i="1"/>
  <c r="Z82" i="1"/>
  <c r="AF82" i="1" s="1"/>
  <c r="Z81" i="1"/>
  <c r="AE80" i="1"/>
  <c r="Z80" i="1"/>
  <c r="AF80" i="1" s="1"/>
  <c r="AF79" i="1"/>
  <c r="AE79" i="1"/>
  <c r="Z79" i="1"/>
  <c r="AE78" i="1"/>
  <c r="AF78" i="1" s="1"/>
  <c r="Z78" i="1"/>
  <c r="Z77" i="1"/>
  <c r="AE77" i="1" s="1"/>
  <c r="Z76" i="1"/>
  <c r="Z75" i="1"/>
  <c r="AE75" i="1" s="1"/>
  <c r="AF75" i="1" s="1"/>
  <c r="AE74" i="1"/>
  <c r="Z74" i="1"/>
  <c r="AF74" i="1" s="1"/>
  <c r="Z73" i="1"/>
  <c r="AE72" i="1"/>
  <c r="Z72" i="1"/>
  <c r="AF72" i="1" s="1"/>
  <c r="AF71" i="1"/>
  <c r="AE71" i="1"/>
  <c r="Z71" i="1"/>
  <c r="AE70" i="1"/>
  <c r="AF70" i="1" s="1"/>
  <c r="Z70" i="1"/>
  <c r="Z69" i="1"/>
  <c r="AE69" i="1" s="1"/>
  <c r="Z68" i="1"/>
  <c r="Z67" i="1"/>
  <c r="AE67" i="1" s="1"/>
  <c r="AF67" i="1" s="1"/>
  <c r="AE66" i="1"/>
  <c r="Z66" i="1"/>
  <c r="AF66" i="1" s="1"/>
  <c r="Z65" i="1"/>
  <c r="AE64" i="1"/>
  <c r="Z64" i="1"/>
  <c r="AF64" i="1" s="1"/>
  <c r="AF63" i="1"/>
  <c r="AE63" i="1"/>
  <c r="Z63" i="1"/>
  <c r="AE62" i="1"/>
  <c r="AF62" i="1" s="1"/>
  <c r="Z62" i="1"/>
  <c r="Z61" i="1"/>
  <c r="AE61" i="1" s="1"/>
  <c r="Z60" i="1"/>
  <c r="Z59" i="1"/>
  <c r="AE59" i="1" s="1"/>
  <c r="AF59" i="1" s="1"/>
  <c r="AE58" i="1"/>
  <c r="Z58" i="1"/>
  <c r="AF58" i="1" s="1"/>
  <c r="Z57" i="1"/>
  <c r="AE56" i="1"/>
  <c r="Z56" i="1"/>
  <c r="AF56" i="1" s="1"/>
  <c r="AF55" i="1"/>
  <c r="AE55" i="1"/>
  <c r="Z55" i="1"/>
  <c r="AE54" i="1"/>
  <c r="AF54" i="1" s="1"/>
  <c r="Z54" i="1"/>
  <c r="Z53" i="1"/>
  <c r="AE53" i="1" s="1"/>
  <c r="Z52" i="1"/>
  <c r="Z51" i="1"/>
  <c r="AE51" i="1" s="1"/>
  <c r="AF51" i="1" s="1"/>
  <c r="AE50" i="1"/>
  <c r="Z50" i="1"/>
  <c r="AF50" i="1" s="1"/>
  <c r="Z49" i="1"/>
  <c r="AE48" i="1"/>
  <c r="Z48" i="1"/>
  <c r="AF48" i="1" s="1"/>
  <c r="AF47" i="1"/>
  <c r="AE47" i="1"/>
  <c r="Z47" i="1"/>
  <c r="AE46" i="1"/>
  <c r="AF46" i="1" s="1"/>
  <c r="Z46" i="1"/>
  <c r="Z45" i="1"/>
  <c r="AE45" i="1" s="1"/>
  <c r="Z44" i="1"/>
  <c r="Z43" i="1"/>
  <c r="AE43" i="1" s="1"/>
  <c r="AF43" i="1" s="1"/>
  <c r="AE42" i="1"/>
  <c r="Z42" i="1"/>
  <c r="AF42" i="1" s="1"/>
  <c r="Z41" i="1"/>
  <c r="AE40" i="1"/>
  <c r="Z40" i="1"/>
  <c r="AF40" i="1" s="1"/>
  <c r="AF39" i="1"/>
  <c r="AE39" i="1"/>
  <c r="Z39" i="1"/>
  <c r="AE38" i="1"/>
  <c r="AF38" i="1" s="1"/>
  <c r="Z38" i="1"/>
  <c r="Z37" i="1"/>
  <c r="AE37" i="1" s="1"/>
  <c r="Z36" i="1"/>
  <c r="Z35" i="1"/>
  <c r="AE35" i="1" s="1"/>
  <c r="AF35" i="1" s="1"/>
  <c r="AE34" i="1"/>
  <c r="Z34" i="1"/>
  <c r="AF34" i="1" s="1"/>
  <c r="Z33" i="1"/>
  <c r="AE32" i="1"/>
  <c r="Z32" i="1"/>
  <c r="AF32" i="1" s="1"/>
  <c r="AF31" i="1"/>
  <c r="AE31" i="1"/>
  <c r="Z31" i="1"/>
  <c r="AE30" i="1"/>
  <c r="AF30" i="1" s="1"/>
  <c r="Z30" i="1"/>
  <c r="Z29" i="1"/>
  <c r="AE29" i="1" s="1"/>
  <c r="Z28" i="1"/>
  <c r="Z27" i="1"/>
  <c r="AE27" i="1" s="1"/>
  <c r="AF27" i="1" s="1"/>
  <c r="AE26" i="1"/>
  <c r="Z26" i="1"/>
  <c r="AF26" i="1" s="1"/>
  <c r="Z25" i="1"/>
  <c r="AE24" i="1"/>
  <c r="Z24" i="1"/>
  <c r="AF24" i="1" s="1"/>
  <c r="AF23" i="1"/>
  <c r="AE23" i="1"/>
  <c r="Z23" i="1"/>
  <c r="AE22" i="1"/>
  <c r="AF22" i="1" s="1"/>
  <c r="Z22" i="1"/>
  <c r="Z21" i="1"/>
  <c r="AE21" i="1" s="1"/>
  <c r="Z20" i="1"/>
  <c r="Z19" i="1"/>
  <c r="AE19" i="1" s="1"/>
  <c r="AF19" i="1" s="1"/>
  <c r="AE18" i="1"/>
  <c r="Z18" i="1"/>
  <c r="AF18" i="1" s="1"/>
  <c r="Z17" i="1"/>
  <c r="AE16" i="1"/>
  <c r="Z16" i="1"/>
  <c r="AF16" i="1" s="1"/>
  <c r="AF15" i="1"/>
  <c r="AE15" i="1"/>
  <c r="Z15" i="1"/>
  <c r="AE14" i="1"/>
  <c r="AF14" i="1" s="1"/>
  <c r="Z14" i="1"/>
  <c r="Z13" i="1"/>
  <c r="AE13" i="1" s="1"/>
  <c r="Z12" i="1"/>
  <c r="Z11" i="1"/>
  <c r="AE11" i="1" s="1"/>
  <c r="AF11" i="1" s="1"/>
  <c r="AE10" i="1"/>
  <c r="Z10" i="1"/>
  <c r="AF10" i="1" s="1"/>
  <c r="Z9" i="1"/>
  <c r="AE8" i="1"/>
  <c r="Z8" i="1"/>
  <c r="AF8" i="1" s="1"/>
  <c r="AF7" i="1"/>
  <c r="AE7" i="1"/>
  <c r="Z7" i="1"/>
  <c r="AE6" i="1"/>
  <c r="AF6" i="1" s="1"/>
  <c r="Z6" i="1"/>
  <c r="Z5" i="1"/>
  <c r="AE5" i="1" s="1"/>
  <c r="Z4" i="1"/>
  <c r="Z3" i="1"/>
  <c r="AE3" i="1" s="1"/>
  <c r="AF3" i="1" s="1"/>
  <c r="AE2" i="1"/>
  <c r="Z2" i="1"/>
  <c r="AF2" i="1" s="1"/>
  <c r="AF132" i="1" l="1"/>
  <c r="AF137" i="1"/>
  <c r="AF36" i="1"/>
  <c r="AF28" i="1"/>
  <c r="AF5" i="1"/>
  <c r="AF13" i="1"/>
  <c r="AF21" i="1"/>
  <c r="AF29" i="1"/>
  <c r="AF37" i="1"/>
  <c r="AF45" i="1"/>
  <c r="AF53" i="1"/>
  <c r="AF61" i="1"/>
  <c r="AF69" i="1"/>
  <c r="AF77" i="1"/>
  <c r="AF85" i="1"/>
  <c r="AF93" i="1"/>
  <c r="AF101" i="1"/>
  <c r="AF109" i="1"/>
  <c r="AF117" i="1"/>
  <c r="AF125" i="1"/>
  <c r="AF133" i="1"/>
  <c r="AF141" i="1"/>
  <c r="AF149" i="1"/>
  <c r="AF157" i="1"/>
  <c r="AF175" i="1"/>
  <c r="AE186" i="1"/>
  <c r="AF186" i="1" s="1"/>
  <c r="AE218" i="1"/>
  <c r="AF218" i="1" s="1"/>
  <c r="AE250" i="1"/>
  <c r="AF250" i="1" s="1"/>
  <c r="AE282" i="1"/>
  <c r="AF282" i="1" s="1"/>
  <c r="AF314" i="1"/>
  <c r="AE314" i="1"/>
  <c r="AE378" i="1"/>
  <c r="AF378" i="1" s="1"/>
  <c r="AF418" i="1"/>
  <c r="AE418" i="1"/>
  <c r="AE458" i="1"/>
  <c r="AF458" i="1" s="1"/>
  <c r="AE474" i="1"/>
  <c r="AF474" i="1" s="1"/>
  <c r="AF490" i="1"/>
  <c r="AE490" i="1"/>
  <c r="AF495" i="1"/>
  <c r="AE210" i="1"/>
  <c r="AF210" i="1" s="1"/>
  <c r="AF166" i="1"/>
  <c r="AF179" i="1"/>
  <c r="AE179" i="1"/>
  <c r="AE187" i="1"/>
  <c r="AF187" i="1" s="1"/>
  <c r="AF215" i="1"/>
  <c r="AF279" i="1"/>
  <c r="AF311" i="1"/>
  <c r="AF375" i="1"/>
  <c r="AF399" i="1"/>
  <c r="AF454" i="1"/>
  <c r="AE274" i="1"/>
  <c r="AF274" i="1" s="1"/>
  <c r="AE9" i="1"/>
  <c r="AF9" i="1" s="1"/>
  <c r="AE17" i="1"/>
  <c r="AF17" i="1" s="1"/>
  <c r="AE25" i="1"/>
  <c r="AF25" i="1" s="1"/>
  <c r="AE33" i="1"/>
  <c r="AF33" i="1" s="1"/>
  <c r="AE41" i="1"/>
  <c r="AF41" i="1" s="1"/>
  <c r="AE49" i="1"/>
  <c r="AF49" i="1" s="1"/>
  <c r="AE57" i="1"/>
  <c r="AF57" i="1" s="1"/>
  <c r="AE65" i="1"/>
  <c r="AF65" i="1" s="1"/>
  <c r="AE73" i="1"/>
  <c r="AF73" i="1" s="1"/>
  <c r="AE81" i="1"/>
  <c r="AF81" i="1" s="1"/>
  <c r="AE89" i="1"/>
  <c r="AF89" i="1" s="1"/>
  <c r="AE97" i="1"/>
  <c r="AF97" i="1" s="1"/>
  <c r="AE105" i="1"/>
  <c r="AF105" i="1" s="1"/>
  <c r="AE113" i="1"/>
  <c r="AF113" i="1" s="1"/>
  <c r="AE121" i="1"/>
  <c r="AF121" i="1" s="1"/>
  <c r="AE129" i="1"/>
  <c r="AF129" i="1" s="1"/>
  <c r="AE137" i="1"/>
  <c r="AE145" i="1"/>
  <c r="AF145" i="1" s="1"/>
  <c r="AE153" i="1"/>
  <c r="AF153" i="1" s="1"/>
  <c r="AE161" i="1"/>
  <c r="AF161" i="1" s="1"/>
  <c r="AE167" i="1"/>
  <c r="AF167" i="1" s="1"/>
  <c r="AF173" i="1"/>
  <c r="AE180" i="1"/>
  <c r="AF180" i="1" s="1"/>
  <c r="AF307" i="1"/>
  <c r="AE394" i="1"/>
  <c r="AF394" i="1" s="1"/>
  <c r="AE410" i="1"/>
  <c r="AF410" i="1" s="1"/>
  <c r="AF470" i="1"/>
  <c r="AE242" i="1"/>
  <c r="AF242" i="1" s="1"/>
  <c r="AE306" i="1"/>
  <c r="AF306" i="1" s="1"/>
  <c r="AF450" i="1"/>
  <c r="AE450" i="1"/>
  <c r="AE4" i="1"/>
  <c r="AF4" i="1" s="1"/>
  <c r="AE12" i="1"/>
  <c r="AF12" i="1" s="1"/>
  <c r="AE20" i="1"/>
  <c r="AF20" i="1" s="1"/>
  <c r="AE28" i="1"/>
  <c r="AE36" i="1"/>
  <c r="AE44" i="1"/>
  <c r="AF44" i="1" s="1"/>
  <c r="AE52" i="1"/>
  <c r="AF52" i="1" s="1"/>
  <c r="AE60" i="1"/>
  <c r="AF60" i="1" s="1"/>
  <c r="AE68" i="1"/>
  <c r="AF68" i="1" s="1"/>
  <c r="AE76" i="1"/>
  <c r="AF76" i="1" s="1"/>
  <c r="AE84" i="1"/>
  <c r="AF84" i="1" s="1"/>
  <c r="AE92" i="1"/>
  <c r="AF92" i="1" s="1"/>
  <c r="AE100" i="1"/>
  <c r="AF100" i="1" s="1"/>
  <c r="AE108" i="1"/>
  <c r="AF108" i="1" s="1"/>
  <c r="AE116" i="1"/>
  <c r="AF116" i="1" s="1"/>
  <c r="AE124" i="1"/>
  <c r="AF124" i="1" s="1"/>
  <c r="AE132" i="1"/>
  <c r="AE140" i="1"/>
  <c r="AF140" i="1" s="1"/>
  <c r="AE148" i="1"/>
  <c r="AF148" i="1" s="1"/>
  <c r="AE156" i="1"/>
  <c r="AF156" i="1" s="1"/>
  <c r="AE164" i="1"/>
  <c r="AF164" i="1" s="1"/>
  <c r="AE170" i="1"/>
  <c r="AF170" i="1" s="1"/>
  <c r="AF198" i="1"/>
  <c r="AE202" i="1"/>
  <c r="AF202" i="1" s="1"/>
  <c r="AE234" i="1"/>
  <c r="AF234" i="1" s="1"/>
  <c r="AE266" i="1"/>
  <c r="AF266" i="1" s="1"/>
  <c r="AE298" i="1"/>
  <c r="AF298" i="1" s="1"/>
  <c r="AE362" i="1"/>
  <c r="AF362" i="1" s="1"/>
  <c r="AF445" i="1"/>
  <c r="AE466" i="1"/>
  <c r="AF466" i="1" s="1"/>
  <c r="AF471" i="1"/>
  <c r="AE482" i="1"/>
  <c r="AF482" i="1" s="1"/>
  <c r="AF487" i="1"/>
  <c r="AE498" i="1"/>
  <c r="AF498" i="1" s="1"/>
  <c r="AF503" i="1"/>
  <c r="AF171" i="1"/>
  <c r="AF174" i="1"/>
  <c r="AF199" i="1"/>
  <c r="AF263" i="1"/>
  <c r="AF295" i="1"/>
  <c r="AF327" i="1"/>
  <c r="AE330" i="1"/>
  <c r="AF330" i="1" s="1"/>
  <c r="AF335" i="1"/>
  <c r="AF338" i="1"/>
  <c r="AE338" i="1"/>
  <c r="AF343" i="1"/>
  <c r="AE346" i="1"/>
  <c r="AF346" i="1" s="1"/>
  <c r="AF351" i="1"/>
  <c r="AE354" i="1"/>
  <c r="AF354" i="1" s="1"/>
  <c r="AF359" i="1"/>
  <c r="AF391" i="1"/>
  <c r="AF366" i="1"/>
  <c r="AE370" i="1"/>
  <c r="AF370" i="1" s="1"/>
  <c r="AE434" i="1"/>
  <c r="AF434" i="1" s="1"/>
  <c r="AE194" i="1"/>
  <c r="AF194" i="1" s="1"/>
  <c r="AE226" i="1"/>
  <c r="AF226" i="1" s="1"/>
  <c r="AE258" i="1"/>
  <c r="AF258" i="1" s="1"/>
  <c r="AF290" i="1"/>
  <c r="AE290" i="1"/>
  <c r="AE322" i="1"/>
  <c r="AF322" i="1" s="1"/>
  <c r="AE386" i="1"/>
  <c r="AF386" i="1" s="1"/>
  <c r="AE426" i="1"/>
  <c r="AF426" i="1" s="1"/>
  <c r="AE442" i="1"/>
  <c r="AF442" i="1" s="1"/>
  <c r="AF504" i="1"/>
  <c r="AF165" i="1"/>
  <c r="AF178" i="1"/>
  <c r="AF191" i="1"/>
  <c r="AF223" i="1"/>
  <c r="AF255" i="1"/>
  <c r="AF287" i="1"/>
  <c r="AF319" i="1"/>
  <c r="AF383" i="1"/>
  <c r="AF402" i="1"/>
  <c r="AE402" i="1"/>
  <c r="AE237" i="1"/>
  <c r="AF237" i="1" s="1"/>
  <c r="AE245" i="1"/>
  <c r="AF245" i="1" s="1"/>
  <c r="AE253" i="1"/>
  <c r="AF253" i="1" s="1"/>
  <c r="AE261" i="1"/>
  <c r="AF261" i="1" s="1"/>
  <c r="AE349" i="1"/>
  <c r="AF349" i="1" s="1"/>
  <c r="AE357" i="1"/>
  <c r="AF357" i="1" s="1"/>
  <c r="AE381" i="1"/>
  <c r="AF381" i="1" s="1"/>
  <c r="AE413" i="1"/>
  <c r="AF413" i="1" s="1"/>
  <c r="AE421" i="1"/>
  <c r="AF421" i="1" s="1"/>
  <c r="AE429" i="1"/>
  <c r="AF429" i="1" s="1"/>
  <c r="AE437" i="1"/>
  <c r="AF437" i="1" s="1"/>
  <c r="AE445" i="1"/>
  <c r="AE453" i="1"/>
  <c r="AF453" i="1" s="1"/>
  <c r="AE461" i="1"/>
  <c r="AF461" i="1" s="1"/>
  <c r="AE469" i="1"/>
  <c r="AF469" i="1" s="1"/>
  <c r="AE477" i="1"/>
  <c r="AF477" i="1" s="1"/>
  <c r="AE485" i="1"/>
  <c r="AF485" i="1" s="1"/>
  <c r="AE493" i="1"/>
  <c r="AF493" i="1" s="1"/>
  <c r="AE501" i="1"/>
  <c r="AF501" i="1" s="1"/>
  <c r="AE504" i="1"/>
  <c r="AE195" i="1"/>
  <c r="AF195" i="1" s="1"/>
  <c r="AE203" i="1"/>
  <c r="AF203" i="1" s="1"/>
  <c r="AE211" i="1"/>
  <c r="AF211" i="1" s="1"/>
  <c r="AE219" i="1"/>
  <c r="AF219" i="1" s="1"/>
  <c r="AE227" i="1"/>
  <c r="AF227" i="1" s="1"/>
  <c r="AE235" i="1"/>
  <c r="AF235" i="1" s="1"/>
  <c r="AE243" i="1"/>
  <c r="AF243" i="1" s="1"/>
  <c r="AE251" i="1"/>
  <c r="AF251" i="1" s="1"/>
  <c r="AE259" i="1"/>
  <c r="AF259" i="1" s="1"/>
  <c r="AE267" i="1"/>
  <c r="AF267" i="1" s="1"/>
  <c r="AE275" i="1"/>
  <c r="AF275" i="1" s="1"/>
  <c r="AE283" i="1"/>
  <c r="AF283" i="1" s="1"/>
  <c r="AE291" i="1"/>
  <c r="AF291" i="1" s="1"/>
  <c r="AE299" i="1"/>
  <c r="AF299" i="1" s="1"/>
  <c r="AE307" i="1"/>
  <c r="AE315" i="1"/>
  <c r="AF315" i="1" s="1"/>
  <c r="AE323" i="1"/>
  <c r="AF323" i="1" s="1"/>
  <c r="AE363" i="1"/>
  <c r="AF363" i="1" s="1"/>
  <c r="AE371" i="1"/>
  <c r="AF371" i="1" s="1"/>
  <c r="AE379" i="1"/>
  <c r="AF379" i="1" s="1"/>
  <c r="AE387" i="1"/>
  <c r="AF387" i="1" s="1"/>
  <c r="AE395" i="1"/>
  <c r="AF395" i="1" s="1"/>
  <c r="AE403" i="1"/>
  <c r="AF403" i="1" s="1"/>
  <c r="AE411" i="1"/>
  <c r="AF411" i="1" s="1"/>
  <c r="AE190" i="1"/>
  <c r="AF190" i="1" s="1"/>
  <c r="AE198" i="1"/>
  <c r="AE206" i="1"/>
  <c r="AF206" i="1" s="1"/>
  <c r="AE214" i="1"/>
  <c r="AF214" i="1" s="1"/>
  <c r="AE222" i="1"/>
  <c r="AF222" i="1" s="1"/>
  <c r="AE230" i="1"/>
  <c r="AF230" i="1" s="1"/>
  <c r="AE238" i="1"/>
  <c r="AF238" i="1" s="1"/>
  <c r="AE246" i="1"/>
  <c r="AF246" i="1" s="1"/>
  <c r="AE254" i="1"/>
  <c r="AF254" i="1" s="1"/>
  <c r="AE262" i="1"/>
  <c r="AF262" i="1" s="1"/>
  <c r="AE270" i="1"/>
  <c r="AF270" i="1" s="1"/>
  <c r="AE278" i="1"/>
  <c r="AF278" i="1" s="1"/>
  <c r="AE286" i="1"/>
  <c r="AF286" i="1" s="1"/>
  <c r="AE294" i="1"/>
  <c r="AF294" i="1" s="1"/>
  <c r="AE302" i="1"/>
  <c r="AF302" i="1" s="1"/>
  <c r="AE310" i="1"/>
  <c r="AF310" i="1" s="1"/>
  <c r="AE318" i="1"/>
  <c r="AF318" i="1" s="1"/>
  <c r="AE326" i="1"/>
  <c r="AF326" i="1" s="1"/>
  <c r="AE334" i="1"/>
  <c r="AF334" i="1" s="1"/>
  <c r="AE342" i="1"/>
  <c r="AF342" i="1" s="1"/>
  <c r="AE350" i="1"/>
  <c r="AF350" i="1" s="1"/>
  <c r="AE358" i="1"/>
  <c r="AF358" i="1" s="1"/>
  <c r="AE366" i="1"/>
  <c r="AE374" i="1"/>
  <c r="AF374" i="1" s="1"/>
  <c r="AE382" i="1"/>
  <c r="AF382" i="1" s="1"/>
  <c r="AE390" i="1"/>
  <c r="AF390" i="1" s="1"/>
  <c r="AE398" i="1"/>
  <c r="AF398" i="1" s="1"/>
  <c r="AE406" i="1"/>
  <c r="AF406" i="1" s="1"/>
  <c r="AE414" i="1"/>
  <c r="AF414" i="1" s="1"/>
  <c r="AE422" i="1"/>
  <c r="AF422" i="1" s="1"/>
  <c r="AE430" i="1"/>
  <c r="AF430" i="1" s="1"/>
  <c r="AE438" i="1"/>
  <c r="AF438" i="1" s="1"/>
  <c r="AE446" i="1"/>
  <c r="AF446" i="1" s="1"/>
  <c r="AE454" i="1"/>
  <c r="AE462" i="1"/>
  <c r="AF462" i="1" s="1"/>
  <c r="AE470" i="1"/>
  <c r="AE478" i="1"/>
  <c r="AF478" i="1" s="1"/>
  <c r="AE486" i="1"/>
  <c r="AF486" i="1" s="1"/>
  <c r="AE494" i="1"/>
  <c r="AF494" i="1" s="1"/>
  <c r="AE502" i="1"/>
  <c r="AF502" i="1" s="1"/>
  <c r="AE505" i="1"/>
  <c r="AF505" i="1" s="1"/>
</calcChain>
</file>

<file path=xl/sharedStrings.xml><?xml version="1.0" encoding="utf-8"?>
<sst xmlns="http://schemas.openxmlformats.org/spreadsheetml/2006/main" count="9959" uniqueCount="1566">
  <si>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</si>
  <si>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</si>
  <si>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</si>
  <si>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</si>
  <si>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</si>
  <si>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</si>
  <si>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</si>
  <si>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</si>
  <si>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</si>
  <si>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</si>
  <si>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</si>
  <si>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</si>
  <si>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</si>
  <si>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</si>
  <si>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</si>
  <si>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</si>
  <si>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</si>
  <si>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</si>
  <si>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</si>
  <si>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</si>
  <si>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</si>
  <si>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</si>
  <si>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</si>
  <si>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</si>
  <si>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</si>
  <si>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</si>
  <si>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</si>
  <si>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</si>
  <si>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</si>
  <si>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</si>
  <si>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</si>
  <si>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</si>
  <si>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</si>
  <si>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</si>
  <si>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</si>
  <si>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NVMY34535000005774</t>
  </si>
  <si>
    <t/>
  </si>
  <si>
    <t>Completed</t>
  </si>
  <si>
    <t>PUAN ZAITON BT YOB</t>
  </si>
  <si>
    <t>DELIVERY_THREE_DAYS_ANYTIME</t>
  </si>
  <si>
    <t>Parcel</t>
  </si>
  <si>
    <t>STANDARD</t>
  </si>
  <si>
    <t>SMALL</t>
  </si>
  <si>
    <t>WMSIA</t>
  </si>
  <si>
    <t>KBR1-KBR1</t>
  </si>
  <si>
    <t>Melaka</t>
  </si>
  <si>
    <t>NO 153, JALAN ASEAN 14, TAMAN ASEAN MELAKA 75250 MELAKA  Melaka Melaka - my 75250</t>
  </si>
  <si>
    <t>MM-MM</t>
  </si>
  <si>
    <t>AHMAD RETAIL</t>
  </si>
  <si>
    <t>NVMY34535000005771</t>
  </si>
  <si>
    <t>PN ZARINA KAMARUDDIN</t>
  </si>
  <si>
    <t>Perak</t>
  </si>
  <si>
    <t>NO 78, LOT 60571 JALAN RAPAT JAYA. KG SUNGAI RAPAT 31350 IPOH PERAK  Ipoh Perak - my 31350</t>
  </si>
  <si>
    <t>N6-HLD-48</t>
  </si>
  <si>
    <t>NVMY34535000005790</t>
  </si>
  <si>
    <t>PUAN HARLINA MOHD. ALI</t>
  </si>
  <si>
    <t>KEL-KEL</t>
  </si>
  <si>
    <t>Selangor</t>
  </si>
  <si>
    <t>50 JALAN BUKIT PERMAI 2 TAMAN BUKIT PERMAI 56100 AMPANG SELANGOR  Kuala Lumpur Kuala Lumpur - my 56100</t>
  </si>
  <si>
    <t>NVMY34535000005753</t>
  </si>
  <si>
    <t>AZIZAH BTE BAHARI</t>
  </si>
  <si>
    <t>Johor</t>
  </si>
  <si>
    <t>KFC TERMINAL LARKIN JALAN KENYALANG 80350 LARKIN JOHOR  Johor Bahru Johor - my 80350</t>
  </si>
  <si>
    <t>S7A-LKN-72</t>
  </si>
  <si>
    <t>NVMY34535000005797</t>
  </si>
  <si>
    <t>ZATTUL ELYANI BINTI ADNAN</t>
  </si>
  <si>
    <t>Terengganu</t>
  </si>
  <si>
    <t>LOT PT 474 JALAN SEPAKAT KAMPUNG TOKHAS 22000 JERTEH TERENGGANU  Jerteh Terengganu - my 22000</t>
  </si>
  <si>
    <t>NVMY34535000005786</t>
  </si>
  <si>
    <t>ANG HWEE SHAN</t>
  </si>
  <si>
    <t>Pulau Pinang</t>
  </si>
  <si>
    <t>NO 34 LORONG SRI KIJANG 9 TAMAN SRI KIJANG SEBERANG PERAI TENGAH 14000 PULAU PINANG  Kubang Semang Pulau Pinang - my 14000</t>
  </si>
  <si>
    <t>N5-BKM-47</t>
  </si>
  <si>
    <t>NVMY34535000005791</t>
  </si>
  <si>
    <t>MOHD AFFENDY G</t>
  </si>
  <si>
    <t>Kuala Lumpur</t>
  </si>
  <si>
    <t>RHB KAWAL, SECURITY CONTROL CENTRE, BASEMENT 1 RHB CENTRE JALAN TUN RAZAK 50400 KUALA LUMPUR  Kuala Lumpur Kuala Lumpur - my 50400</t>
  </si>
  <si>
    <t>K14-SHM-141</t>
  </si>
  <si>
    <t>NVMY34535000005783</t>
  </si>
  <si>
    <t>NUR QASIH INSANDRA BT NOORFARDI</t>
  </si>
  <si>
    <t>Kedah</t>
  </si>
  <si>
    <t>NO 2966 LORONG SERAI WANGI 6/11 TAMAN SERAI WANGI FASA 4 &amp; 5 PADANG SERAI 09400 KEDAH  Padang Serai Kedah - my 09400</t>
  </si>
  <si>
    <t>N5-KLM-40</t>
  </si>
  <si>
    <t>NVMY34535000005778</t>
  </si>
  <si>
    <t>MASFARLINIE (NANAD)</t>
  </si>
  <si>
    <t>2/3 TAMAN AKASIA 2 06010 CHANGLUN KEDAH  Changloon Kedah - my 06010</t>
  </si>
  <si>
    <t>E3A-JIT-36</t>
  </si>
  <si>
    <t>NVMY34535000005793</t>
  </si>
  <si>
    <t>MOHD AMIN BIN ABDUL AZIZ</t>
  </si>
  <si>
    <t>Pahang</t>
  </si>
  <si>
    <t>NO 52, JLN IM 12/8, TAMAN ASTANA PERMAI, BANDAR INDERA MAHKOTA 25200 KUANTAN PAHANG  Kuantan Pahang - my 25200</t>
  </si>
  <si>
    <t>NVMY34535000005795</t>
  </si>
  <si>
    <t>FARA WAHIDA SAFIAI</t>
  </si>
  <si>
    <t>BLOCK 85-03-12 BANDAR BARU SENTUL 51000 KUALA LUMPUR  Kuala Lumpur Kuala Lumpur - my 51000</t>
  </si>
  <si>
    <t>K12A-SEG-129</t>
  </si>
  <si>
    <t>NVMY34535000005789</t>
  </si>
  <si>
    <t>PUAN SITI NURAIN BINTI MD HAIRUDIN</t>
  </si>
  <si>
    <t>NO 12 LORONG MASJID SULTAN 20A/KS 13 TAMAN PERIGI NENAS 42920 PULAU INDAH SELANGOR  Pulau Indah Selangor - my 42920</t>
  </si>
  <si>
    <t>K11A-PKL-118</t>
  </si>
  <si>
    <t>NVMY34535000005785</t>
  </si>
  <si>
    <t>HAJAH ALIMAH BT MOHAMAD</t>
  </si>
  <si>
    <t>NO 21 LORONG 7 TONGKANG PECHAH 83010 BATU PAHAT JOHOR - 074151441  Batu Pahat Johor - my 83010</t>
  </si>
  <si>
    <t>S8-BPT-80</t>
  </si>
  <si>
    <t>NVMY34535000005772</t>
  </si>
  <si>
    <t>PUAN LENNY REZALI</t>
  </si>
  <si>
    <t>NO 45, KG BARU HULU (M) AIR KUNING, MAMBANG DIAWAN 31950 KAMPAR PERAK  Kampar Perak - my 31950</t>
  </si>
  <si>
    <t>N6-TAP-51</t>
  </si>
  <si>
    <t>NVMY34535000005806</t>
  </si>
  <si>
    <t>NOORMY BT MAT HASSAN</t>
  </si>
  <si>
    <t>Kelantan</t>
  </si>
  <si>
    <t>LOT 82 KG GUAL NIBONG, GUAL PERIOK 17200 RANTAU PANJANG KELANTAN  Rantau Panjang Kelantan - my 17200</t>
  </si>
  <si>
    <t>E1A-PAS-5</t>
  </si>
  <si>
    <t>NVMY34535000005796</t>
  </si>
  <si>
    <t>FARZANA ANIS</t>
  </si>
  <si>
    <t>NO 541, LORONG KETAPANG 2/1, TAMAN BANDAR BARU 06400 POKOK SENA KEDAH  Pokok Sena Kedah - my 06400</t>
  </si>
  <si>
    <t>E3-PSN-32</t>
  </si>
  <si>
    <t>NVMY34535000005794</t>
  </si>
  <si>
    <t>SITI HAZIRAH</t>
  </si>
  <si>
    <t>NO 11A, 2, JALAN USJ 10/1D, TAIPAN BUSINESS CENTRE 47620 SUBANG JAYA SELANGOR  Selangor Subang Jaya Selangor - my 47620</t>
  </si>
  <si>
    <t>NVMY34535000005800</t>
  </si>
  <si>
    <t>MISS TAN HUEY JUEN</t>
  </si>
  <si>
    <t>XEPA-SOUL PATTINSON MALAYSIA SDN BHD 1-5 CHENG INDUSTRIAL ESTATE 75250 MELAKA MALAYSIA  Melaka Melaka - my 75250</t>
  </si>
  <si>
    <t>NVMY34535000005807</t>
  </si>
  <si>
    <t>PENGARAH POLITEKNIK KOTA BHARU</t>
  </si>
  <si>
    <t>POLITEKNIK KOTA BHARU KM 24 PANGKAL KALONG KOK LANAS 16450 KETEREH KELANTAN (U.P: EN. MOHD AMIN BIN  ABDUL MAJID)  Ketereh Kelantan - my 16450</t>
  </si>
  <si>
    <t>NVMY34535000005812</t>
  </si>
  <si>
    <t>Muhamad Faiz Bin Pauzy</t>
  </si>
  <si>
    <t>Trans elite group sdn bhd. No 5 , jalan sungai kayu ara 32/37,taman Perindustrian berjaya, seksyen 32, 40460 shah alam SELANGOR  Shah Alam Selangor - my 40460</t>
  </si>
  <si>
    <t>K11A-KMU-117</t>
  </si>
  <si>
    <t>NVMY34535000005814</t>
  </si>
  <si>
    <t>Wan Nuur Fatiha</t>
  </si>
  <si>
    <t>Taman Scientex Durian Tunggal 2, 131, Jalan Sejahtera 2, 76100 Melaka  Durian Tunggal Melaka - my 76100</t>
  </si>
  <si>
    <t>S9A-AGH-89</t>
  </si>
  <si>
    <t>NVMY34535000005801</t>
  </si>
  <si>
    <t>Siti Nor Farah</t>
  </si>
  <si>
    <t>12-3A , Puncak 7 Residences , Jalan Ferum 7/31a , seksyen 7 Shah Alam , Selangor , 40000   Selangor my 40000</t>
  </si>
  <si>
    <t>K11-KLG-108</t>
  </si>
  <si>
    <t>NVMY34535000005811</t>
  </si>
  <si>
    <t>Emylia Nastie</t>
  </si>
  <si>
    <t>G 133 jln mentakab kg Batu satu 28000 Temerloh pahang   Temerloh Pahang - my 28000</t>
  </si>
  <si>
    <t>NVMY34535000005819</t>
  </si>
  <si>
    <t>NORIHAN ISMAIL</t>
  </si>
  <si>
    <t>LOT 46163 NO PT1114 JALAN NENAS BATU 9 JALAN SUNGAI TUA 68100 BATU CAVES SELANGOR  Batu Caves Selangor - my 68100</t>
  </si>
  <si>
    <t>K12-SLG-122</t>
  </si>
  <si>
    <t>NVMY34535000005818</t>
  </si>
  <si>
    <t>RAINBOW PAPER SUPPLIES SDN BHD (ATTN: FATIN)</t>
  </si>
  <si>
    <t>1 &amp; 3 JALAN TPP 6/8 TAMAN PERINDUSTRIAN PUCHONG 47100 SELANGOR  Telok Panglima Garang Selangor - my 47100</t>
  </si>
  <si>
    <t>K14-TPK-140</t>
  </si>
  <si>
    <t>NVMY34535000005816</t>
  </si>
  <si>
    <t>ABDUL AZIZI B HJ TAHIR</t>
  </si>
  <si>
    <t>D - 4 - 8 PANGSAPURI BANDAR TASIK SELATAN, JLN 30/146, BDR TASIK SELATAN, 57000 K. LUMPUR  Kuala Lumpur Kuala Lumpur - my 57000</t>
  </si>
  <si>
    <t>K12A-BTR-125</t>
  </si>
  <si>
    <t>NVMY34535000005804</t>
  </si>
  <si>
    <t>NORFARAHIN BT MOHAMMAD</t>
  </si>
  <si>
    <t>262 PT MOIN 2 MK 2 BAGAN 83000 BATU PAHAT JOHOR  Batu Pahat Johor - my 83000</t>
  </si>
  <si>
    <t>NVMY34535000005810</t>
  </si>
  <si>
    <t>JOHN MAHZAN RANI</t>
  </si>
  <si>
    <t>Menara MTD, No 1, Taman Sunway Batu Caves 68100 Batu Caves, Selangor  Batu Caves Selangor - my 68100</t>
  </si>
  <si>
    <t>K10-CAV-95</t>
  </si>
  <si>
    <t>NVMY34535000005809</t>
  </si>
  <si>
    <t>ZAWAWI CHE COB</t>
  </si>
  <si>
    <t>NO 12, JALAN BATU MUDA 23 TAMAN BATU MUDA 68100 BATU CAVES SELANGOR  Batu Caves Selangor - my 68100</t>
  </si>
  <si>
    <t>NVMY34535000005802</t>
  </si>
  <si>
    <t>NIK NUR ASHIKIN NIK ABDULLAH</t>
  </si>
  <si>
    <t>NO 469 JALAN KENANGA 4 PERSIARAN AMANJAYA 5 BANDAR AMANJAYA 08000 SUNGAI PETANI KEDAH  Sungai Petani Kedah - my 08000</t>
  </si>
  <si>
    <t>NVMY34535000005803</t>
  </si>
  <si>
    <t>SYAHQREN</t>
  </si>
  <si>
    <t>GENTING HIGHLAND RESORT GENTING HIGHLAND 69000 PAHANG DARUL MAKMUR  Genting Highlands Pahang - my 69000</t>
  </si>
  <si>
    <t>NVMY34535000005798</t>
  </si>
  <si>
    <t>ISMIATY KAUNUI</t>
  </si>
  <si>
    <t>Sabah</t>
  </si>
  <si>
    <t>KAMPUNG LIAU DARAT, JALAN APIN-APIN 89008 KENINGAU SABAH  Keningau Sabah - my 89008</t>
  </si>
  <si>
    <t>EMSIA</t>
  </si>
  <si>
    <t>NVMY34535000005799</t>
  </si>
  <si>
    <t>NUR AZIEANA BT KAMALUDIN</t>
  </si>
  <si>
    <t>Labuan</t>
  </si>
  <si>
    <t>SITITRUST &amp; ADMINISTRATOR LIMITED LOT 2(A) LEVEL 4 WISMA LAZENDA JALAN KEMAJUAN 870000 LABUAN  Labuan Labuan - my 87000</t>
  </si>
  <si>
    <t>NVMY34535000005841</t>
  </si>
  <si>
    <t>Muhammad Hafiz</t>
  </si>
  <si>
    <t>No7 Jalan Kajang Mewah 16, Taman kajang Mewah, 43000 Kajang Selangor  Kajang Selangor - my 43000</t>
  </si>
  <si>
    <t>K12A-BGI-128</t>
  </si>
  <si>
    <t>NVMY34535000005823</t>
  </si>
  <si>
    <t>RAZIA ZEA</t>
  </si>
  <si>
    <t>B3480 LORONG SEKILAU 18 BUKIT SEKILAU 25200 KUANTAN PAHANG  Kuantan Pahang - my 25200</t>
  </si>
  <si>
    <t>N4-KUA-18</t>
  </si>
  <si>
    <t>NVMY34535000005836</t>
  </si>
  <si>
    <t>NOR RIDAH MOHD WAZIR</t>
  </si>
  <si>
    <t>159 JALAN I-6 TAMAN MELAWATI GOMBAK 53100 SELANGOR  Hulu Langat Kuala Lumpur - my 53100</t>
  </si>
  <si>
    <t>K10-MLT-94</t>
  </si>
  <si>
    <t>NVMY34535000005813</t>
  </si>
  <si>
    <t>Ahmad zahir Bin Arnas</t>
  </si>
  <si>
    <t>20a kampung sera sungai ular 09000 kulim Kedah  Kulim Kedah - my 09000</t>
  </si>
  <si>
    <t>NVMY34535000005837</t>
  </si>
  <si>
    <t>EN MOHD SUBARI BIN BAHAROM</t>
  </si>
  <si>
    <t>Negeri Sembilan</t>
  </si>
  <si>
    <t>115 KG CHENOR 71600 KUALA KELAWANG JELEBU NEGERI SEMBILAN   Kuala Klawang Negeri Sembilan - my 71600</t>
  </si>
  <si>
    <t>NVMY34535000005822</t>
  </si>
  <si>
    <t>NAIM FAHMI</t>
  </si>
  <si>
    <t>TUKANG KOPI 1467-D LORONG GONG PENAGA SEBELAH SK PASIR PANJANG 21100 KUALA TERENGGANU  Kuala Terengganu Terengganu - my 21100</t>
  </si>
  <si>
    <t>E2-PYG-17</t>
  </si>
  <si>
    <t>NVMY34535000005839</t>
  </si>
  <si>
    <t>Mohamad Badrul Amin</t>
  </si>
  <si>
    <t xml:space="preserve"> Kg Dalam Parit Meranti Pasir Mas Kelantan 17010  Pasir Mas Kelantan - my 17010</t>
  </si>
  <si>
    <t>NVMY34535000005815</t>
  </si>
  <si>
    <t>Sauffi b Yacob</t>
  </si>
  <si>
    <t>00-01 block D Kelompok 18 kuarters klia  71800 Nilai NEGERI SEMBILAN  Labu Negeri Sembilan - my 71800</t>
  </si>
  <si>
    <t>S9-NIL-84</t>
  </si>
  <si>
    <t>NVMY34535000005817</t>
  </si>
  <si>
    <t>ARRAHMAH BINTI ANOOWAH</t>
  </si>
  <si>
    <t>NO 7 (PT 41607) JALAN SERI PERMATANG 1 TAMAN SERI PERMATANG MANJUNG 32040 PERAK  Seri Manjong Perak - my 32040</t>
  </si>
  <si>
    <t>NVMY34535000005825</t>
  </si>
  <si>
    <t>Nur Khalidah</t>
  </si>
  <si>
    <t>No8, jalan 1b, kuarters tnb, taman bukit jati 41000 klang selangor  Klang Selangor - my 41000</t>
  </si>
  <si>
    <t>NVMY34535000005821</t>
  </si>
  <si>
    <t>KAMSIAH NAJIHA</t>
  </si>
  <si>
    <t>NO 33A KAMPUNG LAKAI SIMPANG DURIAN 72400 DURIAN TIPUS NEGERI SEMBILAN  Simpang Durian Negeri Sembilan - my 72400</t>
  </si>
  <si>
    <t>S9-BHU-82</t>
  </si>
  <si>
    <t>NVMY34535000005808</t>
  </si>
  <si>
    <t>Ani Asyrina</t>
  </si>
  <si>
    <t>No. 8, Jalan Balau 4, Taman Desaru Utama, 81930 Kota Tinggi, Johor  Bandar Penawar Johor - my 81930</t>
  </si>
  <si>
    <t>S7-PWR-63</t>
  </si>
  <si>
    <t>NVMY34535000005820</t>
  </si>
  <si>
    <t>MOHAMMAD AZRI BIN SEMAN</t>
  </si>
  <si>
    <t>NO 66 LORONG AP 1C/22 TAMAN ALAM PERDANA 42300 BANDAR PUNCAK ALAM SELANGOR  Bandar Puncak Alam Selangor - my 42300</t>
  </si>
  <si>
    <t>NVMY34535000005846</t>
  </si>
  <si>
    <t>CHE SHAM BT MD LAZIM</t>
  </si>
  <si>
    <t>NO 5 JALAN TERATAI 2C TAMAN PUCHONG PERDANA 47150 PUCHONG SELANGOR  Puchong Selangor - my 47150</t>
  </si>
  <si>
    <t>K11A-PUC-116</t>
  </si>
  <si>
    <t>NVMY34535000005831</t>
  </si>
  <si>
    <t>Aliff B Abdullah</t>
  </si>
  <si>
    <t>No3 Tkt Bwh, Blok Melor,Jln Kayu Manis Kuaters Pdrm Kg Bukit Mentok 24000 Kemaman, Terengganu  Ayer Puteh Terengganu - my 24000</t>
  </si>
  <si>
    <t>NVMY34535000005842</t>
  </si>
  <si>
    <t>KARIMAH BINTI MOHD</t>
  </si>
  <si>
    <t>LOT 744 JALAN BATU TUMBUH ALOR LINTANG 22200 KG RAJA TERENGGANU  Kampung Raja Terengganu - my 22200</t>
  </si>
  <si>
    <t>NVMY34535000005852</t>
  </si>
  <si>
    <t>AHMAD BUKHARI BIN ISMAIL</t>
  </si>
  <si>
    <t>NO 85 JALAN TJ 6/3 TAMAN TEMERLOH JAYA   Temerloh Pahang - my 28000</t>
  </si>
  <si>
    <t>N4-TMH-22</t>
  </si>
  <si>
    <t>NVMY34535000005830</t>
  </si>
  <si>
    <t>Husna Alidarithous</t>
  </si>
  <si>
    <t>No 1443, Bakar Kapor, 13100 Penaga, Penang (Sebelah Warung Kak Eja)  Penaga Pulau Pinang - my 13100</t>
  </si>
  <si>
    <t>NVMY34535000005835</t>
  </si>
  <si>
    <t>DIANA</t>
  </si>
  <si>
    <t>NO 28 JALAN TAWAS MEWAH 14 TAMAN TAWAS MEWAH 30010 IPOH PERAK  Ipoh Perak - my 30010</t>
  </si>
  <si>
    <t>N6A-IPH-61</t>
  </si>
  <si>
    <t>NVMY34535000005848</t>
  </si>
  <si>
    <t>FIFI ATIRAH</t>
  </si>
  <si>
    <t>162-D (RUMAH ATAS) LOT 3031 JALAN SG PENCHALA 7 KG SG PENCHALA 60000 KUALA LUMPUR  Kuala Lumpur Kuala Lumpur - my 60000</t>
  </si>
  <si>
    <t>K11A-KEP-115</t>
  </si>
  <si>
    <t>NVMY34535000005833</t>
  </si>
  <si>
    <t>SAYUZI BINTI ISMAIL</t>
  </si>
  <si>
    <t>435 JALAN MEGA 17 TAMAN MEGARIA 2 84900 TANGKAK JOHOR  Tangkak Johor - my 84900</t>
  </si>
  <si>
    <t>S8-GMR-78</t>
  </si>
  <si>
    <t>NVMY34535000005840</t>
  </si>
  <si>
    <t>ANTON</t>
  </si>
  <si>
    <t>NO 2 Hala Klebang Restu 33 31200 Chemor Perak   Chemor Perak - my 31200</t>
  </si>
  <si>
    <t>NVMY34535000005838</t>
  </si>
  <si>
    <t>EN ZAINI</t>
  </si>
  <si>
    <t>1249 KG SINTOK PERMATANG PASIR 13500 SEBERANG PERAI TENGAH PUALU PINANG  Permatang Pauh Pulau Pinang - my 13500</t>
  </si>
  <si>
    <t>N5-BWH-41</t>
  </si>
  <si>
    <t>NVMY34535000005834</t>
  </si>
  <si>
    <t>NURUL SYAFIKA BINTI ROSLY</t>
  </si>
  <si>
    <t>KOMPLEKS RAKAN MUDA RAUB KAMPUNG DONG 27400 RAUB PAHANG  Dong Pahang - my 27400</t>
  </si>
  <si>
    <t>NVMY34535000005826</t>
  </si>
  <si>
    <t>Salina Binti Abdul Ghani</t>
  </si>
  <si>
    <t>No 12 Felda Sungai Chador, Marang, 21810 Kuala Terengganu  Ajil Terengganu - my 21810</t>
  </si>
  <si>
    <t>E2-AJL-13</t>
  </si>
  <si>
    <t>NVMY34535000005845</t>
  </si>
  <si>
    <t>HASLINA YUSOF</t>
  </si>
  <si>
    <t>NO 24 JALAN BAIT U2/38 TAMAN TTDI JAYA 40000 SHAH ALAM SELANGOR  Shah Alam Selangor - my 40000</t>
  </si>
  <si>
    <t>K10A-SZB-103</t>
  </si>
  <si>
    <t>NVMY34535000005847</t>
  </si>
  <si>
    <t>SITI HUMAIZA BINTI YASIN</t>
  </si>
  <si>
    <t>LOT 2180 LORONG HAJI KADIR SIMPANG 3 KG SUNGAI UDANG 41250 KLANG SELANGOR  Klang Selangor - my 41250</t>
  </si>
  <si>
    <t>NVMY34535000005827</t>
  </si>
  <si>
    <t>Rabiatul Adawiyah</t>
  </si>
  <si>
    <t>No 9 Lorong perdana 33 , Taman kamunting perdana 34600 Kamunting Perak .  Kamunting Perak - my 34600</t>
  </si>
  <si>
    <t>N6A-TPG-59</t>
  </si>
  <si>
    <t>NVMY34535000005851</t>
  </si>
  <si>
    <t>NOR ASLYZA IBRAHIM</t>
  </si>
  <si>
    <t>LOT 4339 LORONG CHE HUSSEIN 2 TAMAN DESA REBANA 18500 MACHANG KELANTAN  Machang Kelantan - my 18500</t>
  </si>
  <si>
    <t>NVMY34535000005828</t>
  </si>
  <si>
    <t>Nor Ashikin bt Mohd Yassin</t>
  </si>
  <si>
    <t>No 1 kg masjid 28050 kuala krau temerloh PAHANG  Kuala Krau Pahang - my 28050</t>
  </si>
  <si>
    <t>NVMY34535000005832</t>
  </si>
  <si>
    <t>ALIA ARIESYA BINTI MAHADZIR</t>
  </si>
  <si>
    <t>NO M10 TAMAN GULA PADANG TERAP 06300 KUALA NERANG KEDAH  Kuala Nerang Kedah - my 06300</t>
  </si>
  <si>
    <t>NVMY34535000005892</t>
  </si>
  <si>
    <t>WAN RAALZIZI BIN WAN RAHIMI</t>
  </si>
  <si>
    <t>SMK SERTING HILIR KOMPLEKS 72120 BANDAR SERI JEMPOL, NEGERI SEMBILAN.  Bahau Negeri Sembilan - my 72120</t>
  </si>
  <si>
    <t>NVMY34535000005889</t>
  </si>
  <si>
    <t>MAZLAN OTHMAN</t>
  </si>
  <si>
    <t>SINGER (M) SDN BHD NO 782 JALAN SENTUL 51000 KUALA LUMPUR   Kuala Lumpur Kuala Lumpur - my 51000</t>
  </si>
  <si>
    <t>NVMY34535000005843</t>
  </si>
  <si>
    <t>AHMAD FIRDAUS</t>
  </si>
  <si>
    <t>NO 24 TAMAN SELABAK BESTARI 36000 TELUK INTAN PERAK  Teluk Intan Perak - my 36000</t>
  </si>
  <si>
    <t>N6-TIN-53</t>
  </si>
  <si>
    <t>NVMY34535000005850</t>
  </si>
  <si>
    <t>MUHAMMAD ASYRUL</t>
  </si>
  <si>
    <t>6 JALAN SCIENTEX UTAMA 1 TAMAN SCIENTEX UTAMA 81400 SENAI JOHOR  Senai Johor - my 81400</t>
  </si>
  <si>
    <t>S7A-SEN-73</t>
  </si>
  <si>
    <t>NVMY34535000005844</t>
  </si>
  <si>
    <t>HAZLINA HUSSIN</t>
  </si>
  <si>
    <t>SK BANGSAR JALAN PANTAI BARU 59200 KUALA LUMPUR  Kuala Lumpur Kuala Lumpur Kuala Lumpur - my 59200</t>
  </si>
  <si>
    <t>NVMY34535000005895</t>
  </si>
  <si>
    <t>Zakreyzan b zakaria</t>
  </si>
  <si>
    <t>Kampung bukit akar 16810 selising pasir puteh KELANTAN  Selising Kelantan - my 16810</t>
  </si>
  <si>
    <t>NVMY34535000005883</t>
  </si>
  <si>
    <t>Abd Razak omar</t>
  </si>
  <si>
    <t>557-A1 Jalan Datok Kg Kubang Kurus 24000 Kemaman Terengganu  Ayer Puteh Terengganu - my 24000</t>
  </si>
  <si>
    <t>NVMY34535000005879</t>
  </si>
  <si>
    <t>DK NORRASITA</t>
  </si>
  <si>
    <t>3-07 RESIDENSI RIMBUNAN PETALING BANDAR BARU SRI PETALING 57000 KUALA LUMPUR  Kuala Lumpur Kuala Lumpur - my 57000</t>
  </si>
  <si>
    <t>NVMY34535000005876</t>
  </si>
  <si>
    <t>EDWIN CHUNG</t>
  </si>
  <si>
    <t>1434 LRG 52 A18/3 GREEN STREET HOMES SEREMBAN 2 70300 NEGERI SEMBILAN  Seremban Negeri Sembilan - my 70300</t>
  </si>
  <si>
    <t>S9-SBN-86</t>
  </si>
  <si>
    <t>NVMY34535000005890</t>
  </si>
  <si>
    <t>ZUL HELMI BIN HAMZAH</t>
  </si>
  <si>
    <t>LOT 1436,KAMPUNG BERANGAN APAM,17000 PASIR MAS KELANTAN  Pasir Mas Kelantan - my 17000</t>
  </si>
  <si>
    <t>NVMY34535000005880</t>
  </si>
  <si>
    <t>UYYA KHALID</t>
  </si>
  <si>
    <t>428 KAMPUNG PENGADANG BARU (WARUNG ATIE) JALAN KEPONG 20050 KUALA TERENGGANU  Kuala Terengganu Terengganu - my 20050</t>
  </si>
  <si>
    <t>NVMY34535000005896</t>
  </si>
  <si>
    <t>MOHD EKRAM ABDULLAH SUHAIMI</t>
  </si>
  <si>
    <t>MAAHAD MUHAMMADI GUA MUSANG,18300 GUA MUSANG,KELANTAN  Gua Musang Kelantan - my 18300</t>
  </si>
  <si>
    <t>NVMY34535000005871</t>
  </si>
  <si>
    <t>Nur Absarina Binti Muhamad Zulkefli</t>
  </si>
  <si>
    <t>53d lorong raja muda musa 5, kampung baru ,50300 kuala lumpur  Kuala Lumpur Kuala Lumpur - my 50300</t>
  </si>
  <si>
    <t>NVMY34535000005873</t>
  </si>
  <si>
    <t>Hasmazatul Hashim</t>
  </si>
  <si>
    <t>Kampung dalam kelab telekong, 18000 kuala krai kelantan  Kuala Krai Kelantan - my 18000</t>
  </si>
  <si>
    <t>E1A-RAI-7</t>
  </si>
  <si>
    <t>NVMY34535000005857</t>
  </si>
  <si>
    <t>ROHAIZAN MUSTAPHA</t>
  </si>
  <si>
    <t>NO 61 KAMPUNG SRI LANGKAS TAMBAHAN JALAN ISTIQAMAH 47100 PUCHONG SELANGOR  Telok Panglima Garang Selangor - my 47100</t>
  </si>
  <si>
    <t>NVMY34535000005868</t>
  </si>
  <si>
    <t>Nurul Huda Khan Binti Mohd Khan</t>
  </si>
  <si>
    <t xml:space="preserve"> KOPERASI SISWA, USM KELANTAN BHD, Pusat Mahasiswa, Health Campus, 16150 Kubang Kerian, Kelantan Kota Bharu, Kelantan  Kota Bharu Kelantan - my 16150</t>
  </si>
  <si>
    <t>NVMY34535000005882</t>
  </si>
  <si>
    <t>NORHAYATI DOGOL</t>
  </si>
  <si>
    <t>NO 9 JALAN TBC 29 TMN BUKIT CHENG 75250 MELAKA  Melaka Melaka - my 75250</t>
  </si>
  <si>
    <t>S9A-MYK-88</t>
  </si>
  <si>
    <t>NVMY34535000005878</t>
  </si>
  <si>
    <t>Laili Ghazali</t>
  </si>
  <si>
    <t>Blok A.4.11 pangsapuri bistari sri perantau 42000 pelabuhan klang Selangor  Pelabuhan Klang Selangor - my 42000</t>
  </si>
  <si>
    <t>NVMY34535000005867</t>
  </si>
  <si>
    <t>Najwa Aziyati Ahmad Radzi</t>
  </si>
  <si>
    <t>3-8-1 Residensi Alami Jalan Tinju 13/50  Seksyen 13 40100 Shah Alam Selangor  Shah Alam Selangor - my 40100</t>
  </si>
  <si>
    <t>NVMY34535000005877</t>
  </si>
  <si>
    <t>NVMY34535000005897</t>
  </si>
  <si>
    <t>TUNGKU NUR HADZLIN</t>
  </si>
  <si>
    <t>44 JALAN SETIA WANGSA 18 TAMAN SETIA WANGSA KL   Kuala Lumpur Kuala Lumpur - my 54200</t>
  </si>
  <si>
    <t>NVMY34535000005881</t>
  </si>
  <si>
    <t>SITI NUR ARIFA BINTI ZULKIFILE</t>
  </si>
  <si>
    <t>3-408 APARTMENT DAISY JALAN DINAR U3 TAMAN SUBANG PERDANA 40150 SHAH ALAM SELANGOR  Shah Alam Selangor - my 40150</t>
  </si>
  <si>
    <t>NVMY34535000005858</t>
  </si>
  <si>
    <t>ABDUL RAHHIM BIN MOHD DIN</t>
  </si>
  <si>
    <t>NO 10 JALAN KAJANG MEWAH 14 TAMN KAJANG MEWAH HULU LANGAT SELANGOR  Kajang Selangor - my 43000</t>
  </si>
  <si>
    <t>NVMY34535000005884</t>
  </si>
  <si>
    <t>Azizan mat saaid</t>
  </si>
  <si>
    <t>No 56 jln zuhal 2 tmn tanjung minyak perdana 75260 melaka  Melaka Melaka - my 75260</t>
  </si>
  <si>
    <t>NVMY34535000005894</t>
  </si>
  <si>
    <t>Melissa bte hasim</t>
  </si>
  <si>
    <t>No 8 Jalan KJ 39 taman Krubong jaya 75250 melaka  Melaka Melaka - my 75250</t>
  </si>
  <si>
    <t>S9A-MTG-90</t>
  </si>
  <si>
    <t>NVMY34535000005863</t>
  </si>
  <si>
    <t>NADIA</t>
  </si>
  <si>
    <t>No 38 JALAN LEP 5/2 seksyen 5 taman lestari putra 43300 seri kembangan selangor   Seri Kembangan Selangor - my 43300</t>
  </si>
  <si>
    <t>NVMY34535000005869</t>
  </si>
  <si>
    <t>Alya Samsu</t>
  </si>
  <si>
    <t>KEDAI SISWA SAVE KOLEJ JASMINE, UITM KAMPUS PUNCAK PERDANA, JALAN PULAU ANGSA U10/A, SHAH ALAM, SELANGOR, 40150.  Shah Alam Selangor - my 40150</t>
  </si>
  <si>
    <t>K10-ALM-98</t>
  </si>
  <si>
    <t>NVMY34535000005874</t>
  </si>
  <si>
    <t>Nur Fatin Farzana</t>
  </si>
  <si>
    <t xml:space="preserve"> NO 54, JALAN JELAWAT FELCRA TEMBELING TENGAH 27000 JERANTUT PAHANG   Pahang my 27000</t>
  </si>
  <si>
    <t>N4-JER-23</t>
  </si>
  <si>
    <t>NVMY34535000005888</t>
  </si>
  <si>
    <t>Mohd faudzi deris</t>
  </si>
  <si>
    <t>A 53 G jalan PDR 5 Pusat perniagaan desa ria 2 43300 Balakong Selangor  Seri Kembangan Selangor - my 43300</t>
  </si>
  <si>
    <t>K10A-KAJ-102</t>
  </si>
  <si>
    <t>NVMY34535000005864</t>
  </si>
  <si>
    <t>Ruslina bt sulong</t>
  </si>
  <si>
    <t>K246 taman inderapura 27000 jerantut pahang  Jerantut Pahang - my 27000</t>
  </si>
  <si>
    <t>NVMY34535000005853</t>
  </si>
  <si>
    <t>HAFIZUL NAIM BIN ABD JAMIL</t>
  </si>
  <si>
    <t>NO 9 JALAN 13 TAMAN DESA JAY 8 34600 KAMUNTING PERAK  Kamunting Perak - my 34600</t>
  </si>
  <si>
    <t>NVMY34535000005849</t>
  </si>
  <si>
    <t>WAN ELLA</t>
  </si>
  <si>
    <t>KAUNTER TRIAGE JABATAN KECEMASAN DAN TRAUMA HOSPITAL CYBERJAYA PERSIARAN MULTIMEDIA CYBER 11 CYBERJAYA 63000 SELANGOR  Shah Alam Selangor - my 63000</t>
  </si>
  <si>
    <t>K12-CJY-123</t>
  </si>
  <si>
    <t>NVMY34535000005861</t>
  </si>
  <si>
    <t>NIK HASBOLLAH</t>
  </si>
  <si>
    <t>NIK IKAN BAKAR NO 1 MEDAN SELERA MASJID KAYANGAN BRINCHANG 39100 CAMERON HIGHLANDS PAHANG   Pahang my 39100</t>
  </si>
  <si>
    <t>N6-CMN-54</t>
  </si>
  <si>
    <t>NVMY34535000005860</t>
  </si>
  <si>
    <t>NIK IKAN BAKAR NO 1 MEDAN SELERA MASJID KAYANGAN BRINCHANG 39100 CAMERON HIGHLANDS PAHANG  Brinchang Pahang - my 39100</t>
  </si>
  <si>
    <t>NVMY34535000005859</t>
  </si>
  <si>
    <t>NVMY34535000005856</t>
  </si>
  <si>
    <t>ZAWIYAH BINTI JUNOH</t>
  </si>
  <si>
    <t>NO 26 JLN NOVA U5/65 SEK U 5 SUBANG BESTARI 40150 SHAH ALAM SELANGOR  Shah Alam Selangor - my 40150</t>
  </si>
  <si>
    <t>NVMY34535000005805</t>
  </si>
  <si>
    <t>AFIIFAAHZULKIFLEE</t>
  </si>
  <si>
    <t>Sarawak</t>
  </si>
  <si>
    <t>KAMPUNG BAKOL 98700 LIMBANG SARAWAK  Lawas Sarawak - my 98700</t>
  </si>
  <si>
    <t>M16B-LMN-184</t>
  </si>
  <si>
    <t>NVMY34535000005855</t>
  </si>
  <si>
    <t>ZAFIRAH BINTI MAT ZUBIR</t>
  </si>
  <si>
    <t>LOT 409 KAMPUNG RAJA 18500 MACHANG KELANTAN  Machang Kelantan - my 18500</t>
  </si>
  <si>
    <t>NVMY34535000005911</t>
  </si>
  <si>
    <t>SITI NURSILA</t>
  </si>
  <si>
    <t>NO 1 JALAN MERATI PUTIH 3 TAMAN PERMAI 2 BATU 7 1/2 MERU KLAMG SELANGOR 41050  Klang Selangor - my 41050</t>
  </si>
  <si>
    <t>K12A-MRU-127</t>
  </si>
  <si>
    <t>NVMY34535000005910</t>
  </si>
  <si>
    <t>SITI NUR SILAH</t>
  </si>
  <si>
    <t>NO 1 JALAN MELATI PUTIH 3 TAMAN PERMAI 2 BATU 7 1/2 MERU KLANG SELANGOR  Klang Selangor - my 14150</t>
  </si>
  <si>
    <t>NVMY34535000005912</t>
  </si>
  <si>
    <t>NVMY34535000005865</t>
  </si>
  <si>
    <t>Ezatie Noor</t>
  </si>
  <si>
    <t>1C-20-11, Jalan Mayang Pasir 3, Elit Heights Elit Avenue, 11950 Bayan Baru, Penang  Bayan Lepas Pulau Pinang - my 11950</t>
  </si>
  <si>
    <t>NVMY34535000005862</t>
  </si>
  <si>
    <t>Hayati bt Hj Abdullah</t>
  </si>
  <si>
    <t>6277 Pokok Machang 13300 Tasek Gelugor Pulau Pinang  Tasek Gelugor Pulau Pinang - my 13300</t>
  </si>
  <si>
    <t>N5-BTS-42</t>
  </si>
  <si>
    <t>NVMY34535000005891</t>
  </si>
  <si>
    <t>Pak Mie</t>
  </si>
  <si>
    <t>7647 permatang tok bidan Sungai dua 13800 Butterworth Penang  Butterworth Pulau Pinang - my 13800</t>
  </si>
  <si>
    <t>NVMY34535000005885</t>
  </si>
  <si>
    <t>NVMY34535000005866</t>
  </si>
  <si>
    <t>Azliza</t>
  </si>
  <si>
    <t>No 83, Lorong Citra Elite 2, Bukit banyan, 08000 Sungai Petani, Kedah  Sungai Petani Kedah - my 08000</t>
  </si>
  <si>
    <t>NVMY34535000005824</t>
  </si>
  <si>
    <t>Muhammad Fazrul Nizam</t>
  </si>
  <si>
    <t>NO 57 , PERINGKAT 2 , FELCRA SRI MAKMUR , MARAN 26500 , PAHANG  Temerloh Pahang - my 26500</t>
  </si>
  <si>
    <t>K10A-DAM-106</t>
  </si>
  <si>
    <t>NVMY34535000005875</t>
  </si>
  <si>
    <t>REJOL LAMUDIN</t>
  </si>
  <si>
    <t>WINAWANG SDN BHD LOT 5-2 2ND FLOOR LINTAS PLAZA 88300 KOTA KINABALU SABAH  Penampang Sabah - my 88300</t>
  </si>
  <si>
    <t>M15-INM-148</t>
  </si>
  <si>
    <t>NVMY34535000005854</t>
  </si>
  <si>
    <t>SUHAILAMAEL</t>
  </si>
  <si>
    <t>B1-2-15 BEREK POLIS PERDA, SEBERANG PERAI TENGAH 14000 PULAU PINANG  Kubang Semang Pulau Pinang - my 14000</t>
  </si>
  <si>
    <t>NVMY34535000005886</t>
  </si>
  <si>
    <t>MOHD ROSDI BIN SABRI</t>
  </si>
  <si>
    <t>NO.4797, JLN CEMARA 17, BANDAR PUTRA, 81000, KULAI, JOHOR.  Kulai Johor - my 81000</t>
  </si>
  <si>
    <t>NVMY34535000005872</t>
  </si>
  <si>
    <t>NVMY34535000005905</t>
  </si>
  <si>
    <t>Siti zubaidah binti mat jusoh</t>
  </si>
  <si>
    <t>Lot 1034,kampung PANTAI MELAWI 16310 Bachok,kelantan  Bachok Kelantan - my 16310</t>
  </si>
  <si>
    <t>NVMY34535000005870</t>
  </si>
  <si>
    <t>IKA</t>
  </si>
  <si>
    <t>974 permatang pauh 13100 penaga pulau pinang   Penaga Pulau Pinang - my 13100</t>
  </si>
  <si>
    <t>NVMY34535000005908</t>
  </si>
  <si>
    <t>Nurfatihah Fauzi</t>
  </si>
  <si>
    <t>Lot 1526 Kg Lambor 16250 wakaf bharu Kelantan   Kelantan my 16250</t>
  </si>
  <si>
    <t>NVMY34535000005904</t>
  </si>
  <si>
    <t>Syerah Hazmi</t>
  </si>
  <si>
    <t>Lot 1676-A Kg Lundang, Jln Sek Keb Lundang, 15200 Kota Bharu, Kelantan  Kota Bharu Kelantan - my 15200</t>
  </si>
  <si>
    <t>NVMY34535000005893</t>
  </si>
  <si>
    <t>Akram Isham bin jafari</t>
  </si>
  <si>
    <t>Sekolah kebangsaan pengkalan ara 36600 Chenderong balai Perak.  Chenderong Balai Perak - my 36600</t>
  </si>
  <si>
    <t>NVMY34535000005903</t>
  </si>
  <si>
    <t>Adirah</t>
  </si>
  <si>
    <t>No. 3024, Jalan Angkasa Nuri 8, 76100, Durian Tunggal, Melaka.  Durian Tunggal Melaka - my 76100</t>
  </si>
  <si>
    <t>NVMY34535000005917</t>
  </si>
  <si>
    <t>AINAA BAHARIN</t>
  </si>
  <si>
    <t>10-1 JALAN DM 3A TAMAN DESA MUTIARA 48000 RAWANG SELANGOR  Kuala Lumpur Kuala Lumpur - my 48000</t>
  </si>
  <si>
    <t>K12-RWG-120</t>
  </si>
  <si>
    <t>NVMY34535000005909</t>
  </si>
  <si>
    <t>WAN SRI DINI BINTI WAN KAMARUDIN MS2318121817</t>
  </si>
  <si>
    <t>POS MINI KOLEJ MATRIKULASI KEDAH 06010 CHANGLUN KEDAH  Changloon Kedah - my 06010</t>
  </si>
  <si>
    <t>NVMY34535000005898</t>
  </si>
  <si>
    <t>WAN ROS ZAINI BT WAN MOHD ZAINOL</t>
  </si>
  <si>
    <t>MALAYSIA AIRPORTS SDN BHD LAPANGAN TERBANG MELAKA 75350 BATU BERENDAM MELAKA  Melaka Melaka - my 75350</t>
  </si>
  <si>
    <t>NVMY34535000005906</t>
  </si>
  <si>
    <t>Haszelina Yaacob</t>
  </si>
  <si>
    <t>No 6, Jalan Bp16A Taman Bertam Perdana 75200 Melaka  Melaka Melaka - my 75200</t>
  </si>
  <si>
    <t>NVMY34535000005916</t>
  </si>
  <si>
    <t>NURUL SHAZWANIE BINTI MAT SAAD</t>
  </si>
  <si>
    <t>KM 15, SIMPANG ALOR RAMBAI (RUMAH WARNA PINK) 06000 JITRA KEDAH  Jitra Kedah - my 06000</t>
  </si>
  <si>
    <t>NVMY34535000005902</t>
  </si>
  <si>
    <t>NUR ADILA BINTI CHE EMBUT</t>
  </si>
  <si>
    <t>NO50, KAMPUNG EKOR PADANG 09300 KUALA KETIL KEDAH  Kuala Ketil Kedah - my 09300</t>
  </si>
  <si>
    <t>E3A-BAL-39</t>
  </si>
  <si>
    <t>NVMY34535000005915</t>
  </si>
  <si>
    <t>BTK INTEGRATED TRANSPORT SDN BHD (ATTN: MISS SIEW)</t>
  </si>
  <si>
    <t>LOT 1030 &amp; 1070 JALAN KUALA KANGSAR 34700 SIMPANG TAIPING PERAK  Simpang Perak - my 34700</t>
  </si>
  <si>
    <t>NVMY34535000005914</t>
  </si>
  <si>
    <t>SITI ZAINAB BINTI JAMALUDIN</t>
  </si>
  <si>
    <t>C 6 PLS 13 JALAN KLUANG PARIT LAPIS SEMARANG 86400 PARIT RAJA BATU PAHAT JOHOR  Parit Raja Johor - my 86400</t>
  </si>
  <si>
    <t>S8-HTM-81</t>
  </si>
  <si>
    <t>NVMY34535000005918</t>
  </si>
  <si>
    <t>NVMY34535000005900</t>
  </si>
  <si>
    <t>MUHAMAD AIDIL ASYRAF BIN MOHD TARMIZI</t>
  </si>
  <si>
    <t>POS MINI KMK KOLEJ MATRIKULASI KEDAH (KPM) 06010 CHANGLOON KEDAH (01110960474)  Changloon Kedah - my 06010</t>
  </si>
  <si>
    <t>NVMY34535000005913</t>
  </si>
  <si>
    <t>FAHILA</t>
  </si>
  <si>
    <t>No.50, Jalan Harmoni 3,Taman Harmoni, 08100 Bedong Kedah  Bedong Kedah - my 08100</t>
  </si>
  <si>
    <t>E3-GRN-33</t>
  </si>
  <si>
    <t>NVMY34535000005907</t>
  </si>
  <si>
    <t>AIN</t>
  </si>
  <si>
    <t>No 32 jln 18 , taman sri krubong 75250 Melaka  Melaka Melaka - my 75250</t>
  </si>
  <si>
    <t>NVMY34535000005829</t>
  </si>
  <si>
    <t>Suryati ismail</t>
  </si>
  <si>
    <t>No 21 Jalan hijau 11/1, Bandar tasik puteri, 48020 rawang, Selangor   Rawang Selangor - my 48020</t>
  </si>
  <si>
    <t>M15A-KBT-166</t>
  </si>
  <si>
    <t>NVMY34535000005901</t>
  </si>
  <si>
    <t>Muhammad Syahrul Najmi bin Shahbudin</t>
  </si>
  <si>
    <t>3A Kampung Bukit Nau, Jaln Lapangan Terbang (Kedai Runcit), Mukim Padang Matsirat, 07100 Langkawi Kedah  Alor Setar Kedah - my 07000</t>
  </si>
  <si>
    <t>NVMY34535000005927</t>
  </si>
  <si>
    <t>EN. SHUKRI BIN MOHD</t>
  </si>
  <si>
    <t>139A KAMPUNG MASJID, HAJI KHADIR 21100 KUALA TERENGGANU  Kuala Terengganu Terengganu - my 21100</t>
  </si>
  <si>
    <t>NVMY34535000005926</t>
  </si>
  <si>
    <t>NVMY34535000005919</t>
  </si>
  <si>
    <t>NVMY34535000005924</t>
  </si>
  <si>
    <t>EN. AMIRUDDIN BIN ZAKARIA</t>
  </si>
  <si>
    <t>LOT 2104 BATU 9 KG MEDAN 42500 TELOK PANGLIMA GARANG SELANGOR  Telok Panglima Garang Selangor - my 42500</t>
  </si>
  <si>
    <t>K14-RBY-138</t>
  </si>
  <si>
    <t>NVMY34535000005887</t>
  </si>
  <si>
    <t>Husaini bin Bagani (Satiman Bin Rejaman)</t>
  </si>
  <si>
    <t>Padiberas Nasional Berhad, No 17, Tkgkt 1, Jalan bank Sarikei, 96100 Sarikei, Sarawak  Kuching Sarawak - my 96100</t>
  </si>
  <si>
    <t>M16-SRK-172</t>
  </si>
  <si>
    <t>NVMY34535000005954</t>
  </si>
  <si>
    <t>MOHD IQBAL BIN AHMAD SUKIMI</t>
  </si>
  <si>
    <t>LOT 2718 JALAN BUKIT KELUANG PERSIARAN LIMBONGAN 22200 BESUT TERENGGANU  Kampung Raja Terengganu - my 22200</t>
  </si>
  <si>
    <t>NVMY34535000005925</t>
  </si>
  <si>
    <t>SHARIFAH MARIAM BT SULAIMAN</t>
  </si>
  <si>
    <t>LOT 976 JALAN SULTAN ALAM SHAH KANAN KANCONG DARAT 42700 BANTING SELANGOR  Telok Panglima Garang Selangor - my 42700</t>
  </si>
  <si>
    <t>K13-BAN-132</t>
  </si>
  <si>
    <t>NVMY34535000005923</t>
  </si>
  <si>
    <t>PUAN FARIDAH BT SHAFII</t>
  </si>
  <si>
    <t>4 JALAN 1/3 P SEKSYEN 1 BANDRA BARU BANGI 43650 BANGI SELANGOR  Bandar Baru Bangi Selangor - my 43650</t>
  </si>
  <si>
    <t>NVMY34535000005932</t>
  </si>
  <si>
    <t>Tania Marsella</t>
  </si>
  <si>
    <t>D-2-11 apartmen siantan  Jalan putra perdana 3A .47130 Puchong Selangor   Puchong Selangor - my 47130</t>
  </si>
  <si>
    <t>NVMY34535000005945</t>
  </si>
  <si>
    <t>NVMY34535000005940</t>
  </si>
  <si>
    <t>NOR ZIZI WAHAB</t>
  </si>
  <si>
    <t>687-1 JALAN BELIA KG BARU KEMASEK 24200 TERENGGANU  Kemasek Terengganu - my 24200</t>
  </si>
  <si>
    <t>NVMY34535000005922</t>
  </si>
  <si>
    <t>ASMIN NUR IZZATI</t>
  </si>
  <si>
    <t>MALAYSIAN SHEET GLASS SDN BHD 21KM, BANDAR BARU SUNGAI BULOH, 47000 SUNGAI BULOH, SELANGOR  Kuala Lumpur Kuala Lumpur - my 47000</t>
  </si>
  <si>
    <t>K14-SGB-145</t>
  </si>
  <si>
    <t>NVMY34535000005942</t>
  </si>
  <si>
    <t>NVMY34535000005929</t>
  </si>
  <si>
    <t>NURUL FARAZIELA FUAD</t>
  </si>
  <si>
    <t>B4 G3 APARTMENT CEMPAKAPURI 172, JALAN BBN 6/2, 71800 NILAI NEGERI SEMBILAN  Labu Negeri Sembilan - my 71800</t>
  </si>
  <si>
    <t>NVMY34535000005952</t>
  </si>
  <si>
    <t>ISMAIL BIN AWANG</t>
  </si>
  <si>
    <t>LOT 1711 KAMPUNG SUNGAI KEMAP 26500 MARAN PAHANG  Pekan Pahang - my 26500</t>
  </si>
  <si>
    <t>N4A-JKA-24</t>
  </si>
  <si>
    <t>NVMY34535000005936</t>
  </si>
  <si>
    <t>NUR FATIN FARAHANA BT ROSDI</t>
  </si>
  <si>
    <t>NO 24 LORONG TERATAI 2 TAMAN TERATAI KG MARHUM 26660 PEKAN PAHANG  Pekan Pahang - my 26660</t>
  </si>
  <si>
    <t>N4A-PKN-26</t>
  </si>
  <si>
    <t>NVMY34535000005920</t>
  </si>
  <si>
    <t>NIK NUR HAZWANIE</t>
  </si>
  <si>
    <t>UNIT HAEMOSIALISIS ARAS 3 BILIK 5 BANGUNAN PAKAR HARIAN SCACC HOSPITAL KUALA LUMPUR JALAN PAHANG 50586 KL   Kuala Lumpur Kuala Lumpur - my 50586</t>
  </si>
  <si>
    <t>K11-CKT-112</t>
  </si>
  <si>
    <t>NVMY34535000005949</t>
  </si>
  <si>
    <t>NUR AFIQAH BINTI MOHD DAUD</t>
  </si>
  <si>
    <t>NO 24 JALAN 23/27B TAMAN DESA SETAPAK KUALA LUMPUR  Kuala Lumpur Kuala Lumpur - my 53300</t>
  </si>
  <si>
    <t>K10A-WMJ-107</t>
  </si>
  <si>
    <t>NVMY34535000005928</t>
  </si>
  <si>
    <t>WAN AMIRUN HAKIM (HR USRAZ SOFFIAN)</t>
  </si>
  <si>
    <t>MRSM BAGAN DATUK ,LOT 18202,JALAN BAGAN DATUK,36100 BAGAN DATUK,PERAK  Bagan Datoh Perak - my 36100</t>
  </si>
  <si>
    <t>N6-HML-52</t>
  </si>
  <si>
    <t>NVMY34535000005937</t>
  </si>
  <si>
    <t>WAN KHUZAINAH BINTI WAN MAZALI</t>
  </si>
  <si>
    <t>NO 8 TAMAN ANIB LORONG CENDERAWASIH 2 JALAN CENDERAWASIH KAMPUNG SEMERAH PADI 93050 KUCHING SARAWAK  Kuching Sarawak - my 93050</t>
  </si>
  <si>
    <t>M16-KCH-169</t>
  </si>
  <si>
    <t>NVMY34535000005939</t>
  </si>
  <si>
    <t>NVMY34535000005938</t>
  </si>
  <si>
    <t>WAN KHUZAIMAH BT WAN MAZALI</t>
  </si>
  <si>
    <t>LOT 1004 LRG 1 JLN CENDERAWASIH KPG SEMERAH PADI BARU 93050 KUCHING SARAWAK  Kuching Sarawak - my 93050</t>
  </si>
  <si>
    <t>NVMY34535000005943</t>
  </si>
  <si>
    <t>MOHAMAD SOFY BIN MOHD YUSOF</t>
  </si>
  <si>
    <t>JABATAN PATOLOGI UNIT MIKROBIOLOGI TINGKAT 3 BANGUNAN CSB HOSPITAL TAIPING 34000 TAIPING PERAK  Taiping Perak - my 34000</t>
  </si>
  <si>
    <t>NVMY34535000005946</t>
  </si>
  <si>
    <t>EN.JAMALUDIN BIN AB.KADIR</t>
  </si>
  <si>
    <t>27 JALAN CANGGUNG 15 TAMAN PASIR PUTIH 81700 PASIR GUDANG JOHOR  Pasir Gudang Johor - my 81700</t>
  </si>
  <si>
    <t>NVMY34535000005934</t>
  </si>
  <si>
    <t>FAIZ SAM</t>
  </si>
  <si>
    <t>NO 31 TL34 KG PT WARIJO MK 18 SERI MEDAN 83400 BATU PAHAT JOHOR  Sri Medan Johor - my 83400</t>
  </si>
  <si>
    <t>NVMY34535000005956</t>
  </si>
  <si>
    <t>SALMI BIN MOHD</t>
  </si>
  <si>
    <t>PT28831 JLN. SOLEHAH 3B/1, TAMAN DESA SOLEHAH, PADANG AIR, KUALA NERUS, 21060, TERENGGANU   Terengganu my 21060</t>
  </si>
  <si>
    <t>E2-GBK-11</t>
  </si>
  <si>
    <t>NVMY34535000005961</t>
  </si>
  <si>
    <t>NURUL  FAZILA ROSLI</t>
  </si>
  <si>
    <t>NO 8 KIOSK PANTAI TELUK LIPAT DUNGUN TERENGGANU  Dungun Terengganu - my 23000</t>
  </si>
  <si>
    <t>NVMY34535000005958</t>
  </si>
  <si>
    <t>KPL AHMAD TARMIZI BIN JUSOH (PJR)</t>
  </si>
  <si>
    <t>INSTITUT KOMUNIKASI DAN ELEKTRONIK TENTERA DARAT KEM PERDANA BESI 57000 KUALA LUMPUR  Kuala Lumpur Kuala Lumpur - my 57000</t>
  </si>
  <si>
    <t>NVMY34535000005950</t>
  </si>
  <si>
    <t>HABIBAH BINTI SHERIFE</t>
  </si>
  <si>
    <t>7B LRG HADAPAN MASJID, JLN TG BENDAHARA 05300 ALOR SETAR KEDAH   Alor Setar Kedah - my 05300</t>
  </si>
  <si>
    <t>E3A-AOR-37</t>
  </si>
  <si>
    <t>NVMY34535000005951</t>
  </si>
  <si>
    <t>ELAINE TAN</t>
  </si>
  <si>
    <t>3091 JALAN RJ 5/1C TAMAN RASAH JAYA 70300SEREMBAN NEGERI SEMBILAN  Seremban Negeri Sembilan - my 70300</t>
  </si>
  <si>
    <t>NVMY34535000005931</t>
  </si>
  <si>
    <t>MUSAFARDI BIN MURSIDI</t>
  </si>
  <si>
    <t>P.O BOX 82102,87031 WILAYAH PERSEKUTUAN LABUAN  Labuan Labuan - my 87031</t>
  </si>
  <si>
    <t>M15B-LBN-168</t>
  </si>
  <si>
    <t>NVMY34535000005953</t>
  </si>
  <si>
    <t>NURWANIE HAZIM</t>
  </si>
  <si>
    <t>03/01 BLOK B PENGSAPURI JASA JALAN HANG JEBAT TAMAN MUTIARA RINI 81300 SKUDAI JOHOR  Johor Bahru Johor - my 81300</t>
  </si>
  <si>
    <t>S7-NSJ-65</t>
  </si>
  <si>
    <t>NVMY34535000005933</t>
  </si>
  <si>
    <t>AHLIM</t>
  </si>
  <si>
    <t>62, JALAN HASAN KAMPONG BENTONG KLUANG 86000 JOHOR  Kluang Johor - my 86000</t>
  </si>
  <si>
    <t>S8-KLU-76</t>
  </si>
  <si>
    <t>NVMY34535000005941</t>
  </si>
  <si>
    <t>FIEKA BIE</t>
  </si>
  <si>
    <t>26 JALAN TBC 12A TAMAN BUKIT CHENG 75260 MELAKA  Melaka Melaka - my 75260</t>
  </si>
  <si>
    <t>NVMY34535000005947</t>
  </si>
  <si>
    <t>EN. ZUBIR</t>
  </si>
  <si>
    <t>SK FELDA SUNGAI SIBOL JALAN MAWAR FELDA SUNGAI SIBOL 81440 BDR TENGGARA JOHOR  Bandar Tenggara Johor - my 81440</t>
  </si>
  <si>
    <t>S7A-KLI-69</t>
  </si>
  <si>
    <t>NVMY34535000005935</t>
  </si>
  <si>
    <t>NUR AMANINA BINTI KHAIRUL NIZAM</t>
  </si>
  <si>
    <t>AMANAH IKHTIAR MALAYSIA CAWANGAN KULAI 5383 A JALAN KENARI 20 BANDAR PUTRA 81000 KULAI JOHOR  Kulai Johor - my 81000</t>
  </si>
  <si>
    <t>NVMY34535000005957</t>
  </si>
  <si>
    <t>WAN NURFARHANA BT WAN MOHD NASIR</t>
  </si>
  <si>
    <t>NO 9 JALAN ST 11 TAMAN SAUJANA TEHEL 77200 MELAKA  Bemban Melaka - my 77200</t>
  </si>
  <si>
    <t>S9A-JAS-91</t>
  </si>
  <si>
    <t>NVMY34535000005964</t>
  </si>
  <si>
    <t>CIKGU ZULKEFLI HUSAIN</t>
  </si>
  <si>
    <t>PT 2401 TAMAN ALIF KG BANGGOL PETANI 18500 MACHANG KELANTAN   Kelantan my 18500</t>
  </si>
  <si>
    <t>E1A-MAC-6</t>
  </si>
  <si>
    <t>NVMY34535000005971</t>
  </si>
  <si>
    <t>NIKKUR THRIFT</t>
  </si>
  <si>
    <t>GROUND FLOOR B32-A LORONG BALUK DARAT 13 26100 KUANTAN PAHANG   Pahang my 26100</t>
  </si>
  <si>
    <t>NVMY34535000005955</t>
  </si>
  <si>
    <t>MUNIRAH BINTI MOHD NIZAM</t>
  </si>
  <si>
    <t>KAMPUNG KUALA RUMAN MUKIM JENERI 08320 SIK KEDAH  Jeniang Kedah - my 08320</t>
  </si>
  <si>
    <t>NVMY34535000005948</t>
  </si>
  <si>
    <t>SYAKILLA WAHAB</t>
  </si>
  <si>
    <t>12-2 JALAN RIMBUNAN RAYA LAMAN RIMBUNAN KEPONG 52100 KUALA LUMPUR  Kuala Lumpur Kuala Lumpur - my 52100</t>
  </si>
  <si>
    <t>NVMY34535000005944</t>
  </si>
  <si>
    <t>JASMAINI BTE YUSUF</t>
  </si>
  <si>
    <t>16 JLN KESUMA 6/1D BANDAR TASIK KESUMA 43700 BERANANG SELANGOR  Beranang Selangor - my 43700</t>
  </si>
  <si>
    <t>NVMY34535000005968</t>
  </si>
  <si>
    <t>NVMY34535000005969</t>
  </si>
  <si>
    <t>MINDAS AMINUDIN</t>
  </si>
  <si>
    <t>LOT 4234 BATU 20 KAMPUNG PADANG 43100 HULU LANGAT SELANGOR  Hulu Langat Selangor - my 43100</t>
  </si>
  <si>
    <t>K14-BMC-142</t>
  </si>
  <si>
    <t>NVMY34535000005960</t>
  </si>
  <si>
    <t>SITI NUR SYUHADA BT MOHAMED ZAKARIA</t>
  </si>
  <si>
    <t>NO 27 JLN TG BAKTI 6 TMN TG BAKTI 31250 PERAK  Tanjong Rambutan Perak - my 31250</t>
  </si>
  <si>
    <t>NVMY34535000005959</t>
  </si>
  <si>
    <t>NIK NATASYA AMEERA BINTI NIK HUKMAN SANI</t>
  </si>
  <si>
    <t>Perlis</t>
  </si>
  <si>
    <t>KOLEJ KEDIAMAN TAN SRI AISHAH GHANI (KKTAG) UNIVERSITI MALAYSIA PERLIS (UNIMAP) TAMAN TERINAI 2 MUKIM KURONG BATANG 01000 KANGAR PERLIS  Kangar Perlis - my 01000</t>
  </si>
  <si>
    <t>E3-BSR-34</t>
  </si>
  <si>
    <t>NVMY34535000005967</t>
  </si>
  <si>
    <t>AMIRUL</t>
  </si>
  <si>
    <t>BLOK 23-01-06 KUARTERS AWAM KEMENTERIAN PERTAHANAN SRI MUTIARA JALAN 2/55B BUKIT SETIAWANGSA 54200 SETIAWANGSA KUALA LUMPUR  Kuala Lumpur Kuala Lumpur - my 54200</t>
  </si>
  <si>
    <t>NVMY34535000005527</t>
  </si>
  <si>
    <t>RIDZUAN</t>
  </si>
  <si>
    <t>NO 32, JALAN BERNAM 1, TAMAN BERNAM BARU 35900 TANJUNG MALIM PERAK  Tanjong Malim Perak - my 35900</t>
  </si>
  <si>
    <t>N6-SLM-50</t>
  </si>
  <si>
    <t>NVMY34535000005560</t>
  </si>
  <si>
    <t>DIRECT LENDING SDN BHD (U.P : DEE)</t>
  </si>
  <si>
    <t>22-3A OVAL TOWER DAMANSARA 685 JALAN DAMANSARA TAMAN TUN DR ISMAIL 60000 KUALA LUMPUR  Kuala Lumpur Kuala Lumpur - my 60000</t>
  </si>
  <si>
    <t>NVMY34535000005559</t>
  </si>
  <si>
    <t>SITI NAZIRAH BINTI ZAINI</t>
  </si>
  <si>
    <t>LOT 5078 LORONG KOTA RAJA 4, KG JAWA 41000 KLANG SELANGOR  Klang Selangor - my 41000</t>
  </si>
  <si>
    <t>NVMY34535000005558</t>
  </si>
  <si>
    <t>MUHAMMAD ILYAS AL MUSADDA</t>
  </si>
  <si>
    <t>8-10-9 HALAMAN KENANGA LENGKOK NIPAH 3 11700 SUNGAI DUA PULAU PINANG  Gelugor Pulau Pinang - my 11700</t>
  </si>
  <si>
    <t>NVMY34535000005542</t>
  </si>
  <si>
    <t>REDZUAN</t>
  </si>
  <si>
    <t>VX GARAGE UNIT D-27-1 MENARA SUEZCAP 1 KL GATEWAY NO 2 JALAN KERINCHI GERBANG KERINCHI LESTARI BANGSAR SOUTH 59200 KUALA LUMPUR  Kuala Lumpur Kuala Lumpur - my 59200</t>
  </si>
  <si>
    <t>K11-DSA-111</t>
  </si>
  <si>
    <t>NVMY34535000005557</t>
  </si>
  <si>
    <t>NVMY34535000005541</t>
  </si>
  <si>
    <t>NVMY34535000005562</t>
  </si>
  <si>
    <t>ANUAR MOHAMMAD NOR</t>
  </si>
  <si>
    <t>NO 4 LORONG 13 TAMAN SERI ROMPIN SUNGAI PUTERI KUALA ROMPIN 26800 PAHANG  Kuala Rompin Pahang - my 26800</t>
  </si>
  <si>
    <t>NVMY34535000005563</t>
  </si>
  <si>
    <t>CIKGU ZALINA</t>
  </si>
  <si>
    <t>SK DATO' ABU BAKAR BAGINDA KAJANG 43000 SELANGOR  Kajang Selangor - my 43000</t>
  </si>
  <si>
    <t>NVMY34535000005539</t>
  </si>
  <si>
    <t>NVMY34535000005547</t>
  </si>
  <si>
    <t>NVMY34535000005555</t>
  </si>
  <si>
    <t>NVMY34535000005556</t>
  </si>
  <si>
    <t>NVMY34535000005543</t>
  </si>
  <si>
    <t>NVMY34535000005545</t>
  </si>
  <si>
    <t>NVMY34535000005548</t>
  </si>
  <si>
    <t>NVMY34535000005551</t>
  </si>
  <si>
    <t>NVMY34535000005544</t>
  </si>
  <si>
    <t>NVMY34535000005554</t>
  </si>
  <si>
    <t>NVMY34535000005552</t>
  </si>
  <si>
    <t>NVMY34535000005553</t>
  </si>
  <si>
    <t>NVMY34535000005540</t>
  </si>
  <si>
    <t>NVMY34535000005538</t>
  </si>
  <si>
    <t>NVMY34535000005546</t>
  </si>
  <si>
    <t>NVMY34535000005531</t>
  </si>
  <si>
    <t>S.A. CONTINENTAL SDN BHD</t>
  </si>
  <si>
    <t>NO 6 JALAN SAMUDERA UTARA 2 TAMAN SAMUDERA 68100 BATU CAVES SELANGOR  Selangor - Batu Caves Selangor - my 68100</t>
  </si>
  <si>
    <t>NVMY34535000005565</t>
  </si>
  <si>
    <t>MIEYJA HAMID</t>
  </si>
  <si>
    <t>NO 32 LORONG 2/32 TAMAN PERMATANG SHAHBANDAR 2 26400 BANDAR JENGKA PAHANG  Bandar Pusat Jengka Pahang - my 26400</t>
  </si>
  <si>
    <t>NVMY34535000005588</t>
  </si>
  <si>
    <t>SITI SURIATI BINTI ROHASIN</t>
  </si>
  <si>
    <t>B 71 FELDA TERSANG 2, 57610 RAUB PAHANG  Raub Pahang - my 27610</t>
  </si>
  <si>
    <t>N4A-LIP-29</t>
  </si>
  <si>
    <t>NVMY34535000005575</t>
  </si>
  <si>
    <t>NORALENA ABDULLAH</t>
  </si>
  <si>
    <t>LOT 412 KG RAMBAI BUKIT JELUTONG MARANG TERENGGANU 21600  Kuala Terengganu Terengganu - my 21600</t>
  </si>
  <si>
    <t>NVMY34535000005592</t>
  </si>
  <si>
    <t>LAILI GHAZALI</t>
  </si>
  <si>
    <t>BLOK A.4.11 PANGSAPURI BISTARI SRI PERANTAU 42000 PELABUHAN KLANG SELANGOR  Pelabuhan Klang Selangor - my 42000</t>
  </si>
  <si>
    <t>NVMY34535000005593</t>
  </si>
  <si>
    <t>NOOR AZLINA BINTI IBRAHIM</t>
  </si>
  <si>
    <t>NO 2-722, BLOK 2 JALAN MATAHARI U5/117 SEKSYEN U5, 40150 SHAH ALAM SELANGOR  Shah Alam Selangor - my 40150</t>
  </si>
  <si>
    <t>NVMY34535000005585</t>
  </si>
  <si>
    <t>NVMY34535000005586</t>
  </si>
  <si>
    <t>NVMY34535000005577</t>
  </si>
  <si>
    <t>SYAMIMI (LETUPAN)</t>
  </si>
  <si>
    <t>NO 27, JALAN 2/B, TAMAN TIJANI UKAY PERDANA 68000 AMPANG SELANGOR  Ampang Selangor - my 68000</t>
  </si>
  <si>
    <t>NVMY34535000005561</t>
  </si>
  <si>
    <t>NADINE MYRA AZ</t>
  </si>
  <si>
    <t>PETI SURAT 531 89058 KUDAT SABAH  Keningau Sabah - my 89058</t>
  </si>
  <si>
    <t>M15-KDT-162</t>
  </si>
  <si>
    <t>NVMY34535000005578</t>
  </si>
  <si>
    <t>MUHAMMAD IZHAM BIN CHE MAT ISA</t>
  </si>
  <si>
    <t>KAMPUNG KOK KLANG, LORONG POKOK ASAM, MATA AYER 02500 KANGAR PERLIS  Kangar Perlis - my 02500</t>
  </si>
  <si>
    <t>NVMY34535000005605</t>
  </si>
  <si>
    <t>FAKRUL HAKIM</t>
  </si>
  <si>
    <t>LOT 118 KAMPUNG KUBANG TIN MELOR KOTA BHARU   Melor Kelantan - my 16400</t>
  </si>
  <si>
    <t>NVMY34535000005596</t>
  </si>
  <si>
    <t>NURUL SYAHIRAH</t>
  </si>
  <si>
    <t>NO 304 BLOK 15 FLAT PROTON SEKSYEN 27 SHAH ALAM 40400 SHAH ALAM SELANGOR  Shah Alam Selangor - my 40400</t>
  </si>
  <si>
    <t>K10-HGT-99</t>
  </si>
  <si>
    <t>NVMY34535000005579</t>
  </si>
  <si>
    <t>FAUZIAH BINTI HYDER ALI</t>
  </si>
  <si>
    <t>2-13A-27 LORONG KAMPUNG BUKIT 3 BAYU NYAMAN, 11900 BAYAN LEPAS PULAU PINANG  Bayan Lepas Pulau Pinang - my 11900</t>
  </si>
  <si>
    <t>N5-BAY-45</t>
  </si>
  <si>
    <t>NVMY34535000005607</t>
  </si>
  <si>
    <t>NUR IZANA AZMI</t>
  </si>
  <si>
    <t>LOT 505 NO 2 KAMPUNG LUBUK TAPAH LATI PASIR MAS  Pasir Mas Kelantan - my 17000</t>
  </si>
  <si>
    <t>NVMY34535000005614</t>
  </si>
  <si>
    <t>EN. ALIAS BIN MAMAT</t>
  </si>
  <si>
    <t>JABATAN PENDIDIKAN SELANGOR JALAN JAMBU BOL 4/3E SEKSYEN 4 40604 SHAH ALAM SELANGOR  Shah Alam Selangor - my 40604</t>
  </si>
  <si>
    <t>K10A-SHA-104</t>
  </si>
  <si>
    <t>NVMY34535000005549</t>
  </si>
  <si>
    <t>VX GARAGE UNIT D-27-1 MENARA SUEZCAP 1 KL GATEWAY NO 2 JALAN KERINCHI GERBANG KERINCHI LESTARI BANGSAR SOUTH 59200 KUALA LUMPUR  Kuala Lumpur Kuala Lumpur Kuala Lumpur - my 59200</t>
  </si>
  <si>
    <t>RECOVERY - KV</t>
  </si>
  <si>
    <t>NVMY34535000005615</t>
  </si>
  <si>
    <t>NVMY34535000005550</t>
  </si>
  <si>
    <t>NVMY34535000005602</t>
  </si>
  <si>
    <t>NIZNAZRILL ASRILL FANSRIN BIN ADNAN</t>
  </si>
  <si>
    <t>MRSM MUADZAM SHAH JALAN PERSIARAN DARA 26700 MUADZAM SHAH PAHANG  Muadzam Shah Pahang - my 26700</t>
  </si>
  <si>
    <t>N4A-MSH-27</t>
  </si>
  <si>
    <t>NVMY34535000005610</t>
  </si>
  <si>
    <t>NORMAH BT MOHD KAHAR</t>
  </si>
  <si>
    <t>NO 5 LOT 315 KAMPUNG JAWA 4 KAMPUNG JAWA MUKIM ENDAU KUALA ROMPIN PAHANG  Kuala Rompin Pahang - my 26820</t>
  </si>
  <si>
    <t>PHG-PHG</t>
  </si>
  <si>
    <t>NVMY34535000005566</t>
  </si>
  <si>
    <t>NURUL AMIRAH</t>
  </si>
  <si>
    <t>C-0-11, PEANGSAPURI MUTIARA PERDANA, JALAN JPS 7/15, 47150 PETALING JAYA SELANGOR   Selangor my 47150</t>
  </si>
  <si>
    <t>NVMY34535000005582</t>
  </si>
  <si>
    <t>ZAIDIAZRUL BIN MAT ZAINAL</t>
  </si>
  <si>
    <t>NO 250 LORONG 5/10 SRI IORA JALAN KELISA RIA II, 08000 SG PETANI KEDAH  Sungai Petani Kedah - my 08000</t>
  </si>
  <si>
    <t>E3-SPT-30</t>
  </si>
  <si>
    <t>NVMY34535000005600</t>
  </si>
  <si>
    <t>ISHAK ISWAN</t>
  </si>
  <si>
    <t>E-05-05 BLOK E PPR KG MUHIBBAH JLN 2/155 TAMAN MUHIBBAH 58200 KUALA LUMPUR  Kuala Lumpur Kuala Lumpur - my 58200</t>
  </si>
  <si>
    <t>NVMY34535000005572</t>
  </si>
  <si>
    <t>539748 KPL ISKANDAR</t>
  </si>
  <si>
    <t>Rmh Keluarga Malaysia,  Angkatan Tentera Darat (RKMAT-TD), Taman LTAT, Jln Jalil Indah 4, Bukit Jalil,  Kuala Lumpur   MY 57000</t>
  </si>
  <si>
    <t>NVMY34535000005601</t>
  </si>
  <si>
    <t>ALIAA</t>
  </si>
  <si>
    <t>NO 6 JLN KALOI 1B TAMAN DESA KALOI ULU YAM BHARU 44300 BATANG KALI SELANGOR  Batang Kali Selangor - my 44300</t>
  </si>
  <si>
    <t>K13-KKB-134</t>
  </si>
  <si>
    <t>NVMY34535000005604</t>
  </si>
  <si>
    <t>OFIDA BT ABDULLAH</t>
  </si>
  <si>
    <t>LOT 255 KAMPUNG KANDIS TELONG BACHOK 16310 KELANTAN  Bachok Kelantan - my 16310</t>
  </si>
  <si>
    <t>NVMY34535000005571</t>
  </si>
  <si>
    <t>MOHAMAD AIDIL</t>
  </si>
  <si>
    <t>NO 2 LOT 4782C LORONG CEMPAKA 41050 MERU KLANG SELANGOR  Klang Selangor - my 41050</t>
  </si>
  <si>
    <t>NVMY34535000005569</t>
  </si>
  <si>
    <t>NVMY34535000005568</t>
  </si>
  <si>
    <t>NVMY34535000005611</t>
  </si>
  <si>
    <t>SUHAILY BT ISMAIL</t>
  </si>
  <si>
    <t>SK KUALA TAHAN 27000 JERANTUT PAHANG  Jerantut Pahang - my 27000</t>
  </si>
  <si>
    <t>NVMY34535000005590</t>
  </si>
  <si>
    <t>SITI SURIANIMAZNI BT CHE MOOD</t>
  </si>
  <si>
    <t>B-4-11 PERUMAHAN POLIS DESA AMAN 1 PANTAI DALAM 59200 KUALA LUMPUR  Kuala Lumpur Kuala Lumpur - my 59200</t>
  </si>
  <si>
    <t>NVMY34535000005570</t>
  </si>
  <si>
    <t>NVMY34535000005573</t>
  </si>
  <si>
    <t>DIC LAI</t>
  </si>
  <si>
    <t>UNIT F-3-8 BLK F APT JULIA JLN 4/8 BDR BARU SELAYANG FASA 2B 68100 BATU CAVES SELANGOR  Batu Caves Selangor - my 68100</t>
  </si>
  <si>
    <t>NVMY34535000005580</t>
  </si>
  <si>
    <t>NURUL SHARIZA BINTI AHMAD</t>
  </si>
  <si>
    <t>FLAT SEMERAK 12-G-6 JLN TS TMN SEMARAK 71800 NILAI NEGERI SEMBILAN  Labu Negeri Sembilan - my 71800</t>
  </si>
  <si>
    <t>NVMY34535000005583</t>
  </si>
  <si>
    <t>NVMY34535000005603</t>
  </si>
  <si>
    <t>NUR HADIRA BINTI BAHARUN</t>
  </si>
  <si>
    <t>DA NAZRI FROZEN FOOD LOT 642 JALAN JERAM PASU PADANG PAK AMAT 16800 PASIR PUTEH KELANTAN  Pasir Puteh Kelantan - my 16800</t>
  </si>
  <si>
    <t>NVMY34535000005591</t>
  </si>
  <si>
    <t>NURUL SHAHRIZA BINTI AHMAD</t>
  </si>
  <si>
    <t>NVMY34535000005587</t>
  </si>
  <si>
    <t>CROLYNE AYOH</t>
  </si>
  <si>
    <t>MING HUNG ELECT &amp; ACC, 89908 TENOM SABAH   Tenom Sabah - my 89908</t>
  </si>
  <si>
    <t>M15-TNM-159</t>
  </si>
  <si>
    <t>NVMY34535000005598</t>
  </si>
  <si>
    <t>MUHAMAD FAKHRI</t>
  </si>
  <si>
    <t>LOT 15324-B JALAN TEMBUSU, KAMPUNG MELAYU SUBANG 40150 SHAH ALAM SELANGOR  Shah Alam Selangor - my 40150</t>
  </si>
  <si>
    <t>NVMY34535000005599</t>
  </si>
  <si>
    <t>MUHAMMAD NABIL BIN  MOHAMAD NAZRI</t>
  </si>
  <si>
    <t>VILLAGE 2A UNIVERSITI TEKNOLOGI PETRONAS 32610 SERI ISKANDAR PERAK  Bandar Seri Iskandar Perak - my 32610</t>
  </si>
  <si>
    <t>N6-GAJ-49</t>
  </si>
  <si>
    <t>NVMY34535000005564</t>
  </si>
  <si>
    <t>AYUEHIBA</t>
  </si>
  <si>
    <t>TEKEK KG TEKEK PULAU TIOMAN 86800 MERSING JOHOR  Mersing Johor - my 86800</t>
  </si>
  <si>
    <t>NVMY34535000005567</t>
  </si>
  <si>
    <t>LOT 1030 &amp; 1070 JLN KUALA KANGSAR 34700 SIMPANG TAIPING PERAK  Simpang Perak - my 34700</t>
  </si>
  <si>
    <t>NVMY34535000005595</t>
  </si>
  <si>
    <t>NVMY34535000005609</t>
  </si>
  <si>
    <t>ELLYA ELLYSHA</t>
  </si>
  <si>
    <t>F G O3 BLOK KENARI.  F JALAN KANGSAR 1 TAMAN IMPIAN IHSAN SERI KEMBANGAN SELANGOR  Kajang Selangor - my 43000</t>
  </si>
  <si>
    <t>NVMY34535000005622</t>
  </si>
  <si>
    <t>NOOR AZNIERA BINTI DAUD</t>
  </si>
  <si>
    <t>VILLA D RUMAH KOPERASI FELDA KECHAU 01 27100 KUAAL LIPIS PAHANG  Padang Tengku Pahang - my 27100</t>
  </si>
  <si>
    <t>NVMY34535000005584</t>
  </si>
  <si>
    <t>NAZRUL HAZRI BIN NOORDIN</t>
  </si>
  <si>
    <t>NO 2, JALAN SUNGAI KAPAL 2, TAMAN BAYU DAMAI 81620 PENGERANG JOHOR  Pengerang Johor - my 81620</t>
  </si>
  <si>
    <t>NVMY34535000005616</t>
  </si>
  <si>
    <t>WAN AZILA BT WAN NASIR</t>
  </si>
  <si>
    <t>NO 7 JALAN MAWAR 49, TAMAN MAWAR 81700 PASIR GUDANG JOHOR  Pasir Gudang Johor - my 81700</t>
  </si>
  <si>
    <t>NVMY34535000005619</t>
  </si>
  <si>
    <t>EN. NORAZILAN BIN ABD.HAMID</t>
  </si>
  <si>
    <t>NO 3 DEPAN PAM MINYAK LAMA FELDA JENGKA 1 26400 BANDAR PUSAT JENGKA PAHANG  Bandar Pusat Jengka Pahang - my 26400</t>
  </si>
  <si>
    <t>NVMY34535000005606</t>
  </si>
  <si>
    <t>NOROSIATI BT ROFA</t>
  </si>
  <si>
    <t>LOT 3182 LORONG HAJI TAHIR BATU 7 JALAN KEPONG SHAH ALAM  Shah Alam Selangor - my 40460</t>
  </si>
  <si>
    <t>NVMY34535000005608</t>
  </si>
  <si>
    <t>MAIZATUL AKMAM BT IBRAHIM</t>
  </si>
  <si>
    <t>F 566 JALAN MAHSURI KAMPUNG BUJANG BEDUNG KEDAH  Bedong Kedah - my 08100</t>
  </si>
  <si>
    <t>NVMY34535000005574</t>
  </si>
  <si>
    <t>MUHAMMAD ZAHIRUDDIN</t>
  </si>
  <si>
    <t>LOT 1711 JALAN SEK KEB JAMBU BONGKOK 21610 MARANG TERENGGANU  Terengganu  Terengganu my 21610</t>
  </si>
  <si>
    <t>NVMY34535000005594</t>
  </si>
  <si>
    <t>NVMY34535000005655</t>
  </si>
  <si>
    <t>NVMY34535000005621</t>
  </si>
  <si>
    <t>LAU LAY BOAY</t>
  </si>
  <si>
    <t>1454, JALAN JIRAN7, TAMAN GEMBIRA 28200 KUALA LUMPUR  Kuala Lumpur Kuala Lumpur - my 58200</t>
  </si>
  <si>
    <t>K10A-OUG-101</t>
  </si>
  <si>
    <t>NVMY34535000005629</t>
  </si>
  <si>
    <t>MOHD SUKERI BIN NEH</t>
  </si>
  <si>
    <t>NO 17 FELDA JENGKA 4 26500 MARAN PAHANG   Pahang my 26500</t>
  </si>
  <si>
    <t>NVMY34535000005657</t>
  </si>
  <si>
    <t>SITI NOR RAHIMAH BT IBRAHIM</t>
  </si>
  <si>
    <t xml:space="preserve">NO 22 BLOK FLORA,PERUMAHAN PDRM SG JAN, 27000 JERANTUT PAHANG  Jerantut Pahang - my 27000 </t>
  </si>
  <si>
    <t>NVMY34535000005639</t>
  </si>
  <si>
    <t>IBRAHIM</t>
  </si>
  <si>
    <t>540 JALAN DEDAP (F) PADANG PIOL 27040 JERANTUT PAHANG  Jerantut Pahang - my 27040</t>
  </si>
  <si>
    <t>NVMY34535000005651</t>
  </si>
  <si>
    <t>JASNIE SALLEH</t>
  </si>
  <si>
    <t>LOT 1 NO4 JALAN PADANG/STESYEN 28400 BANDAR MENTAKAB PAHANG  Mentakab Pahang - my 28400</t>
  </si>
  <si>
    <t>NVMY34535000005618</t>
  </si>
  <si>
    <t>MUHAMMAD RAZIFF BIN NOOR SALI</t>
  </si>
  <si>
    <t>NO 96 BLOK 2 FELDA JELAI 2 73480 GEMAS NEGERI SEMBILAN  Gemas Negeri Sembilan - my 73480</t>
  </si>
  <si>
    <t>NVMY34535000005638</t>
  </si>
  <si>
    <t>MOHD ZAKRI BIN ABDULLAH</t>
  </si>
  <si>
    <t>NO 29 JALAN KEKWA 3 TAMAN SERENDAH MAKMUR 48200 SERENDAH SELANGOR  Serendah Selangor - my 48200</t>
  </si>
  <si>
    <t>NVMY34535000005653</t>
  </si>
  <si>
    <t>NIK RIDHWAN</t>
  </si>
  <si>
    <t>ARAS 1 BLOK UTAMA PEJABAT PERDANA MENTERI BANGUNAN PERDANA PUTRA JABATAN PERDANA MENTERI PRESINT 1,62502 PUTRAJAYA  Putrajaya Putrajaya - my 62502</t>
  </si>
  <si>
    <t>NVMY34535000005648</t>
  </si>
  <si>
    <t>MOHD ZAKI BIN MD RASID</t>
  </si>
  <si>
    <t>NO 511 BLOK 5,JALAN 1/9,43650 BANDAR BARU BANGI SELANGOR  Bandar Baru Bangi Selangor - my 43650</t>
  </si>
  <si>
    <t>NVMY34535000005654</t>
  </si>
  <si>
    <t>MUHD ZULFIQAH</t>
  </si>
  <si>
    <t>LOT 1485-B KG JERULONG,LEMAL 17000 PASIR MAS KELANTAN  Pasir Mas Kelantan - my 17000</t>
  </si>
  <si>
    <t>NVMY34535000005632</t>
  </si>
  <si>
    <t>PUAN AZRINAH BINTI YUNUS (EKSEKUTIF HASIL)</t>
  </si>
  <si>
    <t>LEMBAGA HASIL DALAM NEGERI MALAYSIA, CAWANGAN LHDNM PUTRAJAYA BEG BERKUNCI 00006, 43657 BANDAR BARU BANGI SELANGOR  Bandar Baru Bangi Selangor - my 43657</t>
  </si>
  <si>
    <t>NVMY34535000005581</t>
  </si>
  <si>
    <t>NVMY34535000005589</t>
  </si>
  <si>
    <t>NVMY34535000005647</t>
  </si>
  <si>
    <t>IBNUL SIRI</t>
  </si>
  <si>
    <t>KAMPUNG PADANG LATI SEBELAH CALTEX 16250 WAKAF BHARU TUMPAT KELANTAN  Wakaf Bharu Kelantan - my 16250</t>
  </si>
  <si>
    <t>NVMY34535000005626</t>
  </si>
  <si>
    <t>ILI AMIRAH MUZAMIL</t>
  </si>
  <si>
    <t>BELAKANG DOBI LAYAN DIRI LOT 4993 JALAN AMAN BT.9 KG MEDAN 42500 TELOK PANGLIMA GARANG SELANGOR  Telok Panglima Garang Selangor - my 42500</t>
  </si>
  <si>
    <t>NVMY34535000005624</t>
  </si>
  <si>
    <t>AZMIL KICHI</t>
  </si>
  <si>
    <t>AFFAN FURNITURE LOT 5 BLOK O LORONG 4 GROUND FLOOR BANDAR MINGO PHASE 89807 BEAUFORT SABAH  Beaufort Sabah - my 89807</t>
  </si>
  <si>
    <t>M15-BFT-160</t>
  </si>
  <si>
    <t>NVMY34535000005645</t>
  </si>
  <si>
    <t>NVMY34535000005631</t>
  </si>
  <si>
    <t>L.F.LOW</t>
  </si>
  <si>
    <t>WHITE HORSE CERAMIC WORLD, LOT 2737,JLN RAJA NONG/KG 2,TAMAN PERINDUSTRIAN SG,JATI 41200 KLANG SELANGOR  Klang Selangor - my 41200</t>
  </si>
  <si>
    <t>K14-BTK-139</t>
  </si>
  <si>
    <t>NVMY34535000005650</t>
  </si>
  <si>
    <t>MUHAMAD FAKHRUDDIN ABU BAKAR</t>
  </si>
  <si>
    <t>NO 211,JALAN CERMAI 7,TAMAN CERMAI ,06000 JITRA KEDAH  Jitra Kedah - my 06000</t>
  </si>
  <si>
    <t>NVMY34535000005656</t>
  </si>
  <si>
    <t>MUHAMAD FITRI AKRAM BIN MOHD AZMI</t>
  </si>
  <si>
    <t>BLOK A# 3-15 SERI BENDAHARA PANGSAPURI BUKIT SAUJANA YAHYA AWAL 80100 JOHOR BAHRU  Johor Bahru Johor - my 80100</t>
  </si>
  <si>
    <t>NVMY34535000005620</t>
  </si>
  <si>
    <t>NVMY34535000005662</t>
  </si>
  <si>
    <t>KHARIAH GHAZALI</t>
  </si>
  <si>
    <t>LOT 3685B LORONG IMAM OSMAN ,KAMPUNG SUNGAI MERAB LUAR,43000 KAJANG SELANGOR  Kajang Selangor - my 43000</t>
  </si>
  <si>
    <t>NVMY34535000005658</t>
  </si>
  <si>
    <t>AMRI</t>
  </si>
  <si>
    <t>SS14 LADANG CEP PERDANA 86399 RENGGAM KLUANG JOHOR  Rengam Johor - my 86399</t>
  </si>
  <si>
    <t>NVMY34535000005667</t>
  </si>
  <si>
    <t>SIS ERIENA</t>
  </si>
  <si>
    <t>LOT 5425 JALAN SHEIKH JALALLUDIN,BT 29 KAMPUNG JENDERAM HULU 43800 DENGKIL SELANGOR  , - , Dengkil , Selangor Dengkil Selangor - MY 43800</t>
  </si>
  <si>
    <t>K10-BSP-100</t>
  </si>
  <si>
    <t>NVMY34535000005635</t>
  </si>
  <si>
    <t>MY CAT WORLD MART</t>
  </si>
  <si>
    <t>NO 3 LORONG MEWAH 8, TAMAN MEWAH KEMUNTING 34600 TAIPING PERAK  Taiping Perak - my 34600</t>
  </si>
  <si>
    <t>NVMY34535000005663</t>
  </si>
  <si>
    <t>NORLI BT MISKON</t>
  </si>
  <si>
    <t>NO 1,LORONG NANGKA KANAN,JALAN CHEMPAKA KANCHONG DARAT,42700 BANTING SELANGOR  , - , Banting , Selangor Banting Selangor - MY 42700</t>
  </si>
  <si>
    <t>NVMY34535000005625</t>
  </si>
  <si>
    <t>FAKHRUL HISYAM</t>
  </si>
  <si>
    <t>LOT 85 KG GUNTONG KOK LANAS 16450 KETEREH KELANTAN  Ketereh Kelantan - my 16450</t>
  </si>
  <si>
    <t>E1-KET-2</t>
  </si>
  <si>
    <t>NVMY34535000005644</t>
  </si>
  <si>
    <t>AZMI BIN MOHD YUSOF</t>
  </si>
  <si>
    <t>NO 30 KG RAMBUNG GELOK 33400 LENGGONG PERAK  Lenggong Perak - my 33400</t>
  </si>
  <si>
    <t>N6A-GER-56</t>
  </si>
  <si>
    <t>NVMY34535000005613</t>
  </si>
  <si>
    <t>FAEZ BT ZA'BAR</t>
  </si>
  <si>
    <t>NO 45 JALAN BAYAM 4 FELDA MAOKIL 3 85300 LABIS SEGAMAT JOHOR  Labis Johor - my 85300</t>
  </si>
  <si>
    <t>NVMY34535000005628</t>
  </si>
  <si>
    <t>MUHAMMAD FAIZ BIN ALI BERDIN</t>
  </si>
  <si>
    <t>375 JALAN MATAHARI INDAH 7 TAMAN MATAHARI INDAH SENAWANG 70450 SEREMBAN NEGERI SEMBILAN  Seremban Negeri Sembilan - my 70450</t>
  </si>
  <si>
    <t>S9-SWG-83</t>
  </si>
  <si>
    <t>NVMY34535000005669</t>
  </si>
  <si>
    <t>ISMAWATI</t>
  </si>
  <si>
    <t>LOT 9877A ,JALAN SANDORA ,BATU 8, 42500,TELOK PANGLIMA GARANG,SELANGOR  , - , Telok Panglima Garang , Selangor Telok Panglima Garang Selangor - MY 42500</t>
  </si>
  <si>
    <t>NVMY34535000005637</t>
  </si>
  <si>
    <t>LITTLE ZAYYAN OUTLET</t>
  </si>
  <si>
    <t>LOT G 12 ARKED MARA JALAN MENTERI 45300 SUNGAI BESAR SELANGOR  Sungai Besar Selangor - my 45300</t>
  </si>
  <si>
    <t>K13-SBR-137</t>
  </si>
  <si>
    <t>NVMY34535000005643</t>
  </si>
  <si>
    <t>FAHARIES BIN A.KARIM</t>
  </si>
  <si>
    <t>LOT 10, KG GUAR NENAS 08300 GURUN KEDAH  Gurun Kedah - my 08300</t>
  </si>
  <si>
    <t>NVMY34535000005617</t>
  </si>
  <si>
    <t>BII TENG</t>
  </si>
  <si>
    <t>710 TAMAN AMAN JALAN ANAK BUKIT 06550 ALOR SETAR KEDAH  Alor Setar Kedah - my 06550</t>
  </si>
  <si>
    <t>NVMY34535000005660</t>
  </si>
  <si>
    <t>CHEE YONG NING</t>
  </si>
  <si>
    <t>NO 60,JALAN SC 3,PUSAT PERINDUSTRIAN SUNGAI CHUA , 43000 KAJANG,SELANGOR  Kajang Selangor - my 43000</t>
  </si>
  <si>
    <t>NVMY34535000005634</t>
  </si>
  <si>
    <t>WANORHAFIZAH</t>
  </si>
  <si>
    <t>NO 44 JALAN 4/3,TAMAN SELAYANG MUTIARA,BATU CAVES GOMBAK 68100 SELANGOR  Batu Caves Selangor - my 68100</t>
  </si>
  <si>
    <t>NVMY34535000005652</t>
  </si>
  <si>
    <t>RAZAINI BIN ISMAIL</t>
  </si>
  <si>
    <t>NO 27 JALAN SEMERAK 4 TAMAN SEMARAK SUNGAI CHUA KAJANG SELANGOR  Kajang Selangor - my 43000</t>
  </si>
  <si>
    <t>NVMY34535000005666</t>
  </si>
  <si>
    <t>NORHASNI MOHAMED</t>
  </si>
  <si>
    <t>LOT 598,NO 6A JALAN DURIAN KANCHONG DARAT 42600 BANTING SELANGOR  , - , Banting , Selangor Banting Selangor - MY 42700</t>
  </si>
  <si>
    <t>NVMY34535000005636</t>
  </si>
  <si>
    <t>MUHAMAD KHAIRUL AZHAR BIN MOHD SHARIF</t>
  </si>
  <si>
    <t>D3 FLAT JPN JALAN PECAH BATU 39100 BRINCHANG CAMERON HIGHLAND PAHANG  Brinchang Pahang - my 39100</t>
  </si>
  <si>
    <t>NVMY34535000005668</t>
  </si>
  <si>
    <t>NUR SAFIQAH BT ISMAIL</t>
  </si>
  <si>
    <t>NO 1 LORONG EMBUN JAYA 10,TAMAN EMBUN JAYA 27000 JERANTUT PAHANG  , - , Jerantut , Pahang Jerantut Pahang - MY 27000</t>
  </si>
  <si>
    <t>NVMY34535000005623</t>
  </si>
  <si>
    <t>NORHALIZAH SARABANI</t>
  </si>
  <si>
    <t>PETI SURAT 971 89808 BEAUFORT SABAH  Beaufort Sabah - my 89808</t>
  </si>
  <si>
    <t>NVMY34535000005641</t>
  </si>
  <si>
    <t>MASDI M&amp;E BUNDLE</t>
  </si>
  <si>
    <t>F52,LORONG 1,PERINGKAT 1 KG MUHIBBAH RAYA, 91000 TAWAU SABAH  Kota Kinabalu Sabah - my 91000</t>
  </si>
  <si>
    <t>M15A-TWU-163</t>
  </si>
  <si>
    <t>NVMY34535000005670</t>
  </si>
  <si>
    <t>HABSAH TOL</t>
  </si>
  <si>
    <t>HABSAH TOL KAMPUNG NIUP LORONG MASJID KOTA SAMARAHAN,94300,KUCHING SARAWAK  , - , Kuching , Sarawak Kuching Sarawak - MY 94300</t>
  </si>
  <si>
    <t>M16-SAM-175</t>
  </si>
  <si>
    <t>NVMY34535000005676</t>
  </si>
  <si>
    <t>MOHD KHAIROOL ALHAFIZ BIN DAUD</t>
  </si>
  <si>
    <t>D267 JALAN ISMAIL PETRA TANAH MERAH 17500 KELANTAN  Tanah Merah Kelantan - my 17500</t>
  </si>
  <si>
    <t>NVMY34535000005627</t>
  </si>
  <si>
    <t>NORSHAMSUL BIN SALIM</t>
  </si>
  <si>
    <t>3-2-13 JALAN HAJI AHMAD 11600 GEORGETOWN PULAU PINANG  Jelutong Pulau Pinang - my 11600</t>
  </si>
  <si>
    <t>N5-FLM-46</t>
  </si>
  <si>
    <t>NVMY34535000005681</t>
  </si>
  <si>
    <t>NOR FAZLIZA AZLIZAN BINTI MOHUMAD TAHIR</t>
  </si>
  <si>
    <t>NO 68 JALAN BESAR BANDAR LAMA 27200 KUALA LIPIS PAHANG  Kuala Lipis Pahang - my 27200</t>
  </si>
  <si>
    <t>NVMY34535000005646</t>
  </si>
  <si>
    <t>AHMAD MAHIR BIN C NASRUDDIN</t>
  </si>
  <si>
    <t>71A,BATU 6 3/4 KAMPUNG GUAR SANJI,02600,ARAU,PERLIS  Perlis Arau Perlis - my 02600</t>
  </si>
  <si>
    <t>E3A-KGR-35</t>
  </si>
  <si>
    <t>NVMY34535000005642</t>
  </si>
  <si>
    <t>SYED AHMAD MURAD</t>
  </si>
  <si>
    <t>2B-2-14,PANGSAPURI BAYAN PERMAI,JALAN KAMPUNG PERLIS,11900 BAYAN LEPAS PULAU PINANG  Bayan Lepas Pulau Pinang - my 11900</t>
  </si>
  <si>
    <t>NVMY34535000005680</t>
  </si>
  <si>
    <t>ASMAWI BIN IBRAHIM</t>
  </si>
  <si>
    <t>TAN CHONG MOTOR SDN BHD LOT 8944 JALAN JEDOK MANAL 17500 TANAH MERAH KELANTAN  Tanah Merah Kelantan - my 17500</t>
  </si>
  <si>
    <t>NVMY34535000005672</t>
  </si>
  <si>
    <t>AININ SOFIYA MASTURA BT SHAMSUDIN 2022622058</t>
  </si>
  <si>
    <t>KOLEJ TUN HUSSEIN ONN HUB PARCEL MASMED - PSKK UNIVERSITI TEKNOLOGI MARA CAW. KELANTAN BUKIT ILMU 18500 MACHANG KELANTAN  Machang Kelantan - my 18500</t>
  </si>
  <si>
    <t>NVMY34535000005649</t>
  </si>
  <si>
    <t>MOHD ZULKIFLI BIN MOHD ROSDI</t>
  </si>
  <si>
    <t>LOT 344 &amp; 345,KG KEMAYANG TAWANG 16020 BACHOK KELANTAN  Kelantan Bachok Kelantan - my 16020</t>
  </si>
  <si>
    <t>E1-BCK-3</t>
  </si>
  <si>
    <t>NVMY34535000005661</t>
  </si>
  <si>
    <t>NORHAFIZAH BINTI KHAMIS</t>
  </si>
  <si>
    <t>NO24C,KAMPUNG OLAK BATU,MK7,PARIT RAJA,BATU PAHAT,86400,JOHOR  Batu Pahat Johor - my 86400</t>
  </si>
  <si>
    <t>NVMY34535000005671</t>
  </si>
  <si>
    <t>KEDAI RUNCIT KAKMAH</t>
  </si>
  <si>
    <t>3379 A KEDAI KAKMAH,KAMPUNG PAYA RESAK , BUKIT PAYONG,MARANG,21400, TERENGGANU  Bukit Payong Terengganu - my 21400</t>
  </si>
  <si>
    <t>NVMY34535000005664</t>
  </si>
  <si>
    <t>NORWATIE BINTI ABU BAKAR</t>
  </si>
  <si>
    <t>NO 36,JALAN PI 15/5,BANDAR PUTERA INDAH,TONGKANG PECHAH,83010 BATU PAHAT,JOHOR  , - , Batu Pahat , Johor Batu Pahat Johor - MY 83010</t>
  </si>
  <si>
    <t>NVMY34535000005665</t>
  </si>
  <si>
    <t>FADILAH BT MOHAMAD</t>
  </si>
  <si>
    <t>D-016,PASAR RAKYAT JALAN NILAI 3/4 NILAI 3,71800 NILAI NEGERI SEMBILAN  , - , Nilai , Negeri Sembilan Nilai Negeri Sembilan - MY 71800</t>
  </si>
  <si>
    <t>NVMY34535000005688</t>
  </si>
  <si>
    <t>NVMY34535000005685</t>
  </si>
  <si>
    <t>AZYYATI BINTI MOHD YUSOFF</t>
  </si>
  <si>
    <t>LEVEL 37, MENARA AIA CAP SQUARE, NO 10 JALAN MUNSHI ABDULLAH 50100 KUALA LUMPUR  Kuala Lumpur Kuala Lumpur - my 50100</t>
  </si>
  <si>
    <t>NVMY34535000005674</t>
  </si>
  <si>
    <t>ABDUL RAHIM BIN HAJI MUHAMMAD</t>
  </si>
  <si>
    <t>NO 90 JLN 4 TAMAN DATO HARUN PETALING JAYA 46000 SELANGOR  Petaling Jaya Selangor - my 46000</t>
  </si>
  <si>
    <t>K10-SUN-97</t>
  </si>
  <si>
    <t>NVMY34535000005701</t>
  </si>
  <si>
    <t>Faridah</t>
  </si>
  <si>
    <t>A-15-33 Apartment Sri Penara, Jalan Sri Permaisuri 1, Bdr Sri Permaisuri,56000 Cheras kuala lumpur  Kuala Lumpur Kuala Lumpur - my 56000</t>
  </si>
  <si>
    <t>K11A-ECO-119</t>
  </si>
  <si>
    <t>NVMY34535000005683</t>
  </si>
  <si>
    <t>SHAUQI ZULKAFLI</t>
  </si>
  <si>
    <t>14, JALAN LP 8/18, LESTARI PERDANA 43300 SERI KEMBANGAN SELANGOR  Seri Kembangan Selangor - my 43300</t>
  </si>
  <si>
    <t>K12-SRD-121</t>
  </si>
  <si>
    <t>NVMY34535000005659</t>
  </si>
  <si>
    <t>SETIAUSAHA BAHAGIAN PEMBANGUNAN</t>
  </si>
  <si>
    <t>KEMENTERIAN PENDIDIKAN MALAYSIA ARAS 6,BLOK E2,KOMPLEKS E PUSAT PENTADBIRAN KERAJAAN PERSEKUTUAN 62604 PUTRAJAYA  Putrajaya Putrajaya Putrajaya - my 62604</t>
  </si>
  <si>
    <t>NVMY34535000005673</t>
  </si>
  <si>
    <t>CHE AZIZUL BT CHE AMAT</t>
  </si>
  <si>
    <t>BLOK A 1508, PPR TMN PUTRA DAMAI, LEMBAH SUBANG, JLN PJU 1A/42, 47301 PETALING JAYA SELANGOR  Petaling Jaya Selangor - my 47301</t>
  </si>
  <si>
    <t>K11-ARA-110</t>
  </si>
  <si>
    <t>NVMY34535000005633</t>
  </si>
  <si>
    <t>SITI NUR AFIFAH NAZULA</t>
  </si>
  <si>
    <t>PINTU NO 1 BILIK WARNA PURPLE HUJUNG BENDANG,LORONG HAJI AYOB ,KAMPUNG BOHOR TEMPOYAK,MUKIM KEDAWANG 07000 LANGKAWI KEDAH  Kuala Kedah Kedah - my 07000</t>
  </si>
  <si>
    <t>NVMY34535000005689</t>
  </si>
  <si>
    <t>JULIZA BTE HUSAIN</t>
  </si>
  <si>
    <t>565 belakang sek panji alam 21100 kuala terengganu Terengganu   Kuala Terengganu Terengganu - my 21100</t>
  </si>
  <si>
    <t>NVMY34535000005699</t>
  </si>
  <si>
    <t>AHMAD RAFIQ BIN MOHD NAZRI 4 NAFI</t>
  </si>
  <si>
    <t xml:space="preserve"> KOPERASI SM IMTIAZ BESUT SEKOLAH MENENGAH IMTIAZ BESUT 22200 KOTA PUTERA BESUT TERENGGANU  Kampung Raja Terengganu - my 22200</t>
  </si>
  <si>
    <t>E1A-JTH-9</t>
  </si>
  <si>
    <t>NVMY34535000005630</t>
  </si>
  <si>
    <t>MUHAMAD NUR AFIF</t>
  </si>
  <si>
    <t>BERTAM PROPERTIES SDN BHD,NO 1,JALAN DAGANGAN 1,PUSAT BANDAR BERTAM PERDANA,KEPALA BATAS,13200,KEPALA BATAS,PENANG  Kepala Batas Pulau Pinang - my 13200</t>
  </si>
  <si>
    <t>NVMY34535000005693</t>
  </si>
  <si>
    <t>MOHD IQMAL ALIFF BIN ZULKEFLI</t>
  </si>
  <si>
    <t>78494-G.LORONG BNGA TNJUNG 5 KMPUNG BARU HICOM. 40400 SHAH ALAM SELANGOR   Shah Alam Selangor - my 40400</t>
  </si>
  <si>
    <t>NVMY34535000005708</t>
  </si>
  <si>
    <t>NURIN</t>
  </si>
  <si>
    <t>A 391 JALAN MELOR SEBERANG TAKIR 21300 KUALA TERENGGANU TERENGGANU  Kuala Terengganu Terengganu - my 21300</t>
  </si>
  <si>
    <t>NVMY34535000005691</t>
  </si>
  <si>
    <t>SUHAIRI MOHAMAD</t>
  </si>
  <si>
    <t>10D RUMAH GURU SK LKTP SUNGAI TEKAM UTARA 27060 JERANTUT PAHANG  Jerantut Pahang - my 27060</t>
  </si>
  <si>
    <t>NVMY34535000005684</t>
  </si>
  <si>
    <t>LAILAWATI BAKAR</t>
  </si>
  <si>
    <t>NO 1, JALAN 1 TAMAN RAMAL ROS SUNGAI RAMAL DALAM 43000 KAJANG SELANGOR  Kajang Selangor - my 43000</t>
  </si>
  <si>
    <t>NVMY34535000005705</t>
  </si>
  <si>
    <t>SITI NURUL SALIMI BINTI ABDULLAH</t>
  </si>
  <si>
    <t>KOLEJ UNITI KOTA BAHRU , JALAN PANTAI CAHAYA BULAN, KAMPUNG PENAMBANG KOTA BAHRU KELANTAN 15350  Kota Bharu Kelantan - my 15350</t>
  </si>
  <si>
    <t>NVMY34535000005687</t>
  </si>
  <si>
    <t>UMMI FAZIRA BINTI DERUS</t>
  </si>
  <si>
    <t>LOT 16907B JALAN GERTAK SERATUS 22300 KUALA BESUT TERENGGANU  Kuala Terengganu Terengganu - my 22300</t>
  </si>
  <si>
    <t>NVMY34535000005690</t>
  </si>
  <si>
    <t>NVMY34535000005597</t>
  </si>
  <si>
    <t>RATNA NAZIRAH (SYU)</t>
  </si>
  <si>
    <t>LOT 673 KPG BAKOL LIMBANG 98700 SARAWAK  Lawas Sarawak - my 98700</t>
  </si>
  <si>
    <t>NVMY34535000005678</t>
  </si>
  <si>
    <t>HAZREEN</t>
  </si>
  <si>
    <t>NO 12 JALAN NIPAH 10 TAMAN DAYA 81100 JOHOR BAHRU JOHOR  Johor Bahru Johor - my 81100</t>
  </si>
  <si>
    <t>S7-AUS-67</t>
  </si>
  <si>
    <t>NVMY34535000005696</t>
  </si>
  <si>
    <t>Kapitan lanun</t>
  </si>
  <si>
    <t>51 jalan bahagian 6 taman Sri bahagia Cheras WP Kuala Lumpur 56000  Kuala Lumpur Kuala Lumpur - my 56000</t>
  </si>
  <si>
    <t>K12A-CHE-126</t>
  </si>
  <si>
    <t>NVMY34535000005682</t>
  </si>
  <si>
    <t>MUHD AIMAN BIN ABDUL HAMID</t>
  </si>
  <si>
    <t>183 A KAMPUNG PADANG LALANG 34400 SIMPANG EMPAT KERIAN PERAK  Simpang Ampat Semanggol Perak - my 34400</t>
  </si>
  <si>
    <t>N6A-BAG-58</t>
  </si>
  <si>
    <t>NVMY34535000005679</t>
  </si>
  <si>
    <t>CHOIZES CONCEPT STORE SDN BHD</t>
  </si>
  <si>
    <t>UNIT NO D6-3A-17 BANGUNAN PERDAGANGAN D6, SENTUL RAYA, 801 JLN SENTUL 51100 KUALA LUMPUR  Kuala Lumpur Kuala Lumpur - my 51100</t>
  </si>
  <si>
    <t>NVMY34535000005694</t>
  </si>
  <si>
    <t>KHAIRUNI BIN MOHAMED SHALIKIN</t>
  </si>
  <si>
    <t>jln. Sempadan kampung parit mahang 45800 jeram selangor   Selangor my 45800</t>
  </si>
  <si>
    <t>K13-KSR-131</t>
  </si>
  <si>
    <t>NVMY34535000005698</t>
  </si>
  <si>
    <t>CHOON SIAW KAM</t>
  </si>
  <si>
    <t>21 JALAN SS 22/29 DAMANSARA JAYA 47400 PETALING JAYA SELANGOR  Petaling Jaya Selangor - my 47400</t>
  </si>
  <si>
    <t>NVMY34535000005686</t>
  </si>
  <si>
    <t>OMAR BIN ABDUL</t>
  </si>
  <si>
    <t>NO 45 JALAN 3 TAMAN SEMARAK SG. CHUA KAJANG HULU LANGAT 43000 SELANGOR  Kajang Selangor - my 43000</t>
  </si>
  <si>
    <t>NVMY34535000005709</t>
  </si>
  <si>
    <t>RUMILAH MARSONO</t>
  </si>
  <si>
    <t>LOT 1395A, JALAN SATU KAMPUNG HULU TERIS 43950 SUNGAI PELEK SELANGOR  Sungai Pelek Selangor - my 43950</t>
  </si>
  <si>
    <t>K13-STG-133</t>
  </si>
  <si>
    <t>NVMY34535000005692</t>
  </si>
  <si>
    <t>SHAHMAN MD SHUKOR</t>
  </si>
  <si>
    <t>NO 24, JALAN SELASIH 14, TAMAN SELASIH FASA 1, 68100 BATU CAVES, SELANGOR DARUL EHSAN  Batu Caves Selangor - my 68100</t>
  </si>
  <si>
    <t>NVMY34535000005640</t>
  </si>
  <si>
    <t>DARMAN BIN DARWIS</t>
  </si>
  <si>
    <t>BLOCK B TINGKAT 9 NO 16 PPR TAMAN SRI KERAMAT JALAN KG KETIAU TOMBOVO PUTATAN 88200 KOTA KINABALU SABAH  Sabah Kota Kinabalu Sabah - my 88200</t>
  </si>
  <si>
    <t>M15-PMP-157</t>
  </si>
  <si>
    <t>NVMY34535000005707</t>
  </si>
  <si>
    <t>Roslina binti Hashim</t>
  </si>
  <si>
    <t>No 10, Jalan Persiaran 3/2, Bahagia Court, 28000 Termerloh Pahang   Pahang my 28000</t>
  </si>
  <si>
    <t>NVMY34535000005677</t>
  </si>
  <si>
    <t>MOHD HAFIZ BIN ROZALI</t>
  </si>
  <si>
    <t>NO 7 PERSIARAN PUNCAK ISKANDAR 2B/20PUNCAK ISKANDAR 32610 SERI ISKANDAR PERAK  Bandar Seri Iskandar Perak - my 32610</t>
  </si>
  <si>
    <t>NVMY34535000005612</t>
  </si>
  <si>
    <t>FRANKLIN JOHN</t>
  </si>
  <si>
    <t>KLINIK KESIHATAN SONG JALAN SUNGAI CHAPI 96850 SONG SARAWAK  Kuching Sarawak - my 96850</t>
  </si>
  <si>
    <t>NVMY34535000005714</t>
  </si>
  <si>
    <t>JASON PANG</t>
  </si>
  <si>
    <t>27, JALAN MOLEK 2/17, TAMAN MOLEK 81100 JOHOR BAHRU JOHOR  Johor Bahru Johor - my 81100</t>
  </si>
  <si>
    <t>NVMY34535000005704</t>
  </si>
  <si>
    <t>Aishah Jannah</t>
  </si>
  <si>
    <t>Ps 65 jalan 3 taman pinggiran Kuala Ina pulau sebang 78000 alor gajah melaka  Alor Gajah Melaka - my 78000</t>
  </si>
  <si>
    <t>NVMY34535000005713</t>
  </si>
  <si>
    <t>DAUD BIN MD SAMAN</t>
  </si>
  <si>
    <t>NO 18, PERSIARAN TENGGIRI SEBERANG JAYA 13700 PERAI PULAU PINANG  Perai Pulau Pinang - my 13700</t>
  </si>
  <si>
    <t>NVMY34535000005697</t>
  </si>
  <si>
    <t>ISHAN BIN ISMAIL</t>
  </si>
  <si>
    <t>NO 71 JALAN WAU KIKIK 3 BANDAR LAYANGKASA 81700 PASIR GUDANG JOHOR  Pasir Gudang Johor - my 81700</t>
  </si>
  <si>
    <t>NVMY34535000005730</t>
  </si>
  <si>
    <t>EWING</t>
  </si>
  <si>
    <t>1019 jalan sj 9/10B Taman Seremban jaya 70450 Seremban NEGERI SEMBILAN  Seremban Negeri Sembilan - my 70450</t>
  </si>
  <si>
    <t>NVMY34535000005717</t>
  </si>
  <si>
    <t>MAZIAH BT ISMAIL</t>
  </si>
  <si>
    <t>LOT 19907 BLKG PONDOK POLIS TEPOH 21060 KUALA NERUS TERENGGANU  Kuala Terengganu Terengganu - my 21060</t>
  </si>
  <si>
    <t>NVMY34535000005710</t>
  </si>
  <si>
    <t>ASHIKIN AZMI</t>
  </si>
  <si>
    <t>NO 863A KUARTERS JKR JG GEYLANG 26600 PEKAN PAHANG  Pahang Pekan Pahang - my 26600</t>
  </si>
  <si>
    <t>NVMY34535000005706</t>
  </si>
  <si>
    <t>Felixia Kanching</t>
  </si>
  <si>
    <t>Boulevard Restaurant Kuching, Boulevard Shopping Mall, Jalan Tawi Sli (LG Floor_New Wing) ,93250 Kuching. Sarawak.   Kuching Sarawak - my 93250</t>
  </si>
  <si>
    <t>M16-BKW-171</t>
  </si>
  <si>
    <t>NVMY34535000005723</t>
  </si>
  <si>
    <t>WAN NURUL ATIRAH WAN AZIZAN</t>
  </si>
  <si>
    <t>no2 lot44 sebelah kanan taman desa azam labok 18500 machang KELANTAN  Machang Kelantan - my 18500</t>
  </si>
  <si>
    <t>NVMY34535000005729</t>
  </si>
  <si>
    <t>RAMLAH MAT</t>
  </si>
  <si>
    <t>no 7-1, Jalan Putra 5, Taman Putra Kajang,43000 Kajang,Selangor  Kajang Selangor - my 43000</t>
  </si>
  <si>
    <t>NVMY34535000005711</t>
  </si>
  <si>
    <t>EN MOHAMMAD HELMI B MINHAD</t>
  </si>
  <si>
    <t>LOT 9446, LORONG 3 KANAN, KG BARU SAWAH RING 84700 GERISIK TANGKAK JOHOR  Gerisek Johor - my 84700</t>
  </si>
  <si>
    <t>NVMY34535000005716</t>
  </si>
  <si>
    <t>162-D (RUMAH ATAS) LOT 3031 JALAN SG PENCHALA 7 KG SG PENCHALA 60000 KUALA LUMPUR  Kuala Lumpur Kuala Lumpur Kuala Lumpur - my 60000</t>
  </si>
  <si>
    <t>NVMY34535000005712</t>
  </si>
  <si>
    <t>NVMY34535000005731</t>
  </si>
  <si>
    <t>NOR ZARINA</t>
  </si>
  <si>
    <t>No 141 jalan laman orkid  3/7 laman orkid nilai ,Seremban impian ,71800 negeri sembilan    Negeri Sembilan my 71800</t>
  </si>
  <si>
    <t>NVMY34535000005715</t>
  </si>
  <si>
    <t>TL3 LORONG TOPAIWAH KG SG BAGAN LAUT 83100 RENGIT BATU PAHAT JOHOR (RUMAH PALING HUJUNG WARNA PUTIH)  Rengit Johor - my 83100</t>
  </si>
  <si>
    <t>NVMY34535000005728</t>
  </si>
  <si>
    <t>UMMI KHALSUM NABILLAH BINTI MOHD NAIM</t>
  </si>
  <si>
    <t>NO14, KAMPUNG MALAN ULU,73100 JOHOL, NEGERI SEMBILAN  Johol Negeri Sembilan - my 73100</t>
  </si>
  <si>
    <t>NVMY34535000005702</t>
  </si>
  <si>
    <t>Noorasyidah binti derani</t>
  </si>
  <si>
    <t>No 42 kg behor gandil 01000 kangar perlis  Kangar Perlis - my 01000</t>
  </si>
  <si>
    <t>NVMY34535000005719</t>
  </si>
  <si>
    <t>ZULAIKHA BT ZAKARIA</t>
  </si>
  <si>
    <t>K 244 TAMAN INDERAPURA 3 JALAN INDERAPURA 1 27000 JERANTUT PAHANG  Jerantut Pahang - my 27000</t>
  </si>
  <si>
    <t>NVMY34535000005695</t>
  </si>
  <si>
    <t>Sekolah kebangsaan pengkalan ara 36600 Chenderong balai Perak   Perak my 36600</t>
  </si>
  <si>
    <t>NVMY34535000005724</t>
  </si>
  <si>
    <t>Norhidayah Azhar</t>
  </si>
  <si>
    <t>A-1-2, pangsapuri wira Damai, 68100 Batu caves SELANGOR  Batu Caves Selangor - my 68100</t>
  </si>
  <si>
    <t>NVMY34535000005718</t>
  </si>
  <si>
    <t>CHOKEMAT ENGINEERING</t>
  </si>
  <si>
    <t>LOT 2170 JALAN TELUK KETAPANG KAMPUNG TELAGA DAING 21300 KUALA TERENGGANU TERENGGANU  Kuala Terengganu Terengganu - my 21300</t>
  </si>
  <si>
    <t>NVMY34535000005738</t>
  </si>
  <si>
    <t>ZAFIRAH BINTI KAMAL</t>
  </si>
  <si>
    <t>NO 353-P BELAKANG MASJID GETING 16200 TUMPAT KELANTAN.   Tumpat Kelantan - my 16200</t>
  </si>
  <si>
    <t>NVMY34535000005722</t>
  </si>
  <si>
    <t>NVMY34535000005745</t>
  </si>
  <si>
    <t>Aqilah Liyana</t>
  </si>
  <si>
    <t>lot1136 (plot c4), jalan haji othman lama,rantau panjang, klang, 42100, selangor  Klang Selangor - my 42100</t>
  </si>
  <si>
    <t>NVMY34535000005721</t>
  </si>
  <si>
    <t>EN ZURI BIN SAID</t>
  </si>
  <si>
    <t>SABK MAAHAD AL IMAM ASY SHAFIEE, JELAPANG 30020 IPOH PERAK  Ipoh Perak - my 30020</t>
  </si>
  <si>
    <t>NVMY34535000005735</t>
  </si>
  <si>
    <t>Khairunnisa</t>
  </si>
  <si>
    <t xml:space="preserve"> B-14-04, Pangsapuri Kita Impian, Persiaran Cybersouth Perdana, Bandar Cybersouth, 43800 Dengkil, Selangor Darul Ehsan  Telok Panglima Garang Selangor - my 43800</t>
  </si>
  <si>
    <t>NVMY34535000005732</t>
  </si>
  <si>
    <t>ANDI SABILAH RAZAK BIN NURDIN</t>
  </si>
  <si>
    <t>NO 55 JALAN WP 2/3 WARISAN PUTERI KOTA WARISAN 43900 SEPANG SELANGOR  Sepang Selangor - my 43900</t>
  </si>
  <si>
    <t>NVMY34535000005740</t>
  </si>
  <si>
    <t>Nurul Farhana binti musba khapa</t>
  </si>
  <si>
    <t>No 99 Jalan padang keman, kg che mohid setiu Terengganu 22040  Jerteh Terengganu - my 22040</t>
  </si>
  <si>
    <t>NVMY34535000005746</t>
  </si>
  <si>
    <t>Fairuz Zawani Binti Zakaria</t>
  </si>
  <si>
    <t>Lot 3338, Jalan Tembila, Kampung Paya Rawa, 22200, Besut, Terengganu.   Terengganu my 22200</t>
  </si>
  <si>
    <t>NVMY34535000005747</t>
  </si>
  <si>
    <t>Siti Norfarahiyah Bt  Baharuddin</t>
  </si>
  <si>
    <t>Soo Thien Ming &amp; Nashrah 45-47,  1st Floor Jalan Kapar,  41400 Klang SELANGOR  Klang Selangor - my 41400</t>
  </si>
  <si>
    <t>NVMY34535000005720</t>
  </si>
  <si>
    <t>RIDWAN BIN MUSA</t>
  </si>
  <si>
    <t>48 JALAN NUSARIA 6/21 TAMAN NUSANTARA 81550 GELANG PATAH JOHOR  Gelang Patah Johor - my 81550</t>
  </si>
  <si>
    <t>S7-GLG-64</t>
  </si>
  <si>
    <t>NVMY34535000005739</t>
  </si>
  <si>
    <t>Nurul Danieya</t>
  </si>
  <si>
    <t>ATOZ SDN BHD A2I TINGKAT BAWAH JLN IM3/11 , BANDAR INDERA MAHKOTA POINT, 25200 KTN PAHANG  Kuantan Pahang - my 25200</t>
  </si>
  <si>
    <t>NVMY34535000005748</t>
  </si>
  <si>
    <t>MAMI</t>
  </si>
  <si>
    <t>Lot PT 34305 ,jalan dungun, kampung kelulut,21600 marang terengganu  Kuala Terengganu Terengganu - my 21600</t>
  </si>
  <si>
    <t>E2-MRG-12</t>
  </si>
  <si>
    <t>NVMY34535000005734</t>
  </si>
  <si>
    <t>Muhammad Faris Amirul</t>
  </si>
  <si>
    <t>Kantin Sekolah Kebangsaan Kampung Batu 4 1/2 Jalan Ipoh 51200 Kuala Lumpur  Kuala Lumpur Kuala Lumpur - my 51200</t>
  </si>
  <si>
    <t>NVMY34535000005742</t>
  </si>
  <si>
    <t>UMIE QALSOM BINTI ZULKEFLI</t>
  </si>
  <si>
    <t>A-12-15 PPR BERINGIN , JALAN MIRI OFF TAMAN BERINGIN 52000 KL  Kuala Lumpur Kuala Lumpur - my 52000</t>
  </si>
  <si>
    <t>NVMY34535000005700</t>
  </si>
  <si>
    <t>Nur Qahirah</t>
  </si>
  <si>
    <t>block A 09-03 pangsapuri dwi aliff aliff avenue 81200 Johor Bahru, Johor  Johor Bahru Johor - my 81200</t>
  </si>
  <si>
    <t>S7A-KEM-74</t>
  </si>
  <si>
    <t>NVMY34535000005727</t>
  </si>
  <si>
    <t>Syarifah Amrina</t>
  </si>
  <si>
    <t xml:space="preserve"> 1-9-7 Casa Ara Apartment , Persiaran Relau, Kampung Darat 11900 Bayan Lepas, Penang  Bayan Lepas Pulau Pinang - my 11900</t>
  </si>
  <si>
    <t>NVMY34535000005736</t>
  </si>
  <si>
    <t>MOHD FAIZ BIN HUSSIN</t>
  </si>
  <si>
    <t>PT 12098 (LORONG SYEIKH AHMAD)KAMPUNG KUBANG KERIAN BUKIT PANAU,17500 TANAH MERAH, KELANTAN  Tanah Merah Kelantan - my 17500</t>
  </si>
  <si>
    <t>NVMY34535000005763</t>
  </si>
  <si>
    <t>NVMY34535000005759</t>
  </si>
  <si>
    <t>WAN ROSLINA BT WAN MUSA</t>
  </si>
  <si>
    <t>A 2948, LORONG TOK SIRA 25, MEDAN TOK SIRA, 25050 KUANTAN PAHANG   Kuantan Pahang - my 25050</t>
  </si>
  <si>
    <t>NVMY34535000005743</t>
  </si>
  <si>
    <t>Naizatul Fitriah</t>
  </si>
  <si>
    <t>Taman Perumahan Sungai Labuk Pelantung, Blok i GF-14, 90107, Beluran, Sabah.  Telupid Sabah - my 90107</t>
  </si>
  <si>
    <t>NVMY34535000005675</t>
  </si>
  <si>
    <t>NVMY34535000005751</t>
  </si>
  <si>
    <t>LEO</t>
  </si>
  <si>
    <t>TAOPLUS (M) SDN BHD, 60 JALAN SC3, PUSAT PERINDUSTRIAN SUNGAI CHUA 43000 KAJANG SELANGOR  Kajang Selangor - my 43000</t>
  </si>
  <si>
    <t>NVMY34535000005768</t>
  </si>
  <si>
    <t>NOR AZURA BT TAIB</t>
  </si>
  <si>
    <t>1755-b,jalan panji alam, 21100 k.tganu  Kuala Terengganu Terengganu - my 21100</t>
  </si>
  <si>
    <t>NVMY34535000005733</t>
  </si>
  <si>
    <t>MUAZ HAMID</t>
  </si>
  <si>
    <t>SB-21-01, Suasana Utropolis, Jalan Cassia Barat 2, 14100 Bandar Cassia, Penang.  Simpang Ampat Pulau Pinang - my 14100</t>
  </si>
  <si>
    <t>N5-SIM-43</t>
  </si>
  <si>
    <t>NVMY34535000005744</t>
  </si>
  <si>
    <t>Ros nani Binti mohamad desa</t>
  </si>
  <si>
    <t>No 128 pekan mahang 09700 Karangan kedah  Karangan Kedah - my 09700</t>
  </si>
  <si>
    <t>NVMY34535000005737</t>
  </si>
  <si>
    <t>PROF DR SHAHRIMAN ABU BAKAR</t>
  </si>
  <si>
    <t>FAKULTI TEKNOLOGI KEJURUTERAAN MEKANIKAL PAUH PUTRA CAMPUS UNIVERSITI MALAYSIA PERLIS 02400 ARAU PERLIS  Arau Perlis - my 02600</t>
  </si>
  <si>
    <t>NVMY34535000005769</t>
  </si>
  <si>
    <t>NORAISYAH</t>
  </si>
  <si>
    <t>LOT 2182 LORONG HJ JOHARI KG SG UDANG 41250 KLANG SELANGOR  Klang Selangor - my 41250</t>
  </si>
  <si>
    <t>NVMY34535000005703</t>
  </si>
  <si>
    <t>Abdul Halim Bin Khalil @ Hayati</t>
  </si>
  <si>
    <t>jnt express langkawi (store jnt) depan shell kelibang, jalan kelibang, 07000 langkawi kedah  Kuala Kedah Kedah - my 07000</t>
  </si>
  <si>
    <t>NVMY34535000005765</t>
  </si>
  <si>
    <t>NVMY34535000005741</t>
  </si>
  <si>
    <t>NVMY34535000005755</t>
  </si>
  <si>
    <t>EN  HAMRI B YUSOF</t>
  </si>
  <si>
    <t>PT 2328, TAMAN SL ANGGERIK WIRA JAYA, KOK LANAS 16450 KETEREH KELANTAN  Ketereh Kelantan - my 16450</t>
  </si>
  <si>
    <t>NVMY34535000005752</t>
  </si>
  <si>
    <t>NURUL ATIEKA</t>
  </si>
  <si>
    <t>PT 15188 PERUMAHAN TAMAN INDAH SARI BATU 7, 23000 DUNGUN TERENGGANU  Dungun Terengganu - my 23000</t>
  </si>
  <si>
    <t>NVMY34535000005725</t>
  </si>
  <si>
    <t>NUR AZELINA BT DAUD.</t>
  </si>
  <si>
    <t>NO C144 JALAN MASJID KG MELAYU PANDAN 81100 JOHOR BAHRU.  Johor Johor Bahru Johor - my 81100</t>
  </si>
  <si>
    <t>NVMY34535000005762</t>
  </si>
  <si>
    <t>NO 78, LOT 60751, JALAN RAPAT JAYA, KG SUNGAI RAPAT 31350 IPOH PERAK  Ipoh Perak - my 31350</t>
  </si>
  <si>
    <t>NVMY34535000005749</t>
  </si>
  <si>
    <t>YEONG MEE PING</t>
  </si>
  <si>
    <t>NO 193 LOT 1384 LORONG 6 JALAN SENTEBU TAMAN SUSUR JAMBU 96100 SARIKEI SARAWAK  Saratok Sarawak - my 96100</t>
  </si>
  <si>
    <t>NVMY34535000005757</t>
  </si>
  <si>
    <t>EN ISMAIL YOP</t>
  </si>
  <si>
    <t>3103, LORONG BEBARAU, KG DATO AHMAD SAID TAMB 2, 30020 IPOH PERAK  Ipoh Perak - my 30020</t>
  </si>
  <si>
    <t>NVMY34535000005760</t>
  </si>
  <si>
    <t>PUAN MISHA B HAJI GOBIL</t>
  </si>
  <si>
    <t>KAMPUNG EMPILA HULU, 94300 KOTA SAMARAHAN SARAWAK  Kota Samarahan Sarawak - my 94300</t>
  </si>
  <si>
    <t>NVMY34535000005782</t>
  </si>
  <si>
    <t>ARIFF AZLY</t>
  </si>
  <si>
    <t>A17-05, PPA1M KETUMBAR, NO.1, JALAN P17B, PRECINT 17, 62150 PUTRAJAYA.  Putrajaya Putrajaya - my 62150</t>
  </si>
  <si>
    <t>NVMY34535000005776</t>
  </si>
  <si>
    <t>WAN NABILA</t>
  </si>
  <si>
    <t>NO 5 JALAN USJ 13/1F, USJ 13 PERSIARAN MULIA 47630 SUBANG JAYA SELANGOR  Subang Jaya Selangor - my 47630</t>
  </si>
  <si>
    <t>K12-HTC-124</t>
  </si>
  <si>
    <t>NVMY34535000005756</t>
  </si>
  <si>
    <t>EN MAZLAN ISMAIL</t>
  </si>
  <si>
    <t>POS 1B, KPG PT SAPRAN DARAT, MK 8, PARIT RAJA 86400 BATU PAHAT JOHOR  Parit Raja Johor - my 86400</t>
  </si>
  <si>
    <t>NVMY34535000005781</t>
  </si>
  <si>
    <t>Alynnn</t>
  </si>
  <si>
    <t>Lot 1968 Kg Batu Sebutir Pdg Pak Amat 16800 Pasir Puteh Kelantan  Pasir Puteh Kelantan - my 16800</t>
  </si>
  <si>
    <t>NVMY34535000005773</t>
  </si>
  <si>
    <t>SHUKRI B MOHD</t>
  </si>
  <si>
    <t>NVMY34535000005787</t>
  </si>
  <si>
    <t>NVMY34535000005750</t>
  </si>
  <si>
    <t>NVMY34535000005775</t>
  </si>
  <si>
    <t>MIKE WONG</t>
  </si>
  <si>
    <t>SUITE 120, P-05A, EMPIRE SHOPPING GALLERY, JALAN SS16/1, 47500 SUBANG JAYA SELANGOR  Subang Jaya Selangor - my 47500</t>
  </si>
  <si>
    <t>NVMY34535000005766</t>
  </si>
  <si>
    <t>MARIANA MOHTAR</t>
  </si>
  <si>
    <t>25 FASA 1D2 32040 SERI MANJUNG PERAK  Seri Manjong Perak - my 32040</t>
  </si>
  <si>
    <t>N6A-STW-60</t>
  </si>
  <si>
    <t>NVMY34535000005726</t>
  </si>
  <si>
    <t>YULIZAWARNI BINTI JAJAK</t>
  </si>
  <si>
    <t>LOT 1800-46B, JALAN MALION, KAMPUNG SUNGAI CHINCHIN, BATU 7¾, 53100, GOMBAK, SELANGOR   Hulu Langat Kuala Lumpur - my 53100</t>
  </si>
  <si>
    <t>NVMY34535000005788</t>
  </si>
  <si>
    <t>VILLA D RUMAH KOPERASI FELDA KECHAU 01 27100 KUALA LIPIS PAHANG  Padang Tengku Pahang - my 27100</t>
  </si>
  <si>
    <t>NVMY34535000005754</t>
  </si>
  <si>
    <t>PUAN FARIDAH/MOHD YUNUS</t>
  </si>
  <si>
    <t>NO 1C, LORONG 1, JALAN DAHLIA KG MELAYU 86000 KLUANG JOHOR  Kluang Johor - my 86000</t>
  </si>
  <si>
    <t>NVMY34535000005780</t>
  </si>
  <si>
    <t>KHAIRUNNISA</t>
  </si>
  <si>
    <t>20, Jalan Permai 1, Taman Permai, 43000 Kajang, Selangor  Kajang Selangor - my 43000</t>
  </si>
  <si>
    <t>NVMY34535000005761</t>
  </si>
  <si>
    <t>1249, UNIT 5, KG SG SINTOK, PERMATANG PASIR 13500 SEBERANG PERAI TENGAH , PULAU PINANG  Permatang Pauh Pulau Pinang - my 13500</t>
  </si>
  <si>
    <t>NVMY34535000005767</t>
  </si>
  <si>
    <t>JULITA SIDEK</t>
  </si>
  <si>
    <t>R-3-6 APARTMENT SERI SEROJA, BB7 48300 RAWANG SELANGOR, 48300, Rawang Selangor, Malaysia.  Selangor Rawang Selangor - my 48300</t>
  </si>
  <si>
    <t>NVMY34535000005764</t>
  </si>
  <si>
    <t>WAN SRI DINI BINTI WAN KAMARUDIN</t>
  </si>
  <si>
    <t>MS2318121817 - POS MINI KOLEJ MATRIKULASI KEDAH 06010 CHANGLUN KEDAH  Changloon Kedah - my 06010</t>
  </si>
  <si>
    <t>NVMY34535000005779</t>
  </si>
  <si>
    <t>KG JINTAN CHETOK  17060 PASIR MAS KELANTAN   Pasir Mas Kelantan - my 17060</t>
  </si>
  <si>
    <t>NVMY34535000005770</t>
  </si>
  <si>
    <t>WAN ROSLINA WAN MUSA</t>
  </si>
  <si>
    <t>A2948, LORONG TOK SIRA 25, MEDAN TOK SIRA 25050 KUANTAN PAHANG  Kuantan Pahang - my 25050</t>
  </si>
  <si>
    <t>NVMY34535000005784</t>
  </si>
  <si>
    <t>MOHD MUZAFAR BIN MOHAMAD</t>
  </si>
  <si>
    <t>KEDAI MAKANTEPI PUSPAKOM KAMPUNG BARU SUNGAI DURIAN 18000 KUALA KRAI KELANTAN  Kuala Krai Kelantan - my 18000</t>
  </si>
  <si>
    <t>NVMY34535000005758</t>
  </si>
  <si>
    <t>EN NASRUL B IDERIS</t>
  </si>
  <si>
    <t>NO 72, JALAN MAWAR INDAH 3, TAMAN MAWAR INDAH 28700 BENTONG PAHANG DARUL MAKMUR  Bentong Pahang - my 28700</t>
  </si>
  <si>
    <t>NVMY34535000005777</t>
  </si>
  <si>
    <t>MOHD SHUKRI BIN ABDUL RAHMAN</t>
  </si>
  <si>
    <t>215 JALAN SPRINGHILL 3/2 PARK RESIDENCE BANDAR SPRINGHILL 71010 PORT DICKSON NEGERI SEMBILAN  Port Dickson Negeri Sembilan - my 71010</t>
  </si>
  <si>
    <t>NVMY34535000005792</t>
  </si>
  <si>
    <t>FATIN NORMAWADDAH</t>
  </si>
  <si>
    <t>NO 28, LORONG SKD 8, TAMAN PSJ SUNGAI KARANG DAMAI 26100 KUANTAN PAHANG  Kuantan Pahang - my 26100</t>
  </si>
  <si>
    <t>NVMY34535000005930</t>
  </si>
  <si>
    <t>NOORLIZA BT MOHD RAMLI</t>
  </si>
  <si>
    <t>NO 11 JALAN DESA PERMAI, TAMAN DESA PERMAI MUKIM ULU MELAKA 07000 LANGKAWI KEDAH  Kuala Kedah Kedah - my 07000</t>
  </si>
  <si>
    <t>NVMY34535000005966</t>
  </si>
  <si>
    <t>FAEZIN BENJAMIN</t>
  </si>
  <si>
    <t>MP 11 JALAN SS 8/1 TAMAN SRI SAUJANA 81900 KOTA TINGGI JOHOR   Johor my 81900</t>
  </si>
  <si>
    <t>NVMY34535000005965</t>
  </si>
  <si>
    <t>BADRULHUSAINI BIN AHMAD</t>
  </si>
  <si>
    <t>1168 LAHAR TAMBUN 13300 TASEK GELUGOR SEBERANG PERAI UTARA PULAU PINANG  Tasek Gelugor Pulau Pinang - my 13300</t>
  </si>
  <si>
    <t>NVMY34535000005970</t>
  </si>
  <si>
    <t>HAZENAH MOHD HASSAN</t>
  </si>
  <si>
    <t>NO 119 KAMPUNG ALOR SETOL 06500 LANGAR KEDAH   Kedah my 06500</t>
  </si>
  <si>
    <t>NVMY34535000005962</t>
  </si>
  <si>
    <t>MOHD SAFWAN JUMADIL</t>
  </si>
  <si>
    <t>AMERALD RESORT HOTEL LOT 1231 JALAN KAMPUNG PUNGGAI SUNGAI RENGIT 81600 PENGERANG JOHOR  Pengerang Johor - my 81600</t>
  </si>
  <si>
    <t>NVMY34535000005984</t>
  </si>
  <si>
    <t>NOORAIN MAHMUD</t>
  </si>
  <si>
    <t>NO 288 HALA TAMBUN PERMAI 10 KG TERSUSUN BT4, 31400 PERAK  Sitiawan Perak - my 31400</t>
  </si>
  <si>
    <t>NVMY34535000005997</t>
  </si>
  <si>
    <t>RUSNANI BINTI ABDULLAH</t>
  </si>
  <si>
    <t>LOT 427 LORONG 19/1 KAMPUNG PERAMU 26060 KUANTAN PAHANG  Chini Pahang - my 26060</t>
  </si>
  <si>
    <t>NVMY34535000005981</t>
  </si>
  <si>
    <t>EMMA BT OSMAN</t>
  </si>
  <si>
    <t>NO 5 LORONG PANGLIMA 6 BERTAM KEPALA BATAS  Kepala Batas Pulau Pinang - my 13200</t>
  </si>
  <si>
    <t>NVMY34535000005999</t>
  </si>
  <si>
    <t>MUHD FAUZI BIN JAMARI (OLIN)</t>
  </si>
  <si>
    <t>CHEERMAN INDUSTRIES SDN BHD, NO.5 JALAN KESUMA 2/3, BANDAR TASIK KESUMA , 43700 BERANANG, SELANGOR  Beranang Selangor - my 43700</t>
  </si>
  <si>
    <t>NVMY34535000005973</t>
  </si>
  <si>
    <t>Alia Maisarah</t>
  </si>
  <si>
    <t>58, Jalan Putra 4A, Taman Klebang Putra, 31200, Chemor, Perak  Chemor Perak - my 31200</t>
  </si>
  <si>
    <t>NVMY34535000005991</t>
  </si>
  <si>
    <t>NORMALIS</t>
  </si>
  <si>
    <t>LOT 11009 JALAN TKP4 TAMAN KOPERAT PERDANA KG KELULUT 21600 MARANG TERENGGANU   Terengganu my 21600</t>
  </si>
  <si>
    <t>NVMY34535000005988</t>
  </si>
  <si>
    <t>Iqmal Bakri</t>
  </si>
  <si>
    <t>No 4 Lorong 6 PAKR Panching 26090 Kuantan Pahang  Bukit Kuin Pahang - my 26090</t>
  </si>
  <si>
    <t>NVMY34535000005996</t>
  </si>
  <si>
    <t>SYAZA NAJLAA</t>
  </si>
  <si>
    <t>DYNATON HOLDINGS NO 1 TINGKAT BASEMENT JALAN DAGANG 2 DYNATON BUKIT ANGIN 28000 TEMERLOH PAHANG  Temerloh Pahang - my 28000</t>
  </si>
  <si>
    <t>NVMY34535000006000</t>
  </si>
  <si>
    <t>NVMY34535000005998</t>
  </si>
  <si>
    <t>NURUL SAFIKAH BT ZAINAL ABIDIN</t>
  </si>
  <si>
    <t>NO 502 TAMAN SRI SEMANTAN 28000 TEMERLOH PAHANG  Chenor Pahang - my 28000</t>
  </si>
  <si>
    <t>NVMY34535000006002</t>
  </si>
  <si>
    <t>PUAN HAFAZA</t>
  </si>
  <si>
    <t>AJENSI RIAZ SDN BHD,NO 15,JALAN 2/118 C ,DESA TUN RAZAK 56000 CHERAS KUALA LUMPUR  Kuala Lumpur Kuala Lumpur - my 56000</t>
  </si>
  <si>
    <t>NVMY34535000005975</t>
  </si>
  <si>
    <t>Mohamad Khairil B Abd Rashid</t>
  </si>
  <si>
    <t>Control room Sunway Velocity Mall, Lingkaran SV2, Sunway Velocity, 55100 Kuala Lumpur, Wilayah Persekutuan KL  Kuala Lumpur Kuala Lumpur - my 55100</t>
  </si>
  <si>
    <t>NVMY34535000005978</t>
  </si>
  <si>
    <t>AZMAN BIN MOHAMAD</t>
  </si>
  <si>
    <t>No 93 jalan cu 3 taman chebong utama, rembau 71300 rembau    Negeri Sembilan my 71300</t>
  </si>
  <si>
    <t>NVMY34535000005982</t>
  </si>
  <si>
    <t>MUHD ROFI BIN ALI</t>
  </si>
  <si>
    <t>1016-2 KG TANAH LOT BINJAI KEMAMAN  Ayer Puteh Terengganu - my 24000</t>
  </si>
  <si>
    <t>N4-CHU-19</t>
  </si>
  <si>
    <t>NVMY34535000005976</t>
  </si>
  <si>
    <t>EDDY BLACK</t>
  </si>
  <si>
    <t>Lot 2043, Kampung Kedai Baru, 16150 Kota Bharu, Kelantan   Kelantan my 16150</t>
  </si>
  <si>
    <t>NVMY34535000005974</t>
  </si>
  <si>
    <t>ANIQ IRFAN KU</t>
  </si>
  <si>
    <t>no 295, Jalan Sekolah Arab, Tok Uban, 17050, Pasir Mas Kelantan   Kelantan my 17050</t>
  </si>
  <si>
    <t>NVMY34535000005979</t>
  </si>
  <si>
    <t>JALI POK MUDO</t>
  </si>
  <si>
    <t>BlockC-16-3 Sri Putramas 1, Jalan Putramas 1, Off, Jln Kuching, 51200 Kuala Lumpur, Federal Territory of Kuala Lumpur   Kuala Lumpur my 51200</t>
  </si>
  <si>
    <t>NVMY34535000005985</t>
  </si>
  <si>
    <t>Kamarulzaman Ismail</t>
  </si>
  <si>
    <t>No 48, Jln Impian Sejati 1, Tmn Saujana Impian, 43000 Kajang, Sel   Kajang Selangor - my 43000</t>
  </si>
  <si>
    <t>NVMY34535000005972</t>
  </si>
  <si>
    <t>AHMAD MUBSYIR</t>
  </si>
  <si>
    <t>A-11-17 LESTARI APARTMENT JALAN SRI PERMAISURI 3 BANDAR SRI PERMAISURI 56000 CHERAS KL  Kuala Lumpur Kuala Lumpur - my 56000</t>
  </si>
  <si>
    <t>NVMY34535000005980</t>
  </si>
  <si>
    <t>Mohd Zulhaimi Bin Mohamed</t>
  </si>
  <si>
    <t xml:space="preserve"> kedai makan haji min(nasi kerabu pasir pekan)pt 3523,kg pasir pekan wakaf Bharu 16250 tumpat Kelantan.      Kelantan my 16250</t>
  </si>
  <si>
    <t>NVMY34535000005987</t>
  </si>
  <si>
    <t>NNF MAJU JAYA ENT</t>
  </si>
  <si>
    <t>K4 RUMAH KEDAI PKNP KG JERUAS 27660 RAUB PAHANG  Sega Pahang - my 27660</t>
  </si>
  <si>
    <t>NVMY34535000005983</t>
  </si>
  <si>
    <t>ATHIRAH KAMARUDDIN</t>
  </si>
  <si>
    <t>NO 49A LORONG SERI JAYA 5, KG TOK MACHANG 27500 SUNGAI RUAN RAUB PAHANG   Dong Pahang - my 27500</t>
  </si>
  <si>
    <t>K14A-RUB-147</t>
  </si>
  <si>
    <t>NVMY34535000005977</t>
  </si>
  <si>
    <t>WAKLE GANU</t>
  </si>
  <si>
    <t>No 38 jln bungai teratai taman aman 81400 senai johor   Johor my 81400</t>
  </si>
  <si>
    <t>NVMY34535000005963</t>
  </si>
  <si>
    <t>IZATI YAHYA</t>
  </si>
  <si>
    <t>NO 76 TAMAN SERI BERLIAN MUKIM KUAH LANGKAWI KEDAH  Kuala Kedah Kedah - my 07000</t>
  </si>
  <si>
    <t>NVMY34535000005994</t>
  </si>
  <si>
    <t>NUR HANANI / FAHMI YUSOF</t>
  </si>
  <si>
    <t>NO 310 JLN TS 5 TMN SAGA 28700 BENTONG PAHANG    Pahang my 28700</t>
  </si>
  <si>
    <t>K14A-BEN-146</t>
  </si>
  <si>
    <t>NVMY34535000006007</t>
  </si>
  <si>
    <t>USTAZ MAT YAZIK</t>
  </si>
  <si>
    <t>LOT 2406 JALAN MAKMUR ALOR LINTANG 22200 KG RAJA BESUT TERENGGANU  Kampung Raja Terengganu - my 22200</t>
  </si>
  <si>
    <t>NVMY34535000005995</t>
  </si>
  <si>
    <t>NURUL NADILAH BINTI MOHD REJAB</t>
  </si>
  <si>
    <t>NO 522-A MUKIM 8 TANAH LIAT 14000 BUKIT MERTAJAM PULAU PINANG   Pulau Pinang my 14000</t>
  </si>
  <si>
    <t>NVMY34535000005990</t>
  </si>
  <si>
    <t>MOHAMMAD ROSDIE ABDOLAH</t>
  </si>
  <si>
    <t>6634 PENGKALAN MUDA 13200 KEPALA BATAS SEBERANG PERAI UTARA PULAU PINANG  Kepala Batas Pulau Pinang - my 13200</t>
  </si>
  <si>
    <t>NVMY34535000005992</t>
  </si>
  <si>
    <t>NO 193 LOT 1384 LORONG 6 JALAN SENTEBU TAMAN SUSUR JAMBU 96100 SARIKEI SARAWAK   Sarawak my 96100</t>
  </si>
  <si>
    <t>NVMY34535000005986</t>
  </si>
  <si>
    <t>Jeffri Muhammad Bin Ibrahim</t>
  </si>
  <si>
    <t>D-2-07 Taman Cheras Intan 43200 Cheras Selangor   Selangor my 43200</t>
  </si>
  <si>
    <t>NVMY34535000005993</t>
  </si>
  <si>
    <t>MUHAMMAD HISHAMUDDIN</t>
  </si>
  <si>
    <t>PERUMAHAN POLIS FASA 1-5Q-02-04 LRAYA THEAN TEIK- 11500 BDR BARU AYER ITAM PULAU PINANG  Ayer Itam Pulau Pinang - my 11500</t>
  </si>
  <si>
    <t>NVMY34535000006019</t>
  </si>
  <si>
    <t>Shah Relzal Bin Kamarul Bahari</t>
  </si>
  <si>
    <t>Blok D-4-12 Pangsapuri Permai Jalan Landai Permai 57100 sg'besi Kuala Lumpur  Kuala Lumpur Kuala Lumpur - my 57100</t>
  </si>
  <si>
    <t>NVMY34535000006010</t>
  </si>
  <si>
    <t>ROGAYAH AWANG HUSSAIN</t>
  </si>
  <si>
    <t>KG BELUKAR JAMBU, BT 16 3/4 JALAN NAKA 06400 POKOK SENA KEDAH  Pokok Sena Kedah - my 06400</t>
  </si>
  <si>
    <t>NVMY34535000006032</t>
  </si>
  <si>
    <t>Thailookpart</t>
  </si>
  <si>
    <t>H18 kedai gual periok 17200 rantau panjang kelantan    Kelantan my 17200</t>
  </si>
  <si>
    <t>NVMY34535000006016</t>
  </si>
  <si>
    <t>MUHD TAUFIK SUDIN</t>
  </si>
  <si>
    <t>no 476 kampung pak wong 22000 jerteh besut terengganu  Jerteh Terengganu - my 22000</t>
  </si>
  <si>
    <t>NVMY34535000006001</t>
  </si>
  <si>
    <t>SYADA</t>
  </si>
  <si>
    <t>No 61, jln juragan 1, desa paya mengkuang, 81560 gelang patah, johor bahru johor   Johor my 81560</t>
  </si>
  <si>
    <t>NVMY34535000006020</t>
  </si>
  <si>
    <t>NVMY34535000006006</t>
  </si>
  <si>
    <t>WAN HANIM BT MEGAT ABD.HAMID</t>
  </si>
  <si>
    <t>NO 705 LORONG 6/2 KELISA RIA 2 TAMAN PUNCAK SURYA 08000 SUNGAI PETANI KEDAH  Changloon Kedah - my 08000</t>
  </si>
  <si>
    <t>NVMY34535000006025</t>
  </si>
  <si>
    <t>Ahmad izzat b Zakaria</t>
  </si>
  <si>
    <t>PT 14836, JLN TERENGGANU KG SG TONG  21500 SUNGAI TONG  TERENGGANU.  Sungai Tong Terengganu - my 21500</t>
  </si>
  <si>
    <t>NVMY34535000006009</t>
  </si>
  <si>
    <t>NORAIZAH ABDUL SAMAH</t>
  </si>
  <si>
    <t>32-04-07 FLAT SRI MELAKA CHERAS 56000 KUALA LUMPUR  Kuala Lumpur Kuala Lumpur - my 56000</t>
  </si>
  <si>
    <t>NVMY34535000006027</t>
  </si>
  <si>
    <t>MUHAMMAD SAIFUDDIN BIN YONG</t>
  </si>
  <si>
    <t>17/08, Pangsapuri Ladang Gemilang 2, Kampung Ladang Sekolah,20000 Kuala Terengganu, Terengganu  Kuala Perlis Perlis - my 2000</t>
  </si>
  <si>
    <t>NVMY34535000006036</t>
  </si>
  <si>
    <t>NIK AINI BT OMAR</t>
  </si>
  <si>
    <t>PT 19070 KAMPUNGRAWAI JALAN BAROH POK BELUNG BUKIT PAYUNG 21400 KUALA TERENGGANU  Bukit Payong Terengganu - my 21400</t>
  </si>
  <si>
    <t>NVMY34535000006021</t>
  </si>
  <si>
    <t>Zulkifli B Mohamad Noor</t>
  </si>
  <si>
    <t>Lot 1011 kg kok pasir palekbang 16040 tumpat kelantan  Wakaf Bharu Kelantan - my 16040</t>
  </si>
  <si>
    <t>NVMY34535000006037</t>
  </si>
  <si>
    <t>PUAN HAMIDAH MOHD YUNNUS</t>
  </si>
  <si>
    <t>19 JALAN PENDAMAR INDAH 5A TAMAN PENDAMAR INDAH 42000 PORT KLANG SELANGOR  Pelabuhan Klang Selangor - my 42000</t>
  </si>
  <si>
    <t>NVMY34535000006044</t>
  </si>
  <si>
    <t>FOX TAILOR SDN BHD</t>
  </si>
  <si>
    <t>4 JALAN KAMPUNG DALAM 20100 KUALA TERENGGANU TERENGGANU (0169864700)   Terengganu my 20100</t>
  </si>
  <si>
    <t>NVMY34535000006039</t>
  </si>
  <si>
    <t>MOHAMAD RADHI BIN ROSH</t>
  </si>
  <si>
    <t>NO 15 PARIT HJ HASSAN MATANG GERDU 34300 BAGAN SERAI PERAK    Perak my 34300</t>
  </si>
  <si>
    <t>NVMY34535000006040</t>
  </si>
  <si>
    <t>AMIN</t>
  </si>
  <si>
    <t>NO 36, JALAN M21 TAMAN MERDEKA, BATU BERENDAM 75350 MELAKA  Bemban Melaka - my 75350</t>
  </si>
  <si>
    <t>NVMY34535000006028</t>
  </si>
  <si>
    <t>NOORAZIAH ABD MANAF</t>
  </si>
  <si>
    <t>NO 885 JLN MUTIARA KG RAWA BARU 31600 GOPENG PERAK  Gopeng Perak - my 31600</t>
  </si>
  <si>
    <t>NVMY34535000006030</t>
  </si>
  <si>
    <t>BADATINA AKAU</t>
  </si>
  <si>
    <t>NO 52 TAMAN SRI SAUJANA JALAN KESANG 84000 MUAR JOHOR   Johor my 84000</t>
  </si>
  <si>
    <t>S8-MUA-79</t>
  </si>
  <si>
    <t>NVMY34535000006031</t>
  </si>
  <si>
    <t>LINDA MASDAN</t>
  </si>
  <si>
    <t>28, TMN TERAP INDAH JLN TERAP INDAH 3 34100 SELAMA PERAK  Selama Perak - my 34100</t>
  </si>
  <si>
    <t>NVMY34535000006022</t>
  </si>
  <si>
    <t>Syahrul</t>
  </si>
  <si>
    <t>Lot50282-C jalan pulau meranti tambahan kelompok 2 pulau meranti 47120 puchong selangor  Puchong Selangor - my 47120</t>
  </si>
  <si>
    <t>NVMY34535000006026</t>
  </si>
  <si>
    <t>NVMY34535000006013</t>
  </si>
  <si>
    <t>NVMY34535000006029</t>
  </si>
  <si>
    <t>NIK AMNI</t>
  </si>
  <si>
    <t>ENAGIC MALAYSIA SDN BHD UNIT 27-6 THE BOULEVARD OFFICE MIDVALLEY CITY LINGKARAN SYED PUTRA 59200 WILAYAH PERSEKUTUAN KUALA LUMPUR   Kuala Lumpur Kuala Lumpur - my 59200</t>
  </si>
  <si>
    <t>K14-SPH-144</t>
  </si>
  <si>
    <t>NVMY34535000006035</t>
  </si>
  <si>
    <t>NVMY34535000006011</t>
  </si>
  <si>
    <t>SOHAIMI SAMSUDDIN</t>
  </si>
  <si>
    <t>NO 10 JLN RUMBIA 40 TAMAN DAYA 81100 JOHOR BAHRU JOHOR  Skudai Johor - my 81100</t>
  </si>
  <si>
    <t>NVMY34535000006033</t>
  </si>
  <si>
    <t>NORAANIFAH BT KASIM</t>
  </si>
  <si>
    <t>NO 819 A JLN RIA KANCHONG DARAT 42700 BANTING SELANGOR  Telok Panglima Garang Selangor - my 42700</t>
  </si>
  <si>
    <t>NVMY34535000006005</t>
  </si>
  <si>
    <t>LEE MEK</t>
  </si>
  <si>
    <t>LOT 3370 KG SUNGAI LIMBAT JALAN PASIR PUTIH 16150 KOTA BHARU KELANTAN  Pasir Puteh Kelantan - my 16150</t>
  </si>
  <si>
    <t>NVMY34535000006041</t>
  </si>
  <si>
    <t>ZAHIRA FARHANA</t>
  </si>
  <si>
    <t>LOT 170, TJ MART, LOT 5035, BT 17 1/2, JALAN AIR HITAM, SALENG 81400 SENAI JOHOR  Skudai Johor - my 81400</t>
  </si>
  <si>
    <t>NVMY34535000006004</t>
  </si>
  <si>
    <t>MISHA BT HAJI GOBIL</t>
  </si>
  <si>
    <t>KAMPUNG EMPILA 94300 KOTA SAMARAHAN SARAWAK  Kota Samarahan Sarawak - my 94300</t>
  </si>
  <si>
    <t>NVMY34535000006050</t>
  </si>
  <si>
    <t>ZULIANA BT SEMAN</t>
  </si>
  <si>
    <t>JEDOK AUTO KG JEDOK 17700 TANAH MERAH KELANTAN  Ayer Lanas Kelantan - my 17700</t>
  </si>
  <si>
    <t>NVMY34535000006014</t>
  </si>
  <si>
    <t>NVMY34535000006046</t>
  </si>
  <si>
    <t>NUR FARAH IBRAHIM</t>
  </si>
  <si>
    <t>LOT 2594 KG BAUNG HILIR 16100 PENGKALAN CHEPA KOTA BHARU KELANTAN   Kelantan my 16100</t>
  </si>
  <si>
    <t>NVMY34535000006024</t>
  </si>
  <si>
    <t>Sharif Bin Hadi</t>
  </si>
  <si>
    <t>No.3 Jalan Berlian 2 Taman Berlian 43800 Dengkil Selangor  Dengkil Selangor - my 43800</t>
  </si>
  <si>
    <t>NVMY34535000006018</t>
  </si>
  <si>
    <t>Magrul Suhaini bin Muhamad</t>
  </si>
  <si>
    <t>No 26, Kg Perak Tengah, 34500 Batu Kurau, Perak.  Batu Kurau Perak - my 34500</t>
  </si>
  <si>
    <t>NVMY34535000006008</t>
  </si>
  <si>
    <t>MUHAMAD ADAM ROUSDI</t>
  </si>
  <si>
    <t>LORONG 1594 KG TENGAH GOMBAK KL  Hulu Langat Kuala Lumpur - my 53100</t>
  </si>
  <si>
    <t>NVMY34535000006056</t>
  </si>
  <si>
    <t>NOOR FARHANA SULAIMAN</t>
  </si>
  <si>
    <t>NO 33 JALAN MAT KILAU 35/85 ALAM IMPIAN SEKSYEN 35, SHAH ALAM 40470 SHAH ALAM SELANGOR  Shah Alam Selangor - my 40470</t>
  </si>
  <si>
    <t>NVMY34535000006017</t>
  </si>
  <si>
    <t>Zamri Bin Arifin (Ektech)</t>
  </si>
  <si>
    <t>12A jalan teknologi 3/3A Selangor science park 1 Kota Damansara 47810 petaling jaya SELANGOR  Petaling Jaya Selangor - my 47810</t>
  </si>
  <si>
    <t>NVMY34535000006038</t>
  </si>
  <si>
    <t>NURUL FAIZATULIN BT CHE NOI</t>
  </si>
  <si>
    <t>KAMPUNG SIPUT LORONG JENALIK MK SIONG 09100 BALING KEDAH   Kedah my 09100</t>
  </si>
  <si>
    <t>NVMY34535000006015</t>
  </si>
  <si>
    <t>NVMY34535000006043</t>
  </si>
  <si>
    <t>SELIANAH MOHAMAD</t>
  </si>
  <si>
    <t>KOPERASI PEMBANGUNAN DESA RUMAH NO 2, 90107 BELURAN SABAH  Pamol Sabah - my 90107</t>
  </si>
  <si>
    <t>NVMY34535000006054</t>
  </si>
  <si>
    <t>SYAFIQAH WACHAPAROLMEX</t>
  </si>
  <si>
    <t>12-12 SIMFONI 2 JALAN ANGGERIK VILLA 2/3 TAMAN ANGGERIK PERDANA 43500 SEMENYIH SELANGOR  Shah Alam Selangor - my 43500</t>
  </si>
  <si>
    <t>K13-SYH-136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</si>
</sst>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4" fillId="4" borderId="0" xfId="0" applyNumberFormat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E1A3-651B-443B-97BF-ADD4FD5A7CF8}">
  <dimension ref="A1:AG507"/>
  <sheetViews>
    <sheetView tabSelected="1" workbookViewId="0">
      <selection sqref="A1:AG505"/>
    </sheetView>
  </sheetViews>
  <sheetFormatPr defaultRowHeight="14.5" x14ac:dyDescent="0.35"/>
  <cols>
    <col min="1" max="33" width="9.08984375" customWidth="1"/>
  </cols>
  <sheetData>
    <row r="1" spans="1:33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5" t="s">
        <v>32</v>
      </c>
    </row>
    <row r="2" spans="1:33" ht="15" customHeight="1" x14ac:dyDescent="0.35">
      <c r="A2">
        <v>690929</v>
      </c>
      <c r="B2" t="s">
        <v>33</v>
      </c>
      <c r="C2" t="s">
        <v>34</v>
      </c>
      <c r="D2" s="6" t="s">
        <v>33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>
        <v>2</v>
      </c>
      <c r="K2" t="s">
        <v>40</v>
      </c>
      <c r="L2" t="s">
        <v>41</v>
      </c>
      <c r="M2" t="s">
        <v>42</v>
      </c>
      <c r="N2" s="7">
        <v>1</v>
      </c>
      <c r="O2" s="8">
        <v>45119.732708333337</v>
      </c>
      <c r="P2" s="9">
        <v>45122</v>
      </c>
      <c r="Q2" t="s">
        <v>36</v>
      </c>
      <c r="R2" t="s">
        <v>43</v>
      </c>
      <c r="S2" t="s">
        <v>44</v>
      </c>
      <c r="T2" t="s">
        <v>45</v>
      </c>
      <c r="U2" t="s">
        <v>46</v>
      </c>
      <c r="V2">
        <v>75250</v>
      </c>
      <c r="W2" t="s">
        <v>43</v>
      </c>
      <c r="X2" t="s">
        <v>47</v>
      </c>
      <c r="Y2" t="s">
        <v>48</v>
      </c>
      <c r="Z2" s="10">
        <f>IF(N2&lt;=1,7,7+0.8*ROUNDUP(N2-1,0))</f>
        <v>7</v>
      </c>
      <c r="AA2" s="11">
        <v>0</v>
      </c>
      <c r="AB2" s="11">
        <v>0</v>
      </c>
      <c r="AC2" s="11">
        <v>0</v>
      </c>
      <c r="AD2" s="11">
        <v>0</v>
      </c>
      <c r="AE2" s="11">
        <f>(Z2+AB2+AD2)*6%</f>
        <v>0.42</v>
      </c>
      <c r="AF2" s="11">
        <f>Z2+AB2+AD2+AE2</f>
        <v>7.42</v>
      </c>
      <c r="AG2" t="s">
        <v>43</v>
      </c>
    </row>
    <row r="3" spans="1:33" ht="15" customHeight="1" x14ac:dyDescent="0.35">
      <c r="A3">
        <v>690929</v>
      </c>
      <c r="B3" t="s">
        <v>33</v>
      </c>
      <c r="C3" t="s">
        <v>34</v>
      </c>
      <c r="D3" s="6" t="s">
        <v>33</v>
      </c>
      <c r="E3" t="s">
        <v>49</v>
      </c>
      <c r="F3" t="s">
        <v>36</v>
      </c>
      <c r="G3" t="s">
        <v>37</v>
      </c>
      <c r="H3" t="s">
        <v>50</v>
      </c>
      <c r="I3" t="s">
        <v>39</v>
      </c>
      <c r="J3">
        <v>2</v>
      </c>
      <c r="K3" t="s">
        <v>40</v>
      </c>
      <c r="L3" t="s">
        <v>41</v>
      </c>
      <c r="M3" t="s">
        <v>42</v>
      </c>
      <c r="N3" s="7">
        <v>4</v>
      </c>
      <c r="O3" s="8">
        <v>45119.732708333337</v>
      </c>
      <c r="P3" s="9">
        <v>45122</v>
      </c>
      <c r="Q3" t="s">
        <v>36</v>
      </c>
      <c r="R3" t="s">
        <v>43</v>
      </c>
      <c r="S3" t="s">
        <v>44</v>
      </c>
      <c r="T3" t="s">
        <v>51</v>
      </c>
      <c r="U3" t="s">
        <v>52</v>
      </c>
      <c r="V3">
        <v>31350</v>
      </c>
      <c r="W3" t="s">
        <v>43</v>
      </c>
      <c r="X3" t="s">
        <v>53</v>
      </c>
      <c r="Y3" t="s">
        <v>48</v>
      </c>
      <c r="Z3" s="10">
        <f>IF(N3&lt;=1,7,7+0.8*ROUNDUP(N3-1,0))</f>
        <v>9.4</v>
      </c>
      <c r="AA3" s="11">
        <v>0</v>
      </c>
      <c r="AB3" s="11">
        <v>0</v>
      </c>
      <c r="AC3" s="11">
        <v>0</v>
      </c>
      <c r="AD3" s="11">
        <v>0</v>
      </c>
      <c r="AE3" s="11">
        <f>(Z3+AB3+AD3)*6%</f>
        <v>0.56399999999999995</v>
      </c>
      <c r="AF3" s="11">
        <f>Z3+AB3+AD3+AE3</f>
        <v>9.9640000000000004</v>
      </c>
      <c r="AG3" t="s">
        <v>43</v>
      </c>
    </row>
    <row r="4" spans="1:33" ht="15" customHeight="1" x14ac:dyDescent="0.35">
      <c r="A4">
        <v>690929</v>
      </c>
      <c r="B4" t="s">
        <v>33</v>
      </c>
      <c r="C4" t="s">
        <v>34</v>
      </c>
      <c r="D4" s="6" t="s">
        <v>33</v>
      </c>
      <c r="E4" t="s">
        <v>54</v>
      </c>
      <c r="F4" t="s">
        <v>36</v>
      </c>
      <c r="G4" t="s">
        <v>37</v>
      </c>
      <c r="H4" t="s">
        <v>55</v>
      </c>
      <c r="I4" t="s">
        <v>39</v>
      </c>
      <c r="J4">
        <v>2</v>
      </c>
      <c r="K4" t="s">
        <v>40</v>
      </c>
      <c r="L4" t="s">
        <v>41</v>
      </c>
      <c r="M4" t="s">
        <v>42</v>
      </c>
      <c r="N4" s="7">
        <v>1</v>
      </c>
      <c r="O4" s="8">
        <v>45120.728321759256</v>
      </c>
      <c r="P4" s="9">
        <v>45122</v>
      </c>
      <c r="Q4" t="s">
        <v>36</v>
      </c>
      <c r="R4" t="s">
        <v>43</v>
      </c>
      <c r="S4" t="s">
        <v>56</v>
      </c>
      <c r="T4" t="s">
        <v>57</v>
      </c>
      <c r="U4" t="s">
        <v>58</v>
      </c>
      <c r="V4">
        <v>56100</v>
      </c>
      <c r="W4" t="s">
        <v>43</v>
      </c>
      <c r="X4" t="s">
        <v>47</v>
      </c>
      <c r="Y4" t="s">
        <v>48</v>
      </c>
      <c r="Z4" s="10">
        <f>IF(N4&lt;=1,7,7+0.8*ROUNDUP(N4-1,0))</f>
        <v>7</v>
      </c>
      <c r="AA4" s="11">
        <v>0</v>
      </c>
      <c r="AB4" s="11">
        <v>0</v>
      </c>
      <c r="AC4" s="11">
        <v>0</v>
      </c>
      <c r="AD4" s="11">
        <v>0</v>
      </c>
      <c r="AE4" s="11">
        <f>(Z4+AB4+AD4)*6%</f>
        <v>0.42</v>
      </c>
      <c r="AF4" s="11">
        <f>Z4+AB4+AD4+AE4</f>
        <v>7.42</v>
      </c>
      <c r="AG4" t="s">
        <v>43</v>
      </c>
    </row>
    <row r="5" spans="1:33" ht="15" customHeight="1" x14ac:dyDescent="0.35">
      <c r="A5">
        <v>690929</v>
      </c>
      <c r="B5" t="s">
        <v>33</v>
      </c>
      <c r="C5" t="s">
        <v>34</v>
      </c>
      <c r="D5" s="6" t="s">
        <v>33</v>
      </c>
      <c r="E5" t="s">
        <v>59</v>
      </c>
      <c r="F5" t="s">
        <v>36</v>
      </c>
      <c r="G5" t="s">
        <v>37</v>
      </c>
      <c r="H5" t="s">
        <v>60</v>
      </c>
      <c r="I5" t="s">
        <v>39</v>
      </c>
      <c r="J5">
        <v>2</v>
      </c>
      <c r="K5" t="s">
        <v>40</v>
      </c>
      <c r="L5" t="s">
        <v>41</v>
      </c>
      <c r="M5" t="s">
        <v>42</v>
      </c>
      <c r="N5" s="7">
        <v>1</v>
      </c>
      <c r="O5" s="8">
        <v>45118.74659722222</v>
      </c>
      <c r="P5" s="9">
        <v>45122</v>
      </c>
      <c r="Q5" t="s">
        <v>36</v>
      </c>
      <c r="R5" t="s">
        <v>43</v>
      </c>
      <c r="S5" t="s">
        <v>44</v>
      </c>
      <c r="T5" t="s">
        <v>61</v>
      </c>
      <c r="U5" t="s">
        <v>62</v>
      </c>
      <c r="V5">
        <v>80350</v>
      </c>
      <c r="W5" t="s">
        <v>43</v>
      </c>
      <c r="X5" t="s">
        <v>63</v>
      </c>
      <c r="Y5" t="s">
        <v>48</v>
      </c>
      <c r="Z5" s="10">
        <f>IF(N5&lt;=1,7,7+0.8*ROUNDUP(N5-1,0))</f>
        <v>7</v>
      </c>
      <c r="AA5" s="11">
        <v>0</v>
      </c>
      <c r="AB5" s="11">
        <v>0</v>
      </c>
      <c r="AC5" s="11">
        <v>0</v>
      </c>
      <c r="AD5" s="11">
        <v>0</v>
      </c>
      <c r="AE5" s="11">
        <f>(Z5+AB5+AD5)*6%</f>
        <v>0.42</v>
      </c>
      <c r="AF5" s="11">
        <f>Z5+AB5+AD5+AE5</f>
        <v>7.42</v>
      </c>
      <c r="AG5" t="s">
        <v>43</v>
      </c>
    </row>
    <row r="6" spans="1:33" ht="15" customHeight="1" x14ac:dyDescent="0.35">
      <c r="A6">
        <v>690929</v>
      </c>
      <c r="B6" t="s">
        <v>33</v>
      </c>
      <c r="C6" t="s">
        <v>34</v>
      </c>
      <c r="D6" s="6" t="s">
        <v>33</v>
      </c>
      <c r="E6" t="s">
        <v>64</v>
      </c>
      <c r="F6" t="s">
        <v>36</v>
      </c>
      <c r="G6" t="s">
        <v>37</v>
      </c>
      <c r="H6" t="s">
        <v>65</v>
      </c>
      <c r="I6" t="s">
        <v>39</v>
      </c>
      <c r="J6">
        <v>2</v>
      </c>
      <c r="K6" t="s">
        <v>40</v>
      </c>
      <c r="L6" t="s">
        <v>41</v>
      </c>
      <c r="M6" t="s">
        <v>42</v>
      </c>
      <c r="N6" s="7">
        <v>2</v>
      </c>
      <c r="O6" s="8">
        <v>45121.479803240742</v>
      </c>
      <c r="P6" s="9">
        <v>45122</v>
      </c>
      <c r="Q6" t="s">
        <v>36</v>
      </c>
      <c r="R6" t="s">
        <v>43</v>
      </c>
      <c r="S6" t="s">
        <v>56</v>
      </c>
      <c r="T6" t="s">
        <v>66</v>
      </c>
      <c r="U6" t="s">
        <v>67</v>
      </c>
      <c r="V6">
        <v>22000</v>
      </c>
      <c r="W6" t="s">
        <v>43</v>
      </c>
      <c r="X6" t="s">
        <v>56</v>
      </c>
      <c r="Y6" t="s">
        <v>48</v>
      </c>
      <c r="Z6" s="10">
        <f>IF(N6&lt;=1,7,7+0.8*ROUNDUP(N6-1,0))</f>
        <v>7.8</v>
      </c>
      <c r="AA6" s="11">
        <v>0</v>
      </c>
      <c r="AB6" s="11">
        <v>0</v>
      </c>
      <c r="AC6" s="11">
        <v>0</v>
      </c>
      <c r="AD6" s="11">
        <v>0</v>
      </c>
      <c r="AE6" s="11">
        <f>(Z6+AB6+AD6)*6%</f>
        <v>0.46799999999999997</v>
      </c>
      <c r="AF6" s="11">
        <f>Z6+AB6+AD6+AE6</f>
        <v>8.2680000000000007</v>
      </c>
      <c r="AG6" t="s">
        <v>43</v>
      </c>
    </row>
    <row r="7" spans="1:33" ht="15" customHeight="1" x14ac:dyDescent="0.35">
      <c r="A7">
        <v>690929</v>
      </c>
      <c r="B7" t="s">
        <v>33</v>
      </c>
      <c r="C7" t="s">
        <v>34</v>
      </c>
      <c r="D7" s="6" t="s">
        <v>33</v>
      </c>
      <c r="E7" t="s">
        <v>68</v>
      </c>
      <c r="F7" t="s">
        <v>36</v>
      </c>
      <c r="G7" t="s">
        <v>37</v>
      </c>
      <c r="H7" t="s">
        <v>69</v>
      </c>
      <c r="I7" t="s">
        <v>39</v>
      </c>
      <c r="J7">
        <v>2</v>
      </c>
      <c r="K7" t="s">
        <v>40</v>
      </c>
      <c r="L7" t="s">
        <v>41</v>
      </c>
      <c r="M7" t="s">
        <v>42</v>
      </c>
      <c r="N7" s="7">
        <v>3</v>
      </c>
      <c r="O7" s="8">
        <v>45120.715613425928</v>
      </c>
      <c r="P7" s="9">
        <v>45122</v>
      </c>
      <c r="Q7" t="s">
        <v>36</v>
      </c>
      <c r="R7" t="s">
        <v>43</v>
      </c>
      <c r="S7" t="s">
        <v>44</v>
      </c>
      <c r="T7" t="s">
        <v>70</v>
      </c>
      <c r="U7" t="s">
        <v>71</v>
      </c>
      <c r="V7">
        <v>14000</v>
      </c>
      <c r="W7" t="s">
        <v>43</v>
      </c>
      <c r="X7" t="s">
        <v>72</v>
      </c>
      <c r="Y7" t="s">
        <v>48</v>
      </c>
      <c r="Z7" s="10">
        <f>IF(N7&lt;=1,7,7+0.8*ROUNDUP(N7-1,0))</f>
        <v>8.6</v>
      </c>
      <c r="AA7" s="11">
        <v>0</v>
      </c>
      <c r="AB7" s="11">
        <v>0</v>
      </c>
      <c r="AC7" s="11">
        <v>0</v>
      </c>
      <c r="AD7" s="11">
        <v>0</v>
      </c>
      <c r="AE7" s="11">
        <f>(Z7+AB7+AD7)*6%</f>
        <v>0.51600000000000001</v>
      </c>
      <c r="AF7" s="11">
        <f>Z7+AB7+AD7+AE7</f>
        <v>9.1159999999999997</v>
      </c>
      <c r="AG7" t="s">
        <v>43</v>
      </c>
    </row>
    <row r="8" spans="1:33" ht="15" customHeight="1" x14ac:dyDescent="0.35">
      <c r="A8">
        <v>690929</v>
      </c>
      <c r="B8" t="s">
        <v>33</v>
      </c>
      <c r="C8" t="s">
        <v>34</v>
      </c>
      <c r="D8" s="6" t="s">
        <v>33</v>
      </c>
      <c r="E8" t="s">
        <v>73</v>
      </c>
      <c r="F8" t="s">
        <v>36</v>
      </c>
      <c r="G8" t="s">
        <v>37</v>
      </c>
      <c r="H8" t="s">
        <v>74</v>
      </c>
      <c r="I8" t="s">
        <v>39</v>
      </c>
      <c r="J8">
        <v>2</v>
      </c>
      <c r="K8" t="s">
        <v>40</v>
      </c>
      <c r="L8" t="s">
        <v>41</v>
      </c>
      <c r="M8" t="s">
        <v>42</v>
      </c>
      <c r="N8" s="7">
        <v>24</v>
      </c>
      <c r="O8" s="8">
        <v>45121.384236111109</v>
      </c>
      <c r="P8" s="9">
        <v>45122</v>
      </c>
      <c r="Q8" t="s">
        <v>36</v>
      </c>
      <c r="R8" t="s">
        <v>43</v>
      </c>
      <c r="S8" t="s">
        <v>56</v>
      </c>
      <c r="T8" t="s">
        <v>75</v>
      </c>
      <c r="U8" t="s">
        <v>76</v>
      </c>
      <c r="V8">
        <v>50400</v>
      </c>
      <c r="W8" t="s">
        <v>43</v>
      </c>
      <c r="X8" t="s">
        <v>77</v>
      </c>
      <c r="Y8" t="s">
        <v>48</v>
      </c>
      <c r="Z8" s="10">
        <f>IF(N8&lt;=1,7,7+0.8*ROUNDUP(N8-1,0))</f>
        <v>25.400000000000002</v>
      </c>
      <c r="AA8" s="11">
        <v>0</v>
      </c>
      <c r="AB8" s="11">
        <v>0</v>
      </c>
      <c r="AC8" s="11">
        <v>0</v>
      </c>
      <c r="AD8" s="11">
        <v>0</v>
      </c>
      <c r="AE8" s="11">
        <f>(Z8+AB8+AD8)*6%</f>
        <v>1.524</v>
      </c>
      <c r="AF8" s="11">
        <f>Z8+AB8+AD8+AE8</f>
        <v>26.924000000000003</v>
      </c>
      <c r="AG8" t="s">
        <v>43</v>
      </c>
    </row>
    <row r="9" spans="1:33" ht="15" customHeight="1" x14ac:dyDescent="0.35">
      <c r="A9">
        <v>690929</v>
      </c>
      <c r="B9" t="s">
        <v>33</v>
      </c>
      <c r="C9" t="s">
        <v>34</v>
      </c>
      <c r="D9" s="6" t="s">
        <v>33</v>
      </c>
      <c r="E9" t="s">
        <v>78</v>
      </c>
      <c r="F9" t="s">
        <v>36</v>
      </c>
      <c r="G9" t="s">
        <v>37</v>
      </c>
      <c r="H9" t="s">
        <v>79</v>
      </c>
      <c r="I9" t="s">
        <v>39</v>
      </c>
      <c r="J9">
        <v>2</v>
      </c>
      <c r="K9" t="s">
        <v>40</v>
      </c>
      <c r="L9" t="s">
        <v>41</v>
      </c>
      <c r="M9" t="s">
        <v>42</v>
      </c>
      <c r="N9" s="7">
        <v>1</v>
      </c>
      <c r="O9" s="8">
        <v>45120.590497685182</v>
      </c>
      <c r="P9" s="9">
        <v>45122</v>
      </c>
      <c r="Q9" t="s">
        <v>36</v>
      </c>
      <c r="R9" t="s">
        <v>43</v>
      </c>
      <c r="S9" t="s">
        <v>44</v>
      </c>
      <c r="T9" t="s">
        <v>80</v>
      </c>
      <c r="U9" t="s">
        <v>81</v>
      </c>
      <c r="V9">
        <v>9400</v>
      </c>
      <c r="W9" t="s">
        <v>43</v>
      </c>
      <c r="X9" t="s">
        <v>82</v>
      </c>
      <c r="Y9" t="s">
        <v>48</v>
      </c>
      <c r="Z9" s="10">
        <f>IF(N9&lt;=1,7,7+0.8*ROUNDUP(N9-1,0))</f>
        <v>7</v>
      </c>
      <c r="AA9" s="11">
        <v>0</v>
      </c>
      <c r="AB9" s="11">
        <v>0</v>
      </c>
      <c r="AC9" s="11">
        <v>0</v>
      </c>
      <c r="AD9" s="11">
        <v>0</v>
      </c>
      <c r="AE9" s="11">
        <f>(Z9+AB9+AD9)*6%</f>
        <v>0.42</v>
      </c>
      <c r="AF9" s="11">
        <f>Z9+AB9+AD9+AE9</f>
        <v>7.42</v>
      </c>
      <c r="AG9" t="s">
        <v>43</v>
      </c>
    </row>
    <row r="10" spans="1:33" ht="15" customHeight="1" x14ac:dyDescent="0.35">
      <c r="A10">
        <v>690929</v>
      </c>
      <c r="B10" t="s">
        <v>33</v>
      </c>
      <c r="C10" t="s">
        <v>34</v>
      </c>
      <c r="D10" s="6" t="s">
        <v>33</v>
      </c>
      <c r="E10" t="s">
        <v>83</v>
      </c>
      <c r="F10" t="s">
        <v>36</v>
      </c>
      <c r="G10" t="s">
        <v>37</v>
      </c>
      <c r="H10" t="s">
        <v>84</v>
      </c>
      <c r="I10" t="s">
        <v>39</v>
      </c>
      <c r="J10">
        <v>2</v>
      </c>
      <c r="K10" t="s">
        <v>40</v>
      </c>
      <c r="L10" t="s">
        <v>41</v>
      </c>
      <c r="M10" t="s">
        <v>42</v>
      </c>
      <c r="N10" s="7">
        <v>1</v>
      </c>
      <c r="O10" s="8">
        <v>45120.503344907411</v>
      </c>
      <c r="P10" s="9">
        <v>45122</v>
      </c>
      <c r="Q10" t="s">
        <v>36</v>
      </c>
      <c r="R10" t="s">
        <v>43</v>
      </c>
      <c r="S10" t="s">
        <v>44</v>
      </c>
      <c r="T10" t="s">
        <v>80</v>
      </c>
      <c r="U10" t="s">
        <v>85</v>
      </c>
      <c r="V10">
        <v>6010</v>
      </c>
      <c r="W10" t="s">
        <v>43</v>
      </c>
      <c r="X10" t="s">
        <v>86</v>
      </c>
      <c r="Y10" t="s">
        <v>48</v>
      </c>
      <c r="Z10" s="10">
        <f>IF(N10&lt;=1,7,7+0.8*ROUNDUP(N10-1,0))</f>
        <v>7</v>
      </c>
      <c r="AA10" s="11">
        <v>0</v>
      </c>
      <c r="AB10" s="11">
        <v>0</v>
      </c>
      <c r="AC10" s="11">
        <v>0</v>
      </c>
      <c r="AD10" s="11">
        <v>0</v>
      </c>
      <c r="AE10" s="11">
        <f>(Z10+AB10+AD10)*6%</f>
        <v>0.42</v>
      </c>
      <c r="AF10" s="11">
        <f>Z10+AB10+AD10+AE10</f>
        <v>7.42</v>
      </c>
      <c r="AG10" t="s">
        <v>43</v>
      </c>
    </row>
    <row r="11" spans="1:33" ht="15" customHeight="1" x14ac:dyDescent="0.35">
      <c r="A11">
        <v>690929</v>
      </c>
      <c r="B11" t="s">
        <v>33</v>
      </c>
      <c r="C11" t="s">
        <v>34</v>
      </c>
      <c r="D11" s="6" t="s">
        <v>33</v>
      </c>
      <c r="E11" t="s">
        <v>87</v>
      </c>
      <c r="F11" t="s">
        <v>36</v>
      </c>
      <c r="G11" t="s">
        <v>37</v>
      </c>
      <c r="H11" t="s">
        <v>88</v>
      </c>
      <c r="I11" t="s">
        <v>39</v>
      </c>
      <c r="J11">
        <v>2</v>
      </c>
      <c r="K11" t="s">
        <v>40</v>
      </c>
      <c r="L11" t="s">
        <v>41</v>
      </c>
      <c r="M11" t="s">
        <v>42</v>
      </c>
      <c r="N11" s="7">
        <v>1</v>
      </c>
      <c r="O11" s="8">
        <v>45121.479803240742</v>
      </c>
      <c r="P11" s="9">
        <v>45122</v>
      </c>
      <c r="Q11" t="s">
        <v>36</v>
      </c>
      <c r="R11" t="s">
        <v>43</v>
      </c>
      <c r="S11" t="s">
        <v>56</v>
      </c>
      <c r="T11" t="s">
        <v>89</v>
      </c>
      <c r="U11" t="s">
        <v>90</v>
      </c>
      <c r="V11">
        <v>25200</v>
      </c>
      <c r="W11" t="s">
        <v>43</v>
      </c>
      <c r="X11" t="s">
        <v>56</v>
      </c>
      <c r="Y11" t="s">
        <v>48</v>
      </c>
      <c r="Z11" s="10">
        <f>IF(N11&lt;=1,7,7+0.8*ROUNDUP(N11-1,0))</f>
        <v>7</v>
      </c>
      <c r="AA11" s="11">
        <v>0</v>
      </c>
      <c r="AB11" s="11">
        <v>0</v>
      </c>
      <c r="AC11" s="11">
        <v>0</v>
      </c>
      <c r="AD11" s="11">
        <v>0</v>
      </c>
      <c r="AE11" s="11">
        <f>(Z11+AB11+AD11)*6%</f>
        <v>0.42</v>
      </c>
      <c r="AF11" s="11">
        <f>Z11+AB11+AD11+AE11</f>
        <v>7.42</v>
      </c>
      <c r="AG11" t="s">
        <v>43</v>
      </c>
    </row>
    <row r="12" spans="1:33" ht="15" customHeight="1" x14ac:dyDescent="0.35">
      <c r="A12">
        <v>690929</v>
      </c>
      <c r="B12" t="s">
        <v>33</v>
      </c>
      <c r="C12" t="s">
        <v>34</v>
      </c>
      <c r="D12" s="6" t="s">
        <v>33</v>
      </c>
      <c r="E12" t="s">
        <v>91</v>
      </c>
      <c r="F12" t="s">
        <v>36</v>
      </c>
      <c r="G12" t="s">
        <v>37</v>
      </c>
      <c r="H12" t="s">
        <v>92</v>
      </c>
      <c r="I12" t="s">
        <v>39</v>
      </c>
      <c r="J12">
        <v>2</v>
      </c>
      <c r="K12" t="s">
        <v>40</v>
      </c>
      <c r="L12" t="s">
        <v>41</v>
      </c>
      <c r="M12" t="s">
        <v>42</v>
      </c>
      <c r="N12" s="7">
        <v>1</v>
      </c>
      <c r="O12" s="8">
        <v>45121.479803240742</v>
      </c>
      <c r="P12" s="9">
        <v>45122</v>
      </c>
      <c r="Q12" t="s">
        <v>36</v>
      </c>
      <c r="R12" t="s">
        <v>43</v>
      </c>
      <c r="S12" t="s">
        <v>56</v>
      </c>
      <c r="T12" t="s">
        <v>75</v>
      </c>
      <c r="U12" t="s">
        <v>93</v>
      </c>
      <c r="V12">
        <v>51000</v>
      </c>
      <c r="W12" t="s">
        <v>43</v>
      </c>
      <c r="X12" t="s">
        <v>94</v>
      </c>
      <c r="Y12" t="s">
        <v>48</v>
      </c>
      <c r="Z12" s="10">
        <f>IF(N12&lt;=1,7,7+0.8*ROUNDUP(N12-1,0))</f>
        <v>7</v>
      </c>
      <c r="AA12" s="11">
        <v>0</v>
      </c>
      <c r="AB12" s="11">
        <v>0</v>
      </c>
      <c r="AC12" s="11">
        <v>0</v>
      </c>
      <c r="AD12" s="11">
        <v>0</v>
      </c>
      <c r="AE12" s="11">
        <f>(Z12+AB12+AD12)*6%</f>
        <v>0.42</v>
      </c>
      <c r="AF12" s="11">
        <f>Z12+AB12+AD12+AE12</f>
        <v>7.42</v>
      </c>
      <c r="AG12" t="s">
        <v>43</v>
      </c>
    </row>
    <row r="13" spans="1:33" ht="15" customHeight="1" x14ac:dyDescent="0.35">
      <c r="A13">
        <v>690929</v>
      </c>
      <c r="B13" t="s">
        <v>33</v>
      </c>
      <c r="C13" t="s">
        <v>34</v>
      </c>
      <c r="D13" s="6" t="s">
        <v>33</v>
      </c>
      <c r="E13" t="s">
        <v>95</v>
      </c>
      <c r="F13" t="s">
        <v>36</v>
      </c>
      <c r="G13" t="s">
        <v>37</v>
      </c>
      <c r="H13" t="s">
        <v>96</v>
      </c>
      <c r="I13" t="s">
        <v>39</v>
      </c>
      <c r="J13">
        <v>2</v>
      </c>
      <c r="K13" t="s">
        <v>40</v>
      </c>
      <c r="L13" t="s">
        <v>41</v>
      </c>
      <c r="M13" t="s">
        <v>42</v>
      </c>
      <c r="N13" s="7">
        <v>4</v>
      </c>
      <c r="O13" s="8">
        <v>45120.726875</v>
      </c>
      <c r="P13" s="9">
        <v>45122</v>
      </c>
      <c r="Q13" t="s">
        <v>36</v>
      </c>
      <c r="R13" t="s">
        <v>43</v>
      </c>
      <c r="S13" t="s">
        <v>56</v>
      </c>
      <c r="T13" t="s">
        <v>57</v>
      </c>
      <c r="U13" t="s">
        <v>97</v>
      </c>
      <c r="V13">
        <v>42920</v>
      </c>
      <c r="W13" t="s">
        <v>43</v>
      </c>
      <c r="X13" t="s">
        <v>98</v>
      </c>
      <c r="Y13" t="s">
        <v>48</v>
      </c>
      <c r="Z13" s="10">
        <f>IF(N13&lt;=1,7,7+0.8*ROUNDUP(N13-1,0))</f>
        <v>9.4</v>
      </c>
      <c r="AA13" s="11">
        <v>0</v>
      </c>
      <c r="AB13" s="11">
        <v>0</v>
      </c>
      <c r="AC13" s="11">
        <v>0</v>
      </c>
      <c r="AD13" s="11">
        <v>0</v>
      </c>
      <c r="AE13" s="11">
        <f>(Z13+AB13+AD13)*6%</f>
        <v>0.56399999999999995</v>
      </c>
      <c r="AF13" s="11">
        <f>Z13+AB13+AD13+AE13</f>
        <v>9.9640000000000004</v>
      </c>
      <c r="AG13" t="s">
        <v>43</v>
      </c>
    </row>
    <row r="14" spans="1:33" ht="15" customHeight="1" x14ac:dyDescent="0.35">
      <c r="A14">
        <v>690929</v>
      </c>
      <c r="B14" t="s">
        <v>33</v>
      </c>
      <c r="C14" t="s">
        <v>34</v>
      </c>
      <c r="D14" s="6" t="s">
        <v>33</v>
      </c>
      <c r="E14" t="s">
        <v>99</v>
      </c>
      <c r="F14" t="s">
        <v>36</v>
      </c>
      <c r="G14" t="s">
        <v>37</v>
      </c>
      <c r="H14" t="s">
        <v>100</v>
      </c>
      <c r="I14" t="s">
        <v>39</v>
      </c>
      <c r="J14">
        <v>2</v>
      </c>
      <c r="K14" t="s">
        <v>40</v>
      </c>
      <c r="L14" t="s">
        <v>41</v>
      </c>
      <c r="M14" t="s">
        <v>42</v>
      </c>
      <c r="N14" s="7">
        <v>1</v>
      </c>
      <c r="O14" s="8">
        <v>45120.696493055555</v>
      </c>
      <c r="P14" s="9">
        <v>45122</v>
      </c>
      <c r="Q14" t="s">
        <v>36</v>
      </c>
      <c r="R14" t="s">
        <v>43</v>
      </c>
      <c r="S14" t="s">
        <v>44</v>
      </c>
      <c r="T14" t="s">
        <v>61</v>
      </c>
      <c r="U14" t="s">
        <v>101</v>
      </c>
      <c r="V14">
        <v>83010</v>
      </c>
      <c r="W14" t="s">
        <v>43</v>
      </c>
      <c r="X14" t="s">
        <v>102</v>
      </c>
      <c r="Y14" t="s">
        <v>48</v>
      </c>
      <c r="Z14" s="10">
        <f>IF(N14&lt;=1,7,7+0.8*ROUNDUP(N14-1,0))</f>
        <v>7</v>
      </c>
      <c r="AA14" s="11">
        <v>0</v>
      </c>
      <c r="AB14" s="11">
        <v>0</v>
      </c>
      <c r="AC14" s="11">
        <v>0</v>
      </c>
      <c r="AD14" s="11">
        <v>0</v>
      </c>
      <c r="AE14" s="11">
        <f>(Z14+AB14+AD14)*6%</f>
        <v>0.42</v>
      </c>
      <c r="AF14" s="11">
        <f>Z14+AB14+AD14+AE14</f>
        <v>7.42</v>
      </c>
      <c r="AG14" t="s">
        <v>43</v>
      </c>
    </row>
    <row r="15" spans="1:33" ht="15" customHeight="1" x14ac:dyDescent="0.35">
      <c r="A15">
        <v>690929</v>
      </c>
      <c r="B15" t="s">
        <v>33</v>
      </c>
      <c r="C15" t="s">
        <v>34</v>
      </c>
      <c r="D15" s="6" t="s">
        <v>33</v>
      </c>
      <c r="E15" t="s">
        <v>103</v>
      </c>
      <c r="F15" t="s">
        <v>36</v>
      </c>
      <c r="G15" t="s">
        <v>37</v>
      </c>
      <c r="H15" t="s">
        <v>104</v>
      </c>
      <c r="I15" t="s">
        <v>39</v>
      </c>
      <c r="J15">
        <v>2</v>
      </c>
      <c r="K15" t="s">
        <v>40</v>
      </c>
      <c r="L15" t="s">
        <v>41</v>
      </c>
      <c r="M15" t="s">
        <v>42</v>
      </c>
      <c r="N15" s="7">
        <v>1</v>
      </c>
      <c r="O15" s="8">
        <v>45119.732708333337</v>
      </c>
      <c r="P15" s="9">
        <v>45123</v>
      </c>
      <c r="Q15" t="s">
        <v>36</v>
      </c>
      <c r="R15" t="s">
        <v>43</v>
      </c>
      <c r="S15" t="s">
        <v>44</v>
      </c>
      <c r="T15" t="s">
        <v>51</v>
      </c>
      <c r="U15" t="s">
        <v>105</v>
      </c>
      <c r="V15">
        <v>31950</v>
      </c>
      <c r="W15" t="s">
        <v>43</v>
      </c>
      <c r="X15" t="s">
        <v>106</v>
      </c>
      <c r="Y15" t="s">
        <v>48</v>
      </c>
      <c r="Z15" s="10">
        <f>IF(N15&lt;=1,7,7+0.8*ROUNDUP(N15-1,0))</f>
        <v>7</v>
      </c>
      <c r="AA15" s="11">
        <v>0</v>
      </c>
      <c r="AB15" s="11">
        <v>0</v>
      </c>
      <c r="AC15" s="11">
        <v>0</v>
      </c>
      <c r="AD15" s="11">
        <v>0</v>
      </c>
      <c r="AE15" s="11">
        <f>(Z15+AB15+AD15)*6%</f>
        <v>0.42</v>
      </c>
      <c r="AF15" s="11">
        <f>Z15+AB15+AD15+AE15</f>
        <v>7.42</v>
      </c>
      <c r="AG15" t="s">
        <v>43</v>
      </c>
    </row>
    <row r="16" spans="1:33" ht="15" customHeight="1" x14ac:dyDescent="0.35">
      <c r="A16">
        <v>690929</v>
      </c>
      <c r="B16" t="s">
        <v>33</v>
      </c>
      <c r="C16" t="s">
        <v>34</v>
      </c>
      <c r="D16" s="6" t="s">
        <v>33</v>
      </c>
      <c r="E16" t="s">
        <v>107</v>
      </c>
      <c r="F16" t="s">
        <v>36</v>
      </c>
      <c r="G16" t="s">
        <v>37</v>
      </c>
      <c r="H16" t="s">
        <v>108</v>
      </c>
      <c r="I16" t="s">
        <v>39</v>
      </c>
      <c r="J16">
        <v>2</v>
      </c>
      <c r="K16" t="s">
        <v>40</v>
      </c>
      <c r="L16" t="s">
        <v>41</v>
      </c>
      <c r="M16" t="s">
        <v>42</v>
      </c>
      <c r="N16" s="7">
        <v>4</v>
      </c>
      <c r="O16" s="8">
        <v>45122.702997685185</v>
      </c>
      <c r="P16" s="9">
        <v>45123</v>
      </c>
      <c r="Q16" t="s">
        <v>36</v>
      </c>
      <c r="R16" t="s">
        <v>43</v>
      </c>
      <c r="S16" t="s">
        <v>44</v>
      </c>
      <c r="T16" t="s">
        <v>109</v>
      </c>
      <c r="U16" t="s">
        <v>110</v>
      </c>
      <c r="V16">
        <v>17200</v>
      </c>
      <c r="W16" t="s">
        <v>43</v>
      </c>
      <c r="X16" t="s">
        <v>111</v>
      </c>
      <c r="Y16" t="s">
        <v>48</v>
      </c>
      <c r="Z16" s="10">
        <f>IF(N16&lt;=1,7,7+0.8*ROUNDUP(N16-1,0))</f>
        <v>9.4</v>
      </c>
      <c r="AA16" s="11">
        <v>0</v>
      </c>
      <c r="AB16" s="11">
        <v>0</v>
      </c>
      <c r="AC16" s="11">
        <v>0</v>
      </c>
      <c r="AD16" s="11">
        <v>0</v>
      </c>
      <c r="AE16" s="11">
        <f>(Z16+AB16+AD16)*6%</f>
        <v>0.56399999999999995</v>
      </c>
      <c r="AF16" s="11">
        <f>Z16+AB16+AD16+AE16</f>
        <v>9.9640000000000004</v>
      </c>
      <c r="AG16" t="s">
        <v>43</v>
      </c>
    </row>
    <row r="17" spans="1:33" ht="15" customHeight="1" x14ac:dyDescent="0.35">
      <c r="A17">
        <v>690929</v>
      </c>
      <c r="B17" t="s">
        <v>33</v>
      </c>
      <c r="C17" t="s">
        <v>34</v>
      </c>
      <c r="D17" s="6" t="s">
        <v>33</v>
      </c>
      <c r="E17" t="s">
        <v>112</v>
      </c>
      <c r="F17" t="s">
        <v>36</v>
      </c>
      <c r="G17" t="s">
        <v>37</v>
      </c>
      <c r="H17" t="s">
        <v>113</v>
      </c>
      <c r="I17" t="s">
        <v>39</v>
      </c>
      <c r="J17">
        <v>2</v>
      </c>
      <c r="K17" t="s">
        <v>40</v>
      </c>
      <c r="L17" t="s">
        <v>41</v>
      </c>
      <c r="M17" t="s">
        <v>42</v>
      </c>
      <c r="N17" s="7">
        <v>2</v>
      </c>
      <c r="O17" s="8">
        <v>45121.479803240742</v>
      </c>
      <c r="P17" s="9">
        <v>45123</v>
      </c>
      <c r="Q17" t="s">
        <v>36</v>
      </c>
      <c r="R17" t="s">
        <v>43</v>
      </c>
      <c r="S17" t="s">
        <v>56</v>
      </c>
      <c r="T17" t="s">
        <v>80</v>
      </c>
      <c r="U17" t="s">
        <v>114</v>
      </c>
      <c r="V17">
        <v>6400</v>
      </c>
      <c r="W17" t="s">
        <v>43</v>
      </c>
      <c r="X17" t="s">
        <v>115</v>
      </c>
      <c r="Y17" t="s">
        <v>48</v>
      </c>
      <c r="Z17" s="10">
        <f>IF(N17&lt;=1,7,7+0.8*ROUNDUP(N17-1,0))</f>
        <v>7.8</v>
      </c>
      <c r="AA17" s="11">
        <v>0</v>
      </c>
      <c r="AB17" s="11">
        <v>0</v>
      </c>
      <c r="AC17" s="11">
        <v>0</v>
      </c>
      <c r="AD17" s="11">
        <v>0</v>
      </c>
      <c r="AE17" s="11">
        <f>(Z17+AB17+AD17)*6%</f>
        <v>0.46799999999999997</v>
      </c>
      <c r="AF17" s="11">
        <f>Z17+AB17+AD17+AE17</f>
        <v>8.2680000000000007</v>
      </c>
      <c r="AG17" t="s">
        <v>43</v>
      </c>
    </row>
    <row r="18" spans="1:33" ht="15" customHeight="1" x14ac:dyDescent="0.35">
      <c r="A18">
        <v>690929</v>
      </c>
      <c r="B18" t="s">
        <v>33</v>
      </c>
      <c r="C18" t="s">
        <v>34</v>
      </c>
      <c r="D18" s="6" t="s">
        <v>33</v>
      </c>
      <c r="E18" t="s">
        <v>116</v>
      </c>
      <c r="F18" t="s">
        <v>36</v>
      </c>
      <c r="G18" t="s">
        <v>37</v>
      </c>
      <c r="H18" t="s">
        <v>117</v>
      </c>
      <c r="I18" t="s">
        <v>39</v>
      </c>
      <c r="J18">
        <v>2</v>
      </c>
      <c r="K18" t="s">
        <v>40</v>
      </c>
      <c r="L18" t="s">
        <v>41</v>
      </c>
      <c r="M18" t="s">
        <v>42</v>
      </c>
      <c r="N18" s="7">
        <v>1</v>
      </c>
      <c r="O18" s="8">
        <v>45121.479803240742</v>
      </c>
      <c r="P18" s="9">
        <v>45124</v>
      </c>
      <c r="Q18" t="s">
        <v>36</v>
      </c>
      <c r="R18" t="s">
        <v>43</v>
      </c>
      <c r="S18" t="s">
        <v>56</v>
      </c>
      <c r="T18" t="s">
        <v>57</v>
      </c>
      <c r="U18" t="s">
        <v>118</v>
      </c>
      <c r="V18">
        <v>47620</v>
      </c>
      <c r="W18" t="s">
        <v>43</v>
      </c>
      <c r="X18" t="s">
        <v>47</v>
      </c>
      <c r="Y18" t="s">
        <v>48</v>
      </c>
      <c r="Z18" s="10">
        <f>IF(N18&lt;=1,7,7+0.8*ROUNDUP(N18-1,0))</f>
        <v>7</v>
      </c>
      <c r="AA18" s="11">
        <v>0</v>
      </c>
      <c r="AB18" s="11">
        <v>0</v>
      </c>
      <c r="AC18" s="11">
        <v>0</v>
      </c>
      <c r="AD18" s="11">
        <v>0</v>
      </c>
      <c r="AE18" s="11">
        <f>(Z18+AB18+AD18)*6%</f>
        <v>0.42</v>
      </c>
      <c r="AF18" s="11">
        <f>Z18+AB18+AD18+AE18</f>
        <v>7.42</v>
      </c>
      <c r="AG18" t="s">
        <v>43</v>
      </c>
    </row>
    <row r="19" spans="1:33" ht="15" customHeight="1" x14ac:dyDescent="0.35">
      <c r="A19">
        <v>690929</v>
      </c>
      <c r="B19" t="s">
        <v>33</v>
      </c>
      <c r="C19" t="s">
        <v>34</v>
      </c>
      <c r="D19" s="6" t="s">
        <v>33</v>
      </c>
      <c r="E19" t="s">
        <v>119</v>
      </c>
      <c r="F19" t="s">
        <v>36</v>
      </c>
      <c r="G19" t="s">
        <v>37</v>
      </c>
      <c r="H19" t="s">
        <v>120</v>
      </c>
      <c r="I19" t="s">
        <v>39</v>
      </c>
      <c r="J19">
        <v>2</v>
      </c>
      <c r="K19" t="s">
        <v>40</v>
      </c>
      <c r="L19" t="s">
        <v>41</v>
      </c>
      <c r="M19" t="s">
        <v>42</v>
      </c>
      <c r="N19" s="7">
        <v>1</v>
      </c>
      <c r="O19" s="8">
        <v>45122.450891203705</v>
      </c>
      <c r="P19" s="9">
        <v>45124</v>
      </c>
      <c r="Q19" t="s">
        <v>36</v>
      </c>
      <c r="R19" t="s">
        <v>43</v>
      </c>
      <c r="S19" t="s">
        <v>44</v>
      </c>
      <c r="T19" t="s">
        <v>45</v>
      </c>
      <c r="U19" t="s">
        <v>121</v>
      </c>
      <c r="V19">
        <v>75250</v>
      </c>
      <c r="W19" t="s">
        <v>43</v>
      </c>
      <c r="X19" t="s">
        <v>47</v>
      </c>
      <c r="Y19" t="s">
        <v>48</v>
      </c>
      <c r="Z19" s="10">
        <f>IF(N19&lt;=1,7,7+0.8*ROUNDUP(N19-1,0))</f>
        <v>7</v>
      </c>
      <c r="AA19" s="11">
        <v>0</v>
      </c>
      <c r="AB19" s="11">
        <v>0</v>
      </c>
      <c r="AC19" s="11">
        <v>0</v>
      </c>
      <c r="AD19" s="11">
        <v>0</v>
      </c>
      <c r="AE19" s="11">
        <f>(Z19+AB19+AD19)*6%</f>
        <v>0.42</v>
      </c>
      <c r="AF19" s="11">
        <f>Z19+AB19+AD19+AE19</f>
        <v>7.42</v>
      </c>
      <c r="AG19" t="s">
        <v>43</v>
      </c>
    </row>
    <row r="20" spans="1:33" ht="15" customHeight="1" x14ac:dyDescent="0.35">
      <c r="A20">
        <v>690929</v>
      </c>
      <c r="B20" t="s">
        <v>33</v>
      </c>
      <c r="C20" t="s">
        <v>34</v>
      </c>
      <c r="D20" s="6" t="s">
        <v>33</v>
      </c>
      <c r="E20" t="s">
        <v>122</v>
      </c>
      <c r="F20" t="s">
        <v>36</v>
      </c>
      <c r="G20" t="s">
        <v>37</v>
      </c>
      <c r="H20" t="s">
        <v>123</v>
      </c>
      <c r="I20" t="s">
        <v>39</v>
      </c>
      <c r="J20">
        <v>2</v>
      </c>
      <c r="K20" t="s">
        <v>40</v>
      </c>
      <c r="L20" t="s">
        <v>41</v>
      </c>
      <c r="M20" t="s">
        <v>42</v>
      </c>
      <c r="N20" s="7">
        <v>1</v>
      </c>
      <c r="O20" s="8">
        <v>45123.478414351855</v>
      </c>
      <c r="P20" s="9">
        <v>45124</v>
      </c>
      <c r="Q20" t="s">
        <v>36</v>
      </c>
      <c r="R20" t="s">
        <v>43</v>
      </c>
      <c r="S20" t="s">
        <v>44</v>
      </c>
      <c r="T20" t="s">
        <v>109</v>
      </c>
      <c r="U20" t="s">
        <v>124</v>
      </c>
      <c r="V20">
        <v>16450</v>
      </c>
      <c r="W20" t="s">
        <v>43</v>
      </c>
      <c r="X20" t="s">
        <v>44</v>
      </c>
      <c r="Y20" t="s">
        <v>48</v>
      </c>
      <c r="Z20" s="10">
        <f>IF(N20&lt;=1,7,7+0.8*ROUNDUP(N20-1,0))</f>
        <v>7</v>
      </c>
      <c r="AA20" s="11">
        <v>0</v>
      </c>
      <c r="AB20" s="11">
        <v>0</v>
      </c>
      <c r="AC20" s="11">
        <v>0</v>
      </c>
      <c r="AD20" s="11">
        <v>0</v>
      </c>
      <c r="AE20" s="11">
        <f>(Z20+AB20+AD20)*6%</f>
        <v>0.42</v>
      </c>
      <c r="AF20" s="11">
        <f>Z20+AB20+AD20+AE20</f>
        <v>7.42</v>
      </c>
      <c r="AG20" t="s">
        <v>43</v>
      </c>
    </row>
    <row r="21" spans="1:33" ht="15" customHeight="1" x14ac:dyDescent="0.35">
      <c r="A21">
        <v>690929</v>
      </c>
      <c r="B21" t="s">
        <v>33</v>
      </c>
      <c r="C21" t="s">
        <v>34</v>
      </c>
      <c r="D21" s="6" t="s">
        <v>33</v>
      </c>
      <c r="E21" t="s">
        <v>125</v>
      </c>
      <c r="F21" t="s">
        <v>36</v>
      </c>
      <c r="G21" t="s">
        <v>37</v>
      </c>
      <c r="H21" t="s">
        <v>126</v>
      </c>
      <c r="I21" t="s">
        <v>39</v>
      </c>
      <c r="J21">
        <v>2</v>
      </c>
      <c r="K21" t="s">
        <v>40</v>
      </c>
      <c r="L21" t="s">
        <v>41</v>
      </c>
      <c r="M21" t="s">
        <v>42</v>
      </c>
      <c r="N21" s="7">
        <v>1</v>
      </c>
      <c r="O21" s="8">
        <v>45123.522256944445</v>
      </c>
      <c r="P21" s="9">
        <v>45124</v>
      </c>
      <c r="Q21" t="s">
        <v>36</v>
      </c>
      <c r="R21" t="s">
        <v>43</v>
      </c>
      <c r="S21" t="s">
        <v>44</v>
      </c>
      <c r="T21" t="s">
        <v>57</v>
      </c>
      <c r="U21" t="s">
        <v>127</v>
      </c>
      <c r="V21">
        <v>40460</v>
      </c>
      <c r="W21" t="s">
        <v>43</v>
      </c>
      <c r="X21" t="s">
        <v>128</v>
      </c>
      <c r="Y21" t="s">
        <v>48</v>
      </c>
      <c r="Z21" s="10">
        <f>IF(N21&lt;=1,7,7+0.8*ROUNDUP(N21-1,0))</f>
        <v>7</v>
      </c>
      <c r="AA21" s="11">
        <v>0</v>
      </c>
      <c r="AB21" s="11">
        <v>0</v>
      </c>
      <c r="AC21" s="11">
        <v>0</v>
      </c>
      <c r="AD21" s="11">
        <v>0</v>
      </c>
      <c r="AE21" s="11">
        <f>(Z21+AB21+AD21)*6%</f>
        <v>0.42</v>
      </c>
      <c r="AF21" s="11">
        <f>Z21+AB21+AD21+AE21</f>
        <v>7.42</v>
      </c>
      <c r="AG21" t="s">
        <v>43</v>
      </c>
    </row>
    <row r="22" spans="1:33" ht="15" customHeight="1" x14ac:dyDescent="0.35">
      <c r="A22">
        <v>690929</v>
      </c>
      <c r="B22" t="s">
        <v>33</v>
      </c>
      <c r="C22" t="s">
        <v>34</v>
      </c>
      <c r="D22" s="6" t="s">
        <v>33</v>
      </c>
      <c r="E22" t="s">
        <v>129</v>
      </c>
      <c r="F22" t="s">
        <v>36</v>
      </c>
      <c r="G22" t="s">
        <v>37</v>
      </c>
      <c r="H22" t="s">
        <v>130</v>
      </c>
      <c r="I22" t="s">
        <v>39</v>
      </c>
      <c r="J22">
        <v>2</v>
      </c>
      <c r="K22" t="s">
        <v>40</v>
      </c>
      <c r="L22" t="s">
        <v>41</v>
      </c>
      <c r="M22" t="s">
        <v>42</v>
      </c>
      <c r="N22" s="7">
        <v>3</v>
      </c>
      <c r="O22" s="8">
        <v>45123.522256944445</v>
      </c>
      <c r="P22" s="9">
        <v>45124</v>
      </c>
      <c r="Q22" t="s">
        <v>36</v>
      </c>
      <c r="R22" t="s">
        <v>43</v>
      </c>
      <c r="S22" t="s">
        <v>44</v>
      </c>
      <c r="T22" t="s">
        <v>45</v>
      </c>
      <c r="U22" t="s">
        <v>131</v>
      </c>
      <c r="V22">
        <v>76100</v>
      </c>
      <c r="W22" t="s">
        <v>43</v>
      </c>
      <c r="X22" t="s">
        <v>132</v>
      </c>
      <c r="Y22" t="s">
        <v>48</v>
      </c>
      <c r="Z22" s="10">
        <f>IF(N22&lt;=1,7,7+0.8*ROUNDUP(N22-1,0))</f>
        <v>8.6</v>
      </c>
      <c r="AA22" s="11">
        <v>0</v>
      </c>
      <c r="AB22" s="11">
        <v>0</v>
      </c>
      <c r="AC22" s="11">
        <v>0</v>
      </c>
      <c r="AD22" s="11">
        <v>0</v>
      </c>
      <c r="AE22" s="11">
        <f>(Z22+AB22+AD22)*6%</f>
        <v>0.51600000000000001</v>
      </c>
      <c r="AF22" s="11">
        <f>Z22+AB22+AD22+AE22</f>
        <v>9.1159999999999997</v>
      </c>
      <c r="AG22" t="s">
        <v>43</v>
      </c>
    </row>
    <row r="23" spans="1:33" ht="15" customHeight="1" x14ac:dyDescent="0.35">
      <c r="A23">
        <v>690929</v>
      </c>
      <c r="B23" t="s">
        <v>33</v>
      </c>
      <c r="C23" t="s">
        <v>34</v>
      </c>
      <c r="D23" s="6" t="s">
        <v>33</v>
      </c>
      <c r="E23" t="s">
        <v>133</v>
      </c>
      <c r="F23" t="s">
        <v>36</v>
      </c>
      <c r="G23" t="s">
        <v>37</v>
      </c>
      <c r="H23" t="s">
        <v>134</v>
      </c>
      <c r="I23" t="s">
        <v>39</v>
      </c>
      <c r="J23">
        <v>2</v>
      </c>
      <c r="K23" t="s">
        <v>40</v>
      </c>
      <c r="L23" t="s">
        <v>41</v>
      </c>
      <c r="M23" t="s">
        <v>42</v>
      </c>
      <c r="N23" s="7">
        <v>1</v>
      </c>
      <c r="O23" s="8">
        <v>45122.541620370372</v>
      </c>
      <c r="P23" s="9">
        <v>45124</v>
      </c>
      <c r="Q23" t="s">
        <v>36</v>
      </c>
      <c r="R23" t="s">
        <v>43</v>
      </c>
      <c r="S23" t="s">
        <v>44</v>
      </c>
      <c r="T23" t="s">
        <v>57</v>
      </c>
      <c r="U23" t="s">
        <v>135</v>
      </c>
      <c r="V23">
        <v>40000</v>
      </c>
      <c r="W23" t="s">
        <v>43</v>
      </c>
      <c r="X23" t="s">
        <v>136</v>
      </c>
      <c r="Y23" t="s">
        <v>48</v>
      </c>
      <c r="Z23" s="10">
        <f>IF(N23&lt;=1,7,7+0.8*ROUNDUP(N23-1,0))</f>
        <v>7</v>
      </c>
      <c r="AA23" s="11">
        <v>0</v>
      </c>
      <c r="AB23" s="11">
        <v>0</v>
      </c>
      <c r="AC23" s="11">
        <v>0</v>
      </c>
      <c r="AD23" s="11">
        <v>0</v>
      </c>
      <c r="AE23" s="11">
        <f>(Z23+AB23+AD23)*6%</f>
        <v>0.42</v>
      </c>
      <c r="AF23" s="11">
        <f>Z23+AB23+AD23+AE23</f>
        <v>7.42</v>
      </c>
      <c r="AG23" t="s">
        <v>43</v>
      </c>
    </row>
    <row r="24" spans="1:33" ht="15" customHeight="1" x14ac:dyDescent="0.35">
      <c r="A24">
        <v>690929</v>
      </c>
      <c r="B24" t="s">
        <v>33</v>
      </c>
      <c r="C24" t="s">
        <v>34</v>
      </c>
      <c r="D24" s="6" t="s">
        <v>33</v>
      </c>
      <c r="E24" t="s">
        <v>137</v>
      </c>
      <c r="F24" t="s">
        <v>36</v>
      </c>
      <c r="G24" t="s">
        <v>37</v>
      </c>
      <c r="H24" t="s">
        <v>138</v>
      </c>
      <c r="I24" t="s">
        <v>39</v>
      </c>
      <c r="J24">
        <v>2</v>
      </c>
      <c r="K24" t="s">
        <v>40</v>
      </c>
      <c r="L24" t="s">
        <v>41</v>
      </c>
      <c r="M24" t="s">
        <v>42</v>
      </c>
      <c r="N24" s="7">
        <v>1</v>
      </c>
      <c r="O24" s="8">
        <v>45123.522256944445</v>
      </c>
      <c r="P24" s="9">
        <v>45124</v>
      </c>
      <c r="Q24" t="s">
        <v>36</v>
      </c>
      <c r="R24" t="s">
        <v>43</v>
      </c>
      <c r="S24" t="s">
        <v>44</v>
      </c>
      <c r="T24" t="s">
        <v>89</v>
      </c>
      <c r="U24" t="s">
        <v>139</v>
      </c>
      <c r="V24">
        <v>28000</v>
      </c>
      <c r="W24" t="s">
        <v>43</v>
      </c>
      <c r="X24" t="s">
        <v>44</v>
      </c>
      <c r="Y24" t="s">
        <v>48</v>
      </c>
      <c r="Z24" s="10">
        <f>IF(N24&lt;=1,7,7+0.8*ROUNDUP(N24-1,0))</f>
        <v>7</v>
      </c>
      <c r="AA24" s="11">
        <v>0</v>
      </c>
      <c r="AB24" s="11">
        <v>0</v>
      </c>
      <c r="AC24" s="11">
        <v>0</v>
      </c>
      <c r="AD24" s="11">
        <v>0</v>
      </c>
      <c r="AE24" s="11">
        <f>(Z24+AB24+AD24)*6%</f>
        <v>0.42</v>
      </c>
      <c r="AF24" s="11">
        <f>Z24+AB24+AD24+AE24</f>
        <v>7.42</v>
      </c>
      <c r="AG24" t="s">
        <v>43</v>
      </c>
    </row>
    <row r="25" spans="1:33" ht="15" customHeight="1" x14ac:dyDescent="0.35">
      <c r="A25">
        <v>690929</v>
      </c>
      <c r="B25" t="s">
        <v>33</v>
      </c>
      <c r="C25" t="s">
        <v>34</v>
      </c>
      <c r="D25" s="6" t="s">
        <v>33</v>
      </c>
      <c r="E25" t="s">
        <v>140</v>
      </c>
      <c r="F25" t="s">
        <v>36</v>
      </c>
      <c r="G25" t="s">
        <v>37</v>
      </c>
      <c r="H25" t="s">
        <v>141</v>
      </c>
      <c r="I25" t="s">
        <v>39</v>
      </c>
      <c r="J25">
        <v>2</v>
      </c>
      <c r="K25" t="s">
        <v>40</v>
      </c>
      <c r="L25" t="s">
        <v>41</v>
      </c>
      <c r="M25" t="s">
        <v>42</v>
      </c>
      <c r="N25" s="7">
        <v>1</v>
      </c>
      <c r="O25" s="8">
        <v>45123.608576388891</v>
      </c>
      <c r="P25" s="9">
        <v>45124</v>
      </c>
      <c r="Q25" t="s">
        <v>36</v>
      </c>
      <c r="R25" t="s">
        <v>43</v>
      </c>
      <c r="S25" t="s">
        <v>44</v>
      </c>
      <c r="T25" t="s">
        <v>57</v>
      </c>
      <c r="U25" t="s">
        <v>142</v>
      </c>
      <c r="V25">
        <v>68100</v>
      </c>
      <c r="W25" t="s">
        <v>43</v>
      </c>
      <c r="X25" t="s">
        <v>143</v>
      </c>
      <c r="Y25" t="s">
        <v>48</v>
      </c>
      <c r="Z25" s="10">
        <f>IF(N25&lt;=1,7,7+0.8*ROUNDUP(N25-1,0))</f>
        <v>7</v>
      </c>
      <c r="AA25" s="11">
        <v>0</v>
      </c>
      <c r="AB25" s="11">
        <v>0</v>
      </c>
      <c r="AC25" s="11">
        <v>0</v>
      </c>
      <c r="AD25" s="11">
        <v>0</v>
      </c>
      <c r="AE25" s="11">
        <f>(Z25+AB25+AD25)*6%</f>
        <v>0.42</v>
      </c>
      <c r="AF25" s="11">
        <f>Z25+AB25+AD25+AE25</f>
        <v>7.42</v>
      </c>
      <c r="AG25" t="s">
        <v>43</v>
      </c>
    </row>
    <row r="26" spans="1:33" ht="15" customHeight="1" x14ac:dyDescent="0.35">
      <c r="A26">
        <v>690929</v>
      </c>
      <c r="B26" t="s">
        <v>33</v>
      </c>
      <c r="C26" t="s">
        <v>34</v>
      </c>
      <c r="D26" s="6" t="s">
        <v>33</v>
      </c>
      <c r="E26" t="s">
        <v>144</v>
      </c>
      <c r="F26" t="s">
        <v>36</v>
      </c>
      <c r="G26" t="s">
        <v>37</v>
      </c>
      <c r="H26" t="s">
        <v>145</v>
      </c>
      <c r="I26" t="s">
        <v>39</v>
      </c>
      <c r="J26">
        <v>2</v>
      </c>
      <c r="K26" t="s">
        <v>40</v>
      </c>
      <c r="L26" t="s">
        <v>41</v>
      </c>
      <c r="M26" t="s">
        <v>42</v>
      </c>
      <c r="N26" s="7">
        <v>1</v>
      </c>
      <c r="O26" s="8">
        <v>45123.582569444443</v>
      </c>
      <c r="P26" s="9">
        <v>45124</v>
      </c>
      <c r="Q26" t="s">
        <v>36</v>
      </c>
      <c r="R26" t="s">
        <v>43</v>
      </c>
      <c r="S26" t="s">
        <v>44</v>
      </c>
      <c r="T26" t="s">
        <v>57</v>
      </c>
      <c r="U26" t="s">
        <v>146</v>
      </c>
      <c r="V26">
        <v>47100</v>
      </c>
      <c r="W26" t="s">
        <v>43</v>
      </c>
      <c r="X26" t="s">
        <v>147</v>
      </c>
      <c r="Y26" t="s">
        <v>48</v>
      </c>
      <c r="Z26" s="10">
        <f>IF(N26&lt;=1,7,7+0.8*ROUNDUP(N26-1,0))</f>
        <v>7</v>
      </c>
      <c r="AA26" s="11">
        <v>0</v>
      </c>
      <c r="AB26" s="11">
        <v>0</v>
      </c>
      <c r="AC26" s="11">
        <v>0</v>
      </c>
      <c r="AD26" s="11">
        <v>0</v>
      </c>
      <c r="AE26" s="11">
        <f>(Z26+AB26+AD26)*6%</f>
        <v>0.42</v>
      </c>
      <c r="AF26" s="11">
        <f>Z26+AB26+AD26+AE26</f>
        <v>7.42</v>
      </c>
      <c r="AG26" t="s">
        <v>43</v>
      </c>
    </row>
    <row r="27" spans="1:33" ht="15" customHeight="1" x14ac:dyDescent="0.35">
      <c r="A27">
        <v>690929</v>
      </c>
      <c r="B27" t="s">
        <v>33</v>
      </c>
      <c r="C27" t="s">
        <v>34</v>
      </c>
      <c r="D27" s="6" t="s">
        <v>33</v>
      </c>
      <c r="E27" t="s">
        <v>148</v>
      </c>
      <c r="F27" t="s">
        <v>36</v>
      </c>
      <c r="G27" t="s">
        <v>37</v>
      </c>
      <c r="H27" t="s">
        <v>149</v>
      </c>
      <c r="I27" t="s">
        <v>39</v>
      </c>
      <c r="J27">
        <v>2</v>
      </c>
      <c r="K27" t="s">
        <v>40</v>
      </c>
      <c r="L27" t="s">
        <v>41</v>
      </c>
      <c r="M27" t="s">
        <v>42</v>
      </c>
      <c r="N27" s="7">
        <v>1</v>
      </c>
      <c r="O27" s="8">
        <v>45123.522256944445</v>
      </c>
      <c r="P27" s="9">
        <v>45124</v>
      </c>
      <c r="Q27" t="s">
        <v>36</v>
      </c>
      <c r="R27" t="s">
        <v>43</v>
      </c>
      <c r="S27" t="s">
        <v>44</v>
      </c>
      <c r="T27" t="s">
        <v>75</v>
      </c>
      <c r="U27" t="s">
        <v>150</v>
      </c>
      <c r="V27">
        <v>57000</v>
      </c>
      <c r="W27" t="s">
        <v>43</v>
      </c>
      <c r="X27" t="s">
        <v>151</v>
      </c>
      <c r="Y27" t="s">
        <v>48</v>
      </c>
      <c r="Z27" s="10">
        <f>IF(N27&lt;=1,7,7+0.8*ROUNDUP(N27-1,0))</f>
        <v>7</v>
      </c>
      <c r="AA27" s="11">
        <v>0</v>
      </c>
      <c r="AB27" s="11">
        <v>0</v>
      </c>
      <c r="AC27" s="11">
        <v>0</v>
      </c>
      <c r="AD27" s="11">
        <v>0</v>
      </c>
      <c r="AE27" s="11">
        <f>(Z27+AB27+AD27)*6%</f>
        <v>0.42</v>
      </c>
      <c r="AF27" s="11">
        <f>Z27+AB27+AD27+AE27</f>
        <v>7.42</v>
      </c>
      <c r="AG27" t="s">
        <v>43</v>
      </c>
    </row>
    <row r="28" spans="1:33" ht="15" customHeight="1" x14ac:dyDescent="0.35">
      <c r="A28">
        <v>690929</v>
      </c>
      <c r="B28" t="s">
        <v>33</v>
      </c>
      <c r="C28" t="s">
        <v>34</v>
      </c>
      <c r="D28" s="6" t="s">
        <v>33</v>
      </c>
      <c r="E28" t="s">
        <v>152</v>
      </c>
      <c r="F28" t="s">
        <v>36</v>
      </c>
      <c r="G28" t="s">
        <v>37</v>
      </c>
      <c r="H28" t="s">
        <v>153</v>
      </c>
      <c r="I28" t="s">
        <v>39</v>
      </c>
      <c r="J28">
        <v>2</v>
      </c>
      <c r="K28" t="s">
        <v>40</v>
      </c>
      <c r="L28" t="s">
        <v>41</v>
      </c>
      <c r="M28" t="s">
        <v>42</v>
      </c>
      <c r="N28" s="7">
        <v>5</v>
      </c>
      <c r="O28" s="8">
        <v>45122.640324074076</v>
      </c>
      <c r="P28" s="9">
        <v>45124</v>
      </c>
      <c r="Q28" t="s">
        <v>36</v>
      </c>
      <c r="R28" t="s">
        <v>43</v>
      </c>
      <c r="S28" t="s">
        <v>44</v>
      </c>
      <c r="T28" t="s">
        <v>61</v>
      </c>
      <c r="U28" t="s">
        <v>154</v>
      </c>
      <c r="V28">
        <v>83000</v>
      </c>
      <c r="W28" t="s">
        <v>43</v>
      </c>
      <c r="X28" t="s">
        <v>102</v>
      </c>
      <c r="Y28" t="s">
        <v>48</v>
      </c>
      <c r="Z28" s="10">
        <f>IF(N28&lt;=1,7,7+0.8*ROUNDUP(N28-1,0))</f>
        <v>10.199999999999999</v>
      </c>
      <c r="AA28" s="11">
        <v>0</v>
      </c>
      <c r="AB28" s="11">
        <v>0</v>
      </c>
      <c r="AC28" s="11">
        <v>0</v>
      </c>
      <c r="AD28" s="11">
        <v>0</v>
      </c>
      <c r="AE28" s="11">
        <f>(Z28+AB28+AD28)*6%</f>
        <v>0.61199999999999999</v>
      </c>
      <c r="AF28" s="11">
        <f>Z28+AB28+AD28+AE28</f>
        <v>10.811999999999999</v>
      </c>
      <c r="AG28" t="s">
        <v>43</v>
      </c>
    </row>
    <row r="29" spans="1:33" ht="15" customHeight="1" x14ac:dyDescent="0.35">
      <c r="A29">
        <v>690929</v>
      </c>
      <c r="B29" t="s">
        <v>33</v>
      </c>
      <c r="C29" t="s">
        <v>34</v>
      </c>
      <c r="D29" s="6" t="s">
        <v>33</v>
      </c>
      <c r="E29" t="s">
        <v>155</v>
      </c>
      <c r="F29" t="s">
        <v>36</v>
      </c>
      <c r="G29" t="s">
        <v>37</v>
      </c>
      <c r="H29" t="s">
        <v>156</v>
      </c>
      <c r="I29" t="s">
        <v>39</v>
      </c>
      <c r="J29">
        <v>2</v>
      </c>
      <c r="K29" t="s">
        <v>40</v>
      </c>
      <c r="L29" t="s">
        <v>41</v>
      </c>
      <c r="M29" t="s">
        <v>42</v>
      </c>
      <c r="N29" s="7">
        <v>1</v>
      </c>
      <c r="O29" s="8">
        <v>45123.522256944445</v>
      </c>
      <c r="P29" s="9">
        <v>45124</v>
      </c>
      <c r="Q29" t="s">
        <v>36</v>
      </c>
      <c r="R29" t="s">
        <v>43</v>
      </c>
      <c r="S29" t="s">
        <v>44</v>
      </c>
      <c r="T29" t="s">
        <v>57</v>
      </c>
      <c r="U29" t="s">
        <v>157</v>
      </c>
      <c r="V29">
        <v>68100</v>
      </c>
      <c r="W29" t="s">
        <v>43</v>
      </c>
      <c r="X29" t="s">
        <v>158</v>
      </c>
      <c r="Y29" t="s">
        <v>48</v>
      </c>
      <c r="Z29" s="10">
        <f>IF(N29&lt;=1,7,7+0.8*ROUNDUP(N29-1,0))</f>
        <v>7</v>
      </c>
      <c r="AA29" s="11">
        <v>0</v>
      </c>
      <c r="AB29" s="11">
        <v>0</v>
      </c>
      <c r="AC29" s="11">
        <v>0</v>
      </c>
      <c r="AD29" s="11">
        <v>0</v>
      </c>
      <c r="AE29" s="11">
        <f>(Z29+AB29+AD29)*6%</f>
        <v>0.42</v>
      </c>
      <c r="AF29" s="11">
        <f>Z29+AB29+AD29+AE29</f>
        <v>7.42</v>
      </c>
      <c r="AG29" t="s">
        <v>43</v>
      </c>
    </row>
    <row r="30" spans="1:33" ht="15" customHeight="1" x14ac:dyDescent="0.35">
      <c r="A30">
        <v>690929</v>
      </c>
      <c r="B30" t="s">
        <v>33</v>
      </c>
      <c r="C30" t="s">
        <v>34</v>
      </c>
      <c r="D30" s="6" t="s">
        <v>33</v>
      </c>
      <c r="E30" t="s">
        <v>159</v>
      </c>
      <c r="F30" t="s">
        <v>36</v>
      </c>
      <c r="G30" t="s">
        <v>37</v>
      </c>
      <c r="H30" t="s">
        <v>160</v>
      </c>
      <c r="I30" t="s">
        <v>39</v>
      </c>
      <c r="J30">
        <v>2</v>
      </c>
      <c r="K30" t="s">
        <v>40</v>
      </c>
      <c r="L30" t="s">
        <v>41</v>
      </c>
      <c r="M30" t="s">
        <v>42</v>
      </c>
      <c r="N30" s="7">
        <v>1</v>
      </c>
      <c r="O30" s="8">
        <v>45123.522256944445</v>
      </c>
      <c r="P30" s="9">
        <v>45124</v>
      </c>
      <c r="Q30" t="s">
        <v>36</v>
      </c>
      <c r="R30" t="s">
        <v>43</v>
      </c>
      <c r="S30" t="s">
        <v>44</v>
      </c>
      <c r="T30" t="s">
        <v>57</v>
      </c>
      <c r="U30" t="s">
        <v>161</v>
      </c>
      <c r="V30">
        <v>68100</v>
      </c>
      <c r="W30" t="s">
        <v>43</v>
      </c>
      <c r="X30" t="s">
        <v>158</v>
      </c>
      <c r="Y30" t="s">
        <v>48</v>
      </c>
      <c r="Z30" s="10">
        <f>IF(N30&lt;=1,7,7+0.8*ROUNDUP(N30-1,0))</f>
        <v>7</v>
      </c>
      <c r="AA30" s="11">
        <v>0</v>
      </c>
      <c r="AB30" s="11">
        <v>0</v>
      </c>
      <c r="AC30" s="11">
        <v>0</v>
      </c>
      <c r="AD30" s="11">
        <v>0</v>
      </c>
      <c r="AE30" s="11">
        <f>(Z30+AB30+AD30)*6%</f>
        <v>0.42</v>
      </c>
      <c r="AF30" s="11">
        <f>Z30+AB30+AD30+AE30</f>
        <v>7.42</v>
      </c>
      <c r="AG30" t="s">
        <v>43</v>
      </c>
    </row>
    <row r="31" spans="1:33" ht="15" customHeight="1" x14ac:dyDescent="0.35">
      <c r="A31">
        <v>690929</v>
      </c>
      <c r="B31" t="s">
        <v>33</v>
      </c>
      <c r="C31" t="s">
        <v>34</v>
      </c>
      <c r="D31" s="6" t="s">
        <v>33</v>
      </c>
      <c r="E31" t="s">
        <v>162</v>
      </c>
      <c r="F31" t="s">
        <v>36</v>
      </c>
      <c r="G31" t="s">
        <v>37</v>
      </c>
      <c r="H31" t="s">
        <v>163</v>
      </c>
      <c r="I31" t="s">
        <v>39</v>
      </c>
      <c r="J31">
        <v>2</v>
      </c>
      <c r="K31" t="s">
        <v>40</v>
      </c>
      <c r="L31" t="s">
        <v>41</v>
      </c>
      <c r="M31" t="s">
        <v>42</v>
      </c>
      <c r="N31" s="7">
        <v>1</v>
      </c>
      <c r="O31" s="8">
        <v>45122.556145833332</v>
      </c>
      <c r="P31" s="9">
        <v>45124</v>
      </c>
      <c r="Q31" t="s">
        <v>36</v>
      </c>
      <c r="R31" t="s">
        <v>43</v>
      </c>
      <c r="S31" t="s">
        <v>44</v>
      </c>
      <c r="T31" t="s">
        <v>80</v>
      </c>
      <c r="U31" t="s">
        <v>164</v>
      </c>
      <c r="V31">
        <v>8000</v>
      </c>
      <c r="W31" t="s">
        <v>43</v>
      </c>
      <c r="X31" t="s">
        <v>47</v>
      </c>
      <c r="Y31" t="s">
        <v>48</v>
      </c>
      <c r="Z31" s="10">
        <f>IF(N31&lt;=1,7,7+0.8*ROUNDUP(N31-1,0))</f>
        <v>7</v>
      </c>
      <c r="AA31" s="11">
        <v>0</v>
      </c>
      <c r="AB31" s="11">
        <v>0</v>
      </c>
      <c r="AC31" s="11">
        <v>0</v>
      </c>
      <c r="AD31" s="11">
        <v>0</v>
      </c>
      <c r="AE31" s="11">
        <f>(Z31+AB31+AD31)*6%</f>
        <v>0.42</v>
      </c>
      <c r="AF31" s="11">
        <f>Z31+AB31+AD31+AE31</f>
        <v>7.42</v>
      </c>
      <c r="AG31" t="s">
        <v>43</v>
      </c>
    </row>
    <row r="32" spans="1:33" ht="15" customHeight="1" x14ac:dyDescent="0.35">
      <c r="A32">
        <v>690929</v>
      </c>
      <c r="B32" t="s">
        <v>33</v>
      </c>
      <c r="C32" t="s">
        <v>34</v>
      </c>
      <c r="D32" s="6" t="s">
        <v>33</v>
      </c>
      <c r="E32" t="s">
        <v>165</v>
      </c>
      <c r="F32" t="s">
        <v>36</v>
      </c>
      <c r="G32" t="s">
        <v>37</v>
      </c>
      <c r="H32" t="s">
        <v>166</v>
      </c>
      <c r="I32" t="s">
        <v>39</v>
      </c>
      <c r="J32">
        <v>2</v>
      </c>
      <c r="K32" t="s">
        <v>40</v>
      </c>
      <c r="L32" t="s">
        <v>41</v>
      </c>
      <c r="M32" t="s">
        <v>42</v>
      </c>
      <c r="N32" s="7">
        <v>1</v>
      </c>
      <c r="O32" s="8">
        <v>45122.559641203705</v>
      </c>
      <c r="P32" s="9">
        <v>45124</v>
      </c>
      <c r="Q32" t="s">
        <v>36</v>
      </c>
      <c r="R32" t="s">
        <v>43</v>
      </c>
      <c r="S32" t="s">
        <v>44</v>
      </c>
      <c r="T32" t="s">
        <v>89</v>
      </c>
      <c r="U32" t="s">
        <v>167</v>
      </c>
      <c r="V32">
        <v>69000</v>
      </c>
      <c r="W32" t="s">
        <v>43</v>
      </c>
      <c r="X32" t="s">
        <v>47</v>
      </c>
      <c r="Y32" t="s">
        <v>48</v>
      </c>
      <c r="Z32" s="10">
        <f>IF(N32&lt;=1,7,7+0.8*ROUNDUP(N32-1,0))</f>
        <v>7</v>
      </c>
      <c r="AA32" s="11">
        <v>0</v>
      </c>
      <c r="AB32" s="11">
        <v>0</v>
      </c>
      <c r="AC32" s="11">
        <v>0</v>
      </c>
      <c r="AD32" s="11">
        <v>0</v>
      </c>
      <c r="AE32" s="11">
        <f>(Z32+AB32+AD32)*6%</f>
        <v>0.42</v>
      </c>
      <c r="AF32" s="11">
        <f>Z32+AB32+AD32+AE32</f>
        <v>7.42</v>
      </c>
      <c r="AG32" t="s">
        <v>43</v>
      </c>
    </row>
    <row r="33" spans="1:33" ht="15" customHeight="1" x14ac:dyDescent="0.35">
      <c r="A33">
        <v>690929</v>
      </c>
      <c r="B33" t="s">
        <v>33</v>
      </c>
      <c r="C33" t="s">
        <v>34</v>
      </c>
      <c r="D33" s="6" t="s">
        <v>33</v>
      </c>
      <c r="E33" t="s">
        <v>168</v>
      </c>
      <c r="F33" t="s">
        <v>36</v>
      </c>
      <c r="G33" t="s">
        <v>37</v>
      </c>
      <c r="H33" t="s">
        <v>169</v>
      </c>
      <c r="I33" t="s">
        <v>39</v>
      </c>
      <c r="J33">
        <v>2</v>
      </c>
      <c r="K33" t="s">
        <v>40</v>
      </c>
      <c r="L33" t="s">
        <v>41</v>
      </c>
      <c r="M33" t="s">
        <v>42</v>
      </c>
      <c r="N33" s="7">
        <v>1</v>
      </c>
      <c r="O33" s="8">
        <v>45121.702118055553</v>
      </c>
      <c r="P33" s="9">
        <v>45125</v>
      </c>
      <c r="Q33" t="s">
        <v>36</v>
      </c>
      <c r="R33" t="s">
        <v>43</v>
      </c>
      <c r="S33" t="s">
        <v>44</v>
      </c>
      <c r="T33" t="s">
        <v>170</v>
      </c>
      <c r="U33" t="s">
        <v>171</v>
      </c>
      <c r="V33">
        <v>89008</v>
      </c>
      <c r="W33" t="s">
        <v>172</v>
      </c>
      <c r="X33" t="s">
        <v>44</v>
      </c>
      <c r="Y33" t="s">
        <v>48</v>
      </c>
      <c r="Z33" s="12">
        <f>IF(N33&lt;=1,13,IF(N33&lt;=2,23,IF(N33&lt;=3,35,IF(N33&lt;=4,43,IF(N33&lt;=5,53,IF(N33&lt;=6,63,IF(N33&lt;=7,71,IF(N33&lt;=8,79,IF(N33&lt;=9,87,IF(N33&lt;=10,95,IF(N33&lt;=11,105,IF(N33&lt;=12,114,IF(N33&lt;=13,119,IF(N33&lt;=14,127,IF(N33&lt;=15,135,IF(N33&lt;=16,143,IF(N33&lt;=17,153,IF(N33&lt;=18,163,IF(N33&lt;=19,171,IF(N33&lt;=20,185,IF(N33&lt;=21,193,IF(N33&lt;=22,201,IF(N33&lt;=23,210,IF(N33&lt;=24,220,IF(N33&lt;=25,230,IF(N33&lt;=26,240,IF(N33&lt;=27,250,IF(N33&lt;=28,260,IF(N33&lt;=29,270,IF(N33&lt;=30,280,280+10*ROUNDUP(N33-30,0)))))))))))))))))))))))))))))))</f>
        <v>13</v>
      </c>
      <c r="AA33" s="11">
        <v>0</v>
      </c>
      <c r="AB33" s="11">
        <v>0</v>
      </c>
      <c r="AC33" s="11">
        <v>0</v>
      </c>
      <c r="AD33" s="11">
        <v>0</v>
      </c>
      <c r="AE33" s="11">
        <f>(Z33+AB33+AD33)*6%</f>
        <v>0.78</v>
      </c>
      <c r="AF33" s="11">
        <f>Z33+AB33+AD33+AE33</f>
        <v>13.78</v>
      </c>
      <c r="AG33" t="s">
        <v>172</v>
      </c>
    </row>
    <row r="34" spans="1:33" ht="15" customHeight="1" x14ac:dyDescent="0.35">
      <c r="A34">
        <v>690929</v>
      </c>
      <c r="B34" t="s">
        <v>33</v>
      </c>
      <c r="C34" t="s">
        <v>34</v>
      </c>
      <c r="D34" s="6" t="s">
        <v>33</v>
      </c>
      <c r="E34" t="s">
        <v>173</v>
      </c>
      <c r="F34" t="s">
        <v>36</v>
      </c>
      <c r="G34" t="s">
        <v>37</v>
      </c>
      <c r="H34" t="s">
        <v>174</v>
      </c>
      <c r="I34" t="s">
        <v>39</v>
      </c>
      <c r="J34">
        <v>2</v>
      </c>
      <c r="K34" t="s">
        <v>40</v>
      </c>
      <c r="L34" t="s">
        <v>41</v>
      </c>
      <c r="M34" t="s">
        <v>42</v>
      </c>
      <c r="N34" s="7">
        <v>1</v>
      </c>
      <c r="O34" s="8">
        <v>45122.414849537039</v>
      </c>
      <c r="P34" s="9">
        <v>45125</v>
      </c>
      <c r="Q34" t="s">
        <v>36</v>
      </c>
      <c r="R34" t="s">
        <v>43</v>
      </c>
      <c r="S34" t="s">
        <v>44</v>
      </c>
      <c r="T34" t="s">
        <v>175</v>
      </c>
      <c r="U34" t="s">
        <v>176</v>
      </c>
      <c r="V34">
        <v>87000</v>
      </c>
      <c r="W34" t="s">
        <v>172</v>
      </c>
      <c r="X34" t="s">
        <v>47</v>
      </c>
      <c r="Y34" t="s">
        <v>48</v>
      </c>
      <c r="Z34" s="12">
        <f>IF(N34&lt;=1,13,IF(N34&lt;=2,23,IF(N34&lt;=3,35,IF(N34&lt;=4,43,IF(N34&lt;=5,53,IF(N34&lt;=6,63,IF(N34&lt;=7,71,IF(N34&lt;=8,79,IF(N34&lt;=9,87,IF(N34&lt;=10,95,IF(N34&lt;=11,105,IF(N34&lt;=12,114,IF(N34&lt;=13,119,IF(N34&lt;=14,127,IF(N34&lt;=15,135,IF(N34&lt;=16,143,IF(N34&lt;=17,153,IF(N34&lt;=18,163,IF(N34&lt;=19,171,IF(N34&lt;=20,185,IF(N34&lt;=21,193,IF(N34&lt;=22,201,IF(N34&lt;=23,210,IF(N34&lt;=24,220,IF(N34&lt;=25,230,IF(N34&lt;=26,240,IF(N34&lt;=27,250,IF(N34&lt;=28,260,IF(N34&lt;=29,270,IF(N34&lt;=30,280,280+10*ROUNDUP(N34-30,0)))))))))))))))))))))))))))))))</f>
        <v>13</v>
      </c>
      <c r="AA34" s="11">
        <v>0</v>
      </c>
      <c r="AB34" s="11">
        <v>0</v>
      </c>
      <c r="AC34" s="11">
        <v>0</v>
      </c>
      <c r="AD34" s="11">
        <v>0</v>
      </c>
      <c r="AE34" s="11">
        <f>(Z34+AB34+AD34)*6%</f>
        <v>0.78</v>
      </c>
      <c r="AF34" s="11">
        <f>Z34+AB34+AD34+AE34</f>
        <v>13.78</v>
      </c>
      <c r="AG34" t="s">
        <v>172</v>
      </c>
    </row>
    <row r="35" spans="1:33" ht="15" customHeight="1" x14ac:dyDescent="0.35">
      <c r="A35">
        <v>690929</v>
      </c>
      <c r="B35" t="s">
        <v>33</v>
      </c>
      <c r="C35" t="s">
        <v>34</v>
      </c>
      <c r="D35" s="6" t="s">
        <v>33</v>
      </c>
      <c r="E35" t="s">
        <v>177</v>
      </c>
      <c r="F35" t="s">
        <v>36</v>
      </c>
      <c r="G35" t="s">
        <v>37</v>
      </c>
      <c r="H35" t="s">
        <v>178</v>
      </c>
      <c r="I35" t="s">
        <v>39</v>
      </c>
      <c r="J35">
        <v>2</v>
      </c>
      <c r="K35" t="s">
        <v>40</v>
      </c>
      <c r="L35" t="s">
        <v>41</v>
      </c>
      <c r="M35" t="s">
        <v>42</v>
      </c>
      <c r="N35" s="7">
        <v>3</v>
      </c>
      <c r="O35" s="8">
        <v>45124.726643518516</v>
      </c>
      <c r="P35" s="9">
        <v>45125</v>
      </c>
      <c r="Q35" t="s">
        <v>36</v>
      </c>
      <c r="R35" t="s">
        <v>43</v>
      </c>
      <c r="S35" t="s">
        <v>44</v>
      </c>
      <c r="T35" t="s">
        <v>57</v>
      </c>
      <c r="U35" t="s">
        <v>179</v>
      </c>
      <c r="V35">
        <v>43000</v>
      </c>
      <c r="W35" t="s">
        <v>43</v>
      </c>
      <c r="X35" t="s">
        <v>180</v>
      </c>
      <c r="Y35" t="s">
        <v>48</v>
      </c>
      <c r="Z35" s="10">
        <f>IF(N35&lt;=1,7,7+0.8*ROUNDUP(N35-1,0))</f>
        <v>8.6</v>
      </c>
      <c r="AA35" s="11">
        <v>0</v>
      </c>
      <c r="AB35" s="11">
        <v>0</v>
      </c>
      <c r="AC35" s="11">
        <v>0</v>
      </c>
      <c r="AD35" s="11">
        <v>0</v>
      </c>
      <c r="AE35" s="11">
        <f>(Z35+AB35+AD35)*6%</f>
        <v>0.51600000000000001</v>
      </c>
      <c r="AF35" s="11">
        <f>Z35+AB35+AD35+AE35</f>
        <v>9.1159999999999997</v>
      </c>
      <c r="AG35" t="s">
        <v>43</v>
      </c>
    </row>
    <row r="36" spans="1:33" ht="15" customHeight="1" x14ac:dyDescent="0.35">
      <c r="A36">
        <v>690929</v>
      </c>
      <c r="B36" t="s">
        <v>33</v>
      </c>
      <c r="C36" t="s">
        <v>34</v>
      </c>
      <c r="D36" s="6" t="s">
        <v>33</v>
      </c>
      <c r="E36" t="s">
        <v>181</v>
      </c>
      <c r="F36" t="s">
        <v>36</v>
      </c>
      <c r="G36" t="s">
        <v>37</v>
      </c>
      <c r="H36" t="s">
        <v>182</v>
      </c>
      <c r="I36" t="s">
        <v>39</v>
      </c>
      <c r="J36">
        <v>2</v>
      </c>
      <c r="K36" t="s">
        <v>40</v>
      </c>
      <c r="L36" t="s">
        <v>41</v>
      </c>
      <c r="M36" t="s">
        <v>42</v>
      </c>
      <c r="N36" s="7">
        <v>2</v>
      </c>
      <c r="O36" s="8">
        <v>45123.766574074078</v>
      </c>
      <c r="P36" s="9">
        <v>45125</v>
      </c>
      <c r="Q36" t="s">
        <v>36</v>
      </c>
      <c r="R36" t="s">
        <v>43</v>
      </c>
      <c r="S36" t="s">
        <v>44</v>
      </c>
      <c r="T36" t="s">
        <v>89</v>
      </c>
      <c r="U36" t="s">
        <v>183</v>
      </c>
      <c r="V36">
        <v>25200</v>
      </c>
      <c r="W36" t="s">
        <v>43</v>
      </c>
      <c r="X36" t="s">
        <v>184</v>
      </c>
      <c r="Y36" t="s">
        <v>48</v>
      </c>
      <c r="Z36" s="10">
        <f>IF(N36&lt;=1,7,7+0.8*ROUNDUP(N36-1,0))</f>
        <v>7.8</v>
      </c>
      <c r="AA36" s="11">
        <v>0</v>
      </c>
      <c r="AB36" s="11">
        <v>0</v>
      </c>
      <c r="AC36" s="11">
        <v>0</v>
      </c>
      <c r="AD36" s="11">
        <v>0</v>
      </c>
      <c r="AE36" s="11">
        <f>(Z36+AB36+AD36)*6%</f>
        <v>0.46799999999999997</v>
      </c>
      <c r="AF36" s="11">
        <f>Z36+AB36+AD36+AE36</f>
        <v>8.2680000000000007</v>
      </c>
      <c r="AG36" t="s">
        <v>43</v>
      </c>
    </row>
    <row r="37" spans="1:33" ht="15" customHeight="1" x14ac:dyDescent="0.35">
      <c r="A37">
        <v>690929</v>
      </c>
      <c r="B37" t="s">
        <v>33</v>
      </c>
      <c r="C37" t="s">
        <v>34</v>
      </c>
      <c r="D37" s="6" t="s">
        <v>33</v>
      </c>
      <c r="E37" t="s">
        <v>185</v>
      </c>
      <c r="F37" t="s">
        <v>36</v>
      </c>
      <c r="G37" t="s">
        <v>37</v>
      </c>
      <c r="H37" t="s">
        <v>186</v>
      </c>
      <c r="I37" t="s">
        <v>39</v>
      </c>
      <c r="J37">
        <v>2</v>
      </c>
      <c r="K37" t="s">
        <v>40</v>
      </c>
      <c r="L37" t="s">
        <v>41</v>
      </c>
      <c r="M37" t="s">
        <v>42</v>
      </c>
      <c r="N37" s="7">
        <v>1</v>
      </c>
      <c r="O37" s="8">
        <v>45124.690474537034</v>
      </c>
      <c r="P37" s="9">
        <v>45125</v>
      </c>
      <c r="Q37" t="s">
        <v>36</v>
      </c>
      <c r="R37" t="s">
        <v>43</v>
      </c>
      <c r="S37" t="s">
        <v>44</v>
      </c>
      <c r="T37" t="s">
        <v>57</v>
      </c>
      <c r="U37" t="s">
        <v>187</v>
      </c>
      <c r="V37">
        <v>53100</v>
      </c>
      <c r="W37" t="s">
        <v>43</v>
      </c>
      <c r="X37" t="s">
        <v>188</v>
      </c>
      <c r="Y37" t="s">
        <v>48</v>
      </c>
      <c r="Z37" s="10">
        <f>IF(N37&lt;=1,7,7+0.8*ROUNDUP(N37-1,0))</f>
        <v>7</v>
      </c>
      <c r="AA37" s="11">
        <v>0</v>
      </c>
      <c r="AB37" s="11">
        <v>0</v>
      </c>
      <c r="AC37" s="11">
        <v>0</v>
      </c>
      <c r="AD37" s="11">
        <v>0</v>
      </c>
      <c r="AE37" s="11">
        <f>(Z37+AB37+AD37)*6%</f>
        <v>0.42</v>
      </c>
      <c r="AF37" s="11">
        <f>Z37+AB37+AD37+AE37</f>
        <v>7.42</v>
      </c>
      <c r="AG37" t="s">
        <v>43</v>
      </c>
    </row>
    <row r="38" spans="1:33" ht="15" customHeight="1" x14ac:dyDescent="0.35">
      <c r="A38">
        <v>690929</v>
      </c>
      <c r="B38" t="s">
        <v>33</v>
      </c>
      <c r="C38" t="s">
        <v>34</v>
      </c>
      <c r="D38" s="6" t="s">
        <v>33</v>
      </c>
      <c r="E38" t="s">
        <v>189</v>
      </c>
      <c r="F38" t="s">
        <v>36</v>
      </c>
      <c r="G38" t="s">
        <v>37</v>
      </c>
      <c r="H38" t="s">
        <v>190</v>
      </c>
      <c r="I38" t="s">
        <v>39</v>
      </c>
      <c r="J38">
        <v>2</v>
      </c>
      <c r="K38" t="s">
        <v>40</v>
      </c>
      <c r="L38" t="s">
        <v>41</v>
      </c>
      <c r="M38" t="s">
        <v>42</v>
      </c>
      <c r="N38" s="7">
        <v>1</v>
      </c>
      <c r="O38" s="8">
        <v>45123.522256944445</v>
      </c>
      <c r="P38" s="9">
        <v>45125</v>
      </c>
      <c r="Q38" t="s">
        <v>36</v>
      </c>
      <c r="R38" t="s">
        <v>43</v>
      </c>
      <c r="S38" t="s">
        <v>44</v>
      </c>
      <c r="T38" t="s">
        <v>80</v>
      </c>
      <c r="U38" t="s">
        <v>191</v>
      </c>
      <c r="V38">
        <v>9000</v>
      </c>
      <c r="W38" t="s">
        <v>43</v>
      </c>
      <c r="X38" t="s">
        <v>82</v>
      </c>
      <c r="Y38" t="s">
        <v>48</v>
      </c>
      <c r="Z38" s="10">
        <f>IF(N38&lt;=1,7,7+0.8*ROUNDUP(N38-1,0))</f>
        <v>7</v>
      </c>
      <c r="AA38" s="11">
        <v>0</v>
      </c>
      <c r="AB38" s="11">
        <v>0</v>
      </c>
      <c r="AC38" s="11">
        <v>0</v>
      </c>
      <c r="AD38" s="11">
        <v>0</v>
      </c>
      <c r="AE38" s="11">
        <f>(Z38+AB38+AD38)*6%</f>
        <v>0.42</v>
      </c>
      <c r="AF38" s="11">
        <f>Z38+AB38+AD38+AE38</f>
        <v>7.42</v>
      </c>
      <c r="AG38" t="s">
        <v>43</v>
      </c>
    </row>
    <row r="39" spans="1:33" ht="15" customHeight="1" x14ac:dyDescent="0.35">
      <c r="A39">
        <v>690929</v>
      </c>
      <c r="B39" t="s">
        <v>33</v>
      </c>
      <c r="C39" t="s">
        <v>34</v>
      </c>
      <c r="D39" s="6" t="s">
        <v>33</v>
      </c>
      <c r="E39" t="s">
        <v>192</v>
      </c>
      <c r="F39" t="s">
        <v>36</v>
      </c>
      <c r="G39" t="s">
        <v>37</v>
      </c>
      <c r="H39" t="s">
        <v>193</v>
      </c>
      <c r="I39" t="s">
        <v>39</v>
      </c>
      <c r="J39">
        <v>2</v>
      </c>
      <c r="K39" t="s">
        <v>40</v>
      </c>
      <c r="L39" t="s">
        <v>41</v>
      </c>
      <c r="M39" t="s">
        <v>42</v>
      </c>
      <c r="N39" s="7">
        <v>1</v>
      </c>
      <c r="O39" s="8">
        <v>45124.697152777779</v>
      </c>
      <c r="P39" s="9">
        <v>45125</v>
      </c>
      <c r="Q39" t="s">
        <v>36</v>
      </c>
      <c r="R39" t="s">
        <v>43</v>
      </c>
      <c r="S39" t="s">
        <v>44</v>
      </c>
      <c r="T39" t="s">
        <v>194</v>
      </c>
      <c r="U39" t="s">
        <v>195</v>
      </c>
      <c r="V39">
        <v>71600</v>
      </c>
      <c r="W39" t="s">
        <v>43</v>
      </c>
      <c r="X39" t="s">
        <v>47</v>
      </c>
      <c r="Y39" t="s">
        <v>48</v>
      </c>
      <c r="Z39" s="10">
        <f>IF(N39&lt;=1,7,7+0.8*ROUNDUP(N39-1,0))</f>
        <v>7</v>
      </c>
      <c r="AA39" s="11">
        <v>0</v>
      </c>
      <c r="AB39" s="11">
        <v>0</v>
      </c>
      <c r="AC39" s="11">
        <v>0</v>
      </c>
      <c r="AD39" s="11">
        <v>0</v>
      </c>
      <c r="AE39" s="11">
        <f>(Z39+AB39+AD39)*6%</f>
        <v>0.42</v>
      </c>
      <c r="AF39" s="11">
        <f>Z39+AB39+AD39+AE39</f>
        <v>7.42</v>
      </c>
      <c r="AG39" t="s">
        <v>43</v>
      </c>
    </row>
    <row r="40" spans="1:33" ht="15" customHeight="1" x14ac:dyDescent="0.35">
      <c r="A40">
        <v>690929</v>
      </c>
      <c r="B40" t="s">
        <v>33</v>
      </c>
      <c r="C40" t="s">
        <v>34</v>
      </c>
      <c r="D40" s="6" t="s">
        <v>33</v>
      </c>
      <c r="E40" t="s">
        <v>196</v>
      </c>
      <c r="F40" t="s">
        <v>36</v>
      </c>
      <c r="G40" t="s">
        <v>37</v>
      </c>
      <c r="H40" t="s">
        <v>197</v>
      </c>
      <c r="I40" t="s">
        <v>39</v>
      </c>
      <c r="J40">
        <v>2</v>
      </c>
      <c r="K40" t="s">
        <v>40</v>
      </c>
      <c r="L40" t="s">
        <v>41</v>
      </c>
      <c r="M40" t="s">
        <v>42</v>
      </c>
      <c r="N40" s="7">
        <v>11</v>
      </c>
      <c r="O40" s="8">
        <v>45123.76021990741</v>
      </c>
      <c r="P40" s="9">
        <v>45125</v>
      </c>
      <c r="Q40" t="s">
        <v>36</v>
      </c>
      <c r="R40" t="s">
        <v>43</v>
      </c>
      <c r="S40" t="s">
        <v>44</v>
      </c>
      <c r="T40" t="s">
        <v>66</v>
      </c>
      <c r="U40" t="s">
        <v>198</v>
      </c>
      <c r="V40">
        <v>21100</v>
      </c>
      <c r="W40" t="s">
        <v>43</v>
      </c>
      <c r="X40" t="s">
        <v>199</v>
      </c>
      <c r="Y40" t="s">
        <v>48</v>
      </c>
      <c r="Z40" s="10">
        <f>IF(N40&lt;=1,7,7+0.8*ROUNDUP(N40-1,0))</f>
        <v>15</v>
      </c>
      <c r="AA40" s="11">
        <v>0</v>
      </c>
      <c r="AB40" s="11">
        <v>0</v>
      </c>
      <c r="AC40" s="11">
        <v>0</v>
      </c>
      <c r="AD40" s="11">
        <v>0</v>
      </c>
      <c r="AE40" s="11">
        <f>(Z40+AB40+AD40)*6%</f>
        <v>0.89999999999999991</v>
      </c>
      <c r="AF40" s="11">
        <f>Z40+AB40+AD40+AE40</f>
        <v>15.9</v>
      </c>
      <c r="AG40" t="s">
        <v>43</v>
      </c>
    </row>
    <row r="41" spans="1:33" ht="15" customHeight="1" x14ac:dyDescent="0.35">
      <c r="A41">
        <v>690929</v>
      </c>
      <c r="B41" t="s">
        <v>33</v>
      </c>
      <c r="C41" t="s">
        <v>34</v>
      </c>
      <c r="D41" s="6" t="s">
        <v>33</v>
      </c>
      <c r="E41" t="s">
        <v>200</v>
      </c>
      <c r="F41" t="s">
        <v>36</v>
      </c>
      <c r="G41" t="s">
        <v>37</v>
      </c>
      <c r="H41" t="s">
        <v>201</v>
      </c>
      <c r="I41" t="s">
        <v>39</v>
      </c>
      <c r="J41">
        <v>2</v>
      </c>
      <c r="K41" t="s">
        <v>40</v>
      </c>
      <c r="L41" t="s">
        <v>41</v>
      </c>
      <c r="M41" t="s">
        <v>42</v>
      </c>
      <c r="N41" s="7">
        <v>1</v>
      </c>
      <c r="O41" s="8">
        <v>45124.726643518516</v>
      </c>
      <c r="P41" s="9">
        <v>45125</v>
      </c>
      <c r="Q41" t="s">
        <v>36</v>
      </c>
      <c r="R41" t="s">
        <v>43</v>
      </c>
      <c r="S41" t="s">
        <v>44</v>
      </c>
      <c r="T41" t="s">
        <v>109</v>
      </c>
      <c r="U41" t="s">
        <v>202</v>
      </c>
      <c r="V41">
        <v>17010</v>
      </c>
      <c r="W41" t="s">
        <v>43</v>
      </c>
      <c r="X41" t="s">
        <v>44</v>
      </c>
      <c r="Y41" t="s">
        <v>48</v>
      </c>
      <c r="Z41" s="10">
        <f>IF(N41&lt;=1,7,7+0.8*ROUNDUP(N41-1,0))</f>
        <v>7</v>
      </c>
      <c r="AA41" s="11">
        <v>0</v>
      </c>
      <c r="AB41" s="11">
        <v>0</v>
      </c>
      <c r="AC41" s="11">
        <v>0</v>
      </c>
      <c r="AD41" s="11">
        <v>0</v>
      </c>
      <c r="AE41" s="11">
        <f>(Z41+AB41+AD41)*6%</f>
        <v>0.42</v>
      </c>
      <c r="AF41" s="11">
        <f>Z41+AB41+AD41+AE41</f>
        <v>7.42</v>
      </c>
      <c r="AG41" t="s">
        <v>43</v>
      </c>
    </row>
    <row r="42" spans="1:33" ht="15" customHeight="1" x14ac:dyDescent="0.35">
      <c r="A42">
        <v>690929</v>
      </c>
      <c r="B42" t="s">
        <v>33</v>
      </c>
      <c r="C42" t="s">
        <v>34</v>
      </c>
      <c r="D42" s="6" t="s">
        <v>33</v>
      </c>
      <c r="E42" t="s">
        <v>203</v>
      </c>
      <c r="F42" t="s">
        <v>36</v>
      </c>
      <c r="G42" t="s">
        <v>37</v>
      </c>
      <c r="H42" t="s">
        <v>204</v>
      </c>
      <c r="I42" t="s">
        <v>39</v>
      </c>
      <c r="J42">
        <v>2</v>
      </c>
      <c r="K42" t="s">
        <v>40</v>
      </c>
      <c r="L42" t="s">
        <v>41</v>
      </c>
      <c r="M42" t="s">
        <v>42</v>
      </c>
      <c r="N42" s="7">
        <v>1</v>
      </c>
      <c r="O42" s="8">
        <v>45123.522256944445</v>
      </c>
      <c r="P42" s="9">
        <v>45125</v>
      </c>
      <c r="Q42" t="s">
        <v>36</v>
      </c>
      <c r="R42" t="s">
        <v>43</v>
      </c>
      <c r="S42" t="s">
        <v>44</v>
      </c>
      <c r="T42" t="s">
        <v>194</v>
      </c>
      <c r="U42" t="s">
        <v>205</v>
      </c>
      <c r="V42">
        <v>71800</v>
      </c>
      <c r="W42" t="s">
        <v>43</v>
      </c>
      <c r="X42" t="s">
        <v>206</v>
      </c>
      <c r="Y42" t="s">
        <v>48</v>
      </c>
      <c r="Z42" s="10">
        <f>IF(N42&lt;=1,7,7+0.8*ROUNDUP(N42-1,0))</f>
        <v>7</v>
      </c>
      <c r="AA42" s="11">
        <v>0</v>
      </c>
      <c r="AB42" s="11">
        <v>0</v>
      </c>
      <c r="AC42" s="11">
        <v>0</v>
      </c>
      <c r="AD42" s="11">
        <v>0</v>
      </c>
      <c r="AE42" s="11">
        <f>(Z42+AB42+AD42)*6%</f>
        <v>0.42</v>
      </c>
      <c r="AF42" s="11">
        <f>Z42+AB42+AD42+AE42</f>
        <v>7.42</v>
      </c>
      <c r="AG42" t="s">
        <v>43</v>
      </c>
    </row>
    <row r="43" spans="1:33" ht="15" customHeight="1" x14ac:dyDescent="0.35">
      <c r="A43">
        <v>690929</v>
      </c>
      <c r="B43" t="s">
        <v>33</v>
      </c>
      <c r="C43" t="s">
        <v>34</v>
      </c>
      <c r="D43" s="6" t="s">
        <v>33</v>
      </c>
      <c r="E43" t="s">
        <v>207</v>
      </c>
      <c r="F43" t="s">
        <v>36</v>
      </c>
      <c r="G43" t="s">
        <v>37</v>
      </c>
      <c r="H43" t="s">
        <v>208</v>
      </c>
      <c r="I43" t="s">
        <v>39</v>
      </c>
      <c r="J43">
        <v>2</v>
      </c>
      <c r="K43" t="s">
        <v>40</v>
      </c>
      <c r="L43" t="s">
        <v>41</v>
      </c>
      <c r="M43" t="s">
        <v>42</v>
      </c>
      <c r="N43" s="7">
        <v>1</v>
      </c>
      <c r="O43" s="8">
        <v>45123.526631944442</v>
      </c>
      <c r="P43" s="9">
        <v>45125</v>
      </c>
      <c r="Q43" t="s">
        <v>36</v>
      </c>
      <c r="R43" t="s">
        <v>43</v>
      </c>
      <c r="S43" t="s">
        <v>44</v>
      </c>
      <c r="T43" t="s">
        <v>51</v>
      </c>
      <c r="U43" t="s">
        <v>209</v>
      </c>
      <c r="V43">
        <v>32040</v>
      </c>
      <c r="W43" t="s">
        <v>43</v>
      </c>
      <c r="X43" t="s">
        <v>47</v>
      </c>
      <c r="Y43" t="s">
        <v>48</v>
      </c>
      <c r="Z43" s="10">
        <f>IF(N43&lt;=1,7,7+0.8*ROUNDUP(N43-1,0))</f>
        <v>7</v>
      </c>
      <c r="AA43" s="11">
        <v>0</v>
      </c>
      <c r="AB43" s="11">
        <v>0</v>
      </c>
      <c r="AC43" s="11">
        <v>0</v>
      </c>
      <c r="AD43" s="11">
        <v>0</v>
      </c>
      <c r="AE43" s="11">
        <f>(Z43+AB43+AD43)*6%</f>
        <v>0.42</v>
      </c>
      <c r="AF43" s="11">
        <f>Z43+AB43+AD43+AE43</f>
        <v>7.42</v>
      </c>
      <c r="AG43" t="s">
        <v>43</v>
      </c>
    </row>
    <row r="44" spans="1:33" ht="15" customHeight="1" x14ac:dyDescent="0.35">
      <c r="A44">
        <v>690929</v>
      </c>
      <c r="B44" t="s">
        <v>33</v>
      </c>
      <c r="C44" t="s">
        <v>34</v>
      </c>
      <c r="D44" s="6" t="s">
        <v>33</v>
      </c>
      <c r="E44" t="s">
        <v>210</v>
      </c>
      <c r="F44" t="s">
        <v>36</v>
      </c>
      <c r="G44" t="s">
        <v>37</v>
      </c>
      <c r="H44" t="s">
        <v>211</v>
      </c>
      <c r="I44" t="s">
        <v>39</v>
      </c>
      <c r="J44">
        <v>2</v>
      </c>
      <c r="K44" t="s">
        <v>40</v>
      </c>
      <c r="L44" t="s">
        <v>41</v>
      </c>
      <c r="M44" t="s">
        <v>42</v>
      </c>
      <c r="N44" s="7">
        <v>1</v>
      </c>
      <c r="O44" s="8">
        <v>45124.470046296294</v>
      </c>
      <c r="P44" s="9">
        <v>45125</v>
      </c>
      <c r="Q44" t="s">
        <v>36</v>
      </c>
      <c r="R44" t="s">
        <v>43</v>
      </c>
      <c r="S44" t="s">
        <v>47</v>
      </c>
      <c r="T44" t="s">
        <v>57</v>
      </c>
      <c r="U44" t="s">
        <v>212</v>
      </c>
      <c r="V44">
        <v>41000</v>
      </c>
      <c r="W44" t="s">
        <v>43</v>
      </c>
      <c r="X44" t="s">
        <v>136</v>
      </c>
      <c r="Y44" t="s">
        <v>48</v>
      </c>
      <c r="Z44" s="10">
        <f>IF(N44&lt;=1,7,7+0.8*ROUNDUP(N44-1,0))</f>
        <v>7</v>
      </c>
      <c r="AA44" s="11">
        <v>0</v>
      </c>
      <c r="AB44" s="11">
        <v>0</v>
      </c>
      <c r="AC44" s="11">
        <v>0</v>
      </c>
      <c r="AD44" s="11">
        <v>0</v>
      </c>
      <c r="AE44" s="11">
        <f>(Z44+AB44+AD44)*6%</f>
        <v>0.42</v>
      </c>
      <c r="AF44" s="11">
        <f>Z44+AB44+AD44+AE44</f>
        <v>7.42</v>
      </c>
      <c r="AG44" t="s">
        <v>43</v>
      </c>
    </row>
    <row r="45" spans="1:33" ht="15" customHeight="1" x14ac:dyDescent="0.35">
      <c r="A45">
        <v>690929</v>
      </c>
      <c r="B45" t="s">
        <v>33</v>
      </c>
      <c r="C45" t="s">
        <v>34</v>
      </c>
      <c r="D45" s="6" t="s">
        <v>33</v>
      </c>
      <c r="E45" t="s">
        <v>213</v>
      </c>
      <c r="F45" t="s">
        <v>36</v>
      </c>
      <c r="G45" t="s">
        <v>37</v>
      </c>
      <c r="H45" t="s">
        <v>214</v>
      </c>
      <c r="I45" t="s">
        <v>39</v>
      </c>
      <c r="J45">
        <v>2</v>
      </c>
      <c r="K45" t="s">
        <v>40</v>
      </c>
      <c r="L45" t="s">
        <v>41</v>
      </c>
      <c r="M45" t="s">
        <v>42</v>
      </c>
      <c r="N45" s="7">
        <v>1</v>
      </c>
      <c r="O45" s="8">
        <v>45123.705011574071</v>
      </c>
      <c r="P45" s="9">
        <v>45125</v>
      </c>
      <c r="Q45" t="s">
        <v>36</v>
      </c>
      <c r="R45" t="s">
        <v>43</v>
      </c>
      <c r="S45" t="s">
        <v>44</v>
      </c>
      <c r="T45" t="s">
        <v>194</v>
      </c>
      <c r="U45" t="s">
        <v>215</v>
      </c>
      <c r="V45">
        <v>72400</v>
      </c>
      <c r="W45" t="s">
        <v>43</v>
      </c>
      <c r="X45" t="s">
        <v>216</v>
      </c>
      <c r="Y45" t="s">
        <v>48</v>
      </c>
      <c r="Z45" s="10">
        <f>IF(N45&lt;=1,7,7+0.8*ROUNDUP(N45-1,0))</f>
        <v>7</v>
      </c>
      <c r="AA45" s="11">
        <v>0</v>
      </c>
      <c r="AB45" s="11">
        <v>0</v>
      </c>
      <c r="AC45" s="11">
        <v>0</v>
      </c>
      <c r="AD45" s="11">
        <v>0</v>
      </c>
      <c r="AE45" s="11">
        <f>(Z45+AB45+AD45)*6%</f>
        <v>0.42</v>
      </c>
      <c r="AF45" s="11">
        <f>Z45+AB45+AD45+AE45</f>
        <v>7.42</v>
      </c>
      <c r="AG45" t="s">
        <v>43</v>
      </c>
    </row>
    <row r="46" spans="1:33" ht="15" customHeight="1" x14ac:dyDescent="0.35">
      <c r="A46">
        <v>690929</v>
      </c>
      <c r="B46" t="s">
        <v>33</v>
      </c>
      <c r="C46" t="s">
        <v>34</v>
      </c>
      <c r="D46" s="6" t="s">
        <v>33</v>
      </c>
      <c r="E46" t="s">
        <v>217</v>
      </c>
      <c r="F46" t="s">
        <v>36</v>
      </c>
      <c r="G46" t="s">
        <v>37</v>
      </c>
      <c r="H46" t="s">
        <v>218</v>
      </c>
      <c r="I46" t="s">
        <v>39</v>
      </c>
      <c r="J46">
        <v>2</v>
      </c>
      <c r="K46" t="s">
        <v>40</v>
      </c>
      <c r="L46" t="s">
        <v>41</v>
      </c>
      <c r="M46" t="s">
        <v>42</v>
      </c>
      <c r="N46" s="7">
        <v>1</v>
      </c>
      <c r="O46" s="8">
        <v>45123.514224537037</v>
      </c>
      <c r="P46" s="9">
        <v>45125</v>
      </c>
      <c r="Q46" t="s">
        <v>36</v>
      </c>
      <c r="R46" t="s">
        <v>43</v>
      </c>
      <c r="S46" t="s">
        <v>44</v>
      </c>
      <c r="T46" t="s">
        <v>61</v>
      </c>
      <c r="U46" t="s">
        <v>219</v>
      </c>
      <c r="V46">
        <v>81930</v>
      </c>
      <c r="W46" t="s">
        <v>43</v>
      </c>
      <c r="X46" t="s">
        <v>220</v>
      </c>
      <c r="Y46" t="s">
        <v>48</v>
      </c>
      <c r="Z46" s="10">
        <f>IF(N46&lt;=1,7,7+0.8*ROUNDUP(N46-1,0))</f>
        <v>7</v>
      </c>
      <c r="AA46" s="11">
        <v>0</v>
      </c>
      <c r="AB46" s="11">
        <v>0</v>
      </c>
      <c r="AC46" s="11">
        <v>0</v>
      </c>
      <c r="AD46" s="11">
        <v>0</v>
      </c>
      <c r="AE46" s="11">
        <f>(Z46+AB46+AD46)*6%</f>
        <v>0.42</v>
      </c>
      <c r="AF46" s="11">
        <f>Z46+AB46+AD46+AE46</f>
        <v>7.42</v>
      </c>
      <c r="AG46" t="s">
        <v>43</v>
      </c>
    </row>
    <row r="47" spans="1:33" ht="15" customHeight="1" x14ac:dyDescent="0.35">
      <c r="A47">
        <v>690929</v>
      </c>
      <c r="B47" t="s">
        <v>33</v>
      </c>
      <c r="C47" t="s">
        <v>34</v>
      </c>
      <c r="D47" s="6" t="s">
        <v>33</v>
      </c>
      <c r="E47" t="s">
        <v>221</v>
      </c>
      <c r="F47" t="s">
        <v>36</v>
      </c>
      <c r="G47" t="s">
        <v>37</v>
      </c>
      <c r="H47" t="s">
        <v>222</v>
      </c>
      <c r="I47" t="s">
        <v>39</v>
      </c>
      <c r="J47">
        <v>2</v>
      </c>
      <c r="K47" t="s">
        <v>40</v>
      </c>
      <c r="L47" t="s">
        <v>41</v>
      </c>
      <c r="M47" t="s">
        <v>42</v>
      </c>
      <c r="N47" s="7">
        <v>1</v>
      </c>
      <c r="O47" s="8">
        <v>45123.668877314813</v>
      </c>
      <c r="P47" s="9">
        <v>45125</v>
      </c>
      <c r="Q47" t="s">
        <v>36</v>
      </c>
      <c r="R47" t="s">
        <v>43</v>
      </c>
      <c r="S47" t="s">
        <v>44</v>
      </c>
      <c r="T47" t="s">
        <v>57</v>
      </c>
      <c r="U47" t="s">
        <v>223</v>
      </c>
      <c r="V47">
        <v>42300</v>
      </c>
      <c r="W47" t="s">
        <v>43</v>
      </c>
      <c r="X47" t="s">
        <v>47</v>
      </c>
      <c r="Y47" t="s">
        <v>48</v>
      </c>
      <c r="Z47" s="10">
        <f>IF(N47&lt;=1,7,7+0.8*ROUNDUP(N47-1,0))</f>
        <v>7</v>
      </c>
      <c r="AA47" s="11">
        <v>0</v>
      </c>
      <c r="AB47" s="11">
        <v>0</v>
      </c>
      <c r="AC47" s="11">
        <v>0</v>
      </c>
      <c r="AD47" s="11">
        <v>0</v>
      </c>
      <c r="AE47" s="11">
        <f>(Z47+AB47+AD47)*6%</f>
        <v>0.42</v>
      </c>
      <c r="AF47" s="11">
        <f>Z47+AB47+AD47+AE47</f>
        <v>7.42</v>
      </c>
      <c r="AG47" t="s">
        <v>43</v>
      </c>
    </row>
    <row r="48" spans="1:33" ht="15" customHeight="1" x14ac:dyDescent="0.35">
      <c r="A48">
        <v>690929</v>
      </c>
      <c r="B48" t="s">
        <v>33</v>
      </c>
      <c r="C48" t="s">
        <v>34</v>
      </c>
      <c r="D48" s="6" t="s">
        <v>33</v>
      </c>
      <c r="E48" t="s">
        <v>224</v>
      </c>
      <c r="F48" t="s">
        <v>36</v>
      </c>
      <c r="G48" t="s">
        <v>37</v>
      </c>
      <c r="H48" t="s">
        <v>225</v>
      </c>
      <c r="I48" t="s">
        <v>39</v>
      </c>
      <c r="J48">
        <v>2</v>
      </c>
      <c r="K48" t="s">
        <v>40</v>
      </c>
      <c r="L48" t="s">
        <v>41</v>
      </c>
      <c r="M48" t="s">
        <v>42</v>
      </c>
      <c r="N48" s="7">
        <v>1</v>
      </c>
      <c r="O48" s="8">
        <v>45125.635081018518</v>
      </c>
      <c r="P48" s="9">
        <v>45126</v>
      </c>
      <c r="Q48" t="s">
        <v>36</v>
      </c>
      <c r="R48" t="s">
        <v>43</v>
      </c>
      <c r="S48" t="s">
        <v>44</v>
      </c>
      <c r="T48" t="s">
        <v>57</v>
      </c>
      <c r="U48" t="s">
        <v>226</v>
      </c>
      <c r="V48">
        <v>47150</v>
      </c>
      <c r="W48" t="s">
        <v>43</v>
      </c>
      <c r="X48" t="s">
        <v>227</v>
      </c>
      <c r="Y48" t="s">
        <v>48</v>
      </c>
      <c r="Z48" s="10">
        <f>IF(N48&lt;=1,7,7+0.8*ROUNDUP(N48-1,0))</f>
        <v>7</v>
      </c>
      <c r="AA48" s="11">
        <v>0</v>
      </c>
      <c r="AB48" s="11">
        <v>0</v>
      </c>
      <c r="AC48" s="11">
        <v>0</v>
      </c>
      <c r="AD48" s="11">
        <v>0</v>
      </c>
      <c r="AE48" s="11">
        <f>(Z48+AB48+AD48)*6%</f>
        <v>0.42</v>
      </c>
      <c r="AF48" s="11">
        <f>Z48+AB48+AD48+AE48</f>
        <v>7.42</v>
      </c>
      <c r="AG48" t="s">
        <v>43</v>
      </c>
    </row>
    <row r="49" spans="1:33" ht="15" customHeight="1" x14ac:dyDescent="0.35">
      <c r="A49">
        <v>690929</v>
      </c>
      <c r="B49" t="s">
        <v>33</v>
      </c>
      <c r="C49" t="s">
        <v>34</v>
      </c>
      <c r="D49" s="6" t="s">
        <v>33</v>
      </c>
      <c r="E49" t="s">
        <v>228</v>
      </c>
      <c r="F49" t="s">
        <v>36</v>
      </c>
      <c r="G49" t="s">
        <v>37</v>
      </c>
      <c r="H49" t="s">
        <v>229</v>
      </c>
      <c r="I49" t="s">
        <v>39</v>
      </c>
      <c r="J49">
        <v>2</v>
      </c>
      <c r="K49" t="s">
        <v>40</v>
      </c>
      <c r="L49" t="s">
        <v>41</v>
      </c>
      <c r="M49" t="s">
        <v>42</v>
      </c>
      <c r="N49" s="7">
        <v>1</v>
      </c>
      <c r="O49" s="8">
        <v>45124.470046296294</v>
      </c>
      <c r="P49" s="9">
        <v>45126</v>
      </c>
      <c r="Q49" t="s">
        <v>36</v>
      </c>
      <c r="R49" t="s">
        <v>43</v>
      </c>
      <c r="S49" t="s">
        <v>47</v>
      </c>
      <c r="T49" t="s">
        <v>66</v>
      </c>
      <c r="U49" t="s">
        <v>230</v>
      </c>
      <c r="V49">
        <v>24000</v>
      </c>
      <c r="W49" t="s">
        <v>43</v>
      </c>
      <c r="X49" t="s">
        <v>47</v>
      </c>
      <c r="Y49" t="s">
        <v>48</v>
      </c>
      <c r="Z49" s="10">
        <f>IF(N49&lt;=1,7,7+0.8*ROUNDUP(N49-1,0))</f>
        <v>7</v>
      </c>
      <c r="AA49" s="11">
        <v>0</v>
      </c>
      <c r="AB49" s="11">
        <v>0</v>
      </c>
      <c r="AC49" s="11">
        <v>0</v>
      </c>
      <c r="AD49" s="11">
        <v>0</v>
      </c>
      <c r="AE49" s="11">
        <f>(Z49+AB49+AD49)*6%</f>
        <v>0.42</v>
      </c>
      <c r="AF49" s="11">
        <f>Z49+AB49+AD49+AE49</f>
        <v>7.42</v>
      </c>
      <c r="AG49" t="s">
        <v>43</v>
      </c>
    </row>
    <row r="50" spans="1:33" ht="15" customHeight="1" x14ac:dyDescent="0.35">
      <c r="A50">
        <v>690929</v>
      </c>
      <c r="B50" t="s">
        <v>33</v>
      </c>
      <c r="C50" t="s">
        <v>34</v>
      </c>
      <c r="D50" s="6" t="s">
        <v>33</v>
      </c>
      <c r="E50" t="s">
        <v>231</v>
      </c>
      <c r="F50" t="s">
        <v>36</v>
      </c>
      <c r="G50" t="s">
        <v>37</v>
      </c>
      <c r="H50" t="s">
        <v>232</v>
      </c>
      <c r="I50" t="s">
        <v>39</v>
      </c>
      <c r="J50">
        <v>2</v>
      </c>
      <c r="K50" t="s">
        <v>40</v>
      </c>
      <c r="L50" t="s">
        <v>41</v>
      </c>
      <c r="M50" t="s">
        <v>42</v>
      </c>
      <c r="N50" s="7">
        <v>1</v>
      </c>
      <c r="O50" s="8">
        <v>45125.523055555554</v>
      </c>
      <c r="P50" s="9">
        <v>45126</v>
      </c>
      <c r="Q50" t="s">
        <v>36</v>
      </c>
      <c r="R50" t="s">
        <v>43</v>
      </c>
      <c r="S50" t="s">
        <v>44</v>
      </c>
      <c r="T50" t="s">
        <v>66</v>
      </c>
      <c r="U50" t="s">
        <v>233</v>
      </c>
      <c r="V50">
        <v>22200</v>
      </c>
      <c r="W50" t="s">
        <v>43</v>
      </c>
      <c r="X50" t="s">
        <v>44</v>
      </c>
      <c r="Y50" t="s">
        <v>48</v>
      </c>
      <c r="Z50" s="10">
        <f>IF(N50&lt;=1,7,7+0.8*ROUNDUP(N50-1,0))</f>
        <v>7</v>
      </c>
      <c r="AA50" s="11">
        <v>0</v>
      </c>
      <c r="AB50" s="11">
        <v>0</v>
      </c>
      <c r="AC50" s="11">
        <v>0</v>
      </c>
      <c r="AD50" s="11">
        <v>0</v>
      </c>
      <c r="AE50" s="11">
        <f>(Z50+AB50+AD50)*6%</f>
        <v>0.42</v>
      </c>
      <c r="AF50" s="11">
        <f>Z50+AB50+AD50+AE50</f>
        <v>7.42</v>
      </c>
      <c r="AG50" t="s">
        <v>43</v>
      </c>
    </row>
    <row r="51" spans="1:33" ht="15" customHeight="1" x14ac:dyDescent="0.35">
      <c r="A51">
        <v>690929</v>
      </c>
      <c r="B51" t="s">
        <v>33</v>
      </c>
      <c r="C51" t="s">
        <v>34</v>
      </c>
      <c r="D51" s="6" t="s">
        <v>33</v>
      </c>
      <c r="E51" t="s">
        <v>234</v>
      </c>
      <c r="F51" t="s">
        <v>36</v>
      </c>
      <c r="G51" t="s">
        <v>37</v>
      </c>
      <c r="H51" t="s">
        <v>235</v>
      </c>
      <c r="I51" t="s">
        <v>39</v>
      </c>
      <c r="J51">
        <v>2</v>
      </c>
      <c r="K51" t="s">
        <v>40</v>
      </c>
      <c r="L51" t="s">
        <v>41</v>
      </c>
      <c r="M51" t="s">
        <v>42</v>
      </c>
      <c r="N51" s="7">
        <v>2</v>
      </c>
      <c r="O51" s="8">
        <v>45125.734386574077</v>
      </c>
      <c r="P51" s="9">
        <v>45126</v>
      </c>
      <c r="Q51" t="s">
        <v>36</v>
      </c>
      <c r="R51" t="s">
        <v>43</v>
      </c>
      <c r="S51" t="s">
        <v>44</v>
      </c>
      <c r="T51" t="s">
        <v>89</v>
      </c>
      <c r="U51" t="s">
        <v>236</v>
      </c>
      <c r="V51">
        <v>28000</v>
      </c>
      <c r="W51" t="s">
        <v>43</v>
      </c>
      <c r="X51" t="s">
        <v>237</v>
      </c>
      <c r="Y51" t="s">
        <v>48</v>
      </c>
      <c r="Z51" s="10">
        <f>IF(N51&lt;=1,7,7+0.8*ROUNDUP(N51-1,0))</f>
        <v>7.8</v>
      </c>
      <c r="AA51" s="11">
        <v>0</v>
      </c>
      <c r="AB51" s="11">
        <v>0</v>
      </c>
      <c r="AC51" s="11">
        <v>0</v>
      </c>
      <c r="AD51" s="11">
        <v>0</v>
      </c>
      <c r="AE51" s="11">
        <f>(Z51+AB51+AD51)*6%</f>
        <v>0.46799999999999997</v>
      </c>
      <c r="AF51" s="11">
        <f>Z51+AB51+AD51+AE51</f>
        <v>8.2680000000000007</v>
      </c>
      <c r="AG51" t="s">
        <v>43</v>
      </c>
    </row>
    <row r="52" spans="1:33" ht="15" customHeight="1" x14ac:dyDescent="0.35">
      <c r="A52">
        <v>690929</v>
      </c>
      <c r="B52" t="s">
        <v>33</v>
      </c>
      <c r="C52" t="s">
        <v>34</v>
      </c>
      <c r="D52" s="6" t="s">
        <v>33</v>
      </c>
      <c r="E52" t="s">
        <v>238</v>
      </c>
      <c r="F52" t="s">
        <v>36</v>
      </c>
      <c r="G52" t="s">
        <v>37</v>
      </c>
      <c r="H52" t="s">
        <v>239</v>
      </c>
      <c r="I52" t="s">
        <v>39</v>
      </c>
      <c r="J52">
        <v>2</v>
      </c>
      <c r="K52" t="s">
        <v>40</v>
      </c>
      <c r="L52" t="s">
        <v>41</v>
      </c>
      <c r="M52" t="s">
        <v>42</v>
      </c>
      <c r="N52" s="7">
        <v>1</v>
      </c>
      <c r="O52" s="8">
        <v>45124.470046296294</v>
      </c>
      <c r="P52" s="9">
        <v>45126</v>
      </c>
      <c r="Q52" t="s">
        <v>36</v>
      </c>
      <c r="R52" t="s">
        <v>43</v>
      </c>
      <c r="S52" t="s">
        <v>47</v>
      </c>
      <c r="T52" t="s">
        <v>70</v>
      </c>
      <c r="U52" t="s">
        <v>240</v>
      </c>
      <c r="V52">
        <v>13100</v>
      </c>
      <c r="W52" t="s">
        <v>43</v>
      </c>
      <c r="X52" t="s">
        <v>47</v>
      </c>
      <c r="Y52" t="s">
        <v>48</v>
      </c>
      <c r="Z52" s="10">
        <f>IF(N52&lt;=1,7,7+0.8*ROUNDUP(N52-1,0))</f>
        <v>7</v>
      </c>
      <c r="AA52" s="11">
        <v>0</v>
      </c>
      <c r="AB52" s="11">
        <v>0</v>
      </c>
      <c r="AC52" s="11">
        <v>0</v>
      </c>
      <c r="AD52" s="11">
        <v>0</v>
      </c>
      <c r="AE52" s="11">
        <f>(Z52+AB52+AD52)*6%</f>
        <v>0.42</v>
      </c>
      <c r="AF52" s="11">
        <f>Z52+AB52+AD52+AE52</f>
        <v>7.42</v>
      </c>
      <c r="AG52" t="s">
        <v>43</v>
      </c>
    </row>
    <row r="53" spans="1:33" ht="15" customHeight="1" x14ac:dyDescent="0.35">
      <c r="A53">
        <v>690929</v>
      </c>
      <c r="B53" t="s">
        <v>33</v>
      </c>
      <c r="C53" t="s">
        <v>34</v>
      </c>
      <c r="D53" s="6" t="s">
        <v>33</v>
      </c>
      <c r="E53" t="s">
        <v>241</v>
      </c>
      <c r="F53" t="s">
        <v>36</v>
      </c>
      <c r="G53" t="s">
        <v>37</v>
      </c>
      <c r="H53" t="s">
        <v>242</v>
      </c>
      <c r="I53" t="s">
        <v>39</v>
      </c>
      <c r="J53">
        <v>2</v>
      </c>
      <c r="K53" t="s">
        <v>40</v>
      </c>
      <c r="L53" t="s">
        <v>41</v>
      </c>
      <c r="M53" t="s">
        <v>42</v>
      </c>
      <c r="N53" s="7">
        <v>1</v>
      </c>
      <c r="O53" s="8">
        <v>45124.690474537034</v>
      </c>
      <c r="P53" s="9">
        <v>45126</v>
      </c>
      <c r="Q53" t="s">
        <v>36</v>
      </c>
      <c r="R53" t="s">
        <v>43</v>
      </c>
      <c r="S53" t="s">
        <v>44</v>
      </c>
      <c r="T53" t="s">
        <v>51</v>
      </c>
      <c r="U53" t="s">
        <v>243</v>
      </c>
      <c r="V53">
        <v>30010</v>
      </c>
      <c r="W53" t="s">
        <v>43</v>
      </c>
      <c r="X53" t="s">
        <v>244</v>
      </c>
      <c r="Y53" t="s">
        <v>48</v>
      </c>
      <c r="Z53" s="10">
        <f>IF(N53&lt;=1,7,7+0.8*ROUNDUP(N53-1,0))</f>
        <v>7</v>
      </c>
      <c r="AA53" s="11">
        <v>0</v>
      </c>
      <c r="AB53" s="11">
        <v>0</v>
      </c>
      <c r="AC53" s="11">
        <v>0</v>
      </c>
      <c r="AD53" s="11">
        <v>0</v>
      </c>
      <c r="AE53" s="11">
        <f>(Z53+AB53+AD53)*6%</f>
        <v>0.42</v>
      </c>
      <c r="AF53" s="11">
        <f>Z53+AB53+AD53+AE53</f>
        <v>7.42</v>
      </c>
      <c r="AG53" t="s">
        <v>43</v>
      </c>
    </row>
    <row r="54" spans="1:33" ht="15" customHeight="1" x14ac:dyDescent="0.35">
      <c r="A54">
        <v>690929</v>
      </c>
      <c r="B54" t="s">
        <v>33</v>
      </c>
      <c r="C54" t="s">
        <v>34</v>
      </c>
      <c r="D54" s="6" t="s">
        <v>33</v>
      </c>
      <c r="E54" t="s">
        <v>245</v>
      </c>
      <c r="F54" t="s">
        <v>36</v>
      </c>
      <c r="G54" t="s">
        <v>37</v>
      </c>
      <c r="H54" t="s">
        <v>246</v>
      </c>
      <c r="I54" t="s">
        <v>39</v>
      </c>
      <c r="J54">
        <v>2</v>
      </c>
      <c r="K54" t="s">
        <v>40</v>
      </c>
      <c r="L54" t="s">
        <v>41</v>
      </c>
      <c r="M54" t="s">
        <v>42</v>
      </c>
      <c r="N54" s="7">
        <v>1</v>
      </c>
      <c r="O54" s="8">
        <v>45125.68105324074</v>
      </c>
      <c r="P54" s="9">
        <v>45126</v>
      </c>
      <c r="Q54" t="s">
        <v>36</v>
      </c>
      <c r="R54" t="s">
        <v>43</v>
      </c>
      <c r="S54" t="s">
        <v>44</v>
      </c>
      <c r="T54" t="s">
        <v>75</v>
      </c>
      <c r="U54" t="s">
        <v>247</v>
      </c>
      <c r="V54">
        <v>60000</v>
      </c>
      <c r="W54" t="s">
        <v>43</v>
      </c>
      <c r="X54" t="s">
        <v>248</v>
      </c>
      <c r="Y54" t="s">
        <v>48</v>
      </c>
      <c r="Z54" s="10">
        <f>IF(N54&lt;=1,7,7+0.8*ROUNDUP(N54-1,0))</f>
        <v>7</v>
      </c>
      <c r="AA54" s="11">
        <v>0</v>
      </c>
      <c r="AB54" s="11">
        <v>0</v>
      </c>
      <c r="AC54" s="11">
        <v>0</v>
      </c>
      <c r="AD54" s="11">
        <v>0</v>
      </c>
      <c r="AE54" s="11">
        <f>(Z54+AB54+AD54)*6%</f>
        <v>0.42</v>
      </c>
      <c r="AF54" s="11">
        <f>Z54+AB54+AD54+AE54</f>
        <v>7.42</v>
      </c>
      <c r="AG54" t="s">
        <v>43</v>
      </c>
    </row>
    <row r="55" spans="1:33" ht="15" customHeight="1" x14ac:dyDescent="0.35">
      <c r="A55">
        <v>690929</v>
      </c>
      <c r="B55" t="s">
        <v>33</v>
      </c>
      <c r="C55" t="s">
        <v>34</v>
      </c>
      <c r="D55" s="6" t="s">
        <v>33</v>
      </c>
      <c r="E55" t="s">
        <v>249</v>
      </c>
      <c r="F55" t="s">
        <v>36</v>
      </c>
      <c r="G55" t="s">
        <v>37</v>
      </c>
      <c r="H55" t="s">
        <v>250</v>
      </c>
      <c r="I55" t="s">
        <v>39</v>
      </c>
      <c r="J55">
        <v>2</v>
      </c>
      <c r="K55" t="s">
        <v>40</v>
      </c>
      <c r="L55" t="s">
        <v>41</v>
      </c>
      <c r="M55" t="s">
        <v>42</v>
      </c>
      <c r="N55" s="7">
        <v>2</v>
      </c>
      <c r="O55" s="8">
        <v>45124.652962962966</v>
      </c>
      <c r="P55" s="9">
        <v>45126</v>
      </c>
      <c r="Q55" t="s">
        <v>36</v>
      </c>
      <c r="R55" t="s">
        <v>43</v>
      </c>
      <c r="S55" t="s">
        <v>44</v>
      </c>
      <c r="T55" t="s">
        <v>61</v>
      </c>
      <c r="U55" t="s">
        <v>251</v>
      </c>
      <c r="V55">
        <v>84900</v>
      </c>
      <c r="W55" t="s">
        <v>43</v>
      </c>
      <c r="X55" t="s">
        <v>252</v>
      </c>
      <c r="Y55" t="s">
        <v>48</v>
      </c>
      <c r="Z55" s="10">
        <f>IF(N55&lt;=1,7,7+0.8*ROUNDUP(N55-1,0))</f>
        <v>7.8</v>
      </c>
      <c r="AA55" s="11">
        <v>0</v>
      </c>
      <c r="AB55" s="11">
        <v>0</v>
      </c>
      <c r="AC55" s="11">
        <v>0</v>
      </c>
      <c r="AD55" s="11">
        <v>0</v>
      </c>
      <c r="AE55" s="11">
        <f>(Z55+AB55+AD55)*6%</f>
        <v>0.46799999999999997</v>
      </c>
      <c r="AF55" s="11">
        <f>Z55+AB55+AD55+AE55</f>
        <v>8.2680000000000007</v>
      </c>
      <c r="AG55" t="s">
        <v>43</v>
      </c>
    </row>
    <row r="56" spans="1:33" ht="15" customHeight="1" x14ac:dyDescent="0.35">
      <c r="A56">
        <v>690929</v>
      </c>
      <c r="B56" t="s">
        <v>33</v>
      </c>
      <c r="C56" t="s">
        <v>34</v>
      </c>
      <c r="D56" s="6" t="s">
        <v>33</v>
      </c>
      <c r="E56" t="s">
        <v>253</v>
      </c>
      <c r="F56" t="s">
        <v>36</v>
      </c>
      <c r="G56" t="s">
        <v>37</v>
      </c>
      <c r="H56" t="s">
        <v>254</v>
      </c>
      <c r="I56" t="s">
        <v>39</v>
      </c>
      <c r="J56">
        <v>2</v>
      </c>
      <c r="K56" t="s">
        <v>40</v>
      </c>
      <c r="L56" t="s">
        <v>41</v>
      </c>
      <c r="M56" t="s">
        <v>42</v>
      </c>
      <c r="N56" s="7">
        <v>1</v>
      </c>
      <c r="O56" s="8">
        <v>45124.726643518516</v>
      </c>
      <c r="P56" s="9">
        <v>45126</v>
      </c>
      <c r="Q56" t="s">
        <v>36</v>
      </c>
      <c r="R56" t="s">
        <v>43</v>
      </c>
      <c r="S56" t="s">
        <v>44</v>
      </c>
      <c r="T56" t="s">
        <v>51</v>
      </c>
      <c r="U56" t="s">
        <v>255</v>
      </c>
      <c r="V56">
        <v>31200</v>
      </c>
      <c r="W56" t="s">
        <v>43</v>
      </c>
      <c r="X56" t="s">
        <v>47</v>
      </c>
      <c r="Y56" t="s">
        <v>48</v>
      </c>
      <c r="Z56" s="10">
        <f>IF(N56&lt;=1,7,7+0.8*ROUNDUP(N56-1,0))</f>
        <v>7</v>
      </c>
      <c r="AA56" s="11">
        <v>0</v>
      </c>
      <c r="AB56" s="11">
        <v>0</v>
      </c>
      <c r="AC56" s="11">
        <v>0</v>
      </c>
      <c r="AD56" s="11">
        <v>0</v>
      </c>
      <c r="AE56" s="11">
        <f>(Z56+AB56+AD56)*6%</f>
        <v>0.42</v>
      </c>
      <c r="AF56" s="11">
        <f>Z56+AB56+AD56+AE56</f>
        <v>7.42</v>
      </c>
      <c r="AG56" t="s">
        <v>43</v>
      </c>
    </row>
    <row r="57" spans="1:33" ht="15" customHeight="1" x14ac:dyDescent="0.35">
      <c r="A57">
        <v>690929</v>
      </c>
      <c r="B57" t="s">
        <v>33</v>
      </c>
      <c r="C57" t="s">
        <v>34</v>
      </c>
      <c r="D57" s="6" t="s">
        <v>33</v>
      </c>
      <c r="E57" t="s">
        <v>256</v>
      </c>
      <c r="F57" t="s">
        <v>36</v>
      </c>
      <c r="G57" t="s">
        <v>37</v>
      </c>
      <c r="H57" t="s">
        <v>257</v>
      </c>
      <c r="I57" t="s">
        <v>39</v>
      </c>
      <c r="J57">
        <v>2</v>
      </c>
      <c r="K57" t="s">
        <v>40</v>
      </c>
      <c r="L57" t="s">
        <v>41</v>
      </c>
      <c r="M57" t="s">
        <v>42</v>
      </c>
      <c r="N57" s="7">
        <v>4</v>
      </c>
      <c r="O57" s="8">
        <v>45124.697152777779</v>
      </c>
      <c r="P57" s="9">
        <v>45126</v>
      </c>
      <c r="Q57" t="s">
        <v>36</v>
      </c>
      <c r="R57" t="s">
        <v>43</v>
      </c>
      <c r="S57" t="s">
        <v>44</v>
      </c>
      <c r="T57" t="s">
        <v>70</v>
      </c>
      <c r="U57" t="s">
        <v>258</v>
      </c>
      <c r="V57">
        <v>13500</v>
      </c>
      <c r="W57" t="s">
        <v>43</v>
      </c>
      <c r="X57" t="s">
        <v>259</v>
      </c>
      <c r="Y57" t="s">
        <v>48</v>
      </c>
      <c r="Z57" s="10">
        <f>IF(N57&lt;=1,7,7+0.8*ROUNDUP(N57-1,0))</f>
        <v>9.4</v>
      </c>
      <c r="AA57" s="11">
        <v>0</v>
      </c>
      <c r="AB57" s="11">
        <v>0</v>
      </c>
      <c r="AC57" s="11">
        <v>0</v>
      </c>
      <c r="AD57" s="11">
        <v>0</v>
      </c>
      <c r="AE57" s="11">
        <f>(Z57+AB57+AD57)*6%</f>
        <v>0.56399999999999995</v>
      </c>
      <c r="AF57" s="11">
        <f>Z57+AB57+AD57+AE57</f>
        <v>9.9640000000000004</v>
      </c>
      <c r="AG57" t="s">
        <v>43</v>
      </c>
    </row>
    <row r="58" spans="1:33" ht="15" customHeight="1" x14ac:dyDescent="0.35">
      <c r="A58">
        <v>690929</v>
      </c>
      <c r="B58" t="s">
        <v>33</v>
      </c>
      <c r="C58" t="s">
        <v>34</v>
      </c>
      <c r="D58" s="6" t="s">
        <v>33</v>
      </c>
      <c r="E58" t="s">
        <v>260</v>
      </c>
      <c r="F58" t="s">
        <v>36</v>
      </c>
      <c r="G58" t="s">
        <v>37</v>
      </c>
      <c r="H58" t="s">
        <v>261</v>
      </c>
      <c r="I58" t="s">
        <v>39</v>
      </c>
      <c r="J58">
        <v>2</v>
      </c>
      <c r="K58" t="s">
        <v>40</v>
      </c>
      <c r="L58" t="s">
        <v>41</v>
      </c>
      <c r="M58" t="s">
        <v>42</v>
      </c>
      <c r="N58" s="7">
        <v>1</v>
      </c>
      <c r="O58" s="8">
        <v>45124.658252314817</v>
      </c>
      <c r="P58" s="9">
        <v>45126</v>
      </c>
      <c r="Q58" t="s">
        <v>36</v>
      </c>
      <c r="R58" t="s">
        <v>43</v>
      </c>
      <c r="S58" t="s">
        <v>47</v>
      </c>
      <c r="T58" t="s">
        <v>89</v>
      </c>
      <c r="U58" t="s">
        <v>262</v>
      </c>
      <c r="V58">
        <v>27400</v>
      </c>
      <c r="W58" t="s">
        <v>43</v>
      </c>
      <c r="X58" t="s">
        <v>47</v>
      </c>
      <c r="Y58" t="s">
        <v>48</v>
      </c>
      <c r="Z58" s="10">
        <f>IF(N58&lt;=1,7,7+0.8*ROUNDUP(N58-1,0))</f>
        <v>7</v>
      </c>
      <c r="AA58" s="11">
        <v>0</v>
      </c>
      <c r="AB58" s="11">
        <v>0</v>
      </c>
      <c r="AC58" s="11">
        <v>0</v>
      </c>
      <c r="AD58" s="11">
        <v>0</v>
      </c>
      <c r="AE58" s="11">
        <f>(Z58+AB58+AD58)*6%</f>
        <v>0.42</v>
      </c>
      <c r="AF58" s="11">
        <f>Z58+AB58+AD58+AE58</f>
        <v>7.42</v>
      </c>
      <c r="AG58" t="s">
        <v>43</v>
      </c>
    </row>
    <row r="59" spans="1:33" ht="15" customHeight="1" x14ac:dyDescent="0.35">
      <c r="A59">
        <v>690929</v>
      </c>
      <c r="B59" t="s">
        <v>33</v>
      </c>
      <c r="C59" t="s">
        <v>34</v>
      </c>
      <c r="D59" s="6" t="s">
        <v>33</v>
      </c>
      <c r="E59" t="s">
        <v>263</v>
      </c>
      <c r="F59" t="s">
        <v>36</v>
      </c>
      <c r="G59" t="s">
        <v>37</v>
      </c>
      <c r="H59" t="s">
        <v>264</v>
      </c>
      <c r="I59" t="s">
        <v>39</v>
      </c>
      <c r="J59">
        <v>2</v>
      </c>
      <c r="K59" t="s">
        <v>40</v>
      </c>
      <c r="L59" t="s">
        <v>41</v>
      </c>
      <c r="M59" t="s">
        <v>42</v>
      </c>
      <c r="N59" s="7">
        <v>1</v>
      </c>
      <c r="O59" s="8">
        <v>45124.470046296294</v>
      </c>
      <c r="P59" s="9">
        <v>45126</v>
      </c>
      <c r="Q59" t="s">
        <v>36</v>
      </c>
      <c r="R59" t="s">
        <v>43</v>
      </c>
      <c r="S59" t="s">
        <v>47</v>
      </c>
      <c r="T59" t="s">
        <v>66</v>
      </c>
      <c r="U59" t="s">
        <v>265</v>
      </c>
      <c r="V59">
        <v>21810</v>
      </c>
      <c r="W59" t="s">
        <v>43</v>
      </c>
      <c r="X59" t="s">
        <v>266</v>
      </c>
      <c r="Y59" t="s">
        <v>48</v>
      </c>
      <c r="Z59" s="10">
        <f>IF(N59&lt;=1,7,7+0.8*ROUNDUP(N59-1,0))</f>
        <v>7</v>
      </c>
      <c r="AA59" s="11">
        <v>0</v>
      </c>
      <c r="AB59" s="11">
        <v>0</v>
      </c>
      <c r="AC59" s="11">
        <v>0</v>
      </c>
      <c r="AD59" s="11">
        <v>0</v>
      </c>
      <c r="AE59" s="11">
        <f>(Z59+AB59+AD59)*6%</f>
        <v>0.42</v>
      </c>
      <c r="AF59" s="11">
        <f>Z59+AB59+AD59+AE59</f>
        <v>7.42</v>
      </c>
      <c r="AG59" t="s">
        <v>43</v>
      </c>
    </row>
    <row r="60" spans="1:33" ht="15" customHeight="1" x14ac:dyDescent="0.35">
      <c r="A60">
        <v>690929</v>
      </c>
      <c r="B60" t="s">
        <v>33</v>
      </c>
      <c r="C60" t="s">
        <v>34</v>
      </c>
      <c r="D60" s="6" t="s">
        <v>33</v>
      </c>
      <c r="E60" t="s">
        <v>267</v>
      </c>
      <c r="F60" t="s">
        <v>36</v>
      </c>
      <c r="G60" t="s">
        <v>37</v>
      </c>
      <c r="H60" t="s">
        <v>268</v>
      </c>
      <c r="I60" t="s">
        <v>39</v>
      </c>
      <c r="J60">
        <v>2</v>
      </c>
      <c r="K60" t="s">
        <v>40</v>
      </c>
      <c r="L60" t="s">
        <v>41</v>
      </c>
      <c r="M60" t="s">
        <v>42</v>
      </c>
      <c r="N60" s="7">
        <v>1</v>
      </c>
      <c r="O60" s="8">
        <v>45125.591921296298</v>
      </c>
      <c r="P60" s="9">
        <v>45126</v>
      </c>
      <c r="Q60" t="s">
        <v>36</v>
      </c>
      <c r="R60" t="s">
        <v>43</v>
      </c>
      <c r="S60" t="s">
        <v>44</v>
      </c>
      <c r="T60" t="s">
        <v>57</v>
      </c>
      <c r="U60" t="s">
        <v>269</v>
      </c>
      <c r="V60">
        <v>40000</v>
      </c>
      <c r="W60" t="s">
        <v>43</v>
      </c>
      <c r="X60" t="s">
        <v>270</v>
      </c>
      <c r="Y60" t="s">
        <v>48</v>
      </c>
      <c r="Z60" s="10">
        <f>IF(N60&lt;=1,7,7+0.8*ROUNDUP(N60-1,0))</f>
        <v>7</v>
      </c>
      <c r="AA60" s="11">
        <v>0</v>
      </c>
      <c r="AB60" s="11">
        <v>0</v>
      </c>
      <c r="AC60" s="11">
        <v>0</v>
      </c>
      <c r="AD60" s="11">
        <v>0</v>
      </c>
      <c r="AE60" s="11">
        <f>(Z60+AB60+AD60)*6%</f>
        <v>0.42</v>
      </c>
      <c r="AF60" s="11">
        <f>Z60+AB60+AD60+AE60</f>
        <v>7.42</v>
      </c>
      <c r="AG60" t="s">
        <v>43</v>
      </c>
    </row>
    <row r="61" spans="1:33" ht="15" customHeight="1" x14ac:dyDescent="0.35">
      <c r="A61">
        <v>690929</v>
      </c>
      <c r="B61" t="s">
        <v>33</v>
      </c>
      <c r="C61" t="s">
        <v>34</v>
      </c>
      <c r="D61" s="6" t="s">
        <v>33</v>
      </c>
      <c r="E61" t="s">
        <v>271</v>
      </c>
      <c r="F61" t="s">
        <v>36</v>
      </c>
      <c r="G61" t="s">
        <v>37</v>
      </c>
      <c r="H61" t="s">
        <v>272</v>
      </c>
      <c r="I61" t="s">
        <v>39</v>
      </c>
      <c r="J61">
        <v>2</v>
      </c>
      <c r="K61" t="s">
        <v>40</v>
      </c>
      <c r="L61" t="s">
        <v>41</v>
      </c>
      <c r="M61" t="s">
        <v>42</v>
      </c>
      <c r="N61" s="7">
        <v>1</v>
      </c>
      <c r="O61" s="8">
        <v>45125.681041666663</v>
      </c>
      <c r="P61" s="9">
        <v>45126</v>
      </c>
      <c r="Q61" t="s">
        <v>36</v>
      </c>
      <c r="R61" t="s">
        <v>43</v>
      </c>
      <c r="S61" t="s">
        <v>44</v>
      </c>
      <c r="T61" t="s">
        <v>57</v>
      </c>
      <c r="U61" t="s">
        <v>273</v>
      </c>
      <c r="V61">
        <v>41250</v>
      </c>
      <c r="W61" t="s">
        <v>43</v>
      </c>
      <c r="X61" t="s">
        <v>98</v>
      </c>
      <c r="Y61" t="s">
        <v>48</v>
      </c>
      <c r="Z61" s="10">
        <f>IF(N61&lt;=1,7,7+0.8*ROUNDUP(N61-1,0))</f>
        <v>7</v>
      </c>
      <c r="AA61" s="11">
        <v>0</v>
      </c>
      <c r="AB61" s="11">
        <v>0</v>
      </c>
      <c r="AC61" s="11">
        <v>0</v>
      </c>
      <c r="AD61" s="11">
        <v>0</v>
      </c>
      <c r="AE61" s="11">
        <f>(Z61+AB61+AD61)*6%</f>
        <v>0.42</v>
      </c>
      <c r="AF61" s="11">
        <f>Z61+AB61+AD61+AE61</f>
        <v>7.42</v>
      </c>
      <c r="AG61" t="s">
        <v>43</v>
      </c>
    </row>
    <row r="62" spans="1:33" ht="15" customHeight="1" x14ac:dyDescent="0.35">
      <c r="A62">
        <v>690929</v>
      </c>
      <c r="B62" t="s">
        <v>33</v>
      </c>
      <c r="C62" t="s">
        <v>34</v>
      </c>
      <c r="D62" s="6" t="s">
        <v>33</v>
      </c>
      <c r="E62" t="s">
        <v>274</v>
      </c>
      <c r="F62" t="s">
        <v>36</v>
      </c>
      <c r="G62" t="s">
        <v>37</v>
      </c>
      <c r="H62" t="s">
        <v>275</v>
      </c>
      <c r="I62" t="s">
        <v>39</v>
      </c>
      <c r="J62">
        <v>2</v>
      </c>
      <c r="K62" t="s">
        <v>40</v>
      </c>
      <c r="L62" t="s">
        <v>41</v>
      </c>
      <c r="M62" t="s">
        <v>42</v>
      </c>
      <c r="N62" s="7">
        <v>1</v>
      </c>
      <c r="O62" s="8">
        <v>45124.470046296294</v>
      </c>
      <c r="P62" s="9">
        <v>45126</v>
      </c>
      <c r="Q62" t="s">
        <v>36</v>
      </c>
      <c r="R62" t="s">
        <v>43</v>
      </c>
      <c r="S62" t="s">
        <v>47</v>
      </c>
      <c r="T62" t="s">
        <v>51</v>
      </c>
      <c r="U62" t="s">
        <v>276</v>
      </c>
      <c r="V62">
        <v>34600</v>
      </c>
      <c r="W62" t="s">
        <v>43</v>
      </c>
      <c r="X62" t="s">
        <v>277</v>
      </c>
      <c r="Y62" t="s">
        <v>48</v>
      </c>
      <c r="Z62" s="10">
        <f>IF(N62&lt;=1,7,7+0.8*ROUNDUP(N62-1,0))</f>
        <v>7</v>
      </c>
      <c r="AA62" s="11">
        <v>0</v>
      </c>
      <c r="AB62" s="11">
        <v>0</v>
      </c>
      <c r="AC62" s="11">
        <v>0</v>
      </c>
      <c r="AD62" s="11">
        <v>0</v>
      </c>
      <c r="AE62" s="11">
        <f>(Z62+AB62+AD62)*6%</f>
        <v>0.42</v>
      </c>
      <c r="AF62" s="11">
        <f>Z62+AB62+AD62+AE62</f>
        <v>7.42</v>
      </c>
      <c r="AG62" t="s">
        <v>43</v>
      </c>
    </row>
    <row r="63" spans="1:33" ht="15" customHeight="1" x14ac:dyDescent="0.35">
      <c r="A63">
        <v>690929</v>
      </c>
      <c r="B63" t="s">
        <v>33</v>
      </c>
      <c r="C63" t="s">
        <v>34</v>
      </c>
      <c r="D63" s="6" t="s">
        <v>33</v>
      </c>
      <c r="E63" t="s">
        <v>278</v>
      </c>
      <c r="F63" t="s">
        <v>36</v>
      </c>
      <c r="G63" t="s">
        <v>37</v>
      </c>
      <c r="H63" t="s">
        <v>279</v>
      </c>
      <c r="I63" t="s">
        <v>39</v>
      </c>
      <c r="J63">
        <v>2</v>
      </c>
      <c r="K63" t="s">
        <v>40</v>
      </c>
      <c r="L63" t="s">
        <v>41</v>
      </c>
      <c r="M63" t="s">
        <v>42</v>
      </c>
      <c r="N63" s="7">
        <v>1</v>
      </c>
      <c r="O63" s="8">
        <v>45125.717418981483</v>
      </c>
      <c r="P63" s="9">
        <v>45126</v>
      </c>
      <c r="Q63" t="s">
        <v>36</v>
      </c>
      <c r="R63" t="s">
        <v>43</v>
      </c>
      <c r="S63" t="s">
        <v>44</v>
      </c>
      <c r="T63" t="s">
        <v>109</v>
      </c>
      <c r="U63" t="s">
        <v>280</v>
      </c>
      <c r="V63">
        <v>18500</v>
      </c>
      <c r="W63" t="s">
        <v>43</v>
      </c>
      <c r="X63" t="s">
        <v>44</v>
      </c>
      <c r="Y63" t="s">
        <v>48</v>
      </c>
      <c r="Z63" s="10">
        <f>IF(N63&lt;=1,7,7+0.8*ROUNDUP(N63-1,0))</f>
        <v>7</v>
      </c>
      <c r="AA63" s="11">
        <v>0</v>
      </c>
      <c r="AB63" s="11">
        <v>0</v>
      </c>
      <c r="AC63" s="11">
        <v>0</v>
      </c>
      <c r="AD63" s="11">
        <v>0</v>
      </c>
      <c r="AE63" s="11">
        <f>(Z63+AB63+AD63)*6%</f>
        <v>0.42</v>
      </c>
      <c r="AF63" s="11">
        <f>Z63+AB63+AD63+AE63</f>
        <v>7.42</v>
      </c>
      <c r="AG63" t="s">
        <v>43</v>
      </c>
    </row>
    <row r="64" spans="1:33" ht="15" customHeight="1" x14ac:dyDescent="0.35">
      <c r="A64">
        <v>690929</v>
      </c>
      <c r="B64" t="s">
        <v>33</v>
      </c>
      <c r="C64" t="s">
        <v>34</v>
      </c>
      <c r="D64" s="6" t="s">
        <v>33</v>
      </c>
      <c r="E64" t="s">
        <v>281</v>
      </c>
      <c r="F64" t="s">
        <v>36</v>
      </c>
      <c r="G64" t="s">
        <v>37</v>
      </c>
      <c r="H64" t="s">
        <v>282</v>
      </c>
      <c r="I64" t="s">
        <v>39</v>
      </c>
      <c r="J64">
        <v>2</v>
      </c>
      <c r="K64" t="s">
        <v>40</v>
      </c>
      <c r="L64" t="s">
        <v>41</v>
      </c>
      <c r="M64" t="s">
        <v>42</v>
      </c>
      <c r="N64" s="7">
        <v>1</v>
      </c>
      <c r="O64" s="8">
        <v>45124.470046296294</v>
      </c>
      <c r="P64" s="9">
        <v>45126</v>
      </c>
      <c r="Q64" t="s">
        <v>36</v>
      </c>
      <c r="R64" t="s">
        <v>43</v>
      </c>
      <c r="S64" t="s">
        <v>47</v>
      </c>
      <c r="T64" t="s">
        <v>89</v>
      </c>
      <c r="U64" t="s">
        <v>283</v>
      </c>
      <c r="V64">
        <v>28050</v>
      </c>
      <c r="W64" t="s">
        <v>43</v>
      </c>
      <c r="X64" t="s">
        <v>47</v>
      </c>
      <c r="Y64" t="s">
        <v>48</v>
      </c>
      <c r="Z64" s="10">
        <f>IF(N64&lt;=1,7,7+0.8*ROUNDUP(N64-1,0))</f>
        <v>7</v>
      </c>
      <c r="AA64" s="11">
        <v>0</v>
      </c>
      <c r="AB64" s="11">
        <v>0</v>
      </c>
      <c r="AC64" s="11">
        <v>0</v>
      </c>
      <c r="AD64" s="11">
        <v>0</v>
      </c>
      <c r="AE64" s="11">
        <f>(Z64+AB64+AD64)*6%</f>
        <v>0.42</v>
      </c>
      <c r="AF64" s="11">
        <f>Z64+AB64+AD64+AE64</f>
        <v>7.42</v>
      </c>
      <c r="AG64" t="s">
        <v>43</v>
      </c>
    </row>
    <row r="65" spans="1:33" ht="15" customHeight="1" x14ac:dyDescent="0.35">
      <c r="A65">
        <v>690929</v>
      </c>
      <c r="B65" t="s">
        <v>33</v>
      </c>
      <c r="C65" t="s">
        <v>34</v>
      </c>
      <c r="D65" s="6" t="s">
        <v>33</v>
      </c>
      <c r="E65" t="s">
        <v>284</v>
      </c>
      <c r="F65" t="s">
        <v>36</v>
      </c>
      <c r="G65" t="s">
        <v>37</v>
      </c>
      <c r="H65" t="s">
        <v>285</v>
      </c>
      <c r="I65" t="s">
        <v>39</v>
      </c>
      <c r="J65">
        <v>2</v>
      </c>
      <c r="K65" t="s">
        <v>40</v>
      </c>
      <c r="L65" t="s">
        <v>41</v>
      </c>
      <c r="M65" t="s">
        <v>42</v>
      </c>
      <c r="N65" s="7">
        <v>1</v>
      </c>
      <c r="O65" s="8">
        <v>45124.540509259263</v>
      </c>
      <c r="P65" s="9">
        <v>45126</v>
      </c>
      <c r="Q65" t="s">
        <v>36</v>
      </c>
      <c r="R65" t="s">
        <v>43</v>
      </c>
      <c r="S65" t="s">
        <v>47</v>
      </c>
      <c r="T65" t="s">
        <v>80</v>
      </c>
      <c r="U65" t="s">
        <v>286</v>
      </c>
      <c r="V65">
        <v>6300</v>
      </c>
      <c r="W65" t="s">
        <v>43</v>
      </c>
      <c r="X65" t="s">
        <v>47</v>
      </c>
      <c r="Y65" t="s">
        <v>48</v>
      </c>
      <c r="Z65" s="10">
        <f>IF(N65&lt;=1,7,7+0.8*ROUNDUP(N65-1,0))</f>
        <v>7</v>
      </c>
      <c r="AA65" s="11">
        <v>0</v>
      </c>
      <c r="AB65" s="11">
        <v>0</v>
      </c>
      <c r="AC65" s="11">
        <v>0</v>
      </c>
      <c r="AD65" s="11">
        <v>0</v>
      </c>
      <c r="AE65" s="11">
        <f>(Z65+AB65+AD65)*6%</f>
        <v>0.42</v>
      </c>
      <c r="AF65" s="11">
        <f>Z65+AB65+AD65+AE65</f>
        <v>7.42</v>
      </c>
      <c r="AG65" t="s">
        <v>43</v>
      </c>
    </row>
    <row r="66" spans="1:33" ht="15" customHeight="1" x14ac:dyDescent="0.35">
      <c r="A66">
        <v>690929</v>
      </c>
      <c r="B66" t="s">
        <v>33</v>
      </c>
      <c r="C66" t="s">
        <v>34</v>
      </c>
      <c r="D66" s="6" t="s">
        <v>33</v>
      </c>
      <c r="E66" t="s">
        <v>287</v>
      </c>
      <c r="F66" t="s">
        <v>36</v>
      </c>
      <c r="G66" t="s">
        <v>37</v>
      </c>
      <c r="H66" t="s">
        <v>288</v>
      </c>
      <c r="I66" t="s">
        <v>39</v>
      </c>
      <c r="J66">
        <v>2</v>
      </c>
      <c r="K66" t="s">
        <v>40</v>
      </c>
      <c r="L66" t="s">
        <v>41</v>
      </c>
      <c r="M66" t="s">
        <v>42</v>
      </c>
      <c r="N66" s="7">
        <v>2</v>
      </c>
      <c r="O66" s="8">
        <v>45126.649224537039</v>
      </c>
      <c r="P66" s="9">
        <v>45127</v>
      </c>
      <c r="Q66" t="s">
        <v>36</v>
      </c>
      <c r="R66" t="s">
        <v>43</v>
      </c>
      <c r="S66" t="s">
        <v>44</v>
      </c>
      <c r="T66" t="s">
        <v>194</v>
      </c>
      <c r="U66" t="s">
        <v>289</v>
      </c>
      <c r="V66">
        <v>72120</v>
      </c>
      <c r="W66" t="s">
        <v>43</v>
      </c>
      <c r="X66" t="s">
        <v>47</v>
      </c>
      <c r="Y66" t="s">
        <v>48</v>
      </c>
      <c r="Z66" s="10">
        <f>IF(N66&lt;=1,7,7+0.8*ROUNDUP(N66-1,0))</f>
        <v>7.8</v>
      </c>
      <c r="AA66" s="11">
        <v>0</v>
      </c>
      <c r="AB66" s="11">
        <v>0</v>
      </c>
      <c r="AC66" s="11">
        <v>0</v>
      </c>
      <c r="AD66" s="11">
        <v>0</v>
      </c>
      <c r="AE66" s="11">
        <f>(Z66+AB66+AD66)*6%</f>
        <v>0.46799999999999997</v>
      </c>
      <c r="AF66" s="11">
        <f>Z66+AB66+AD66+AE66</f>
        <v>8.2680000000000007</v>
      </c>
      <c r="AG66" t="s">
        <v>43</v>
      </c>
    </row>
    <row r="67" spans="1:33" ht="15" customHeight="1" x14ac:dyDescent="0.35">
      <c r="A67">
        <v>690929</v>
      </c>
      <c r="B67" t="s">
        <v>33</v>
      </c>
      <c r="C67" t="s">
        <v>34</v>
      </c>
      <c r="D67" s="6" t="s">
        <v>33</v>
      </c>
      <c r="E67" t="s">
        <v>290</v>
      </c>
      <c r="F67" t="s">
        <v>36</v>
      </c>
      <c r="G67" t="s">
        <v>37</v>
      </c>
      <c r="H67" t="s">
        <v>291</v>
      </c>
      <c r="I67" t="s">
        <v>39</v>
      </c>
      <c r="J67">
        <v>2</v>
      </c>
      <c r="K67" t="s">
        <v>40</v>
      </c>
      <c r="L67" t="s">
        <v>41</v>
      </c>
      <c r="M67" t="s">
        <v>42</v>
      </c>
      <c r="N67" s="7">
        <v>10</v>
      </c>
      <c r="O67" s="8">
        <v>45126.649224537039</v>
      </c>
      <c r="P67" s="9">
        <v>45127</v>
      </c>
      <c r="Q67" t="s">
        <v>36</v>
      </c>
      <c r="R67" t="s">
        <v>43</v>
      </c>
      <c r="S67" t="s">
        <v>44</v>
      </c>
      <c r="T67" t="s">
        <v>75</v>
      </c>
      <c r="U67" t="s">
        <v>292</v>
      </c>
      <c r="V67">
        <v>51000</v>
      </c>
      <c r="W67" t="s">
        <v>43</v>
      </c>
      <c r="X67" t="s">
        <v>94</v>
      </c>
      <c r="Y67" t="s">
        <v>48</v>
      </c>
      <c r="Z67" s="10">
        <f>IF(N67&lt;=1,7,7+0.8*ROUNDUP(N67-1,0))</f>
        <v>14.2</v>
      </c>
      <c r="AA67" s="11">
        <v>0</v>
      </c>
      <c r="AB67" s="11">
        <v>0</v>
      </c>
      <c r="AC67" s="11">
        <v>0</v>
      </c>
      <c r="AD67" s="11">
        <v>0</v>
      </c>
      <c r="AE67" s="11">
        <f>(Z67+AB67+AD67)*6%</f>
        <v>0.85199999999999998</v>
      </c>
      <c r="AF67" s="11">
        <f>Z67+AB67+AD67+AE67</f>
        <v>15.052</v>
      </c>
      <c r="AG67" t="s">
        <v>43</v>
      </c>
    </row>
    <row r="68" spans="1:33" ht="15" customHeight="1" x14ac:dyDescent="0.35">
      <c r="A68">
        <v>690929</v>
      </c>
      <c r="B68" t="s">
        <v>33</v>
      </c>
      <c r="C68" t="s">
        <v>34</v>
      </c>
      <c r="D68" s="6" t="s">
        <v>33</v>
      </c>
      <c r="E68" t="s">
        <v>293</v>
      </c>
      <c r="F68" t="s">
        <v>36</v>
      </c>
      <c r="G68" t="s">
        <v>37</v>
      </c>
      <c r="H68" t="s">
        <v>294</v>
      </c>
      <c r="I68" t="s">
        <v>39</v>
      </c>
      <c r="J68">
        <v>2</v>
      </c>
      <c r="K68" t="s">
        <v>40</v>
      </c>
      <c r="L68" t="s">
        <v>41</v>
      </c>
      <c r="M68" t="s">
        <v>42</v>
      </c>
      <c r="N68" s="7">
        <v>16</v>
      </c>
      <c r="O68" s="8">
        <v>45125.547893518517</v>
      </c>
      <c r="P68" s="9">
        <v>45127</v>
      </c>
      <c r="Q68" t="s">
        <v>36</v>
      </c>
      <c r="R68" t="s">
        <v>43</v>
      </c>
      <c r="S68" t="s">
        <v>44</v>
      </c>
      <c r="T68" t="s">
        <v>51</v>
      </c>
      <c r="U68" t="s">
        <v>295</v>
      </c>
      <c r="V68">
        <v>36000</v>
      </c>
      <c r="W68" t="s">
        <v>43</v>
      </c>
      <c r="X68" t="s">
        <v>296</v>
      </c>
      <c r="Y68" t="s">
        <v>48</v>
      </c>
      <c r="Z68" s="10">
        <f>IF(N68&lt;=1,7,7+0.8*ROUNDUP(N68-1,0))</f>
        <v>19</v>
      </c>
      <c r="AA68" s="11">
        <v>0</v>
      </c>
      <c r="AB68" s="11">
        <v>0</v>
      </c>
      <c r="AC68" s="11">
        <v>0</v>
      </c>
      <c r="AD68" s="11">
        <v>0</v>
      </c>
      <c r="AE68" s="11">
        <f>(Z68+AB68+AD68)*6%</f>
        <v>1.1399999999999999</v>
      </c>
      <c r="AF68" s="11">
        <f>Z68+AB68+AD68+AE68</f>
        <v>20.14</v>
      </c>
      <c r="AG68" t="s">
        <v>43</v>
      </c>
    </row>
    <row r="69" spans="1:33" ht="15" customHeight="1" x14ac:dyDescent="0.35">
      <c r="A69">
        <v>690929</v>
      </c>
      <c r="B69" t="s">
        <v>33</v>
      </c>
      <c r="C69" t="s">
        <v>34</v>
      </c>
      <c r="D69" s="6" t="s">
        <v>33</v>
      </c>
      <c r="E69" t="s">
        <v>297</v>
      </c>
      <c r="F69" t="s">
        <v>36</v>
      </c>
      <c r="G69" t="s">
        <v>37</v>
      </c>
      <c r="H69" t="s">
        <v>298</v>
      </c>
      <c r="I69" t="s">
        <v>39</v>
      </c>
      <c r="J69">
        <v>2</v>
      </c>
      <c r="K69" t="s">
        <v>40</v>
      </c>
      <c r="L69" t="s">
        <v>41</v>
      </c>
      <c r="M69" t="s">
        <v>42</v>
      </c>
      <c r="N69" s="7">
        <v>1</v>
      </c>
      <c r="O69" s="8">
        <v>45125.704918981479</v>
      </c>
      <c r="P69" s="9">
        <v>45127</v>
      </c>
      <c r="Q69" t="s">
        <v>36</v>
      </c>
      <c r="R69" t="s">
        <v>43</v>
      </c>
      <c r="S69" t="s">
        <v>44</v>
      </c>
      <c r="T69" t="s">
        <v>61</v>
      </c>
      <c r="U69" t="s">
        <v>299</v>
      </c>
      <c r="V69">
        <v>81400</v>
      </c>
      <c r="W69" t="s">
        <v>43</v>
      </c>
      <c r="X69" t="s">
        <v>300</v>
      </c>
      <c r="Y69" t="s">
        <v>48</v>
      </c>
      <c r="Z69" s="10">
        <f>IF(N69&lt;=1,7,7+0.8*ROUNDUP(N69-1,0))</f>
        <v>7</v>
      </c>
      <c r="AA69" s="11">
        <v>0</v>
      </c>
      <c r="AB69" s="11">
        <v>0</v>
      </c>
      <c r="AC69" s="11">
        <v>0</v>
      </c>
      <c r="AD69" s="11">
        <v>0</v>
      </c>
      <c r="AE69" s="11">
        <f>(Z69+AB69+AD69)*6%</f>
        <v>0.42</v>
      </c>
      <c r="AF69" s="11">
        <f>Z69+AB69+AD69+AE69</f>
        <v>7.42</v>
      </c>
      <c r="AG69" t="s">
        <v>43</v>
      </c>
    </row>
    <row r="70" spans="1:33" ht="15" customHeight="1" x14ac:dyDescent="0.35">
      <c r="A70">
        <v>690929</v>
      </c>
      <c r="B70" t="s">
        <v>33</v>
      </c>
      <c r="C70" t="s">
        <v>34</v>
      </c>
      <c r="D70" s="6" t="s">
        <v>33</v>
      </c>
      <c r="E70" t="s">
        <v>301</v>
      </c>
      <c r="F70" t="s">
        <v>36</v>
      </c>
      <c r="G70" t="s">
        <v>37</v>
      </c>
      <c r="H70" t="s">
        <v>302</v>
      </c>
      <c r="I70" t="s">
        <v>39</v>
      </c>
      <c r="J70">
        <v>2</v>
      </c>
      <c r="K70" t="s">
        <v>40</v>
      </c>
      <c r="L70" t="s">
        <v>41</v>
      </c>
      <c r="M70" t="s">
        <v>42</v>
      </c>
      <c r="N70" s="7">
        <v>1</v>
      </c>
      <c r="O70" s="8">
        <v>45125.562847222223</v>
      </c>
      <c r="P70" s="9">
        <v>45127</v>
      </c>
      <c r="Q70" t="s">
        <v>36</v>
      </c>
      <c r="R70" t="s">
        <v>43</v>
      </c>
      <c r="S70" t="s">
        <v>44</v>
      </c>
      <c r="T70" t="s">
        <v>75</v>
      </c>
      <c r="U70" t="s">
        <v>303</v>
      </c>
      <c r="V70">
        <v>59200</v>
      </c>
      <c r="W70" t="s">
        <v>43</v>
      </c>
      <c r="X70" t="s">
        <v>47</v>
      </c>
      <c r="Y70" t="s">
        <v>48</v>
      </c>
      <c r="Z70" s="10">
        <f>IF(N70&lt;=1,7,7+0.8*ROUNDUP(N70-1,0))</f>
        <v>7</v>
      </c>
      <c r="AA70" s="11">
        <v>0</v>
      </c>
      <c r="AB70" s="11">
        <v>0</v>
      </c>
      <c r="AC70" s="11">
        <v>0</v>
      </c>
      <c r="AD70" s="11">
        <v>0</v>
      </c>
      <c r="AE70" s="11">
        <f>(Z70+AB70+AD70)*6%</f>
        <v>0.42</v>
      </c>
      <c r="AF70" s="11">
        <f>Z70+AB70+AD70+AE70</f>
        <v>7.42</v>
      </c>
      <c r="AG70" t="s">
        <v>43</v>
      </c>
    </row>
    <row r="71" spans="1:33" ht="15" customHeight="1" x14ac:dyDescent="0.35">
      <c r="A71">
        <v>690929</v>
      </c>
      <c r="B71" t="s">
        <v>33</v>
      </c>
      <c r="C71" t="s">
        <v>34</v>
      </c>
      <c r="D71" s="6" t="s">
        <v>33</v>
      </c>
      <c r="E71" t="s">
        <v>304</v>
      </c>
      <c r="F71" t="s">
        <v>36</v>
      </c>
      <c r="G71" t="s">
        <v>37</v>
      </c>
      <c r="H71" t="s">
        <v>305</v>
      </c>
      <c r="I71" t="s">
        <v>39</v>
      </c>
      <c r="J71">
        <v>2</v>
      </c>
      <c r="K71" t="s">
        <v>40</v>
      </c>
      <c r="L71" t="s">
        <v>41</v>
      </c>
      <c r="M71" t="s">
        <v>42</v>
      </c>
      <c r="N71" s="7">
        <v>4</v>
      </c>
      <c r="O71" s="8">
        <v>45126.649224537039</v>
      </c>
      <c r="P71" s="9">
        <v>45127</v>
      </c>
      <c r="Q71" t="s">
        <v>36</v>
      </c>
      <c r="R71" t="s">
        <v>43</v>
      </c>
      <c r="S71" t="s">
        <v>44</v>
      </c>
      <c r="T71" t="s">
        <v>109</v>
      </c>
      <c r="U71" t="s">
        <v>306</v>
      </c>
      <c r="V71">
        <v>16810</v>
      </c>
      <c r="W71" t="s">
        <v>43</v>
      </c>
      <c r="X71" t="s">
        <v>44</v>
      </c>
      <c r="Y71" t="s">
        <v>48</v>
      </c>
      <c r="Z71" s="10">
        <f>IF(N71&lt;=1,7,7+0.8*ROUNDUP(N71-1,0))</f>
        <v>9.4</v>
      </c>
      <c r="AA71" s="11">
        <v>0</v>
      </c>
      <c r="AB71" s="11">
        <v>0</v>
      </c>
      <c r="AC71" s="11">
        <v>0</v>
      </c>
      <c r="AD71" s="11">
        <v>0</v>
      </c>
      <c r="AE71" s="11">
        <f>(Z71+AB71+AD71)*6%</f>
        <v>0.56399999999999995</v>
      </c>
      <c r="AF71" s="11">
        <f>Z71+AB71+AD71+AE71</f>
        <v>9.9640000000000004</v>
      </c>
      <c r="AG71" t="s">
        <v>43</v>
      </c>
    </row>
    <row r="72" spans="1:33" ht="15" customHeight="1" x14ac:dyDescent="0.35">
      <c r="A72">
        <v>690929</v>
      </c>
      <c r="B72" t="s">
        <v>33</v>
      </c>
      <c r="C72" t="s">
        <v>34</v>
      </c>
      <c r="D72" s="6" t="s">
        <v>33</v>
      </c>
      <c r="E72" t="s">
        <v>307</v>
      </c>
      <c r="F72" t="s">
        <v>36</v>
      </c>
      <c r="G72" t="s">
        <v>37</v>
      </c>
      <c r="H72" t="s">
        <v>308</v>
      </c>
      <c r="I72" t="s">
        <v>39</v>
      </c>
      <c r="J72">
        <v>2</v>
      </c>
      <c r="K72" t="s">
        <v>40</v>
      </c>
      <c r="L72" t="s">
        <v>41</v>
      </c>
      <c r="M72" t="s">
        <v>42</v>
      </c>
      <c r="N72" s="7">
        <v>1</v>
      </c>
      <c r="O72" s="8">
        <v>45126.649212962962</v>
      </c>
      <c r="P72" s="9">
        <v>45127</v>
      </c>
      <c r="Q72" t="s">
        <v>36</v>
      </c>
      <c r="R72" t="s">
        <v>43</v>
      </c>
      <c r="S72" t="s">
        <v>44</v>
      </c>
      <c r="T72" t="s">
        <v>66</v>
      </c>
      <c r="U72" t="s">
        <v>309</v>
      </c>
      <c r="V72">
        <v>24000</v>
      </c>
      <c r="W72" t="s">
        <v>43</v>
      </c>
      <c r="X72" t="s">
        <v>44</v>
      </c>
      <c r="Y72" t="s">
        <v>48</v>
      </c>
      <c r="Z72" s="10">
        <f>IF(N72&lt;=1,7,7+0.8*ROUNDUP(N72-1,0))</f>
        <v>7</v>
      </c>
      <c r="AA72" s="11">
        <v>0</v>
      </c>
      <c r="AB72" s="11">
        <v>0</v>
      </c>
      <c r="AC72" s="11">
        <v>0</v>
      </c>
      <c r="AD72" s="11">
        <v>0</v>
      </c>
      <c r="AE72" s="11">
        <f>(Z72+AB72+AD72)*6%</f>
        <v>0.42</v>
      </c>
      <c r="AF72" s="11">
        <f>Z72+AB72+AD72+AE72</f>
        <v>7.42</v>
      </c>
      <c r="AG72" t="s">
        <v>43</v>
      </c>
    </row>
    <row r="73" spans="1:33" ht="15" customHeight="1" x14ac:dyDescent="0.35">
      <c r="A73">
        <v>690929</v>
      </c>
      <c r="B73" t="s">
        <v>33</v>
      </c>
      <c r="C73" t="s">
        <v>34</v>
      </c>
      <c r="D73" s="6" t="s">
        <v>33</v>
      </c>
      <c r="E73" t="s">
        <v>310</v>
      </c>
      <c r="F73" t="s">
        <v>36</v>
      </c>
      <c r="G73" t="s">
        <v>37</v>
      </c>
      <c r="H73" t="s">
        <v>311</v>
      </c>
      <c r="I73" t="s">
        <v>39</v>
      </c>
      <c r="J73">
        <v>2</v>
      </c>
      <c r="K73" t="s">
        <v>40</v>
      </c>
      <c r="L73" t="s">
        <v>41</v>
      </c>
      <c r="M73" t="s">
        <v>42</v>
      </c>
      <c r="N73" s="7">
        <v>1</v>
      </c>
      <c r="O73" s="8">
        <v>45126.616666666669</v>
      </c>
      <c r="P73" s="9">
        <v>45127</v>
      </c>
      <c r="Q73" t="s">
        <v>36</v>
      </c>
      <c r="R73" t="s">
        <v>43</v>
      </c>
      <c r="S73" t="s">
        <v>44</v>
      </c>
      <c r="T73" t="s">
        <v>75</v>
      </c>
      <c r="U73" t="s">
        <v>312</v>
      </c>
      <c r="V73">
        <v>57000</v>
      </c>
      <c r="W73" t="s">
        <v>43</v>
      </c>
      <c r="X73" t="s">
        <v>47</v>
      </c>
      <c r="Y73" t="s">
        <v>48</v>
      </c>
      <c r="Z73" s="10">
        <f>IF(N73&lt;=1,7,7+0.8*ROUNDUP(N73-1,0))</f>
        <v>7</v>
      </c>
      <c r="AA73" s="11">
        <v>0</v>
      </c>
      <c r="AB73" s="11">
        <v>0</v>
      </c>
      <c r="AC73" s="11">
        <v>0</v>
      </c>
      <c r="AD73" s="11">
        <v>0</v>
      </c>
      <c r="AE73" s="11">
        <f>(Z73+AB73+AD73)*6%</f>
        <v>0.42</v>
      </c>
      <c r="AF73" s="11">
        <f>Z73+AB73+AD73+AE73</f>
        <v>7.42</v>
      </c>
      <c r="AG73" t="s">
        <v>43</v>
      </c>
    </row>
    <row r="74" spans="1:33" ht="15" customHeight="1" x14ac:dyDescent="0.35">
      <c r="A74">
        <v>690929</v>
      </c>
      <c r="B74" t="s">
        <v>33</v>
      </c>
      <c r="C74" t="s">
        <v>34</v>
      </c>
      <c r="D74" s="6" t="s">
        <v>33</v>
      </c>
      <c r="E74" t="s">
        <v>313</v>
      </c>
      <c r="F74" t="s">
        <v>36</v>
      </c>
      <c r="G74" t="s">
        <v>37</v>
      </c>
      <c r="H74" t="s">
        <v>314</v>
      </c>
      <c r="I74" t="s">
        <v>39</v>
      </c>
      <c r="J74">
        <v>2</v>
      </c>
      <c r="K74" t="s">
        <v>40</v>
      </c>
      <c r="L74" t="s">
        <v>41</v>
      </c>
      <c r="M74" t="s">
        <v>42</v>
      </c>
      <c r="N74" s="7">
        <v>1</v>
      </c>
      <c r="O74" s="8">
        <v>45126.576284722221</v>
      </c>
      <c r="P74" s="9">
        <v>45127</v>
      </c>
      <c r="Q74" t="s">
        <v>36</v>
      </c>
      <c r="R74" t="s">
        <v>43</v>
      </c>
      <c r="S74" t="s">
        <v>44</v>
      </c>
      <c r="T74" t="s">
        <v>194</v>
      </c>
      <c r="U74" t="s">
        <v>315</v>
      </c>
      <c r="V74">
        <v>70300</v>
      </c>
      <c r="W74" t="s">
        <v>43</v>
      </c>
      <c r="X74" t="s">
        <v>316</v>
      </c>
      <c r="Y74" t="s">
        <v>48</v>
      </c>
      <c r="Z74" s="10">
        <f>IF(N74&lt;=1,7,7+0.8*ROUNDUP(N74-1,0))</f>
        <v>7</v>
      </c>
      <c r="AA74" s="11">
        <v>0</v>
      </c>
      <c r="AB74" s="11">
        <v>0</v>
      </c>
      <c r="AC74" s="11">
        <v>0</v>
      </c>
      <c r="AD74" s="11">
        <v>0</v>
      </c>
      <c r="AE74" s="11">
        <f>(Z74+AB74+AD74)*6%</f>
        <v>0.42</v>
      </c>
      <c r="AF74" s="11">
        <f>Z74+AB74+AD74+AE74</f>
        <v>7.42</v>
      </c>
      <c r="AG74" t="s">
        <v>43</v>
      </c>
    </row>
    <row r="75" spans="1:33" ht="15" customHeight="1" x14ac:dyDescent="0.35">
      <c r="A75">
        <v>690929</v>
      </c>
      <c r="B75" t="s">
        <v>33</v>
      </c>
      <c r="C75" t="s">
        <v>34</v>
      </c>
      <c r="D75" s="6" t="s">
        <v>33</v>
      </c>
      <c r="E75" t="s">
        <v>317</v>
      </c>
      <c r="F75" t="s">
        <v>36</v>
      </c>
      <c r="G75" t="s">
        <v>37</v>
      </c>
      <c r="H75" t="s">
        <v>318</v>
      </c>
      <c r="I75" t="s">
        <v>39</v>
      </c>
      <c r="J75">
        <v>2</v>
      </c>
      <c r="K75" t="s">
        <v>40</v>
      </c>
      <c r="L75" t="s">
        <v>41</v>
      </c>
      <c r="M75" t="s">
        <v>42</v>
      </c>
      <c r="N75" s="7">
        <v>2</v>
      </c>
      <c r="O75" s="8">
        <v>45126.649224537039</v>
      </c>
      <c r="P75" s="9">
        <v>45127</v>
      </c>
      <c r="Q75" t="s">
        <v>36</v>
      </c>
      <c r="R75" t="s">
        <v>43</v>
      </c>
      <c r="S75" t="s">
        <v>44</v>
      </c>
      <c r="T75" t="s">
        <v>109</v>
      </c>
      <c r="U75" t="s">
        <v>319</v>
      </c>
      <c r="V75">
        <v>17000</v>
      </c>
      <c r="W75" t="s">
        <v>43</v>
      </c>
      <c r="X75" t="s">
        <v>44</v>
      </c>
      <c r="Y75" t="s">
        <v>48</v>
      </c>
      <c r="Z75" s="10">
        <f>IF(N75&lt;=1,7,7+0.8*ROUNDUP(N75-1,0))</f>
        <v>7.8</v>
      </c>
      <c r="AA75" s="11">
        <v>0</v>
      </c>
      <c r="AB75" s="11">
        <v>0</v>
      </c>
      <c r="AC75" s="11">
        <v>0</v>
      </c>
      <c r="AD75" s="11">
        <v>0</v>
      </c>
      <c r="AE75" s="11">
        <f>(Z75+AB75+AD75)*6%</f>
        <v>0.46799999999999997</v>
      </c>
      <c r="AF75" s="11">
        <f>Z75+AB75+AD75+AE75</f>
        <v>8.2680000000000007</v>
      </c>
      <c r="AG75" t="s">
        <v>43</v>
      </c>
    </row>
    <row r="76" spans="1:33" ht="15" customHeight="1" x14ac:dyDescent="0.35">
      <c r="A76">
        <v>690929</v>
      </c>
      <c r="B76" t="s">
        <v>33</v>
      </c>
      <c r="C76" t="s">
        <v>34</v>
      </c>
      <c r="D76" s="6" t="s">
        <v>33</v>
      </c>
      <c r="E76" t="s">
        <v>320</v>
      </c>
      <c r="F76" t="s">
        <v>36</v>
      </c>
      <c r="G76" t="s">
        <v>37</v>
      </c>
      <c r="H76" t="s">
        <v>321</v>
      </c>
      <c r="I76" t="s">
        <v>39</v>
      </c>
      <c r="J76">
        <v>2</v>
      </c>
      <c r="K76" t="s">
        <v>40</v>
      </c>
      <c r="L76" t="s">
        <v>41</v>
      </c>
      <c r="M76" t="s">
        <v>42</v>
      </c>
      <c r="N76" s="7">
        <v>1</v>
      </c>
      <c r="O76" s="8">
        <v>45126.616666666669</v>
      </c>
      <c r="P76" s="9">
        <v>45127</v>
      </c>
      <c r="Q76" t="s">
        <v>36</v>
      </c>
      <c r="R76" t="s">
        <v>43</v>
      </c>
      <c r="S76" t="s">
        <v>44</v>
      </c>
      <c r="T76" t="s">
        <v>66</v>
      </c>
      <c r="U76" t="s">
        <v>322</v>
      </c>
      <c r="V76">
        <v>20050</v>
      </c>
      <c r="W76" t="s">
        <v>43</v>
      </c>
      <c r="X76" t="s">
        <v>44</v>
      </c>
      <c r="Y76" t="s">
        <v>48</v>
      </c>
      <c r="Z76" s="10">
        <f>IF(N76&lt;=1,7,7+0.8*ROUNDUP(N76-1,0))</f>
        <v>7</v>
      </c>
      <c r="AA76" s="11">
        <v>0</v>
      </c>
      <c r="AB76" s="11">
        <v>0</v>
      </c>
      <c r="AC76" s="11">
        <v>0</v>
      </c>
      <c r="AD76" s="11">
        <v>0</v>
      </c>
      <c r="AE76" s="11">
        <f>(Z76+AB76+AD76)*6%</f>
        <v>0.42</v>
      </c>
      <c r="AF76" s="11">
        <f>Z76+AB76+AD76+AE76</f>
        <v>7.42</v>
      </c>
      <c r="AG76" t="s">
        <v>43</v>
      </c>
    </row>
    <row r="77" spans="1:33" ht="15" customHeight="1" x14ac:dyDescent="0.35">
      <c r="A77">
        <v>690929</v>
      </c>
      <c r="B77" t="s">
        <v>33</v>
      </c>
      <c r="C77" t="s">
        <v>34</v>
      </c>
      <c r="D77" s="6" t="s">
        <v>33</v>
      </c>
      <c r="E77" t="s">
        <v>323</v>
      </c>
      <c r="F77" t="s">
        <v>36</v>
      </c>
      <c r="G77" t="s">
        <v>37</v>
      </c>
      <c r="H77" t="s">
        <v>324</v>
      </c>
      <c r="I77" t="s">
        <v>39</v>
      </c>
      <c r="J77">
        <v>2</v>
      </c>
      <c r="K77" t="s">
        <v>40</v>
      </c>
      <c r="L77" t="s">
        <v>41</v>
      </c>
      <c r="M77" t="s">
        <v>42</v>
      </c>
      <c r="N77" s="7">
        <v>2</v>
      </c>
      <c r="O77" s="8">
        <v>45126.649224537039</v>
      </c>
      <c r="P77" s="9">
        <v>45127</v>
      </c>
      <c r="Q77" t="s">
        <v>36</v>
      </c>
      <c r="R77" t="s">
        <v>43</v>
      </c>
      <c r="S77" t="s">
        <v>44</v>
      </c>
      <c r="T77" t="s">
        <v>109</v>
      </c>
      <c r="U77" t="s">
        <v>325</v>
      </c>
      <c r="V77">
        <v>18300</v>
      </c>
      <c r="W77" t="s">
        <v>43</v>
      </c>
      <c r="X77" t="s">
        <v>44</v>
      </c>
      <c r="Y77" t="s">
        <v>48</v>
      </c>
      <c r="Z77" s="10">
        <f>IF(N77&lt;=1,7,7+0.8*ROUNDUP(N77-1,0))</f>
        <v>7.8</v>
      </c>
      <c r="AA77" s="11">
        <v>0</v>
      </c>
      <c r="AB77" s="11">
        <v>0</v>
      </c>
      <c r="AC77" s="11">
        <v>0</v>
      </c>
      <c r="AD77" s="11">
        <v>0</v>
      </c>
      <c r="AE77" s="11">
        <f>(Z77+AB77+AD77)*6%</f>
        <v>0.46799999999999997</v>
      </c>
      <c r="AF77" s="11">
        <f>Z77+AB77+AD77+AE77</f>
        <v>8.2680000000000007</v>
      </c>
      <c r="AG77" t="s">
        <v>43</v>
      </c>
    </row>
    <row r="78" spans="1:33" ht="15" customHeight="1" x14ac:dyDescent="0.35">
      <c r="A78">
        <v>690929</v>
      </c>
      <c r="B78" t="s">
        <v>33</v>
      </c>
      <c r="C78" t="s">
        <v>34</v>
      </c>
      <c r="D78" s="6" t="s">
        <v>33</v>
      </c>
      <c r="E78" t="s">
        <v>326</v>
      </c>
      <c r="F78" t="s">
        <v>36</v>
      </c>
      <c r="G78" t="s">
        <v>37</v>
      </c>
      <c r="H78" t="s">
        <v>327</v>
      </c>
      <c r="I78" t="s">
        <v>39</v>
      </c>
      <c r="J78">
        <v>2</v>
      </c>
      <c r="K78" t="s">
        <v>40</v>
      </c>
      <c r="L78" t="s">
        <v>41</v>
      </c>
      <c r="M78" t="s">
        <v>42</v>
      </c>
      <c r="N78" s="7">
        <v>1</v>
      </c>
      <c r="O78" s="8">
        <v>45126.44159722222</v>
      </c>
      <c r="P78" s="9">
        <v>45127</v>
      </c>
      <c r="Q78" t="s">
        <v>36</v>
      </c>
      <c r="R78" t="s">
        <v>43</v>
      </c>
      <c r="S78" t="s">
        <v>44</v>
      </c>
      <c r="T78" t="s">
        <v>75</v>
      </c>
      <c r="U78" t="s">
        <v>328</v>
      </c>
      <c r="V78">
        <v>50300</v>
      </c>
      <c r="W78" t="s">
        <v>43</v>
      </c>
      <c r="X78" t="s">
        <v>47</v>
      </c>
      <c r="Y78" t="s">
        <v>48</v>
      </c>
      <c r="Z78" s="10">
        <f>IF(N78&lt;=1,7,7+0.8*ROUNDUP(N78-1,0))</f>
        <v>7</v>
      </c>
      <c r="AA78" s="11">
        <v>0</v>
      </c>
      <c r="AB78" s="11">
        <v>0</v>
      </c>
      <c r="AC78" s="11">
        <v>0</v>
      </c>
      <c r="AD78" s="11">
        <v>0</v>
      </c>
      <c r="AE78" s="11">
        <f>(Z78+AB78+AD78)*6%</f>
        <v>0.42</v>
      </c>
      <c r="AF78" s="11">
        <f>Z78+AB78+AD78+AE78</f>
        <v>7.42</v>
      </c>
      <c r="AG78" t="s">
        <v>43</v>
      </c>
    </row>
    <row r="79" spans="1:33" ht="15" customHeight="1" x14ac:dyDescent="0.35">
      <c r="A79">
        <v>690929</v>
      </c>
      <c r="B79" t="s">
        <v>33</v>
      </c>
      <c r="C79" t="s">
        <v>34</v>
      </c>
      <c r="D79" s="6" t="s">
        <v>33</v>
      </c>
      <c r="E79" t="s">
        <v>329</v>
      </c>
      <c r="F79" t="s">
        <v>36</v>
      </c>
      <c r="G79" t="s">
        <v>37</v>
      </c>
      <c r="H79" t="s">
        <v>330</v>
      </c>
      <c r="I79" t="s">
        <v>39</v>
      </c>
      <c r="J79">
        <v>2</v>
      </c>
      <c r="K79" t="s">
        <v>40</v>
      </c>
      <c r="L79" t="s">
        <v>41</v>
      </c>
      <c r="M79" t="s">
        <v>42</v>
      </c>
      <c r="N79" s="7">
        <v>1</v>
      </c>
      <c r="O79" s="8">
        <v>45126.44159722222</v>
      </c>
      <c r="P79" s="9">
        <v>45127</v>
      </c>
      <c r="Q79" t="s">
        <v>36</v>
      </c>
      <c r="R79" t="s">
        <v>43</v>
      </c>
      <c r="S79" t="s">
        <v>44</v>
      </c>
      <c r="T79" t="s">
        <v>109</v>
      </c>
      <c r="U79" t="s">
        <v>331</v>
      </c>
      <c r="V79">
        <v>18000</v>
      </c>
      <c r="W79" t="s">
        <v>43</v>
      </c>
      <c r="X79" t="s">
        <v>332</v>
      </c>
      <c r="Y79" t="s">
        <v>48</v>
      </c>
      <c r="Z79" s="10">
        <f>IF(N79&lt;=1,7,7+0.8*ROUNDUP(N79-1,0))</f>
        <v>7</v>
      </c>
      <c r="AA79" s="11">
        <v>0</v>
      </c>
      <c r="AB79" s="11">
        <v>0</v>
      </c>
      <c r="AC79" s="11">
        <v>0</v>
      </c>
      <c r="AD79" s="11">
        <v>0</v>
      </c>
      <c r="AE79" s="11">
        <f>(Z79+AB79+AD79)*6%</f>
        <v>0.42</v>
      </c>
      <c r="AF79" s="11">
        <f>Z79+AB79+AD79+AE79</f>
        <v>7.42</v>
      </c>
      <c r="AG79" t="s">
        <v>43</v>
      </c>
    </row>
    <row r="80" spans="1:33" ht="15" customHeight="1" x14ac:dyDescent="0.35">
      <c r="A80">
        <v>690929</v>
      </c>
      <c r="B80" t="s">
        <v>33</v>
      </c>
      <c r="C80" t="s">
        <v>34</v>
      </c>
      <c r="D80" s="6" t="s">
        <v>33</v>
      </c>
      <c r="E80" t="s">
        <v>333</v>
      </c>
      <c r="F80" t="s">
        <v>36</v>
      </c>
      <c r="G80" t="s">
        <v>37</v>
      </c>
      <c r="H80" t="s">
        <v>334</v>
      </c>
      <c r="I80" t="s">
        <v>39</v>
      </c>
      <c r="J80">
        <v>2</v>
      </c>
      <c r="K80" t="s">
        <v>40</v>
      </c>
      <c r="L80" t="s">
        <v>41</v>
      </c>
      <c r="M80" t="s">
        <v>42</v>
      </c>
      <c r="N80" s="7">
        <v>1</v>
      </c>
      <c r="O80" s="8">
        <v>45125.766944444447</v>
      </c>
      <c r="P80" s="9">
        <v>45127</v>
      </c>
      <c r="Q80" t="s">
        <v>36</v>
      </c>
      <c r="R80" t="s">
        <v>43</v>
      </c>
      <c r="S80" t="s">
        <v>44</v>
      </c>
      <c r="T80" t="s">
        <v>57</v>
      </c>
      <c r="U80" t="s">
        <v>335</v>
      </c>
      <c r="V80">
        <v>47100</v>
      </c>
      <c r="W80" t="s">
        <v>43</v>
      </c>
      <c r="X80" t="s">
        <v>227</v>
      </c>
      <c r="Y80" t="s">
        <v>48</v>
      </c>
      <c r="Z80" s="10">
        <f>IF(N80&lt;=1,7,7+0.8*ROUNDUP(N80-1,0))</f>
        <v>7</v>
      </c>
      <c r="AA80" s="11">
        <v>0</v>
      </c>
      <c r="AB80" s="11">
        <v>0</v>
      </c>
      <c r="AC80" s="11">
        <v>0</v>
      </c>
      <c r="AD80" s="11">
        <v>0</v>
      </c>
      <c r="AE80" s="11">
        <f>(Z80+AB80+AD80)*6%</f>
        <v>0.42</v>
      </c>
      <c r="AF80" s="11">
        <f>Z80+AB80+AD80+AE80</f>
        <v>7.42</v>
      </c>
      <c r="AG80" t="s">
        <v>43</v>
      </c>
    </row>
    <row r="81" spans="1:33" ht="15" customHeight="1" x14ac:dyDescent="0.35">
      <c r="A81">
        <v>690929</v>
      </c>
      <c r="B81" t="s">
        <v>33</v>
      </c>
      <c r="C81" t="s">
        <v>34</v>
      </c>
      <c r="D81" s="6" t="s">
        <v>33</v>
      </c>
      <c r="E81" t="s">
        <v>336</v>
      </c>
      <c r="F81" t="s">
        <v>36</v>
      </c>
      <c r="G81" t="s">
        <v>37</v>
      </c>
      <c r="H81" t="s">
        <v>337</v>
      </c>
      <c r="I81" t="s">
        <v>39</v>
      </c>
      <c r="J81">
        <v>2</v>
      </c>
      <c r="K81" t="s">
        <v>40</v>
      </c>
      <c r="L81" t="s">
        <v>41</v>
      </c>
      <c r="M81" t="s">
        <v>42</v>
      </c>
      <c r="N81" s="7">
        <v>1</v>
      </c>
      <c r="O81" s="8">
        <v>45126.44159722222</v>
      </c>
      <c r="P81" s="9">
        <v>45127</v>
      </c>
      <c r="Q81" t="s">
        <v>36</v>
      </c>
      <c r="R81" t="s">
        <v>43</v>
      </c>
      <c r="S81" t="s">
        <v>44</v>
      </c>
      <c r="T81" t="s">
        <v>109</v>
      </c>
      <c r="U81" t="s">
        <v>338</v>
      </c>
      <c r="V81">
        <v>16150</v>
      </c>
      <c r="W81" t="s">
        <v>43</v>
      </c>
      <c r="X81" t="s">
        <v>44</v>
      </c>
      <c r="Y81" t="s">
        <v>48</v>
      </c>
      <c r="Z81" s="10">
        <f>IF(N81&lt;=1,7,7+0.8*ROUNDUP(N81-1,0))</f>
        <v>7</v>
      </c>
      <c r="AA81" s="11">
        <v>0</v>
      </c>
      <c r="AB81" s="11">
        <v>0</v>
      </c>
      <c r="AC81" s="11">
        <v>0</v>
      </c>
      <c r="AD81" s="11">
        <v>0</v>
      </c>
      <c r="AE81" s="11">
        <f>(Z81+AB81+AD81)*6%</f>
        <v>0.42</v>
      </c>
      <c r="AF81" s="11">
        <f>Z81+AB81+AD81+AE81</f>
        <v>7.42</v>
      </c>
      <c r="AG81" t="s">
        <v>43</v>
      </c>
    </row>
    <row r="82" spans="1:33" ht="15" customHeight="1" x14ac:dyDescent="0.35">
      <c r="A82">
        <v>690929</v>
      </c>
      <c r="B82" t="s">
        <v>33</v>
      </c>
      <c r="C82" t="s">
        <v>34</v>
      </c>
      <c r="D82" s="6" t="s">
        <v>33</v>
      </c>
      <c r="E82" t="s">
        <v>339</v>
      </c>
      <c r="F82" t="s">
        <v>36</v>
      </c>
      <c r="G82" t="s">
        <v>37</v>
      </c>
      <c r="H82" t="s">
        <v>340</v>
      </c>
      <c r="I82" t="s">
        <v>39</v>
      </c>
      <c r="J82">
        <v>2</v>
      </c>
      <c r="K82" t="s">
        <v>40</v>
      </c>
      <c r="L82" t="s">
        <v>41</v>
      </c>
      <c r="M82" t="s">
        <v>42</v>
      </c>
      <c r="N82" s="7">
        <v>1</v>
      </c>
      <c r="O82" s="8">
        <v>45126.639062499999</v>
      </c>
      <c r="P82" s="9">
        <v>45127</v>
      </c>
      <c r="Q82" t="s">
        <v>36</v>
      </c>
      <c r="R82" t="s">
        <v>43</v>
      </c>
      <c r="S82" t="s">
        <v>44</v>
      </c>
      <c r="T82" t="s">
        <v>45</v>
      </c>
      <c r="U82" t="s">
        <v>341</v>
      </c>
      <c r="V82">
        <v>75250</v>
      </c>
      <c r="W82" t="s">
        <v>43</v>
      </c>
      <c r="X82" t="s">
        <v>342</v>
      </c>
      <c r="Y82" t="s">
        <v>48</v>
      </c>
      <c r="Z82" s="10">
        <f>IF(N82&lt;=1,7,7+0.8*ROUNDUP(N82-1,0))</f>
        <v>7</v>
      </c>
      <c r="AA82" s="11">
        <v>0</v>
      </c>
      <c r="AB82" s="11">
        <v>0</v>
      </c>
      <c r="AC82" s="11">
        <v>0</v>
      </c>
      <c r="AD82" s="11">
        <v>0</v>
      </c>
      <c r="AE82" s="11">
        <f>(Z82+AB82+AD82)*6%</f>
        <v>0.42</v>
      </c>
      <c r="AF82" s="11">
        <f>Z82+AB82+AD82+AE82</f>
        <v>7.42</v>
      </c>
      <c r="AG82" t="s">
        <v>43</v>
      </c>
    </row>
    <row r="83" spans="1:33" ht="15" customHeight="1" x14ac:dyDescent="0.35">
      <c r="A83">
        <v>690929</v>
      </c>
      <c r="B83" t="s">
        <v>33</v>
      </c>
      <c r="C83" t="s">
        <v>34</v>
      </c>
      <c r="D83" s="6" t="s">
        <v>33</v>
      </c>
      <c r="E83" t="s">
        <v>343</v>
      </c>
      <c r="F83" t="s">
        <v>36</v>
      </c>
      <c r="G83" t="s">
        <v>37</v>
      </c>
      <c r="H83" t="s">
        <v>344</v>
      </c>
      <c r="I83" t="s">
        <v>39</v>
      </c>
      <c r="J83">
        <v>2</v>
      </c>
      <c r="K83" t="s">
        <v>40</v>
      </c>
      <c r="L83" t="s">
        <v>41</v>
      </c>
      <c r="M83" t="s">
        <v>42</v>
      </c>
      <c r="N83" s="7">
        <v>9</v>
      </c>
      <c r="O83" s="8">
        <v>45126.608217592591</v>
      </c>
      <c r="P83" s="9">
        <v>45127</v>
      </c>
      <c r="Q83" t="s">
        <v>36</v>
      </c>
      <c r="R83" t="s">
        <v>43</v>
      </c>
      <c r="S83" t="s">
        <v>44</v>
      </c>
      <c r="T83" t="s">
        <v>57</v>
      </c>
      <c r="U83" t="s">
        <v>345</v>
      </c>
      <c r="V83">
        <v>42000</v>
      </c>
      <c r="W83" t="s">
        <v>43</v>
      </c>
      <c r="X83" t="s">
        <v>98</v>
      </c>
      <c r="Y83" t="s">
        <v>48</v>
      </c>
      <c r="Z83" s="10">
        <f>IF(N83&lt;=1,7,7+0.8*ROUNDUP(N83-1,0))</f>
        <v>13.4</v>
      </c>
      <c r="AA83" s="11">
        <v>0</v>
      </c>
      <c r="AB83" s="11">
        <v>0</v>
      </c>
      <c r="AC83" s="11">
        <v>0</v>
      </c>
      <c r="AD83" s="11">
        <v>0</v>
      </c>
      <c r="AE83" s="11">
        <f>(Z83+AB83+AD83)*6%</f>
        <v>0.80399999999999994</v>
      </c>
      <c r="AF83" s="11">
        <f>Z83+AB83+AD83+AE83</f>
        <v>14.204000000000001</v>
      </c>
      <c r="AG83" t="s">
        <v>43</v>
      </c>
    </row>
    <row r="84" spans="1:33" ht="15" customHeight="1" x14ac:dyDescent="0.35">
      <c r="A84">
        <v>690929</v>
      </c>
      <c r="B84" t="s">
        <v>33</v>
      </c>
      <c r="C84" t="s">
        <v>34</v>
      </c>
      <c r="D84" s="6" t="s">
        <v>33</v>
      </c>
      <c r="E84" t="s">
        <v>346</v>
      </c>
      <c r="F84" t="s">
        <v>36</v>
      </c>
      <c r="G84" t="s">
        <v>37</v>
      </c>
      <c r="H84" t="s">
        <v>347</v>
      </c>
      <c r="I84" t="s">
        <v>39</v>
      </c>
      <c r="J84">
        <v>2</v>
      </c>
      <c r="K84" t="s">
        <v>40</v>
      </c>
      <c r="L84" t="s">
        <v>41</v>
      </c>
      <c r="M84" t="s">
        <v>42</v>
      </c>
      <c r="N84" s="7">
        <v>2</v>
      </c>
      <c r="O84" s="8">
        <v>45126.44159722222</v>
      </c>
      <c r="P84" s="9">
        <v>45127</v>
      </c>
      <c r="Q84" t="s">
        <v>36</v>
      </c>
      <c r="R84" t="s">
        <v>43</v>
      </c>
      <c r="S84" t="s">
        <v>44</v>
      </c>
      <c r="T84" t="s">
        <v>57</v>
      </c>
      <c r="U84" t="s">
        <v>348</v>
      </c>
      <c r="V84">
        <v>40100</v>
      </c>
      <c r="W84" t="s">
        <v>43</v>
      </c>
      <c r="X84" t="s">
        <v>47</v>
      </c>
      <c r="Y84" t="s">
        <v>48</v>
      </c>
      <c r="Z84" s="10">
        <f>IF(N84&lt;=1,7,7+0.8*ROUNDUP(N84-1,0))</f>
        <v>7.8</v>
      </c>
      <c r="AA84" s="11">
        <v>0</v>
      </c>
      <c r="AB84" s="11">
        <v>0</v>
      </c>
      <c r="AC84" s="11">
        <v>0</v>
      </c>
      <c r="AD84" s="11">
        <v>0</v>
      </c>
      <c r="AE84" s="11">
        <f>(Z84+AB84+AD84)*6%</f>
        <v>0.46799999999999997</v>
      </c>
      <c r="AF84" s="11">
        <f>Z84+AB84+AD84+AE84</f>
        <v>8.2680000000000007</v>
      </c>
      <c r="AG84" t="s">
        <v>43</v>
      </c>
    </row>
    <row r="85" spans="1:33" ht="15" customHeight="1" x14ac:dyDescent="0.35">
      <c r="A85">
        <v>690929</v>
      </c>
      <c r="B85" t="s">
        <v>33</v>
      </c>
      <c r="C85" t="s">
        <v>34</v>
      </c>
      <c r="D85" s="6" t="s">
        <v>33</v>
      </c>
      <c r="E85" t="s">
        <v>349</v>
      </c>
      <c r="F85" t="s">
        <v>36</v>
      </c>
      <c r="G85" t="s">
        <v>37</v>
      </c>
      <c r="H85" t="s">
        <v>344</v>
      </c>
      <c r="I85" t="s">
        <v>39</v>
      </c>
      <c r="J85">
        <v>2</v>
      </c>
      <c r="K85" t="s">
        <v>40</v>
      </c>
      <c r="L85" t="s">
        <v>41</v>
      </c>
      <c r="M85" t="s">
        <v>42</v>
      </c>
      <c r="N85" s="7">
        <v>13</v>
      </c>
      <c r="O85" s="8">
        <v>45126.608217592591</v>
      </c>
      <c r="P85" s="9">
        <v>45127</v>
      </c>
      <c r="Q85" t="s">
        <v>36</v>
      </c>
      <c r="R85" t="s">
        <v>43</v>
      </c>
      <c r="S85" t="s">
        <v>44</v>
      </c>
      <c r="T85" t="s">
        <v>57</v>
      </c>
      <c r="U85" t="s">
        <v>345</v>
      </c>
      <c r="V85">
        <v>42000</v>
      </c>
      <c r="W85" t="s">
        <v>43</v>
      </c>
      <c r="X85" t="s">
        <v>98</v>
      </c>
      <c r="Y85" t="s">
        <v>48</v>
      </c>
      <c r="Z85" s="10">
        <f>IF(N85&lt;=1,7,7+0.8*ROUNDUP(N85-1,0))</f>
        <v>16.600000000000001</v>
      </c>
      <c r="AA85" s="11">
        <v>0</v>
      </c>
      <c r="AB85" s="11">
        <v>0</v>
      </c>
      <c r="AC85" s="11">
        <v>0</v>
      </c>
      <c r="AD85" s="11">
        <v>0</v>
      </c>
      <c r="AE85" s="11">
        <f>(Z85+AB85+AD85)*6%</f>
        <v>0.996</v>
      </c>
      <c r="AF85" s="11">
        <f>Z85+AB85+AD85+AE85</f>
        <v>17.596</v>
      </c>
      <c r="AG85" t="s">
        <v>43</v>
      </c>
    </row>
    <row r="86" spans="1:33" ht="15" customHeight="1" x14ac:dyDescent="0.35">
      <c r="A86">
        <v>690929</v>
      </c>
      <c r="B86" t="s">
        <v>33</v>
      </c>
      <c r="C86" t="s">
        <v>34</v>
      </c>
      <c r="D86" s="6" t="s">
        <v>33</v>
      </c>
      <c r="E86" t="s">
        <v>350</v>
      </c>
      <c r="F86" t="s">
        <v>36</v>
      </c>
      <c r="G86" t="s">
        <v>37</v>
      </c>
      <c r="H86" t="s">
        <v>351</v>
      </c>
      <c r="I86" t="s">
        <v>39</v>
      </c>
      <c r="J86">
        <v>2</v>
      </c>
      <c r="K86" t="s">
        <v>40</v>
      </c>
      <c r="L86" t="s">
        <v>41</v>
      </c>
      <c r="M86" t="s">
        <v>42</v>
      </c>
      <c r="N86" s="7">
        <v>1</v>
      </c>
      <c r="O86" s="8">
        <v>45126.682106481479</v>
      </c>
      <c r="P86" s="9">
        <v>45127</v>
      </c>
      <c r="Q86" t="s">
        <v>36</v>
      </c>
      <c r="R86" t="s">
        <v>43</v>
      </c>
      <c r="S86" t="s">
        <v>44</v>
      </c>
      <c r="T86" t="s">
        <v>75</v>
      </c>
      <c r="U86" t="s">
        <v>352</v>
      </c>
      <c r="V86">
        <v>54200</v>
      </c>
      <c r="W86" t="s">
        <v>43</v>
      </c>
      <c r="X86" t="s">
        <v>188</v>
      </c>
      <c r="Y86" t="s">
        <v>48</v>
      </c>
      <c r="Z86" s="10">
        <f>IF(N86&lt;=1,7,7+0.8*ROUNDUP(N86-1,0))</f>
        <v>7</v>
      </c>
      <c r="AA86" s="11">
        <v>0</v>
      </c>
      <c r="AB86" s="11">
        <v>0</v>
      </c>
      <c r="AC86" s="11">
        <v>0</v>
      </c>
      <c r="AD86" s="11">
        <v>0</v>
      </c>
      <c r="AE86" s="11">
        <f>(Z86+AB86+AD86)*6%</f>
        <v>0.42</v>
      </c>
      <c r="AF86" s="11">
        <f>Z86+AB86+AD86+AE86</f>
        <v>7.42</v>
      </c>
      <c r="AG86" t="s">
        <v>43</v>
      </c>
    </row>
    <row r="87" spans="1:33" ht="15" customHeight="1" x14ac:dyDescent="0.35">
      <c r="A87">
        <v>690929</v>
      </c>
      <c r="B87" t="s">
        <v>33</v>
      </c>
      <c r="C87" t="s">
        <v>34</v>
      </c>
      <c r="D87" s="6" t="s">
        <v>33</v>
      </c>
      <c r="E87" t="s">
        <v>353</v>
      </c>
      <c r="F87" t="s">
        <v>36</v>
      </c>
      <c r="G87" t="s">
        <v>37</v>
      </c>
      <c r="H87" t="s">
        <v>354</v>
      </c>
      <c r="I87" t="s">
        <v>39</v>
      </c>
      <c r="J87">
        <v>2</v>
      </c>
      <c r="K87" t="s">
        <v>40</v>
      </c>
      <c r="L87" t="s">
        <v>41</v>
      </c>
      <c r="M87" t="s">
        <v>42</v>
      </c>
      <c r="N87" s="7">
        <v>1</v>
      </c>
      <c r="O87" s="8">
        <v>45126.639062499999</v>
      </c>
      <c r="P87" s="9">
        <v>45127</v>
      </c>
      <c r="Q87" t="s">
        <v>36</v>
      </c>
      <c r="R87" t="s">
        <v>43</v>
      </c>
      <c r="S87" t="s">
        <v>44</v>
      </c>
      <c r="T87" t="s">
        <v>57</v>
      </c>
      <c r="U87" t="s">
        <v>355</v>
      </c>
      <c r="V87">
        <v>40150</v>
      </c>
      <c r="W87" t="s">
        <v>43</v>
      </c>
      <c r="X87" t="s">
        <v>47</v>
      </c>
      <c r="Y87" t="s">
        <v>48</v>
      </c>
      <c r="Z87" s="10">
        <f>IF(N87&lt;=1,7,7+0.8*ROUNDUP(N87-1,0))</f>
        <v>7</v>
      </c>
      <c r="AA87" s="11">
        <v>0</v>
      </c>
      <c r="AB87" s="11">
        <v>0</v>
      </c>
      <c r="AC87" s="11">
        <v>0</v>
      </c>
      <c r="AD87" s="11">
        <v>0</v>
      </c>
      <c r="AE87" s="11">
        <f>(Z87+AB87+AD87)*6%</f>
        <v>0.42</v>
      </c>
      <c r="AF87" s="11">
        <f>Z87+AB87+AD87+AE87</f>
        <v>7.42</v>
      </c>
      <c r="AG87" t="s">
        <v>43</v>
      </c>
    </row>
    <row r="88" spans="1:33" ht="15" customHeight="1" x14ac:dyDescent="0.35">
      <c r="A88">
        <v>690929</v>
      </c>
      <c r="B88" t="s">
        <v>33</v>
      </c>
      <c r="C88" t="s">
        <v>34</v>
      </c>
      <c r="D88" s="6" t="s">
        <v>33</v>
      </c>
      <c r="E88" t="s">
        <v>356</v>
      </c>
      <c r="F88" t="s">
        <v>36</v>
      </c>
      <c r="G88" t="s">
        <v>37</v>
      </c>
      <c r="H88" t="s">
        <v>357</v>
      </c>
      <c r="I88" t="s">
        <v>39</v>
      </c>
      <c r="J88">
        <v>2</v>
      </c>
      <c r="K88" t="s">
        <v>40</v>
      </c>
      <c r="L88" t="s">
        <v>41</v>
      </c>
      <c r="M88" t="s">
        <v>42</v>
      </c>
      <c r="N88" s="7">
        <v>4</v>
      </c>
      <c r="O88" s="8">
        <v>45125.766944444447</v>
      </c>
      <c r="P88" s="9">
        <v>45127</v>
      </c>
      <c r="Q88" t="s">
        <v>36</v>
      </c>
      <c r="R88" t="s">
        <v>43</v>
      </c>
      <c r="S88" t="s">
        <v>44</v>
      </c>
      <c r="T88" t="s">
        <v>57</v>
      </c>
      <c r="U88" t="s">
        <v>358</v>
      </c>
      <c r="V88">
        <v>43000</v>
      </c>
      <c r="W88" t="s">
        <v>43</v>
      </c>
      <c r="X88" t="s">
        <v>180</v>
      </c>
      <c r="Y88" t="s">
        <v>48</v>
      </c>
      <c r="Z88" s="10">
        <f>IF(N88&lt;=1,7,7+0.8*ROUNDUP(N88-1,0))</f>
        <v>9.4</v>
      </c>
      <c r="AA88" s="11">
        <v>0</v>
      </c>
      <c r="AB88" s="11">
        <v>0</v>
      </c>
      <c r="AC88" s="11">
        <v>0</v>
      </c>
      <c r="AD88" s="11">
        <v>0</v>
      </c>
      <c r="AE88" s="11">
        <f>(Z88+AB88+AD88)*6%</f>
        <v>0.56399999999999995</v>
      </c>
      <c r="AF88" s="11">
        <f>Z88+AB88+AD88+AE88</f>
        <v>9.9640000000000004</v>
      </c>
      <c r="AG88" t="s">
        <v>43</v>
      </c>
    </row>
    <row r="89" spans="1:33" ht="15" customHeight="1" x14ac:dyDescent="0.35">
      <c r="A89">
        <v>690929</v>
      </c>
      <c r="B89" t="s">
        <v>33</v>
      </c>
      <c r="C89" t="s">
        <v>34</v>
      </c>
      <c r="D89" s="6" t="s">
        <v>33</v>
      </c>
      <c r="E89" t="s">
        <v>359</v>
      </c>
      <c r="F89" t="s">
        <v>36</v>
      </c>
      <c r="G89" t="s">
        <v>37</v>
      </c>
      <c r="H89" t="s">
        <v>360</v>
      </c>
      <c r="I89" t="s">
        <v>39</v>
      </c>
      <c r="J89">
        <v>2</v>
      </c>
      <c r="K89" t="s">
        <v>40</v>
      </c>
      <c r="L89" t="s">
        <v>41</v>
      </c>
      <c r="M89" t="s">
        <v>42</v>
      </c>
      <c r="N89" s="7">
        <v>1</v>
      </c>
      <c r="O89" s="8">
        <v>45126.649212962962</v>
      </c>
      <c r="P89" s="9">
        <v>45127</v>
      </c>
      <c r="Q89" t="s">
        <v>36</v>
      </c>
      <c r="R89" t="s">
        <v>43</v>
      </c>
      <c r="S89" t="s">
        <v>44</v>
      </c>
      <c r="T89" t="s">
        <v>45</v>
      </c>
      <c r="U89" t="s">
        <v>361</v>
      </c>
      <c r="V89">
        <v>75260</v>
      </c>
      <c r="W89" t="s">
        <v>43</v>
      </c>
      <c r="X89" t="s">
        <v>342</v>
      </c>
      <c r="Y89" t="s">
        <v>48</v>
      </c>
      <c r="Z89" s="10">
        <f>IF(N89&lt;=1,7,7+0.8*ROUNDUP(N89-1,0))</f>
        <v>7</v>
      </c>
      <c r="AA89" s="11">
        <v>0</v>
      </c>
      <c r="AB89" s="11">
        <v>0</v>
      </c>
      <c r="AC89" s="11">
        <v>0</v>
      </c>
      <c r="AD89" s="11">
        <v>0</v>
      </c>
      <c r="AE89" s="11">
        <f>(Z89+AB89+AD89)*6%</f>
        <v>0.42</v>
      </c>
      <c r="AF89" s="11">
        <f>Z89+AB89+AD89+AE89</f>
        <v>7.42</v>
      </c>
      <c r="AG89" t="s">
        <v>43</v>
      </c>
    </row>
    <row r="90" spans="1:33" ht="15" customHeight="1" x14ac:dyDescent="0.35">
      <c r="A90">
        <v>690929</v>
      </c>
      <c r="B90" t="s">
        <v>33</v>
      </c>
      <c r="C90" t="s">
        <v>34</v>
      </c>
      <c r="D90" s="6" t="s">
        <v>33</v>
      </c>
      <c r="E90" t="s">
        <v>362</v>
      </c>
      <c r="F90" t="s">
        <v>36</v>
      </c>
      <c r="G90" t="s">
        <v>37</v>
      </c>
      <c r="H90" t="s">
        <v>363</v>
      </c>
      <c r="I90" t="s">
        <v>39</v>
      </c>
      <c r="J90">
        <v>2</v>
      </c>
      <c r="K90" t="s">
        <v>40</v>
      </c>
      <c r="L90" t="s">
        <v>41</v>
      </c>
      <c r="M90" t="s">
        <v>42</v>
      </c>
      <c r="N90" s="7">
        <v>2</v>
      </c>
      <c r="O90" s="8">
        <v>45126.649224537039</v>
      </c>
      <c r="P90" s="9">
        <v>45127</v>
      </c>
      <c r="Q90" t="s">
        <v>36</v>
      </c>
      <c r="R90" t="s">
        <v>43</v>
      </c>
      <c r="S90" t="s">
        <v>44</v>
      </c>
      <c r="T90" t="s">
        <v>45</v>
      </c>
      <c r="U90" t="s">
        <v>364</v>
      </c>
      <c r="V90">
        <v>75250</v>
      </c>
      <c r="W90" t="s">
        <v>43</v>
      </c>
      <c r="X90" t="s">
        <v>365</v>
      </c>
      <c r="Y90" t="s">
        <v>48</v>
      </c>
      <c r="Z90" s="10">
        <f>IF(N90&lt;=1,7,7+0.8*ROUNDUP(N90-1,0))</f>
        <v>7.8</v>
      </c>
      <c r="AA90" s="11">
        <v>0</v>
      </c>
      <c r="AB90" s="11">
        <v>0</v>
      </c>
      <c r="AC90" s="11">
        <v>0</v>
      </c>
      <c r="AD90" s="11">
        <v>0</v>
      </c>
      <c r="AE90" s="11">
        <f>(Z90+AB90+AD90)*6%</f>
        <v>0.46799999999999997</v>
      </c>
      <c r="AF90" s="11">
        <f>Z90+AB90+AD90+AE90</f>
        <v>8.2680000000000007</v>
      </c>
      <c r="AG90" t="s">
        <v>43</v>
      </c>
    </row>
    <row r="91" spans="1:33" ht="15" customHeight="1" x14ac:dyDescent="0.35">
      <c r="A91">
        <v>690929</v>
      </c>
      <c r="B91" t="s">
        <v>33</v>
      </c>
      <c r="C91" t="s">
        <v>34</v>
      </c>
      <c r="D91" s="6" t="s">
        <v>33</v>
      </c>
      <c r="E91" t="s">
        <v>366</v>
      </c>
      <c r="F91" t="s">
        <v>36</v>
      </c>
      <c r="G91" t="s">
        <v>37</v>
      </c>
      <c r="H91" t="s">
        <v>367</v>
      </c>
      <c r="I91" t="s">
        <v>39</v>
      </c>
      <c r="J91">
        <v>2</v>
      </c>
      <c r="K91" t="s">
        <v>40</v>
      </c>
      <c r="L91" t="s">
        <v>41</v>
      </c>
      <c r="M91" t="s">
        <v>42</v>
      </c>
      <c r="N91" s="7">
        <v>1</v>
      </c>
      <c r="O91" s="8">
        <v>45126.44159722222</v>
      </c>
      <c r="P91" s="9">
        <v>45127</v>
      </c>
      <c r="Q91" t="s">
        <v>36</v>
      </c>
      <c r="R91" t="s">
        <v>43</v>
      </c>
      <c r="S91" t="s">
        <v>44</v>
      </c>
      <c r="T91" t="s">
        <v>57</v>
      </c>
      <c r="U91" t="s">
        <v>368</v>
      </c>
      <c r="V91">
        <v>43300</v>
      </c>
      <c r="W91" t="s">
        <v>43</v>
      </c>
      <c r="X91" t="s">
        <v>47</v>
      </c>
      <c r="Y91" t="s">
        <v>48</v>
      </c>
      <c r="Z91" s="10">
        <f>IF(N91&lt;=1,7,7+0.8*ROUNDUP(N91-1,0))</f>
        <v>7</v>
      </c>
      <c r="AA91" s="11">
        <v>0</v>
      </c>
      <c r="AB91" s="11">
        <v>0</v>
      </c>
      <c r="AC91" s="11">
        <v>0</v>
      </c>
      <c r="AD91" s="11">
        <v>0</v>
      </c>
      <c r="AE91" s="11">
        <f>(Z91+AB91+AD91)*6%</f>
        <v>0.42</v>
      </c>
      <c r="AF91" s="11">
        <f>Z91+AB91+AD91+AE91</f>
        <v>7.42</v>
      </c>
      <c r="AG91" t="s">
        <v>43</v>
      </c>
    </row>
    <row r="92" spans="1:33" ht="15" customHeight="1" x14ac:dyDescent="0.35">
      <c r="A92">
        <v>690929</v>
      </c>
      <c r="B92" t="s">
        <v>33</v>
      </c>
      <c r="C92" t="s">
        <v>34</v>
      </c>
      <c r="D92" s="6" t="s">
        <v>33</v>
      </c>
      <c r="E92" t="s">
        <v>369</v>
      </c>
      <c r="F92" t="s">
        <v>36</v>
      </c>
      <c r="G92" t="s">
        <v>37</v>
      </c>
      <c r="H92" t="s">
        <v>370</v>
      </c>
      <c r="I92" t="s">
        <v>39</v>
      </c>
      <c r="J92">
        <v>2</v>
      </c>
      <c r="K92" t="s">
        <v>40</v>
      </c>
      <c r="L92" t="s">
        <v>41</v>
      </c>
      <c r="M92" t="s">
        <v>42</v>
      </c>
      <c r="N92" s="7">
        <v>1</v>
      </c>
      <c r="O92" s="8">
        <v>45126.44159722222</v>
      </c>
      <c r="P92" s="9">
        <v>45127</v>
      </c>
      <c r="Q92" t="s">
        <v>36</v>
      </c>
      <c r="R92" t="s">
        <v>43</v>
      </c>
      <c r="S92" t="s">
        <v>44</v>
      </c>
      <c r="T92" t="s">
        <v>57</v>
      </c>
      <c r="U92" t="s">
        <v>371</v>
      </c>
      <c r="V92">
        <v>40150</v>
      </c>
      <c r="W92" t="s">
        <v>43</v>
      </c>
      <c r="X92" t="s">
        <v>372</v>
      </c>
      <c r="Y92" t="s">
        <v>48</v>
      </c>
      <c r="Z92" s="10">
        <f>IF(N92&lt;=1,7,7+0.8*ROUNDUP(N92-1,0))</f>
        <v>7</v>
      </c>
      <c r="AA92" s="11">
        <v>0</v>
      </c>
      <c r="AB92" s="11">
        <v>0</v>
      </c>
      <c r="AC92" s="11">
        <v>0</v>
      </c>
      <c r="AD92" s="11">
        <v>0</v>
      </c>
      <c r="AE92" s="11">
        <f>(Z92+AB92+AD92)*6%</f>
        <v>0.42</v>
      </c>
      <c r="AF92" s="11">
        <f>Z92+AB92+AD92+AE92</f>
        <v>7.42</v>
      </c>
      <c r="AG92" t="s">
        <v>43</v>
      </c>
    </row>
    <row r="93" spans="1:33" ht="15" customHeight="1" x14ac:dyDescent="0.35">
      <c r="A93">
        <v>690929</v>
      </c>
      <c r="B93" t="s">
        <v>33</v>
      </c>
      <c r="C93" t="s">
        <v>34</v>
      </c>
      <c r="D93" s="6" t="s">
        <v>33</v>
      </c>
      <c r="E93" t="s">
        <v>373</v>
      </c>
      <c r="F93" t="s">
        <v>36</v>
      </c>
      <c r="G93" t="s">
        <v>37</v>
      </c>
      <c r="H93" t="s">
        <v>374</v>
      </c>
      <c r="I93" t="s">
        <v>39</v>
      </c>
      <c r="J93">
        <v>2</v>
      </c>
      <c r="K93" t="s">
        <v>40</v>
      </c>
      <c r="L93" t="s">
        <v>41</v>
      </c>
      <c r="M93" t="s">
        <v>42</v>
      </c>
      <c r="N93" s="7">
        <v>1</v>
      </c>
      <c r="O93" s="8">
        <v>45126.492488425924</v>
      </c>
      <c r="P93" s="9">
        <v>45127</v>
      </c>
      <c r="Q93" t="s">
        <v>36</v>
      </c>
      <c r="R93" t="s">
        <v>43</v>
      </c>
      <c r="S93" t="s">
        <v>44</v>
      </c>
      <c r="T93" t="s">
        <v>89</v>
      </c>
      <c r="U93" t="s">
        <v>375</v>
      </c>
      <c r="V93">
        <v>27000</v>
      </c>
      <c r="W93" t="s">
        <v>43</v>
      </c>
      <c r="X93" t="s">
        <v>376</v>
      </c>
      <c r="Y93" t="s">
        <v>48</v>
      </c>
      <c r="Z93" s="10">
        <f>IF(N93&lt;=1,7,7+0.8*ROUNDUP(N93-1,0))</f>
        <v>7</v>
      </c>
      <c r="AA93" s="11">
        <v>0</v>
      </c>
      <c r="AB93" s="11">
        <v>0</v>
      </c>
      <c r="AC93" s="11">
        <v>0</v>
      </c>
      <c r="AD93" s="11">
        <v>0</v>
      </c>
      <c r="AE93" s="11">
        <f>(Z93+AB93+AD93)*6%</f>
        <v>0.42</v>
      </c>
      <c r="AF93" s="11">
        <f>Z93+AB93+AD93+AE93</f>
        <v>7.42</v>
      </c>
      <c r="AG93" t="s">
        <v>43</v>
      </c>
    </row>
    <row r="94" spans="1:33" ht="15" customHeight="1" x14ac:dyDescent="0.35">
      <c r="A94">
        <v>690929</v>
      </c>
      <c r="B94" t="s">
        <v>33</v>
      </c>
      <c r="C94" t="s">
        <v>34</v>
      </c>
      <c r="D94" s="6" t="s">
        <v>33</v>
      </c>
      <c r="E94" t="s">
        <v>377</v>
      </c>
      <c r="F94" t="s">
        <v>36</v>
      </c>
      <c r="G94" t="s">
        <v>37</v>
      </c>
      <c r="H94" t="s">
        <v>378</v>
      </c>
      <c r="I94" t="s">
        <v>39</v>
      </c>
      <c r="J94">
        <v>2</v>
      </c>
      <c r="K94" t="s">
        <v>40</v>
      </c>
      <c r="L94" t="s">
        <v>41</v>
      </c>
      <c r="M94" t="s">
        <v>42</v>
      </c>
      <c r="N94" s="7">
        <v>2</v>
      </c>
      <c r="O94" s="8">
        <v>45126.649224537039</v>
      </c>
      <c r="P94" s="9">
        <v>45127</v>
      </c>
      <c r="Q94" t="s">
        <v>36</v>
      </c>
      <c r="R94" t="s">
        <v>43</v>
      </c>
      <c r="S94" t="s">
        <v>44</v>
      </c>
      <c r="T94" t="s">
        <v>57</v>
      </c>
      <c r="U94" t="s">
        <v>379</v>
      </c>
      <c r="V94">
        <v>43300</v>
      </c>
      <c r="W94" t="s">
        <v>43</v>
      </c>
      <c r="X94" t="s">
        <v>380</v>
      </c>
      <c r="Y94" t="s">
        <v>48</v>
      </c>
      <c r="Z94" s="10">
        <f>IF(N94&lt;=1,7,7+0.8*ROUNDUP(N94-1,0))</f>
        <v>7.8</v>
      </c>
      <c r="AA94" s="11">
        <v>0</v>
      </c>
      <c r="AB94" s="11">
        <v>0</v>
      </c>
      <c r="AC94" s="11">
        <v>0</v>
      </c>
      <c r="AD94" s="11">
        <v>0</v>
      </c>
      <c r="AE94" s="11">
        <f>(Z94+AB94+AD94)*6%</f>
        <v>0.46799999999999997</v>
      </c>
      <c r="AF94" s="11">
        <f>Z94+AB94+AD94+AE94</f>
        <v>8.2680000000000007</v>
      </c>
      <c r="AG94" t="s">
        <v>43</v>
      </c>
    </row>
    <row r="95" spans="1:33" ht="15" customHeight="1" x14ac:dyDescent="0.35">
      <c r="A95">
        <v>690929</v>
      </c>
      <c r="B95" t="s">
        <v>33</v>
      </c>
      <c r="C95" t="s">
        <v>34</v>
      </c>
      <c r="D95" s="6" t="s">
        <v>33</v>
      </c>
      <c r="E95" t="s">
        <v>381</v>
      </c>
      <c r="F95" t="s">
        <v>36</v>
      </c>
      <c r="G95" t="s">
        <v>37</v>
      </c>
      <c r="H95" t="s">
        <v>382</v>
      </c>
      <c r="I95" t="s">
        <v>39</v>
      </c>
      <c r="J95">
        <v>2</v>
      </c>
      <c r="K95" t="s">
        <v>40</v>
      </c>
      <c r="L95" t="s">
        <v>41</v>
      </c>
      <c r="M95" t="s">
        <v>42</v>
      </c>
      <c r="N95" s="7">
        <v>1</v>
      </c>
      <c r="O95" s="8">
        <v>45126.44159722222</v>
      </c>
      <c r="P95" s="9">
        <v>45127</v>
      </c>
      <c r="Q95" t="s">
        <v>36</v>
      </c>
      <c r="R95" t="s">
        <v>43</v>
      </c>
      <c r="S95" t="s">
        <v>44</v>
      </c>
      <c r="T95" t="s">
        <v>89</v>
      </c>
      <c r="U95" t="s">
        <v>383</v>
      </c>
      <c r="V95">
        <v>27000</v>
      </c>
      <c r="W95" t="s">
        <v>43</v>
      </c>
      <c r="X95" t="s">
        <v>44</v>
      </c>
      <c r="Y95" t="s">
        <v>48</v>
      </c>
      <c r="Z95" s="10">
        <f>IF(N95&lt;=1,7,7+0.8*ROUNDUP(N95-1,0))</f>
        <v>7</v>
      </c>
      <c r="AA95" s="11">
        <v>0</v>
      </c>
      <c r="AB95" s="11">
        <v>0</v>
      </c>
      <c r="AC95" s="11">
        <v>0</v>
      </c>
      <c r="AD95" s="11">
        <v>0</v>
      </c>
      <c r="AE95" s="11">
        <f>(Z95+AB95+AD95)*6%</f>
        <v>0.42</v>
      </c>
      <c r="AF95" s="11">
        <f>Z95+AB95+AD95+AE95</f>
        <v>7.42</v>
      </c>
      <c r="AG95" t="s">
        <v>43</v>
      </c>
    </row>
    <row r="96" spans="1:33" ht="15" customHeight="1" x14ac:dyDescent="0.35">
      <c r="A96">
        <v>690929</v>
      </c>
      <c r="B96" t="s">
        <v>33</v>
      </c>
      <c r="C96" t="s">
        <v>34</v>
      </c>
      <c r="D96" s="6" t="s">
        <v>33</v>
      </c>
      <c r="E96" t="s">
        <v>384</v>
      </c>
      <c r="F96" t="s">
        <v>36</v>
      </c>
      <c r="G96" t="s">
        <v>37</v>
      </c>
      <c r="H96" t="s">
        <v>385</v>
      </c>
      <c r="I96" t="s">
        <v>39</v>
      </c>
      <c r="J96">
        <v>2</v>
      </c>
      <c r="K96" t="s">
        <v>40</v>
      </c>
      <c r="L96" t="s">
        <v>41</v>
      </c>
      <c r="M96" t="s">
        <v>42</v>
      </c>
      <c r="N96" s="7">
        <v>1</v>
      </c>
      <c r="O96" s="8">
        <v>45125.735879629632</v>
      </c>
      <c r="P96" s="9">
        <v>45127</v>
      </c>
      <c r="Q96" t="s">
        <v>36</v>
      </c>
      <c r="R96" t="s">
        <v>43</v>
      </c>
      <c r="S96" t="s">
        <v>44</v>
      </c>
      <c r="T96" t="s">
        <v>51</v>
      </c>
      <c r="U96" t="s">
        <v>386</v>
      </c>
      <c r="V96">
        <v>34600</v>
      </c>
      <c r="W96" t="s">
        <v>43</v>
      </c>
      <c r="X96" t="s">
        <v>277</v>
      </c>
      <c r="Y96" t="s">
        <v>48</v>
      </c>
      <c r="Z96" s="10">
        <f>IF(N96&lt;=1,7,7+0.8*ROUNDUP(N96-1,0))</f>
        <v>7</v>
      </c>
      <c r="AA96" s="11">
        <v>0</v>
      </c>
      <c r="AB96" s="11">
        <v>0</v>
      </c>
      <c r="AC96" s="11">
        <v>0</v>
      </c>
      <c r="AD96" s="11">
        <v>0</v>
      </c>
      <c r="AE96" s="11">
        <f>(Z96+AB96+AD96)*6%</f>
        <v>0.42</v>
      </c>
      <c r="AF96" s="11">
        <f>Z96+AB96+AD96+AE96</f>
        <v>7.42</v>
      </c>
      <c r="AG96" t="s">
        <v>43</v>
      </c>
    </row>
    <row r="97" spans="1:33" ht="15" customHeight="1" x14ac:dyDescent="0.35">
      <c r="A97">
        <v>690929</v>
      </c>
      <c r="B97" t="s">
        <v>33</v>
      </c>
      <c r="C97" t="s">
        <v>34</v>
      </c>
      <c r="D97" s="6" t="s">
        <v>33</v>
      </c>
      <c r="E97" t="s">
        <v>387</v>
      </c>
      <c r="F97" t="s">
        <v>36</v>
      </c>
      <c r="G97" t="s">
        <v>37</v>
      </c>
      <c r="H97" t="s">
        <v>388</v>
      </c>
      <c r="I97" t="s">
        <v>39</v>
      </c>
      <c r="J97">
        <v>2</v>
      </c>
      <c r="K97" t="s">
        <v>40</v>
      </c>
      <c r="L97" t="s">
        <v>41</v>
      </c>
      <c r="M97" t="s">
        <v>42</v>
      </c>
      <c r="N97" s="7">
        <v>1</v>
      </c>
      <c r="O97" s="8">
        <v>45125.686597222222</v>
      </c>
      <c r="P97" s="9">
        <v>45127</v>
      </c>
      <c r="Q97" t="s">
        <v>36</v>
      </c>
      <c r="R97" t="s">
        <v>43</v>
      </c>
      <c r="S97" t="s">
        <v>44</v>
      </c>
      <c r="T97" t="s">
        <v>57</v>
      </c>
      <c r="U97" t="s">
        <v>389</v>
      </c>
      <c r="V97">
        <v>63000</v>
      </c>
      <c r="W97" t="s">
        <v>43</v>
      </c>
      <c r="X97" t="s">
        <v>390</v>
      </c>
      <c r="Y97" t="s">
        <v>48</v>
      </c>
      <c r="Z97" s="10">
        <f>IF(N97&lt;=1,7,7+0.8*ROUNDUP(N97-1,0))</f>
        <v>7</v>
      </c>
      <c r="AA97" s="11">
        <v>0</v>
      </c>
      <c r="AB97" s="11">
        <v>0</v>
      </c>
      <c r="AC97" s="11">
        <v>0</v>
      </c>
      <c r="AD97" s="11">
        <v>0</v>
      </c>
      <c r="AE97" s="11">
        <f>(Z97+AB97+AD97)*6%</f>
        <v>0.42</v>
      </c>
      <c r="AF97" s="11">
        <f>Z97+AB97+AD97+AE97</f>
        <v>7.42</v>
      </c>
      <c r="AG97" t="s">
        <v>43</v>
      </c>
    </row>
    <row r="98" spans="1:33" ht="15" customHeight="1" x14ac:dyDescent="0.35">
      <c r="A98">
        <v>690929</v>
      </c>
      <c r="B98" t="s">
        <v>33</v>
      </c>
      <c r="C98" t="s">
        <v>34</v>
      </c>
      <c r="D98" s="6" t="s">
        <v>33</v>
      </c>
      <c r="E98" t="s">
        <v>391</v>
      </c>
      <c r="F98" t="s">
        <v>36</v>
      </c>
      <c r="G98" t="s">
        <v>37</v>
      </c>
      <c r="H98" t="s">
        <v>392</v>
      </c>
      <c r="I98" t="s">
        <v>39</v>
      </c>
      <c r="J98">
        <v>2</v>
      </c>
      <c r="K98" t="s">
        <v>40</v>
      </c>
      <c r="L98" t="s">
        <v>41</v>
      </c>
      <c r="M98" t="s">
        <v>42</v>
      </c>
      <c r="N98" s="7">
        <v>3</v>
      </c>
      <c r="O98" s="8">
        <v>45125.772557870368</v>
      </c>
      <c r="P98" s="9">
        <v>45127</v>
      </c>
      <c r="Q98" t="s">
        <v>36</v>
      </c>
      <c r="R98" t="s">
        <v>43</v>
      </c>
      <c r="S98" t="s">
        <v>44</v>
      </c>
      <c r="T98" t="s">
        <v>89</v>
      </c>
      <c r="U98" t="s">
        <v>393</v>
      </c>
      <c r="V98">
        <v>39100</v>
      </c>
      <c r="W98" t="s">
        <v>43</v>
      </c>
      <c r="X98" t="s">
        <v>394</v>
      </c>
      <c r="Y98" t="s">
        <v>48</v>
      </c>
      <c r="Z98" s="10">
        <f>IF(N98&lt;=1,7,7+0.8*ROUNDUP(N98-1,0))</f>
        <v>8.6</v>
      </c>
      <c r="AA98" s="11">
        <v>0</v>
      </c>
      <c r="AB98" s="11">
        <v>0</v>
      </c>
      <c r="AC98" s="11">
        <v>0</v>
      </c>
      <c r="AD98" s="11">
        <v>0</v>
      </c>
      <c r="AE98" s="11">
        <f>(Z98+AB98+AD98)*6%</f>
        <v>0.51600000000000001</v>
      </c>
      <c r="AF98" s="11">
        <f>Z98+AB98+AD98+AE98</f>
        <v>9.1159999999999997</v>
      </c>
      <c r="AG98" t="s">
        <v>43</v>
      </c>
    </row>
    <row r="99" spans="1:33" ht="15" customHeight="1" x14ac:dyDescent="0.35">
      <c r="A99">
        <v>690929</v>
      </c>
      <c r="B99" t="s">
        <v>33</v>
      </c>
      <c r="C99" t="s">
        <v>34</v>
      </c>
      <c r="D99" s="6" t="s">
        <v>33</v>
      </c>
      <c r="E99" t="s">
        <v>395</v>
      </c>
      <c r="F99" t="s">
        <v>36</v>
      </c>
      <c r="G99" t="s">
        <v>37</v>
      </c>
      <c r="H99" t="s">
        <v>392</v>
      </c>
      <c r="I99" t="s">
        <v>39</v>
      </c>
      <c r="J99">
        <v>2</v>
      </c>
      <c r="K99" t="s">
        <v>40</v>
      </c>
      <c r="L99" t="s">
        <v>41</v>
      </c>
      <c r="M99" t="s">
        <v>42</v>
      </c>
      <c r="N99" s="7">
        <v>3</v>
      </c>
      <c r="O99" s="8">
        <v>45125.772453703707</v>
      </c>
      <c r="P99" s="9">
        <v>45127</v>
      </c>
      <c r="Q99" t="s">
        <v>36</v>
      </c>
      <c r="R99" t="s">
        <v>43</v>
      </c>
      <c r="S99" t="s">
        <v>44</v>
      </c>
      <c r="T99" t="s">
        <v>89</v>
      </c>
      <c r="U99" t="s">
        <v>396</v>
      </c>
      <c r="V99">
        <v>39100</v>
      </c>
      <c r="W99" t="s">
        <v>43</v>
      </c>
      <c r="X99" t="s">
        <v>394</v>
      </c>
      <c r="Y99" t="s">
        <v>48</v>
      </c>
      <c r="Z99" s="10">
        <f>IF(N99&lt;=1,7,7+0.8*ROUNDUP(N99-1,0))</f>
        <v>8.6</v>
      </c>
      <c r="AA99" s="11">
        <v>0</v>
      </c>
      <c r="AB99" s="11">
        <v>0</v>
      </c>
      <c r="AC99" s="11">
        <v>0</v>
      </c>
      <c r="AD99" s="11">
        <v>0</v>
      </c>
      <c r="AE99" s="11">
        <f>(Z99+AB99+AD99)*6%</f>
        <v>0.51600000000000001</v>
      </c>
      <c r="AF99" s="11">
        <f>Z99+AB99+AD99+AE99</f>
        <v>9.1159999999999997</v>
      </c>
      <c r="AG99" t="s">
        <v>43</v>
      </c>
    </row>
    <row r="100" spans="1:33" ht="15" customHeight="1" x14ac:dyDescent="0.35">
      <c r="A100">
        <v>690929</v>
      </c>
      <c r="B100" t="s">
        <v>33</v>
      </c>
      <c r="C100" t="s">
        <v>34</v>
      </c>
      <c r="D100" s="6" t="s">
        <v>33</v>
      </c>
      <c r="E100" t="s">
        <v>397</v>
      </c>
      <c r="F100" t="s">
        <v>36</v>
      </c>
      <c r="G100" t="s">
        <v>37</v>
      </c>
      <c r="H100" t="s">
        <v>392</v>
      </c>
      <c r="I100" t="s">
        <v>39</v>
      </c>
      <c r="J100">
        <v>2</v>
      </c>
      <c r="K100" t="s">
        <v>40</v>
      </c>
      <c r="L100" t="s">
        <v>41</v>
      </c>
      <c r="M100" t="s">
        <v>42</v>
      </c>
      <c r="N100" s="7">
        <v>3</v>
      </c>
      <c r="O100" s="8">
        <v>45125.772453703707</v>
      </c>
      <c r="P100" s="9">
        <v>45127</v>
      </c>
      <c r="Q100" t="s">
        <v>36</v>
      </c>
      <c r="R100" t="s">
        <v>43</v>
      </c>
      <c r="S100" t="s">
        <v>44</v>
      </c>
      <c r="T100" t="s">
        <v>89</v>
      </c>
      <c r="U100" t="s">
        <v>396</v>
      </c>
      <c r="V100">
        <v>39100</v>
      </c>
      <c r="W100" t="s">
        <v>43</v>
      </c>
      <c r="X100" t="s">
        <v>394</v>
      </c>
      <c r="Y100" t="s">
        <v>48</v>
      </c>
      <c r="Z100" s="10">
        <f>IF(N100&lt;=1,7,7+0.8*ROUNDUP(N100-1,0))</f>
        <v>8.6</v>
      </c>
      <c r="AA100" s="11">
        <v>0</v>
      </c>
      <c r="AB100" s="11">
        <v>0</v>
      </c>
      <c r="AC100" s="11">
        <v>0</v>
      </c>
      <c r="AD100" s="11">
        <v>0</v>
      </c>
      <c r="AE100" s="11">
        <f>(Z100+AB100+AD100)*6%</f>
        <v>0.51600000000000001</v>
      </c>
      <c r="AF100" s="11">
        <f>Z100+AB100+AD100+AE100</f>
        <v>9.1159999999999997</v>
      </c>
      <c r="AG100" t="s">
        <v>43</v>
      </c>
    </row>
    <row r="101" spans="1:33" ht="15" customHeight="1" x14ac:dyDescent="0.35">
      <c r="A101">
        <v>690929</v>
      </c>
      <c r="B101" t="s">
        <v>33</v>
      </c>
      <c r="C101" t="s">
        <v>34</v>
      </c>
      <c r="D101" s="6" t="s">
        <v>33</v>
      </c>
      <c r="E101" t="s">
        <v>398</v>
      </c>
      <c r="F101" t="s">
        <v>36</v>
      </c>
      <c r="G101" t="s">
        <v>37</v>
      </c>
      <c r="H101" t="s">
        <v>399</v>
      </c>
      <c r="I101" t="s">
        <v>39</v>
      </c>
      <c r="J101">
        <v>2</v>
      </c>
      <c r="K101" t="s">
        <v>40</v>
      </c>
      <c r="L101" t="s">
        <v>41</v>
      </c>
      <c r="M101" t="s">
        <v>42</v>
      </c>
      <c r="N101" s="7">
        <v>1</v>
      </c>
      <c r="O101" s="8">
        <v>45125.766944444447</v>
      </c>
      <c r="P101" s="9">
        <v>45127</v>
      </c>
      <c r="Q101" t="s">
        <v>36</v>
      </c>
      <c r="R101" t="s">
        <v>43</v>
      </c>
      <c r="S101" t="s">
        <v>44</v>
      </c>
      <c r="T101" t="s">
        <v>57</v>
      </c>
      <c r="U101" t="s">
        <v>400</v>
      </c>
      <c r="V101">
        <v>40150</v>
      </c>
      <c r="W101" t="s">
        <v>43</v>
      </c>
      <c r="X101" t="s">
        <v>47</v>
      </c>
      <c r="Y101" t="s">
        <v>48</v>
      </c>
      <c r="Z101" s="10">
        <f>IF(N101&lt;=1,7,7+0.8*ROUNDUP(N101-1,0))</f>
        <v>7</v>
      </c>
      <c r="AA101" s="11">
        <v>0</v>
      </c>
      <c r="AB101" s="11">
        <v>0</v>
      </c>
      <c r="AC101" s="11">
        <v>0</v>
      </c>
      <c r="AD101" s="11">
        <v>0</v>
      </c>
      <c r="AE101" s="11">
        <f>(Z101+AB101+AD101)*6%</f>
        <v>0.42</v>
      </c>
      <c r="AF101" s="11">
        <f>Z101+AB101+AD101+AE101</f>
        <v>7.42</v>
      </c>
      <c r="AG101" t="s">
        <v>43</v>
      </c>
    </row>
    <row r="102" spans="1:33" ht="15" customHeight="1" x14ac:dyDescent="0.35">
      <c r="A102">
        <v>690929</v>
      </c>
      <c r="B102" t="s">
        <v>33</v>
      </c>
      <c r="C102" t="s">
        <v>34</v>
      </c>
      <c r="D102" s="6" t="s">
        <v>33</v>
      </c>
      <c r="E102" t="s">
        <v>401</v>
      </c>
      <c r="F102" t="s">
        <v>36</v>
      </c>
      <c r="G102" t="s">
        <v>37</v>
      </c>
      <c r="H102" t="s">
        <v>402</v>
      </c>
      <c r="I102" t="s">
        <v>39</v>
      </c>
      <c r="J102">
        <v>2</v>
      </c>
      <c r="K102" t="s">
        <v>40</v>
      </c>
      <c r="L102" t="s">
        <v>41</v>
      </c>
      <c r="M102" t="s">
        <v>42</v>
      </c>
      <c r="N102" s="7">
        <v>3</v>
      </c>
      <c r="O102" s="8">
        <v>45122.698680555557</v>
      </c>
      <c r="P102" s="9">
        <v>45127</v>
      </c>
      <c r="Q102" t="s">
        <v>36</v>
      </c>
      <c r="R102" t="s">
        <v>43</v>
      </c>
      <c r="S102" t="s">
        <v>44</v>
      </c>
      <c r="T102" t="s">
        <v>403</v>
      </c>
      <c r="U102" t="s">
        <v>404</v>
      </c>
      <c r="V102">
        <v>98700</v>
      </c>
      <c r="W102" t="s">
        <v>172</v>
      </c>
      <c r="X102" t="s">
        <v>405</v>
      </c>
      <c r="Y102" t="s">
        <v>48</v>
      </c>
      <c r="Z102" s="12">
        <f>IF(N102&lt;=1,13,IF(N102&lt;=2,23,IF(N102&lt;=3,35,IF(N102&lt;=4,43,IF(N102&lt;=5,53,IF(N102&lt;=6,63,IF(N102&lt;=7,71,IF(N102&lt;=8,79,IF(N102&lt;=9,87,IF(N102&lt;=10,95,IF(N102&lt;=11,105,IF(N102&lt;=12,114,IF(N102&lt;=13,119,IF(N102&lt;=14,127,IF(N102&lt;=15,135,IF(N102&lt;=16,143,IF(N102&lt;=17,153,IF(N102&lt;=18,163,IF(N102&lt;=19,171,IF(N102&lt;=20,185,IF(N102&lt;=21,193,IF(N102&lt;=22,201,IF(N102&lt;=23,210,IF(N102&lt;=24,220,IF(N102&lt;=25,230,IF(N102&lt;=26,240,IF(N102&lt;=27,250,IF(N102&lt;=28,260,IF(N102&lt;=29,270,IF(N102&lt;=30,280,280+10*ROUNDUP(N102-30,0)))))))))))))))))))))))))))))))</f>
        <v>35</v>
      </c>
      <c r="AA102" s="11">
        <v>0</v>
      </c>
      <c r="AB102" s="11">
        <v>0</v>
      </c>
      <c r="AC102" s="11">
        <v>0</v>
      </c>
      <c r="AD102" s="11">
        <v>0</v>
      </c>
      <c r="AE102" s="11">
        <f>(Z102+AB102+AD102)*6%</f>
        <v>2.1</v>
      </c>
      <c r="AF102" s="11">
        <f>Z102+AB102+AD102+AE102</f>
        <v>37.1</v>
      </c>
      <c r="AG102" t="s">
        <v>172</v>
      </c>
    </row>
    <row r="103" spans="1:33" ht="15" customHeight="1" x14ac:dyDescent="0.35">
      <c r="A103">
        <v>690929</v>
      </c>
      <c r="B103" t="s">
        <v>33</v>
      </c>
      <c r="C103" t="s">
        <v>34</v>
      </c>
      <c r="D103" s="6" t="s">
        <v>33</v>
      </c>
      <c r="E103" t="s">
        <v>406</v>
      </c>
      <c r="F103" t="s">
        <v>36</v>
      </c>
      <c r="G103" t="s">
        <v>37</v>
      </c>
      <c r="H103" t="s">
        <v>407</v>
      </c>
      <c r="I103" t="s">
        <v>39</v>
      </c>
      <c r="J103">
        <v>2</v>
      </c>
      <c r="K103" t="s">
        <v>40</v>
      </c>
      <c r="L103" t="s">
        <v>41</v>
      </c>
      <c r="M103" t="s">
        <v>42</v>
      </c>
      <c r="N103" s="7">
        <v>1</v>
      </c>
      <c r="O103" s="8">
        <v>45125.74796296296</v>
      </c>
      <c r="P103" s="9">
        <v>45127</v>
      </c>
      <c r="Q103" t="s">
        <v>36</v>
      </c>
      <c r="R103" t="s">
        <v>43</v>
      </c>
      <c r="S103" t="s">
        <v>44</v>
      </c>
      <c r="T103" t="s">
        <v>109</v>
      </c>
      <c r="U103" t="s">
        <v>408</v>
      </c>
      <c r="V103">
        <v>18500</v>
      </c>
      <c r="W103" t="s">
        <v>43</v>
      </c>
      <c r="X103" t="s">
        <v>44</v>
      </c>
      <c r="Y103" t="s">
        <v>48</v>
      </c>
      <c r="Z103" s="10">
        <f>IF(N103&lt;=1,7,7+0.8*ROUNDUP(N103-1,0))</f>
        <v>7</v>
      </c>
      <c r="AA103" s="11">
        <v>0</v>
      </c>
      <c r="AB103" s="11">
        <v>0</v>
      </c>
      <c r="AC103" s="11">
        <v>0</v>
      </c>
      <c r="AD103" s="11">
        <v>0</v>
      </c>
      <c r="AE103" s="11">
        <f>(Z103+AB103+AD103)*6%</f>
        <v>0.42</v>
      </c>
      <c r="AF103" s="11">
        <f>Z103+AB103+AD103+AE103</f>
        <v>7.42</v>
      </c>
      <c r="AG103" t="s">
        <v>43</v>
      </c>
    </row>
    <row r="104" spans="1:33" ht="15" customHeight="1" x14ac:dyDescent="0.35">
      <c r="A104">
        <v>690929</v>
      </c>
      <c r="B104" t="s">
        <v>33</v>
      </c>
      <c r="C104" t="s">
        <v>34</v>
      </c>
      <c r="D104" s="6" t="s">
        <v>33</v>
      </c>
      <c r="E104" t="s">
        <v>409</v>
      </c>
      <c r="F104" t="s">
        <v>36</v>
      </c>
      <c r="G104" t="s">
        <v>37</v>
      </c>
      <c r="H104" t="s">
        <v>410</v>
      </c>
      <c r="I104" t="s">
        <v>39</v>
      </c>
      <c r="J104">
        <v>2</v>
      </c>
      <c r="K104" t="s">
        <v>40</v>
      </c>
      <c r="L104" t="s">
        <v>41</v>
      </c>
      <c r="M104" t="s">
        <v>42</v>
      </c>
      <c r="N104" s="7">
        <v>4</v>
      </c>
      <c r="O104" s="8">
        <v>45127.589907407404</v>
      </c>
      <c r="P104" s="9">
        <v>45128</v>
      </c>
      <c r="Q104" t="s">
        <v>36</v>
      </c>
      <c r="R104" t="s">
        <v>43</v>
      </c>
      <c r="S104" t="s">
        <v>44</v>
      </c>
      <c r="T104" t="s">
        <v>57</v>
      </c>
      <c r="U104" t="s">
        <v>411</v>
      </c>
      <c r="V104">
        <v>41050</v>
      </c>
      <c r="W104" t="s">
        <v>43</v>
      </c>
      <c r="X104" t="s">
        <v>412</v>
      </c>
      <c r="Y104" t="s">
        <v>48</v>
      </c>
      <c r="Z104" s="10">
        <f>IF(N104&lt;=1,7,7+0.8*ROUNDUP(N104-1,0))</f>
        <v>9.4</v>
      </c>
      <c r="AA104" s="11">
        <v>0</v>
      </c>
      <c r="AB104" s="11">
        <v>0</v>
      </c>
      <c r="AC104" s="11">
        <v>0</v>
      </c>
      <c r="AD104" s="11">
        <v>0</v>
      </c>
      <c r="AE104" s="11">
        <f>(Z104+AB104+AD104)*6%</f>
        <v>0.56399999999999995</v>
      </c>
      <c r="AF104" s="11">
        <f>Z104+AB104+AD104+AE104</f>
        <v>9.9640000000000004</v>
      </c>
      <c r="AG104" t="s">
        <v>43</v>
      </c>
    </row>
    <row r="105" spans="1:33" ht="15" customHeight="1" x14ac:dyDescent="0.35">
      <c r="A105">
        <v>690929</v>
      </c>
      <c r="B105" t="s">
        <v>33</v>
      </c>
      <c r="C105" t="s">
        <v>34</v>
      </c>
      <c r="D105" s="6" t="s">
        <v>33</v>
      </c>
      <c r="E105" t="s">
        <v>413</v>
      </c>
      <c r="F105" t="s">
        <v>36</v>
      </c>
      <c r="G105" t="s">
        <v>37</v>
      </c>
      <c r="H105" t="s">
        <v>414</v>
      </c>
      <c r="I105" t="s">
        <v>39</v>
      </c>
      <c r="J105">
        <v>2</v>
      </c>
      <c r="K105" t="s">
        <v>40</v>
      </c>
      <c r="L105" t="s">
        <v>41</v>
      </c>
      <c r="M105" t="s">
        <v>42</v>
      </c>
      <c r="N105" s="7">
        <v>4</v>
      </c>
      <c r="O105" s="8">
        <v>45127.589907407404</v>
      </c>
      <c r="P105" s="9">
        <v>45128</v>
      </c>
      <c r="Q105" t="s">
        <v>36</v>
      </c>
      <c r="R105" t="s">
        <v>43</v>
      </c>
      <c r="S105" t="s">
        <v>44</v>
      </c>
      <c r="T105" t="s">
        <v>57</v>
      </c>
      <c r="U105" t="s">
        <v>415</v>
      </c>
      <c r="V105">
        <v>14150</v>
      </c>
      <c r="W105" t="s">
        <v>43</v>
      </c>
      <c r="X105" t="s">
        <v>412</v>
      </c>
      <c r="Y105" t="s">
        <v>48</v>
      </c>
      <c r="Z105" s="10">
        <f>IF(N105&lt;=1,7,7+0.8*ROUNDUP(N105-1,0))</f>
        <v>9.4</v>
      </c>
      <c r="AA105" s="11">
        <v>0</v>
      </c>
      <c r="AB105" s="11">
        <v>0</v>
      </c>
      <c r="AC105" s="11">
        <v>0</v>
      </c>
      <c r="AD105" s="11">
        <v>0</v>
      </c>
      <c r="AE105" s="11">
        <f>(Z105+AB105+AD105)*6%</f>
        <v>0.56399999999999995</v>
      </c>
      <c r="AF105" s="11">
        <f>Z105+AB105+AD105+AE105</f>
        <v>9.9640000000000004</v>
      </c>
      <c r="AG105" t="s">
        <v>43</v>
      </c>
    </row>
    <row r="106" spans="1:33" ht="15" customHeight="1" x14ac:dyDescent="0.35">
      <c r="A106">
        <v>690929</v>
      </c>
      <c r="B106" t="s">
        <v>33</v>
      </c>
      <c r="C106" t="s">
        <v>34</v>
      </c>
      <c r="D106" s="6" t="s">
        <v>33</v>
      </c>
      <c r="E106" t="s">
        <v>416</v>
      </c>
      <c r="F106" t="s">
        <v>36</v>
      </c>
      <c r="G106" t="s">
        <v>37</v>
      </c>
      <c r="H106" t="s">
        <v>410</v>
      </c>
      <c r="I106" t="s">
        <v>39</v>
      </c>
      <c r="J106">
        <v>2</v>
      </c>
      <c r="K106" t="s">
        <v>40</v>
      </c>
      <c r="L106" t="s">
        <v>41</v>
      </c>
      <c r="M106" t="s">
        <v>42</v>
      </c>
      <c r="N106" s="7">
        <v>6</v>
      </c>
      <c r="O106" s="8">
        <v>45127.589907407404</v>
      </c>
      <c r="P106" s="9">
        <v>45128</v>
      </c>
      <c r="Q106" t="s">
        <v>36</v>
      </c>
      <c r="R106" t="s">
        <v>43</v>
      </c>
      <c r="S106" t="s">
        <v>44</v>
      </c>
      <c r="T106" t="s">
        <v>57</v>
      </c>
      <c r="U106" t="s">
        <v>411</v>
      </c>
      <c r="V106">
        <v>41050</v>
      </c>
      <c r="W106" t="s">
        <v>43</v>
      </c>
      <c r="X106" t="s">
        <v>412</v>
      </c>
      <c r="Y106" t="s">
        <v>48</v>
      </c>
      <c r="Z106" s="10">
        <f>IF(N106&lt;=1,7,7+0.8*ROUNDUP(N106-1,0))</f>
        <v>11</v>
      </c>
      <c r="AA106" s="11">
        <v>0</v>
      </c>
      <c r="AB106" s="11">
        <v>0</v>
      </c>
      <c r="AC106" s="11">
        <v>0</v>
      </c>
      <c r="AD106" s="11">
        <v>0</v>
      </c>
      <c r="AE106" s="11">
        <f>(Z106+AB106+AD106)*6%</f>
        <v>0.65999999999999992</v>
      </c>
      <c r="AF106" s="11">
        <f>Z106+AB106+AD106+AE106</f>
        <v>11.66</v>
      </c>
      <c r="AG106" t="s">
        <v>43</v>
      </c>
    </row>
    <row r="107" spans="1:33" ht="15" customHeight="1" x14ac:dyDescent="0.35">
      <c r="A107">
        <v>690929</v>
      </c>
      <c r="B107" t="s">
        <v>33</v>
      </c>
      <c r="C107" t="s">
        <v>34</v>
      </c>
      <c r="D107" s="6" t="s">
        <v>33</v>
      </c>
      <c r="E107" t="s">
        <v>417</v>
      </c>
      <c r="F107" t="s">
        <v>36</v>
      </c>
      <c r="G107" t="s">
        <v>37</v>
      </c>
      <c r="H107" t="s">
        <v>418</v>
      </c>
      <c r="I107" t="s">
        <v>39</v>
      </c>
      <c r="J107">
        <v>2</v>
      </c>
      <c r="K107" t="s">
        <v>40</v>
      </c>
      <c r="L107" t="s">
        <v>41</v>
      </c>
      <c r="M107" t="s">
        <v>42</v>
      </c>
      <c r="N107" s="7">
        <v>1</v>
      </c>
      <c r="O107" s="8">
        <v>45126.44159722222</v>
      </c>
      <c r="P107" s="9">
        <v>45128</v>
      </c>
      <c r="Q107" t="s">
        <v>36</v>
      </c>
      <c r="R107" t="s">
        <v>43</v>
      </c>
      <c r="S107" t="s">
        <v>44</v>
      </c>
      <c r="T107" t="s">
        <v>70</v>
      </c>
      <c r="U107" t="s">
        <v>419</v>
      </c>
      <c r="V107">
        <v>11950</v>
      </c>
      <c r="W107" t="s">
        <v>43</v>
      </c>
      <c r="X107" t="s">
        <v>47</v>
      </c>
      <c r="Y107" t="s">
        <v>48</v>
      </c>
      <c r="Z107" s="10">
        <f>IF(N107&lt;=1,7,7+0.8*ROUNDUP(N107-1,0))</f>
        <v>7</v>
      </c>
      <c r="AA107" s="11">
        <v>0</v>
      </c>
      <c r="AB107" s="11">
        <v>0</v>
      </c>
      <c r="AC107" s="11">
        <v>0</v>
      </c>
      <c r="AD107" s="11">
        <v>0</v>
      </c>
      <c r="AE107" s="11">
        <f>(Z107+AB107+AD107)*6%</f>
        <v>0.42</v>
      </c>
      <c r="AF107" s="11">
        <f>Z107+AB107+AD107+AE107</f>
        <v>7.42</v>
      </c>
      <c r="AG107" t="s">
        <v>43</v>
      </c>
    </row>
    <row r="108" spans="1:33" ht="15" customHeight="1" x14ac:dyDescent="0.35">
      <c r="A108">
        <v>690929</v>
      </c>
      <c r="B108" t="s">
        <v>33</v>
      </c>
      <c r="C108" t="s">
        <v>34</v>
      </c>
      <c r="D108" s="6" t="s">
        <v>33</v>
      </c>
      <c r="E108" t="s">
        <v>420</v>
      </c>
      <c r="F108" t="s">
        <v>36</v>
      </c>
      <c r="G108" t="s">
        <v>37</v>
      </c>
      <c r="H108" t="s">
        <v>421</v>
      </c>
      <c r="I108" t="s">
        <v>39</v>
      </c>
      <c r="J108">
        <v>2</v>
      </c>
      <c r="K108" t="s">
        <v>40</v>
      </c>
      <c r="L108" t="s">
        <v>41</v>
      </c>
      <c r="M108" t="s">
        <v>42</v>
      </c>
      <c r="N108" s="7">
        <v>1</v>
      </c>
      <c r="O108" s="8">
        <v>45126.44159722222</v>
      </c>
      <c r="P108" s="9">
        <v>45128</v>
      </c>
      <c r="Q108" t="s">
        <v>36</v>
      </c>
      <c r="R108" t="s">
        <v>43</v>
      </c>
      <c r="S108" t="s">
        <v>44</v>
      </c>
      <c r="T108" t="s">
        <v>70</v>
      </c>
      <c r="U108" t="s">
        <v>422</v>
      </c>
      <c r="V108">
        <v>13300</v>
      </c>
      <c r="W108" t="s">
        <v>43</v>
      </c>
      <c r="X108" t="s">
        <v>423</v>
      </c>
      <c r="Y108" t="s">
        <v>48</v>
      </c>
      <c r="Z108" s="10">
        <f>IF(N108&lt;=1,7,7+0.8*ROUNDUP(N108-1,0))</f>
        <v>7</v>
      </c>
      <c r="AA108" s="11">
        <v>0</v>
      </c>
      <c r="AB108" s="11">
        <v>0</v>
      </c>
      <c r="AC108" s="11">
        <v>0</v>
      </c>
      <c r="AD108" s="11">
        <v>0</v>
      </c>
      <c r="AE108" s="11">
        <f>(Z108+AB108+AD108)*6%</f>
        <v>0.42</v>
      </c>
      <c r="AF108" s="11">
        <f>Z108+AB108+AD108+AE108</f>
        <v>7.42</v>
      </c>
      <c r="AG108" t="s">
        <v>43</v>
      </c>
    </row>
    <row r="109" spans="1:33" ht="15" customHeight="1" x14ac:dyDescent="0.35">
      <c r="A109">
        <v>690929</v>
      </c>
      <c r="B109" t="s">
        <v>33</v>
      </c>
      <c r="C109" t="s">
        <v>34</v>
      </c>
      <c r="D109" s="6" t="s">
        <v>33</v>
      </c>
      <c r="E109" t="s">
        <v>424</v>
      </c>
      <c r="F109" t="s">
        <v>36</v>
      </c>
      <c r="G109" t="s">
        <v>37</v>
      </c>
      <c r="H109" t="s">
        <v>425</v>
      </c>
      <c r="I109" t="s">
        <v>39</v>
      </c>
      <c r="J109">
        <v>2</v>
      </c>
      <c r="K109" t="s">
        <v>40</v>
      </c>
      <c r="L109" t="s">
        <v>41</v>
      </c>
      <c r="M109" t="s">
        <v>42</v>
      </c>
      <c r="N109" s="7">
        <v>4</v>
      </c>
      <c r="O109" s="8">
        <v>45126.649224537039</v>
      </c>
      <c r="P109" s="9">
        <v>45128</v>
      </c>
      <c r="Q109" t="s">
        <v>36</v>
      </c>
      <c r="R109" t="s">
        <v>43</v>
      </c>
      <c r="S109" t="s">
        <v>44</v>
      </c>
      <c r="T109" t="s">
        <v>70</v>
      </c>
      <c r="U109" t="s">
        <v>426</v>
      </c>
      <c r="V109">
        <v>13800</v>
      </c>
      <c r="W109" t="s">
        <v>43</v>
      </c>
      <c r="X109" t="s">
        <v>47</v>
      </c>
      <c r="Y109" t="s">
        <v>48</v>
      </c>
      <c r="Z109" s="10">
        <f>IF(N109&lt;=1,7,7+0.8*ROUNDUP(N109-1,0))</f>
        <v>9.4</v>
      </c>
      <c r="AA109" s="11">
        <v>0</v>
      </c>
      <c r="AB109" s="11">
        <v>0</v>
      </c>
      <c r="AC109" s="11">
        <v>0</v>
      </c>
      <c r="AD109" s="11">
        <v>0</v>
      </c>
      <c r="AE109" s="11">
        <f>(Z109+AB109+AD109)*6%</f>
        <v>0.56399999999999995</v>
      </c>
      <c r="AF109" s="11">
        <f>Z109+AB109+AD109+AE109</f>
        <v>9.9640000000000004</v>
      </c>
      <c r="AG109" t="s">
        <v>43</v>
      </c>
    </row>
    <row r="110" spans="1:33" ht="15" customHeight="1" x14ac:dyDescent="0.35">
      <c r="A110">
        <v>690929</v>
      </c>
      <c r="B110" t="s">
        <v>33</v>
      </c>
      <c r="C110" t="s">
        <v>34</v>
      </c>
      <c r="D110" s="6" t="s">
        <v>33</v>
      </c>
      <c r="E110" t="s">
        <v>427</v>
      </c>
      <c r="F110" t="s">
        <v>36</v>
      </c>
      <c r="G110" t="s">
        <v>37</v>
      </c>
      <c r="H110" t="s">
        <v>204</v>
      </c>
      <c r="I110" t="s">
        <v>39</v>
      </c>
      <c r="J110">
        <v>2</v>
      </c>
      <c r="K110" t="s">
        <v>40</v>
      </c>
      <c r="L110" t="s">
        <v>41</v>
      </c>
      <c r="M110" t="s">
        <v>42</v>
      </c>
      <c r="N110" s="7">
        <v>1</v>
      </c>
      <c r="O110" s="8">
        <v>45126.649212962962</v>
      </c>
      <c r="P110" s="9">
        <v>45128</v>
      </c>
      <c r="Q110" t="s">
        <v>36</v>
      </c>
      <c r="R110" t="s">
        <v>43</v>
      </c>
      <c r="S110" t="s">
        <v>44</v>
      </c>
      <c r="T110" t="s">
        <v>194</v>
      </c>
      <c r="U110" t="s">
        <v>205</v>
      </c>
      <c r="V110">
        <v>71800</v>
      </c>
      <c r="W110" t="s">
        <v>43</v>
      </c>
      <c r="X110" t="s">
        <v>206</v>
      </c>
      <c r="Y110" t="s">
        <v>48</v>
      </c>
      <c r="Z110" s="10">
        <f>IF(N110&lt;=1,7,7+0.8*ROUNDUP(N110-1,0))</f>
        <v>7</v>
      </c>
      <c r="AA110" s="11">
        <v>0</v>
      </c>
      <c r="AB110" s="11">
        <v>0</v>
      </c>
      <c r="AC110" s="11">
        <v>0</v>
      </c>
      <c r="AD110" s="11">
        <v>0</v>
      </c>
      <c r="AE110" s="11">
        <f>(Z110+AB110+AD110)*6%</f>
        <v>0.42</v>
      </c>
      <c r="AF110" s="11">
        <f>Z110+AB110+AD110+AE110</f>
        <v>7.42</v>
      </c>
      <c r="AG110" t="s">
        <v>43</v>
      </c>
    </row>
    <row r="111" spans="1:33" ht="15" customHeight="1" x14ac:dyDescent="0.35">
      <c r="A111">
        <v>690929</v>
      </c>
      <c r="B111" t="s">
        <v>33</v>
      </c>
      <c r="C111" t="s">
        <v>34</v>
      </c>
      <c r="D111" s="6" t="s">
        <v>33</v>
      </c>
      <c r="E111" t="s">
        <v>428</v>
      </c>
      <c r="F111" t="s">
        <v>36</v>
      </c>
      <c r="G111" t="s">
        <v>37</v>
      </c>
      <c r="H111" t="s">
        <v>429</v>
      </c>
      <c r="I111" t="s">
        <v>39</v>
      </c>
      <c r="J111">
        <v>2</v>
      </c>
      <c r="K111" t="s">
        <v>40</v>
      </c>
      <c r="L111" t="s">
        <v>41</v>
      </c>
      <c r="M111" t="s">
        <v>42</v>
      </c>
      <c r="N111" s="7">
        <v>1</v>
      </c>
      <c r="O111" s="8">
        <v>45126.44159722222</v>
      </c>
      <c r="P111" s="9">
        <v>45128</v>
      </c>
      <c r="Q111" t="s">
        <v>36</v>
      </c>
      <c r="R111" t="s">
        <v>43</v>
      </c>
      <c r="S111" t="s">
        <v>44</v>
      </c>
      <c r="T111" t="s">
        <v>80</v>
      </c>
      <c r="U111" t="s">
        <v>430</v>
      </c>
      <c r="V111">
        <v>8000</v>
      </c>
      <c r="W111" t="s">
        <v>43</v>
      </c>
      <c r="X111" t="s">
        <v>47</v>
      </c>
      <c r="Y111" t="s">
        <v>48</v>
      </c>
      <c r="Z111" s="10">
        <f>IF(N111&lt;=1,7,7+0.8*ROUNDUP(N111-1,0))</f>
        <v>7</v>
      </c>
      <c r="AA111" s="11">
        <v>0</v>
      </c>
      <c r="AB111" s="11">
        <v>0</v>
      </c>
      <c r="AC111" s="11">
        <v>0</v>
      </c>
      <c r="AD111" s="11">
        <v>0</v>
      </c>
      <c r="AE111" s="11">
        <f>(Z111+AB111+AD111)*6%</f>
        <v>0.42</v>
      </c>
      <c r="AF111" s="11">
        <f>Z111+AB111+AD111+AE111</f>
        <v>7.42</v>
      </c>
      <c r="AG111" t="s">
        <v>43</v>
      </c>
    </row>
    <row r="112" spans="1:33" ht="15" customHeight="1" x14ac:dyDescent="0.35">
      <c r="A112">
        <v>690929</v>
      </c>
      <c r="B112" t="s">
        <v>33</v>
      </c>
      <c r="C112" t="s">
        <v>34</v>
      </c>
      <c r="D112" s="6" t="s">
        <v>33</v>
      </c>
      <c r="E112" t="s">
        <v>431</v>
      </c>
      <c r="F112" t="s">
        <v>36</v>
      </c>
      <c r="G112" t="s">
        <v>37</v>
      </c>
      <c r="H112" t="s">
        <v>432</v>
      </c>
      <c r="I112" t="s">
        <v>39</v>
      </c>
      <c r="J112">
        <v>2</v>
      </c>
      <c r="K112" t="s">
        <v>40</v>
      </c>
      <c r="L112" t="s">
        <v>41</v>
      </c>
      <c r="M112" t="s">
        <v>42</v>
      </c>
      <c r="N112" s="7">
        <v>1</v>
      </c>
      <c r="O112" s="8">
        <v>45124.423032407409</v>
      </c>
      <c r="P112" s="9">
        <v>45128</v>
      </c>
      <c r="Q112" t="s">
        <v>36</v>
      </c>
      <c r="R112" t="s">
        <v>43</v>
      </c>
      <c r="S112" t="s">
        <v>47</v>
      </c>
      <c r="T112" t="s">
        <v>89</v>
      </c>
      <c r="U112" t="s">
        <v>433</v>
      </c>
      <c r="V112">
        <v>26500</v>
      </c>
      <c r="W112" t="s">
        <v>43</v>
      </c>
      <c r="X112" t="s">
        <v>434</v>
      </c>
      <c r="Y112" t="s">
        <v>48</v>
      </c>
      <c r="Z112" s="10">
        <f>IF(N112&lt;=1,7,7+0.8*ROUNDUP(N112-1,0))</f>
        <v>7</v>
      </c>
      <c r="AA112" s="11">
        <v>0</v>
      </c>
      <c r="AB112" s="11">
        <v>0</v>
      </c>
      <c r="AC112" s="11">
        <v>0</v>
      </c>
      <c r="AD112" s="11">
        <v>0</v>
      </c>
      <c r="AE112" s="11">
        <f>(Z112+AB112+AD112)*6%</f>
        <v>0.42</v>
      </c>
      <c r="AF112" s="11">
        <f>Z112+AB112+AD112+AE112</f>
        <v>7.42</v>
      </c>
      <c r="AG112" t="s">
        <v>43</v>
      </c>
    </row>
    <row r="113" spans="1:33" ht="15" customHeight="1" x14ac:dyDescent="0.35">
      <c r="A113">
        <v>690929</v>
      </c>
      <c r="B113" t="s">
        <v>33</v>
      </c>
      <c r="C113" t="s">
        <v>34</v>
      </c>
      <c r="D113" s="6" t="s">
        <v>33</v>
      </c>
      <c r="E113" t="s">
        <v>435</v>
      </c>
      <c r="F113" t="s">
        <v>36</v>
      </c>
      <c r="G113" t="s">
        <v>37</v>
      </c>
      <c r="H113" t="s">
        <v>436</v>
      </c>
      <c r="I113" t="s">
        <v>39</v>
      </c>
      <c r="J113">
        <v>2</v>
      </c>
      <c r="K113" t="s">
        <v>40</v>
      </c>
      <c r="L113" t="s">
        <v>41</v>
      </c>
      <c r="M113" t="s">
        <v>42</v>
      </c>
      <c r="N113" s="7">
        <v>2</v>
      </c>
      <c r="O113" s="8">
        <v>45126.536145833335</v>
      </c>
      <c r="P113" s="9">
        <v>45128</v>
      </c>
      <c r="Q113" t="s">
        <v>36</v>
      </c>
      <c r="R113" t="s">
        <v>43</v>
      </c>
      <c r="S113" t="s">
        <v>44</v>
      </c>
      <c r="T113" t="s">
        <v>170</v>
      </c>
      <c r="U113" t="s">
        <v>437</v>
      </c>
      <c r="V113">
        <v>88300</v>
      </c>
      <c r="W113" t="s">
        <v>172</v>
      </c>
      <c r="X113" t="s">
        <v>438</v>
      </c>
      <c r="Y113" t="s">
        <v>48</v>
      </c>
      <c r="Z113" s="12">
        <f>IF(N113&lt;=1,13,IF(N113&lt;=2,23,IF(N113&lt;=3,35,IF(N113&lt;=4,43,IF(N113&lt;=5,53,IF(N113&lt;=6,63,IF(N113&lt;=7,71,IF(N113&lt;=8,79,IF(N113&lt;=9,87,IF(N113&lt;=10,95,IF(N113&lt;=11,105,IF(N113&lt;=12,114,IF(N113&lt;=13,119,IF(N113&lt;=14,127,IF(N113&lt;=15,135,IF(N113&lt;=16,143,IF(N113&lt;=17,153,IF(N113&lt;=18,163,IF(N113&lt;=19,171,IF(N113&lt;=20,185,IF(N113&lt;=21,193,IF(N113&lt;=22,201,IF(N113&lt;=23,210,IF(N113&lt;=24,220,IF(N113&lt;=25,230,IF(N113&lt;=26,240,IF(N113&lt;=27,250,IF(N113&lt;=28,260,IF(N113&lt;=29,270,IF(N113&lt;=30,280,280+10*ROUNDUP(N113-30,0)))))))))))))))))))))))))))))))</f>
        <v>23</v>
      </c>
      <c r="AA113" s="11">
        <v>0</v>
      </c>
      <c r="AB113" s="11">
        <v>0</v>
      </c>
      <c r="AC113" s="11">
        <v>0</v>
      </c>
      <c r="AD113" s="11">
        <v>0</v>
      </c>
      <c r="AE113" s="11">
        <f>(Z113+AB113+AD113)*6%</f>
        <v>1.38</v>
      </c>
      <c r="AF113" s="11">
        <f>Z113+AB113+AD113+AE113</f>
        <v>24.38</v>
      </c>
      <c r="AG113" t="s">
        <v>172</v>
      </c>
    </row>
    <row r="114" spans="1:33" ht="15" customHeight="1" x14ac:dyDescent="0.35">
      <c r="A114">
        <v>690929</v>
      </c>
      <c r="B114" t="s">
        <v>33</v>
      </c>
      <c r="C114" t="s">
        <v>34</v>
      </c>
      <c r="D114" s="6" t="s">
        <v>33</v>
      </c>
      <c r="E114" t="s">
        <v>439</v>
      </c>
      <c r="F114" t="s">
        <v>36</v>
      </c>
      <c r="G114" t="s">
        <v>37</v>
      </c>
      <c r="H114" t="s">
        <v>440</v>
      </c>
      <c r="I114" t="s">
        <v>39</v>
      </c>
      <c r="J114">
        <v>2</v>
      </c>
      <c r="K114" t="s">
        <v>40</v>
      </c>
      <c r="L114" t="s">
        <v>41</v>
      </c>
      <c r="M114" t="s">
        <v>42</v>
      </c>
      <c r="N114" s="7">
        <v>1</v>
      </c>
      <c r="O114" s="8">
        <v>45125.743703703702</v>
      </c>
      <c r="P114" s="9">
        <v>45128</v>
      </c>
      <c r="Q114" t="s">
        <v>36</v>
      </c>
      <c r="R114" t="s">
        <v>43</v>
      </c>
      <c r="S114" t="s">
        <v>44</v>
      </c>
      <c r="T114" t="s">
        <v>70</v>
      </c>
      <c r="U114" t="s">
        <v>441</v>
      </c>
      <c r="V114">
        <v>14000</v>
      </c>
      <c r="W114" t="s">
        <v>43</v>
      </c>
      <c r="X114" t="s">
        <v>259</v>
      </c>
      <c r="Y114" t="s">
        <v>48</v>
      </c>
      <c r="Z114" s="10">
        <f>IF(N114&lt;=1,7,7+0.8*ROUNDUP(N114-1,0))</f>
        <v>7</v>
      </c>
      <c r="AA114" s="11">
        <v>0</v>
      </c>
      <c r="AB114" s="11">
        <v>0</v>
      </c>
      <c r="AC114" s="11">
        <v>0</v>
      </c>
      <c r="AD114" s="11">
        <v>0</v>
      </c>
      <c r="AE114" s="11">
        <f>(Z114+AB114+AD114)*6%</f>
        <v>0.42</v>
      </c>
      <c r="AF114" s="11">
        <f>Z114+AB114+AD114+AE114</f>
        <v>7.42</v>
      </c>
      <c r="AG114" t="s">
        <v>43</v>
      </c>
    </row>
    <row r="115" spans="1:33" ht="15" customHeight="1" x14ac:dyDescent="0.35">
      <c r="A115">
        <v>690929</v>
      </c>
      <c r="B115" t="s">
        <v>33</v>
      </c>
      <c r="C115" t="s">
        <v>34</v>
      </c>
      <c r="D115" s="6" t="s">
        <v>33</v>
      </c>
      <c r="E115" t="s">
        <v>442</v>
      </c>
      <c r="F115" t="s">
        <v>36</v>
      </c>
      <c r="G115" t="s">
        <v>37</v>
      </c>
      <c r="H115" t="s">
        <v>443</v>
      </c>
      <c r="I115" t="s">
        <v>39</v>
      </c>
      <c r="J115">
        <v>2</v>
      </c>
      <c r="K115" t="s">
        <v>40</v>
      </c>
      <c r="L115" t="s">
        <v>41</v>
      </c>
      <c r="M115" t="s">
        <v>42</v>
      </c>
      <c r="N115" s="7">
        <v>1</v>
      </c>
      <c r="O115" s="8">
        <v>45126.649224537039</v>
      </c>
      <c r="P115" s="9">
        <v>45128</v>
      </c>
      <c r="Q115" t="s">
        <v>36</v>
      </c>
      <c r="R115" t="s">
        <v>43</v>
      </c>
      <c r="S115" t="s">
        <v>44</v>
      </c>
      <c r="T115" t="s">
        <v>61</v>
      </c>
      <c r="U115" t="s">
        <v>444</v>
      </c>
      <c r="V115">
        <v>81000</v>
      </c>
      <c r="W115" t="s">
        <v>43</v>
      </c>
      <c r="X115" t="s">
        <v>300</v>
      </c>
      <c r="Y115" t="s">
        <v>48</v>
      </c>
      <c r="Z115" s="10">
        <f>IF(N115&lt;=1,7,7+0.8*ROUNDUP(N115-1,0))</f>
        <v>7</v>
      </c>
      <c r="AA115" s="11">
        <v>0</v>
      </c>
      <c r="AB115" s="11">
        <v>0</v>
      </c>
      <c r="AC115" s="11">
        <v>0</v>
      </c>
      <c r="AD115" s="11">
        <v>0</v>
      </c>
      <c r="AE115" s="11">
        <f>(Z115+AB115+AD115)*6%</f>
        <v>0.42</v>
      </c>
      <c r="AF115" s="11">
        <f>Z115+AB115+AD115+AE115</f>
        <v>7.42</v>
      </c>
      <c r="AG115" t="s">
        <v>43</v>
      </c>
    </row>
    <row r="116" spans="1:33" ht="15" customHeight="1" x14ac:dyDescent="0.35">
      <c r="A116">
        <v>690929</v>
      </c>
      <c r="B116" t="s">
        <v>33</v>
      </c>
      <c r="C116" t="s">
        <v>34</v>
      </c>
      <c r="D116" s="6" t="s">
        <v>33</v>
      </c>
      <c r="E116" t="s">
        <v>445</v>
      </c>
      <c r="F116" t="s">
        <v>36</v>
      </c>
      <c r="G116" t="s">
        <v>37</v>
      </c>
      <c r="H116" t="s">
        <v>239</v>
      </c>
      <c r="I116" t="s">
        <v>39</v>
      </c>
      <c r="J116">
        <v>2</v>
      </c>
      <c r="K116" t="s">
        <v>40</v>
      </c>
      <c r="L116" t="s">
        <v>41</v>
      </c>
      <c r="M116" t="s">
        <v>42</v>
      </c>
      <c r="N116" s="7">
        <v>1</v>
      </c>
      <c r="O116" s="8">
        <v>45126.44159722222</v>
      </c>
      <c r="P116" s="9">
        <v>45128</v>
      </c>
      <c r="Q116" t="s">
        <v>36</v>
      </c>
      <c r="R116" t="s">
        <v>43</v>
      </c>
      <c r="S116" t="s">
        <v>44</v>
      </c>
      <c r="T116" t="s">
        <v>70</v>
      </c>
      <c r="U116" t="s">
        <v>240</v>
      </c>
      <c r="V116">
        <v>13100</v>
      </c>
      <c r="W116" t="s">
        <v>43</v>
      </c>
      <c r="X116" t="s">
        <v>423</v>
      </c>
      <c r="Y116" t="s">
        <v>48</v>
      </c>
      <c r="Z116" s="10">
        <f>IF(N116&lt;=1,7,7+0.8*ROUNDUP(N116-1,0))</f>
        <v>7</v>
      </c>
      <c r="AA116" s="11">
        <v>0</v>
      </c>
      <c r="AB116" s="11">
        <v>0</v>
      </c>
      <c r="AC116" s="11">
        <v>0</v>
      </c>
      <c r="AD116" s="11">
        <v>0</v>
      </c>
      <c r="AE116" s="11">
        <f>(Z116+AB116+AD116)*6%</f>
        <v>0.42</v>
      </c>
      <c r="AF116" s="11">
        <f>Z116+AB116+AD116+AE116</f>
        <v>7.42</v>
      </c>
      <c r="AG116" t="s">
        <v>43</v>
      </c>
    </row>
    <row r="117" spans="1:33" ht="15" customHeight="1" x14ac:dyDescent="0.35">
      <c r="A117">
        <v>690929</v>
      </c>
      <c r="B117" t="s">
        <v>33</v>
      </c>
      <c r="C117" t="s">
        <v>34</v>
      </c>
      <c r="D117" s="6" t="s">
        <v>33</v>
      </c>
      <c r="E117" t="s">
        <v>446</v>
      </c>
      <c r="F117" t="s">
        <v>36</v>
      </c>
      <c r="G117" t="s">
        <v>37</v>
      </c>
      <c r="H117" t="s">
        <v>447</v>
      </c>
      <c r="I117" t="s">
        <v>39</v>
      </c>
      <c r="J117">
        <v>2</v>
      </c>
      <c r="K117" t="s">
        <v>40</v>
      </c>
      <c r="L117" t="s">
        <v>41</v>
      </c>
      <c r="M117" t="s">
        <v>42</v>
      </c>
      <c r="N117" s="7">
        <v>1</v>
      </c>
      <c r="O117" s="8">
        <v>45127.49291666667</v>
      </c>
      <c r="P117" s="9">
        <v>45128</v>
      </c>
      <c r="Q117" t="s">
        <v>36</v>
      </c>
      <c r="R117" t="s">
        <v>43</v>
      </c>
      <c r="S117" t="s">
        <v>44</v>
      </c>
      <c r="T117" t="s">
        <v>109</v>
      </c>
      <c r="U117" t="s">
        <v>448</v>
      </c>
      <c r="V117">
        <v>16310</v>
      </c>
      <c r="W117" t="s">
        <v>43</v>
      </c>
      <c r="X117" t="s">
        <v>44</v>
      </c>
      <c r="Y117" t="s">
        <v>48</v>
      </c>
      <c r="Z117" s="10">
        <f>IF(N117&lt;=1,7,7+0.8*ROUNDUP(N117-1,0))</f>
        <v>7</v>
      </c>
      <c r="AA117" s="11">
        <v>0</v>
      </c>
      <c r="AB117" s="11">
        <v>0</v>
      </c>
      <c r="AC117" s="11">
        <v>0</v>
      </c>
      <c r="AD117" s="11">
        <v>0</v>
      </c>
      <c r="AE117" s="11">
        <f>(Z117+AB117+AD117)*6%</f>
        <v>0.42</v>
      </c>
      <c r="AF117" s="11">
        <f>Z117+AB117+AD117+AE117</f>
        <v>7.42</v>
      </c>
      <c r="AG117" t="s">
        <v>43</v>
      </c>
    </row>
    <row r="118" spans="1:33" ht="15" customHeight="1" x14ac:dyDescent="0.35">
      <c r="A118">
        <v>690929</v>
      </c>
      <c r="B118" t="s">
        <v>33</v>
      </c>
      <c r="C118" t="s">
        <v>34</v>
      </c>
      <c r="D118" s="6" t="s">
        <v>33</v>
      </c>
      <c r="E118" t="s">
        <v>449</v>
      </c>
      <c r="F118" t="s">
        <v>36</v>
      </c>
      <c r="G118" t="s">
        <v>37</v>
      </c>
      <c r="H118" t="s">
        <v>450</v>
      </c>
      <c r="I118" t="s">
        <v>39</v>
      </c>
      <c r="J118">
        <v>2</v>
      </c>
      <c r="K118" t="s">
        <v>40</v>
      </c>
      <c r="L118" t="s">
        <v>41</v>
      </c>
      <c r="M118" t="s">
        <v>42</v>
      </c>
      <c r="N118" s="7">
        <v>1</v>
      </c>
      <c r="O118" s="8">
        <v>45126.44159722222</v>
      </c>
      <c r="P118" s="9">
        <v>45128</v>
      </c>
      <c r="Q118" t="s">
        <v>36</v>
      </c>
      <c r="R118" t="s">
        <v>43</v>
      </c>
      <c r="S118" t="s">
        <v>44</v>
      </c>
      <c r="T118" t="s">
        <v>70</v>
      </c>
      <c r="U118" t="s">
        <v>451</v>
      </c>
      <c r="V118">
        <v>13100</v>
      </c>
      <c r="W118" t="s">
        <v>43</v>
      </c>
      <c r="X118" t="s">
        <v>47</v>
      </c>
      <c r="Y118" t="s">
        <v>48</v>
      </c>
      <c r="Z118" s="10">
        <f>IF(N118&lt;=1,7,7+0.8*ROUNDUP(N118-1,0))</f>
        <v>7</v>
      </c>
      <c r="AA118" s="11">
        <v>0</v>
      </c>
      <c r="AB118" s="11">
        <v>0</v>
      </c>
      <c r="AC118" s="11">
        <v>0</v>
      </c>
      <c r="AD118" s="11">
        <v>0</v>
      </c>
      <c r="AE118" s="11">
        <f>(Z118+AB118+AD118)*6%</f>
        <v>0.42</v>
      </c>
      <c r="AF118" s="11">
        <f>Z118+AB118+AD118+AE118</f>
        <v>7.42</v>
      </c>
      <c r="AG118" t="s">
        <v>43</v>
      </c>
    </row>
    <row r="119" spans="1:33" ht="15" customHeight="1" x14ac:dyDescent="0.35">
      <c r="A119">
        <v>690929</v>
      </c>
      <c r="B119" t="s">
        <v>33</v>
      </c>
      <c r="C119" t="s">
        <v>34</v>
      </c>
      <c r="D119" s="6" t="s">
        <v>33</v>
      </c>
      <c r="E119" t="s">
        <v>452</v>
      </c>
      <c r="F119" t="s">
        <v>36</v>
      </c>
      <c r="G119" t="s">
        <v>37</v>
      </c>
      <c r="H119" t="s">
        <v>453</v>
      </c>
      <c r="I119" t="s">
        <v>39</v>
      </c>
      <c r="J119">
        <v>2</v>
      </c>
      <c r="K119" t="s">
        <v>40</v>
      </c>
      <c r="L119" t="s">
        <v>41</v>
      </c>
      <c r="M119" t="s">
        <v>42</v>
      </c>
      <c r="N119" s="7">
        <v>1</v>
      </c>
      <c r="O119" s="8">
        <v>45127.514826388891</v>
      </c>
      <c r="P119" s="9">
        <v>45128</v>
      </c>
      <c r="Q119" t="s">
        <v>36</v>
      </c>
      <c r="R119" t="s">
        <v>43</v>
      </c>
      <c r="S119" t="s">
        <v>44</v>
      </c>
      <c r="T119" t="s">
        <v>109</v>
      </c>
      <c r="U119" t="s">
        <v>454</v>
      </c>
      <c r="V119">
        <v>16250</v>
      </c>
      <c r="W119" t="s">
        <v>43</v>
      </c>
      <c r="X119" t="s">
        <v>44</v>
      </c>
      <c r="Y119" t="s">
        <v>48</v>
      </c>
      <c r="Z119" s="10">
        <f>IF(N119&lt;=1,7,7+0.8*ROUNDUP(N119-1,0))</f>
        <v>7</v>
      </c>
      <c r="AA119" s="11">
        <v>0</v>
      </c>
      <c r="AB119" s="11">
        <v>0</v>
      </c>
      <c r="AC119" s="11">
        <v>0</v>
      </c>
      <c r="AD119" s="11">
        <v>0</v>
      </c>
      <c r="AE119" s="11">
        <f>(Z119+AB119+AD119)*6%</f>
        <v>0.42</v>
      </c>
      <c r="AF119" s="11">
        <f>Z119+AB119+AD119+AE119</f>
        <v>7.42</v>
      </c>
      <c r="AG119" t="s">
        <v>43</v>
      </c>
    </row>
    <row r="120" spans="1:33" ht="15" customHeight="1" x14ac:dyDescent="0.35">
      <c r="A120">
        <v>690929</v>
      </c>
      <c r="B120" t="s">
        <v>33</v>
      </c>
      <c r="C120" t="s">
        <v>34</v>
      </c>
      <c r="D120" s="6" t="s">
        <v>33</v>
      </c>
      <c r="E120" t="s">
        <v>455</v>
      </c>
      <c r="F120" t="s">
        <v>36</v>
      </c>
      <c r="G120" t="s">
        <v>37</v>
      </c>
      <c r="H120" t="s">
        <v>456</v>
      </c>
      <c r="I120" t="s">
        <v>39</v>
      </c>
      <c r="J120">
        <v>2</v>
      </c>
      <c r="K120" t="s">
        <v>40</v>
      </c>
      <c r="L120" t="s">
        <v>41</v>
      </c>
      <c r="M120" t="s">
        <v>42</v>
      </c>
      <c r="N120" s="7">
        <v>1</v>
      </c>
      <c r="O120" s="8">
        <v>45127.49291666667</v>
      </c>
      <c r="P120" s="9">
        <v>45128</v>
      </c>
      <c r="Q120" t="s">
        <v>36</v>
      </c>
      <c r="R120" t="s">
        <v>43</v>
      </c>
      <c r="S120" t="s">
        <v>44</v>
      </c>
      <c r="T120" t="s">
        <v>109</v>
      </c>
      <c r="U120" t="s">
        <v>457</v>
      </c>
      <c r="V120">
        <v>15200</v>
      </c>
      <c r="W120" t="s">
        <v>43</v>
      </c>
      <c r="X120" t="s">
        <v>44</v>
      </c>
      <c r="Y120" t="s">
        <v>48</v>
      </c>
      <c r="Z120" s="10">
        <f>IF(N120&lt;=1,7,7+0.8*ROUNDUP(N120-1,0))</f>
        <v>7</v>
      </c>
      <c r="AA120" s="11">
        <v>0</v>
      </c>
      <c r="AB120" s="11">
        <v>0</v>
      </c>
      <c r="AC120" s="11">
        <v>0</v>
      </c>
      <c r="AD120" s="11">
        <v>0</v>
      </c>
      <c r="AE120" s="11">
        <f>(Z120+AB120+AD120)*6%</f>
        <v>0.42</v>
      </c>
      <c r="AF120" s="11">
        <f>Z120+AB120+AD120+AE120</f>
        <v>7.42</v>
      </c>
      <c r="AG120" t="s">
        <v>43</v>
      </c>
    </row>
    <row r="121" spans="1:33" ht="15" customHeight="1" x14ac:dyDescent="0.35">
      <c r="A121">
        <v>690929</v>
      </c>
      <c r="B121" t="s">
        <v>33</v>
      </c>
      <c r="C121" t="s">
        <v>34</v>
      </c>
      <c r="D121" s="6" t="s">
        <v>33</v>
      </c>
      <c r="E121" t="s">
        <v>458</v>
      </c>
      <c r="F121" t="s">
        <v>36</v>
      </c>
      <c r="G121" t="s">
        <v>37</v>
      </c>
      <c r="H121" t="s">
        <v>459</v>
      </c>
      <c r="I121" t="s">
        <v>39</v>
      </c>
      <c r="J121">
        <v>2</v>
      </c>
      <c r="K121" t="s">
        <v>40</v>
      </c>
      <c r="L121" t="s">
        <v>41</v>
      </c>
      <c r="M121" t="s">
        <v>42</v>
      </c>
      <c r="N121" s="7">
        <v>3</v>
      </c>
      <c r="O121" s="8">
        <v>45126.649224537039</v>
      </c>
      <c r="P121" s="9">
        <v>45128</v>
      </c>
      <c r="Q121" t="s">
        <v>36</v>
      </c>
      <c r="R121" t="s">
        <v>43</v>
      </c>
      <c r="S121" t="s">
        <v>44</v>
      </c>
      <c r="T121" t="s">
        <v>51</v>
      </c>
      <c r="U121" t="s">
        <v>460</v>
      </c>
      <c r="V121">
        <v>36600</v>
      </c>
      <c r="W121" t="s">
        <v>43</v>
      </c>
      <c r="X121" t="s">
        <v>296</v>
      </c>
      <c r="Y121" t="s">
        <v>48</v>
      </c>
      <c r="Z121" s="10">
        <f>IF(N121&lt;=1,7,7+0.8*ROUNDUP(N121-1,0))</f>
        <v>8.6</v>
      </c>
      <c r="AA121" s="11">
        <v>0</v>
      </c>
      <c r="AB121" s="11">
        <v>0</v>
      </c>
      <c r="AC121" s="11">
        <v>0</v>
      </c>
      <c r="AD121" s="11">
        <v>0</v>
      </c>
      <c r="AE121" s="11">
        <f>(Z121+AB121+AD121)*6%</f>
        <v>0.51600000000000001</v>
      </c>
      <c r="AF121" s="11">
        <f>Z121+AB121+AD121+AE121</f>
        <v>9.1159999999999997</v>
      </c>
      <c r="AG121" t="s">
        <v>43</v>
      </c>
    </row>
    <row r="122" spans="1:33" ht="15" customHeight="1" x14ac:dyDescent="0.35">
      <c r="A122">
        <v>690929</v>
      </c>
      <c r="B122" t="s">
        <v>33</v>
      </c>
      <c r="C122" t="s">
        <v>34</v>
      </c>
      <c r="D122" s="6" t="s">
        <v>33</v>
      </c>
      <c r="E122" t="s">
        <v>461</v>
      </c>
      <c r="F122" t="s">
        <v>36</v>
      </c>
      <c r="G122" t="s">
        <v>37</v>
      </c>
      <c r="H122" t="s">
        <v>462</v>
      </c>
      <c r="I122" t="s">
        <v>39</v>
      </c>
      <c r="J122">
        <v>2</v>
      </c>
      <c r="K122" t="s">
        <v>40</v>
      </c>
      <c r="L122" t="s">
        <v>41</v>
      </c>
      <c r="M122" t="s">
        <v>42</v>
      </c>
      <c r="N122" s="7">
        <v>1</v>
      </c>
      <c r="O122" s="8">
        <v>45127.49291666667</v>
      </c>
      <c r="P122" s="9">
        <v>45129</v>
      </c>
      <c r="Q122" t="s">
        <v>36</v>
      </c>
      <c r="R122" t="s">
        <v>43</v>
      </c>
      <c r="S122" t="s">
        <v>44</v>
      </c>
      <c r="T122" t="s">
        <v>45</v>
      </c>
      <c r="U122" t="s">
        <v>463</v>
      </c>
      <c r="V122">
        <v>76100</v>
      </c>
      <c r="W122" t="s">
        <v>43</v>
      </c>
      <c r="X122" t="s">
        <v>365</v>
      </c>
      <c r="Y122" t="s">
        <v>48</v>
      </c>
      <c r="Z122" s="10">
        <f>IF(N122&lt;=1,7,7+0.8*ROUNDUP(N122-1,0))</f>
        <v>7</v>
      </c>
      <c r="AA122" s="11">
        <v>0</v>
      </c>
      <c r="AB122" s="11">
        <v>0</v>
      </c>
      <c r="AC122" s="11">
        <v>0</v>
      </c>
      <c r="AD122" s="11">
        <v>0</v>
      </c>
      <c r="AE122" s="11">
        <f>(Z122+AB122+AD122)*6%</f>
        <v>0.42</v>
      </c>
      <c r="AF122" s="11">
        <f>Z122+AB122+AD122+AE122</f>
        <v>7.42</v>
      </c>
      <c r="AG122" t="s">
        <v>43</v>
      </c>
    </row>
    <row r="123" spans="1:33" ht="15" customHeight="1" x14ac:dyDescent="0.35">
      <c r="A123">
        <v>690929</v>
      </c>
      <c r="B123" t="s">
        <v>33</v>
      </c>
      <c r="C123" t="s">
        <v>34</v>
      </c>
      <c r="D123" s="6" t="s">
        <v>33</v>
      </c>
      <c r="E123" t="s">
        <v>464</v>
      </c>
      <c r="F123" t="s">
        <v>36</v>
      </c>
      <c r="G123" t="s">
        <v>37</v>
      </c>
      <c r="H123" t="s">
        <v>465</v>
      </c>
      <c r="I123" t="s">
        <v>39</v>
      </c>
      <c r="J123">
        <v>2</v>
      </c>
      <c r="K123" t="s">
        <v>40</v>
      </c>
      <c r="L123" t="s">
        <v>41</v>
      </c>
      <c r="M123" t="s">
        <v>42</v>
      </c>
      <c r="N123" s="7">
        <v>12</v>
      </c>
      <c r="O123" s="8">
        <v>45127.737696759257</v>
      </c>
      <c r="P123" s="9">
        <v>45129</v>
      </c>
      <c r="Q123" t="s">
        <v>36</v>
      </c>
      <c r="R123" t="s">
        <v>43</v>
      </c>
      <c r="S123" t="s">
        <v>56</v>
      </c>
      <c r="T123" t="s">
        <v>57</v>
      </c>
      <c r="U123" t="s">
        <v>466</v>
      </c>
      <c r="V123">
        <v>48000</v>
      </c>
      <c r="W123" t="s">
        <v>43</v>
      </c>
      <c r="X123" t="s">
        <v>467</v>
      </c>
      <c r="Y123" t="s">
        <v>48</v>
      </c>
      <c r="Z123" s="10">
        <f>IF(N123&lt;=1,7,7+0.8*ROUNDUP(N123-1,0))</f>
        <v>15.8</v>
      </c>
      <c r="AA123" s="11">
        <v>0</v>
      </c>
      <c r="AB123" s="11">
        <v>0</v>
      </c>
      <c r="AC123" s="11">
        <v>0</v>
      </c>
      <c r="AD123" s="11">
        <v>0</v>
      </c>
      <c r="AE123" s="11">
        <f>(Z123+AB123+AD123)*6%</f>
        <v>0.94799999999999995</v>
      </c>
      <c r="AF123" s="11">
        <f>Z123+AB123+AD123+AE123</f>
        <v>16.748000000000001</v>
      </c>
      <c r="AG123" t="s">
        <v>43</v>
      </c>
    </row>
    <row r="124" spans="1:33" ht="15" customHeight="1" x14ac:dyDescent="0.35">
      <c r="A124">
        <v>690929</v>
      </c>
      <c r="B124" t="s">
        <v>33</v>
      </c>
      <c r="C124" t="s">
        <v>34</v>
      </c>
      <c r="D124" s="6" t="s">
        <v>33</v>
      </c>
      <c r="E124" t="s">
        <v>468</v>
      </c>
      <c r="F124" t="s">
        <v>36</v>
      </c>
      <c r="G124" t="s">
        <v>37</v>
      </c>
      <c r="H124" t="s">
        <v>469</v>
      </c>
      <c r="I124" t="s">
        <v>39</v>
      </c>
      <c r="J124">
        <v>2</v>
      </c>
      <c r="K124" t="s">
        <v>40</v>
      </c>
      <c r="L124" t="s">
        <v>41</v>
      </c>
      <c r="M124" t="s">
        <v>42</v>
      </c>
      <c r="N124" s="7">
        <v>1</v>
      </c>
      <c r="O124" s="8">
        <v>45127.58321759259</v>
      </c>
      <c r="P124" s="9">
        <v>45129</v>
      </c>
      <c r="Q124" t="s">
        <v>36</v>
      </c>
      <c r="R124" t="s">
        <v>43</v>
      </c>
      <c r="S124" t="s">
        <v>44</v>
      </c>
      <c r="T124" t="s">
        <v>80</v>
      </c>
      <c r="U124" t="s">
        <v>470</v>
      </c>
      <c r="V124">
        <v>6010</v>
      </c>
      <c r="W124" t="s">
        <v>43</v>
      </c>
      <c r="X124" t="s">
        <v>47</v>
      </c>
      <c r="Y124" t="s">
        <v>48</v>
      </c>
      <c r="Z124" s="10">
        <f>IF(N124&lt;=1,7,7+0.8*ROUNDUP(N124-1,0))</f>
        <v>7</v>
      </c>
      <c r="AA124" s="11">
        <v>0</v>
      </c>
      <c r="AB124" s="11">
        <v>0</v>
      </c>
      <c r="AC124" s="11">
        <v>0</v>
      </c>
      <c r="AD124" s="11">
        <v>0</v>
      </c>
      <c r="AE124" s="11">
        <f>(Z124+AB124+AD124)*6%</f>
        <v>0.42</v>
      </c>
      <c r="AF124" s="11">
        <f>Z124+AB124+AD124+AE124</f>
        <v>7.42</v>
      </c>
      <c r="AG124" t="s">
        <v>43</v>
      </c>
    </row>
    <row r="125" spans="1:33" ht="15" customHeight="1" x14ac:dyDescent="0.35">
      <c r="A125">
        <v>690929</v>
      </c>
      <c r="B125" t="s">
        <v>33</v>
      </c>
      <c r="C125" t="s">
        <v>34</v>
      </c>
      <c r="D125" s="6" t="s">
        <v>33</v>
      </c>
      <c r="E125" t="s">
        <v>471</v>
      </c>
      <c r="F125" t="s">
        <v>36</v>
      </c>
      <c r="G125" t="s">
        <v>37</v>
      </c>
      <c r="H125" t="s">
        <v>472</v>
      </c>
      <c r="I125" t="s">
        <v>39</v>
      </c>
      <c r="J125">
        <v>2</v>
      </c>
      <c r="K125" t="s">
        <v>40</v>
      </c>
      <c r="L125" t="s">
        <v>41</v>
      </c>
      <c r="M125" t="s">
        <v>42</v>
      </c>
      <c r="N125" s="7">
        <v>1</v>
      </c>
      <c r="O125" s="8">
        <v>45126.703240740739</v>
      </c>
      <c r="P125" s="9">
        <v>45129</v>
      </c>
      <c r="Q125" t="s">
        <v>36</v>
      </c>
      <c r="R125" t="s">
        <v>43</v>
      </c>
      <c r="S125" t="s">
        <v>44</v>
      </c>
      <c r="T125" t="s">
        <v>45</v>
      </c>
      <c r="U125" t="s">
        <v>473</v>
      </c>
      <c r="V125">
        <v>75350</v>
      </c>
      <c r="W125" t="s">
        <v>43</v>
      </c>
      <c r="X125" t="s">
        <v>365</v>
      </c>
      <c r="Y125" t="s">
        <v>48</v>
      </c>
      <c r="Z125" s="10">
        <f>IF(N125&lt;=1,7,7+0.8*ROUNDUP(N125-1,0))</f>
        <v>7</v>
      </c>
      <c r="AA125" s="11">
        <v>0</v>
      </c>
      <c r="AB125" s="11">
        <v>0</v>
      </c>
      <c r="AC125" s="11">
        <v>0</v>
      </c>
      <c r="AD125" s="11">
        <v>0</v>
      </c>
      <c r="AE125" s="11">
        <f>(Z125+AB125+AD125)*6%</f>
        <v>0.42</v>
      </c>
      <c r="AF125" s="11">
        <f>Z125+AB125+AD125+AE125</f>
        <v>7.42</v>
      </c>
      <c r="AG125" t="s">
        <v>43</v>
      </c>
    </row>
    <row r="126" spans="1:33" ht="15" customHeight="1" x14ac:dyDescent="0.35">
      <c r="A126">
        <v>690929</v>
      </c>
      <c r="B126" t="s">
        <v>33</v>
      </c>
      <c r="C126" t="s">
        <v>34</v>
      </c>
      <c r="D126" s="6" t="s">
        <v>33</v>
      </c>
      <c r="E126" t="s">
        <v>474</v>
      </c>
      <c r="F126" t="s">
        <v>36</v>
      </c>
      <c r="G126" t="s">
        <v>37</v>
      </c>
      <c r="H126" t="s">
        <v>475</v>
      </c>
      <c r="I126" t="s">
        <v>39</v>
      </c>
      <c r="J126">
        <v>2</v>
      </c>
      <c r="K126" t="s">
        <v>40</v>
      </c>
      <c r="L126" t="s">
        <v>41</v>
      </c>
      <c r="M126" t="s">
        <v>42</v>
      </c>
      <c r="N126" s="7">
        <v>1</v>
      </c>
      <c r="O126" s="8">
        <v>45127.49291666667</v>
      </c>
      <c r="P126" s="9">
        <v>45129</v>
      </c>
      <c r="Q126" t="s">
        <v>36</v>
      </c>
      <c r="R126" t="s">
        <v>43</v>
      </c>
      <c r="S126" t="s">
        <v>44</v>
      </c>
      <c r="T126" t="s">
        <v>45</v>
      </c>
      <c r="U126" t="s">
        <v>476</v>
      </c>
      <c r="V126">
        <v>75200</v>
      </c>
      <c r="W126" t="s">
        <v>43</v>
      </c>
      <c r="X126" t="s">
        <v>47</v>
      </c>
      <c r="Y126" t="s">
        <v>48</v>
      </c>
      <c r="Z126" s="10">
        <f>IF(N126&lt;=1,7,7+0.8*ROUNDUP(N126-1,0))</f>
        <v>7</v>
      </c>
      <c r="AA126" s="11">
        <v>0</v>
      </c>
      <c r="AB126" s="11">
        <v>0</v>
      </c>
      <c r="AC126" s="11">
        <v>0</v>
      </c>
      <c r="AD126" s="11">
        <v>0</v>
      </c>
      <c r="AE126" s="11">
        <f>(Z126+AB126+AD126)*6%</f>
        <v>0.42</v>
      </c>
      <c r="AF126" s="11">
        <f>Z126+AB126+AD126+AE126</f>
        <v>7.42</v>
      </c>
      <c r="AG126" t="s">
        <v>43</v>
      </c>
    </row>
    <row r="127" spans="1:33" ht="15" customHeight="1" x14ac:dyDescent="0.35">
      <c r="A127">
        <v>690929</v>
      </c>
      <c r="B127" t="s">
        <v>33</v>
      </c>
      <c r="C127" t="s">
        <v>34</v>
      </c>
      <c r="D127" s="6" t="s">
        <v>33</v>
      </c>
      <c r="E127" t="s">
        <v>477</v>
      </c>
      <c r="F127" t="s">
        <v>36</v>
      </c>
      <c r="G127" t="s">
        <v>37</v>
      </c>
      <c r="H127" t="s">
        <v>478</v>
      </c>
      <c r="I127" t="s">
        <v>39</v>
      </c>
      <c r="J127">
        <v>2</v>
      </c>
      <c r="K127" t="s">
        <v>40</v>
      </c>
      <c r="L127" t="s">
        <v>41</v>
      </c>
      <c r="M127" t="s">
        <v>42</v>
      </c>
      <c r="N127" s="7">
        <v>1</v>
      </c>
      <c r="O127" s="8">
        <v>45127.730439814812</v>
      </c>
      <c r="P127" s="9">
        <v>45129</v>
      </c>
      <c r="Q127" t="s">
        <v>36</v>
      </c>
      <c r="R127" t="s">
        <v>43</v>
      </c>
      <c r="S127" t="s">
        <v>44</v>
      </c>
      <c r="T127" t="s">
        <v>80</v>
      </c>
      <c r="U127" t="s">
        <v>479</v>
      </c>
      <c r="V127">
        <v>6000</v>
      </c>
      <c r="W127" t="s">
        <v>43</v>
      </c>
      <c r="X127" t="s">
        <v>86</v>
      </c>
      <c r="Y127" t="s">
        <v>48</v>
      </c>
      <c r="Z127" s="10">
        <f>IF(N127&lt;=1,7,7+0.8*ROUNDUP(N127-1,0))</f>
        <v>7</v>
      </c>
      <c r="AA127" s="11">
        <v>0</v>
      </c>
      <c r="AB127" s="11">
        <v>0</v>
      </c>
      <c r="AC127" s="11">
        <v>0</v>
      </c>
      <c r="AD127" s="11">
        <v>0</v>
      </c>
      <c r="AE127" s="11">
        <f>(Z127+AB127+AD127)*6%</f>
        <v>0.42</v>
      </c>
      <c r="AF127" s="11">
        <f>Z127+AB127+AD127+AE127</f>
        <v>7.42</v>
      </c>
      <c r="AG127" t="s">
        <v>43</v>
      </c>
    </row>
    <row r="128" spans="1:33" ht="15" customHeight="1" x14ac:dyDescent="0.35">
      <c r="A128">
        <v>690929</v>
      </c>
      <c r="B128" t="s">
        <v>33</v>
      </c>
      <c r="C128" t="s">
        <v>34</v>
      </c>
      <c r="D128" s="6" t="s">
        <v>33</v>
      </c>
      <c r="E128" t="s">
        <v>480</v>
      </c>
      <c r="F128" t="s">
        <v>36</v>
      </c>
      <c r="G128" t="s">
        <v>37</v>
      </c>
      <c r="H128" t="s">
        <v>481</v>
      </c>
      <c r="I128" t="s">
        <v>39</v>
      </c>
      <c r="J128">
        <v>2</v>
      </c>
      <c r="K128" t="s">
        <v>40</v>
      </c>
      <c r="L128" t="s">
        <v>41</v>
      </c>
      <c r="M128" t="s">
        <v>42</v>
      </c>
      <c r="N128" s="7">
        <v>1</v>
      </c>
      <c r="O128" s="8">
        <v>45127.49291666667</v>
      </c>
      <c r="P128" s="9">
        <v>45129</v>
      </c>
      <c r="Q128" t="s">
        <v>36</v>
      </c>
      <c r="R128" t="s">
        <v>43</v>
      </c>
      <c r="S128" t="s">
        <v>44</v>
      </c>
      <c r="T128" t="s">
        <v>80</v>
      </c>
      <c r="U128" t="s">
        <v>482</v>
      </c>
      <c r="V128">
        <v>9300</v>
      </c>
      <c r="W128" t="s">
        <v>43</v>
      </c>
      <c r="X128" t="s">
        <v>483</v>
      </c>
      <c r="Y128" t="s">
        <v>48</v>
      </c>
      <c r="Z128" s="10">
        <f>IF(N128&lt;=1,7,7+0.8*ROUNDUP(N128-1,0))</f>
        <v>7</v>
      </c>
      <c r="AA128" s="11">
        <v>0</v>
      </c>
      <c r="AB128" s="11">
        <v>0</v>
      </c>
      <c r="AC128" s="11">
        <v>0</v>
      </c>
      <c r="AD128" s="11">
        <v>0</v>
      </c>
      <c r="AE128" s="11">
        <f>(Z128+AB128+AD128)*6%</f>
        <v>0.42</v>
      </c>
      <c r="AF128" s="11">
        <f>Z128+AB128+AD128+AE128</f>
        <v>7.42</v>
      </c>
      <c r="AG128" t="s">
        <v>43</v>
      </c>
    </row>
    <row r="129" spans="1:33" ht="15" customHeight="1" x14ac:dyDescent="0.35">
      <c r="A129">
        <v>690929</v>
      </c>
      <c r="B129" t="s">
        <v>33</v>
      </c>
      <c r="C129" t="s">
        <v>34</v>
      </c>
      <c r="D129" s="6" t="s">
        <v>33</v>
      </c>
      <c r="E129" t="s">
        <v>484</v>
      </c>
      <c r="F129" t="s">
        <v>36</v>
      </c>
      <c r="G129" t="s">
        <v>37</v>
      </c>
      <c r="H129" t="s">
        <v>485</v>
      </c>
      <c r="I129" t="s">
        <v>39</v>
      </c>
      <c r="J129">
        <v>2</v>
      </c>
      <c r="K129" t="s">
        <v>40</v>
      </c>
      <c r="L129" t="s">
        <v>41</v>
      </c>
      <c r="M129" t="s">
        <v>42</v>
      </c>
      <c r="N129" s="7">
        <v>1</v>
      </c>
      <c r="O129" s="8">
        <v>45127.674421296295</v>
      </c>
      <c r="P129" s="9">
        <v>45129</v>
      </c>
      <c r="Q129" t="s">
        <v>36</v>
      </c>
      <c r="R129" t="s">
        <v>43</v>
      </c>
      <c r="S129" t="s">
        <v>44</v>
      </c>
      <c r="T129" t="s">
        <v>51</v>
      </c>
      <c r="U129" t="s">
        <v>486</v>
      </c>
      <c r="V129">
        <v>34700</v>
      </c>
      <c r="W129" t="s">
        <v>43</v>
      </c>
      <c r="X129" t="s">
        <v>47</v>
      </c>
      <c r="Y129" t="s">
        <v>48</v>
      </c>
      <c r="Z129" s="10">
        <f>IF(N129&lt;=1,7,7+0.8*ROUNDUP(N129-1,0))</f>
        <v>7</v>
      </c>
      <c r="AA129" s="11">
        <v>0</v>
      </c>
      <c r="AB129" s="11">
        <v>0</v>
      </c>
      <c r="AC129" s="11">
        <v>0</v>
      </c>
      <c r="AD129" s="11">
        <v>0</v>
      </c>
      <c r="AE129" s="11">
        <f>(Z129+AB129+AD129)*6%</f>
        <v>0.42</v>
      </c>
      <c r="AF129" s="11">
        <f>Z129+AB129+AD129+AE129</f>
        <v>7.42</v>
      </c>
      <c r="AG129" t="s">
        <v>43</v>
      </c>
    </row>
    <row r="130" spans="1:33" ht="15" customHeight="1" x14ac:dyDescent="0.35">
      <c r="A130">
        <v>690929</v>
      </c>
      <c r="B130" t="s">
        <v>33</v>
      </c>
      <c r="C130" t="s">
        <v>34</v>
      </c>
      <c r="D130" s="6" t="s">
        <v>33</v>
      </c>
      <c r="E130" t="s">
        <v>487</v>
      </c>
      <c r="F130" t="s">
        <v>36</v>
      </c>
      <c r="G130" t="s">
        <v>37</v>
      </c>
      <c r="H130" t="s">
        <v>488</v>
      </c>
      <c r="I130" t="s">
        <v>39</v>
      </c>
      <c r="J130">
        <v>2</v>
      </c>
      <c r="K130" t="s">
        <v>40</v>
      </c>
      <c r="L130" t="s">
        <v>41</v>
      </c>
      <c r="M130" t="s">
        <v>42</v>
      </c>
      <c r="N130" s="7">
        <v>1</v>
      </c>
      <c r="O130" s="8">
        <v>45127.640787037039</v>
      </c>
      <c r="P130" s="9">
        <v>45129</v>
      </c>
      <c r="Q130" t="s">
        <v>36</v>
      </c>
      <c r="R130" t="s">
        <v>43</v>
      </c>
      <c r="S130" t="s">
        <v>44</v>
      </c>
      <c r="T130" t="s">
        <v>61</v>
      </c>
      <c r="U130" t="s">
        <v>489</v>
      </c>
      <c r="V130">
        <v>86400</v>
      </c>
      <c r="W130" t="s">
        <v>43</v>
      </c>
      <c r="X130" t="s">
        <v>490</v>
      </c>
      <c r="Y130" t="s">
        <v>48</v>
      </c>
      <c r="Z130" s="10">
        <f>IF(N130&lt;=1,7,7+0.8*ROUNDUP(N130-1,0))</f>
        <v>7</v>
      </c>
      <c r="AA130" s="11">
        <v>0</v>
      </c>
      <c r="AB130" s="11">
        <v>0</v>
      </c>
      <c r="AC130" s="11">
        <v>0</v>
      </c>
      <c r="AD130" s="11">
        <v>0</v>
      </c>
      <c r="AE130" s="11">
        <f>(Z130+AB130+AD130)*6%</f>
        <v>0.42</v>
      </c>
      <c r="AF130" s="11">
        <f>Z130+AB130+AD130+AE130</f>
        <v>7.42</v>
      </c>
      <c r="AG130" t="s">
        <v>43</v>
      </c>
    </row>
    <row r="131" spans="1:33" ht="15" customHeight="1" x14ac:dyDescent="0.35">
      <c r="A131">
        <v>690929</v>
      </c>
      <c r="B131" t="s">
        <v>33</v>
      </c>
      <c r="C131" t="s">
        <v>34</v>
      </c>
      <c r="D131" s="6" t="s">
        <v>33</v>
      </c>
      <c r="E131" t="s">
        <v>491</v>
      </c>
      <c r="F131" t="s">
        <v>36</v>
      </c>
      <c r="G131" t="s">
        <v>37</v>
      </c>
      <c r="H131" t="s">
        <v>392</v>
      </c>
      <c r="I131" t="s">
        <v>39</v>
      </c>
      <c r="J131">
        <v>2</v>
      </c>
      <c r="K131" t="s">
        <v>40</v>
      </c>
      <c r="L131" t="s">
        <v>41</v>
      </c>
      <c r="M131" t="s">
        <v>42</v>
      </c>
      <c r="N131" s="7">
        <v>3</v>
      </c>
      <c r="O131" s="8">
        <v>45127.748599537037</v>
      </c>
      <c r="P131" s="9">
        <v>45129</v>
      </c>
      <c r="Q131" t="s">
        <v>36</v>
      </c>
      <c r="R131" t="s">
        <v>43</v>
      </c>
      <c r="S131" t="s">
        <v>56</v>
      </c>
      <c r="T131" t="s">
        <v>89</v>
      </c>
      <c r="U131" t="s">
        <v>396</v>
      </c>
      <c r="V131">
        <v>39100</v>
      </c>
      <c r="W131" t="s">
        <v>43</v>
      </c>
      <c r="X131" t="s">
        <v>394</v>
      </c>
      <c r="Y131" t="s">
        <v>48</v>
      </c>
      <c r="Z131" s="10">
        <f>IF(N131&lt;=1,7,7+0.8*ROUNDUP(N131-1,0))</f>
        <v>8.6</v>
      </c>
      <c r="AA131" s="11">
        <v>0</v>
      </c>
      <c r="AB131" s="11">
        <v>0</v>
      </c>
      <c r="AC131" s="11">
        <v>0</v>
      </c>
      <c r="AD131" s="11">
        <v>0</v>
      </c>
      <c r="AE131" s="11">
        <f>(Z131+AB131+AD131)*6%</f>
        <v>0.51600000000000001</v>
      </c>
      <c r="AF131" s="11">
        <f>Z131+AB131+AD131+AE131</f>
        <v>9.1159999999999997</v>
      </c>
      <c r="AG131" t="s">
        <v>43</v>
      </c>
    </row>
    <row r="132" spans="1:33" ht="15" customHeight="1" x14ac:dyDescent="0.35">
      <c r="A132">
        <v>690929</v>
      </c>
      <c r="B132" t="s">
        <v>33</v>
      </c>
      <c r="C132" t="s">
        <v>34</v>
      </c>
      <c r="D132" s="6" t="s">
        <v>33</v>
      </c>
      <c r="E132" t="s">
        <v>492</v>
      </c>
      <c r="F132" t="s">
        <v>36</v>
      </c>
      <c r="G132" t="s">
        <v>37</v>
      </c>
      <c r="H132" t="s">
        <v>493</v>
      </c>
      <c r="I132" t="s">
        <v>39</v>
      </c>
      <c r="J132">
        <v>2</v>
      </c>
      <c r="K132" t="s">
        <v>40</v>
      </c>
      <c r="L132" t="s">
        <v>41</v>
      </c>
      <c r="M132" t="s">
        <v>42</v>
      </c>
      <c r="N132" s="7">
        <v>11</v>
      </c>
      <c r="O132" s="8">
        <v>45127.445891203701</v>
      </c>
      <c r="P132" s="9">
        <v>45129</v>
      </c>
      <c r="Q132" t="s">
        <v>36</v>
      </c>
      <c r="R132" t="s">
        <v>43</v>
      </c>
      <c r="S132" t="s">
        <v>44</v>
      </c>
      <c r="T132" t="s">
        <v>80</v>
      </c>
      <c r="U132" t="s">
        <v>494</v>
      </c>
      <c r="V132">
        <v>6010</v>
      </c>
      <c r="W132" t="s">
        <v>43</v>
      </c>
      <c r="X132" t="s">
        <v>86</v>
      </c>
      <c r="Y132" t="s">
        <v>48</v>
      </c>
      <c r="Z132" s="10">
        <f>IF(N132&lt;=1,7,7+0.8*ROUNDUP(N132-1,0))</f>
        <v>15</v>
      </c>
      <c r="AA132" s="11">
        <v>0</v>
      </c>
      <c r="AB132" s="11">
        <v>0</v>
      </c>
      <c r="AC132" s="11">
        <v>0</v>
      </c>
      <c r="AD132" s="11">
        <v>0</v>
      </c>
      <c r="AE132" s="11">
        <f>(Z132+AB132+AD132)*6%</f>
        <v>0.89999999999999991</v>
      </c>
      <c r="AF132" s="11">
        <f>Z132+AB132+AD132+AE132</f>
        <v>15.9</v>
      </c>
      <c r="AG132" t="s">
        <v>43</v>
      </c>
    </row>
    <row r="133" spans="1:33" ht="15" customHeight="1" x14ac:dyDescent="0.35">
      <c r="A133">
        <v>690929</v>
      </c>
      <c r="B133" t="s">
        <v>33</v>
      </c>
      <c r="C133" t="s">
        <v>34</v>
      </c>
      <c r="D133" s="6" t="s">
        <v>33</v>
      </c>
      <c r="E133" t="s">
        <v>495</v>
      </c>
      <c r="F133" t="s">
        <v>36</v>
      </c>
      <c r="G133" t="s">
        <v>37</v>
      </c>
      <c r="H133" t="s">
        <v>496</v>
      </c>
      <c r="I133" t="s">
        <v>39</v>
      </c>
      <c r="J133">
        <v>2</v>
      </c>
      <c r="K133" t="s">
        <v>40</v>
      </c>
      <c r="L133" t="s">
        <v>41</v>
      </c>
      <c r="M133" t="s">
        <v>42</v>
      </c>
      <c r="N133" s="7">
        <v>1</v>
      </c>
      <c r="O133" s="8">
        <v>45127.594930555555</v>
      </c>
      <c r="P133" s="9">
        <v>45129</v>
      </c>
      <c r="Q133" t="s">
        <v>36</v>
      </c>
      <c r="R133" t="s">
        <v>43</v>
      </c>
      <c r="S133" t="s">
        <v>44</v>
      </c>
      <c r="T133" t="s">
        <v>80</v>
      </c>
      <c r="U133" t="s">
        <v>497</v>
      </c>
      <c r="V133">
        <v>8100</v>
      </c>
      <c r="W133" t="s">
        <v>43</v>
      </c>
      <c r="X133" t="s">
        <v>498</v>
      </c>
      <c r="Y133" t="s">
        <v>48</v>
      </c>
      <c r="Z133" s="10">
        <f>IF(N133&lt;=1,7,7+0.8*ROUNDUP(N133-1,0))</f>
        <v>7</v>
      </c>
      <c r="AA133" s="11">
        <v>0</v>
      </c>
      <c r="AB133" s="11">
        <v>0</v>
      </c>
      <c r="AC133" s="11">
        <v>0</v>
      </c>
      <c r="AD133" s="11">
        <v>0</v>
      </c>
      <c r="AE133" s="11">
        <f>(Z133+AB133+AD133)*6%</f>
        <v>0.42</v>
      </c>
      <c r="AF133" s="11">
        <f>Z133+AB133+AD133+AE133</f>
        <v>7.42</v>
      </c>
      <c r="AG133" t="s">
        <v>43</v>
      </c>
    </row>
    <row r="134" spans="1:33" ht="15" customHeight="1" x14ac:dyDescent="0.35">
      <c r="A134">
        <v>690929</v>
      </c>
      <c r="B134" t="s">
        <v>33</v>
      </c>
      <c r="C134" t="s">
        <v>34</v>
      </c>
      <c r="D134" s="6" t="s">
        <v>33</v>
      </c>
      <c r="E134" t="s">
        <v>499</v>
      </c>
      <c r="F134" t="s">
        <v>36</v>
      </c>
      <c r="G134" t="s">
        <v>37</v>
      </c>
      <c r="H134" t="s">
        <v>500</v>
      </c>
      <c r="I134" t="s">
        <v>39</v>
      </c>
      <c r="J134">
        <v>2</v>
      </c>
      <c r="K134" t="s">
        <v>40</v>
      </c>
      <c r="L134" t="s">
        <v>41</v>
      </c>
      <c r="M134" t="s">
        <v>42</v>
      </c>
      <c r="N134" s="7">
        <v>1</v>
      </c>
      <c r="O134" s="8">
        <v>45127.49291666667</v>
      </c>
      <c r="P134" s="9">
        <v>45129</v>
      </c>
      <c r="Q134" t="s">
        <v>36</v>
      </c>
      <c r="R134" t="s">
        <v>43</v>
      </c>
      <c r="S134" t="s">
        <v>44</v>
      </c>
      <c r="T134" t="s">
        <v>45</v>
      </c>
      <c r="U134" t="s">
        <v>501</v>
      </c>
      <c r="V134">
        <v>75250</v>
      </c>
      <c r="W134" t="s">
        <v>43</v>
      </c>
      <c r="X134" t="s">
        <v>47</v>
      </c>
      <c r="Y134" t="s">
        <v>48</v>
      </c>
      <c r="Z134" s="10">
        <f>IF(N134&lt;=1,7,7+0.8*ROUNDUP(N134-1,0))</f>
        <v>7</v>
      </c>
      <c r="AA134" s="11">
        <v>0</v>
      </c>
      <c r="AB134" s="11">
        <v>0</v>
      </c>
      <c r="AC134" s="11">
        <v>0</v>
      </c>
      <c r="AD134" s="11">
        <v>0</v>
      </c>
      <c r="AE134" s="11">
        <f>(Z134+AB134+AD134)*6%</f>
        <v>0.42</v>
      </c>
      <c r="AF134" s="11">
        <f>Z134+AB134+AD134+AE134</f>
        <v>7.42</v>
      </c>
      <c r="AG134" t="s">
        <v>43</v>
      </c>
    </row>
    <row r="135" spans="1:33" ht="15" customHeight="1" x14ac:dyDescent="0.35">
      <c r="A135">
        <v>690929</v>
      </c>
      <c r="B135" t="s">
        <v>33</v>
      </c>
      <c r="C135" t="s">
        <v>34</v>
      </c>
      <c r="D135" s="6" t="s">
        <v>33</v>
      </c>
      <c r="E135" t="s">
        <v>502</v>
      </c>
      <c r="F135" t="s">
        <v>36</v>
      </c>
      <c r="G135" t="s">
        <v>37</v>
      </c>
      <c r="H135" t="s">
        <v>503</v>
      </c>
      <c r="I135" t="s">
        <v>39</v>
      </c>
      <c r="J135">
        <v>2</v>
      </c>
      <c r="K135" t="s">
        <v>40</v>
      </c>
      <c r="L135" t="s">
        <v>41</v>
      </c>
      <c r="M135" t="s">
        <v>42</v>
      </c>
      <c r="N135" s="7">
        <v>1</v>
      </c>
      <c r="O135" s="8">
        <v>45124.470046296294</v>
      </c>
      <c r="P135" s="9">
        <v>45130</v>
      </c>
      <c r="Q135" t="s">
        <v>36</v>
      </c>
      <c r="R135" t="s">
        <v>43</v>
      </c>
      <c r="S135" t="s">
        <v>47</v>
      </c>
      <c r="T135" t="s">
        <v>57</v>
      </c>
      <c r="U135" t="s">
        <v>504</v>
      </c>
      <c r="V135">
        <v>48020</v>
      </c>
      <c r="W135" t="s">
        <v>43</v>
      </c>
      <c r="X135" t="s">
        <v>505</v>
      </c>
      <c r="Y135" t="s">
        <v>48</v>
      </c>
      <c r="Z135" s="10">
        <f>IF(N135&lt;=1,7,7+0.8*ROUNDUP(N135-1,0))</f>
        <v>7</v>
      </c>
      <c r="AA135" s="11">
        <v>0</v>
      </c>
      <c r="AB135" s="11">
        <v>0</v>
      </c>
      <c r="AC135" s="11">
        <v>0</v>
      </c>
      <c r="AD135" s="11">
        <v>0</v>
      </c>
      <c r="AE135" s="11">
        <f>(Z135+AB135+AD135)*6%</f>
        <v>0.42</v>
      </c>
      <c r="AF135" s="11">
        <f>Z135+AB135+AD135+AE135</f>
        <v>7.42</v>
      </c>
      <c r="AG135" t="s">
        <v>43</v>
      </c>
    </row>
    <row r="136" spans="1:33" ht="15" customHeight="1" x14ac:dyDescent="0.35">
      <c r="A136">
        <v>690929</v>
      </c>
      <c r="B136" t="s">
        <v>33</v>
      </c>
      <c r="C136" t="s">
        <v>34</v>
      </c>
      <c r="D136" s="6" t="s">
        <v>33</v>
      </c>
      <c r="E136" t="s">
        <v>506</v>
      </c>
      <c r="F136" t="s">
        <v>36</v>
      </c>
      <c r="G136" t="s">
        <v>37</v>
      </c>
      <c r="H136" t="s">
        <v>507</v>
      </c>
      <c r="I136" t="s">
        <v>39</v>
      </c>
      <c r="J136">
        <v>2</v>
      </c>
      <c r="K136" t="s">
        <v>40</v>
      </c>
      <c r="L136" t="s">
        <v>41</v>
      </c>
      <c r="M136" t="s">
        <v>42</v>
      </c>
      <c r="N136" s="7">
        <v>2</v>
      </c>
      <c r="O136" s="8">
        <v>45127.49291666667</v>
      </c>
      <c r="P136" s="9">
        <v>45130</v>
      </c>
      <c r="Q136" t="s">
        <v>36</v>
      </c>
      <c r="R136" t="s">
        <v>43</v>
      </c>
      <c r="S136" t="s">
        <v>44</v>
      </c>
      <c r="T136" t="s">
        <v>80</v>
      </c>
      <c r="U136" t="s">
        <v>508</v>
      </c>
      <c r="V136">
        <v>7000</v>
      </c>
      <c r="W136" t="s">
        <v>43</v>
      </c>
      <c r="X136" t="s">
        <v>47</v>
      </c>
      <c r="Y136" t="s">
        <v>48</v>
      </c>
      <c r="Z136" s="10">
        <f>IF(N136&lt;=1,7,7+0.8*ROUNDUP(N136-1,0))</f>
        <v>7.8</v>
      </c>
      <c r="AA136" s="11">
        <v>0</v>
      </c>
      <c r="AB136" s="11">
        <v>0</v>
      </c>
      <c r="AC136" s="11">
        <v>0</v>
      </c>
      <c r="AD136" s="11">
        <v>0</v>
      </c>
      <c r="AE136" s="11">
        <f>(Z136+AB136+AD136)*6%</f>
        <v>0.46799999999999997</v>
      </c>
      <c r="AF136" s="11">
        <f>Z136+AB136+AD136+AE136</f>
        <v>8.2680000000000007</v>
      </c>
      <c r="AG136" t="s">
        <v>43</v>
      </c>
    </row>
    <row r="137" spans="1:33" ht="15" customHeight="1" x14ac:dyDescent="0.35">
      <c r="A137">
        <v>690929</v>
      </c>
      <c r="B137" t="s">
        <v>33</v>
      </c>
      <c r="C137" t="s">
        <v>34</v>
      </c>
      <c r="D137" s="6" t="s">
        <v>33</v>
      </c>
      <c r="E137" t="s">
        <v>509</v>
      </c>
      <c r="F137" t="s">
        <v>36</v>
      </c>
      <c r="G137" t="s">
        <v>37</v>
      </c>
      <c r="H137" t="s">
        <v>510</v>
      </c>
      <c r="I137" t="s">
        <v>39</v>
      </c>
      <c r="J137">
        <v>2</v>
      </c>
      <c r="K137" t="s">
        <v>40</v>
      </c>
      <c r="L137" t="s">
        <v>41</v>
      </c>
      <c r="M137" t="s">
        <v>42</v>
      </c>
      <c r="N137" s="7">
        <v>10</v>
      </c>
      <c r="O137" s="8">
        <v>45129.641041666669</v>
      </c>
      <c r="P137" s="9">
        <v>45130</v>
      </c>
      <c r="Q137" t="s">
        <v>36</v>
      </c>
      <c r="R137" t="s">
        <v>43</v>
      </c>
      <c r="S137" t="s">
        <v>44</v>
      </c>
      <c r="T137" t="s">
        <v>66</v>
      </c>
      <c r="U137" t="s">
        <v>511</v>
      </c>
      <c r="V137">
        <v>21100</v>
      </c>
      <c r="W137" t="s">
        <v>43</v>
      </c>
      <c r="X137" t="s">
        <v>199</v>
      </c>
      <c r="Y137" t="s">
        <v>48</v>
      </c>
      <c r="Z137" s="10">
        <f>IF(N137&lt;=1,7,7+0.8*ROUNDUP(N137-1,0))</f>
        <v>14.2</v>
      </c>
      <c r="AA137" s="11">
        <v>0</v>
      </c>
      <c r="AB137" s="11">
        <v>0</v>
      </c>
      <c r="AC137" s="11">
        <v>0</v>
      </c>
      <c r="AD137" s="11">
        <v>0</v>
      </c>
      <c r="AE137" s="11">
        <f>(Z137+AB137+AD137)*6%</f>
        <v>0.85199999999999998</v>
      </c>
      <c r="AF137" s="11">
        <f>Z137+AB137+AD137+AE137</f>
        <v>15.052</v>
      </c>
      <c r="AG137" t="s">
        <v>43</v>
      </c>
    </row>
    <row r="138" spans="1:33" ht="15" customHeight="1" x14ac:dyDescent="0.35">
      <c r="A138">
        <v>690929</v>
      </c>
      <c r="B138" t="s">
        <v>33</v>
      </c>
      <c r="C138" t="s">
        <v>34</v>
      </c>
      <c r="D138" s="6" t="s">
        <v>33</v>
      </c>
      <c r="E138" t="s">
        <v>512</v>
      </c>
      <c r="F138" t="s">
        <v>36</v>
      </c>
      <c r="G138" t="s">
        <v>37</v>
      </c>
      <c r="H138" t="s">
        <v>510</v>
      </c>
      <c r="I138" t="s">
        <v>39</v>
      </c>
      <c r="J138">
        <v>2</v>
      </c>
      <c r="K138" t="s">
        <v>40</v>
      </c>
      <c r="L138" t="s">
        <v>41</v>
      </c>
      <c r="M138" t="s">
        <v>42</v>
      </c>
      <c r="N138" s="7">
        <v>5</v>
      </c>
      <c r="O138" s="8">
        <v>45129.641041666669</v>
      </c>
      <c r="P138" s="9">
        <v>45130</v>
      </c>
      <c r="Q138" t="s">
        <v>36</v>
      </c>
      <c r="R138" t="s">
        <v>43</v>
      </c>
      <c r="S138" t="s">
        <v>44</v>
      </c>
      <c r="T138" t="s">
        <v>66</v>
      </c>
      <c r="U138" t="s">
        <v>511</v>
      </c>
      <c r="V138">
        <v>21100</v>
      </c>
      <c r="W138" t="s">
        <v>43</v>
      </c>
      <c r="X138" t="s">
        <v>199</v>
      </c>
      <c r="Y138" t="s">
        <v>48</v>
      </c>
      <c r="Z138" s="10">
        <f>IF(N138&lt;=1,7,7+0.8*ROUNDUP(N138-1,0))</f>
        <v>10.199999999999999</v>
      </c>
      <c r="AA138" s="11">
        <v>0</v>
      </c>
      <c r="AB138" s="11">
        <v>0</v>
      </c>
      <c r="AC138" s="11">
        <v>0</v>
      </c>
      <c r="AD138" s="11">
        <v>0</v>
      </c>
      <c r="AE138" s="11">
        <f>(Z138+AB138+AD138)*6%</f>
        <v>0.61199999999999999</v>
      </c>
      <c r="AF138" s="11">
        <f>Z138+AB138+AD138+AE138</f>
        <v>10.811999999999999</v>
      </c>
      <c r="AG138" t="s">
        <v>43</v>
      </c>
    </row>
    <row r="139" spans="1:33" ht="15" customHeight="1" x14ac:dyDescent="0.35">
      <c r="A139">
        <v>690929</v>
      </c>
      <c r="B139" t="s">
        <v>33</v>
      </c>
      <c r="C139" t="s">
        <v>34</v>
      </c>
      <c r="D139" s="6" t="s">
        <v>33</v>
      </c>
      <c r="E139" t="s">
        <v>513</v>
      </c>
      <c r="F139" t="s">
        <v>36</v>
      </c>
      <c r="G139" t="s">
        <v>37</v>
      </c>
      <c r="H139" t="s">
        <v>392</v>
      </c>
      <c r="I139" t="s">
        <v>39</v>
      </c>
      <c r="J139">
        <v>2</v>
      </c>
      <c r="K139" t="s">
        <v>40</v>
      </c>
      <c r="L139" t="s">
        <v>41</v>
      </c>
      <c r="M139" t="s">
        <v>42</v>
      </c>
      <c r="N139" s="7">
        <v>5</v>
      </c>
      <c r="O139" s="8">
        <v>45127.748599537037</v>
      </c>
      <c r="P139" s="9">
        <v>45130</v>
      </c>
      <c r="Q139" t="s">
        <v>36</v>
      </c>
      <c r="R139" t="s">
        <v>43</v>
      </c>
      <c r="S139" t="s">
        <v>56</v>
      </c>
      <c r="T139" t="s">
        <v>89</v>
      </c>
      <c r="U139" t="s">
        <v>396</v>
      </c>
      <c r="V139">
        <v>39100</v>
      </c>
      <c r="W139" t="s">
        <v>43</v>
      </c>
      <c r="X139" t="s">
        <v>394</v>
      </c>
      <c r="Y139" t="s">
        <v>48</v>
      </c>
      <c r="Z139" s="10">
        <f>IF(N139&lt;=1,7,7+0.8*ROUNDUP(N139-1,0))</f>
        <v>10.199999999999999</v>
      </c>
      <c r="AA139" s="11">
        <v>0</v>
      </c>
      <c r="AB139" s="11">
        <v>0</v>
      </c>
      <c r="AC139" s="11">
        <v>0</v>
      </c>
      <c r="AD139" s="11">
        <v>0</v>
      </c>
      <c r="AE139" s="11">
        <f>(Z139+AB139+AD139)*6%</f>
        <v>0.61199999999999999</v>
      </c>
      <c r="AF139" s="11">
        <f>Z139+AB139+AD139+AE139</f>
        <v>10.811999999999999</v>
      </c>
      <c r="AG139" t="s">
        <v>43</v>
      </c>
    </row>
    <row r="140" spans="1:33" ht="15" customHeight="1" x14ac:dyDescent="0.35">
      <c r="A140">
        <v>690929</v>
      </c>
      <c r="B140" t="s">
        <v>33</v>
      </c>
      <c r="C140" t="s">
        <v>34</v>
      </c>
      <c r="D140" s="6" t="s">
        <v>33</v>
      </c>
      <c r="E140" t="s">
        <v>514</v>
      </c>
      <c r="F140" t="s">
        <v>36</v>
      </c>
      <c r="G140" t="s">
        <v>37</v>
      </c>
      <c r="H140" t="s">
        <v>515</v>
      </c>
      <c r="I140" t="s">
        <v>39</v>
      </c>
      <c r="J140">
        <v>2</v>
      </c>
      <c r="K140" t="s">
        <v>40</v>
      </c>
      <c r="L140" t="s">
        <v>41</v>
      </c>
      <c r="M140" t="s">
        <v>42</v>
      </c>
      <c r="N140" s="7">
        <v>1</v>
      </c>
      <c r="O140" s="8">
        <v>45129.641041666669</v>
      </c>
      <c r="P140" s="9">
        <v>45130</v>
      </c>
      <c r="Q140" t="s">
        <v>36</v>
      </c>
      <c r="R140" t="s">
        <v>43</v>
      </c>
      <c r="S140" t="s">
        <v>44</v>
      </c>
      <c r="T140" t="s">
        <v>57</v>
      </c>
      <c r="U140" t="s">
        <v>516</v>
      </c>
      <c r="V140">
        <v>42500</v>
      </c>
      <c r="W140" t="s">
        <v>43</v>
      </c>
      <c r="X140" t="s">
        <v>517</v>
      </c>
      <c r="Y140" t="s">
        <v>48</v>
      </c>
      <c r="Z140" s="10">
        <f>IF(N140&lt;=1,7,7+0.8*ROUNDUP(N140-1,0))</f>
        <v>7</v>
      </c>
      <c r="AA140" s="11">
        <v>0</v>
      </c>
      <c r="AB140" s="11">
        <v>0</v>
      </c>
      <c r="AC140" s="11">
        <v>0</v>
      </c>
      <c r="AD140" s="11">
        <v>0</v>
      </c>
      <c r="AE140" s="11">
        <f>(Z140+AB140+AD140)*6%</f>
        <v>0.42</v>
      </c>
      <c r="AF140" s="11">
        <f>Z140+AB140+AD140+AE140</f>
        <v>7.42</v>
      </c>
      <c r="AG140" t="s">
        <v>43</v>
      </c>
    </row>
    <row r="141" spans="1:33" ht="15" customHeight="1" x14ac:dyDescent="0.35">
      <c r="A141">
        <v>690929</v>
      </c>
      <c r="B141" t="s">
        <v>33</v>
      </c>
      <c r="C141" t="s">
        <v>34</v>
      </c>
      <c r="D141" s="6" t="s">
        <v>33</v>
      </c>
      <c r="E141" t="s">
        <v>518</v>
      </c>
      <c r="F141" t="s">
        <v>36</v>
      </c>
      <c r="G141" t="s">
        <v>37</v>
      </c>
      <c r="H141" t="s">
        <v>519</v>
      </c>
      <c r="I141" t="s">
        <v>39</v>
      </c>
      <c r="J141">
        <v>2</v>
      </c>
      <c r="K141" t="s">
        <v>40</v>
      </c>
      <c r="L141" t="s">
        <v>41</v>
      </c>
      <c r="M141" t="s">
        <v>42</v>
      </c>
      <c r="N141" s="7">
        <v>1</v>
      </c>
      <c r="O141" s="8">
        <v>45126.649224537039</v>
      </c>
      <c r="P141" s="9">
        <v>45131</v>
      </c>
      <c r="Q141" t="s">
        <v>36</v>
      </c>
      <c r="R141" t="s">
        <v>43</v>
      </c>
      <c r="S141" t="s">
        <v>44</v>
      </c>
      <c r="T141" t="s">
        <v>403</v>
      </c>
      <c r="U141" t="s">
        <v>520</v>
      </c>
      <c r="V141">
        <v>96100</v>
      </c>
      <c r="W141" t="s">
        <v>172</v>
      </c>
      <c r="X141" t="s">
        <v>521</v>
      </c>
      <c r="Y141" t="s">
        <v>48</v>
      </c>
      <c r="Z141" s="12">
        <f>IF(N141&lt;=1,13,IF(N141&lt;=2,23,IF(N141&lt;=3,35,IF(N141&lt;=4,43,IF(N141&lt;=5,53,IF(N141&lt;=6,63,IF(N141&lt;=7,71,IF(N141&lt;=8,79,IF(N141&lt;=9,87,IF(N141&lt;=10,95,IF(N141&lt;=11,105,IF(N141&lt;=12,114,IF(N141&lt;=13,119,IF(N141&lt;=14,127,IF(N141&lt;=15,135,IF(N141&lt;=16,143,IF(N141&lt;=17,153,IF(N141&lt;=18,163,IF(N141&lt;=19,171,IF(N141&lt;=20,185,IF(N141&lt;=21,193,IF(N141&lt;=22,201,IF(N141&lt;=23,210,IF(N141&lt;=24,220,IF(N141&lt;=25,230,IF(N141&lt;=26,240,IF(N141&lt;=27,250,IF(N141&lt;=28,260,IF(N141&lt;=29,270,IF(N141&lt;=30,280,280+10*ROUNDUP(N141-30,0)))))))))))))))))))))))))))))))</f>
        <v>13</v>
      </c>
      <c r="AA141" s="11">
        <v>0</v>
      </c>
      <c r="AB141" s="11">
        <v>0</v>
      </c>
      <c r="AC141" s="11">
        <v>0</v>
      </c>
      <c r="AD141" s="11">
        <v>0</v>
      </c>
      <c r="AE141" s="11">
        <f>(Z141+AB141+AD141)*6%</f>
        <v>0.78</v>
      </c>
      <c r="AF141" s="11">
        <f>Z141+AB141+AD141+AE141</f>
        <v>13.78</v>
      </c>
      <c r="AG141" t="s">
        <v>172</v>
      </c>
    </row>
    <row r="142" spans="1:33" ht="15" customHeight="1" x14ac:dyDescent="0.35">
      <c r="A142">
        <v>690929</v>
      </c>
      <c r="B142" t="s">
        <v>33</v>
      </c>
      <c r="C142" t="s">
        <v>34</v>
      </c>
      <c r="D142" s="6" t="s">
        <v>33</v>
      </c>
      <c r="E142" t="s">
        <v>522</v>
      </c>
      <c r="F142" t="s">
        <v>36</v>
      </c>
      <c r="G142" t="s">
        <v>37</v>
      </c>
      <c r="H142" t="s">
        <v>523</v>
      </c>
      <c r="I142" t="s">
        <v>39</v>
      </c>
      <c r="J142">
        <v>2</v>
      </c>
      <c r="K142" t="s">
        <v>40</v>
      </c>
      <c r="L142" t="s">
        <v>41</v>
      </c>
      <c r="M142" t="s">
        <v>42</v>
      </c>
      <c r="N142" s="7">
        <v>1</v>
      </c>
      <c r="O142" s="8">
        <v>45130.733715277776</v>
      </c>
      <c r="P142" s="9">
        <v>45131</v>
      </c>
      <c r="Q142" t="s">
        <v>36</v>
      </c>
      <c r="R142" t="s">
        <v>43</v>
      </c>
      <c r="S142" t="s">
        <v>44</v>
      </c>
      <c r="T142" t="s">
        <v>66</v>
      </c>
      <c r="U142" t="s">
        <v>524</v>
      </c>
      <c r="V142">
        <v>22200</v>
      </c>
      <c r="W142" t="s">
        <v>43</v>
      </c>
      <c r="X142" t="s">
        <v>44</v>
      </c>
      <c r="Y142" t="s">
        <v>48</v>
      </c>
      <c r="Z142" s="10">
        <f>IF(N142&lt;=1,7,7+0.8*ROUNDUP(N142-1,0))</f>
        <v>7</v>
      </c>
      <c r="AA142" s="11">
        <v>0</v>
      </c>
      <c r="AB142" s="11">
        <v>0</v>
      </c>
      <c r="AC142" s="11">
        <v>0</v>
      </c>
      <c r="AD142" s="11">
        <v>0</v>
      </c>
      <c r="AE142" s="11">
        <f>(Z142+AB142+AD142)*6%</f>
        <v>0.42</v>
      </c>
      <c r="AF142" s="11">
        <f>Z142+AB142+AD142+AE142</f>
        <v>7.42</v>
      </c>
      <c r="AG142" t="s">
        <v>43</v>
      </c>
    </row>
    <row r="143" spans="1:33" ht="15" customHeight="1" x14ac:dyDescent="0.35">
      <c r="A143">
        <v>690929</v>
      </c>
      <c r="B143" t="s">
        <v>33</v>
      </c>
      <c r="C143" t="s">
        <v>34</v>
      </c>
      <c r="D143" s="6" t="s">
        <v>33</v>
      </c>
      <c r="E143" t="s">
        <v>525</v>
      </c>
      <c r="F143" t="s">
        <v>36</v>
      </c>
      <c r="G143" t="s">
        <v>37</v>
      </c>
      <c r="H143" t="s">
        <v>526</v>
      </c>
      <c r="I143" t="s">
        <v>39</v>
      </c>
      <c r="J143">
        <v>2</v>
      </c>
      <c r="K143" t="s">
        <v>40</v>
      </c>
      <c r="L143" t="s">
        <v>41</v>
      </c>
      <c r="M143" t="s">
        <v>42</v>
      </c>
      <c r="N143" s="7">
        <v>1</v>
      </c>
      <c r="O143" s="8">
        <v>45129.641041666669</v>
      </c>
      <c r="P143" s="9">
        <v>45131</v>
      </c>
      <c r="Q143" t="s">
        <v>36</v>
      </c>
      <c r="R143" t="s">
        <v>43</v>
      </c>
      <c r="S143" t="s">
        <v>44</v>
      </c>
      <c r="T143" t="s">
        <v>57</v>
      </c>
      <c r="U143" t="s">
        <v>527</v>
      </c>
      <c r="V143">
        <v>42700</v>
      </c>
      <c r="W143" t="s">
        <v>43</v>
      </c>
      <c r="X143" t="s">
        <v>528</v>
      </c>
      <c r="Y143" t="s">
        <v>48</v>
      </c>
      <c r="Z143" s="10">
        <f>IF(N143&lt;=1,7,7+0.8*ROUNDUP(N143-1,0))</f>
        <v>7</v>
      </c>
      <c r="AA143" s="11">
        <v>0</v>
      </c>
      <c r="AB143" s="11">
        <v>0</v>
      </c>
      <c r="AC143" s="11">
        <v>0</v>
      </c>
      <c r="AD143" s="11">
        <v>0</v>
      </c>
      <c r="AE143" s="11">
        <f>(Z143+AB143+AD143)*6%</f>
        <v>0.42</v>
      </c>
      <c r="AF143" s="11">
        <f>Z143+AB143+AD143+AE143</f>
        <v>7.42</v>
      </c>
      <c r="AG143" t="s">
        <v>43</v>
      </c>
    </row>
    <row r="144" spans="1:33" ht="15" customHeight="1" x14ac:dyDescent="0.35">
      <c r="A144">
        <v>690929</v>
      </c>
      <c r="B144" t="s">
        <v>33</v>
      </c>
      <c r="C144" t="s">
        <v>34</v>
      </c>
      <c r="D144" s="6" t="s">
        <v>33</v>
      </c>
      <c r="E144" t="s">
        <v>529</v>
      </c>
      <c r="F144" t="s">
        <v>36</v>
      </c>
      <c r="G144" t="s">
        <v>37</v>
      </c>
      <c r="H144" t="s">
        <v>530</v>
      </c>
      <c r="I144" t="s">
        <v>39</v>
      </c>
      <c r="J144">
        <v>2</v>
      </c>
      <c r="K144" t="s">
        <v>40</v>
      </c>
      <c r="L144" t="s">
        <v>41</v>
      </c>
      <c r="M144" t="s">
        <v>42</v>
      </c>
      <c r="N144" s="7">
        <v>1</v>
      </c>
      <c r="O144" s="8">
        <v>45129.641041666669</v>
      </c>
      <c r="P144" s="9">
        <v>45131</v>
      </c>
      <c r="Q144" t="s">
        <v>36</v>
      </c>
      <c r="R144" t="s">
        <v>43</v>
      </c>
      <c r="S144" t="s">
        <v>44</v>
      </c>
      <c r="T144" t="s">
        <v>57</v>
      </c>
      <c r="U144" t="s">
        <v>531</v>
      </c>
      <c r="V144">
        <v>43650</v>
      </c>
      <c r="W144" t="s">
        <v>43</v>
      </c>
      <c r="X144" t="s">
        <v>47</v>
      </c>
      <c r="Y144" t="s">
        <v>48</v>
      </c>
      <c r="Z144" s="10">
        <f>IF(N144&lt;=1,7,7+0.8*ROUNDUP(N144-1,0))</f>
        <v>7</v>
      </c>
      <c r="AA144" s="11">
        <v>0</v>
      </c>
      <c r="AB144" s="11">
        <v>0</v>
      </c>
      <c r="AC144" s="11">
        <v>0</v>
      </c>
      <c r="AD144" s="11">
        <v>0</v>
      </c>
      <c r="AE144" s="11">
        <f>(Z144+AB144+AD144)*6%</f>
        <v>0.42</v>
      </c>
      <c r="AF144" s="11">
        <f>Z144+AB144+AD144+AE144</f>
        <v>7.42</v>
      </c>
      <c r="AG144" t="s">
        <v>43</v>
      </c>
    </row>
    <row r="145" spans="1:33" ht="15" customHeight="1" x14ac:dyDescent="0.35">
      <c r="A145">
        <v>690929</v>
      </c>
      <c r="B145" t="s">
        <v>33</v>
      </c>
      <c r="C145" t="s">
        <v>34</v>
      </c>
      <c r="D145" s="6" t="s">
        <v>33</v>
      </c>
      <c r="E145" t="s">
        <v>532</v>
      </c>
      <c r="F145" t="s">
        <v>36</v>
      </c>
      <c r="G145" t="s">
        <v>37</v>
      </c>
      <c r="H145" t="s">
        <v>533</v>
      </c>
      <c r="I145" t="s">
        <v>39</v>
      </c>
      <c r="J145">
        <v>2</v>
      </c>
      <c r="K145" t="s">
        <v>40</v>
      </c>
      <c r="L145" t="s">
        <v>41</v>
      </c>
      <c r="M145" t="s">
        <v>42</v>
      </c>
      <c r="N145" s="7">
        <v>1</v>
      </c>
      <c r="O145" s="8">
        <v>45129.742488425924</v>
      </c>
      <c r="P145" s="9">
        <v>45131</v>
      </c>
      <c r="Q145" t="s">
        <v>36</v>
      </c>
      <c r="R145" t="s">
        <v>43</v>
      </c>
      <c r="S145" t="s">
        <v>44</v>
      </c>
      <c r="T145" t="s">
        <v>57</v>
      </c>
      <c r="U145" t="s">
        <v>534</v>
      </c>
      <c r="V145">
        <v>47130</v>
      </c>
      <c r="W145" t="s">
        <v>43</v>
      </c>
      <c r="X145" t="s">
        <v>390</v>
      </c>
      <c r="Y145" t="s">
        <v>48</v>
      </c>
      <c r="Z145" s="10">
        <f>IF(N145&lt;=1,7,7+0.8*ROUNDUP(N145-1,0))</f>
        <v>7</v>
      </c>
      <c r="AA145" s="11">
        <v>0</v>
      </c>
      <c r="AB145" s="11">
        <v>0</v>
      </c>
      <c r="AC145" s="11">
        <v>0</v>
      </c>
      <c r="AD145" s="11">
        <v>0</v>
      </c>
      <c r="AE145" s="11">
        <f>(Z145+AB145+AD145)*6%</f>
        <v>0.42</v>
      </c>
      <c r="AF145" s="11">
        <f>Z145+AB145+AD145+AE145</f>
        <v>7.42</v>
      </c>
      <c r="AG145" t="s">
        <v>43</v>
      </c>
    </row>
    <row r="146" spans="1:33" ht="15" customHeight="1" x14ac:dyDescent="0.35">
      <c r="A146">
        <v>690929</v>
      </c>
      <c r="B146" t="s">
        <v>33</v>
      </c>
      <c r="C146" t="s">
        <v>34</v>
      </c>
      <c r="D146" s="6" t="s">
        <v>33</v>
      </c>
      <c r="E146" t="s">
        <v>535</v>
      </c>
      <c r="F146" t="s">
        <v>36</v>
      </c>
      <c r="G146" t="s">
        <v>37</v>
      </c>
      <c r="H146" t="s">
        <v>530</v>
      </c>
      <c r="I146" t="s">
        <v>39</v>
      </c>
      <c r="J146">
        <v>2</v>
      </c>
      <c r="K146" t="s">
        <v>40</v>
      </c>
      <c r="L146" t="s">
        <v>41</v>
      </c>
      <c r="M146" t="s">
        <v>42</v>
      </c>
      <c r="N146" s="7">
        <v>1</v>
      </c>
      <c r="O146" s="8">
        <v>45130.672824074078</v>
      </c>
      <c r="P146" s="9">
        <v>45131</v>
      </c>
      <c r="Q146" t="s">
        <v>36</v>
      </c>
      <c r="R146" t="s">
        <v>43</v>
      </c>
      <c r="S146" t="s">
        <v>44</v>
      </c>
      <c r="T146" t="s">
        <v>57</v>
      </c>
      <c r="U146" t="s">
        <v>531</v>
      </c>
      <c r="V146">
        <v>43650</v>
      </c>
      <c r="W146" t="s">
        <v>43</v>
      </c>
      <c r="X146" t="s">
        <v>180</v>
      </c>
      <c r="Y146" t="s">
        <v>48</v>
      </c>
      <c r="Z146" s="10">
        <f>IF(N146&lt;=1,7,7+0.8*ROUNDUP(N146-1,0))</f>
        <v>7</v>
      </c>
      <c r="AA146" s="11">
        <v>0</v>
      </c>
      <c r="AB146" s="11">
        <v>0</v>
      </c>
      <c r="AC146" s="11">
        <v>0</v>
      </c>
      <c r="AD146" s="11">
        <v>0</v>
      </c>
      <c r="AE146" s="11">
        <f>(Z146+AB146+AD146)*6%</f>
        <v>0.42</v>
      </c>
      <c r="AF146" s="11">
        <f>Z146+AB146+AD146+AE146</f>
        <v>7.42</v>
      </c>
      <c r="AG146" t="s">
        <v>43</v>
      </c>
    </row>
    <row r="147" spans="1:33" ht="15" customHeight="1" x14ac:dyDescent="0.35">
      <c r="A147">
        <v>690929</v>
      </c>
      <c r="B147" t="s">
        <v>33</v>
      </c>
      <c r="C147" t="s">
        <v>34</v>
      </c>
      <c r="D147" s="6" t="s">
        <v>33</v>
      </c>
      <c r="E147" t="s">
        <v>536</v>
      </c>
      <c r="F147" t="s">
        <v>36</v>
      </c>
      <c r="G147" t="s">
        <v>37</v>
      </c>
      <c r="H147" t="s">
        <v>537</v>
      </c>
      <c r="I147" t="s">
        <v>39</v>
      </c>
      <c r="J147">
        <v>2</v>
      </c>
      <c r="K147" t="s">
        <v>40</v>
      </c>
      <c r="L147" t="s">
        <v>41</v>
      </c>
      <c r="M147" t="s">
        <v>42</v>
      </c>
      <c r="N147" s="7">
        <v>1</v>
      </c>
      <c r="O147" s="8">
        <v>45130.573159722226</v>
      </c>
      <c r="P147" s="9">
        <v>45131</v>
      </c>
      <c r="Q147" t="s">
        <v>36</v>
      </c>
      <c r="R147" t="s">
        <v>43</v>
      </c>
      <c r="S147" t="s">
        <v>44</v>
      </c>
      <c r="T147" t="s">
        <v>66</v>
      </c>
      <c r="U147" t="s">
        <v>538</v>
      </c>
      <c r="V147">
        <v>24200</v>
      </c>
      <c r="W147" t="s">
        <v>43</v>
      </c>
      <c r="X147" t="s">
        <v>44</v>
      </c>
      <c r="Y147" t="s">
        <v>48</v>
      </c>
      <c r="Z147" s="10">
        <f>IF(N147&lt;=1,7,7+0.8*ROUNDUP(N147-1,0))</f>
        <v>7</v>
      </c>
      <c r="AA147" s="11">
        <v>0</v>
      </c>
      <c r="AB147" s="11">
        <v>0</v>
      </c>
      <c r="AC147" s="11">
        <v>0</v>
      </c>
      <c r="AD147" s="11">
        <v>0</v>
      </c>
      <c r="AE147" s="11">
        <f>(Z147+AB147+AD147)*6%</f>
        <v>0.42</v>
      </c>
      <c r="AF147" s="11">
        <f>Z147+AB147+AD147+AE147</f>
        <v>7.42</v>
      </c>
      <c r="AG147" t="s">
        <v>43</v>
      </c>
    </row>
    <row r="148" spans="1:33" ht="15" customHeight="1" x14ac:dyDescent="0.35">
      <c r="A148">
        <v>690929</v>
      </c>
      <c r="B148" t="s">
        <v>33</v>
      </c>
      <c r="C148" t="s">
        <v>34</v>
      </c>
      <c r="D148" s="6" t="s">
        <v>33</v>
      </c>
      <c r="E148" t="s">
        <v>539</v>
      </c>
      <c r="F148" t="s">
        <v>36</v>
      </c>
      <c r="G148" t="s">
        <v>37</v>
      </c>
      <c r="H148" t="s">
        <v>540</v>
      </c>
      <c r="I148" t="s">
        <v>39</v>
      </c>
      <c r="J148">
        <v>2</v>
      </c>
      <c r="K148" t="s">
        <v>40</v>
      </c>
      <c r="L148" t="s">
        <v>41</v>
      </c>
      <c r="M148" t="s">
        <v>42</v>
      </c>
      <c r="N148" s="7">
        <v>2</v>
      </c>
      <c r="O148" s="8">
        <v>45129.588240740741</v>
      </c>
      <c r="P148" s="9">
        <v>45131</v>
      </c>
      <c r="Q148" t="s">
        <v>36</v>
      </c>
      <c r="R148" t="s">
        <v>43</v>
      </c>
      <c r="S148" t="s">
        <v>44</v>
      </c>
      <c r="T148" t="s">
        <v>57</v>
      </c>
      <c r="U148" t="s">
        <v>541</v>
      </c>
      <c r="V148">
        <v>47000</v>
      </c>
      <c r="W148" t="s">
        <v>43</v>
      </c>
      <c r="X148" t="s">
        <v>542</v>
      </c>
      <c r="Y148" t="s">
        <v>48</v>
      </c>
      <c r="Z148" s="10">
        <f>IF(N148&lt;=1,7,7+0.8*ROUNDUP(N148-1,0))</f>
        <v>7.8</v>
      </c>
      <c r="AA148" s="11">
        <v>0</v>
      </c>
      <c r="AB148" s="11">
        <v>0</v>
      </c>
      <c r="AC148" s="11">
        <v>0</v>
      </c>
      <c r="AD148" s="11">
        <v>0</v>
      </c>
      <c r="AE148" s="11">
        <f>(Z148+AB148+AD148)*6%</f>
        <v>0.46799999999999997</v>
      </c>
      <c r="AF148" s="11">
        <f>Z148+AB148+AD148+AE148</f>
        <v>8.2680000000000007</v>
      </c>
      <c r="AG148" t="s">
        <v>43</v>
      </c>
    </row>
    <row r="149" spans="1:33" ht="15" customHeight="1" x14ac:dyDescent="0.35">
      <c r="A149">
        <v>690929</v>
      </c>
      <c r="B149" t="s">
        <v>33</v>
      </c>
      <c r="C149" t="s">
        <v>34</v>
      </c>
      <c r="D149" s="6" t="s">
        <v>33</v>
      </c>
      <c r="E149" t="s">
        <v>543</v>
      </c>
      <c r="F149" t="s">
        <v>36</v>
      </c>
      <c r="G149" t="s">
        <v>37</v>
      </c>
      <c r="H149" t="s">
        <v>145</v>
      </c>
      <c r="I149" t="s">
        <v>39</v>
      </c>
      <c r="J149">
        <v>2</v>
      </c>
      <c r="K149" t="s">
        <v>40</v>
      </c>
      <c r="L149" t="s">
        <v>41</v>
      </c>
      <c r="M149" t="s">
        <v>42</v>
      </c>
      <c r="N149" s="7">
        <v>1</v>
      </c>
      <c r="O149" s="8">
        <v>45130.590092592596</v>
      </c>
      <c r="P149" s="9">
        <v>45131</v>
      </c>
      <c r="Q149" t="s">
        <v>36</v>
      </c>
      <c r="R149" t="s">
        <v>43</v>
      </c>
      <c r="S149" t="s">
        <v>44</v>
      </c>
      <c r="T149" t="s">
        <v>57</v>
      </c>
      <c r="U149" t="s">
        <v>146</v>
      </c>
      <c r="V149">
        <v>47100</v>
      </c>
      <c r="W149" t="s">
        <v>43</v>
      </c>
      <c r="X149" t="s">
        <v>147</v>
      </c>
      <c r="Y149" t="s">
        <v>48</v>
      </c>
      <c r="Z149" s="10">
        <f>IF(N149&lt;=1,7,7+0.8*ROUNDUP(N149-1,0))</f>
        <v>7</v>
      </c>
      <c r="AA149" s="11">
        <v>0</v>
      </c>
      <c r="AB149" s="11">
        <v>0</v>
      </c>
      <c r="AC149" s="11">
        <v>0</v>
      </c>
      <c r="AD149" s="11">
        <v>0</v>
      </c>
      <c r="AE149" s="11">
        <f>(Z149+AB149+AD149)*6%</f>
        <v>0.42</v>
      </c>
      <c r="AF149" s="11">
        <f>Z149+AB149+AD149+AE149</f>
        <v>7.42</v>
      </c>
      <c r="AG149" t="s">
        <v>43</v>
      </c>
    </row>
    <row r="150" spans="1:33" ht="15" customHeight="1" x14ac:dyDescent="0.35">
      <c r="A150">
        <v>690929</v>
      </c>
      <c r="B150" t="s">
        <v>33</v>
      </c>
      <c r="C150" t="s">
        <v>34</v>
      </c>
      <c r="D150" s="6" t="s">
        <v>33</v>
      </c>
      <c r="E150" t="s">
        <v>544</v>
      </c>
      <c r="F150" t="s">
        <v>36</v>
      </c>
      <c r="G150" t="s">
        <v>37</v>
      </c>
      <c r="H150" t="s">
        <v>545</v>
      </c>
      <c r="I150" t="s">
        <v>39</v>
      </c>
      <c r="J150">
        <v>2</v>
      </c>
      <c r="K150" t="s">
        <v>40</v>
      </c>
      <c r="L150" t="s">
        <v>41</v>
      </c>
      <c r="M150" t="s">
        <v>42</v>
      </c>
      <c r="N150" s="7">
        <v>1</v>
      </c>
      <c r="O150" s="8">
        <v>45129.709756944445</v>
      </c>
      <c r="P150" s="9">
        <v>45131</v>
      </c>
      <c r="Q150" t="s">
        <v>36</v>
      </c>
      <c r="R150" t="s">
        <v>43</v>
      </c>
      <c r="S150" t="s">
        <v>44</v>
      </c>
      <c r="T150" t="s">
        <v>194</v>
      </c>
      <c r="U150" t="s">
        <v>546</v>
      </c>
      <c r="V150">
        <v>71800</v>
      </c>
      <c r="W150" t="s">
        <v>43</v>
      </c>
      <c r="X150" t="s">
        <v>206</v>
      </c>
      <c r="Y150" t="s">
        <v>48</v>
      </c>
      <c r="Z150" s="10">
        <f>IF(N150&lt;=1,7,7+0.8*ROUNDUP(N150-1,0))</f>
        <v>7</v>
      </c>
      <c r="AA150" s="11">
        <v>0</v>
      </c>
      <c r="AB150" s="11">
        <v>0</v>
      </c>
      <c r="AC150" s="11">
        <v>0</v>
      </c>
      <c r="AD150" s="11">
        <v>0</v>
      </c>
      <c r="AE150" s="11">
        <f>(Z150+AB150+AD150)*6%</f>
        <v>0.42</v>
      </c>
      <c r="AF150" s="11">
        <f>Z150+AB150+AD150+AE150</f>
        <v>7.42</v>
      </c>
      <c r="AG150" t="s">
        <v>43</v>
      </c>
    </row>
    <row r="151" spans="1:33" ht="15" customHeight="1" x14ac:dyDescent="0.35">
      <c r="A151">
        <v>690929</v>
      </c>
      <c r="B151" t="s">
        <v>33</v>
      </c>
      <c r="C151" t="s">
        <v>34</v>
      </c>
      <c r="D151" s="6" t="s">
        <v>33</v>
      </c>
      <c r="E151" t="s">
        <v>547</v>
      </c>
      <c r="F151" t="s">
        <v>36</v>
      </c>
      <c r="G151" t="s">
        <v>37</v>
      </c>
      <c r="H151" t="s">
        <v>548</v>
      </c>
      <c r="I151" t="s">
        <v>39</v>
      </c>
      <c r="J151">
        <v>2</v>
      </c>
      <c r="K151" t="s">
        <v>40</v>
      </c>
      <c r="L151" t="s">
        <v>41</v>
      </c>
      <c r="M151" t="s">
        <v>42</v>
      </c>
      <c r="N151" s="7">
        <v>1</v>
      </c>
      <c r="O151" s="8">
        <v>45130.71365740741</v>
      </c>
      <c r="P151" s="9">
        <v>45131</v>
      </c>
      <c r="Q151" t="s">
        <v>36</v>
      </c>
      <c r="R151" t="s">
        <v>43</v>
      </c>
      <c r="S151" t="s">
        <v>44</v>
      </c>
      <c r="T151" t="s">
        <v>89</v>
      </c>
      <c r="U151" t="s">
        <v>549</v>
      </c>
      <c r="V151">
        <v>26500</v>
      </c>
      <c r="W151" t="s">
        <v>43</v>
      </c>
      <c r="X151" t="s">
        <v>550</v>
      </c>
      <c r="Y151" t="s">
        <v>48</v>
      </c>
      <c r="Z151" s="10">
        <f>IF(N151&lt;=1,7,7+0.8*ROUNDUP(N151-1,0))</f>
        <v>7</v>
      </c>
      <c r="AA151" s="11">
        <v>0</v>
      </c>
      <c r="AB151" s="11">
        <v>0</v>
      </c>
      <c r="AC151" s="11">
        <v>0</v>
      </c>
      <c r="AD151" s="11">
        <v>0</v>
      </c>
      <c r="AE151" s="11">
        <f>(Z151+AB151+AD151)*6%</f>
        <v>0.42</v>
      </c>
      <c r="AF151" s="11">
        <f>Z151+AB151+AD151+AE151</f>
        <v>7.42</v>
      </c>
      <c r="AG151" t="s">
        <v>43</v>
      </c>
    </row>
    <row r="152" spans="1:33" ht="15" customHeight="1" x14ac:dyDescent="0.35">
      <c r="A152">
        <v>690929</v>
      </c>
      <c r="B152" t="s">
        <v>33</v>
      </c>
      <c r="C152" t="s">
        <v>34</v>
      </c>
      <c r="D152" s="6" t="s">
        <v>33</v>
      </c>
      <c r="E152" t="s">
        <v>551</v>
      </c>
      <c r="F152" t="s">
        <v>36</v>
      </c>
      <c r="G152" t="s">
        <v>37</v>
      </c>
      <c r="H152" t="s">
        <v>552</v>
      </c>
      <c r="I152" t="s">
        <v>39</v>
      </c>
      <c r="J152">
        <v>2</v>
      </c>
      <c r="K152" t="s">
        <v>40</v>
      </c>
      <c r="L152" t="s">
        <v>41</v>
      </c>
      <c r="M152" t="s">
        <v>42</v>
      </c>
      <c r="N152" s="7">
        <v>3</v>
      </c>
      <c r="O152" s="8">
        <v>45130.479328703703</v>
      </c>
      <c r="P152" s="9">
        <v>45131</v>
      </c>
      <c r="Q152" t="s">
        <v>36</v>
      </c>
      <c r="R152" t="s">
        <v>43</v>
      </c>
      <c r="S152" t="s">
        <v>44</v>
      </c>
      <c r="T152" t="s">
        <v>89</v>
      </c>
      <c r="U152" t="s">
        <v>553</v>
      </c>
      <c r="V152">
        <v>26660</v>
      </c>
      <c r="W152" t="s">
        <v>43</v>
      </c>
      <c r="X152" t="s">
        <v>554</v>
      </c>
      <c r="Y152" t="s">
        <v>48</v>
      </c>
      <c r="Z152" s="10">
        <f>IF(N152&lt;=1,7,7+0.8*ROUNDUP(N152-1,0))</f>
        <v>8.6</v>
      </c>
      <c r="AA152" s="11">
        <v>0</v>
      </c>
      <c r="AB152" s="11">
        <v>0</v>
      </c>
      <c r="AC152" s="11">
        <v>0</v>
      </c>
      <c r="AD152" s="11">
        <v>0</v>
      </c>
      <c r="AE152" s="11">
        <f>(Z152+AB152+AD152)*6%</f>
        <v>0.51600000000000001</v>
      </c>
      <c r="AF152" s="11">
        <f>Z152+AB152+AD152+AE152</f>
        <v>9.1159999999999997</v>
      </c>
      <c r="AG152" t="s">
        <v>43</v>
      </c>
    </row>
    <row r="153" spans="1:33" ht="15" customHeight="1" x14ac:dyDescent="0.35">
      <c r="A153">
        <v>690929</v>
      </c>
      <c r="B153" t="s">
        <v>33</v>
      </c>
      <c r="C153" t="s">
        <v>34</v>
      </c>
      <c r="D153" s="6" t="s">
        <v>33</v>
      </c>
      <c r="E153" t="s">
        <v>555</v>
      </c>
      <c r="F153" t="s">
        <v>36</v>
      </c>
      <c r="G153" t="s">
        <v>37</v>
      </c>
      <c r="H153" t="s">
        <v>556</v>
      </c>
      <c r="I153" t="s">
        <v>39</v>
      </c>
      <c r="J153">
        <v>2</v>
      </c>
      <c r="K153" t="s">
        <v>40</v>
      </c>
      <c r="L153" t="s">
        <v>41</v>
      </c>
      <c r="M153" t="s">
        <v>42</v>
      </c>
      <c r="N153" s="7">
        <v>1</v>
      </c>
      <c r="O153" s="8">
        <v>45129.543113425927</v>
      </c>
      <c r="P153" s="9">
        <v>45131</v>
      </c>
      <c r="Q153" t="s">
        <v>36</v>
      </c>
      <c r="R153" t="s">
        <v>43</v>
      </c>
      <c r="S153" t="s">
        <v>44</v>
      </c>
      <c r="T153" t="s">
        <v>75</v>
      </c>
      <c r="U153" t="s">
        <v>557</v>
      </c>
      <c r="V153">
        <v>50586</v>
      </c>
      <c r="W153" t="s">
        <v>43</v>
      </c>
      <c r="X153" t="s">
        <v>558</v>
      </c>
      <c r="Y153" t="s">
        <v>48</v>
      </c>
      <c r="Z153" s="10">
        <f>IF(N153&lt;=1,7,7+0.8*ROUNDUP(N153-1,0))</f>
        <v>7</v>
      </c>
      <c r="AA153" s="11">
        <v>0</v>
      </c>
      <c r="AB153" s="11">
        <v>0</v>
      </c>
      <c r="AC153" s="11">
        <v>0</v>
      </c>
      <c r="AD153" s="11">
        <v>0</v>
      </c>
      <c r="AE153" s="11">
        <f>(Z153+AB153+AD153)*6%</f>
        <v>0.42</v>
      </c>
      <c r="AF153" s="11">
        <f>Z153+AB153+AD153+AE153</f>
        <v>7.42</v>
      </c>
      <c r="AG153" t="s">
        <v>43</v>
      </c>
    </row>
    <row r="154" spans="1:33" ht="15" customHeight="1" x14ac:dyDescent="0.35">
      <c r="A154">
        <v>690929</v>
      </c>
      <c r="B154" t="s">
        <v>33</v>
      </c>
      <c r="C154" t="s">
        <v>34</v>
      </c>
      <c r="D154" s="6" t="s">
        <v>33</v>
      </c>
      <c r="E154" t="s">
        <v>559</v>
      </c>
      <c r="F154" t="s">
        <v>36</v>
      </c>
      <c r="G154" t="s">
        <v>37</v>
      </c>
      <c r="H154" t="s">
        <v>560</v>
      </c>
      <c r="I154" t="s">
        <v>39</v>
      </c>
      <c r="J154">
        <v>2</v>
      </c>
      <c r="K154" t="s">
        <v>40</v>
      </c>
      <c r="L154" t="s">
        <v>41</v>
      </c>
      <c r="M154" t="s">
        <v>42</v>
      </c>
      <c r="N154" s="7">
        <v>5</v>
      </c>
      <c r="O154" s="8">
        <v>45130.708043981482</v>
      </c>
      <c r="P154" s="9">
        <v>45131</v>
      </c>
      <c r="Q154" t="s">
        <v>36</v>
      </c>
      <c r="R154" t="s">
        <v>43</v>
      </c>
      <c r="S154" t="s">
        <v>44</v>
      </c>
      <c r="T154" t="s">
        <v>75</v>
      </c>
      <c r="U154" t="s">
        <v>561</v>
      </c>
      <c r="V154">
        <v>53300</v>
      </c>
      <c r="W154" t="s">
        <v>43</v>
      </c>
      <c r="X154" t="s">
        <v>562</v>
      </c>
      <c r="Y154" t="s">
        <v>48</v>
      </c>
      <c r="Z154" s="10">
        <f>IF(N154&lt;=1,7,7+0.8*ROUNDUP(N154-1,0))</f>
        <v>10.199999999999999</v>
      </c>
      <c r="AA154" s="11">
        <v>0</v>
      </c>
      <c r="AB154" s="11">
        <v>0</v>
      </c>
      <c r="AC154" s="11">
        <v>0</v>
      </c>
      <c r="AD154" s="11">
        <v>0</v>
      </c>
      <c r="AE154" s="11">
        <f>(Z154+AB154+AD154)*6%</f>
        <v>0.61199999999999999</v>
      </c>
      <c r="AF154" s="11">
        <f>Z154+AB154+AD154+AE154</f>
        <v>10.811999999999999</v>
      </c>
      <c r="AG154" t="s">
        <v>43</v>
      </c>
    </row>
    <row r="155" spans="1:33" ht="15" customHeight="1" x14ac:dyDescent="0.35">
      <c r="A155">
        <v>690929</v>
      </c>
      <c r="B155" t="s">
        <v>33</v>
      </c>
      <c r="C155" t="s">
        <v>34</v>
      </c>
      <c r="D155" s="6" t="s">
        <v>33</v>
      </c>
      <c r="E155" t="s">
        <v>563</v>
      </c>
      <c r="F155" t="s">
        <v>36</v>
      </c>
      <c r="G155" t="s">
        <v>37</v>
      </c>
      <c r="H155" t="s">
        <v>564</v>
      </c>
      <c r="I155" t="s">
        <v>39</v>
      </c>
      <c r="J155">
        <v>2</v>
      </c>
      <c r="K155" t="s">
        <v>40</v>
      </c>
      <c r="L155" t="s">
        <v>41</v>
      </c>
      <c r="M155" t="s">
        <v>42</v>
      </c>
      <c r="N155" s="7">
        <v>5</v>
      </c>
      <c r="O155" s="8">
        <v>45129.689930555556</v>
      </c>
      <c r="P155" s="9">
        <v>45131</v>
      </c>
      <c r="Q155" t="s">
        <v>36</v>
      </c>
      <c r="R155" t="s">
        <v>43</v>
      </c>
      <c r="S155" t="s">
        <v>44</v>
      </c>
      <c r="T155" t="s">
        <v>51</v>
      </c>
      <c r="U155" t="s">
        <v>565</v>
      </c>
      <c r="V155">
        <v>36100</v>
      </c>
      <c r="W155" t="s">
        <v>43</v>
      </c>
      <c r="X155" t="s">
        <v>566</v>
      </c>
      <c r="Y155" t="s">
        <v>48</v>
      </c>
      <c r="Z155" s="10">
        <f>IF(N155&lt;=1,7,7+0.8*ROUNDUP(N155-1,0))</f>
        <v>10.199999999999999</v>
      </c>
      <c r="AA155" s="11">
        <v>0</v>
      </c>
      <c r="AB155" s="11">
        <v>0</v>
      </c>
      <c r="AC155" s="11">
        <v>0</v>
      </c>
      <c r="AD155" s="11">
        <v>0</v>
      </c>
      <c r="AE155" s="11">
        <f>(Z155+AB155+AD155)*6%</f>
        <v>0.61199999999999999</v>
      </c>
      <c r="AF155" s="11">
        <f>Z155+AB155+AD155+AE155</f>
        <v>10.811999999999999</v>
      </c>
      <c r="AG155" t="s">
        <v>43</v>
      </c>
    </row>
    <row r="156" spans="1:33" ht="15" customHeight="1" x14ac:dyDescent="0.35">
      <c r="A156">
        <v>690929</v>
      </c>
      <c r="B156" t="s">
        <v>33</v>
      </c>
      <c r="C156" t="s">
        <v>34</v>
      </c>
      <c r="D156" s="6" t="s">
        <v>33</v>
      </c>
      <c r="E156" t="s">
        <v>567</v>
      </c>
      <c r="F156" t="s">
        <v>36</v>
      </c>
      <c r="G156" t="s">
        <v>37</v>
      </c>
      <c r="H156" t="s">
        <v>568</v>
      </c>
      <c r="I156" t="s">
        <v>39</v>
      </c>
      <c r="J156">
        <v>2</v>
      </c>
      <c r="K156" t="s">
        <v>40</v>
      </c>
      <c r="L156" t="s">
        <v>41</v>
      </c>
      <c r="M156" t="s">
        <v>42</v>
      </c>
      <c r="N156" s="7">
        <v>4</v>
      </c>
      <c r="O156" s="8">
        <v>45130.560567129629</v>
      </c>
      <c r="P156" s="9">
        <v>45132</v>
      </c>
      <c r="Q156" t="s">
        <v>36</v>
      </c>
      <c r="R156" t="s">
        <v>43</v>
      </c>
      <c r="S156" t="s">
        <v>44</v>
      </c>
      <c r="T156" t="s">
        <v>403</v>
      </c>
      <c r="U156" t="s">
        <v>569</v>
      </c>
      <c r="V156">
        <v>93050</v>
      </c>
      <c r="W156" t="s">
        <v>172</v>
      </c>
      <c r="X156" t="s">
        <v>570</v>
      </c>
      <c r="Y156" t="s">
        <v>48</v>
      </c>
      <c r="Z156" s="12">
        <f>IF(N156&lt;=1,13,IF(N156&lt;=2,23,IF(N156&lt;=3,35,IF(N156&lt;=4,43,IF(N156&lt;=5,53,IF(N156&lt;=6,63,IF(N156&lt;=7,71,IF(N156&lt;=8,79,IF(N156&lt;=9,87,IF(N156&lt;=10,95,IF(N156&lt;=11,105,IF(N156&lt;=12,114,IF(N156&lt;=13,119,IF(N156&lt;=14,127,IF(N156&lt;=15,135,IF(N156&lt;=16,143,IF(N156&lt;=17,153,IF(N156&lt;=18,163,IF(N156&lt;=19,171,IF(N156&lt;=20,185,IF(N156&lt;=21,193,IF(N156&lt;=22,201,IF(N156&lt;=23,210,IF(N156&lt;=24,220,IF(N156&lt;=25,230,IF(N156&lt;=26,240,IF(N156&lt;=27,250,IF(N156&lt;=28,260,IF(N156&lt;=29,270,IF(N156&lt;=30,280,280+10*ROUNDUP(N156-30,0)))))))))))))))))))))))))))))))</f>
        <v>43</v>
      </c>
      <c r="AA156" s="11">
        <v>0</v>
      </c>
      <c r="AB156" s="11">
        <v>0</v>
      </c>
      <c r="AC156" s="11">
        <v>0</v>
      </c>
      <c r="AD156" s="11">
        <v>0</v>
      </c>
      <c r="AE156" s="11">
        <f>(Z156+AB156+AD156)*6%</f>
        <v>2.58</v>
      </c>
      <c r="AF156" s="11">
        <f>Z156+AB156+AD156+AE156</f>
        <v>45.58</v>
      </c>
      <c r="AG156" t="s">
        <v>172</v>
      </c>
    </row>
    <row r="157" spans="1:33" ht="15" customHeight="1" x14ac:dyDescent="0.35">
      <c r="A157">
        <v>690929</v>
      </c>
      <c r="B157" t="s">
        <v>33</v>
      </c>
      <c r="C157" t="s">
        <v>34</v>
      </c>
      <c r="D157" s="6" t="s">
        <v>33</v>
      </c>
      <c r="E157" t="s">
        <v>571</v>
      </c>
      <c r="F157" t="s">
        <v>36</v>
      </c>
      <c r="G157" t="s">
        <v>37</v>
      </c>
      <c r="H157" t="s">
        <v>568</v>
      </c>
      <c r="I157" t="s">
        <v>39</v>
      </c>
      <c r="J157">
        <v>2</v>
      </c>
      <c r="K157" t="s">
        <v>40</v>
      </c>
      <c r="L157" t="s">
        <v>41</v>
      </c>
      <c r="M157" t="s">
        <v>42</v>
      </c>
      <c r="N157" s="7">
        <v>4</v>
      </c>
      <c r="O157" s="8">
        <v>45130.560567129629</v>
      </c>
      <c r="P157" s="9">
        <v>45132</v>
      </c>
      <c r="Q157" t="s">
        <v>36</v>
      </c>
      <c r="R157" t="s">
        <v>43</v>
      </c>
      <c r="S157" t="s">
        <v>44</v>
      </c>
      <c r="T157" t="s">
        <v>403</v>
      </c>
      <c r="U157" t="s">
        <v>569</v>
      </c>
      <c r="V157">
        <v>93050</v>
      </c>
      <c r="W157" t="s">
        <v>172</v>
      </c>
      <c r="X157" t="s">
        <v>570</v>
      </c>
      <c r="Y157" t="s">
        <v>48</v>
      </c>
      <c r="Z157" s="12">
        <f>IF(N157&lt;=1,13,IF(N157&lt;=2,23,IF(N157&lt;=3,35,IF(N157&lt;=4,43,IF(N157&lt;=5,53,IF(N157&lt;=6,63,IF(N157&lt;=7,71,IF(N157&lt;=8,79,IF(N157&lt;=9,87,IF(N157&lt;=10,95,IF(N157&lt;=11,105,IF(N157&lt;=12,114,IF(N157&lt;=13,119,IF(N157&lt;=14,127,IF(N157&lt;=15,135,IF(N157&lt;=16,143,IF(N157&lt;=17,153,IF(N157&lt;=18,163,IF(N157&lt;=19,171,IF(N157&lt;=20,185,IF(N157&lt;=21,193,IF(N157&lt;=22,201,IF(N157&lt;=23,210,IF(N157&lt;=24,220,IF(N157&lt;=25,230,IF(N157&lt;=26,240,IF(N157&lt;=27,250,IF(N157&lt;=28,260,IF(N157&lt;=29,270,IF(N157&lt;=30,280,280+10*ROUNDUP(N157-30,0)))))))))))))))))))))))))))))))</f>
        <v>43</v>
      </c>
      <c r="AA157" s="11">
        <v>0</v>
      </c>
      <c r="AB157" s="11">
        <v>0</v>
      </c>
      <c r="AC157" s="11">
        <v>0</v>
      </c>
      <c r="AD157" s="11">
        <v>0</v>
      </c>
      <c r="AE157" s="11">
        <f>(Z157+AB157+AD157)*6%</f>
        <v>2.58</v>
      </c>
      <c r="AF157" s="11">
        <f>Z157+AB157+AD157+AE157</f>
        <v>45.58</v>
      </c>
      <c r="AG157" t="s">
        <v>172</v>
      </c>
    </row>
    <row r="158" spans="1:33" ht="15" customHeight="1" x14ac:dyDescent="0.35">
      <c r="A158">
        <v>690929</v>
      </c>
      <c r="B158" t="s">
        <v>33</v>
      </c>
      <c r="C158" t="s">
        <v>34</v>
      </c>
      <c r="D158" s="6" t="s">
        <v>33</v>
      </c>
      <c r="E158" t="s">
        <v>572</v>
      </c>
      <c r="F158" t="s">
        <v>36</v>
      </c>
      <c r="G158" t="s">
        <v>37</v>
      </c>
      <c r="H158" t="s">
        <v>573</v>
      </c>
      <c r="I158" t="s">
        <v>39</v>
      </c>
      <c r="J158">
        <v>2</v>
      </c>
      <c r="K158" t="s">
        <v>40</v>
      </c>
      <c r="L158" t="s">
        <v>41</v>
      </c>
      <c r="M158" t="s">
        <v>42</v>
      </c>
      <c r="N158" s="7">
        <v>1</v>
      </c>
      <c r="O158" s="8">
        <v>45130.560567129629</v>
      </c>
      <c r="P158" s="9">
        <v>45132</v>
      </c>
      <c r="Q158" t="s">
        <v>36</v>
      </c>
      <c r="R158" t="s">
        <v>43</v>
      </c>
      <c r="S158" t="s">
        <v>44</v>
      </c>
      <c r="T158" t="s">
        <v>403</v>
      </c>
      <c r="U158" t="s">
        <v>574</v>
      </c>
      <c r="V158">
        <v>93050</v>
      </c>
      <c r="W158" t="s">
        <v>172</v>
      </c>
      <c r="X158" t="s">
        <v>570</v>
      </c>
      <c r="Y158" t="s">
        <v>48</v>
      </c>
      <c r="Z158" s="12">
        <f>IF(N158&lt;=1,13,IF(N158&lt;=2,23,IF(N158&lt;=3,35,IF(N158&lt;=4,43,IF(N158&lt;=5,53,IF(N158&lt;=6,63,IF(N158&lt;=7,71,IF(N158&lt;=8,79,IF(N158&lt;=9,87,IF(N158&lt;=10,95,IF(N158&lt;=11,105,IF(N158&lt;=12,114,IF(N158&lt;=13,119,IF(N158&lt;=14,127,IF(N158&lt;=15,135,IF(N158&lt;=16,143,IF(N158&lt;=17,153,IF(N158&lt;=18,163,IF(N158&lt;=19,171,IF(N158&lt;=20,185,IF(N158&lt;=21,193,IF(N158&lt;=22,201,IF(N158&lt;=23,210,IF(N158&lt;=24,220,IF(N158&lt;=25,230,IF(N158&lt;=26,240,IF(N158&lt;=27,250,IF(N158&lt;=28,260,IF(N158&lt;=29,270,IF(N158&lt;=30,280,280+10*ROUNDUP(N158-30,0)))))))))))))))))))))))))))))))</f>
        <v>13</v>
      </c>
      <c r="AA158" s="11">
        <v>0</v>
      </c>
      <c r="AB158" s="11">
        <v>0</v>
      </c>
      <c r="AC158" s="11">
        <v>0</v>
      </c>
      <c r="AD158" s="11">
        <v>0</v>
      </c>
      <c r="AE158" s="11">
        <f>(Z158+AB158+AD158)*6%</f>
        <v>0.78</v>
      </c>
      <c r="AF158" s="11">
        <f>Z158+AB158+AD158+AE158</f>
        <v>13.78</v>
      </c>
      <c r="AG158" t="s">
        <v>172</v>
      </c>
    </row>
    <row r="159" spans="1:33" ht="15" customHeight="1" x14ac:dyDescent="0.35">
      <c r="A159">
        <v>690929</v>
      </c>
      <c r="B159" t="s">
        <v>33</v>
      </c>
      <c r="C159" t="s">
        <v>34</v>
      </c>
      <c r="D159" s="6" t="s">
        <v>33</v>
      </c>
      <c r="E159" t="s">
        <v>575</v>
      </c>
      <c r="F159" t="s">
        <v>36</v>
      </c>
      <c r="G159" t="s">
        <v>37</v>
      </c>
      <c r="H159" t="s">
        <v>576</v>
      </c>
      <c r="I159" t="s">
        <v>39</v>
      </c>
      <c r="J159">
        <v>2</v>
      </c>
      <c r="K159" t="s">
        <v>40</v>
      </c>
      <c r="L159" t="s">
        <v>41</v>
      </c>
      <c r="M159" t="s">
        <v>42</v>
      </c>
      <c r="N159" s="7">
        <v>2</v>
      </c>
      <c r="O159" s="8">
        <v>45130.593622685185</v>
      </c>
      <c r="P159" s="9">
        <v>45132</v>
      </c>
      <c r="Q159" t="s">
        <v>36</v>
      </c>
      <c r="R159" t="s">
        <v>43</v>
      </c>
      <c r="S159" t="s">
        <v>44</v>
      </c>
      <c r="T159" t="s">
        <v>51</v>
      </c>
      <c r="U159" t="s">
        <v>577</v>
      </c>
      <c r="V159">
        <v>34000</v>
      </c>
      <c r="W159" t="s">
        <v>43</v>
      </c>
      <c r="X159" t="s">
        <v>277</v>
      </c>
      <c r="Y159" t="s">
        <v>48</v>
      </c>
      <c r="Z159" s="10">
        <f>IF(N159&lt;=1,7,7+0.8*ROUNDUP(N159-1,0))</f>
        <v>7.8</v>
      </c>
      <c r="AA159" s="11">
        <v>0</v>
      </c>
      <c r="AB159" s="11">
        <v>0</v>
      </c>
      <c r="AC159" s="11">
        <v>0</v>
      </c>
      <c r="AD159" s="11">
        <v>0</v>
      </c>
      <c r="AE159" s="11">
        <f>(Z159+AB159+AD159)*6%</f>
        <v>0.46799999999999997</v>
      </c>
      <c r="AF159" s="11">
        <f>Z159+AB159+AD159+AE159</f>
        <v>8.2680000000000007</v>
      </c>
      <c r="AG159" t="s">
        <v>43</v>
      </c>
    </row>
    <row r="160" spans="1:33" ht="15" customHeight="1" x14ac:dyDescent="0.35">
      <c r="A160">
        <v>690929</v>
      </c>
      <c r="B160" t="s">
        <v>33</v>
      </c>
      <c r="C160" t="s">
        <v>34</v>
      </c>
      <c r="D160" s="6" t="s">
        <v>33</v>
      </c>
      <c r="E160" t="s">
        <v>578</v>
      </c>
      <c r="F160" t="s">
        <v>36</v>
      </c>
      <c r="G160" t="s">
        <v>37</v>
      </c>
      <c r="H160" t="s">
        <v>579</v>
      </c>
      <c r="I160" t="s">
        <v>39</v>
      </c>
      <c r="J160">
        <v>2</v>
      </c>
      <c r="K160" t="s">
        <v>40</v>
      </c>
      <c r="L160" t="s">
        <v>41</v>
      </c>
      <c r="M160" t="s">
        <v>42</v>
      </c>
      <c r="N160" s="7">
        <v>1</v>
      </c>
      <c r="O160" s="8">
        <v>45130.672824074078</v>
      </c>
      <c r="P160" s="9">
        <v>45132</v>
      </c>
      <c r="Q160" t="s">
        <v>36</v>
      </c>
      <c r="R160" t="s">
        <v>43</v>
      </c>
      <c r="S160" t="s">
        <v>44</v>
      </c>
      <c r="T160" t="s">
        <v>61</v>
      </c>
      <c r="U160" t="s">
        <v>580</v>
      </c>
      <c r="V160">
        <v>81700</v>
      </c>
      <c r="W160" t="s">
        <v>43</v>
      </c>
      <c r="X160" t="s">
        <v>47</v>
      </c>
      <c r="Y160" t="s">
        <v>48</v>
      </c>
      <c r="Z160" s="10">
        <f>IF(N160&lt;=1,7,7+0.8*ROUNDUP(N160-1,0))</f>
        <v>7</v>
      </c>
      <c r="AA160" s="11">
        <v>0</v>
      </c>
      <c r="AB160" s="11">
        <v>0</v>
      </c>
      <c r="AC160" s="11">
        <v>0</v>
      </c>
      <c r="AD160" s="11">
        <v>0</v>
      </c>
      <c r="AE160" s="11">
        <f>(Z160+AB160+AD160)*6%</f>
        <v>0.42</v>
      </c>
      <c r="AF160" s="11">
        <f>Z160+AB160+AD160+AE160</f>
        <v>7.42</v>
      </c>
      <c r="AG160" t="s">
        <v>43</v>
      </c>
    </row>
    <row r="161" spans="1:33" ht="15" customHeight="1" x14ac:dyDescent="0.35">
      <c r="A161">
        <v>690929</v>
      </c>
      <c r="B161" t="s">
        <v>33</v>
      </c>
      <c r="C161" t="s">
        <v>34</v>
      </c>
      <c r="D161" s="6" t="s">
        <v>33</v>
      </c>
      <c r="E161" t="s">
        <v>581</v>
      </c>
      <c r="F161" t="s">
        <v>36</v>
      </c>
      <c r="G161" t="s">
        <v>37</v>
      </c>
      <c r="H161" t="s">
        <v>582</v>
      </c>
      <c r="I161" t="s">
        <v>39</v>
      </c>
      <c r="J161">
        <v>2</v>
      </c>
      <c r="K161" t="s">
        <v>40</v>
      </c>
      <c r="L161" t="s">
        <v>41</v>
      </c>
      <c r="M161" t="s">
        <v>42</v>
      </c>
      <c r="N161" s="7">
        <v>2</v>
      </c>
      <c r="O161" s="8">
        <v>45129.742488425924</v>
      </c>
      <c r="P161" s="9">
        <v>45132</v>
      </c>
      <c r="Q161" t="s">
        <v>36</v>
      </c>
      <c r="R161" t="s">
        <v>43</v>
      </c>
      <c r="S161" t="s">
        <v>44</v>
      </c>
      <c r="T161" t="s">
        <v>61</v>
      </c>
      <c r="U161" t="s">
        <v>583</v>
      </c>
      <c r="V161">
        <v>83400</v>
      </c>
      <c r="W161" t="s">
        <v>43</v>
      </c>
      <c r="X161" t="s">
        <v>102</v>
      </c>
      <c r="Y161" t="s">
        <v>48</v>
      </c>
      <c r="Z161" s="10">
        <f>IF(N161&lt;=1,7,7+0.8*ROUNDUP(N161-1,0))</f>
        <v>7.8</v>
      </c>
      <c r="AA161" s="11">
        <v>0</v>
      </c>
      <c r="AB161" s="11">
        <v>0</v>
      </c>
      <c r="AC161" s="11">
        <v>0</v>
      </c>
      <c r="AD161" s="11">
        <v>0</v>
      </c>
      <c r="AE161" s="11">
        <f>(Z161+AB161+AD161)*6%</f>
        <v>0.46799999999999997</v>
      </c>
      <c r="AF161" s="11">
        <f>Z161+AB161+AD161+AE161</f>
        <v>8.2680000000000007</v>
      </c>
      <c r="AG161" t="s">
        <v>43</v>
      </c>
    </row>
    <row r="162" spans="1:33" ht="15" customHeight="1" x14ac:dyDescent="0.35">
      <c r="A162">
        <v>690929</v>
      </c>
      <c r="B162" t="s">
        <v>33</v>
      </c>
      <c r="C162" t="s">
        <v>34</v>
      </c>
      <c r="D162" s="6" t="s">
        <v>33</v>
      </c>
      <c r="E162" t="s">
        <v>584</v>
      </c>
      <c r="F162" t="s">
        <v>36</v>
      </c>
      <c r="G162" t="s">
        <v>37</v>
      </c>
      <c r="H162" t="s">
        <v>585</v>
      </c>
      <c r="I162" t="s">
        <v>39</v>
      </c>
      <c r="J162">
        <v>2</v>
      </c>
      <c r="K162" t="s">
        <v>40</v>
      </c>
      <c r="L162" t="s">
        <v>41</v>
      </c>
      <c r="M162" t="s">
        <v>42</v>
      </c>
      <c r="N162" s="7">
        <v>6</v>
      </c>
      <c r="O162" s="8">
        <v>45131.565185185187</v>
      </c>
      <c r="P162" s="9">
        <v>45132</v>
      </c>
      <c r="Q162" t="s">
        <v>36</v>
      </c>
      <c r="R162" t="s">
        <v>43</v>
      </c>
      <c r="S162" t="s">
        <v>44</v>
      </c>
      <c r="T162" t="s">
        <v>66</v>
      </c>
      <c r="U162" t="s">
        <v>586</v>
      </c>
      <c r="V162">
        <v>21060</v>
      </c>
      <c r="W162" t="s">
        <v>43</v>
      </c>
      <c r="X162" t="s">
        <v>587</v>
      </c>
      <c r="Y162" t="s">
        <v>48</v>
      </c>
      <c r="Z162" s="10">
        <f>IF(N162&lt;=1,7,7+0.8*ROUNDUP(N162-1,0))</f>
        <v>11</v>
      </c>
      <c r="AA162" s="11">
        <v>0</v>
      </c>
      <c r="AB162" s="11">
        <v>0</v>
      </c>
      <c r="AC162" s="11">
        <v>0</v>
      </c>
      <c r="AD162" s="11">
        <v>0</v>
      </c>
      <c r="AE162" s="11">
        <f>(Z162+AB162+AD162)*6%</f>
        <v>0.65999999999999992</v>
      </c>
      <c r="AF162" s="11">
        <f>Z162+AB162+AD162+AE162</f>
        <v>11.66</v>
      </c>
      <c r="AG162" t="s">
        <v>43</v>
      </c>
    </row>
    <row r="163" spans="1:33" ht="15" customHeight="1" x14ac:dyDescent="0.35">
      <c r="A163">
        <v>690929</v>
      </c>
      <c r="B163" t="s">
        <v>33</v>
      </c>
      <c r="C163" t="s">
        <v>34</v>
      </c>
      <c r="D163" s="6" t="s">
        <v>33</v>
      </c>
      <c r="E163" t="s">
        <v>588</v>
      </c>
      <c r="F163" t="s">
        <v>36</v>
      </c>
      <c r="G163" t="s">
        <v>37</v>
      </c>
      <c r="H163" t="s">
        <v>589</v>
      </c>
      <c r="I163" t="s">
        <v>39</v>
      </c>
      <c r="J163">
        <v>2</v>
      </c>
      <c r="K163" t="s">
        <v>40</v>
      </c>
      <c r="L163" t="s">
        <v>41</v>
      </c>
      <c r="M163" t="s">
        <v>42</v>
      </c>
      <c r="N163" s="7">
        <v>1</v>
      </c>
      <c r="O163" s="8">
        <v>45131.706585648149</v>
      </c>
      <c r="P163" s="9">
        <v>45132</v>
      </c>
      <c r="Q163" t="s">
        <v>36</v>
      </c>
      <c r="R163" t="s">
        <v>43</v>
      </c>
      <c r="S163" t="s">
        <v>44</v>
      </c>
      <c r="T163" t="s">
        <v>66</v>
      </c>
      <c r="U163" t="s">
        <v>590</v>
      </c>
      <c r="V163">
        <v>23000</v>
      </c>
      <c r="W163" t="s">
        <v>43</v>
      </c>
      <c r="X163" t="s">
        <v>44</v>
      </c>
      <c r="Y163" t="s">
        <v>48</v>
      </c>
      <c r="Z163" s="10">
        <f>IF(N163&lt;=1,7,7+0.8*ROUNDUP(N163-1,0))</f>
        <v>7</v>
      </c>
      <c r="AA163" s="11">
        <v>0</v>
      </c>
      <c r="AB163" s="11">
        <v>0</v>
      </c>
      <c r="AC163" s="11">
        <v>0</v>
      </c>
      <c r="AD163" s="11">
        <v>0</v>
      </c>
      <c r="AE163" s="11">
        <f>(Z163+AB163+AD163)*6%</f>
        <v>0.42</v>
      </c>
      <c r="AF163" s="11">
        <f>Z163+AB163+AD163+AE163</f>
        <v>7.42</v>
      </c>
      <c r="AG163" t="s">
        <v>43</v>
      </c>
    </row>
    <row r="164" spans="1:33" ht="15" customHeight="1" x14ac:dyDescent="0.35">
      <c r="A164">
        <v>690929</v>
      </c>
      <c r="B164" t="s">
        <v>33</v>
      </c>
      <c r="C164" t="s">
        <v>34</v>
      </c>
      <c r="D164" s="6" t="s">
        <v>33</v>
      </c>
      <c r="E164" t="s">
        <v>591</v>
      </c>
      <c r="F164" t="s">
        <v>36</v>
      </c>
      <c r="G164" t="s">
        <v>37</v>
      </c>
      <c r="H164" t="s">
        <v>592</v>
      </c>
      <c r="I164" t="s">
        <v>39</v>
      </c>
      <c r="J164">
        <v>2</v>
      </c>
      <c r="K164" t="s">
        <v>40</v>
      </c>
      <c r="L164" t="s">
        <v>41</v>
      </c>
      <c r="M164" t="s">
        <v>42</v>
      </c>
      <c r="N164" s="7">
        <v>1</v>
      </c>
      <c r="O164" s="8">
        <v>45131.667395833334</v>
      </c>
      <c r="P164" s="9">
        <v>45132</v>
      </c>
      <c r="Q164" t="s">
        <v>36</v>
      </c>
      <c r="R164" t="s">
        <v>43</v>
      </c>
      <c r="S164" t="s">
        <v>44</v>
      </c>
      <c r="T164" t="s">
        <v>75</v>
      </c>
      <c r="U164" t="s">
        <v>593</v>
      </c>
      <c r="V164">
        <v>57000</v>
      </c>
      <c r="W164" t="s">
        <v>43</v>
      </c>
      <c r="X164" t="s">
        <v>151</v>
      </c>
      <c r="Y164" t="s">
        <v>48</v>
      </c>
      <c r="Z164" s="10">
        <f>IF(N164&lt;=1,7,7+0.8*ROUNDUP(N164-1,0))</f>
        <v>7</v>
      </c>
      <c r="AA164" s="11">
        <v>0</v>
      </c>
      <c r="AB164" s="11">
        <v>0</v>
      </c>
      <c r="AC164" s="11">
        <v>0</v>
      </c>
      <c r="AD164" s="11">
        <v>0</v>
      </c>
      <c r="AE164" s="11">
        <f>(Z164+AB164+AD164)*6%</f>
        <v>0.42</v>
      </c>
      <c r="AF164" s="11">
        <f>Z164+AB164+AD164+AE164</f>
        <v>7.42</v>
      </c>
      <c r="AG164" t="s">
        <v>43</v>
      </c>
    </row>
    <row r="165" spans="1:33" ht="15" customHeight="1" x14ac:dyDescent="0.35">
      <c r="A165">
        <v>690929</v>
      </c>
      <c r="B165" t="s">
        <v>33</v>
      </c>
      <c r="C165" t="s">
        <v>34</v>
      </c>
      <c r="D165" s="6" t="s">
        <v>33</v>
      </c>
      <c r="E165" t="s">
        <v>594</v>
      </c>
      <c r="F165" t="s">
        <v>36</v>
      </c>
      <c r="G165" t="s">
        <v>37</v>
      </c>
      <c r="H165" t="s">
        <v>595</v>
      </c>
      <c r="I165" t="s">
        <v>39</v>
      </c>
      <c r="J165">
        <v>2</v>
      </c>
      <c r="K165" t="s">
        <v>40</v>
      </c>
      <c r="L165" t="s">
        <v>41</v>
      </c>
      <c r="M165" t="s">
        <v>42</v>
      </c>
      <c r="N165" s="7">
        <v>1</v>
      </c>
      <c r="O165" s="8">
        <v>45130.709016203706</v>
      </c>
      <c r="P165" s="9">
        <v>45132</v>
      </c>
      <c r="Q165" t="s">
        <v>36</v>
      </c>
      <c r="R165" t="s">
        <v>43</v>
      </c>
      <c r="S165" t="s">
        <v>44</v>
      </c>
      <c r="T165" t="s">
        <v>80</v>
      </c>
      <c r="U165" t="s">
        <v>596</v>
      </c>
      <c r="V165">
        <v>5300</v>
      </c>
      <c r="W165" t="s">
        <v>43</v>
      </c>
      <c r="X165" t="s">
        <v>597</v>
      </c>
      <c r="Y165" t="s">
        <v>48</v>
      </c>
      <c r="Z165" s="10">
        <f>IF(N165&lt;=1,7,7+0.8*ROUNDUP(N165-1,0))</f>
        <v>7</v>
      </c>
      <c r="AA165" s="11">
        <v>0</v>
      </c>
      <c r="AB165" s="11">
        <v>0</v>
      </c>
      <c r="AC165" s="11">
        <v>0</v>
      </c>
      <c r="AD165" s="11">
        <v>0</v>
      </c>
      <c r="AE165" s="11">
        <f>(Z165+AB165+AD165)*6%</f>
        <v>0.42</v>
      </c>
      <c r="AF165" s="11">
        <f>Z165+AB165+AD165+AE165</f>
        <v>7.42</v>
      </c>
      <c r="AG165" t="s">
        <v>43</v>
      </c>
    </row>
    <row r="166" spans="1:33" ht="15" customHeight="1" x14ac:dyDescent="0.35">
      <c r="A166">
        <v>690929</v>
      </c>
      <c r="B166" t="s">
        <v>33</v>
      </c>
      <c r="C166" t="s">
        <v>34</v>
      </c>
      <c r="D166" s="6" t="s">
        <v>33</v>
      </c>
      <c r="E166" t="s">
        <v>598</v>
      </c>
      <c r="F166" t="s">
        <v>36</v>
      </c>
      <c r="G166" t="s">
        <v>37</v>
      </c>
      <c r="H166" t="s">
        <v>599</v>
      </c>
      <c r="I166" t="s">
        <v>39</v>
      </c>
      <c r="J166">
        <v>2</v>
      </c>
      <c r="K166" t="s">
        <v>40</v>
      </c>
      <c r="L166" t="s">
        <v>41</v>
      </c>
      <c r="M166" t="s">
        <v>42</v>
      </c>
      <c r="N166" s="7">
        <v>1</v>
      </c>
      <c r="O166" s="8">
        <v>45130.710219907407</v>
      </c>
      <c r="P166" s="9">
        <v>45132</v>
      </c>
      <c r="Q166" t="s">
        <v>36</v>
      </c>
      <c r="R166" t="s">
        <v>43</v>
      </c>
      <c r="S166" t="s">
        <v>44</v>
      </c>
      <c r="T166" t="s">
        <v>194</v>
      </c>
      <c r="U166" t="s">
        <v>600</v>
      </c>
      <c r="V166">
        <v>70300</v>
      </c>
      <c r="W166" t="s">
        <v>43</v>
      </c>
      <c r="X166" t="s">
        <v>47</v>
      </c>
      <c r="Y166" t="s">
        <v>48</v>
      </c>
      <c r="Z166" s="10">
        <f>IF(N166&lt;=1,7,7+0.8*ROUNDUP(N166-1,0))</f>
        <v>7</v>
      </c>
      <c r="AA166" s="11">
        <v>0</v>
      </c>
      <c r="AB166" s="11">
        <v>0</v>
      </c>
      <c r="AC166" s="11">
        <v>0</v>
      </c>
      <c r="AD166" s="11">
        <v>0</v>
      </c>
      <c r="AE166" s="11">
        <f>(Z166+AB166+AD166)*6%</f>
        <v>0.42</v>
      </c>
      <c r="AF166" s="11">
        <f>Z166+AB166+AD166+AE166</f>
        <v>7.42</v>
      </c>
      <c r="AG166" t="s">
        <v>43</v>
      </c>
    </row>
    <row r="167" spans="1:33" ht="15" customHeight="1" x14ac:dyDescent="0.35">
      <c r="A167">
        <v>690929</v>
      </c>
      <c r="B167" t="s">
        <v>33</v>
      </c>
      <c r="C167" t="s">
        <v>34</v>
      </c>
      <c r="D167" s="6" t="s">
        <v>33</v>
      </c>
      <c r="E167" t="s">
        <v>601</v>
      </c>
      <c r="F167" t="s">
        <v>36</v>
      </c>
      <c r="G167" t="s">
        <v>37</v>
      </c>
      <c r="H167" t="s">
        <v>602</v>
      </c>
      <c r="I167" t="s">
        <v>39</v>
      </c>
      <c r="J167">
        <v>2</v>
      </c>
      <c r="K167" t="s">
        <v>40</v>
      </c>
      <c r="L167" t="s">
        <v>41</v>
      </c>
      <c r="M167" t="s">
        <v>42</v>
      </c>
      <c r="N167" s="7">
        <v>1</v>
      </c>
      <c r="O167" s="8">
        <v>45129.734293981484</v>
      </c>
      <c r="P167" s="9">
        <v>45132</v>
      </c>
      <c r="Q167" t="s">
        <v>36</v>
      </c>
      <c r="R167" t="s">
        <v>43</v>
      </c>
      <c r="S167" t="s">
        <v>44</v>
      </c>
      <c r="T167" t="s">
        <v>175</v>
      </c>
      <c r="U167" t="s">
        <v>603</v>
      </c>
      <c r="V167">
        <v>87031</v>
      </c>
      <c r="W167" t="s">
        <v>172</v>
      </c>
      <c r="X167" t="s">
        <v>604</v>
      </c>
      <c r="Y167" t="s">
        <v>48</v>
      </c>
      <c r="Z167" s="12">
        <f>IF(N167&lt;=1,13,IF(N167&lt;=2,23,IF(N167&lt;=3,35,IF(N167&lt;=4,43,IF(N167&lt;=5,53,IF(N167&lt;=6,63,IF(N167&lt;=7,71,IF(N167&lt;=8,79,IF(N167&lt;=9,87,IF(N167&lt;=10,95,IF(N167&lt;=11,105,IF(N167&lt;=12,114,IF(N167&lt;=13,119,IF(N167&lt;=14,127,IF(N167&lt;=15,135,IF(N167&lt;=16,143,IF(N167&lt;=17,153,IF(N167&lt;=18,163,IF(N167&lt;=19,171,IF(N167&lt;=20,185,IF(N167&lt;=21,193,IF(N167&lt;=22,201,IF(N167&lt;=23,210,IF(N167&lt;=24,220,IF(N167&lt;=25,230,IF(N167&lt;=26,240,IF(N167&lt;=27,250,IF(N167&lt;=28,260,IF(N167&lt;=29,270,IF(N167&lt;=30,280,280+10*ROUNDUP(N167-30,0)))))))))))))))))))))))))))))))</f>
        <v>13</v>
      </c>
      <c r="AA167" s="11">
        <v>0</v>
      </c>
      <c r="AB167" s="11">
        <v>0</v>
      </c>
      <c r="AC167" s="11">
        <v>0</v>
      </c>
      <c r="AD167" s="11">
        <v>0</v>
      </c>
      <c r="AE167" s="11">
        <f>(Z167+AB167+AD167)*6%</f>
        <v>0.78</v>
      </c>
      <c r="AF167" s="11">
        <f>Z167+AB167+AD167+AE167</f>
        <v>13.78</v>
      </c>
      <c r="AG167" t="s">
        <v>172</v>
      </c>
    </row>
    <row r="168" spans="1:33" ht="15" customHeight="1" x14ac:dyDescent="0.35">
      <c r="A168">
        <v>690929</v>
      </c>
      <c r="B168" t="s">
        <v>33</v>
      </c>
      <c r="C168" t="s">
        <v>34</v>
      </c>
      <c r="D168" s="6" t="s">
        <v>33</v>
      </c>
      <c r="E168" t="s">
        <v>605</v>
      </c>
      <c r="F168" t="s">
        <v>36</v>
      </c>
      <c r="G168" t="s">
        <v>37</v>
      </c>
      <c r="H168" t="s">
        <v>606</v>
      </c>
      <c r="I168" t="s">
        <v>39</v>
      </c>
      <c r="J168">
        <v>2</v>
      </c>
      <c r="K168" t="s">
        <v>40</v>
      </c>
      <c r="L168" t="s">
        <v>41</v>
      </c>
      <c r="M168" t="s">
        <v>42</v>
      </c>
      <c r="N168" s="7">
        <v>1</v>
      </c>
      <c r="O168" s="8">
        <v>45130.71365740741</v>
      </c>
      <c r="P168" s="9">
        <v>45132</v>
      </c>
      <c r="Q168" t="s">
        <v>36</v>
      </c>
      <c r="R168" t="s">
        <v>43</v>
      </c>
      <c r="S168" t="s">
        <v>44</v>
      </c>
      <c r="T168" t="s">
        <v>61</v>
      </c>
      <c r="U168" t="s">
        <v>607</v>
      </c>
      <c r="V168">
        <v>81300</v>
      </c>
      <c r="W168" t="s">
        <v>43</v>
      </c>
      <c r="X168" t="s">
        <v>608</v>
      </c>
      <c r="Y168" t="s">
        <v>48</v>
      </c>
      <c r="Z168" s="10">
        <f>IF(N168&lt;=1,7,7+0.8*ROUNDUP(N168-1,0))</f>
        <v>7</v>
      </c>
      <c r="AA168" s="11">
        <v>0</v>
      </c>
      <c r="AB168" s="11">
        <v>0</v>
      </c>
      <c r="AC168" s="11">
        <v>0</v>
      </c>
      <c r="AD168" s="11">
        <v>0</v>
      </c>
      <c r="AE168" s="11">
        <f>(Z168+AB168+AD168)*6%</f>
        <v>0.42</v>
      </c>
      <c r="AF168" s="11">
        <f>Z168+AB168+AD168+AE168</f>
        <v>7.42</v>
      </c>
      <c r="AG168" t="s">
        <v>43</v>
      </c>
    </row>
    <row r="169" spans="1:33" ht="15" customHeight="1" x14ac:dyDescent="0.35">
      <c r="A169">
        <v>690929</v>
      </c>
      <c r="B169" t="s">
        <v>33</v>
      </c>
      <c r="C169" t="s">
        <v>34</v>
      </c>
      <c r="D169" s="6" t="s">
        <v>33</v>
      </c>
      <c r="E169" t="s">
        <v>609</v>
      </c>
      <c r="F169" t="s">
        <v>36</v>
      </c>
      <c r="G169" t="s">
        <v>37</v>
      </c>
      <c r="H169" t="s">
        <v>610</v>
      </c>
      <c r="I169" t="s">
        <v>39</v>
      </c>
      <c r="J169">
        <v>2</v>
      </c>
      <c r="K169" t="s">
        <v>40</v>
      </c>
      <c r="L169" t="s">
        <v>41</v>
      </c>
      <c r="M169" t="s">
        <v>42</v>
      </c>
      <c r="N169" s="7">
        <v>3</v>
      </c>
      <c r="O169" s="8">
        <v>45129.742488425924</v>
      </c>
      <c r="P169" s="9">
        <v>45132</v>
      </c>
      <c r="Q169" t="s">
        <v>36</v>
      </c>
      <c r="R169" t="s">
        <v>43</v>
      </c>
      <c r="S169" t="s">
        <v>44</v>
      </c>
      <c r="T169" t="s">
        <v>61</v>
      </c>
      <c r="U169" t="s">
        <v>611</v>
      </c>
      <c r="V169">
        <v>86000</v>
      </c>
      <c r="W169" t="s">
        <v>43</v>
      </c>
      <c r="X169" t="s">
        <v>612</v>
      </c>
      <c r="Y169" t="s">
        <v>48</v>
      </c>
      <c r="Z169" s="10">
        <f>IF(N169&lt;=1,7,7+0.8*ROUNDUP(N169-1,0))</f>
        <v>8.6</v>
      </c>
      <c r="AA169" s="11">
        <v>0</v>
      </c>
      <c r="AB169" s="11">
        <v>0</v>
      </c>
      <c r="AC169" s="11">
        <v>0</v>
      </c>
      <c r="AD169" s="11">
        <v>0</v>
      </c>
      <c r="AE169" s="11">
        <f>(Z169+AB169+AD169)*6%</f>
        <v>0.51600000000000001</v>
      </c>
      <c r="AF169" s="11">
        <f>Z169+AB169+AD169+AE169</f>
        <v>9.1159999999999997</v>
      </c>
      <c r="AG169" t="s">
        <v>43</v>
      </c>
    </row>
    <row r="170" spans="1:33" ht="15" customHeight="1" x14ac:dyDescent="0.35">
      <c r="A170">
        <v>690929</v>
      </c>
      <c r="B170" t="s">
        <v>33</v>
      </c>
      <c r="C170" t="s">
        <v>34</v>
      </c>
      <c r="D170" s="6" t="s">
        <v>33</v>
      </c>
      <c r="E170" t="s">
        <v>613</v>
      </c>
      <c r="F170" t="s">
        <v>36</v>
      </c>
      <c r="G170" t="s">
        <v>37</v>
      </c>
      <c r="H170" t="s">
        <v>614</v>
      </c>
      <c r="I170" t="s">
        <v>39</v>
      </c>
      <c r="J170">
        <v>2</v>
      </c>
      <c r="K170" t="s">
        <v>40</v>
      </c>
      <c r="L170" t="s">
        <v>41</v>
      </c>
      <c r="M170" t="s">
        <v>42</v>
      </c>
      <c r="N170" s="7">
        <v>1</v>
      </c>
      <c r="O170" s="8">
        <v>45130.575046296297</v>
      </c>
      <c r="P170" s="9">
        <v>45132</v>
      </c>
      <c r="Q170" t="s">
        <v>36</v>
      </c>
      <c r="R170" t="s">
        <v>43</v>
      </c>
      <c r="S170" t="s">
        <v>44</v>
      </c>
      <c r="T170" t="s">
        <v>45</v>
      </c>
      <c r="U170" t="s">
        <v>615</v>
      </c>
      <c r="V170">
        <v>75260</v>
      </c>
      <c r="W170" t="s">
        <v>43</v>
      </c>
      <c r="X170" t="s">
        <v>47</v>
      </c>
      <c r="Y170" t="s">
        <v>48</v>
      </c>
      <c r="Z170" s="10">
        <f>IF(N170&lt;=1,7,7+0.8*ROUNDUP(N170-1,0))</f>
        <v>7</v>
      </c>
      <c r="AA170" s="11">
        <v>0</v>
      </c>
      <c r="AB170" s="11">
        <v>0</v>
      </c>
      <c r="AC170" s="11">
        <v>0</v>
      </c>
      <c r="AD170" s="11">
        <v>0</v>
      </c>
      <c r="AE170" s="11">
        <f>(Z170+AB170+AD170)*6%</f>
        <v>0.42</v>
      </c>
      <c r="AF170" s="11">
        <f>Z170+AB170+AD170+AE170</f>
        <v>7.42</v>
      </c>
      <c r="AG170" t="s">
        <v>43</v>
      </c>
    </row>
    <row r="171" spans="1:33" ht="15" customHeight="1" x14ac:dyDescent="0.35">
      <c r="A171">
        <v>690929</v>
      </c>
      <c r="B171" t="s">
        <v>33</v>
      </c>
      <c r="C171" t="s">
        <v>34</v>
      </c>
      <c r="D171" s="6" t="s">
        <v>33</v>
      </c>
      <c r="E171" t="s">
        <v>616</v>
      </c>
      <c r="F171" t="s">
        <v>36</v>
      </c>
      <c r="G171" t="s">
        <v>37</v>
      </c>
      <c r="H171" t="s">
        <v>617</v>
      </c>
      <c r="I171" t="s">
        <v>39</v>
      </c>
      <c r="J171">
        <v>2</v>
      </c>
      <c r="K171" t="s">
        <v>40</v>
      </c>
      <c r="L171" t="s">
        <v>41</v>
      </c>
      <c r="M171" t="s">
        <v>42</v>
      </c>
      <c r="N171" s="7">
        <v>4</v>
      </c>
      <c r="O171" s="8">
        <v>45130.672824074078</v>
      </c>
      <c r="P171" s="9">
        <v>45132</v>
      </c>
      <c r="Q171" t="s">
        <v>36</v>
      </c>
      <c r="R171" t="s">
        <v>43</v>
      </c>
      <c r="S171" t="s">
        <v>44</v>
      </c>
      <c r="T171" t="s">
        <v>61</v>
      </c>
      <c r="U171" t="s">
        <v>618</v>
      </c>
      <c r="V171">
        <v>81440</v>
      </c>
      <c r="W171" t="s">
        <v>43</v>
      </c>
      <c r="X171" t="s">
        <v>619</v>
      </c>
      <c r="Y171" t="s">
        <v>48</v>
      </c>
      <c r="Z171" s="10">
        <f>IF(N171&lt;=1,7,7+0.8*ROUNDUP(N171-1,0))</f>
        <v>9.4</v>
      </c>
      <c r="AA171" s="11">
        <v>0</v>
      </c>
      <c r="AB171" s="11">
        <v>0</v>
      </c>
      <c r="AC171" s="11">
        <v>0</v>
      </c>
      <c r="AD171" s="11">
        <v>0</v>
      </c>
      <c r="AE171" s="11">
        <f>(Z171+AB171+AD171)*6%</f>
        <v>0.56399999999999995</v>
      </c>
      <c r="AF171" s="11">
        <f>Z171+AB171+AD171+AE171</f>
        <v>9.9640000000000004</v>
      </c>
      <c r="AG171" t="s">
        <v>43</v>
      </c>
    </row>
    <row r="172" spans="1:33" ht="15" customHeight="1" x14ac:dyDescent="0.35">
      <c r="A172">
        <v>690929</v>
      </c>
      <c r="B172" t="s">
        <v>33</v>
      </c>
      <c r="C172" t="s">
        <v>34</v>
      </c>
      <c r="D172" s="6" t="s">
        <v>33</v>
      </c>
      <c r="E172" t="s">
        <v>620</v>
      </c>
      <c r="F172" t="s">
        <v>36</v>
      </c>
      <c r="G172" t="s">
        <v>37</v>
      </c>
      <c r="H172" t="s">
        <v>621</v>
      </c>
      <c r="I172" t="s">
        <v>39</v>
      </c>
      <c r="J172">
        <v>2</v>
      </c>
      <c r="K172" t="s">
        <v>40</v>
      </c>
      <c r="L172" t="s">
        <v>41</v>
      </c>
      <c r="M172" t="s">
        <v>42</v>
      </c>
      <c r="N172" s="7">
        <v>8</v>
      </c>
      <c r="O172" s="8">
        <v>45130.476909722223</v>
      </c>
      <c r="P172" s="9">
        <v>45132</v>
      </c>
      <c r="Q172" t="s">
        <v>36</v>
      </c>
      <c r="R172" t="s">
        <v>43</v>
      </c>
      <c r="S172" t="s">
        <v>44</v>
      </c>
      <c r="T172" t="s">
        <v>61</v>
      </c>
      <c r="U172" t="s">
        <v>622</v>
      </c>
      <c r="V172">
        <v>81000</v>
      </c>
      <c r="W172" t="s">
        <v>43</v>
      </c>
      <c r="X172" t="s">
        <v>300</v>
      </c>
      <c r="Y172" t="s">
        <v>48</v>
      </c>
      <c r="Z172" s="10">
        <f>IF(N172&lt;=1,7,7+0.8*ROUNDUP(N172-1,0))</f>
        <v>12.600000000000001</v>
      </c>
      <c r="AA172" s="11">
        <v>0</v>
      </c>
      <c r="AB172" s="11">
        <v>0</v>
      </c>
      <c r="AC172" s="11">
        <v>0</v>
      </c>
      <c r="AD172" s="11">
        <v>0</v>
      </c>
      <c r="AE172" s="11">
        <f>(Z172+AB172+AD172)*6%</f>
        <v>0.75600000000000001</v>
      </c>
      <c r="AF172" s="11">
        <f>Z172+AB172+AD172+AE172</f>
        <v>13.356000000000002</v>
      </c>
      <c r="AG172" t="s">
        <v>43</v>
      </c>
    </row>
    <row r="173" spans="1:33" ht="15" customHeight="1" x14ac:dyDescent="0.35">
      <c r="A173">
        <v>690929</v>
      </c>
      <c r="B173" t="s">
        <v>33</v>
      </c>
      <c r="C173" t="s">
        <v>34</v>
      </c>
      <c r="D173" s="6" t="s">
        <v>33</v>
      </c>
      <c r="E173" t="s">
        <v>623</v>
      </c>
      <c r="F173" t="s">
        <v>36</v>
      </c>
      <c r="G173" t="s">
        <v>37</v>
      </c>
      <c r="H173" t="s">
        <v>624</v>
      </c>
      <c r="I173" t="s">
        <v>39</v>
      </c>
      <c r="J173">
        <v>2</v>
      </c>
      <c r="K173" t="s">
        <v>40</v>
      </c>
      <c r="L173" t="s">
        <v>41</v>
      </c>
      <c r="M173" t="s">
        <v>42</v>
      </c>
      <c r="N173" s="7">
        <v>1</v>
      </c>
      <c r="O173" s="8">
        <v>45131.663263888891</v>
      </c>
      <c r="P173" s="9">
        <v>45133</v>
      </c>
      <c r="Q173" t="s">
        <v>36</v>
      </c>
      <c r="R173" t="s">
        <v>43</v>
      </c>
      <c r="S173" t="s">
        <v>44</v>
      </c>
      <c r="T173" t="s">
        <v>45</v>
      </c>
      <c r="U173" t="s">
        <v>625</v>
      </c>
      <c r="V173">
        <v>77200</v>
      </c>
      <c r="W173" t="s">
        <v>43</v>
      </c>
      <c r="X173" t="s">
        <v>626</v>
      </c>
      <c r="Y173" t="s">
        <v>48</v>
      </c>
      <c r="Z173" s="10">
        <f>IF(N173&lt;=1,7,7+0.8*ROUNDUP(N173-1,0))</f>
        <v>7</v>
      </c>
      <c r="AA173" s="11">
        <v>0</v>
      </c>
      <c r="AB173" s="11">
        <v>0</v>
      </c>
      <c r="AC173" s="11">
        <v>0</v>
      </c>
      <c r="AD173" s="11">
        <v>0</v>
      </c>
      <c r="AE173" s="11">
        <f>(Z173+AB173+AD173)*6%</f>
        <v>0.42</v>
      </c>
      <c r="AF173" s="11">
        <f>Z173+AB173+AD173+AE173</f>
        <v>7.42</v>
      </c>
      <c r="AG173" t="s">
        <v>43</v>
      </c>
    </row>
    <row r="174" spans="1:33" ht="15" customHeight="1" x14ac:dyDescent="0.35">
      <c r="A174">
        <v>690929</v>
      </c>
      <c r="B174" t="s">
        <v>33</v>
      </c>
      <c r="C174" t="s">
        <v>34</v>
      </c>
      <c r="D174" s="6" t="s">
        <v>33</v>
      </c>
      <c r="E174" t="s">
        <v>627</v>
      </c>
      <c r="F174" t="s">
        <v>36</v>
      </c>
      <c r="G174" t="s">
        <v>37</v>
      </c>
      <c r="H174" t="s">
        <v>628</v>
      </c>
      <c r="I174" t="s">
        <v>39</v>
      </c>
      <c r="J174">
        <v>2</v>
      </c>
      <c r="K174" t="s">
        <v>40</v>
      </c>
      <c r="L174" t="s">
        <v>41</v>
      </c>
      <c r="M174" t="s">
        <v>42</v>
      </c>
      <c r="N174" s="7">
        <v>4</v>
      </c>
      <c r="O174" s="8">
        <v>45132.613437499997</v>
      </c>
      <c r="P174" s="9">
        <v>45133</v>
      </c>
      <c r="Q174" t="s">
        <v>36</v>
      </c>
      <c r="R174" t="s">
        <v>43</v>
      </c>
      <c r="S174" t="s">
        <v>44</v>
      </c>
      <c r="T174" t="s">
        <v>109</v>
      </c>
      <c r="U174" t="s">
        <v>629</v>
      </c>
      <c r="V174">
        <v>18500</v>
      </c>
      <c r="W174" t="s">
        <v>43</v>
      </c>
      <c r="X174" t="s">
        <v>630</v>
      </c>
      <c r="Y174" t="s">
        <v>48</v>
      </c>
      <c r="Z174" s="10">
        <f>IF(N174&lt;=1,7,7+0.8*ROUNDUP(N174-1,0))</f>
        <v>9.4</v>
      </c>
      <c r="AA174" s="11">
        <v>0</v>
      </c>
      <c r="AB174" s="11">
        <v>0</v>
      </c>
      <c r="AC174" s="11">
        <v>0</v>
      </c>
      <c r="AD174" s="11">
        <v>0</v>
      </c>
      <c r="AE174" s="11">
        <f>(Z174+AB174+AD174)*6%</f>
        <v>0.56399999999999995</v>
      </c>
      <c r="AF174" s="11">
        <f>Z174+AB174+AD174+AE174</f>
        <v>9.9640000000000004</v>
      </c>
      <c r="AG174" t="s">
        <v>43</v>
      </c>
    </row>
    <row r="175" spans="1:33" ht="15" customHeight="1" x14ac:dyDescent="0.35">
      <c r="A175">
        <v>690929</v>
      </c>
      <c r="B175" t="s">
        <v>33</v>
      </c>
      <c r="C175" t="s">
        <v>34</v>
      </c>
      <c r="D175" s="6" t="s">
        <v>33</v>
      </c>
      <c r="E175" t="s">
        <v>631</v>
      </c>
      <c r="F175" t="s">
        <v>36</v>
      </c>
      <c r="G175" t="s">
        <v>37</v>
      </c>
      <c r="H175" t="s">
        <v>632</v>
      </c>
      <c r="I175" t="s">
        <v>39</v>
      </c>
      <c r="J175">
        <v>2</v>
      </c>
      <c r="K175" t="s">
        <v>40</v>
      </c>
      <c r="L175" t="s">
        <v>41</v>
      </c>
      <c r="M175" t="s">
        <v>42</v>
      </c>
      <c r="N175" s="7">
        <v>1</v>
      </c>
      <c r="O175" s="8">
        <v>45132.732858796298</v>
      </c>
      <c r="P175" s="9">
        <v>45133</v>
      </c>
      <c r="Q175" t="s">
        <v>36</v>
      </c>
      <c r="R175" t="s">
        <v>43</v>
      </c>
      <c r="S175" t="s">
        <v>44</v>
      </c>
      <c r="T175" t="s">
        <v>89</v>
      </c>
      <c r="U175" t="s">
        <v>633</v>
      </c>
      <c r="V175">
        <v>26100</v>
      </c>
      <c r="W175" t="s">
        <v>43</v>
      </c>
      <c r="X175" t="s">
        <v>44</v>
      </c>
      <c r="Y175" t="s">
        <v>48</v>
      </c>
      <c r="Z175" s="10">
        <f>IF(N175&lt;=1,7,7+0.8*ROUNDUP(N175-1,0))</f>
        <v>7</v>
      </c>
      <c r="AA175" s="11">
        <v>0</v>
      </c>
      <c r="AB175" s="11">
        <v>0</v>
      </c>
      <c r="AC175" s="11">
        <v>0</v>
      </c>
      <c r="AD175" s="11">
        <v>0</v>
      </c>
      <c r="AE175" s="11">
        <f>(Z175+AB175+AD175)*6%</f>
        <v>0.42</v>
      </c>
      <c r="AF175" s="11">
        <f>Z175+AB175+AD175+AE175</f>
        <v>7.42</v>
      </c>
      <c r="AG175" t="s">
        <v>43</v>
      </c>
    </row>
    <row r="176" spans="1:33" ht="15" customHeight="1" x14ac:dyDescent="0.35">
      <c r="A176">
        <v>690929</v>
      </c>
      <c r="B176" t="s">
        <v>33</v>
      </c>
      <c r="C176" t="s">
        <v>34</v>
      </c>
      <c r="D176" s="6" t="s">
        <v>33</v>
      </c>
      <c r="E176" t="s">
        <v>634</v>
      </c>
      <c r="F176" t="s">
        <v>36</v>
      </c>
      <c r="G176" t="s">
        <v>37</v>
      </c>
      <c r="H176" t="s">
        <v>635</v>
      </c>
      <c r="I176" t="s">
        <v>39</v>
      </c>
      <c r="J176">
        <v>2</v>
      </c>
      <c r="K176" t="s">
        <v>40</v>
      </c>
      <c r="L176" t="s">
        <v>41</v>
      </c>
      <c r="M176" t="s">
        <v>42</v>
      </c>
      <c r="N176" s="7">
        <v>1</v>
      </c>
      <c r="O176" s="8">
        <v>45131.419386574074</v>
      </c>
      <c r="P176" s="9">
        <v>45133</v>
      </c>
      <c r="Q176" t="s">
        <v>36</v>
      </c>
      <c r="R176" t="s">
        <v>43</v>
      </c>
      <c r="S176" t="s">
        <v>44</v>
      </c>
      <c r="T176" t="s">
        <v>80</v>
      </c>
      <c r="U176" t="s">
        <v>636</v>
      </c>
      <c r="V176">
        <v>8320</v>
      </c>
      <c r="W176" t="s">
        <v>43</v>
      </c>
      <c r="X176" t="s">
        <v>47</v>
      </c>
      <c r="Y176" t="s">
        <v>48</v>
      </c>
      <c r="Z176" s="10">
        <f>IF(N176&lt;=1,7,7+0.8*ROUNDUP(N176-1,0))</f>
        <v>7</v>
      </c>
      <c r="AA176" s="11">
        <v>0</v>
      </c>
      <c r="AB176" s="11">
        <v>0</v>
      </c>
      <c r="AC176" s="11">
        <v>0</v>
      </c>
      <c r="AD176" s="11">
        <v>0</v>
      </c>
      <c r="AE176" s="11">
        <f>(Z176+AB176+AD176)*6%</f>
        <v>0.42</v>
      </c>
      <c r="AF176" s="11">
        <f>Z176+AB176+AD176+AE176</f>
        <v>7.42</v>
      </c>
      <c r="AG176" t="s">
        <v>43</v>
      </c>
    </row>
    <row r="177" spans="1:33" ht="15" customHeight="1" x14ac:dyDescent="0.35">
      <c r="A177">
        <v>690929</v>
      </c>
      <c r="B177" t="s">
        <v>33</v>
      </c>
      <c r="C177" t="s">
        <v>34</v>
      </c>
      <c r="D177" s="6" t="s">
        <v>33</v>
      </c>
      <c r="E177" t="s">
        <v>637</v>
      </c>
      <c r="F177" t="s">
        <v>36</v>
      </c>
      <c r="G177" t="s">
        <v>37</v>
      </c>
      <c r="H177" t="s">
        <v>638</v>
      </c>
      <c r="I177" t="s">
        <v>39</v>
      </c>
      <c r="J177">
        <v>2</v>
      </c>
      <c r="K177" t="s">
        <v>40</v>
      </c>
      <c r="L177" t="s">
        <v>41</v>
      </c>
      <c r="M177" t="s">
        <v>42</v>
      </c>
      <c r="N177" s="7">
        <v>1</v>
      </c>
      <c r="O177" s="8">
        <v>45130.704050925924</v>
      </c>
      <c r="P177" s="9">
        <v>45133</v>
      </c>
      <c r="Q177" t="s">
        <v>36</v>
      </c>
      <c r="R177" t="s">
        <v>43</v>
      </c>
      <c r="S177" t="s">
        <v>44</v>
      </c>
      <c r="T177" t="s">
        <v>75</v>
      </c>
      <c r="U177" t="s">
        <v>639</v>
      </c>
      <c r="V177">
        <v>52100</v>
      </c>
      <c r="W177" t="s">
        <v>43</v>
      </c>
      <c r="X177" t="s">
        <v>47</v>
      </c>
      <c r="Y177" t="s">
        <v>48</v>
      </c>
      <c r="Z177" s="10">
        <f>IF(N177&lt;=1,7,7+0.8*ROUNDUP(N177-1,0))</f>
        <v>7</v>
      </c>
      <c r="AA177" s="11">
        <v>0</v>
      </c>
      <c r="AB177" s="11">
        <v>0</v>
      </c>
      <c r="AC177" s="11">
        <v>0</v>
      </c>
      <c r="AD177" s="11">
        <v>0</v>
      </c>
      <c r="AE177" s="11">
        <f>(Z177+AB177+AD177)*6%</f>
        <v>0.42</v>
      </c>
      <c r="AF177" s="11">
        <f>Z177+AB177+AD177+AE177</f>
        <v>7.42</v>
      </c>
      <c r="AG177" t="s">
        <v>43</v>
      </c>
    </row>
    <row r="178" spans="1:33" ht="15" customHeight="1" x14ac:dyDescent="0.35">
      <c r="A178">
        <v>690929</v>
      </c>
      <c r="B178" t="s">
        <v>33</v>
      </c>
      <c r="C178" t="s">
        <v>34</v>
      </c>
      <c r="D178" s="6" t="s">
        <v>33</v>
      </c>
      <c r="E178" t="s">
        <v>640</v>
      </c>
      <c r="F178" t="s">
        <v>36</v>
      </c>
      <c r="G178" t="s">
        <v>37</v>
      </c>
      <c r="H178" t="s">
        <v>641</v>
      </c>
      <c r="I178" t="s">
        <v>39</v>
      </c>
      <c r="J178">
        <v>2</v>
      </c>
      <c r="K178" t="s">
        <v>40</v>
      </c>
      <c r="L178" t="s">
        <v>41</v>
      </c>
      <c r="M178" t="s">
        <v>42</v>
      </c>
      <c r="N178" s="7">
        <v>6</v>
      </c>
      <c r="O178" s="8">
        <v>45130.599733796298</v>
      </c>
      <c r="P178" s="9">
        <v>45133</v>
      </c>
      <c r="Q178" t="s">
        <v>36</v>
      </c>
      <c r="R178" t="s">
        <v>43</v>
      </c>
      <c r="S178" t="s">
        <v>44</v>
      </c>
      <c r="T178" t="s">
        <v>57</v>
      </c>
      <c r="U178" t="s">
        <v>642</v>
      </c>
      <c r="V178">
        <v>43700</v>
      </c>
      <c r="W178" t="s">
        <v>43</v>
      </c>
      <c r="X178" t="s">
        <v>542</v>
      </c>
      <c r="Y178" t="s">
        <v>48</v>
      </c>
      <c r="Z178" s="10">
        <f>IF(N178&lt;=1,7,7+0.8*ROUNDUP(N178-1,0))</f>
        <v>11</v>
      </c>
      <c r="AA178" s="11">
        <v>0</v>
      </c>
      <c r="AB178" s="11">
        <v>0</v>
      </c>
      <c r="AC178" s="11">
        <v>0</v>
      </c>
      <c r="AD178" s="11">
        <v>0</v>
      </c>
      <c r="AE178" s="11">
        <f>(Z178+AB178+AD178)*6%</f>
        <v>0.65999999999999992</v>
      </c>
      <c r="AF178" s="11">
        <f>Z178+AB178+AD178+AE178</f>
        <v>11.66</v>
      </c>
      <c r="AG178" t="s">
        <v>43</v>
      </c>
    </row>
    <row r="179" spans="1:33" ht="15" customHeight="1" x14ac:dyDescent="0.35">
      <c r="A179">
        <v>690929</v>
      </c>
      <c r="B179" t="s">
        <v>33</v>
      </c>
      <c r="C179" t="s">
        <v>34</v>
      </c>
      <c r="D179" s="6" t="s">
        <v>33</v>
      </c>
      <c r="E179" t="s">
        <v>643</v>
      </c>
      <c r="F179" t="s">
        <v>36</v>
      </c>
      <c r="G179" t="s">
        <v>37</v>
      </c>
      <c r="H179" t="s">
        <v>510</v>
      </c>
      <c r="I179" t="s">
        <v>39</v>
      </c>
      <c r="J179">
        <v>2</v>
      </c>
      <c r="K179" t="s">
        <v>40</v>
      </c>
      <c r="L179" t="s">
        <v>41</v>
      </c>
      <c r="M179" t="s">
        <v>42</v>
      </c>
      <c r="N179" s="7">
        <v>4</v>
      </c>
      <c r="O179" s="8">
        <v>45132.699108796296</v>
      </c>
      <c r="P179" s="9">
        <v>45133</v>
      </c>
      <c r="Q179" t="s">
        <v>36</v>
      </c>
      <c r="R179" t="s">
        <v>43</v>
      </c>
      <c r="S179" t="s">
        <v>44</v>
      </c>
      <c r="T179" t="s">
        <v>66</v>
      </c>
      <c r="U179" t="s">
        <v>511</v>
      </c>
      <c r="V179">
        <v>21100</v>
      </c>
      <c r="W179" t="s">
        <v>43</v>
      </c>
      <c r="X179" t="s">
        <v>199</v>
      </c>
      <c r="Y179" t="s">
        <v>48</v>
      </c>
      <c r="Z179" s="10">
        <f>IF(N179&lt;=1,7,7+0.8*ROUNDUP(N179-1,0))</f>
        <v>9.4</v>
      </c>
      <c r="AA179" s="11">
        <v>0</v>
      </c>
      <c r="AB179" s="11">
        <v>0</v>
      </c>
      <c r="AC179" s="11">
        <v>0</v>
      </c>
      <c r="AD179" s="11">
        <v>0</v>
      </c>
      <c r="AE179" s="11">
        <f>(Z179+AB179+AD179)*6%</f>
        <v>0.56399999999999995</v>
      </c>
      <c r="AF179" s="11">
        <f>Z179+AB179+AD179+AE179</f>
        <v>9.9640000000000004</v>
      </c>
      <c r="AG179" t="s">
        <v>43</v>
      </c>
    </row>
    <row r="180" spans="1:33" ht="15" customHeight="1" x14ac:dyDescent="0.35">
      <c r="A180">
        <v>690929</v>
      </c>
      <c r="B180" t="s">
        <v>33</v>
      </c>
      <c r="C180" t="s">
        <v>34</v>
      </c>
      <c r="D180" s="6" t="s">
        <v>33</v>
      </c>
      <c r="E180" t="s">
        <v>644</v>
      </c>
      <c r="F180" t="s">
        <v>36</v>
      </c>
      <c r="G180" t="s">
        <v>37</v>
      </c>
      <c r="H180" t="s">
        <v>645</v>
      </c>
      <c r="I180" t="s">
        <v>39</v>
      </c>
      <c r="J180">
        <v>2</v>
      </c>
      <c r="K180" t="s">
        <v>40</v>
      </c>
      <c r="L180" t="s">
        <v>41</v>
      </c>
      <c r="M180" t="s">
        <v>42</v>
      </c>
      <c r="N180" s="7">
        <v>1</v>
      </c>
      <c r="O180" s="8">
        <v>45132.721331018518</v>
      </c>
      <c r="P180" s="9">
        <v>45133</v>
      </c>
      <c r="Q180" t="s">
        <v>36</v>
      </c>
      <c r="R180" t="s">
        <v>43</v>
      </c>
      <c r="S180" t="s">
        <v>44</v>
      </c>
      <c r="T180" t="s">
        <v>57</v>
      </c>
      <c r="U180" t="s">
        <v>646</v>
      </c>
      <c r="V180">
        <v>43100</v>
      </c>
      <c r="W180" t="s">
        <v>43</v>
      </c>
      <c r="X180" t="s">
        <v>647</v>
      </c>
      <c r="Y180" t="s">
        <v>48</v>
      </c>
      <c r="Z180" s="10">
        <f>IF(N180&lt;=1,7,7+0.8*ROUNDUP(N180-1,0))</f>
        <v>7</v>
      </c>
      <c r="AA180" s="11">
        <v>0</v>
      </c>
      <c r="AB180" s="11">
        <v>0</v>
      </c>
      <c r="AC180" s="11">
        <v>0</v>
      </c>
      <c r="AD180" s="11">
        <v>0</v>
      </c>
      <c r="AE180" s="11">
        <f>(Z180+AB180+AD180)*6%</f>
        <v>0.42</v>
      </c>
      <c r="AF180" s="11">
        <f>Z180+AB180+AD180+AE180</f>
        <v>7.42</v>
      </c>
      <c r="AG180" t="s">
        <v>43</v>
      </c>
    </row>
    <row r="181" spans="1:33" ht="15" customHeight="1" x14ac:dyDescent="0.35">
      <c r="A181">
        <v>690929</v>
      </c>
      <c r="B181" t="s">
        <v>33</v>
      </c>
      <c r="C181" t="s">
        <v>34</v>
      </c>
      <c r="D181" s="6" t="s">
        <v>33</v>
      </c>
      <c r="E181" t="s">
        <v>648</v>
      </c>
      <c r="F181" t="s">
        <v>36</v>
      </c>
      <c r="G181" t="s">
        <v>37</v>
      </c>
      <c r="H181" t="s">
        <v>649</v>
      </c>
      <c r="I181" t="s">
        <v>39</v>
      </c>
      <c r="J181">
        <v>2</v>
      </c>
      <c r="K181" t="s">
        <v>40</v>
      </c>
      <c r="L181" t="s">
        <v>41</v>
      </c>
      <c r="M181" t="s">
        <v>42</v>
      </c>
      <c r="N181" s="7">
        <v>1</v>
      </c>
      <c r="O181" s="8">
        <v>45131.706585648149</v>
      </c>
      <c r="P181" s="9">
        <v>45133</v>
      </c>
      <c r="Q181" t="s">
        <v>36</v>
      </c>
      <c r="R181" t="s">
        <v>43</v>
      </c>
      <c r="S181" t="s">
        <v>44</v>
      </c>
      <c r="T181" t="s">
        <v>51</v>
      </c>
      <c r="U181" t="s">
        <v>650</v>
      </c>
      <c r="V181">
        <v>31250</v>
      </c>
      <c r="W181" t="s">
        <v>43</v>
      </c>
      <c r="X181" t="s">
        <v>244</v>
      </c>
      <c r="Y181" t="s">
        <v>48</v>
      </c>
      <c r="Z181" s="10">
        <f>IF(N181&lt;=1,7,7+0.8*ROUNDUP(N181-1,0))</f>
        <v>7</v>
      </c>
      <c r="AA181" s="11">
        <v>0</v>
      </c>
      <c r="AB181" s="11">
        <v>0</v>
      </c>
      <c r="AC181" s="11">
        <v>0</v>
      </c>
      <c r="AD181" s="11">
        <v>0</v>
      </c>
      <c r="AE181" s="11">
        <f>(Z181+AB181+AD181)*6%</f>
        <v>0.42</v>
      </c>
      <c r="AF181" s="11">
        <f>Z181+AB181+AD181+AE181</f>
        <v>7.42</v>
      </c>
      <c r="AG181" t="s">
        <v>43</v>
      </c>
    </row>
    <row r="182" spans="1:33" ht="15" customHeight="1" x14ac:dyDescent="0.35">
      <c r="A182">
        <v>690929</v>
      </c>
      <c r="B182" t="s">
        <v>33</v>
      </c>
      <c r="C182" t="s">
        <v>34</v>
      </c>
      <c r="D182" s="6" t="s">
        <v>33</v>
      </c>
      <c r="E182" t="s">
        <v>651</v>
      </c>
      <c r="F182" t="s">
        <v>36</v>
      </c>
      <c r="G182" t="s">
        <v>37</v>
      </c>
      <c r="H182" t="s">
        <v>652</v>
      </c>
      <c r="I182" t="s">
        <v>39</v>
      </c>
      <c r="J182">
        <v>2</v>
      </c>
      <c r="K182" t="s">
        <v>40</v>
      </c>
      <c r="L182" t="s">
        <v>41</v>
      </c>
      <c r="M182" t="s">
        <v>42</v>
      </c>
      <c r="N182" s="7">
        <v>1</v>
      </c>
      <c r="O182" s="8">
        <v>45131.706585648149</v>
      </c>
      <c r="P182" s="9">
        <v>45133</v>
      </c>
      <c r="Q182" t="s">
        <v>36</v>
      </c>
      <c r="R182" t="s">
        <v>43</v>
      </c>
      <c r="S182" t="s">
        <v>44</v>
      </c>
      <c r="T182" t="s">
        <v>653</v>
      </c>
      <c r="U182" t="s">
        <v>654</v>
      </c>
      <c r="V182">
        <v>1000</v>
      </c>
      <c r="W182" t="s">
        <v>43</v>
      </c>
      <c r="X182" t="s">
        <v>655</v>
      </c>
      <c r="Y182" t="s">
        <v>48</v>
      </c>
      <c r="Z182" s="10">
        <f>IF(N182&lt;=1,7,7+0.8*ROUNDUP(N182-1,0))</f>
        <v>7</v>
      </c>
      <c r="AA182" s="11">
        <v>0</v>
      </c>
      <c r="AB182" s="11">
        <v>0</v>
      </c>
      <c r="AC182" s="11">
        <v>0</v>
      </c>
      <c r="AD182" s="11">
        <v>0</v>
      </c>
      <c r="AE182" s="11">
        <f>(Z182+AB182+AD182)*6%</f>
        <v>0.42</v>
      </c>
      <c r="AF182" s="11">
        <f>Z182+AB182+AD182+AE182</f>
        <v>7.42</v>
      </c>
      <c r="AG182" t="s">
        <v>43</v>
      </c>
    </row>
    <row r="183" spans="1:33" ht="15" customHeight="1" x14ac:dyDescent="0.35">
      <c r="A183">
        <v>690929</v>
      </c>
      <c r="B183" t="s">
        <v>33</v>
      </c>
      <c r="C183" t="s">
        <v>34</v>
      </c>
      <c r="D183" s="6" t="s">
        <v>33</v>
      </c>
      <c r="E183" t="s">
        <v>656</v>
      </c>
      <c r="F183" t="s">
        <v>36</v>
      </c>
      <c r="G183" t="s">
        <v>37</v>
      </c>
      <c r="H183" t="s">
        <v>657</v>
      </c>
      <c r="I183" t="s">
        <v>39</v>
      </c>
      <c r="J183">
        <v>2</v>
      </c>
      <c r="K183" t="s">
        <v>40</v>
      </c>
      <c r="L183" t="s">
        <v>41</v>
      </c>
      <c r="M183" t="s">
        <v>42</v>
      </c>
      <c r="N183" s="7">
        <v>1</v>
      </c>
      <c r="O183" s="8">
        <v>45132.689386574071</v>
      </c>
      <c r="P183" s="9">
        <v>45133</v>
      </c>
      <c r="Q183" t="s">
        <v>36</v>
      </c>
      <c r="R183" t="s">
        <v>43</v>
      </c>
      <c r="S183" t="s">
        <v>44</v>
      </c>
      <c r="T183" t="s">
        <v>75</v>
      </c>
      <c r="U183" t="s">
        <v>658</v>
      </c>
      <c r="V183">
        <v>54200</v>
      </c>
      <c r="W183" t="s">
        <v>43</v>
      </c>
      <c r="X183" t="s">
        <v>188</v>
      </c>
      <c r="Y183" t="s">
        <v>48</v>
      </c>
      <c r="Z183" s="10">
        <f>IF(N183&lt;=1,7,7+0.8*ROUNDUP(N183-1,0))</f>
        <v>7</v>
      </c>
      <c r="AA183" s="11">
        <v>0</v>
      </c>
      <c r="AB183" s="11">
        <v>0</v>
      </c>
      <c r="AC183" s="11">
        <v>0</v>
      </c>
      <c r="AD183" s="11">
        <v>0</v>
      </c>
      <c r="AE183" s="11">
        <f>(Z183+AB183+AD183)*6%</f>
        <v>0.42</v>
      </c>
      <c r="AF183" s="11">
        <f>Z183+AB183+AD183+AE183</f>
        <v>7.42</v>
      </c>
      <c r="AG183" t="s">
        <v>43</v>
      </c>
    </row>
    <row r="184" spans="1:33" ht="15" customHeight="1" x14ac:dyDescent="0.35">
      <c r="A184">
        <v>690929</v>
      </c>
      <c r="B184" t="s">
        <v>33</v>
      </c>
      <c r="C184" t="s">
        <v>34</v>
      </c>
      <c r="D184" s="6" t="s">
        <v>33</v>
      </c>
      <c r="E184" t="s">
        <v>659</v>
      </c>
      <c r="F184" t="s">
        <v>36</v>
      </c>
      <c r="G184" t="s">
        <v>37</v>
      </c>
      <c r="H184" t="s">
        <v>660</v>
      </c>
      <c r="I184" t="s">
        <v>39</v>
      </c>
      <c r="J184">
        <v>2</v>
      </c>
      <c r="K184" t="s">
        <v>40</v>
      </c>
      <c r="L184" t="s">
        <v>41</v>
      </c>
      <c r="M184" t="s">
        <v>42</v>
      </c>
      <c r="N184" s="7">
        <v>3</v>
      </c>
      <c r="O184" s="8">
        <v>45104.55982638889</v>
      </c>
      <c r="P184" s="9">
        <v>45108</v>
      </c>
      <c r="Q184" t="s">
        <v>36</v>
      </c>
      <c r="R184" t="s">
        <v>43</v>
      </c>
      <c r="S184" t="s">
        <v>44</v>
      </c>
      <c r="T184" t="s">
        <v>51</v>
      </c>
      <c r="U184" t="s">
        <v>661</v>
      </c>
      <c r="V184">
        <v>35900</v>
      </c>
      <c r="W184" t="s">
        <v>43</v>
      </c>
      <c r="X184" t="s">
        <v>662</v>
      </c>
      <c r="Y184" t="s">
        <v>48</v>
      </c>
      <c r="Z184" s="10">
        <f>IF(N184&lt;=1,7,7+0.8*ROUNDUP(N184-1,0))</f>
        <v>8.6</v>
      </c>
      <c r="AA184" s="11">
        <v>0</v>
      </c>
      <c r="AB184" s="11">
        <v>0</v>
      </c>
      <c r="AC184" s="11">
        <v>0</v>
      </c>
      <c r="AD184" s="11">
        <v>0</v>
      </c>
      <c r="AE184" s="11">
        <f>(Z184+AB184+AD184)*6%</f>
        <v>0.51600000000000001</v>
      </c>
      <c r="AF184" s="11">
        <f>Z184+AB184+AD184+AE184</f>
        <v>9.1159999999999997</v>
      </c>
      <c r="AG184" t="s">
        <v>43</v>
      </c>
    </row>
    <row r="185" spans="1:33" ht="15" customHeight="1" x14ac:dyDescent="0.35">
      <c r="A185">
        <v>690929</v>
      </c>
      <c r="B185" t="s">
        <v>33</v>
      </c>
      <c r="C185" t="s">
        <v>34</v>
      </c>
      <c r="D185" s="6" t="s">
        <v>33</v>
      </c>
      <c r="E185" t="s">
        <v>663</v>
      </c>
      <c r="F185" t="s">
        <v>36</v>
      </c>
      <c r="G185" t="s">
        <v>37</v>
      </c>
      <c r="H185" t="s">
        <v>664</v>
      </c>
      <c r="I185" t="s">
        <v>39</v>
      </c>
      <c r="J185">
        <v>2</v>
      </c>
      <c r="K185" t="s">
        <v>40</v>
      </c>
      <c r="L185" t="s">
        <v>41</v>
      </c>
      <c r="M185" t="s">
        <v>42</v>
      </c>
      <c r="N185" s="7">
        <v>1</v>
      </c>
      <c r="O185" s="8">
        <v>45108.679143518515</v>
      </c>
      <c r="P185" s="9">
        <v>45110</v>
      </c>
      <c r="Q185" t="s">
        <v>36</v>
      </c>
      <c r="R185" t="s">
        <v>43</v>
      </c>
      <c r="S185" t="s">
        <v>44</v>
      </c>
      <c r="T185" t="s">
        <v>75</v>
      </c>
      <c r="U185" t="s">
        <v>665</v>
      </c>
      <c r="V185">
        <v>60000</v>
      </c>
      <c r="W185" t="s">
        <v>43</v>
      </c>
      <c r="X185" t="s">
        <v>44</v>
      </c>
      <c r="Y185" t="s">
        <v>48</v>
      </c>
      <c r="Z185" s="10">
        <f>IF(N185&lt;=1,7,7+0.8*ROUNDUP(N185-1,0))</f>
        <v>7</v>
      </c>
      <c r="AA185" s="11">
        <v>0</v>
      </c>
      <c r="AB185" s="11">
        <v>0</v>
      </c>
      <c r="AC185" s="11">
        <v>0</v>
      </c>
      <c r="AD185" s="11">
        <v>0</v>
      </c>
      <c r="AE185" s="11">
        <f>(Z185+AB185+AD185)*6%</f>
        <v>0.42</v>
      </c>
      <c r="AF185" s="11">
        <f>Z185+AB185+AD185+AE185</f>
        <v>7.42</v>
      </c>
      <c r="AG185" t="s">
        <v>43</v>
      </c>
    </row>
    <row r="186" spans="1:33" ht="15" customHeight="1" x14ac:dyDescent="0.35">
      <c r="A186">
        <v>690929</v>
      </c>
      <c r="B186" t="s">
        <v>33</v>
      </c>
      <c r="C186" t="s">
        <v>34</v>
      </c>
      <c r="D186" s="6" t="s">
        <v>33</v>
      </c>
      <c r="E186" t="s">
        <v>666</v>
      </c>
      <c r="F186" t="s">
        <v>36</v>
      </c>
      <c r="G186" t="s">
        <v>37</v>
      </c>
      <c r="H186" t="s">
        <v>667</v>
      </c>
      <c r="I186" t="s">
        <v>39</v>
      </c>
      <c r="J186">
        <v>2</v>
      </c>
      <c r="K186" t="s">
        <v>40</v>
      </c>
      <c r="L186" t="s">
        <v>41</v>
      </c>
      <c r="M186" t="s">
        <v>42</v>
      </c>
      <c r="N186" s="7">
        <v>2</v>
      </c>
      <c r="O186" s="8">
        <v>45108.666643518518</v>
      </c>
      <c r="P186" s="9">
        <v>45110</v>
      </c>
      <c r="Q186" t="s">
        <v>36</v>
      </c>
      <c r="R186" t="s">
        <v>43</v>
      </c>
      <c r="S186" t="s">
        <v>44</v>
      </c>
      <c r="T186" t="s">
        <v>57</v>
      </c>
      <c r="U186" t="s">
        <v>668</v>
      </c>
      <c r="V186">
        <v>41000</v>
      </c>
      <c r="W186" t="s">
        <v>43</v>
      </c>
      <c r="X186" t="s">
        <v>136</v>
      </c>
      <c r="Y186" t="s">
        <v>48</v>
      </c>
      <c r="Z186" s="10">
        <f>IF(N186&lt;=1,7,7+0.8*ROUNDUP(N186-1,0))</f>
        <v>7.8</v>
      </c>
      <c r="AA186" s="11">
        <v>0</v>
      </c>
      <c r="AB186" s="11">
        <v>0</v>
      </c>
      <c r="AC186" s="11">
        <v>0</v>
      </c>
      <c r="AD186" s="11">
        <v>0</v>
      </c>
      <c r="AE186" s="11">
        <f>(Z186+AB186+AD186)*6%</f>
        <v>0.46799999999999997</v>
      </c>
      <c r="AF186" s="11">
        <f>Z186+AB186+AD186+AE186</f>
        <v>8.2680000000000007</v>
      </c>
      <c r="AG186" t="s">
        <v>43</v>
      </c>
    </row>
    <row r="187" spans="1:33" ht="15" customHeight="1" x14ac:dyDescent="0.35">
      <c r="A187">
        <v>690929</v>
      </c>
      <c r="B187" t="s">
        <v>33</v>
      </c>
      <c r="C187" t="s">
        <v>34</v>
      </c>
      <c r="D187" s="6" t="s">
        <v>33</v>
      </c>
      <c r="E187" t="s">
        <v>669</v>
      </c>
      <c r="F187" t="s">
        <v>36</v>
      </c>
      <c r="G187" t="s">
        <v>37</v>
      </c>
      <c r="H187" t="s">
        <v>670</v>
      </c>
      <c r="I187" t="s">
        <v>39</v>
      </c>
      <c r="J187">
        <v>2</v>
      </c>
      <c r="K187" t="s">
        <v>40</v>
      </c>
      <c r="L187" t="s">
        <v>41</v>
      </c>
      <c r="M187" t="s">
        <v>42</v>
      </c>
      <c r="N187" s="7">
        <v>3</v>
      </c>
      <c r="O187" s="8">
        <v>45108.662581018521</v>
      </c>
      <c r="P187" s="9">
        <v>45110</v>
      </c>
      <c r="Q187" t="s">
        <v>36</v>
      </c>
      <c r="R187" t="s">
        <v>43</v>
      </c>
      <c r="S187" t="s">
        <v>44</v>
      </c>
      <c r="T187" t="s">
        <v>70</v>
      </c>
      <c r="U187" t="s">
        <v>671</v>
      </c>
      <c r="V187">
        <v>11700</v>
      </c>
      <c r="W187" t="s">
        <v>43</v>
      </c>
      <c r="X187" t="s">
        <v>47</v>
      </c>
      <c r="Y187" t="s">
        <v>48</v>
      </c>
      <c r="Z187" s="10">
        <f>IF(N187&lt;=1,7,7+0.8*ROUNDUP(N187-1,0))</f>
        <v>8.6</v>
      </c>
      <c r="AA187" s="11">
        <v>0</v>
      </c>
      <c r="AB187" s="11">
        <v>0</v>
      </c>
      <c r="AC187" s="11">
        <v>0</v>
      </c>
      <c r="AD187" s="11">
        <v>0</v>
      </c>
      <c r="AE187" s="11">
        <f>(Z187+AB187+AD187)*6%</f>
        <v>0.51600000000000001</v>
      </c>
      <c r="AF187" s="11">
        <f>Z187+AB187+AD187+AE187</f>
        <v>9.1159999999999997</v>
      </c>
      <c r="AG187" t="s">
        <v>43</v>
      </c>
    </row>
    <row r="188" spans="1:33" ht="15" customHeight="1" x14ac:dyDescent="0.35">
      <c r="A188">
        <v>690929</v>
      </c>
      <c r="B188" t="s">
        <v>33</v>
      </c>
      <c r="C188" t="s">
        <v>34</v>
      </c>
      <c r="D188" s="6" t="s">
        <v>33</v>
      </c>
      <c r="E188" t="s">
        <v>672</v>
      </c>
      <c r="F188" t="s">
        <v>36</v>
      </c>
      <c r="G188" t="s">
        <v>37</v>
      </c>
      <c r="H188" t="s">
        <v>673</v>
      </c>
      <c r="I188" t="s">
        <v>39</v>
      </c>
      <c r="J188">
        <v>2</v>
      </c>
      <c r="K188" t="s">
        <v>40</v>
      </c>
      <c r="L188" t="s">
        <v>41</v>
      </c>
      <c r="M188" t="s">
        <v>42</v>
      </c>
      <c r="N188" s="7">
        <v>12</v>
      </c>
      <c r="O188" s="8">
        <v>45108.553993055553</v>
      </c>
      <c r="P188" s="9">
        <v>45110</v>
      </c>
      <c r="Q188" t="s">
        <v>36</v>
      </c>
      <c r="R188" t="s">
        <v>43</v>
      </c>
      <c r="S188" t="s">
        <v>44</v>
      </c>
      <c r="T188" t="s">
        <v>75</v>
      </c>
      <c r="U188" t="s">
        <v>674</v>
      </c>
      <c r="V188">
        <v>59200</v>
      </c>
      <c r="W188" t="s">
        <v>43</v>
      </c>
      <c r="X188" t="s">
        <v>675</v>
      </c>
      <c r="Y188" t="s">
        <v>48</v>
      </c>
      <c r="Z188" s="10">
        <f>IF(N188&lt;=1,7,7+0.8*ROUNDUP(N188-1,0))</f>
        <v>15.8</v>
      </c>
      <c r="AA188" s="11">
        <v>0</v>
      </c>
      <c r="AB188" s="11">
        <v>0</v>
      </c>
      <c r="AC188" s="11">
        <v>0</v>
      </c>
      <c r="AD188" s="11">
        <v>0</v>
      </c>
      <c r="AE188" s="11">
        <f>(Z188+AB188+AD188)*6%</f>
        <v>0.94799999999999995</v>
      </c>
      <c r="AF188" s="11">
        <f>Z188+AB188+AD188+AE188</f>
        <v>16.748000000000001</v>
      </c>
      <c r="AG188" t="s">
        <v>43</v>
      </c>
    </row>
    <row r="189" spans="1:33" ht="15" customHeight="1" x14ac:dyDescent="0.35">
      <c r="A189">
        <v>690929</v>
      </c>
      <c r="B189" t="s">
        <v>33</v>
      </c>
      <c r="C189" t="s">
        <v>34</v>
      </c>
      <c r="D189" s="6" t="s">
        <v>33</v>
      </c>
      <c r="E189" t="s">
        <v>676</v>
      </c>
      <c r="F189" t="s">
        <v>36</v>
      </c>
      <c r="G189" t="s">
        <v>37</v>
      </c>
      <c r="H189" t="s">
        <v>673</v>
      </c>
      <c r="I189" t="s">
        <v>39</v>
      </c>
      <c r="J189">
        <v>2</v>
      </c>
      <c r="K189" t="s">
        <v>40</v>
      </c>
      <c r="L189" t="s">
        <v>41</v>
      </c>
      <c r="M189" t="s">
        <v>42</v>
      </c>
      <c r="N189" s="7">
        <v>10</v>
      </c>
      <c r="O189" s="8">
        <v>45108.55400462963</v>
      </c>
      <c r="P189" s="9">
        <v>45110</v>
      </c>
      <c r="Q189" t="s">
        <v>36</v>
      </c>
      <c r="R189" t="s">
        <v>43</v>
      </c>
      <c r="S189" t="s">
        <v>44</v>
      </c>
      <c r="T189" t="s">
        <v>75</v>
      </c>
      <c r="U189" t="s">
        <v>674</v>
      </c>
      <c r="V189">
        <v>59200</v>
      </c>
      <c r="W189" t="s">
        <v>43</v>
      </c>
      <c r="X189" t="s">
        <v>675</v>
      </c>
      <c r="Y189" t="s">
        <v>48</v>
      </c>
      <c r="Z189" s="10">
        <f>IF(N189&lt;=1,7,7+0.8*ROUNDUP(N189-1,0))</f>
        <v>14.2</v>
      </c>
      <c r="AA189" s="11">
        <v>0</v>
      </c>
      <c r="AB189" s="11">
        <v>0</v>
      </c>
      <c r="AC189" s="11">
        <v>0</v>
      </c>
      <c r="AD189" s="11">
        <v>0</v>
      </c>
      <c r="AE189" s="11">
        <f>(Z189+AB189+AD189)*6%</f>
        <v>0.85199999999999998</v>
      </c>
      <c r="AF189" s="11">
        <f>Z189+AB189+AD189+AE189</f>
        <v>15.052</v>
      </c>
      <c r="AG189" t="s">
        <v>43</v>
      </c>
    </row>
    <row r="190" spans="1:33" ht="15" customHeight="1" x14ac:dyDescent="0.35">
      <c r="A190">
        <v>690929</v>
      </c>
      <c r="B190" t="s">
        <v>33</v>
      </c>
      <c r="C190" t="s">
        <v>34</v>
      </c>
      <c r="D190" s="6" t="s">
        <v>33</v>
      </c>
      <c r="E190" t="s">
        <v>677</v>
      </c>
      <c r="F190" t="s">
        <v>36</v>
      </c>
      <c r="G190" t="s">
        <v>37</v>
      </c>
      <c r="H190" t="s">
        <v>673</v>
      </c>
      <c r="I190" t="s">
        <v>39</v>
      </c>
      <c r="J190">
        <v>2</v>
      </c>
      <c r="K190" t="s">
        <v>40</v>
      </c>
      <c r="L190" t="s">
        <v>41</v>
      </c>
      <c r="M190" t="s">
        <v>42</v>
      </c>
      <c r="N190" s="7">
        <v>2</v>
      </c>
      <c r="O190" s="8">
        <v>45108.553993055553</v>
      </c>
      <c r="P190" s="9">
        <v>45110</v>
      </c>
      <c r="Q190" t="s">
        <v>36</v>
      </c>
      <c r="R190" t="s">
        <v>43</v>
      </c>
      <c r="S190" t="s">
        <v>44</v>
      </c>
      <c r="T190" t="s">
        <v>75</v>
      </c>
      <c r="U190" t="s">
        <v>674</v>
      </c>
      <c r="V190">
        <v>59200</v>
      </c>
      <c r="W190" t="s">
        <v>43</v>
      </c>
      <c r="X190" t="s">
        <v>675</v>
      </c>
      <c r="Y190" t="s">
        <v>48</v>
      </c>
      <c r="Z190" s="10">
        <f>IF(N190&lt;=1,7,7+0.8*ROUNDUP(N190-1,0))</f>
        <v>7.8</v>
      </c>
      <c r="AA190" s="11">
        <v>0</v>
      </c>
      <c r="AB190" s="11">
        <v>0</v>
      </c>
      <c r="AC190" s="11">
        <v>0</v>
      </c>
      <c r="AD190" s="11">
        <v>0</v>
      </c>
      <c r="AE190" s="11">
        <f>(Z190+AB190+AD190)*6%</f>
        <v>0.46799999999999997</v>
      </c>
      <c r="AF190" s="11">
        <f>Z190+AB190+AD190+AE190</f>
        <v>8.2680000000000007</v>
      </c>
      <c r="AG190" t="s">
        <v>43</v>
      </c>
    </row>
    <row r="191" spans="1:33" ht="15" customHeight="1" x14ac:dyDescent="0.35">
      <c r="A191">
        <v>690929</v>
      </c>
      <c r="B191" t="s">
        <v>33</v>
      </c>
      <c r="C191" t="s">
        <v>34</v>
      </c>
      <c r="D191" s="6" t="s">
        <v>33</v>
      </c>
      <c r="E191" t="s">
        <v>678</v>
      </c>
      <c r="F191" t="s">
        <v>36</v>
      </c>
      <c r="G191" t="s">
        <v>37</v>
      </c>
      <c r="H191" t="s">
        <v>679</v>
      </c>
      <c r="I191" t="s">
        <v>39</v>
      </c>
      <c r="J191">
        <v>2</v>
      </c>
      <c r="K191" t="s">
        <v>40</v>
      </c>
      <c r="L191" t="s">
        <v>41</v>
      </c>
      <c r="M191" t="s">
        <v>42</v>
      </c>
      <c r="N191" s="7">
        <v>1</v>
      </c>
      <c r="O191" s="8">
        <v>45109.577175925922</v>
      </c>
      <c r="P191" s="9">
        <v>45110</v>
      </c>
      <c r="Q191" t="s">
        <v>36</v>
      </c>
      <c r="R191" t="s">
        <v>43</v>
      </c>
      <c r="S191" t="s">
        <v>44</v>
      </c>
      <c r="T191" t="s">
        <v>89</v>
      </c>
      <c r="U191" t="s">
        <v>680</v>
      </c>
      <c r="V191">
        <v>26800</v>
      </c>
      <c r="W191" t="s">
        <v>43</v>
      </c>
      <c r="X191" t="s">
        <v>44</v>
      </c>
      <c r="Y191" t="s">
        <v>48</v>
      </c>
      <c r="Z191" s="10">
        <f>IF(N191&lt;=1,7,7+0.8*ROUNDUP(N191-1,0))</f>
        <v>7</v>
      </c>
      <c r="AA191" s="11">
        <v>0</v>
      </c>
      <c r="AB191" s="11">
        <v>0</v>
      </c>
      <c r="AC191" s="11">
        <v>0</v>
      </c>
      <c r="AD191" s="11">
        <v>0</v>
      </c>
      <c r="AE191" s="11">
        <f>(Z191+AB191+AD191)*6%</f>
        <v>0.42</v>
      </c>
      <c r="AF191" s="11">
        <f>Z191+AB191+AD191+AE191</f>
        <v>7.42</v>
      </c>
      <c r="AG191" t="s">
        <v>43</v>
      </c>
    </row>
    <row r="192" spans="1:33" ht="15" customHeight="1" x14ac:dyDescent="0.35">
      <c r="A192">
        <v>690929</v>
      </c>
      <c r="B192" t="s">
        <v>33</v>
      </c>
      <c r="C192" t="s">
        <v>34</v>
      </c>
      <c r="D192" s="6" t="s">
        <v>33</v>
      </c>
      <c r="E192" t="s">
        <v>681</v>
      </c>
      <c r="F192" t="s">
        <v>36</v>
      </c>
      <c r="G192" t="s">
        <v>37</v>
      </c>
      <c r="H192" t="s">
        <v>682</v>
      </c>
      <c r="I192" t="s">
        <v>39</v>
      </c>
      <c r="J192">
        <v>2</v>
      </c>
      <c r="K192" t="s">
        <v>40</v>
      </c>
      <c r="L192" t="s">
        <v>41</v>
      </c>
      <c r="M192" t="s">
        <v>42</v>
      </c>
      <c r="N192" s="7">
        <v>1</v>
      </c>
      <c r="O192" s="8">
        <v>45109.711006944446</v>
      </c>
      <c r="P192" s="9">
        <v>45110</v>
      </c>
      <c r="Q192" t="s">
        <v>36</v>
      </c>
      <c r="R192" t="s">
        <v>43</v>
      </c>
      <c r="S192" t="s">
        <v>44</v>
      </c>
      <c r="T192" t="s">
        <v>57</v>
      </c>
      <c r="U192" t="s">
        <v>683</v>
      </c>
      <c r="V192">
        <v>43000</v>
      </c>
      <c r="W192" t="s">
        <v>43</v>
      </c>
      <c r="X192" t="s">
        <v>47</v>
      </c>
      <c r="Y192" t="s">
        <v>48</v>
      </c>
      <c r="Z192" s="10">
        <f>IF(N192&lt;=1,7,7+0.8*ROUNDUP(N192-1,0))</f>
        <v>7</v>
      </c>
      <c r="AA192" s="11">
        <v>0</v>
      </c>
      <c r="AB192" s="11">
        <v>0</v>
      </c>
      <c r="AC192" s="11">
        <v>0</v>
      </c>
      <c r="AD192" s="11">
        <v>0</v>
      </c>
      <c r="AE192" s="11">
        <f>(Z192+AB192+AD192)*6%</f>
        <v>0.42</v>
      </c>
      <c r="AF192" s="11">
        <f>Z192+AB192+AD192+AE192</f>
        <v>7.42</v>
      </c>
      <c r="AG192" t="s">
        <v>43</v>
      </c>
    </row>
    <row r="193" spans="1:33" ht="15" customHeight="1" x14ac:dyDescent="0.35">
      <c r="A193">
        <v>690929</v>
      </c>
      <c r="B193" t="s">
        <v>33</v>
      </c>
      <c r="C193" t="s">
        <v>34</v>
      </c>
      <c r="D193" s="6" t="s">
        <v>33</v>
      </c>
      <c r="E193" t="s">
        <v>684</v>
      </c>
      <c r="F193" t="s">
        <v>36</v>
      </c>
      <c r="G193" t="s">
        <v>37</v>
      </c>
      <c r="H193" t="s">
        <v>673</v>
      </c>
      <c r="I193" t="s">
        <v>39</v>
      </c>
      <c r="J193">
        <v>2</v>
      </c>
      <c r="K193" t="s">
        <v>40</v>
      </c>
      <c r="L193" t="s">
        <v>41</v>
      </c>
      <c r="M193" t="s">
        <v>42</v>
      </c>
      <c r="N193" s="7">
        <v>8</v>
      </c>
      <c r="O193" s="8">
        <v>45108.553993055553</v>
      </c>
      <c r="P193" s="9">
        <v>45110</v>
      </c>
      <c r="Q193" t="s">
        <v>36</v>
      </c>
      <c r="R193" t="s">
        <v>43</v>
      </c>
      <c r="S193" t="s">
        <v>44</v>
      </c>
      <c r="T193" t="s">
        <v>75</v>
      </c>
      <c r="U193" t="s">
        <v>674</v>
      </c>
      <c r="V193">
        <v>59200</v>
      </c>
      <c r="W193" t="s">
        <v>43</v>
      </c>
      <c r="X193" t="s">
        <v>675</v>
      </c>
      <c r="Y193" t="s">
        <v>48</v>
      </c>
      <c r="Z193" s="10">
        <f>IF(N193&lt;=1,7,7+0.8*ROUNDUP(N193-1,0))</f>
        <v>12.600000000000001</v>
      </c>
      <c r="AA193" s="11">
        <v>0</v>
      </c>
      <c r="AB193" s="11">
        <v>0</v>
      </c>
      <c r="AC193" s="11">
        <v>0</v>
      </c>
      <c r="AD193" s="11">
        <v>0</v>
      </c>
      <c r="AE193" s="11">
        <f>(Z193+AB193+AD193)*6%</f>
        <v>0.75600000000000001</v>
      </c>
      <c r="AF193" s="11">
        <f>Z193+AB193+AD193+AE193</f>
        <v>13.356000000000002</v>
      </c>
      <c r="AG193" t="s">
        <v>43</v>
      </c>
    </row>
    <row r="194" spans="1:33" ht="15" customHeight="1" x14ac:dyDescent="0.35">
      <c r="A194">
        <v>690929</v>
      </c>
      <c r="B194" t="s">
        <v>33</v>
      </c>
      <c r="C194" t="s">
        <v>34</v>
      </c>
      <c r="D194" s="6" t="s">
        <v>33</v>
      </c>
      <c r="E194" t="s">
        <v>685</v>
      </c>
      <c r="F194" t="s">
        <v>36</v>
      </c>
      <c r="G194" t="s">
        <v>37</v>
      </c>
      <c r="H194" t="s">
        <v>673</v>
      </c>
      <c r="I194" t="s">
        <v>39</v>
      </c>
      <c r="J194">
        <v>2</v>
      </c>
      <c r="K194" t="s">
        <v>40</v>
      </c>
      <c r="L194" t="s">
        <v>41</v>
      </c>
      <c r="M194" t="s">
        <v>42</v>
      </c>
      <c r="N194" s="7">
        <v>12</v>
      </c>
      <c r="O194" s="8">
        <v>45108.553993055553</v>
      </c>
      <c r="P194" s="9">
        <v>45110</v>
      </c>
      <c r="Q194" t="s">
        <v>36</v>
      </c>
      <c r="R194" t="s">
        <v>43</v>
      </c>
      <c r="S194" t="s">
        <v>44</v>
      </c>
      <c r="T194" t="s">
        <v>75</v>
      </c>
      <c r="U194" t="s">
        <v>674</v>
      </c>
      <c r="V194">
        <v>59200</v>
      </c>
      <c r="W194" t="s">
        <v>43</v>
      </c>
      <c r="X194" t="s">
        <v>675</v>
      </c>
      <c r="Y194" t="s">
        <v>48</v>
      </c>
      <c r="Z194" s="10">
        <f>IF(N194&lt;=1,7,7+0.8*ROUNDUP(N194-1,0))</f>
        <v>15.8</v>
      </c>
      <c r="AA194" s="11">
        <v>0</v>
      </c>
      <c r="AB194" s="11">
        <v>0</v>
      </c>
      <c r="AC194" s="11">
        <v>0</v>
      </c>
      <c r="AD194" s="11">
        <v>0</v>
      </c>
      <c r="AE194" s="11">
        <f>(Z194+AB194+AD194)*6%</f>
        <v>0.94799999999999995</v>
      </c>
      <c r="AF194" s="11">
        <f>Z194+AB194+AD194+AE194</f>
        <v>16.748000000000001</v>
      </c>
      <c r="AG194" t="s">
        <v>43</v>
      </c>
    </row>
    <row r="195" spans="1:33" ht="15" customHeight="1" x14ac:dyDescent="0.35">
      <c r="A195">
        <v>690929</v>
      </c>
      <c r="B195" t="s">
        <v>33</v>
      </c>
      <c r="C195" t="s">
        <v>34</v>
      </c>
      <c r="D195" s="6" t="s">
        <v>33</v>
      </c>
      <c r="E195" t="s">
        <v>686</v>
      </c>
      <c r="F195" t="s">
        <v>36</v>
      </c>
      <c r="G195" t="s">
        <v>37</v>
      </c>
      <c r="H195" t="s">
        <v>673</v>
      </c>
      <c r="I195" t="s">
        <v>39</v>
      </c>
      <c r="J195">
        <v>2</v>
      </c>
      <c r="K195" t="s">
        <v>40</v>
      </c>
      <c r="L195" t="s">
        <v>41</v>
      </c>
      <c r="M195" t="s">
        <v>42</v>
      </c>
      <c r="N195" s="7">
        <v>8</v>
      </c>
      <c r="O195" s="8">
        <v>45108.553993055553</v>
      </c>
      <c r="P195" s="9">
        <v>45110</v>
      </c>
      <c r="Q195" t="s">
        <v>36</v>
      </c>
      <c r="R195" t="s">
        <v>43</v>
      </c>
      <c r="S195" t="s">
        <v>44</v>
      </c>
      <c r="T195" t="s">
        <v>75</v>
      </c>
      <c r="U195" t="s">
        <v>674</v>
      </c>
      <c r="V195">
        <v>59200</v>
      </c>
      <c r="W195" t="s">
        <v>43</v>
      </c>
      <c r="X195" t="s">
        <v>675</v>
      </c>
      <c r="Y195" t="s">
        <v>48</v>
      </c>
      <c r="Z195" s="10">
        <f>IF(N195&lt;=1,7,7+0.8*ROUNDUP(N195-1,0))</f>
        <v>12.600000000000001</v>
      </c>
      <c r="AA195" s="11">
        <v>0</v>
      </c>
      <c r="AB195" s="11">
        <v>0</v>
      </c>
      <c r="AC195" s="11">
        <v>0</v>
      </c>
      <c r="AD195" s="11">
        <v>0</v>
      </c>
      <c r="AE195" s="11">
        <f>(Z195+AB195+AD195)*6%</f>
        <v>0.75600000000000001</v>
      </c>
      <c r="AF195" s="11">
        <f>Z195+AB195+AD195+AE195</f>
        <v>13.356000000000002</v>
      </c>
      <c r="AG195" t="s">
        <v>43</v>
      </c>
    </row>
    <row r="196" spans="1:33" ht="15" customHeight="1" x14ac:dyDescent="0.35">
      <c r="A196">
        <v>690929</v>
      </c>
      <c r="B196" t="s">
        <v>33</v>
      </c>
      <c r="C196" t="s">
        <v>34</v>
      </c>
      <c r="D196" s="6" t="s">
        <v>33</v>
      </c>
      <c r="E196" t="s">
        <v>687</v>
      </c>
      <c r="F196" t="s">
        <v>36</v>
      </c>
      <c r="G196" t="s">
        <v>37</v>
      </c>
      <c r="H196" t="s">
        <v>673</v>
      </c>
      <c r="I196" t="s">
        <v>39</v>
      </c>
      <c r="J196">
        <v>2</v>
      </c>
      <c r="K196" t="s">
        <v>40</v>
      </c>
      <c r="L196" t="s">
        <v>41</v>
      </c>
      <c r="M196" t="s">
        <v>42</v>
      </c>
      <c r="N196" s="7">
        <v>24</v>
      </c>
      <c r="O196" s="8">
        <v>45108.55400462963</v>
      </c>
      <c r="P196" s="9">
        <v>45110</v>
      </c>
      <c r="Q196" t="s">
        <v>36</v>
      </c>
      <c r="R196" t="s">
        <v>43</v>
      </c>
      <c r="S196" t="s">
        <v>44</v>
      </c>
      <c r="T196" t="s">
        <v>75</v>
      </c>
      <c r="U196" t="s">
        <v>674</v>
      </c>
      <c r="V196">
        <v>59200</v>
      </c>
      <c r="W196" t="s">
        <v>43</v>
      </c>
      <c r="X196" t="s">
        <v>675</v>
      </c>
      <c r="Y196" t="s">
        <v>48</v>
      </c>
      <c r="Z196" s="10">
        <f>IF(N196&lt;=1,7,7+0.8*ROUNDUP(N196-1,0))</f>
        <v>25.400000000000002</v>
      </c>
      <c r="AA196" s="11">
        <v>0</v>
      </c>
      <c r="AB196" s="11">
        <v>0</v>
      </c>
      <c r="AC196" s="11">
        <v>0</v>
      </c>
      <c r="AD196" s="11">
        <v>0</v>
      </c>
      <c r="AE196" s="11">
        <f>(Z196+AB196+AD196)*6%</f>
        <v>1.524</v>
      </c>
      <c r="AF196" s="11">
        <f>Z196+AB196+AD196+AE196</f>
        <v>26.924000000000003</v>
      </c>
      <c r="AG196" t="s">
        <v>43</v>
      </c>
    </row>
    <row r="197" spans="1:33" ht="15" customHeight="1" x14ac:dyDescent="0.35">
      <c r="A197">
        <v>690929</v>
      </c>
      <c r="B197" t="s">
        <v>33</v>
      </c>
      <c r="C197" t="s">
        <v>34</v>
      </c>
      <c r="D197" s="6" t="s">
        <v>33</v>
      </c>
      <c r="E197" t="s">
        <v>688</v>
      </c>
      <c r="F197" t="s">
        <v>36</v>
      </c>
      <c r="G197" t="s">
        <v>37</v>
      </c>
      <c r="H197" t="s">
        <v>673</v>
      </c>
      <c r="I197" t="s">
        <v>39</v>
      </c>
      <c r="J197">
        <v>2</v>
      </c>
      <c r="K197" t="s">
        <v>40</v>
      </c>
      <c r="L197" t="s">
        <v>41</v>
      </c>
      <c r="M197" t="s">
        <v>42</v>
      </c>
      <c r="N197" s="7">
        <v>3</v>
      </c>
      <c r="O197" s="8">
        <v>45108.553993055553</v>
      </c>
      <c r="P197" s="9">
        <v>45110</v>
      </c>
      <c r="Q197" t="s">
        <v>36</v>
      </c>
      <c r="R197" t="s">
        <v>43</v>
      </c>
      <c r="S197" t="s">
        <v>44</v>
      </c>
      <c r="T197" t="s">
        <v>75</v>
      </c>
      <c r="U197" t="s">
        <v>674</v>
      </c>
      <c r="V197">
        <v>59200</v>
      </c>
      <c r="W197" t="s">
        <v>43</v>
      </c>
      <c r="X197" t="s">
        <v>675</v>
      </c>
      <c r="Y197" t="s">
        <v>48</v>
      </c>
      <c r="Z197" s="10">
        <f>IF(N197&lt;=1,7,7+0.8*ROUNDUP(N197-1,0))</f>
        <v>8.6</v>
      </c>
      <c r="AA197" s="11">
        <v>0</v>
      </c>
      <c r="AB197" s="11">
        <v>0</v>
      </c>
      <c r="AC197" s="11">
        <v>0</v>
      </c>
      <c r="AD197" s="11">
        <v>0</v>
      </c>
      <c r="AE197" s="11">
        <f>(Z197+AB197+AD197)*6%</f>
        <v>0.51600000000000001</v>
      </c>
      <c r="AF197" s="11">
        <f>Z197+AB197+AD197+AE197</f>
        <v>9.1159999999999997</v>
      </c>
      <c r="AG197" t="s">
        <v>43</v>
      </c>
    </row>
    <row r="198" spans="1:33" ht="15" customHeight="1" x14ac:dyDescent="0.35">
      <c r="A198">
        <v>690929</v>
      </c>
      <c r="B198" t="s">
        <v>33</v>
      </c>
      <c r="C198" t="s">
        <v>34</v>
      </c>
      <c r="D198" s="6" t="s">
        <v>33</v>
      </c>
      <c r="E198" t="s">
        <v>689</v>
      </c>
      <c r="F198" t="s">
        <v>36</v>
      </c>
      <c r="G198" t="s">
        <v>37</v>
      </c>
      <c r="H198" t="s">
        <v>673</v>
      </c>
      <c r="I198" t="s">
        <v>39</v>
      </c>
      <c r="J198">
        <v>2</v>
      </c>
      <c r="K198" t="s">
        <v>40</v>
      </c>
      <c r="L198" t="s">
        <v>41</v>
      </c>
      <c r="M198" t="s">
        <v>42</v>
      </c>
      <c r="N198" s="7">
        <v>2</v>
      </c>
      <c r="O198" s="8">
        <v>45108.553993055553</v>
      </c>
      <c r="P198" s="9">
        <v>45110</v>
      </c>
      <c r="Q198" t="s">
        <v>36</v>
      </c>
      <c r="R198" t="s">
        <v>43</v>
      </c>
      <c r="S198" t="s">
        <v>44</v>
      </c>
      <c r="T198" t="s">
        <v>75</v>
      </c>
      <c r="U198" t="s">
        <v>674</v>
      </c>
      <c r="V198">
        <v>59200</v>
      </c>
      <c r="W198" t="s">
        <v>43</v>
      </c>
      <c r="X198" t="s">
        <v>675</v>
      </c>
      <c r="Y198" t="s">
        <v>48</v>
      </c>
      <c r="Z198" s="10">
        <f>IF(N198&lt;=1,7,7+0.8*ROUNDUP(N198-1,0))</f>
        <v>7.8</v>
      </c>
      <c r="AA198" s="11">
        <v>0</v>
      </c>
      <c r="AB198" s="11">
        <v>0</v>
      </c>
      <c r="AC198" s="11">
        <v>0</v>
      </c>
      <c r="AD198" s="11">
        <v>0</v>
      </c>
      <c r="AE198" s="11">
        <f>(Z198+AB198+AD198)*6%</f>
        <v>0.46799999999999997</v>
      </c>
      <c r="AF198" s="11">
        <f>Z198+AB198+AD198+AE198</f>
        <v>8.2680000000000007</v>
      </c>
      <c r="AG198" t="s">
        <v>43</v>
      </c>
    </row>
    <row r="199" spans="1:33" ht="15" customHeight="1" x14ac:dyDescent="0.35">
      <c r="A199">
        <v>690929</v>
      </c>
      <c r="B199" t="s">
        <v>33</v>
      </c>
      <c r="C199" t="s">
        <v>34</v>
      </c>
      <c r="D199" s="6" t="s">
        <v>33</v>
      </c>
      <c r="E199" t="s">
        <v>690</v>
      </c>
      <c r="F199" t="s">
        <v>36</v>
      </c>
      <c r="G199" t="s">
        <v>37</v>
      </c>
      <c r="H199" t="s">
        <v>673</v>
      </c>
      <c r="I199" t="s">
        <v>39</v>
      </c>
      <c r="J199">
        <v>2</v>
      </c>
      <c r="K199" t="s">
        <v>40</v>
      </c>
      <c r="L199" t="s">
        <v>41</v>
      </c>
      <c r="M199" t="s">
        <v>42</v>
      </c>
      <c r="N199" s="7">
        <v>12</v>
      </c>
      <c r="O199" s="8">
        <v>45108.553993055553</v>
      </c>
      <c r="P199" s="9">
        <v>45110</v>
      </c>
      <c r="Q199" t="s">
        <v>36</v>
      </c>
      <c r="R199" t="s">
        <v>43</v>
      </c>
      <c r="S199" t="s">
        <v>44</v>
      </c>
      <c r="T199" t="s">
        <v>75</v>
      </c>
      <c r="U199" t="s">
        <v>674</v>
      </c>
      <c r="V199">
        <v>59200</v>
      </c>
      <c r="W199" t="s">
        <v>43</v>
      </c>
      <c r="X199" t="s">
        <v>675</v>
      </c>
      <c r="Y199" t="s">
        <v>48</v>
      </c>
      <c r="Z199" s="10">
        <f>IF(N199&lt;=1,7,7+0.8*ROUNDUP(N199-1,0))</f>
        <v>15.8</v>
      </c>
      <c r="AA199" s="11">
        <v>0</v>
      </c>
      <c r="AB199" s="11">
        <v>0</v>
      </c>
      <c r="AC199" s="11">
        <v>0</v>
      </c>
      <c r="AD199" s="11">
        <v>0</v>
      </c>
      <c r="AE199" s="11">
        <f>(Z199+AB199+AD199)*6%</f>
        <v>0.94799999999999995</v>
      </c>
      <c r="AF199" s="11">
        <f>Z199+AB199+AD199+AE199</f>
        <v>16.748000000000001</v>
      </c>
      <c r="AG199" t="s">
        <v>43</v>
      </c>
    </row>
    <row r="200" spans="1:33" ht="15" customHeight="1" x14ac:dyDescent="0.35">
      <c r="A200">
        <v>690929</v>
      </c>
      <c r="B200" t="s">
        <v>33</v>
      </c>
      <c r="C200" t="s">
        <v>34</v>
      </c>
      <c r="D200" s="6" t="s">
        <v>33</v>
      </c>
      <c r="E200" t="s">
        <v>691</v>
      </c>
      <c r="F200" t="s">
        <v>36</v>
      </c>
      <c r="G200" t="s">
        <v>37</v>
      </c>
      <c r="H200" t="s">
        <v>673</v>
      </c>
      <c r="I200" t="s">
        <v>39</v>
      </c>
      <c r="J200">
        <v>2</v>
      </c>
      <c r="K200" t="s">
        <v>40</v>
      </c>
      <c r="L200" t="s">
        <v>41</v>
      </c>
      <c r="M200" t="s">
        <v>42</v>
      </c>
      <c r="N200" s="7">
        <v>18</v>
      </c>
      <c r="O200" s="8">
        <v>45108.553993055553</v>
      </c>
      <c r="P200" s="9">
        <v>45110</v>
      </c>
      <c r="Q200" t="s">
        <v>36</v>
      </c>
      <c r="R200" t="s">
        <v>43</v>
      </c>
      <c r="S200" t="s">
        <v>44</v>
      </c>
      <c r="T200" t="s">
        <v>75</v>
      </c>
      <c r="U200" t="s">
        <v>674</v>
      </c>
      <c r="V200">
        <v>59200</v>
      </c>
      <c r="W200" t="s">
        <v>43</v>
      </c>
      <c r="X200" t="s">
        <v>675</v>
      </c>
      <c r="Y200" t="s">
        <v>48</v>
      </c>
      <c r="Z200" s="10">
        <f>IF(N200&lt;=1,7,7+0.8*ROUNDUP(N200-1,0))</f>
        <v>20.6</v>
      </c>
      <c r="AA200" s="11">
        <v>0</v>
      </c>
      <c r="AB200" s="11">
        <v>0</v>
      </c>
      <c r="AC200" s="11">
        <v>0</v>
      </c>
      <c r="AD200" s="11">
        <v>0</v>
      </c>
      <c r="AE200" s="11">
        <f>(Z200+AB200+AD200)*6%</f>
        <v>1.236</v>
      </c>
      <c r="AF200" s="11">
        <f>Z200+AB200+AD200+AE200</f>
        <v>21.836000000000002</v>
      </c>
      <c r="AG200" t="s">
        <v>43</v>
      </c>
    </row>
    <row r="201" spans="1:33" ht="15" customHeight="1" x14ac:dyDescent="0.35">
      <c r="A201">
        <v>690929</v>
      </c>
      <c r="B201" t="s">
        <v>33</v>
      </c>
      <c r="C201" t="s">
        <v>34</v>
      </c>
      <c r="D201" s="6" t="s">
        <v>33</v>
      </c>
      <c r="E201" t="s">
        <v>692</v>
      </c>
      <c r="F201" t="s">
        <v>36</v>
      </c>
      <c r="G201" t="s">
        <v>37</v>
      </c>
      <c r="H201" t="s">
        <v>673</v>
      </c>
      <c r="I201" t="s">
        <v>39</v>
      </c>
      <c r="J201">
        <v>2</v>
      </c>
      <c r="K201" t="s">
        <v>40</v>
      </c>
      <c r="L201" t="s">
        <v>41</v>
      </c>
      <c r="M201" t="s">
        <v>42</v>
      </c>
      <c r="N201" s="7">
        <v>22</v>
      </c>
      <c r="O201" s="8">
        <v>45108.553993055553</v>
      </c>
      <c r="P201" s="9">
        <v>45110</v>
      </c>
      <c r="Q201" t="s">
        <v>36</v>
      </c>
      <c r="R201" t="s">
        <v>43</v>
      </c>
      <c r="S201" t="s">
        <v>44</v>
      </c>
      <c r="T201" t="s">
        <v>75</v>
      </c>
      <c r="U201" t="s">
        <v>674</v>
      </c>
      <c r="V201">
        <v>59200</v>
      </c>
      <c r="W201" t="s">
        <v>43</v>
      </c>
      <c r="X201" t="s">
        <v>675</v>
      </c>
      <c r="Y201" t="s">
        <v>48</v>
      </c>
      <c r="Z201" s="10">
        <f>IF(N201&lt;=1,7,7+0.8*ROUNDUP(N201-1,0))</f>
        <v>23.8</v>
      </c>
      <c r="AA201" s="11">
        <v>0</v>
      </c>
      <c r="AB201" s="11">
        <v>0</v>
      </c>
      <c r="AC201" s="11">
        <v>0</v>
      </c>
      <c r="AD201" s="11">
        <v>0</v>
      </c>
      <c r="AE201" s="11">
        <f>(Z201+AB201+AD201)*6%</f>
        <v>1.4279999999999999</v>
      </c>
      <c r="AF201" s="11">
        <f>Z201+AB201+AD201+AE201</f>
        <v>25.228000000000002</v>
      </c>
      <c r="AG201" t="s">
        <v>43</v>
      </c>
    </row>
    <row r="202" spans="1:33" ht="15" customHeight="1" x14ac:dyDescent="0.35">
      <c r="A202">
        <v>690929</v>
      </c>
      <c r="B202" t="s">
        <v>33</v>
      </c>
      <c r="C202" t="s">
        <v>34</v>
      </c>
      <c r="D202" s="6" t="s">
        <v>33</v>
      </c>
      <c r="E202" t="s">
        <v>693</v>
      </c>
      <c r="F202" t="s">
        <v>36</v>
      </c>
      <c r="G202" t="s">
        <v>37</v>
      </c>
      <c r="H202" t="s">
        <v>673</v>
      </c>
      <c r="I202" t="s">
        <v>39</v>
      </c>
      <c r="J202">
        <v>2</v>
      </c>
      <c r="K202" t="s">
        <v>40</v>
      </c>
      <c r="L202" t="s">
        <v>41</v>
      </c>
      <c r="M202" t="s">
        <v>42</v>
      </c>
      <c r="N202" s="7">
        <v>23</v>
      </c>
      <c r="O202" s="8">
        <v>45108.553993055553</v>
      </c>
      <c r="P202" s="9">
        <v>45110</v>
      </c>
      <c r="Q202" t="s">
        <v>36</v>
      </c>
      <c r="R202" t="s">
        <v>43</v>
      </c>
      <c r="S202" t="s">
        <v>44</v>
      </c>
      <c r="T202" t="s">
        <v>75</v>
      </c>
      <c r="U202" t="s">
        <v>674</v>
      </c>
      <c r="V202">
        <v>59200</v>
      </c>
      <c r="W202" t="s">
        <v>43</v>
      </c>
      <c r="X202" t="s">
        <v>675</v>
      </c>
      <c r="Y202" t="s">
        <v>48</v>
      </c>
      <c r="Z202" s="10">
        <f>IF(N202&lt;=1,7,7+0.8*ROUNDUP(N202-1,0))</f>
        <v>24.6</v>
      </c>
      <c r="AA202" s="11">
        <v>0</v>
      </c>
      <c r="AB202" s="11">
        <v>0</v>
      </c>
      <c r="AC202" s="11">
        <v>0</v>
      </c>
      <c r="AD202" s="11">
        <v>0</v>
      </c>
      <c r="AE202" s="11">
        <f>(Z202+AB202+AD202)*6%</f>
        <v>1.476</v>
      </c>
      <c r="AF202" s="11">
        <f>Z202+AB202+AD202+AE202</f>
        <v>26.076000000000001</v>
      </c>
      <c r="AG202" t="s">
        <v>43</v>
      </c>
    </row>
    <row r="203" spans="1:33" ht="15" customHeight="1" x14ac:dyDescent="0.35">
      <c r="A203">
        <v>690929</v>
      </c>
      <c r="B203" t="s">
        <v>33</v>
      </c>
      <c r="C203" t="s">
        <v>34</v>
      </c>
      <c r="D203" s="6" t="s">
        <v>33</v>
      </c>
      <c r="E203" t="s">
        <v>694</v>
      </c>
      <c r="F203" t="s">
        <v>36</v>
      </c>
      <c r="G203" t="s">
        <v>37</v>
      </c>
      <c r="H203" t="s">
        <v>673</v>
      </c>
      <c r="I203" t="s">
        <v>39</v>
      </c>
      <c r="J203">
        <v>2</v>
      </c>
      <c r="K203" t="s">
        <v>40</v>
      </c>
      <c r="L203" t="s">
        <v>41</v>
      </c>
      <c r="M203" t="s">
        <v>42</v>
      </c>
      <c r="N203" s="7">
        <v>12</v>
      </c>
      <c r="O203" s="8">
        <v>45108.553993055553</v>
      </c>
      <c r="P203" s="9">
        <v>45110</v>
      </c>
      <c r="Q203" t="s">
        <v>36</v>
      </c>
      <c r="R203" t="s">
        <v>43</v>
      </c>
      <c r="S203" t="s">
        <v>44</v>
      </c>
      <c r="T203" t="s">
        <v>75</v>
      </c>
      <c r="U203" t="s">
        <v>674</v>
      </c>
      <c r="V203">
        <v>59200</v>
      </c>
      <c r="W203" t="s">
        <v>43</v>
      </c>
      <c r="X203" t="s">
        <v>675</v>
      </c>
      <c r="Y203" t="s">
        <v>48</v>
      </c>
      <c r="Z203" s="10">
        <f>IF(N203&lt;=1,7,7+0.8*ROUNDUP(N203-1,0))</f>
        <v>15.8</v>
      </c>
      <c r="AA203" s="11">
        <v>0</v>
      </c>
      <c r="AB203" s="11">
        <v>0</v>
      </c>
      <c r="AC203" s="11">
        <v>0</v>
      </c>
      <c r="AD203" s="11">
        <v>0</v>
      </c>
      <c r="AE203" s="11">
        <f>(Z203+AB203+AD203)*6%</f>
        <v>0.94799999999999995</v>
      </c>
      <c r="AF203" s="11">
        <f>Z203+AB203+AD203+AE203</f>
        <v>16.748000000000001</v>
      </c>
      <c r="AG203" t="s">
        <v>43</v>
      </c>
    </row>
    <row r="204" spans="1:33" ht="15" customHeight="1" x14ac:dyDescent="0.35">
      <c r="A204">
        <v>690929</v>
      </c>
      <c r="B204" t="s">
        <v>33</v>
      </c>
      <c r="C204" t="s">
        <v>34</v>
      </c>
      <c r="D204" s="6" t="s">
        <v>33</v>
      </c>
      <c r="E204" t="s">
        <v>695</v>
      </c>
      <c r="F204" t="s">
        <v>36</v>
      </c>
      <c r="G204" t="s">
        <v>37</v>
      </c>
      <c r="H204" t="s">
        <v>673</v>
      </c>
      <c r="I204" t="s">
        <v>39</v>
      </c>
      <c r="J204">
        <v>2</v>
      </c>
      <c r="K204" t="s">
        <v>40</v>
      </c>
      <c r="L204" t="s">
        <v>41</v>
      </c>
      <c r="M204" t="s">
        <v>42</v>
      </c>
      <c r="N204" s="7">
        <v>23</v>
      </c>
      <c r="O204" s="8">
        <v>45108.553993055553</v>
      </c>
      <c r="P204" s="9">
        <v>45110</v>
      </c>
      <c r="Q204" t="s">
        <v>36</v>
      </c>
      <c r="R204" t="s">
        <v>43</v>
      </c>
      <c r="S204" t="s">
        <v>44</v>
      </c>
      <c r="T204" t="s">
        <v>75</v>
      </c>
      <c r="U204" t="s">
        <v>674</v>
      </c>
      <c r="V204">
        <v>59200</v>
      </c>
      <c r="W204" t="s">
        <v>43</v>
      </c>
      <c r="X204" t="s">
        <v>675</v>
      </c>
      <c r="Y204" t="s">
        <v>48</v>
      </c>
      <c r="Z204" s="10">
        <f>IF(N204&lt;=1,7,7+0.8*ROUNDUP(N204-1,0))</f>
        <v>24.6</v>
      </c>
      <c r="AA204" s="11">
        <v>0</v>
      </c>
      <c r="AB204" s="11">
        <v>0</v>
      </c>
      <c r="AC204" s="11">
        <v>0</v>
      </c>
      <c r="AD204" s="11">
        <v>0</v>
      </c>
      <c r="AE204" s="11">
        <f>(Z204+AB204+AD204)*6%</f>
        <v>1.476</v>
      </c>
      <c r="AF204" s="11">
        <f>Z204+AB204+AD204+AE204</f>
        <v>26.076000000000001</v>
      </c>
      <c r="AG204" t="s">
        <v>43</v>
      </c>
    </row>
    <row r="205" spans="1:33" ht="15" customHeight="1" x14ac:dyDescent="0.35">
      <c r="A205">
        <v>690929</v>
      </c>
      <c r="B205" t="s">
        <v>33</v>
      </c>
      <c r="C205" t="s">
        <v>34</v>
      </c>
      <c r="D205" s="6" t="s">
        <v>33</v>
      </c>
      <c r="E205" t="s">
        <v>696</v>
      </c>
      <c r="F205" t="s">
        <v>36</v>
      </c>
      <c r="G205" t="s">
        <v>37</v>
      </c>
      <c r="H205" t="s">
        <v>673</v>
      </c>
      <c r="I205" t="s">
        <v>39</v>
      </c>
      <c r="J205">
        <v>2</v>
      </c>
      <c r="K205" t="s">
        <v>40</v>
      </c>
      <c r="L205" t="s">
        <v>41</v>
      </c>
      <c r="M205" t="s">
        <v>42</v>
      </c>
      <c r="N205" s="7">
        <v>5</v>
      </c>
      <c r="O205" s="8">
        <v>45108.553993055553</v>
      </c>
      <c r="P205" s="9">
        <v>45110</v>
      </c>
      <c r="Q205" t="s">
        <v>36</v>
      </c>
      <c r="R205" t="s">
        <v>43</v>
      </c>
      <c r="S205" t="s">
        <v>44</v>
      </c>
      <c r="T205" t="s">
        <v>75</v>
      </c>
      <c r="U205" t="s">
        <v>674</v>
      </c>
      <c r="V205">
        <v>59200</v>
      </c>
      <c r="W205" t="s">
        <v>43</v>
      </c>
      <c r="X205" t="s">
        <v>675</v>
      </c>
      <c r="Y205" t="s">
        <v>48</v>
      </c>
      <c r="Z205" s="10">
        <f>IF(N205&lt;=1,7,7+0.8*ROUNDUP(N205-1,0))</f>
        <v>10.199999999999999</v>
      </c>
      <c r="AA205" s="11">
        <v>0</v>
      </c>
      <c r="AB205" s="11">
        <v>0</v>
      </c>
      <c r="AC205" s="11">
        <v>0</v>
      </c>
      <c r="AD205" s="11">
        <v>0</v>
      </c>
      <c r="AE205" s="11">
        <f>(Z205+AB205+AD205)*6%</f>
        <v>0.61199999999999999</v>
      </c>
      <c r="AF205" s="11">
        <f>Z205+AB205+AD205+AE205</f>
        <v>10.811999999999999</v>
      </c>
      <c r="AG205" t="s">
        <v>43</v>
      </c>
    </row>
    <row r="206" spans="1:33" ht="15" customHeight="1" x14ac:dyDescent="0.35">
      <c r="A206">
        <v>690929</v>
      </c>
      <c r="B206" t="s">
        <v>33</v>
      </c>
      <c r="C206" t="s">
        <v>34</v>
      </c>
      <c r="D206" s="6" t="s">
        <v>33</v>
      </c>
      <c r="E206" t="s">
        <v>697</v>
      </c>
      <c r="F206" t="s">
        <v>36</v>
      </c>
      <c r="G206" t="s">
        <v>37</v>
      </c>
      <c r="H206" t="s">
        <v>673</v>
      </c>
      <c r="I206" t="s">
        <v>39</v>
      </c>
      <c r="J206">
        <v>2</v>
      </c>
      <c r="K206" t="s">
        <v>40</v>
      </c>
      <c r="L206" t="s">
        <v>41</v>
      </c>
      <c r="M206" t="s">
        <v>42</v>
      </c>
      <c r="N206" s="7">
        <v>11</v>
      </c>
      <c r="O206" s="8">
        <v>45108.528564814813</v>
      </c>
      <c r="P206" s="9">
        <v>45110</v>
      </c>
      <c r="Q206" t="s">
        <v>36</v>
      </c>
      <c r="R206" t="s">
        <v>43</v>
      </c>
      <c r="S206" t="s">
        <v>44</v>
      </c>
      <c r="T206" t="s">
        <v>75</v>
      </c>
      <c r="U206" t="s">
        <v>674</v>
      </c>
      <c r="V206">
        <v>59200</v>
      </c>
      <c r="W206" t="s">
        <v>43</v>
      </c>
      <c r="X206" t="s">
        <v>675</v>
      </c>
      <c r="Y206" t="s">
        <v>48</v>
      </c>
      <c r="Z206" s="10">
        <f>IF(N206&lt;=1,7,7+0.8*ROUNDUP(N206-1,0))</f>
        <v>15</v>
      </c>
      <c r="AA206" s="11">
        <v>0</v>
      </c>
      <c r="AB206" s="11">
        <v>0</v>
      </c>
      <c r="AC206" s="11">
        <v>0</v>
      </c>
      <c r="AD206" s="11">
        <v>0</v>
      </c>
      <c r="AE206" s="11">
        <f>(Z206+AB206+AD206)*6%</f>
        <v>0.89999999999999991</v>
      </c>
      <c r="AF206" s="11">
        <f>Z206+AB206+AD206+AE206</f>
        <v>15.9</v>
      </c>
      <c r="AG206" t="s">
        <v>43</v>
      </c>
    </row>
    <row r="207" spans="1:33" ht="15" customHeight="1" x14ac:dyDescent="0.35">
      <c r="A207">
        <v>690929</v>
      </c>
      <c r="B207" t="s">
        <v>33</v>
      </c>
      <c r="C207" t="s">
        <v>34</v>
      </c>
      <c r="D207" s="6" t="s">
        <v>33</v>
      </c>
      <c r="E207" t="s">
        <v>698</v>
      </c>
      <c r="F207" t="s">
        <v>36</v>
      </c>
      <c r="G207" t="s">
        <v>37</v>
      </c>
      <c r="H207" t="s">
        <v>673</v>
      </c>
      <c r="I207" t="s">
        <v>39</v>
      </c>
      <c r="J207">
        <v>2</v>
      </c>
      <c r="K207" t="s">
        <v>40</v>
      </c>
      <c r="L207" t="s">
        <v>41</v>
      </c>
      <c r="M207" t="s">
        <v>42</v>
      </c>
      <c r="N207" s="7">
        <v>3</v>
      </c>
      <c r="O207" s="8">
        <v>45108.553993055553</v>
      </c>
      <c r="P207" s="9">
        <v>45110</v>
      </c>
      <c r="Q207" t="s">
        <v>36</v>
      </c>
      <c r="R207" t="s">
        <v>43</v>
      </c>
      <c r="S207" t="s">
        <v>44</v>
      </c>
      <c r="T207" t="s">
        <v>75</v>
      </c>
      <c r="U207" t="s">
        <v>674</v>
      </c>
      <c r="V207">
        <v>59200</v>
      </c>
      <c r="W207" t="s">
        <v>43</v>
      </c>
      <c r="X207" t="s">
        <v>675</v>
      </c>
      <c r="Y207" t="s">
        <v>48</v>
      </c>
      <c r="Z207" s="10">
        <f>IF(N207&lt;=1,7,7+0.8*ROUNDUP(N207-1,0))</f>
        <v>8.6</v>
      </c>
      <c r="AA207" s="11">
        <v>0</v>
      </c>
      <c r="AB207" s="11">
        <v>0</v>
      </c>
      <c r="AC207" s="11">
        <v>0</v>
      </c>
      <c r="AD207" s="11">
        <v>0</v>
      </c>
      <c r="AE207" s="11">
        <f>(Z207+AB207+AD207)*6%</f>
        <v>0.51600000000000001</v>
      </c>
      <c r="AF207" s="11">
        <f>Z207+AB207+AD207+AE207</f>
        <v>9.1159999999999997</v>
      </c>
      <c r="AG207" t="s">
        <v>43</v>
      </c>
    </row>
    <row r="208" spans="1:33" ht="15" customHeight="1" x14ac:dyDescent="0.35">
      <c r="A208">
        <v>690929</v>
      </c>
      <c r="B208" t="s">
        <v>33</v>
      </c>
      <c r="C208" t="s">
        <v>34</v>
      </c>
      <c r="D208" s="6" t="s">
        <v>33</v>
      </c>
      <c r="E208" t="s">
        <v>699</v>
      </c>
      <c r="F208" t="s">
        <v>36</v>
      </c>
      <c r="G208" t="s">
        <v>37</v>
      </c>
      <c r="H208" t="s">
        <v>700</v>
      </c>
      <c r="I208" t="s">
        <v>39</v>
      </c>
      <c r="J208">
        <v>2</v>
      </c>
      <c r="K208" t="s">
        <v>40</v>
      </c>
      <c r="L208" t="s">
        <v>41</v>
      </c>
      <c r="M208" t="s">
        <v>42</v>
      </c>
      <c r="N208" s="7">
        <v>3</v>
      </c>
      <c r="O208" s="8">
        <v>45104.692812499998</v>
      </c>
      <c r="P208" s="9">
        <v>45111</v>
      </c>
      <c r="Q208" t="s">
        <v>36</v>
      </c>
      <c r="R208" t="s">
        <v>43</v>
      </c>
      <c r="S208" t="s">
        <v>44</v>
      </c>
      <c r="T208" t="s">
        <v>57</v>
      </c>
      <c r="U208" t="s">
        <v>701</v>
      </c>
      <c r="V208">
        <v>68100</v>
      </c>
      <c r="W208" t="s">
        <v>43</v>
      </c>
      <c r="X208" t="s">
        <v>158</v>
      </c>
      <c r="Y208" t="s">
        <v>48</v>
      </c>
      <c r="Z208" s="10">
        <f>IF(N208&lt;=1,7,7+0.8*ROUNDUP(N208-1,0))</f>
        <v>8.6</v>
      </c>
      <c r="AA208" s="11">
        <v>0</v>
      </c>
      <c r="AB208" s="11">
        <v>0</v>
      </c>
      <c r="AC208" s="11">
        <v>0</v>
      </c>
      <c r="AD208" s="11">
        <v>0</v>
      </c>
      <c r="AE208" s="11">
        <f>(Z208+AB208+AD208)*6%</f>
        <v>0.51600000000000001</v>
      </c>
      <c r="AF208" s="11">
        <f>Z208+AB208+AD208+AE208</f>
        <v>9.1159999999999997</v>
      </c>
      <c r="AG208" t="s">
        <v>43</v>
      </c>
    </row>
    <row r="209" spans="1:33" ht="15" customHeight="1" x14ac:dyDescent="0.35">
      <c r="A209">
        <v>690929</v>
      </c>
      <c r="B209" t="s">
        <v>33</v>
      </c>
      <c r="C209" t="s">
        <v>34</v>
      </c>
      <c r="D209" s="6" t="s">
        <v>33</v>
      </c>
      <c r="E209" t="s">
        <v>702</v>
      </c>
      <c r="F209" t="s">
        <v>36</v>
      </c>
      <c r="G209" t="s">
        <v>37</v>
      </c>
      <c r="H209" t="s">
        <v>703</v>
      </c>
      <c r="I209" t="s">
        <v>39</v>
      </c>
      <c r="J209">
        <v>2</v>
      </c>
      <c r="K209" t="s">
        <v>40</v>
      </c>
      <c r="L209" t="s">
        <v>41</v>
      </c>
      <c r="M209" t="s">
        <v>42</v>
      </c>
      <c r="N209" s="7">
        <v>1</v>
      </c>
      <c r="O209" s="8">
        <v>45109.74291666667</v>
      </c>
      <c r="P209" s="9">
        <v>45111</v>
      </c>
      <c r="Q209" t="s">
        <v>36</v>
      </c>
      <c r="R209" t="s">
        <v>43</v>
      </c>
      <c r="S209" t="s">
        <v>44</v>
      </c>
      <c r="T209" t="s">
        <v>89</v>
      </c>
      <c r="U209" t="s">
        <v>704</v>
      </c>
      <c r="V209">
        <v>26400</v>
      </c>
      <c r="W209" t="s">
        <v>43</v>
      </c>
      <c r="X209" t="s">
        <v>44</v>
      </c>
      <c r="Y209" t="s">
        <v>48</v>
      </c>
      <c r="Z209" s="10">
        <f>IF(N209&lt;=1,7,7+0.8*ROUNDUP(N209-1,0))</f>
        <v>7</v>
      </c>
      <c r="AA209" s="11">
        <v>0</v>
      </c>
      <c r="AB209" s="11">
        <v>0</v>
      </c>
      <c r="AC209" s="11">
        <v>0</v>
      </c>
      <c r="AD209" s="11">
        <v>0</v>
      </c>
      <c r="AE209" s="11">
        <f>(Z209+AB209+AD209)*6%</f>
        <v>0.42</v>
      </c>
      <c r="AF209" s="11">
        <f>Z209+AB209+AD209+AE209</f>
        <v>7.42</v>
      </c>
      <c r="AG209" t="s">
        <v>43</v>
      </c>
    </row>
    <row r="210" spans="1:33" ht="15" customHeight="1" x14ac:dyDescent="0.35">
      <c r="A210">
        <v>690929</v>
      </c>
      <c r="B210" t="s">
        <v>33</v>
      </c>
      <c r="C210" t="s">
        <v>34</v>
      </c>
      <c r="D210" s="6" t="s">
        <v>33</v>
      </c>
      <c r="E210" t="s">
        <v>705</v>
      </c>
      <c r="F210" t="s">
        <v>36</v>
      </c>
      <c r="G210" t="s">
        <v>37</v>
      </c>
      <c r="H210" t="s">
        <v>706</v>
      </c>
      <c r="I210" t="s">
        <v>39</v>
      </c>
      <c r="J210">
        <v>2</v>
      </c>
      <c r="K210" t="s">
        <v>40</v>
      </c>
      <c r="L210" t="s">
        <v>41</v>
      </c>
      <c r="M210" t="s">
        <v>42</v>
      </c>
      <c r="N210" s="7">
        <v>6</v>
      </c>
      <c r="O210" s="8">
        <v>45110.735185185185</v>
      </c>
      <c r="P210" s="9">
        <v>45111</v>
      </c>
      <c r="Q210" t="s">
        <v>36</v>
      </c>
      <c r="R210" t="s">
        <v>43</v>
      </c>
      <c r="S210" t="s">
        <v>44</v>
      </c>
      <c r="T210" t="s">
        <v>89</v>
      </c>
      <c r="U210" t="s">
        <v>707</v>
      </c>
      <c r="V210">
        <v>27610</v>
      </c>
      <c r="W210" t="s">
        <v>43</v>
      </c>
      <c r="X210" t="s">
        <v>708</v>
      </c>
      <c r="Y210" t="s">
        <v>48</v>
      </c>
      <c r="Z210" s="10">
        <f>IF(N210&lt;=1,7,7+0.8*ROUNDUP(N210-1,0))</f>
        <v>11</v>
      </c>
      <c r="AA210" s="11">
        <v>0</v>
      </c>
      <c r="AB210" s="11">
        <v>0</v>
      </c>
      <c r="AC210" s="11">
        <v>0</v>
      </c>
      <c r="AD210" s="11">
        <v>0</v>
      </c>
      <c r="AE210" s="11">
        <f>(Z210+AB210+AD210)*6%</f>
        <v>0.65999999999999992</v>
      </c>
      <c r="AF210" s="11">
        <f>Z210+AB210+AD210+AE210</f>
        <v>11.66</v>
      </c>
      <c r="AG210" t="s">
        <v>43</v>
      </c>
    </row>
    <row r="211" spans="1:33" ht="15" customHeight="1" x14ac:dyDescent="0.35">
      <c r="A211">
        <v>690929</v>
      </c>
      <c r="B211" t="s">
        <v>33</v>
      </c>
      <c r="C211" t="s">
        <v>34</v>
      </c>
      <c r="D211" s="6" t="s">
        <v>33</v>
      </c>
      <c r="E211" t="s">
        <v>709</v>
      </c>
      <c r="F211" t="s">
        <v>36</v>
      </c>
      <c r="G211" t="s">
        <v>37</v>
      </c>
      <c r="H211" t="s">
        <v>710</v>
      </c>
      <c r="I211" t="s">
        <v>39</v>
      </c>
      <c r="J211">
        <v>2</v>
      </c>
      <c r="K211" t="s">
        <v>40</v>
      </c>
      <c r="L211" t="s">
        <v>41</v>
      </c>
      <c r="M211" t="s">
        <v>42</v>
      </c>
      <c r="N211" s="7">
        <v>1</v>
      </c>
      <c r="O211" s="8">
        <v>45110.674490740741</v>
      </c>
      <c r="P211" s="9">
        <v>45111</v>
      </c>
      <c r="Q211" t="s">
        <v>36</v>
      </c>
      <c r="R211" t="s">
        <v>43</v>
      </c>
      <c r="S211" t="s">
        <v>44</v>
      </c>
      <c r="T211" t="s">
        <v>66</v>
      </c>
      <c r="U211" t="s">
        <v>711</v>
      </c>
      <c r="V211">
        <v>21600</v>
      </c>
      <c r="W211" t="s">
        <v>43</v>
      </c>
      <c r="X211" t="s">
        <v>44</v>
      </c>
      <c r="Y211" t="s">
        <v>48</v>
      </c>
      <c r="Z211" s="10">
        <f>IF(N211&lt;=1,7,7+0.8*ROUNDUP(N211-1,0))</f>
        <v>7</v>
      </c>
      <c r="AA211" s="11">
        <v>0</v>
      </c>
      <c r="AB211" s="11">
        <v>0</v>
      </c>
      <c r="AC211" s="11">
        <v>0</v>
      </c>
      <c r="AD211" s="11">
        <v>0</v>
      </c>
      <c r="AE211" s="11">
        <f>(Z211+AB211+AD211)*6%</f>
        <v>0.42</v>
      </c>
      <c r="AF211" s="11">
        <f>Z211+AB211+AD211+AE211</f>
        <v>7.42</v>
      </c>
      <c r="AG211" t="s">
        <v>43</v>
      </c>
    </row>
    <row r="212" spans="1:33" ht="15" customHeight="1" x14ac:dyDescent="0.35">
      <c r="A212">
        <v>690929</v>
      </c>
      <c r="B212" t="s">
        <v>33</v>
      </c>
      <c r="C212" t="s">
        <v>34</v>
      </c>
      <c r="D212" s="6" t="s">
        <v>33</v>
      </c>
      <c r="E212" t="s">
        <v>712</v>
      </c>
      <c r="F212" t="s">
        <v>36</v>
      </c>
      <c r="G212" t="s">
        <v>37</v>
      </c>
      <c r="H212" t="s">
        <v>713</v>
      </c>
      <c r="I212" t="s">
        <v>39</v>
      </c>
      <c r="J212">
        <v>2</v>
      </c>
      <c r="K212" t="s">
        <v>40</v>
      </c>
      <c r="L212" t="s">
        <v>41</v>
      </c>
      <c r="M212" t="s">
        <v>42</v>
      </c>
      <c r="N212" s="7">
        <v>9</v>
      </c>
      <c r="O212" s="8">
        <v>45110.74355324074</v>
      </c>
      <c r="P212" s="9">
        <v>45111</v>
      </c>
      <c r="Q212" t="s">
        <v>36</v>
      </c>
      <c r="R212" t="s">
        <v>43</v>
      </c>
      <c r="S212" t="s">
        <v>44</v>
      </c>
      <c r="T212" t="s">
        <v>57</v>
      </c>
      <c r="U212" t="s">
        <v>714</v>
      </c>
      <c r="V212">
        <v>42000</v>
      </c>
      <c r="W212" t="s">
        <v>43</v>
      </c>
      <c r="X212" t="s">
        <v>98</v>
      </c>
      <c r="Y212" t="s">
        <v>48</v>
      </c>
      <c r="Z212" s="10">
        <f>IF(N212&lt;=1,7,7+0.8*ROUNDUP(N212-1,0))</f>
        <v>13.4</v>
      </c>
      <c r="AA212" s="11">
        <v>0</v>
      </c>
      <c r="AB212" s="11">
        <v>0</v>
      </c>
      <c r="AC212" s="11">
        <v>0</v>
      </c>
      <c r="AD212" s="11">
        <v>0</v>
      </c>
      <c r="AE212" s="11">
        <f>(Z212+AB212+AD212)*6%</f>
        <v>0.80399999999999994</v>
      </c>
      <c r="AF212" s="11">
        <f>Z212+AB212+AD212+AE212</f>
        <v>14.204000000000001</v>
      </c>
      <c r="AG212" t="s">
        <v>43</v>
      </c>
    </row>
    <row r="213" spans="1:33" ht="15" customHeight="1" x14ac:dyDescent="0.35">
      <c r="A213">
        <v>690929</v>
      </c>
      <c r="B213" t="s">
        <v>33</v>
      </c>
      <c r="C213" t="s">
        <v>34</v>
      </c>
      <c r="D213" s="6" t="s">
        <v>33</v>
      </c>
      <c r="E213" t="s">
        <v>715</v>
      </c>
      <c r="F213" t="s">
        <v>36</v>
      </c>
      <c r="G213" t="s">
        <v>37</v>
      </c>
      <c r="H213" t="s">
        <v>716</v>
      </c>
      <c r="I213" t="s">
        <v>39</v>
      </c>
      <c r="J213">
        <v>2</v>
      </c>
      <c r="K213" t="s">
        <v>40</v>
      </c>
      <c r="L213" t="s">
        <v>41</v>
      </c>
      <c r="M213" t="s">
        <v>42</v>
      </c>
      <c r="N213" s="7">
        <v>6</v>
      </c>
      <c r="O213" s="8">
        <v>45110.749895833331</v>
      </c>
      <c r="P213" s="9">
        <v>45111</v>
      </c>
      <c r="Q213" t="s">
        <v>36</v>
      </c>
      <c r="R213" t="s">
        <v>43</v>
      </c>
      <c r="S213" t="s">
        <v>44</v>
      </c>
      <c r="T213" t="s">
        <v>57</v>
      </c>
      <c r="U213" t="s">
        <v>717</v>
      </c>
      <c r="V213">
        <v>40150</v>
      </c>
      <c r="W213" t="s">
        <v>43</v>
      </c>
      <c r="X213" t="s">
        <v>270</v>
      </c>
      <c r="Y213" t="s">
        <v>48</v>
      </c>
      <c r="Z213" s="10">
        <f>IF(N213&lt;=1,7,7+0.8*ROUNDUP(N213-1,0))</f>
        <v>11</v>
      </c>
      <c r="AA213" s="11">
        <v>0</v>
      </c>
      <c r="AB213" s="11">
        <v>0</v>
      </c>
      <c r="AC213" s="11">
        <v>0</v>
      </c>
      <c r="AD213" s="11">
        <v>0</v>
      </c>
      <c r="AE213" s="11">
        <f>(Z213+AB213+AD213)*6%</f>
        <v>0.65999999999999992</v>
      </c>
      <c r="AF213" s="11">
        <f>Z213+AB213+AD213+AE213</f>
        <v>11.66</v>
      </c>
      <c r="AG213" t="s">
        <v>43</v>
      </c>
    </row>
    <row r="214" spans="1:33" ht="15" customHeight="1" x14ac:dyDescent="0.35">
      <c r="A214">
        <v>690929</v>
      </c>
      <c r="B214" t="s">
        <v>33</v>
      </c>
      <c r="C214" t="s">
        <v>34</v>
      </c>
      <c r="D214" s="6" t="s">
        <v>33</v>
      </c>
      <c r="E214" t="s">
        <v>718</v>
      </c>
      <c r="F214" t="s">
        <v>36</v>
      </c>
      <c r="G214" t="s">
        <v>37</v>
      </c>
      <c r="H214" t="s">
        <v>713</v>
      </c>
      <c r="I214" t="s">
        <v>39</v>
      </c>
      <c r="J214">
        <v>2</v>
      </c>
      <c r="K214" t="s">
        <v>40</v>
      </c>
      <c r="L214" t="s">
        <v>41</v>
      </c>
      <c r="M214" t="s">
        <v>42</v>
      </c>
      <c r="N214" s="7">
        <v>9</v>
      </c>
      <c r="O214" s="8">
        <v>45110.735185185185</v>
      </c>
      <c r="P214" s="9">
        <v>45111</v>
      </c>
      <c r="Q214" t="s">
        <v>36</v>
      </c>
      <c r="R214" t="s">
        <v>43</v>
      </c>
      <c r="S214" t="s">
        <v>44</v>
      </c>
      <c r="T214" t="s">
        <v>57</v>
      </c>
      <c r="U214" t="s">
        <v>714</v>
      </c>
      <c r="V214">
        <v>42000</v>
      </c>
      <c r="W214" t="s">
        <v>43</v>
      </c>
      <c r="X214" t="s">
        <v>98</v>
      </c>
      <c r="Y214" t="s">
        <v>48</v>
      </c>
      <c r="Z214" s="10">
        <f>IF(N214&lt;=1,7,7+0.8*ROUNDUP(N214-1,0))</f>
        <v>13.4</v>
      </c>
      <c r="AA214" s="11">
        <v>0</v>
      </c>
      <c r="AB214" s="11">
        <v>0</v>
      </c>
      <c r="AC214" s="11">
        <v>0</v>
      </c>
      <c r="AD214" s="11">
        <v>0</v>
      </c>
      <c r="AE214" s="11">
        <f>(Z214+AB214+AD214)*6%</f>
        <v>0.80399999999999994</v>
      </c>
      <c r="AF214" s="11">
        <f>Z214+AB214+AD214+AE214</f>
        <v>14.204000000000001</v>
      </c>
      <c r="AG214" t="s">
        <v>43</v>
      </c>
    </row>
    <row r="215" spans="1:33" ht="15" customHeight="1" x14ac:dyDescent="0.35">
      <c r="A215">
        <v>690929</v>
      </c>
      <c r="B215" t="s">
        <v>33</v>
      </c>
      <c r="C215" t="s">
        <v>34</v>
      </c>
      <c r="D215" s="6" t="s">
        <v>33</v>
      </c>
      <c r="E215" t="s">
        <v>719</v>
      </c>
      <c r="F215" t="s">
        <v>36</v>
      </c>
      <c r="G215" t="s">
        <v>37</v>
      </c>
      <c r="H215" t="s">
        <v>716</v>
      </c>
      <c r="I215" t="s">
        <v>39</v>
      </c>
      <c r="J215">
        <v>2</v>
      </c>
      <c r="K215" t="s">
        <v>40</v>
      </c>
      <c r="L215" t="s">
        <v>41</v>
      </c>
      <c r="M215" t="s">
        <v>42</v>
      </c>
      <c r="N215" s="7">
        <v>6</v>
      </c>
      <c r="O215" s="8">
        <v>45110.735185185185</v>
      </c>
      <c r="P215" s="9">
        <v>45111</v>
      </c>
      <c r="Q215" t="s">
        <v>36</v>
      </c>
      <c r="R215" t="s">
        <v>43</v>
      </c>
      <c r="S215" t="s">
        <v>44</v>
      </c>
      <c r="T215" t="s">
        <v>57</v>
      </c>
      <c r="U215" t="s">
        <v>717</v>
      </c>
      <c r="V215">
        <v>40150</v>
      </c>
      <c r="W215" t="s">
        <v>43</v>
      </c>
      <c r="X215" t="s">
        <v>270</v>
      </c>
      <c r="Y215" t="s">
        <v>48</v>
      </c>
      <c r="Z215" s="10">
        <f>IF(N215&lt;=1,7,7+0.8*ROUNDUP(N215-1,0))</f>
        <v>11</v>
      </c>
      <c r="AA215" s="11">
        <v>0</v>
      </c>
      <c r="AB215" s="11">
        <v>0</v>
      </c>
      <c r="AC215" s="11">
        <v>0</v>
      </c>
      <c r="AD215" s="11">
        <v>0</v>
      </c>
      <c r="AE215" s="11">
        <f>(Z215+AB215+AD215)*6%</f>
        <v>0.65999999999999992</v>
      </c>
      <c r="AF215" s="11">
        <f>Z215+AB215+AD215+AE215</f>
        <v>11.66</v>
      </c>
      <c r="AG215" t="s">
        <v>43</v>
      </c>
    </row>
    <row r="216" spans="1:33" ht="15" customHeight="1" x14ac:dyDescent="0.35">
      <c r="A216">
        <v>690929</v>
      </c>
      <c r="B216" t="s">
        <v>33</v>
      </c>
      <c r="C216" t="s">
        <v>34</v>
      </c>
      <c r="D216" s="6" t="s">
        <v>33</v>
      </c>
      <c r="E216" t="s">
        <v>720</v>
      </c>
      <c r="F216" t="s">
        <v>36</v>
      </c>
      <c r="G216" t="s">
        <v>37</v>
      </c>
      <c r="H216" t="s">
        <v>721</v>
      </c>
      <c r="I216" t="s">
        <v>39</v>
      </c>
      <c r="J216">
        <v>2</v>
      </c>
      <c r="K216" t="s">
        <v>40</v>
      </c>
      <c r="L216" t="s">
        <v>41</v>
      </c>
      <c r="M216" t="s">
        <v>42</v>
      </c>
      <c r="N216" s="7">
        <v>4</v>
      </c>
      <c r="O216" s="8">
        <v>45110.708182870374</v>
      </c>
      <c r="P216" s="9">
        <v>45111</v>
      </c>
      <c r="Q216" t="s">
        <v>36</v>
      </c>
      <c r="R216" t="s">
        <v>43</v>
      </c>
      <c r="S216" t="s">
        <v>44</v>
      </c>
      <c r="T216" t="s">
        <v>57</v>
      </c>
      <c r="U216" t="s">
        <v>722</v>
      </c>
      <c r="V216">
        <v>68000</v>
      </c>
      <c r="W216" t="s">
        <v>43</v>
      </c>
      <c r="X216" t="s">
        <v>188</v>
      </c>
      <c r="Y216" t="s">
        <v>48</v>
      </c>
      <c r="Z216" s="10">
        <f>IF(N216&lt;=1,7,7+0.8*ROUNDUP(N216-1,0))</f>
        <v>9.4</v>
      </c>
      <c r="AA216" s="11">
        <v>0</v>
      </c>
      <c r="AB216" s="11">
        <v>0</v>
      </c>
      <c r="AC216" s="11">
        <v>0</v>
      </c>
      <c r="AD216" s="11">
        <v>0</v>
      </c>
      <c r="AE216" s="11">
        <f>(Z216+AB216+AD216)*6%</f>
        <v>0.56399999999999995</v>
      </c>
      <c r="AF216" s="11">
        <f>Z216+AB216+AD216+AE216</f>
        <v>9.9640000000000004</v>
      </c>
      <c r="AG216" t="s">
        <v>43</v>
      </c>
    </row>
    <row r="217" spans="1:33" ht="15" customHeight="1" x14ac:dyDescent="0.35">
      <c r="A217">
        <v>690929</v>
      </c>
      <c r="B217" t="s">
        <v>33</v>
      </c>
      <c r="C217" t="s">
        <v>34</v>
      </c>
      <c r="D217" s="6" t="s">
        <v>33</v>
      </c>
      <c r="E217" t="s">
        <v>723</v>
      </c>
      <c r="F217" t="s">
        <v>36</v>
      </c>
      <c r="G217" t="s">
        <v>37</v>
      </c>
      <c r="H217" t="s">
        <v>724</v>
      </c>
      <c r="I217" t="s">
        <v>39</v>
      </c>
      <c r="J217">
        <v>2</v>
      </c>
      <c r="K217" t="s">
        <v>40</v>
      </c>
      <c r="L217" t="s">
        <v>41</v>
      </c>
      <c r="M217" t="s">
        <v>42</v>
      </c>
      <c r="N217" s="7">
        <v>1</v>
      </c>
      <c r="O217" s="8">
        <v>45108.695532407408</v>
      </c>
      <c r="P217" s="9">
        <v>45112</v>
      </c>
      <c r="Q217" t="s">
        <v>36</v>
      </c>
      <c r="R217" t="s">
        <v>43</v>
      </c>
      <c r="S217" t="s">
        <v>44</v>
      </c>
      <c r="T217" t="s">
        <v>170</v>
      </c>
      <c r="U217" t="s">
        <v>725</v>
      </c>
      <c r="V217">
        <v>89058</v>
      </c>
      <c r="W217" t="s">
        <v>172</v>
      </c>
      <c r="X217" t="s">
        <v>726</v>
      </c>
      <c r="Y217" t="s">
        <v>48</v>
      </c>
      <c r="Z217" s="12">
        <f>IF(N217&lt;=1,13,IF(N217&lt;=2,23,IF(N217&lt;=3,35,IF(N217&lt;=4,43,IF(N217&lt;=5,53,IF(N217&lt;=6,63,IF(N217&lt;=7,71,IF(N217&lt;=8,79,IF(N217&lt;=9,87,IF(N217&lt;=10,95,IF(N217&lt;=11,105,IF(N217&lt;=12,114,IF(N217&lt;=13,119,IF(N217&lt;=14,127,IF(N217&lt;=15,135,IF(N217&lt;=16,143,IF(N217&lt;=17,153,IF(N217&lt;=18,163,IF(N217&lt;=19,171,IF(N217&lt;=20,185,IF(N217&lt;=21,193,IF(N217&lt;=22,201,IF(N217&lt;=23,210,IF(N217&lt;=24,220,IF(N217&lt;=25,230,IF(N217&lt;=26,240,IF(N217&lt;=27,250,IF(N217&lt;=28,260,IF(N217&lt;=29,270,IF(N217&lt;=30,280,280+10*ROUNDUP(N217-30,0)))))))))))))))))))))))))))))))</f>
        <v>13</v>
      </c>
      <c r="AA217" s="11">
        <v>0</v>
      </c>
      <c r="AB217" s="11">
        <v>0</v>
      </c>
      <c r="AC217" s="11">
        <v>0</v>
      </c>
      <c r="AD217" s="11">
        <v>0</v>
      </c>
      <c r="AE217" s="11">
        <f>(Z217+AB217+AD217)*6%</f>
        <v>0.78</v>
      </c>
      <c r="AF217" s="11">
        <f>Z217+AB217+AD217+AE217</f>
        <v>13.78</v>
      </c>
      <c r="AG217" t="s">
        <v>172</v>
      </c>
    </row>
    <row r="218" spans="1:33" ht="15" customHeight="1" x14ac:dyDescent="0.35">
      <c r="A218">
        <v>690929</v>
      </c>
      <c r="B218" t="s">
        <v>33</v>
      </c>
      <c r="C218" t="s">
        <v>34</v>
      </c>
      <c r="D218" s="6" t="s">
        <v>33</v>
      </c>
      <c r="E218" t="s">
        <v>727</v>
      </c>
      <c r="F218" t="s">
        <v>36</v>
      </c>
      <c r="G218" t="s">
        <v>37</v>
      </c>
      <c r="H218" t="s">
        <v>728</v>
      </c>
      <c r="I218" t="s">
        <v>39</v>
      </c>
      <c r="J218">
        <v>2</v>
      </c>
      <c r="K218" t="s">
        <v>40</v>
      </c>
      <c r="L218" t="s">
        <v>41</v>
      </c>
      <c r="M218" t="s">
        <v>42</v>
      </c>
      <c r="N218" s="7">
        <v>14</v>
      </c>
      <c r="O218" s="8">
        <v>45110.710300925923</v>
      </c>
      <c r="P218" s="9">
        <v>45112</v>
      </c>
      <c r="Q218" t="s">
        <v>36</v>
      </c>
      <c r="R218" t="s">
        <v>43</v>
      </c>
      <c r="S218" t="s">
        <v>44</v>
      </c>
      <c r="T218" t="s">
        <v>653</v>
      </c>
      <c r="U218" t="s">
        <v>729</v>
      </c>
      <c r="V218">
        <v>2500</v>
      </c>
      <c r="W218" t="s">
        <v>43</v>
      </c>
      <c r="X218" t="s">
        <v>655</v>
      </c>
      <c r="Y218" t="s">
        <v>48</v>
      </c>
      <c r="Z218" s="10">
        <f>IF(N218&lt;=1,7,7+0.8*ROUNDUP(N218-1,0))</f>
        <v>17.399999999999999</v>
      </c>
      <c r="AA218" s="11">
        <v>0</v>
      </c>
      <c r="AB218" s="11">
        <v>0</v>
      </c>
      <c r="AC218" s="11">
        <v>0</v>
      </c>
      <c r="AD218" s="11">
        <v>0</v>
      </c>
      <c r="AE218" s="11">
        <f>(Z218+AB218+AD218)*6%</f>
        <v>1.0439999999999998</v>
      </c>
      <c r="AF218" s="11">
        <f>Z218+AB218+AD218+AE218</f>
        <v>18.443999999999999</v>
      </c>
      <c r="AG218" t="s">
        <v>43</v>
      </c>
    </row>
    <row r="219" spans="1:33" ht="15" customHeight="1" x14ac:dyDescent="0.35">
      <c r="A219">
        <v>690929</v>
      </c>
      <c r="B219" t="s">
        <v>33</v>
      </c>
      <c r="C219" t="s">
        <v>34</v>
      </c>
      <c r="D219" s="6" t="s">
        <v>33</v>
      </c>
      <c r="E219" t="s">
        <v>730</v>
      </c>
      <c r="F219" t="s">
        <v>36</v>
      </c>
      <c r="G219" t="s">
        <v>37</v>
      </c>
      <c r="H219" t="s">
        <v>731</v>
      </c>
      <c r="I219" t="s">
        <v>39</v>
      </c>
      <c r="J219">
        <v>2</v>
      </c>
      <c r="K219" t="s">
        <v>40</v>
      </c>
      <c r="L219" t="s">
        <v>41</v>
      </c>
      <c r="M219" t="s">
        <v>42</v>
      </c>
      <c r="N219" s="7">
        <v>1</v>
      </c>
      <c r="O219" s="8">
        <v>45111.632291666669</v>
      </c>
      <c r="P219" s="9">
        <v>45112</v>
      </c>
      <c r="Q219" t="s">
        <v>36</v>
      </c>
      <c r="R219" t="s">
        <v>43</v>
      </c>
      <c r="S219" t="s">
        <v>44</v>
      </c>
      <c r="T219" t="s">
        <v>109</v>
      </c>
      <c r="U219" t="s">
        <v>732</v>
      </c>
      <c r="V219">
        <v>16400</v>
      </c>
      <c r="W219" t="s">
        <v>43</v>
      </c>
      <c r="X219" t="s">
        <v>56</v>
      </c>
      <c r="Y219" t="s">
        <v>48</v>
      </c>
      <c r="Z219" s="10">
        <f>IF(N219&lt;=1,7,7+0.8*ROUNDUP(N219-1,0))</f>
        <v>7</v>
      </c>
      <c r="AA219" s="11">
        <v>0</v>
      </c>
      <c r="AB219" s="11">
        <v>0</v>
      </c>
      <c r="AC219" s="11">
        <v>0</v>
      </c>
      <c r="AD219" s="11">
        <v>0</v>
      </c>
      <c r="AE219" s="11">
        <f>(Z219+AB219+AD219)*6%</f>
        <v>0.42</v>
      </c>
      <c r="AF219" s="11">
        <f>Z219+AB219+AD219+AE219</f>
        <v>7.42</v>
      </c>
      <c r="AG219" t="s">
        <v>43</v>
      </c>
    </row>
    <row r="220" spans="1:33" ht="15" customHeight="1" x14ac:dyDescent="0.35">
      <c r="A220">
        <v>690929</v>
      </c>
      <c r="B220" t="s">
        <v>33</v>
      </c>
      <c r="C220" t="s">
        <v>34</v>
      </c>
      <c r="D220" s="6" t="s">
        <v>33</v>
      </c>
      <c r="E220" t="s">
        <v>733</v>
      </c>
      <c r="F220" t="s">
        <v>36</v>
      </c>
      <c r="G220" t="s">
        <v>37</v>
      </c>
      <c r="H220" t="s">
        <v>734</v>
      </c>
      <c r="I220" t="s">
        <v>39</v>
      </c>
      <c r="J220">
        <v>2</v>
      </c>
      <c r="K220" t="s">
        <v>40</v>
      </c>
      <c r="L220" t="s">
        <v>41</v>
      </c>
      <c r="M220" t="s">
        <v>42</v>
      </c>
      <c r="N220" s="7">
        <v>1</v>
      </c>
      <c r="O220" s="8">
        <v>45110.776689814818</v>
      </c>
      <c r="P220" s="9">
        <v>45112</v>
      </c>
      <c r="Q220" t="s">
        <v>36</v>
      </c>
      <c r="R220" t="s">
        <v>43</v>
      </c>
      <c r="S220" t="s">
        <v>44</v>
      </c>
      <c r="T220" t="s">
        <v>57</v>
      </c>
      <c r="U220" t="s">
        <v>735</v>
      </c>
      <c r="V220">
        <v>40400</v>
      </c>
      <c r="W220" t="s">
        <v>43</v>
      </c>
      <c r="X220" t="s">
        <v>736</v>
      </c>
      <c r="Y220" t="s">
        <v>48</v>
      </c>
      <c r="Z220" s="10">
        <f>IF(N220&lt;=1,7,7+0.8*ROUNDUP(N220-1,0))</f>
        <v>7</v>
      </c>
      <c r="AA220" s="11">
        <v>0</v>
      </c>
      <c r="AB220" s="11">
        <v>0</v>
      </c>
      <c r="AC220" s="11">
        <v>0</v>
      </c>
      <c r="AD220" s="11">
        <v>0</v>
      </c>
      <c r="AE220" s="11">
        <f>(Z220+AB220+AD220)*6%</f>
        <v>0.42</v>
      </c>
      <c r="AF220" s="11">
        <f>Z220+AB220+AD220+AE220</f>
        <v>7.42</v>
      </c>
      <c r="AG220" t="s">
        <v>43</v>
      </c>
    </row>
    <row r="221" spans="1:33" ht="15" customHeight="1" x14ac:dyDescent="0.35">
      <c r="A221">
        <v>690929</v>
      </c>
      <c r="B221" t="s">
        <v>33</v>
      </c>
      <c r="C221" t="s">
        <v>34</v>
      </c>
      <c r="D221" s="6" t="s">
        <v>33</v>
      </c>
      <c r="E221" t="s">
        <v>737</v>
      </c>
      <c r="F221" t="s">
        <v>36</v>
      </c>
      <c r="G221" t="s">
        <v>37</v>
      </c>
      <c r="H221" t="s">
        <v>738</v>
      </c>
      <c r="I221" t="s">
        <v>39</v>
      </c>
      <c r="J221">
        <v>2</v>
      </c>
      <c r="K221" t="s">
        <v>40</v>
      </c>
      <c r="L221" t="s">
        <v>41</v>
      </c>
      <c r="M221" t="s">
        <v>42</v>
      </c>
      <c r="N221" s="7">
        <v>1</v>
      </c>
      <c r="O221" s="8">
        <v>45110.724016203705</v>
      </c>
      <c r="P221" s="9">
        <v>45112</v>
      </c>
      <c r="Q221" t="s">
        <v>36</v>
      </c>
      <c r="R221" t="s">
        <v>43</v>
      </c>
      <c r="S221" t="s">
        <v>44</v>
      </c>
      <c r="T221" t="s">
        <v>70</v>
      </c>
      <c r="U221" t="s">
        <v>739</v>
      </c>
      <c r="V221">
        <v>11900</v>
      </c>
      <c r="W221" t="s">
        <v>43</v>
      </c>
      <c r="X221" t="s">
        <v>740</v>
      </c>
      <c r="Y221" t="s">
        <v>48</v>
      </c>
      <c r="Z221" s="10">
        <f>IF(N221&lt;=1,7,7+0.8*ROUNDUP(N221-1,0))</f>
        <v>7</v>
      </c>
      <c r="AA221" s="11">
        <v>0</v>
      </c>
      <c r="AB221" s="11">
        <v>0</v>
      </c>
      <c r="AC221" s="11">
        <v>0</v>
      </c>
      <c r="AD221" s="11">
        <v>0</v>
      </c>
      <c r="AE221" s="11">
        <f>(Z221+AB221+AD221)*6%</f>
        <v>0.42</v>
      </c>
      <c r="AF221" s="11">
        <f>Z221+AB221+AD221+AE221</f>
        <v>7.42</v>
      </c>
      <c r="AG221" t="s">
        <v>43</v>
      </c>
    </row>
    <row r="222" spans="1:33" ht="15" customHeight="1" x14ac:dyDescent="0.35">
      <c r="A222">
        <v>690929</v>
      </c>
      <c r="B222" t="s">
        <v>33</v>
      </c>
      <c r="C222" t="s">
        <v>34</v>
      </c>
      <c r="D222" s="6" t="s">
        <v>33</v>
      </c>
      <c r="E222" t="s">
        <v>741</v>
      </c>
      <c r="F222" t="s">
        <v>36</v>
      </c>
      <c r="G222" t="s">
        <v>37</v>
      </c>
      <c r="H222" t="s">
        <v>742</v>
      </c>
      <c r="I222" t="s">
        <v>39</v>
      </c>
      <c r="J222">
        <v>2</v>
      </c>
      <c r="K222" t="s">
        <v>40</v>
      </c>
      <c r="L222" t="s">
        <v>41</v>
      </c>
      <c r="M222" t="s">
        <v>42</v>
      </c>
      <c r="N222" s="7">
        <v>1</v>
      </c>
      <c r="O222" s="8">
        <v>45111.634837962964</v>
      </c>
      <c r="P222" s="9">
        <v>45112</v>
      </c>
      <c r="Q222" t="s">
        <v>36</v>
      </c>
      <c r="R222" t="s">
        <v>43</v>
      </c>
      <c r="S222" t="s">
        <v>44</v>
      </c>
      <c r="T222" t="s">
        <v>109</v>
      </c>
      <c r="U222" t="s">
        <v>743</v>
      </c>
      <c r="V222">
        <v>17000</v>
      </c>
      <c r="W222" t="s">
        <v>43</v>
      </c>
      <c r="X222" t="s">
        <v>56</v>
      </c>
      <c r="Y222" t="s">
        <v>48</v>
      </c>
      <c r="Z222" s="10">
        <f>IF(N222&lt;=1,7,7+0.8*ROUNDUP(N222-1,0))</f>
        <v>7</v>
      </c>
      <c r="AA222" s="11">
        <v>0</v>
      </c>
      <c r="AB222" s="11">
        <v>0</v>
      </c>
      <c r="AC222" s="11">
        <v>0</v>
      </c>
      <c r="AD222" s="11">
        <v>0</v>
      </c>
      <c r="AE222" s="11">
        <f>(Z222+AB222+AD222)*6%</f>
        <v>0.42</v>
      </c>
      <c r="AF222" s="11">
        <f>Z222+AB222+AD222+AE222</f>
        <v>7.42</v>
      </c>
      <c r="AG222" t="s">
        <v>43</v>
      </c>
    </row>
    <row r="223" spans="1:33" ht="15" customHeight="1" x14ac:dyDescent="0.35">
      <c r="A223">
        <v>690929</v>
      </c>
      <c r="B223" t="s">
        <v>33</v>
      </c>
      <c r="C223" t="s">
        <v>34</v>
      </c>
      <c r="D223" s="6" t="s">
        <v>33</v>
      </c>
      <c r="E223" t="s">
        <v>744</v>
      </c>
      <c r="F223" t="s">
        <v>36</v>
      </c>
      <c r="G223" t="s">
        <v>37</v>
      </c>
      <c r="H223" t="s">
        <v>745</v>
      </c>
      <c r="I223" t="s">
        <v>39</v>
      </c>
      <c r="J223">
        <v>2</v>
      </c>
      <c r="K223" t="s">
        <v>40</v>
      </c>
      <c r="L223" t="s">
        <v>41</v>
      </c>
      <c r="M223" t="s">
        <v>42</v>
      </c>
      <c r="N223" s="7">
        <v>5</v>
      </c>
      <c r="O223" s="8">
        <v>45111.69635416667</v>
      </c>
      <c r="P223" s="9">
        <v>45112</v>
      </c>
      <c r="Q223" t="s">
        <v>36</v>
      </c>
      <c r="R223" t="s">
        <v>43</v>
      </c>
      <c r="S223" t="s">
        <v>44</v>
      </c>
      <c r="T223" t="s">
        <v>57</v>
      </c>
      <c r="U223" t="s">
        <v>746</v>
      </c>
      <c r="V223">
        <v>40604</v>
      </c>
      <c r="W223" t="s">
        <v>43</v>
      </c>
      <c r="X223" t="s">
        <v>747</v>
      </c>
      <c r="Y223" t="s">
        <v>48</v>
      </c>
      <c r="Z223" s="10">
        <f>IF(N223&lt;=1,7,7+0.8*ROUNDUP(N223-1,0))</f>
        <v>10.199999999999999</v>
      </c>
      <c r="AA223" s="11">
        <v>0</v>
      </c>
      <c r="AB223" s="11">
        <v>0</v>
      </c>
      <c r="AC223" s="11">
        <v>0</v>
      </c>
      <c r="AD223" s="11">
        <v>0</v>
      </c>
      <c r="AE223" s="11">
        <f>(Z223+AB223+AD223)*6%</f>
        <v>0.61199999999999999</v>
      </c>
      <c r="AF223" s="11">
        <f>Z223+AB223+AD223+AE223</f>
        <v>10.811999999999999</v>
      </c>
      <c r="AG223" t="s">
        <v>43</v>
      </c>
    </row>
    <row r="224" spans="1:33" ht="15" customHeight="1" x14ac:dyDescent="0.35">
      <c r="A224">
        <v>690929</v>
      </c>
      <c r="B224" t="s">
        <v>33</v>
      </c>
      <c r="C224" t="s">
        <v>34</v>
      </c>
      <c r="D224" s="6" t="s">
        <v>33</v>
      </c>
      <c r="E224" t="s">
        <v>748</v>
      </c>
      <c r="F224" t="s">
        <v>36</v>
      </c>
      <c r="G224" t="s">
        <v>37</v>
      </c>
      <c r="H224" t="s">
        <v>673</v>
      </c>
      <c r="I224" t="s">
        <v>39</v>
      </c>
      <c r="J224">
        <v>2</v>
      </c>
      <c r="K224" t="s">
        <v>40</v>
      </c>
      <c r="L224" t="s">
        <v>41</v>
      </c>
      <c r="M224" t="s">
        <v>42</v>
      </c>
      <c r="N224" s="7">
        <v>20</v>
      </c>
      <c r="O224" s="8">
        <v>45108.553993055553</v>
      </c>
      <c r="P224" s="9">
        <v>45112</v>
      </c>
      <c r="Q224" t="s">
        <v>36</v>
      </c>
      <c r="R224" t="s">
        <v>43</v>
      </c>
      <c r="S224" t="s">
        <v>44</v>
      </c>
      <c r="T224" t="s">
        <v>75</v>
      </c>
      <c r="U224" t="s">
        <v>749</v>
      </c>
      <c r="V224">
        <v>59200</v>
      </c>
      <c r="W224" t="s">
        <v>43</v>
      </c>
      <c r="X224" t="s">
        <v>750</v>
      </c>
      <c r="Y224" t="s">
        <v>48</v>
      </c>
      <c r="Z224" s="10">
        <f>IF(N224&lt;=1,7,7+0.8*ROUNDUP(N224-1,0))</f>
        <v>22.200000000000003</v>
      </c>
      <c r="AA224" s="11">
        <v>0</v>
      </c>
      <c r="AB224" s="11">
        <v>0</v>
      </c>
      <c r="AC224" s="11">
        <v>0</v>
      </c>
      <c r="AD224" s="11">
        <v>0</v>
      </c>
      <c r="AE224" s="11">
        <f>(Z224+AB224+AD224)*6%</f>
        <v>1.3320000000000001</v>
      </c>
      <c r="AF224" s="11">
        <f>Z224+AB224+AD224+AE224</f>
        <v>23.532000000000004</v>
      </c>
      <c r="AG224" t="s">
        <v>43</v>
      </c>
    </row>
    <row r="225" spans="1:33" ht="15" customHeight="1" x14ac:dyDescent="0.35">
      <c r="A225">
        <v>690929</v>
      </c>
      <c r="B225" t="s">
        <v>33</v>
      </c>
      <c r="C225" t="s">
        <v>34</v>
      </c>
      <c r="D225" s="6" t="s">
        <v>33</v>
      </c>
      <c r="E225" t="s">
        <v>751</v>
      </c>
      <c r="F225" t="s">
        <v>36</v>
      </c>
      <c r="G225" t="s">
        <v>37</v>
      </c>
      <c r="H225" t="s">
        <v>745</v>
      </c>
      <c r="I225" t="s">
        <v>39</v>
      </c>
      <c r="J225">
        <v>2</v>
      </c>
      <c r="K225" t="s">
        <v>40</v>
      </c>
      <c r="L225" t="s">
        <v>41</v>
      </c>
      <c r="M225" t="s">
        <v>42</v>
      </c>
      <c r="N225" s="7">
        <v>3</v>
      </c>
      <c r="O225" s="8">
        <v>45111.69636574074</v>
      </c>
      <c r="P225" s="9">
        <v>45112</v>
      </c>
      <c r="Q225" t="s">
        <v>36</v>
      </c>
      <c r="R225" t="s">
        <v>43</v>
      </c>
      <c r="S225" t="s">
        <v>44</v>
      </c>
      <c r="T225" t="s">
        <v>57</v>
      </c>
      <c r="U225" t="s">
        <v>746</v>
      </c>
      <c r="V225">
        <v>40604</v>
      </c>
      <c r="W225" t="s">
        <v>43</v>
      </c>
      <c r="X225" t="s">
        <v>747</v>
      </c>
      <c r="Y225" t="s">
        <v>48</v>
      </c>
      <c r="Z225" s="10">
        <f>IF(N225&lt;=1,7,7+0.8*ROUNDUP(N225-1,0))</f>
        <v>8.6</v>
      </c>
      <c r="AA225" s="11">
        <v>0</v>
      </c>
      <c r="AB225" s="11">
        <v>0</v>
      </c>
      <c r="AC225" s="11">
        <v>0</v>
      </c>
      <c r="AD225" s="11">
        <v>0</v>
      </c>
      <c r="AE225" s="11">
        <f>(Z225+AB225+AD225)*6%</f>
        <v>0.51600000000000001</v>
      </c>
      <c r="AF225" s="11">
        <f>Z225+AB225+AD225+AE225</f>
        <v>9.1159999999999997</v>
      </c>
      <c r="AG225" t="s">
        <v>43</v>
      </c>
    </row>
    <row r="226" spans="1:33" ht="15" customHeight="1" x14ac:dyDescent="0.35">
      <c r="A226">
        <v>690929</v>
      </c>
      <c r="B226" t="s">
        <v>33</v>
      </c>
      <c r="C226" t="s">
        <v>34</v>
      </c>
      <c r="D226" s="6" t="s">
        <v>33</v>
      </c>
      <c r="E226" t="s">
        <v>752</v>
      </c>
      <c r="F226" t="s">
        <v>36</v>
      </c>
      <c r="G226" t="s">
        <v>37</v>
      </c>
      <c r="H226" t="s">
        <v>673</v>
      </c>
      <c r="I226" t="s">
        <v>39</v>
      </c>
      <c r="J226">
        <v>2</v>
      </c>
      <c r="K226" t="s">
        <v>40</v>
      </c>
      <c r="L226" t="s">
        <v>41</v>
      </c>
      <c r="M226" t="s">
        <v>42</v>
      </c>
      <c r="N226" s="7">
        <v>24</v>
      </c>
      <c r="O226" s="8">
        <v>45108.553993055553</v>
      </c>
      <c r="P226" s="9">
        <v>45112</v>
      </c>
      <c r="Q226" t="s">
        <v>36</v>
      </c>
      <c r="R226" t="s">
        <v>43</v>
      </c>
      <c r="S226" t="s">
        <v>44</v>
      </c>
      <c r="T226" t="s">
        <v>75</v>
      </c>
      <c r="U226" t="s">
        <v>749</v>
      </c>
      <c r="V226">
        <v>59200</v>
      </c>
      <c r="W226" t="s">
        <v>43</v>
      </c>
      <c r="X226" t="s">
        <v>750</v>
      </c>
      <c r="Y226" t="s">
        <v>48</v>
      </c>
      <c r="Z226" s="10">
        <f>IF(N226&lt;=1,7,7+0.8*ROUNDUP(N226-1,0))</f>
        <v>25.400000000000002</v>
      </c>
      <c r="AA226" s="11">
        <v>0</v>
      </c>
      <c r="AB226" s="11">
        <v>0</v>
      </c>
      <c r="AC226" s="11">
        <v>0</v>
      </c>
      <c r="AD226" s="11">
        <v>0</v>
      </c>
      <c r="AE226" s="11">
        <f>(Z226+AB226+AD226)*6%</f>
        <v>1.524</v>
      </c>
      <c r="AF226" s="11">
        <f>Z226+AB226+AD226+AE226</f>
        <v>26.924000000000003</v>
      </c>
      <c r="AG226" t="s">
        <v>43</v>
      </c>
    </row>
    <row r="227" spans="1:33" ht="15" customHeight="1" x14ac:dyDescent="0.35">
      <c r="A227">
        <v>690929</v>
      </c>
      <c r="B227" t="s">
        <v>33</v>
      </c>
      <c r="C227" t="s">
        <v>34</v>
      </c>
      <c r="D227" s="6" t="s">
        <v>33</v>
      </c>
      <c r="E227" t="s">
        <v>753</v>
      </c>
      <c r="F227" t="s">
        <v>36</v>
      </c>
      <c r="G227" t="s">
        <v>37</v>
      </c>
      <c r="H227" t="s">
        <v>754</v>
      </c>
      <c r="I227" t="s">
        <v>39</v>
      </c>
      <c r="J227">
        <v>2</v>
      </c>
      <c r="K227" t="s">
        <v>40</v>
      </c>
      <c r="L227" t="s">
        <v>41</v>
      </c>
      <c r="M227" t="s">
        <v>42</v>
      </c>
      <c r="N227" s="7">
        <v>4</v>
      </c>
      <c r="O227" s="8">
        <v>45111.602916666663</v>
      </c>
      <c r="P227" s="9">
        <v>45112</v>
      </c>
      <c r="Q227" t="s">
        <v>36</v>
      </c>
      <c r="R227" t="s">
        <v>43</v>
      </c>
      <c r="S227" t="s">
        <v>44</v>
      </c>
      <c r="T227" t="s">
        <v>89</v>
      </c>
      <c r="U227" t="s">
        <v>755</v>
      </c>
      <c r="V227">
        <v>26700</v>
      </c>
      <c r="W227" t="s">
        <v>43</v>
      </c>
      <c r="X227" t="s">
        <v>756</v>
      </c>
      <c r="Y227" t="s">
        <v>48</v>
      </c>
      <c r="Z227" s="10">
        <f>IF(N227&lt;=1,7,7+0.8*ROUNDUP(N227-1,0))</f>
        <v>9.4</v>
      </c>
      <c r="AA227" s="11">
        <v>0</v>
      </c>
      <c r="AB227" s="11">
        <v>0</v>
      </c>
      <c r="AC227" s="11">
        <v>0</v>
      </c>
      <c r="AD227" s="11">
        <v>0</v>
      </c>
      <c r="AE227" s="11">
        <f>(Z227+AB227+AD227)*6%</f>
        <v>0.56399999999999995</v>
      </c>
      <c r="AF227" s="11">
        <f>Z227+AB227+AD227+AE227</f>
        <v>9.9640000000000004</v>
      </c>
      <c r="AG227" t="s">
        <v>43</v>
      </c>
    </row>
    <row r="228" spans="1:33" ht="15" customHeight="1" x14ac:dyDescent="0.35">
      <c r="A228">
        <v>690929</v>
      </c>
      <c r="B228" t="s">
        <v>33</v>
      </c>
      <c r="C228" t="s">
        <v>34</v>
      </c>
      <c r="D228" s="6" t="s">
        <v>33</v>
      </c>
      <c r="E228" t="s">
        <v>757</v>
      </c>
      <c r="F228" t="s">
        <v>36</v>
      </c>
      <c r="G228" t="s">
        <v>37</v>
      </c>
      <c r="H228" t="s">
        <v>758</v>
      </c>
      <c r="I228" t="s">
        <v>39</v>
      </c>
      <c r="J228">
        <v>2</v>
      </c>
      <c r="K228" t="s">
        <v>40</v>
      </c>
      <c r="L228" t="s">
        <v>41</v>
      </c>
      <c r="M228" t="s">
        <v>42</v>
      </c>
      <c r="N228" s="7">
        <v>1</v>
      </c>
      <c r="O228" s="8">
        <v>45111.638333333336</v>
      </c>
      <c r="P228" s="9">
        <v>45112</v>
      </c>
      <c r="Q228" t="s">
        <v>36</v>
      </c>
      <c r="R228" t="s">
        <v>43</v>
      </c>
      <c r="S228" t="s">
        <v>44</v>
      </c>
      <c r="T228" t="s">
        <v>89</v>
      </c>
      <c r="U228" t="s">
        <v>759</v>
      </c>
      <c r="V228">
        <v>26820</v>
      </c>
      <c r="W228" t="s">
        <v>43</v>
      </c>
      <c r="X228" t="s">
        <v>760</v>
      </c>
      <c r="Y228" t="s">
        <v>48</v>
      </c>
      <c r="Z228" s="10">
        <f>IF(N228&lt;=1,7,7+0.8*ROUNDUP(N228-1,0))</f>
        <v>7</v>
      </c>
      <c r="AA228" s="11">
        <v>0</v>
      </c>
      <c r="AB228" s="11">
        <v>0</v>
      </c>
      <c r="AC228" s="11">
        <v>0</v>
      </c>
      <c r="AD228" s="11">
        <v>0</v>
      </c>
      <c r="AE228" s="11">
        <f>(Z228+AB228+AD228)*6%</f>
        <v>0.42</v>
      </c>
      <c r="AF228" s="11">
        <f>Z228+AB228+AD228+AE228</f>
        <v>7.42</v>
      </c>
      <c r="AG228" t="s">
        <v>43</v>
      </c>
    </row>
    <row r="229" spans="1:33" ht="15" customHeight="1" x14ac:dyDescent="0.35">
      <c r="A229">
        <v>690929</v>
      </c>
      <c r="B229" t="s">
        <v>33</v>
      </c>
      <c r="C229" t="s">
        <v>34</v>
      </c>
      <c r="D229" s="6" t="s">
        <v>33</v>
      </c>
      <c r="E229" t="s">
        <v>761</v>
      </c>
      <c r="F229" t="s">
        <v>36</v>
      </c>
      <c r="G229" t="s">
        <v>37</v>
      </c>
      <c r="H229" t="s">
        <v>762</v>
      </c>
      <c r="I229" t="s">
        <v>39</v>
      </c>
      <c r="J229">
        <v>2</v>
      </c>
      <c r="K229" t="s">
        <v>40</v>
      </c>
      <c r="L229" t="s">
        <v>41</v>
      </c>
      <c r="M229" t="s">
        <v>42</v>
      </c>
      <c r="N229" s="7">
        <v>1</v>
      </c>
      <c r="O229" s="8">
        <v>45110.471388888887</v>
      </c>
      <c r="P229" s="9">
        <v>45112</v>
      </c>
      <c r="Q229" t="s">
        <v>36</v>
      </c>
      <c r="R229" t="s">
        <v>43</v>
      </c>
      <c r="S229" t="s">
        <v>44</v>
      </c>
      <c r="T229" t="s">
        <v>57</v>
      </c>
      <c r="U229" t="s">
        <v>763</v>
      </c>
      <c r="V229">
        <v>47150</v>
      </c>
      <c r="W229" t="s">
        <v>43</v>
      </c>
      <c r="X229" t="s">
        <v>47</v>
      </c>
      <c r="Y229" t="s">
        <v>48</v>
      </c>
      <c r="Z229" s="10">
        <f>IF(N229&lt;=1,7,7+0.8*ROUNDUP(N229-1,0))</f>
        <v>7</v>
      </c>
      <c r="AA229" s="11">
        <v>0</v>
      </c>
      <c r="AB229" s="11">
        <v>0</v>
      </c>
      <c r="AC229" s="11">
        <v>0</v>
      </c>
      <c r="AD229" s="11">
        <v>0</v>
      </c>
      <c r="AE229" s="11">
        <f>(Z229+AB229+AD229)*6%</f>
        <v>0.42</v>
      </c>
      <c r="AF229" s="11">
        <f>Z229+AB229+AD229+AE229</f>
        <v>7.42</v>
      </c>
      <c r="AG229" t="s">
        <v>43</v>
      </c>
    </row>
    <row r="230" spans="1:33" ht="15" customHeight="1" x14ac:dyDescent="0.35">
      <c r="A230">
        <v>690929</v>
      </c>
      <c r="B230" t="s">
        <v>33</v>
      </c>
      <c r="C230" t="s">
        <v>34</v>
      </c>
      <c r="D230" s="6" t="s">
        <v>33</v>
      </c>
      <c r="E230" t="s">
        <v>764</v>
      </c>
      <c r="F230" t="s">
        <v>36</v>
      </c>
      <c r="G230" t="s">
        <v>37</v>
      </c>
      <c r="H230" t="s">
        <v>765</v>
      </c>
      <c r="I230" t="s">
        <v>39</v>
      </c>
      <c r="J230">
        <v>2</v>
      </c>
      <c r="K230" t="s">
        <v>40</v>
      </c>
      <c r="L230" t="s">
        <v>41</v>
      </c>
      <c r="M230" t="s">
        <v>42</v>
      </c>
      <c r="N230" s="7">
        <v>9</v>
      </c>
      <c r="O230" s="8">
        <v>45110.724016203705</v>
      </c>
      <c r="P230" s="9">
        <v>45112</v>
      </c>
      <c r="Q230" t="s">
        <v>36</v>
      </c>
      <c r="R230" t="s">
        <v>43</v>
      </c>
      <c r="S230" t="s">
        <v>44</v>
      </c>
      <c r="T230" t="s">
        <v>80</v>
      </c>
      <c r="U230" t="s">
        <v>766</v>
      </c>
      <c r="V230">
        <v>8000</v>
      </c>
      <c r="W230" t="s">
        <v>43</v>
      </c>
      <c r="X230" t="s">
        <v>767</v>
      </c>
      <c r="Y230" t="s">
        <v>48</v>
      </c>
      <c r="Z230" s="10">
        <f>IF(N230&lt;=1,7,7+0.8*ROUNDUP(N230-1,0))</f>
        <v>13.4</v>
      </c>
      <c r="AA230" s="11">
        <v>0</v>
      </c>
      <c r="AB230" s="11">
        <v>0</v>
      </c>
      <c r="AC230" s="11">
        <v>0</v>
      </c>
      <c r="AD230" s="11">
        <v>0</v>
      </c>
      <c r="AE230" s="11">
        <f>(Z230+AB230+AD230)*6%</f>
        <v>0.80399999999999994</v>
      </c>
      <c r="AF230" s="11">
        <f>Z230+AB230+AD230+AE230</f>
        <v>14.204000000000001</v>
      </c>
      <c r="AG230" t="s">
        <v>43</v>
      </c>
    </row>
    <row r="231" spans="1:33" ht="15" customHeight="1" x14ac:dyDescent="0.35">
      <c r="A231">
        <v>690929</v>
      </c>
      <c r="B231" t="s">
        <v>33</v>
      </c>
      <c r="C231" t="s">
        <v>34</v>
      </c>
      <c r="D231" s="6" t="s">
        <v>33</v>
      </c>
      <c r="E231" t="s">
        <v>768</v>
      </c>
      <c r="F231" t="s">
        <v>36</v>
      </c>
      <c r="G231" t="s">
        <v>37</v>
      </c>
      <c r="H231" t="s">
        <v>769</v>
      </c>
      <c r="I231" t="s">
        <v>39</v>
      </c>
      <c r="J231">
        <v>2</v>
      </c>
      <c r="K231" t="s">
        <v>40</v>
      </c>
      <c r="L231" t="s">
        <v>41</v>
      </c>
      <c r="M231" t="s">
        <v>42</v>
      </c>
      <c r="N231" s="7">
        <v>1</v>
      </c>
      <c r="O231" s="8">
        <v>45111.561655092592</v>
      </c>
      <c r="P231" s="9">
        <v>45112</v>
      </c>
      <c r="Q231" t="s">
        <v>36</v>
      </c>
      <c r="R231" t="s">
        <v>43</v>
      </c>
      <c r="S231" t="s">
        <v>44</v>
      </c>
      <c r="T231" t="s">
        <v>75</v>
      </c>
      <c r="U231" t="s">
        <v>770</v>
      </c>
      <c r="V231">
        <v>58200</v>
      </c>
      <c r="W231" t="s">
        <v>43</v>
      </c>
      <c r="X231" t="s">
        <v>47</v>
      </c>
      <c r="Y231" t="s">
        <v>48</v>
      </c>
      <c r="Z231" s="10">
        <f>IF(N231&lt;=1,7,7+0.8*ROUNDUP(N231-1,0))</f>
        <v>7</v>
      </c>
      <c r="AA231" s="11">
        <v>0</v>
      </c>
      <c r="AB231" s="11">
        <v>0</v>
      </c>
      <c r="AC231" s="11">
        <v>0</v>
      </c>
      <c r="AD231" s="11">
        <v>0</v>
      </c>
      <c r="AE231" s="11">
        <f>(Z231+AB231+AD231)*6%</f>
        <v>0.42</v>
      </c>
      <c r="AF231" s="11">
        <f>Z231+AB231+AD231+AE231</f>
        <v>7.42</v>
      </c>
      <c r="AG231" t="s">
        <v>43</v>
      </c>
    </row>
    <row r="232" spans="1:33" ht="15" customHeight="1" x14ac:dyDescent="0.35">
      <c r="A232">
        <v>690929</v>
      </c>
      <c r="B232" t="s">
        <v>33</v>
      </c>
      <c r="C232" t="s">
        <v>34</v>
      </c>
      <c r="D232" s="6" t="s">
        <v>33</v>
      </c>
      <c r="E232" t="s">
        <v>771</v>
      </c>
      <c r="F232" t="s">
        <v>36</v>
      </c>
      <c r="G232" t="s">
        <v>37</v>
      </c>
      <c r="H232" t="s">
        <v>772</v>
      </c>
      <c r="I232" t="s">
        <v>39</v>
      </c>
      <c r="J232">
        <v>2</v>
      </c>
      <c r="K232" t="s">
        <v>40</v>
      </c>
      <c r="L232" t="s">
        <v>41</v>
      </c>
      <c r="M232" t="s">
        <v>42</v>
      </c>
      <c r="N232" s="7">
        <v>1</v>
      </c>
      <c r="O232" s="8">
        <v>45110.622789351852</v>
      </c>
      <c r="P232" s="9">
        <v>45112</v>
      </c>
      <c r="Q232" t="s">
        <v>36</v>
      </c>
      <c r="R232" t="s">
        <v>43</v>
      </c>
      <c r="S232" t="s">
        <v>44</v>
      </c>
      <c r="T232" t="s">
        <v>75</v>
      </c>
      <c r="U232" t="s">
        <v>773</v>
      </c>
      <c r="V232">
        <v>57000</v>
      </c>
      <c r="W232" t="s">
        <v>43</v>
      </c>
      <c r="X232" t="s">
        <v>147</v>
      </c>
      <c r="Y232" t="s">
        <v>48</v>
      </c>
      <c r="Z232" s="10">
        <f>IF(N232&lt;=1,7,7+0.8*ROUNDUP(N232-1,0))</f>
        <v>7</v>
      </c>
      <c r="AA232" s="11">
        <v>0</v>
      </c>
      <c r="AB232" s="11">
        <v>0</v>
      </c>
      <c r="AC232" s="11">
        <v>0</v>
      </c>
      <c r="AD232" s="11">
        <v>0</v>
      </c>
      <c r="AE232" s="11">
        <f>(Z232+AB232+AD232)*6%</f>
        <v>0.42</v>
      </c>
      <c r="AF232" s="11">
        <f>Z232+AB232+AD232+AE232</f>
        <v>7.42</v>
      </c>
      <c r="AG232" t="s">
        <v>43</v>
      </c>
    </row>
    <row r="233" spans="1:33" ht="15" customHeight="1" x14ac:dyDescent="0.35">
      <c r="A233">
        <v>690929</v>
      </c>
      <c r="B233" t="s">
        <v>33</v>
      </c>
      <c r="C233" t="s">
        <v>34</v>
      </c>
      <c r="D233" s="6" t="s">
        <v>33</v>
      </c>
      <c r="E233" t="s">
        <v>774</v>
      </c>
      <c r="F233" t="s">
        <v>36</v>
      </c>
      <c r="G233" t="s">
        <v>37</v>
      </c>
      <c r="H233" t="s">
        <v>775</v>
      </c>
      <c r="I233" t="s">
        <v>39</v>
      </c>
      <c r="J233">
        <v>2</v>
      </c>
      <c r="K233" t="s">
        <v>40</v>
      </c>
      <c r="L233" t="s">
        <v>41</v>
      </c>
      <c r="M233" t="s">
        <v>42</v>
      </c>
      <c r="N233" s="7">
        <v>1</v>
      </c>
      <c r="O233" s="8">
        <v>45111.562673611108</v>
      </c>
      <c r="P233" s="9">
        <v>45112</v>
      </c>
      <c r="Q233" t="s">
        <v>36</v>
      </c>
      <c r="R233" t="s">
        <v>43</v>
      </c>
      <c r="S233" t="s">
        <v>44</v>
      </c>
      <c r="T233" t="s">
        <v>57</v>
      </c>
      <c r="U233" t="s">
        <v>776</v>
      </c>
      <c r="V233">
        <v>44300</v>
      </c>
      <c r="W233" t="s">
        <v>43</v>
      </c>
      <c r="X233" t="s">
        <v>777</v>
      </c>
      <c r="Y233" t="s">
        <v>48</v>
      </c>
      <c r="Z233" s="10">
        <f>IF(N233&lt;=1,7,7+0.8*ROUNDUP(N233-1,0))</f>
        <v>7</v>
      </c>
      <c r="AA233" s="11">
        <v>0</v>
      </c>
      <c r="AB233" s="11">
        <v>0</v>
      </c>
      <c r="AC233" s="11">
        <v>0</v>
      </c>
      <c r="AD233" s="11">
        <v>0</v>
      </c>
      <c r="AE233" s="11">
        <f>(Z233+AB233+AD233)*6%</f>
        <v>0.42</v>
      </c>
      <c r="AF233" s="11">
        <f>Z233+AB233+AD233+AE233</f>
        <v>7.42</v>
      </c>
      <c r="AG233" t="s">
        <v>43</v>
      </c>
    </row>
    <row r="234" spans="1:33" ht="15" customHeight="1" x14ac:dyDescent="0.35">
      <c r="A234">
        <v>690929</v>
      </c>
      <c r="B234" t="s">
        <v>33</v>
      </c>
      <c r="C234" t="s">
        <v>34</v>
      </c>
      <c r="D234" s="6" t="s">
        <v>33</v>
      </c>
      <c r="E234" t="s">
        <v>778</v>
      </c>
      <c r="F234" t="s">
        <v>36</v>
      </c>
      <c r="G234" t="s">
        <v>37</v>
      </c>
      <c r="H234" t="s">
        <v>779</v>
      </c>
      <c r="I234" t="s">
        <v>39</v>
      </c>
      <c r="J234">
        <v>2</v>
      </c>
      <c r="K234" t="s">
        <v>40</v>
      </c>
      <c r="L234" t="s">
        <v>41</v>
      </c>
      <c r="M234" t="s">
        <v>42</v>
      </c>
      <c r="N234" s="7">
        <v>1</v>
      </c>
      <c r="O234" s="8">
        <v>45111.631192129629</v>
      </c>
      <c r="P234" s="9">
        <v>45112</v>
      </c>
      <c r="Q234" t="s">
        <v>36</v>
      </c>
      <c r="R234" t="s">
        <v>43</v>
      </c>
      <c r="S234" t="s">
        <v>44</v>
      </c>
      <c r="T234" t="s">
        <v>109</v>
      </c>
      <c r="U234" t="s">
        <v>780</v>
      </c>
      <c r="V234">
        <v>16310</v>
      </c>
      <c r="W234" t="s">
        <v>43</v>
      </c>
      <c r="X234" t="s">
        <v>56</v>
      </c>
      <c r="Y234" t="s">
        <v>48</v>
      </c>
      <c r="Z234" s="10">
        <f>IF(N234&lt;=1,7,7+0.8*ROUNDUP(N234-1,0))</f>
        <v>7</v>
      </c>
      <c r="AA234" s="11">
        <v>0</v>
      </c>
      <c r="AB234" s="11">
        <v>0</v>
      </c>
      <c r="AC234" s="11">
        <v>0</v>
      </c>
      <c r="AD234" s="11">
        <v>0</v>
      </c>
      <c r="AE234" s="11">
        <f>(Z234+AB234+AD234)*6%</f>
        <v>0.42</v>
      </c>
      <c r="AF234" s="11">
        <f>Z234+AB234+AD234+AE234</f>
        <v>7.42</v>
      </c>
      <c r="AG234" t="s">
        <v>43</v>
      </c>
    </row>
    <row r="235" spans="1:33" ht="15" customHeight="1" x14ac:dyDescent="0.35">
      <c r="A235">
        <v>690929</v>
      </c>
      <c r="B235" t="s">
        <v>33</v>
      </c>
      <c r="C235" t="s">
        <v>34</v>
      </c>
      <c r="D235" s="6" t="s">
        <v>33</v>
      </c>
      <c r="E235" t="s">
        <v>781</v>
      </c>
      <c r="F235" t="s">
        <v>36</v>
      </c>
      <c r="G235" t="s">
        <v>37</v>
      </c>
      <c r="H235" t="s">
        <v>782</v>
      </c>
      <c r="I235" t="s">
        <v>39</v>
      </c>
      <c r="J235">
        <v>2</v>
      </c>
      <c r="K235" t="s">
        <v>40</v>
      </c>
      <c r="L235" t="s">
        <v>41</v>
      </c>
      <c r="M235" t="s">
        <v>42</v>
      </c>
      <c r="N235" s="7">
        <v>10</v>
      </c>
      <c r="O235" s="8">
        <v>45110.599189814813</v>
      </c>
      <c r="P235" s="9">
        <v>45112</v>
      </c>
      <c r="Q235" t="s">
        <v>36</v>
      </c>
      <c r="R235" t="s">
        <v>43</v>
      </c>
      <c r="S235" t="s">
        <v>44</v>
      </c>
      <c r="T235" t="s">
        <v>57</v>
      </c>
      <c r="U235" t="s">
        <v>783</v>
      </c>
      <c r="V235">
        <v>41050</v>
      </c>
      <c r="W235" t="s">
        <v>43</v>
      </c>
      <c r="X235" t="s">
        <v>412</v>
      </c>
      <c r="Y235" t="s">
        <v>48</v>
      </c>
      <c r="Z235" s="10">
        <f>IF(N235&lt;=1,7,7+0.8*ROUNDUP(N235-1,0))</f>
        <v>14.2</v>
      </c>
      <c r="AA235" s="11">
        <v>0</v>
      </c>
      <c r="AB235" s="11">
        <v>0</v>
      </c>
      <c r="AC235" s="11">
        <v>0</v>
      </c>
      <c r="AD235" s="11">
        <v>0</v>
      </c>
      <c r="AE235" s="11">
        <f>(Z235+AB235+AD235)*6%</f>
        <v>0.85199999999999998</v>
      </c>
      <c r="AF235" s="11">
        <f>Z235+AB235+AD235+AE235</f>
        <v>15.052</v>
      </c>
      <c r="AG235" t="s">
        <v>43</v>
      </c>
    </row>
    <row r="236" spans="1:33" ht="15" customHeight="1" x14ac:dyDescent="0.35">
      <c r="A236">
        <v>690929</v>
      </c>
      <c r="B236" t="s">
        <v>33</v>
      </c>
      <c r="C236" t="s">
        <v>34</v>
      </c>
      <c r="D236" s="6" t="s">
        <v>33</v>
      </c>
      <c r="E236" t="s">
        <v>784</v>
      </c>
      <c r="F236" t="s">
        <v>36</v>
      </c>
      <c r="G236" t="s">
        <v>37</v>
      </c>
      <c r="H236" t="s">
        <v>782</v>
      </c>
      <c r="I236" t="s">
        <v>39</v>
      </c>
      <c r="J236">
        <v>2</v>
      </c>
      <c r="K236" t="s">
        <v>40</v>
      </c>
      <c r="L236" t="s">
        <v>41</v>
      </c>
      <c r="M236" t="s">
        <v>42</v>
      </c>
      <c r="N236" s="7">
        <v>6</v>
      </c>
      <c r="O236" s="8">
        <v>45110.599189814813</v>
      </c>
      <c r="P236" s="9">
        <v>45112</v>
      </c>
      <c r="Q236" t="s">
        <v>36</v>
      </c>
      <c r="R236" t="s">
        <v>43</v>
      </c>
      <c r="S236" t="s">
        <v>44</v>
      </c>
      <c r="T236" t="s">
        <v>57</v>
      </c>
      <c r="U236" t="s">
        <v>783</v>
      </c>
      <c r="V236">
        <v>41050</v>
      </c>
      <c r="W236" t="s">
        <v>43</v>
      </c>
      <c r="X236" t="s">
        <v>412</v>
      </c>
      <c r="Y236" t="s">
        <v>48</v>
      </c>
      <c r="Z236" s="10">
        <f>IF(N236&lt;=1,7,7+0.8*ROUNDUP(N236-1,0))</f>
        <v>11</v>
      </c>
      <c r="AA236" s="11">
        <v>0</v>
      </c>
      <c r="AB236" s="11">
        <v>0</v>
      </c>
      <c r="AC236" s="11">
        <v>0</v>
      </c>
      <c r="AD236" s="11">
        <v>0</v>
      </c>
      <c r="AE236" s="11">
        <f>(Z236+AB236+AD236)*6%</f>
        <v>0.65999999999999992</v>
      </c>
      <c r="AF236" s="11">
        <f>Z236+AB236+AD236+AE236</f>
        <v>11.66</v>
      </c>
      <c r="AG236" t="s">
        <v>43</v>
      </c>
    </row>
    <row r="237" spans="1:33" ht="15" customHeight="1" x14ac:dyDescent="0.35">
      <c r="A237">
        <v>690929</v>
      </c>
      <c r="B237" t="s">
        <v>33</v>
      </c>
      <c r="C237" t="s">
        <v>34</v>
      </c>
      <c r="D237" s="6" t="s">
        <v>33</v>
      </c>
      <c r="E237" t="s">
        <v>785</v>
      </c>
      <c r="F237" t="s">
        <v>36</v>
      </c>
      <c r="G237" t="s">
        <v>37</v>
      </c>
      <c r="H237" t="s">
        <v>782</v>
      </c>
      <c r="I237" t="s">
        <v>39</v>
      </c>
      <c r="J237">
        <v>2</v>
      </c>
      <c r="K237" t="s">
        <v>40</v>
      </c>
      <c r="L237" t="s">
        <v>41</v>
      </c>
      <c r="M237" t="s">
        <v>42</v>
      </c>
      <c r="N237" s="7">
        <v>6</v>
      </c>
      <c r="O237" s="8">
        <v>45110.599178240744</v>
      </c>
      <c r="P237" s="9">
        <v>45112</v>
      </c>
      <c r="Q237" t="s">
        <v>36</v>
      </c>
      <c r="R237" t="s">
        <v>43</v>
      </c>
      <c r="S237" t="s">
        <v>44</v>
      </c>
      <c r="T237" t="s">
        <v>57</v>
      </c>
      <c r="U237" t="s">
        <v>783</v>
      </c>
      <c r="V237">
        <v>41050</v>
      </c>
      <c r="W237" t="s">
        <v>43</v>
      </c>
      <c r="X237" t="s">
        <v>412</v>
      </c>
      <c r="Y237" t="s">
        <v>48</v>
      </c>
      <c r="Z237" s="10">
        <f>IF(N237&lt;=1,7,7+0.8*ROUNDUP(N237-1,0))</f>
        <v>11</v>
      </c>
      <c r="AA237" s="11">
        <v>0</v>
      </c>
      <c r="AB237" s="11">
        <v>0</v>
      </c>
      <c r="AC237" s="11">
        <v>0</v>
      </c>
      <c r="AD237" s="11">
        <v>0</v>
      </c>
      <c r="AE237" s="11">
        <f>(Z237+AB237+AD237)*6%</f>
        <v>0.65999999999999992</v>
      </c>
      <c r="AF237" s="11">
        <f>Z237+AB237+AD237+AE237</f>
        <v>11.66</v>
      </c>
      <c r="AG237" t="s">
        <v>43</v>
      </c>
    </row>
    <row r="238" spans="1:33" ht="15" customHeight="1" x14ac:dyDescent="0.35">
      <c r="A238">
        <v>690929</v>
      </c>
      <c r="B238" t="s">
        <v>33</v>
      </c>
      <c r="C238" t="s">
        <v>34</v>
      </c>
      <c r="D238" s="6" t="s">
        <v>33</v>
      </c>
      <c r="E238" t="s">
        <v>786</v>
      </c>
      <c r="F238" t="s">
        <v>36</v>
      </c>
      <c r="G238" t="s">
        <v>37</v>
      </c>
      <c r="H238" t="s">
        <v>787</v>
      </c>
      <c r="I238" t="s">
        <v>39</v>
      </c>
      <c r="J238">
        <v>2</v>
      </c>
      <c r="K238" t="s">
        <v>40</v>
      </c>
      <c r="L238" t="s">
        <v>41</v>
      </c>
      <c r="M238" t="s">
        <v>42</v>
      </c>
      <c r="N238" s="7">
        <v>1</v>
      </c>
      <c r="O238" s="8">
        <v>45111.6483912037</v>
      </c>
      <c r="P238" s="9">
        <v>45112</v>
      </c>
      <c r="Q238" t="s">
        <v>36</v>
      </c>
      <c r="R238" t="s">
        <v>43</v>
      </c>
      <c r="S238" t="s">
        <v>44</v>
      </c>
      <c r="T238" t="s">
        <v>89</v>
      </c>
      <c r="U238" t="s">
        <v>788</v>
      </c>
      <c r="V238">
        <v>27000</v>
      </c>
      <c r="W238" t="s">
        <v>43</v>
      </c>
      <c r="X238" t="s">
        <v>760</v>
      </c>
      <c r="Y238" t="s">
        <v>48</v>
      </c>
      <c r="Z238" s="10">
        <f>IF(N238&lt;=1,7,7+0.8*ROUNDUP(N238-1,0))</f>
        <v>7</v>
      </c>
      <c r="AA238" s="11">
        <v>0</v>
      </c>
      <c r="AB238" s="11">
        <v>0</v>
      </c>
      <c r="AC238" s="11">
        <v>0</v>
      </c>
      <c r="AD238" s="11">
        <v>0</v>
      </c>
      <c r="AE238" s="11">
        <f>(Z238+AB238+AD238)*6%</f>
        <v>0.42</v>
      </c>
      <c r="AF238" s="11">
        <f>Z238+AB238+AD238+AE238</f>
        <v>7.42</v>
      </c>
      <c r="AG238" t="s">
        <v>43</v>
      </c>
    </row>
    <row r="239" spans="1:33" ht="15" customHeight="1" x14ac:dyDescent="0.35">
      <c r="A239">
        <v>690929</v>
      </c>
      <c r="B239" t="s">
        <v>33</v>
      </c>
      <c r="C239" t="s">
        <v>34</v>
      </c>
      <c r="D239" s="6" t="s">
        <v>33</v>
      </c>
      <c r="E239" t="s">
        <v>789</v>
      </c>
      <c r="F239" t="s">
        <v>36</v>
      </c>
      <c r="G239" t="s">
        <v>37</v>
      </c>
      <c r="H239" t="s">
        <v>790</v>
      </c>
      <c r="I239" t="s">
        <v>39</v>
      </c>
      <c r="J239">
        <v>2</v>
      </c>
      <c r="K239" t="s">
        <v>40</v>
      </c>
      <c r="L239" t="s">
        <v>41</v>
      </c>
      <c r="M239" t="s">
        <v>42</v>
      </c>
      <c r="N239" s="7">
        <v>4</v>
      </c>
      <c r="O239" s="8">
        <v>45110.735185185185</v>
      </c>
      <c r="P239" s="9">
        <v>45112</v>
      </c>
      <c r="Q239" t="s">
        <v>36</v>
      </c>
      <c r="R239" t="s">
        <v>43</v>
      </c>
      <c r="S239" t="s">
        <v>44</v>
      </c>
      <c r="T239" t="s">
        <v>75</v>
      </c>
      <c r="U239" t="s">
        <v>791</v>
      </c>
      <c r="V239">
        <v>59200</v>
      </c>
      <c r="W239" t="s">
        <v>43</v>
      </c>
      <c r="X239" t="s">
        <v>675</v>
      </c>
      <c r="Y239" t="s">
        <v>48</v>
      </c>
      <c r="Z239" s="10">
        <f>IF(N239&lt;=1,7,7+0.8*ROUNDUP(N239-1,0))</f>
        <v>9.4</v>
      </c>
      <c r="AA239" s="11">
        <v>0</v>
      </c>
      <c r="AB239" s="11">
        <v>0</v>
      </c>
      <c r="AC239" s="11">
        <v>0</v>
      </c>
      <c r="AD239" s="11">
        <v>0</v>
      </c>
      <c r="AE239" s="11">
        <f>(Z239+AB239+AD239)*6%</f>
        <v>0.56399999999999995</v>
      </c>
      <c r="AF239" s="11">
        <f>Z239+AB239+AD239+AE239</f>
        <v>9.9640000000000004</v>
      </c>
      <c r="AG239" t="s">
        <v>43</v>
      </c>
    </row>
    <row r="240" spans="1:33" ht="15" customHeight="1" x14ac:dyDescent="0.35">
      <c r="A240">
        <v>690929</v>
      </c>
      <c r="B240" t="s">
        <v>33</v>
      </c>
      <c r="C240" t="s">
        <v>34</v>
      </c>
      <c r="D240" s="6" t="s">
        <v>33</v>
      </c>
      <c r="E240" t="s">
        <v>792</v>
      </c>
      <c r="F240" t="s">
        <v>36</v>
      </c>
      <c r="G240" t="s">
        <v>37</v>
      </c>
      <c r="H240" t="s">
        <v>782</v>
      </c>
      <c r="I240" t="s">
        <v>39</v>
      </c>
      <c r="J240">
        <v>2</v>
      </c>
      <c r="K240" t="s">
        <v>40</v>
      </c>
      <c r="L240" t="s">
        <v>41</v>
      </c>
      <c r="M240" t="s">
        <v>42</v>
      </c>
      <c r="N240" s="7">
        <v>6</v>
      </c>
      <c r="O240" s="8">
        <v>45110.599189814813</v>
      </c>
      <c r="P240" s="9">
        <v>45112</v>
      </c>
      <c r="Q240" t="s">
        <v>36</v>
      </c>
      <c r="R240" t="s">
        <v>43</v>
      </c>
      <c r="S240" t="s">
        <v>44</v>
      </c>
      <c r="T240" t="s">
        <v>57</v>
      </c>
      <c r="U240" t="s">
        <v>783</v>
      </c>
      <c r="V240">
        <v>41050</v>
      </c>
      <c r="W240" t="s">
        <v>43</v>
      </c>
      <c r="X240" t="s">
        <v>412</v>
      </c>
      <c r="Y240" t="s">
        <v>48</v>
      </c>
      <c r="Z240" s="10">
        <f>IF(N240&lt;=1,7,7+0.8*ROUNDUP(N240-1,0))</f>
        <v>11</v>
      </c>
      <c r="AA240" s="11">
        <v>0</v>
      </c>
      <c r="AB240" s="11">
        <v>0</v>
      </c>
      <c r="AC240" s="11">
        <v>0</v>
      </c>
      <c r="AD240" s="11">
        <v>0</v>
      </c>
      <c r="AE240" s="11">
        <f>(Z240+AB240+AD240)*6%</f>
        <v>0.65999999999999992</v>
      </c>
      <c r="AF240" s="11">
        <f>Z240+AB240+AD240+AE240</f>
        <v>11.66</v>
      </c>
      <c r="AG240" t="s">
        <v>43</v>
      </c>
    </row>
    <row r="241" spans="1:33" ht="15" customHeight="1" x14ac:dyDescent="0.35">
      <c r="A241">
        <v>690929</v>
      </c>
      <c r="B241" t="s">
        <v>33</v>
      </c>
      <c r="C241" t="s">
        <v>34</v>
      </c>
      <c r="D241" s="6" t="s">
        <v>33</v>
      </c>
      <c r="E241" t="s">
        <v>793</v>
      </c>
      <c r="F241" t="s">
        <v>36</v>
      </c>
      <c r="G241" t="s">
        <v>37</v>
      </c>
      <c r="H241" t="s">
        <v>794</v>
      </c>
      <c r="I241" t="s">
        <v>39</v>
      </c>
      <c r="J241">
        <v>2</v>
      </c>
      <c r="K241" t="s">
        <v>40</v>
      </c>
      <c r="L241" t="s">
        <v>41</v>
      </c>
      <c r="M241" t="s">
        <v>42</v>
      </c>
      <c r="N241" s="7">
        <v>1</v>
      </c>
      <c r="O241" s="8">
        <v>45110.638668981483</v>
      </c>
      <c r="P241" s="9">
        <v>45112</v>
      </c>
      <c r="Q241" t="s">
        <v>36</v>
      </c>
      <c r="R241" t="s">
        <v>43</v>
      </c>
      <c r="S241" t="s">
        <v>44</v>
      </c>
      <c r="T241" t="s">
        <v>57</v>
      </c>
      <c r="U241" t="s">
        <v>795</v>
      </c>
      <c r="V241">
        <v>68100</v>
      </c>
      <c r="W241" t="s">
        <v>43</v>
      </c>
      <c r="X241" t="s">
        <v>47</v>
      </c>
      <c r="Y241" t="s">
        <v>48</v>
      </c>
      <c r="Z241" s="10">
        <f>IF(N241&lt;=1,7,7+0.8*ROUNDUP(N241-1,0))</f>
        <v>7</v>
      </c>
      <c r="AA241" s="11">
        <v>0</v>
      </c>
      <c r="AB241" s="11">
        <v>0</v>
      </c>
      <c r="AC241" s="11">
        <v>0</v>
      </c>
      <c r="AD241" s="11">
        <v>0</v>
      </c>
      <c r="AE241" s="11">
        <f>(Z241+AB241+AD241)*6%</f>
        <v>0.42</v>
      </c>
      <c r="AF241" s="11">
        <f>Z241+AB241+AD241+AE241</f>
        <v>7.42</v>
      </c>
      <c r="AG241" t="s">
        <v>43</v>
      </c>
    </row>
    <row r="242" spans="1:33" ht="15" customHeight="1" x14ac:dyDescent="0.35">
      <c r="A242">
        <v>690929</v>
      </c>
      <c r="B242" t="s">
        <v>33</v>
      </c>
      <c r="C242" t="s">
        <v>34</v>
      </c>
      <c r="D242" s="6" t="s">
        <v>33</v>
      </c>
      <c r="E242" t="s">
        <v>796</v>
      </c>
      <c r="F242" t="s">
        <v>36</v>
      </c>
      <c r="G242" t="s">
        <v>37</v>
      </c>
      <c r="H242" t="s">
        <v>797</v>
      </c>
      <c r="I242" t="s">
        <v>39</v>
      </c>
      <c r="J242">
        <v>2</v>
      </c>
      <c r="K242" t="s">
        <v>40</v>
      </c>
      <c r="L242" t="s">
        <v>41</v>
      </c>
      <c r="M242" t="s">
        <v>42</v>
      </c>
      <c r="N242" s="7">
        <v>15</v>
      </c>
      <c r="O242" s="8">
        <v>45110.724016203705</v>
      </c>
      <c r="P242" s="9">
        <v>45112</v>
      </c>
      <c r="Q242" t="s">
        <v>36</v>
      </c>
      <c r="R242" t="s">
        <v>43</v>
      </c>
      <c r="S242" t="s">
        <v>44</v>
      </c>
      <c r="T242" t="s">
        <v>194</v>
      </c>
      <c r="U242" t="s">
        <v>798</v>
      </c>
      <c r="V242">
        <v>71800</v>
      </c>
      <c r="W242" t="s">
        <v>43</v>
      </c>
      <c r="X242" t="s">
        <v>206</v>
      </c>
      <c r="Y242" t="s">
        <v>48</v>
      </c>
      <c r="Z242" s="10">
        <f>IF(N242&lt;=1,7,7+0.8*ROUNDUP(N242-1,0))</f>
        <v>18.200000000000003</v>
      </c>
      <c r="AA242" s="11">
        <v>0</v>
      </c>
      <c r="AB242" s="11">
        <v>0</v>
      </c>
      <c r="AC242" s="11">
        <v>0</v>
      </c>
      <c r="AD242" s="11">
        <v>0</v>
      </c>
      <c r="AE242" s="11">
        <f>(Z242+AB242+AD242)*6%</f>
        <v>1.0920000000000001</v>
      </c>
      <c r="AF242" s="11">
        <f>Z242+AB242+AD242+AE242</f>
        <v>19.292000000000002</v>
      </c>
      <c r="AG242" t="s">
        <v>43</v>
      </c>
    </row>
    <row r="243" spans="1:33" ht="15" customHeight="1" x14ac:dyDescent="0.35">
      <c r="A243">
        <v>690929</v>
      </c>
      <c r="B243" t="s">
        <v>33</v>
      </c>
      <c r="C243" t="s">
        <v>34</v>
      </c>
      <c r="D243" s="6" t="s">
        <v>33</v>
      </c>
      <c r="E243" t="s">
        <v>799</v>
      </c>
      <c r="F243" t="s">
        <v>36</v>
      </c>
      <c r="G243" t="s">
        <v>37</v>
      </c>
      <c r="H243" t="s">
        <v>797</v>
      </c>
      <c r="I243" t="s">
        <v>39</v>
      </c>
      <c r="J243">
        <v>2</v>
      </c>
      <c r="K243" t="s">
        <v>40</v>
      </c>
      <c r="L243" t="s">
        <v>41</v>
      </c>
      <c r="M243" t="s">
        <v>42</v>
      </c>
      <c r="N243" s="7">
        <v>15</v>
      </c>
      <c r="O243" s="8">
        <v>45110.724016203705</v>
      </c>
      <c r="P243" s="9">
        <v>45112</v>
      </c>
      <c r="Q243" t="s">
        <v>36</v>
      </c>
      <c r="R243" t="s">
        <v>43</v>
      </c>
      <c r="S243" t="s">
        <v>44</v>
      </c>
      <c r="T243" t="s">
        <v>194</v>
      </c>
      <c r="U243" t="s">
        <v>798</v>
      </c>
      <c r="V243">
        <v>71800</v>
      </c>
      <c r="W243" t="s">
        <v>43</v>
      </c>
      <c r="X243" t="s">
        <v>206</v>
      </c>
      <c r="Y243" t="s">
        <v>48</v>
      </c>
      <c r="Z243" s="10">
        <f>IF(N243&lt;=1,7,7+0.8*ROUNDUP(N243-1,0))</f>
        <v>18.200000000000003</v>
      </c>
      <c r="AA243" s="11">
        <v>0</v>
      </c>
      <c r="AB243" s="11">
        <v>0</v>
      </c>
      <c r="AC243" s="11">
        <v>0</v>
      </c>
      <c r="AD243" s="11">
        <v>0</v>
      </c>
      <c r="AE243" s="11">
        <f>(Z243+AB243+AD243)*6%</f>
        <v>1.0920000000000001</v>
      </c>
      <c r="AF243" s="11">
        <f>Z243+AB243+AD243+AE243</f>
        <v>19.292000000000002</v>
      </c>
      <c r="AG243" t="s">
        <v>43</v>
      </c>
    </row>
    <row r="244" spans="1:33" ht="15" customHeight="1" x14ac:dyDescent="0.35">
      <c r="A244">
        <v>690929</v>
      </c>
      <c r="B244" t="s">
        <v>33</v>
      </c>
      <c r="C244" t="s">
        <v>34</v>
      </c>
      <c r="D244" s="6" t="s">
        <v>33</v>
      </c>
      <c r="E244" t="s">
        <v>800</v>
      </c>
      <c r="F244" t="s">
        <v>36</v>
      </c>
      <c r="G244" t="s">
        <v>37</v>
      </c>
      <c r="H244" t="s">
        <v>801</v>
      </c>
      <c r="I244" t="s">
        <v>39</v>
      </c>
      <c r="J244">
        <v>2</v>
      </c>
      <c r="K244" t="s">
        <v>40</v>
      </c>
      <c r="L244" t="s">
        <v>41</v>
      </c>
      <c r="M244" t="s">
        <v>42</v>
      </c>
      <c r="N244" s="7">
        <v>1</v>
      </c>
      <c r="O244" s="8">
        <v>45111.63008101852</v>
      </c>
      <c r="P244" s="9">
        <v>45112</v>
      </c>
      <c r="Q244" t="s">
        <v>36</v>
      </c>
      <c r="R244" t="s">
        <v>43</v>
      </c>
      <c r="S244" t="s">
        <v>44</v>
      </c>
      <c r="T244" t="s">
        <v>109</v>
      </c>
      <c r="U244" t="s">
        <v>802</v>
      </c>
      <c r="V244">
        <v>16800</v>
      </c>
      <c r="W244" t="s">
        <v>43</v>
      </c>
      <c r="X244" t="s">
        <v>56</v>
      </c>
      <c r="Y244" t="s">
        <v>48</v>
      </c>
      <c r="Z244" s="10">
        <f>IF(N244&lt;=1,7,7+0.8*ROUNDUP(N244-1,0))</f>
        <v>7</v>
      </c>
      <c r="AA244" s="11">
        <v>0</v>
      </c>
      <c r="AB244" s="11">
        <v>0</v>
      </c>
      <c r="AC244" s="11">
        <v>0</v>
      </c>
      <c r="AD244" s="11">
        <v>0</v>
      </c>
      <c r="AE244" s="11">
        <f>(Z244+AB244+AD244)*6%</f>
        <v>0.42</v>
      </c>
      <c r="AF244" s="11">
        <f>Z244+AB244+AD244+AE244</f>
        <v>7.42</v>
      </c>
      <c r="AG244" t="s">
        <v>43</v>
      </c>
    </row>
    <row r="245" spans="1:33" ht="15" customHeight="1" x14ac:dyDescent="0.35">
      <c r="A245">
        <v>690929</v>
      </c>
      <c r="B245" t="s">
        <v>33</v>
      </c>
      <c r="C245" t="s">
        <v>34</v>
      </c>
      <c r="D245" s="6" t="s">
        <v>33</v>
      </c>
      <c r="E245" t="s">
        <v>803</v>
      </c>
      <c r="F245" t="s">
        <v>36</v>
      </c>
      <c r="G245" t="s">
        <v>37</v>
      </c>
      <c r="H245" t="s">
        <v>804</v>
      </c>
      <c r="I245" t="s">
        <v>39</v>
      </c>
      <c r="J245">
        <v>2</v>
      </c>
      <c r="K245" t="s">
        <v>40</v>
      </c>
      <c r="L245" t="s">
        <v>41</v>
      </c>
      <c r="M245" t="s">
        <v>42</v>
      </c>
      <c r="N245" s="7">
        <v>14</v>
      </c>
      <c r="O245" s="8">
        <v>45110.74355324074</v>
      </c>
      <c r="P245" s="9">
        <v>45112</v>
      </c>
      <c r="Q245" t="s">
        <v>36</v>
      </c>
      <c r="R245" t="s">
        <v>43</v>
      </c>
      <c r="S245" t="s">
        <v>44</v>
      </c>
      <c r="T245" t="s">
        <v>194</v>
      </c>
      <c r="U245" t="s">
        <v>798</v>
      </c>
      <c r="V245">
        <v>71800</v>
      </c>
      <c r="W245" t="s">
        <v>43</v>
      </c>
      <c r="X245" t="s">
        <v>206</v>
      </c>
      <c r="Y245" t="s">
        <v>48</v>
      </c>
      <c r="Z245" s="10">
        <f>IF(N245&lt;=1,7,7+0.8*ROUNDUP(N245-1,0))</f>
        <v>17.399999999999999</v>
      </c>
      <c r="AA245" s="11">
        <v>0</v>
      </c>
      <c r="AB245" s="11">
        <v>0</v>
      </c>
      <c r="AC245" s="11">
        <v>0</v>
      </c>
      <c r="AD245" s="11">
        <v>0</v>
      </c>
      <c r="AE245" s="11">
        <f>(Z245+AB245+AD245)*6%</f>
        <v>1.0439999999999998</v>
      </c>
      <c r="AF245" s="11">
        <f>Z245+AB245+AD245+AE245</f>
        <v>18.443999999999999</v>
      </c>
      <c r="AG245" t="s">
        <v>43</v>
      </c>
    </row>
    <row r="246" spans="1:33" ht="15" customHeight="1" x14ac:dyDescent="0.35">
      <c r="A246">
        <v>690929</v>
      </c>
      <c r="B246" t="s">
        <v>33</v>
      </c>
      <c r="C246" t="s">
        <v>34</v>
      </c>
      <c r="D246" s="6" t="s">
        <v>33</v>
      </c>
      <c r="E246" t="s">
        <v>805</v>
      </c>
      <c r="F246" t="s">
        <v>36</v>
      </c>
      <c r="G246" t="s">
        <v>37</v>
      </c>
      <c r="H246" t="s">
        <v>806</v>
      </c>
      <c r="I246" t="s">
        <v>39</v>
      </c>
      <c r="J246">
        <v>2</v>
      </c>
      <c r="K246" t="s">
        <v>40</v>
      </c>
      <c r="L246" t="s">
        <v>41</v>
      </c>
      <c r="M246" t="s">
        <v>42</v>
      </c>
      <c r="N246" s="7">
        <v>3</v>
      </c>
      <c r="O246" s="8">
        <v>45110.735185185185</v>
      </c>
      <c r="P246" s="9">
        <v>45113</v>
      </c>
      <c r="Q246" t="s">
        <v>36</v>
      </c>
      <c r="R246" t="s">
        <v>43</v>
      </c>
      <c r="S246" t="s">
        <v>44</v>
      </c>
      <c r="T246" t="s">
        <v>170</v>
      </c>
      <c r="U246" t="s">
        <v>807</v>
      </c>
      <c r="V246">
        <v>89908</v>
      </c>
      <c r="W246" t="s">
        <v>172</v>
      </c>
      <c r="X246" t="s">
        <v>808</v>
      </c>
      <c r="Y246" t="s">
        <v>48</v>
      </c>
      <c r="Z246" s="12">
        <f>IF(N246&lt;=1,13,IF(N246&lt;=2,23,IF(N246&lt;=3,35,IF(N246&lt;=4,43,IF(N246&lt;=5,53,IF(N246&lt;=6,63,IF(N246&lt;=7,71,IF(N246&lt;=8,79,IF(N246&lt;=9,87,IF(N246&lt;=10,95,IF(N246&lt;=11,105,IF(N246&lt;=12,114,IF(N246&lt;=13,119,IF(N246&lt;=14,127,IF(N246&lt;=15,135,IF(N246&lt;=16,143,IF(N246&lt;=17,153,IF(N246&lt;=18,163,IF(N246&lt;=19,171,IF(N246&lt;=20,185,IF(N246&lt;=21,193,IF(N246&lt;=22,201,IF(N246&lt;=23,210,IF(N246&lt;=24,220,IF(N246&lt;=25,230,IF(N246&lt;=26,240,IF(N246&lt;=27,250,IF(N246&lt;=28,260,IF(N246&lt;=29,270,IF(N246&lt;=30,280,280+10*ROUNDUP(N246-30,0)))))))))))))))))))))))))))))))</f>
        <v>35</v>
      </c>
      <c r="AA246" s="11">
        <v>0</v>
      </c>
      <c r="AB246" s="11">
        <v>0</v>
      </c>
      <c r="AC246" s="11">
        <v>0</v>
      </c>
      <c r="AD246" s="11">
        <v>0</v>
      </c>
      <c r="AE246" s="11">
        <f>(Z246+AB246+AD246)*6%</f>
        <v>2.1</v>
      </c>
      <c r="AF246" s="11">
        <f>Z246+AB246+AD246+AE246</f>
        <v>37.1</v>
      </c>
      <c r="AG246" t="s">
        <v>172</v>
      </c>
    </row>
    <row r="247" spans="1:33" ht="15" customHeight="1" x14ac:dyDescent="0.35">
      <c r="A247">
        <v>690929</v>
      </c>
      <c r="B247" t="s">
        <v>33</v>
      </c>
      <c r="C247" t="s">
        <v>34</v>
      </c>
      <c r="D247" s="6" t="s">
        <v>33</v>
      </c>
      <c r="E247" t="s">
        <v>809</v>
      </c>
      <c r="F247" t="s">
        <v>36</v>
      </c>
      <c r="G247" t="s">
        <v>37</v>
      </c>
      <c r="H247" t="s">
        <v>810</v>
      </c>
      <c r="I247" t="s">
        <v>39</v>
      </c>
      <c r="J247">
        <v>2</v>
      </c>
      <c r="K247" t="s">
        <v>40</v>
      </c>
      <c r="L247" t="s">
        <v>41</v>
      </c>
      <c r="M247" t="s">
        <v>42</v>
      </c>
      <c r="N247" s="7">
        <v>1</v>
      </c>
      <c r="O247" s="8">
        <v>45110.776689814818</v>
      </c>
      <c r="P247" s="9">
        <v>45113</v>
      </c>
      <c r="Q247" t="s">
        <v>36</v>
      </c>
      <c r="R247" t="s">
        <v>43</v>
      </c>
      <c r="S247" t="s">
        <v>44</v>
      </c>
      <c r="T247" t="s">
        <v>57</v>
      </c>
      <c r="U247" t="s">
        <v>811</v>
      </c>
      <c r="V247">
        <v>40150</v>
      </c>
      <c r="W247" t="s">
        <v>43</v>
      </c>
      <c r="X247" t="s">
        <v>270</v>
      </c>
      <c r="Y247" t="s">
        <v>48</v>
      </c>
      <c r="Z247" s="10">
        <f>IF(N247&lt;=1,7,7+0.8*ROUNDUP(N247-1,0))</f>
        <v>7</v>
      </c>
      <c r="AA247" s="11">
        <v>0</v>
      </c>
      <c r="AB247" s="11">
        <v>0</v>
      </c>
      <c r="AC247" s="11">
        <v>0</v>
      </c>
      <c r="AD247" s="11">
        <v>0</v>
      </c>
      <c r="AE247" s="11">
        <f>(Z247+AB247+AD247)*6%</f>
        <v>0.42</v>
      </c>
      <c r="AF247" s="11">
        <f>Z247+AB247+AD247+AE247</f>
        <v>7.42</v>
      </c>
      <c r="AG247" t="s">
        <v>43</v>
      </c>
    </row>
    <row r="248" spans="1:33" ht="15" customHeight="1" x14ac:dyDescent="0.35">
      <c r="A248">
        <v>690929</v>
      </c>
      <c r="B248" t="s">
        <v>33</v>
      </c>
      <c r="C248" t="s">
        <v>34</v>
      </c>
      <c r="D248" s="6" t="s">
        <v>33</v>
      </c>
      <c r="E248" t="s">
        <v>812</v>
      </c>
      <c r="F248" t="s">
        <v>36</v>
      </c>
      <c r="G248" t="s">
        <v>37</v>
      </c>
      <c r="H248" t="s">
        <v>813</v>
      </c>
      <c r="I248" t="s">
        <v>39</v>
      </c>
      <c r="J248">
        <v>2</v>
      </c>
      <c r="K248" t="s">
        <v>40</v>
      </c>
      <c r="L248" t="s">
        <v>41</v>
      </c>
      <c r="M248" t="s">
        <v>42</v>
      </c>
      <c r="N248" s="7">
        <v>1</v>
      </c>
      <c r="O248" s="8">
        <v>45111.434641203705</v>
      </c>
      <c r="P248" s="9">
        <v>45113</v>
      </c>
      <c r="Q248" t="s">
        <v>36</v>
      </c>
      <c r="R248" t="s">
        <v>43</v>
      </c>
      <c r="S248" t="s">
        <v>44</v>
      </c>
      <c r="T248" t="s">
        <v>51</v>
      </c>
      <c r="U248" t="s">
        <v>814</v>
      </c>
      <c r="V248">
        <v>32610</v>
      </c>
      <c r="W248" t="s">
        <v>43</v>
      </c>
      <c r="X248" t="s">
        <v>815</v>
      </c>
      <c r="Y248" t="s">
        <v>48</v>
      </c>
      <c r="Z248" s="10">
        <f>IF(N248&lt;=1,7,7+0.8*ROUNDUP(N248-1,0))</f>
        <v>7</v>
      </c>
      <c r="AA248" s="11">
        <v>0</v>
      </c>
      <c r="AB248" s="11">
        <v>0</v>
      </c>
      <c r="AC248" s="11">
        <v>0</v>
      </c>
      <c r="AD248" s="11">
        <v>0</v>
      </c>
      <c r="AE248" s="11">
        <f>(Z248+AB248+AD248)*6%</f>
        <v>0.42</v>
      </c>
      <c r="AF248" s="11">
        <f>Z248+AB248+AD248+AE248</f>
        <v>7.42</v>
      </c>
      <c r="AG248" t="s">
        <v>43</v>
      </c>
    </row>
    <row r="249" spans="1:33" ht="15" customHeight="1" x14ac:dyDescent="0.35">
      <c r="A249">
        <v>690929</v>
      </c>
      <c r="B249" t="s">
        <v>33</v>
      </c>
      <c r="C249" t="s">
        <v>34</v>
      </c>
      <c r="D249" s="6" t="s">
        <v>33</v>
      </c>
      <c r="E249" t="s">
        <v>816</v>
      </c>
      <c r="F249" t="s">
        <v>36</v>
      </c>
      <c r="G249" t="s">
        <v>37</v>
      </c>
      <c r="H249" t="s">
        <v>817</v>
      </c>
      <c r="I249" t="s">
        <v>39</v>
      </c>
      <c r="J249">
        <v>2</v>
      </c>
      <c r="K249" t="s">
        <v>40</v>
      </c>
      <c r="L249" t="s">
        <v>41</v>
      </c>
      <c r="M249" t="s">
        <v>42</v>
      </c>
      <c r="N249" s="7">
        <v>1</v>
      </c>
      <c r="O249" s="8">
        <v>45109.74291666667</v>
      </c>
      <c r="P249" s="9">
        <v>45113</v>
      </c>
      <c r="Q249" t="s">
        <v>36</v>
      </c>
      <c r="R249" t="s">
        <v>43</v>
      </c>
      <c r="S249" t="s">
        <v>44</v>
      </c>
      <c r="T249" t="s">
        <v>61</v>
      </c>
      <c r="U249" t="s">
        <v>818</v>
      </c>
      <c r="V249">
        <v>86800</v>
      </c>
      <c r="W249" t="s">
        <v>43</v>
      </c>
      <c r="X249" t="s">
        <v>47</v>
      </c>
      <c r="Y249" t="s">
        <v>48</v>
      </c>
      <c r="Z249" s="10">
        <f>IF(N249&lt;=1,7,7+0.8*ROUNDUP(N249-1,0))</f>
        <v>7</v>
      </c>
      <c r="AA249" s="11">
        <v>0</v>
      </c>
      <c r="AB249" s="11">
        <v>0</v>
      </c>
      <c r="AC249" s="11">
        <v>0</v>
      </c>
      <c r="AD249" s="11">
        <v>0</v>
      </c>
      <c r="AE249" s="11">
        <f>(Z249+AB249+AD249)*6%</f>
        <v>0.42</v>
      </c>
      <c r="AF249" s="11">
        <f>Z249+AB249+AD249+AE249</f>
        <v>7.42</v>
      </c>
      <c r="AG249" t="s">
        <v>43</v>
      </c>
    </row>
    <row r="250" spans="1:33" ht="15" customHeight="1" x14ac:dyDescent="0.35">
      <c r="A250">
        <v>690929</v>
      </c>
      <c r="B250" t="s">
        <v>33</v>
      </c>
      <c r="C250" t="s">
        <v>34</v>
      </c>
      <c r="D250" s="6" t="s">
        <v>33</v>
      </c>
      <c r="E250" t="s">
        <v>819</v>
      </c>
      <c r="F250" t="s">
        <v>36</v>
      </c>
      <c r="G250" t="s">
        <v>37</v>
      </c>
      <c r="H250" t="s">
        <v>485</v>
      </c>
      <c r="I250" t="s">
        <v>39</v>
      </c>
      <c r="J250">
        <v>2</v>
      </c>
      <c r="K250" t="s">
        <v>40</v>
      </c>
      <c r="L250" t="s">
        <v>41</v>
      </c>
      <c r="M250" t="s">
        <v>42</v>
      </c>
      <c r="N250" s="7">
        <v>1</v>
      </c>
      <c r="O250" s="8">
        <v>45110.594895833332</v>
      </c>
      <c r="P250" s="9">
        <v>45113</v>
      </c>
      <c r="Q250" t="s">
        <v>36</v>
      </c>
      <c r="R250" t="s">
        <v>43</v>
      </c>
      <c r="S250" t="s">
        <v>44</v>
      </c>
      <c r="T250" t="s">
        <v>51</v>
      </c>
      <c r="U250" t="s">
        <v>820</v>
      </c>
      <c r="V250">
        <v>34700</v>
      </c>
      <c r="W250" t="s">
        <v>43</v>
      </c>
      <c r="X250" t="s">
        <v>47</v>
      </c>
      <c r="Y250" t="s">
        <v>48</v>
      </c>
      <c r="Z250" s="10">
        <f>IF(N250&lt;=1,7,7+0.8*ROUNDUP(N250-1,0))</f>
        <v>7</v>
      </c>
      <c r="AA250" s="11">
        <v>0</v>
      </c>
      <c r="AB250" s="11">
        <v>0</v>
      </c>
      <c r="AC250" s="11">
        <v>0</v>
      </c>
      <c r="AD250" s="11">
        <v>0</v>
      </c>
      <c r="AE250" s="11">
        <f>(Z250+AB250+AD250)*6%</f>
        <v>0.42</v>
      </c>
      <c r="AF250" s="11">
        <f>Z250+AB250+AD250+AE250</f>
        <v>7.42</v>
      </c>
      <c r="AG250" t="s">
        <v>43</v>
      </c>
    </row>
    <row r="251" spans="1:33" ht="15" customHeight="1" x14ac:dyDescent="0.35">
      <c r="A251">
        <v>690929</v>
      </c>
      <c r="B251" t="s">
        <v>33</v>
      </c>
      <c r="C251" t="s">
        <v>34</v>
      </c>
      <c r="D251" s="6" t="s">
        <v>33</v>
      </c>
      <c r="E251" t="s">
        <v>821</v>
      </c>
      <c r="F251" t="s">
        <v>36</v>
      </c>
      <c r="G251" t="s">
        <v>37</v>
      </c>
      <c r="H251" t="s">
        <v>765</v>
      </c>
      <c r="I251" t="s">
        <v>39</v>
      </c>
      <c r="J251">
        <v>2</v>
      </c>
      <c r="K251" t="s">
        <v>40</v>
      </c>
      <c r="L251" t="s">
        <v>41</v>
      </c>
      <c r="M251" t="s">
        <v>42</v>
      </c>
      <c r="N251" s="7">
        <v>13</v>
      </c>
      <c r="O251" s="8">
        <v>45110.768611111111</v>
      </c>
      <c r="P251" s="9">
        <v>45113</v>
      </c>
      <c r="Q251" t="s">
        <v>36</v>
      </c>
      <c r="R251" t="s">
        <v>43</v>
      </c>
      <c r="S251" t="s">
        <v>44</v>
      </c>
      <c r="T251" t="s">
        <v>80</v>
      </c>
      <c r="U251" t="s">
        <v>766</v>
      </c>
      <c r="V251">
        <v>8000</v>
      </c>
      <c r="W251" t="s">
        <v>43</v>
      </c>
      <c r="X251" t="s">
        <v>767</v>
      </c>
      <c r="Y251" t="s">
        <v>48</v>
      </c>
      <c r="Z251" s="10">
        <f>IF(N251&lt;=1,7,7+0.8*ROUNDUP(N251-1,0))</f>
        <v>16.600000000000001</v>
      </c>
      <c r="AA251" s="11">
        <v>0</v>
      </c>
      <c r="AB251" s="11">
        <v>0</v>
      </c>
      <c r="AC251" s="11">
        <v>0</v>
      </c>
      <c r="AD251" s="11">
        <v>0</v>
      </c>
      <c r="AE251" s="11">
        <f>(Z251+AB251+AD251)*6%</f>
        <v>0.996</v>
      </c>
      <c r="AF251" s="11">
        <f>Z251+AB251+AD251+AE251</f>
        <v>17.596</v>
      </c>
      <c r="AG251" t="s">
        <v>43</v>
      </c>
    </row>
    <row r="252" spans="1:33" ht="15" customHeight="1" x14ac:dyDescent="0.35">
      <c r="A252">
        <v>690929</v>
      </c>
      <c r="B252" t="s">
        <v>33</v>
      </c>
      <c r="C252" t="s">
        <v>34</v>
      </c>
      <c r="D252" s="6" t="s">
        <v>33</v>
      </c>
      <c r="E252" t="s">
        <v>822</v>
      </c>
      <c r="F252" t="s">
        <v>36</v>
      </c>
      <c r="G252" t="s">
        <v>37</v>
      </c>
      <c r="H252" t="s">
        <v>823</v>
      </c>
      <c r="I252" t="s">
        <v>39</v>
      </c>
      <c r="J252">
        <v>2</v>
      </c>
      <c r="K252" t="s">
        <v>40</v>
      </c>
      <c r="L252" t="s">
        <v>41</v>
      </c>
      <c r="M252" t="s">
        <v>42</v>
      </c>
      <c r="N252" s="7">
        <v>1</v>
      </c>
      <c r="O252" s="8">
        <v>45111.637094907404</v>
      </c>
      <c r="P252" s="9">
        <v>45113</v>
      </c>
      <c r="Q252" t="s">
        <v>36</v>
      </c>
      <c r="R252" t="s">
        <v>43</v>
      </c>
      <c r="S252" t="s">
        <v>44</v>
      </c>
      <c r="T252" t="s">
        <v>57</v>
      </c>
      <c r="U252" t="s">
        <v>824</v>
      </c>
      <c r="V252">
        <v>43000</v>
      </c>
      <c r="W252" t="s">
        <v>43</v>
      </c>
      <c r="X252" t="s">
        <v>380</v>
      </c>
      <c r="Y252" t="s">
        <v>48</v>
      </c>
      <c r="Z252" s="10">
        <f>IF(N252&lt;=1,7,7+0.8*ROUNDUP(N252-1,0))</f>
        <v>7</v>
      </c>
      <c r="AA252" s="11">
        <v>0</v>
      </c>
      <c r="AB252" s="11">
        <v>0</v>
      </c>
      <c r="AC252" s="11">
        <v>0</v>
      </c>
      <c r="AD252" s="11">
        <v>0</v>
      </c>
      <c r="AE252" s="11">
        <f>(Z252+AB252+AD252)*6%</f>
        <v>0.42</v>
      </c>
      <c r="AF252" s="11">
        <f>Z252+AB252+AD252+AE252</f>
        <v>7.42</v>
      </c>
      <c r="AG252" t="s">
        <v>43</v>
      </c>
    </row>
    <row r="253" spans="1:33" ht="15" customHeight="1" x14ac:dyDescent="0.35">
      <c r="A253">
        <v>690929</v>
      </c>
      <c r="B253" t="s">
        <v>33</v>
      </c>
      <c r="C253" t="s">
        <v>34</v>
      </c>
      <c r="D253" s="6" t="s">
        <v>33</v>
      </c>
      <c r="E253" t="s">
        <v>825</v>
      </c>
      <c r="F253" t="s">
        <v>36</v>
      </c>
      <c r="G253" t="s">
        <v>37</v>
      </c>
      <c r="H253" t="s">
        <v>826</v>
      </c>
      <c r="I253" t="s">
        <v>39</v>
      </c>
      <c r="J253">
        <v>2</v>
      </c>
      <c r="K253" t="s">
        <v>40</v>
      </c>
      <c r="L253" t="s">
        <v>41</v>
      </c>
      <c r="M253" t="s">
        <v>42</v>
      </c>
      <c r="N253" s="7">
        <v>2</v>
      </c>
      <c r="O253" s="8">
        <v>45112.73400462963</v>
      </c>
      <c r="P253" s="9">
        <v>45113</v>
      </c>
      <c r="Q253" t="s">
        <v>36</v>
      </c>
      <c r="R253" t="s">
        <v>43</v>
      </c>
      <c r="S253" t="s">
        <v>44</v>
      </c>
      <c r="T253" t="s">
        <v>89</v>
      </c>
      <c r="U253" t="s">
        <v>827</v>
      </c>
      <c r="V253">
        <v>27100</v>
      </c>
      <c r="W253" t="s">
        <v>43</v>
      </c>
      <c r="X253" t="s">
        <v>760</v>
      </c>
      <c r="Y253" t="s">
        <v>48</v>
      </c>
      <c r="Z253" s="10">
        <f>IF(N253&lt;=1,7,7+0.8*ROUNDUP(N253-1,0))</f>
        <v>7.8</v>
      </c>
      <c r="AA253" s="11">
        <v>0</v>
      </c>
      <c r="AB253" s="11">
        <v>0</v>
      </c>
      <c r="AC253" s="11">
        <v>0</v>
      </c>
      <c r="AD253" s="11">
        <v>0</v>
      </c>
      <c r="AE253" s="11">
        <f>(Z253+AB253+AD253)*6%</f>
        <v>0.46799999999999997</v>
      </c>
      <c r="AF253" s="11">
        <f>Z253+AB253+AD253+AE253</f>
        <v>8.2680000000000007</v>
      </c>
      <c r="AG253" t="s">
        <v>43</v>
      </c>
    </row>
    <row r="254" spans="1:33" ht="15" customHeight="1" x14ac:dyDescent="0.35">
      <c r="A254">
        <v>690929</v>
      </c>
      <c r="B254" t="s">
        <v>33</v>
      </c>
      <c r="C254" t="s">
        <v>34</v>
      </c>
      <c r="D254" s="6" t="s">
        <v>33</v>
      </c>
      <c r="E254" t="s">
        <v>828</v>
      </c>
      <c r="F254" t="s">
        <v>36</v>
      </c>
      <c r="G254" t="s">
        <v>37</v>
      </c>
      <c r="H254" t="s">
        <v>829</v>
      </c>
      <c r="I254" t="s">
        <v>39</v>
      </c>
      <c r="J254">
        <v>2</v>
      </c>
      <c r="K254" t="s">
        <v>40</v>
      </c>
      <c r="L254" t="s">
        <v>41</v>
      </c>
      <c r="M254" t="s">
        <v>42</v>
      </c>
      <c r="N254" s="7">
        <v>1</v>
      </c>
      <c r="O254" s="8">
        <v>45110.725717592592</v>
      </c>
      <c r="P254" s="9">
        <v>45113</v>
      </c>
      <c r="Q254" t="s">
        <v>36</v>
      </c>
      <c r="R254" t="s">
        <v>43</v>
      </c>
      <c r="S254" t="s">
        <v>44</v>
      </c>
      <c r="T254" t="s">
        <v>61</v>
      </c>
      <c r="U254" t="s">
        <v>830</v>
      </c>
      <c r="V254">
        <v>81620</v>
      </c>
      <c r="W254" t="s">
        <v>43</v>
      </c>
      <c r="X254" t="s">
        <v>47</v>
      </c>
      <c r="Y254" t="s">
        <v>48</v>
      </c>
      <c r="Z254" s="10">
        <f>IF(N254&lt;=1,7,7+0.8*ROUNDUP(N254-1,0))</f>
        <v>7</v>
      </c>
      <c r="AA254" s="11">
        <v>0</v>
      </c>
      <c r="AB254" s="11">
        <v>0</v>
      </c>
      <c r="AC254" s="11">
        <v>0</v>
      </c>
      <c r="AD254" s="11">
        <v>0</v>
      </c>
      <c r="AE254" s="11">
        <f>(Z254+AB254+AD254)*6%</f>
        <v>0.42</v>
      </c>
      <c r="AF254" s="11">
        <f>Z254+AB254+AD254+AE254</f>
        <v>7.42</v>
      </c>
      <c r="AG254" t="s">
        <v>43</v>
      </c>
    </row>
    <row r="255" spans="1:33" ht="15" customHeight="1" x14ac:dyDescent="0.35">
      <c r="A255">
        <v>690929</v>
      </c>
      <c r="B255" t="s">
        <v>33</v>
      </c>
      <c r="C255" t="s">
        <v>34</v>
      </c>
      <c r="D255" s="6" t="s">
        <v>33</v>
      </c>
      <c r="E255" t="s">
        <v>831</v>
      </c>
      <c r="F255" t="s">
        <v>36</v>
      </c>
      <c r="G255" t="s">
        <v>37</v>
      </c>
      <c r="H255" t="s">
        <v>832</v>
      </c>
      <c r="I255" t="s">
        <v>39</v>
      </c>
      <c r="J255">
        <v>2</v>
      </c>
      <c r="K255" t="s">
        <v>40</v>
      </c>
      <c r="L255" t="s">
        <v>41</v>
      </c>
      <c r="M255" t="s">
        <v>42</v>
      </c>
      <c r="N255" s="7">
        <v>1</v>
      </c>
      <c r="O255" s="8">
        <v>45111.713078703702</v>
      </c>
      <c r="P255" s="9">
        <v>45113</v>
      </c>
      <c r="Q255" t="s">
        <v>36</v>
      </c>
      <c r="R255" t="s">
        <v>43</v>
      </c>
      <c r="S255" t="s">
        <v>44</v>
      </c>
      <c r="T255" t="s">
        <v>61</v>
      </c>
      <c r="U255" t="s">
        <v>833</v>
      </c>
      <c r="V255">
        <v>81700</v>
      </c>
      <c r="W255" t="s">
        <v>43</v>
      </c>
      <c r="X255" t="s">
        <v>47</v>
      </c>
      <c r="Y255" t="s">
        <v>48</v>
      </c>
      <c r="Z255" s="10">
        <f>IF(N255&lt;=1,7,7+0.8*ROUNDUP(N255-1,0))</f>
        <v>7</v>
      </c>
      <c r="AA255" s="11">
        <v>0</v>
      </c>
      <c r="AB255" s="11">
        <v>0</v>
      </c>
      <c r="AC255" s="11">
        <v>0</v>
      </c>
      <c r="AD255" s="11">
        <v>0</v>
      </c>
      <c r="AE255" s="11">
        <f>(Z255+AB255+AD255)*6%</f>
        <v>0.42</v>
      </c>
      <c r="AF255" s="11">
        <f>Z255+AB255+AD255+AE255</f>
        <v>7.42</v>
      </c>
      <c r="AG255" t="s">
        <v>43</v>
      </c>
    </row>
    <row r="256" spans="1:33" ht="15" customHeight="1" x14ac:dyDescent="0.35">
      <c r="A256">
        <v>690929</v>
      </c>
      <c r="B256" t="s">
        <v>33</v>
      </c>
      <c r="C256" t="s">
        <v>34</v>
      </c>
      <c r="D256" s="6" t="s">
        <v>33</v>
      </c>
      <c r="E256" t="s">
        <v>834</v>
      </c>
      <c r="F256" t="s">
        <v>36</v>
      </c>
      <c r="G256" t="s">
        <v>37</v>
      </c>
      <c r="H256" t="s">
        <v>835</v>
      </c>
      <c r="I256" t="s">
        <v>39</v>
      </c>
      <c r="J256">
        <v>2</v>
      </c>
      <c r="K256" t="s">
        <v>40</v>
      </c>
      <c r="L256" t="s">
        <v>41</v>
      </c>
      <c r="M256" t="s">
        <v>42</v>
      </c>
      <c r="N256" s="7">
        <v>4</v>
      </c>
      <c r="O256" s="8">
        <v>45112.666678240741</v>
      </c>
      <c r="P256" s="9">
        <v>45113</v>
      </c>
      <c r="Q256" t="s">
        <v>36</v>
      </c>
      <c r="R256" t="s">
        <v>43</v>
      </c>
      <c r="S256" t="s">
        <v>44</v>
      </c>
      <c r="T256" t="s">
        <v>89</v>
      </c>
      <c r="U256" t="s">
        <v>836</v>
      </c>
      <c r="V256">
        <v>26400</v>
      </c>
      <c r="W256" t="s">
        <v>43</v>
      </c>
      <c r="X256" t="s">
        <v>550</v>
      </c>
      <c r="Y256" t="s">
        <v>48</v>
      </c>
      <c r="Z256" s="10">
        <f>IF(N256&lt;=1,7,7+0.8*ROUNDUP(N256-1,0))</f>
        <v>9.4</v>
      </c>
      <c r="AA256" s="11">
        <v>0</v>
      </c>
      <c r="AB256" s="11">
        <v>0</v>
      </c>
      <c r="AC256" s="11">
        <v>0</v>
      </c>
      <c r="AD256" s="11">
        <v>0</v>
      </c>
      <c r="AE256" s="11">
        <f>(Z256+AB256+AD256)*6%</f>
        <v>0.56399999999999995</v>
      </c>
      <c r="AF256" s="11">
        <f>Z256+AB256+AD256+AE256</f>
        <v>9.9640000000000004</v>
      </c>
      <c r="AG256" t="s">
        <v>43</v>
      </c>
    </row>
    <row r="257" spans="1:33" ht="15" customHeight="1" x14ac:dyDescent="0.35">
      <c r="A257">
        <v>690929</v>
      </c>
      <c r="B257" t="s">
        <v>33</v>
      </c>
      <c r="C257" t="s">
        <v>34</v>
      </c>
      <c r="D257" s="6" t="s">
        <v>33</v>
      </c>
      <c r="E257" t="s">
        <v>837</v>
      </c>
      <c r="F257" t="s">
        <v>36</v>
      </c>
      <c r="G257" t="s">
        <v>37</v>
      </c>
      <c r="H257" t="s">
        <v>838</v>
      </c>
      <c r="I257" t="s">
        <v>39</v>
      </c>
      <c r="J257">
        <v>2</v>
      </c>
      <c r="K257" t="s">
        <v>40</v>
      </c>
      <c r="L257" t="s">
        <v>41</v>
      </c>
      <c r="M257" t="s">
        <v>42</v>
      </c>
      <c r="N257" s="7">
        <v>1</v>
      </c>
      <c r="O257" s="8">
        <v>45111.633391203701</v>
      </c>
      <c r="P257" s="9">
        <v>45113</v>
      </c>
      <c r="Q257" t="s">
        <v>36</v>
      </c>
      <c r="R257" t="s">
        <v>43</v>
      </c>
      <c r="S257" t="s">
        <v>44</v>
      </c>
      <c r="T257" t="s">
        <v>57</v>
      </c>
      <c r="U257" t="s">
        <v>839</v>
      </c>
      <c r="V257">
        <v>40460</v>
      </c>
      <c r="W257" t="s">
        <v>43</v>
      </c>
      <c r="X257" t="s">
        <v>47</v>
      </c>
      <c r="Y257" t="s">
        <v>48</v>
      </c>
      <c r="Z257" s="10">
        <f>IF(N257&lt;=1,7,7+0.8*ROUNDUP(N257-1,0))</f>
        <v>7</v>
      </c>
      <c r="AA257" s="11">
        <v>0</v>
      </c>
      <c r="AB257" s="11">
        <v>0</v>
      </c>
      <c r="AC257" s="11">
        <v>0</v>
      </c>
      <c r="AD257" s="11">
        <v>0</v>
      </c>
      <c r="AE257" s="11">
        <f>(Z257+AB257+AD257)*6%</f>
        <v>0.42</v>
      </c>
      <c r="AF257" s="11">
        <f>Z257+AB257+AD257+AE257</f>
        <v>7.42</v>
      </c>
      <c r="AG257" t="s">
        <v>43</v>
      </c>
    </row>
    <row r="258" spans="1:33" ht="15" customHeight="1" x14ac:dyDescent="0.35">
      <c r="A258">
        <v>690929</v>
      </c>
      <c r="B258" t="s">
        <v>33</v>
      </c>
      <c r="C258" t="s">
        <v>34</v>
      </c>
      <c r="D258" s="6" t="s">
        <v>33</v>
      </c>
      <c r="E258" t="s">
        <v>840</v>
      </c>
      <c r="F258" t="s">
        <v>36</v>
      </c>
      <c r="G258" t="s">
        <v>37</v>
      </c>
      <c r="H258" t="s">
        <v>841</v>
      </c>
      <c r="I258" t="s">
        <v>39</v>
      </c>
      <c r="J258">
        <v>2</v>
      </c>
      <c r="K258" t="s">
        <v>40</v>
      </c>
      <c r="L258" t="s">
        <v>41</v>
      </c>
      <c r="M258" t="s">
        <v>42</v>
      </c>
      <c r="N258" s="7">
        <v>1</v>
      </c>
      <c r="O258" s="8">
        <v>45111.635717592595</v>
      </c>
      <c r="P258" s="9">
        <v>45113</v>
      </c>
      <c r="Q258" t="s">
        <v>36</v>
      </c>
      <c r="R258" t="s">
        <v>43</v>
      </c>
      <c r="S258" t="s">
        <v>44</v>
      </c>
      <c r="T258" t="s">
        <v>80</v>
      </c>
      <c r="U258" t="s">
        <v>842</v>
      </c>
      <c r="V258">
        <v>8100</v>
      </c>
      <c r="W258" t="s">
        <v>43</v>
      </c>
      <c r="X258" t="s">
        <v>47</v>
      </c>
      <c r="Y258" t="s">
        <v>48</v>
      </c>
      <c r="Z258" s="10">
        <f>IF(N258&lt;=1,7,7+0.8*ROUNDUP(N258-1,0))</f>
        <v>7</v>
      </c>
      <c r="AA258" s="11">
        <v>0</v>
      </c>
      <c r="AB258" s="11">
        <v>0</v>
      </c>
      <c r="AC258" s="11">
        <v>0</v>
      </c>
      <c r="AD258" s="11">
        <v>0</v>
      </c>
      <c r="AE258" s="11">
        <f>(Z258+AB258+AD258)*6%</f>
        <v>0.42</v>
      </c>
      <c r="AF258" s="11">
        <f>Z258+AB258+AD258+AE258</f>
        <v>7.42</v>
      </c>
      <c r="AG258" t="s">
        <v>43</v>
      </c>
    </row>
    <row r="259" spans="1:33" ht="15" customHeight="1" x14ac:dyDescent="0.35">
      <c r="A259">
        <v>690929</v>
      </c>
      <c r="B259" t="s">
        <v>33</v>
      </c>
      <c r="C259" t="s">
        <v>34</v>
      </c>
      <c r="D259" s="6" t="s">
        <v>33</v>
      </c>
      <c r="E259" t="s">
        <v>843</v>
      </c>
      <c r="F259" t="s">
        <v>36</v>
      </c>
      <c r="G259" t="s">
        <v>37</v>
      </c>
      <c r="H259" t="s">
        <v>844</v>
      </c>
      <c r="I259" t="s">
        <v>39</v>
      </c>
      <c r="J259">
        <v>2</v>
      </c>
      <c r="K259" t="s">
        <v>40</v>
      </c>
      <c r="L259" t="s">
        <v>41</v>
      </c>
      <c r="M259" t="s">
        <v>42</v>
      </c>
      <c r="N259" s="7">
        <v>1</v>
      </c>
      <c r="O259" s="8">
        <v>45110.673368055555</v>
      </c>
      <c r="P259" s="9">
        <v>45113</v>
      </c>
      <c r="Q259" t="s">
        <v>36</v>
      </c>
      <c r="R259" t="s">
        <v>43</v>
      </c>
      <c r="S259" t="s">
        <v>44</v>
      </c>
      <c r="T259" t="s">
        <v>66</v>
      </c>
      <c r="U259" t="s">
        <v>845</v>
      </c>
      <c r="V259">
        <v>21610</v>
      </c>
      <c r="W259" t="s">
        <v>43</v>
      </c>
      <c r="X259" t="s">
        <v>44</v>
      </c>
      <c r="Y259" t="s">
        <v>48</v>
      </c>
      <c r="Z259" s="10">
        <f>IF(N259&lt;=1,7,7+0.8*ROUNDUP(N259-1,0))</f>
        <v>7</v>
      </c>
      <c r="AA259" s="11">
        <v>0</v>
      </c>
      <c r="AB259" s="11">
        <v>0</v>
      </c>
      <c r="AC259" s="11">
        <v>0</v>
      </c>
      <c r="AD259" s="11">
        <v>0</v>
      </c>
      <c r="AE259" s="11">
        <f>(Z259+AB259+AD259)*6%</f>
        <v>0.42</v>
      </c>
      <c r="AF259" s="11">
        <f>Z259+AB259+AD259+AE259</f>
        <v>7.42</v>
      </c>
      <c r="AG259" t="s">
        <v>43</v>
      </c>
    </row>
    <row r="260" spans="1:33" ht="15" customHeight="1" x14ac:dyDescent="0.35">
      <c r="A260">
        <v>690929</v>
      </c>
      <c r="B260" t="s">
        <v>33</v>
      </c>
      <c r="C260" t="s">
        <v>34</v>
      </c>
      <c r="D260" s="6" t="s">
        <v>33</v>
      </c>
      <c r="E260" t="s">
        <v>846</v>
      </c>
      <c r="F260" t="s">
        <v>36</v>
      </c>
      <c r="G260" t="s">
        <v>37</v>
      </c>
      <c r="H260" t="s">
        <v>804</v>
      </c>
      <c r="I260" t="s">
        <v>39</v>
      </c>
      <c r="J260">
        <v>2</v>
      </c>
      <c r="K260" t="s">
        <v>40</v>
      </c>
      <c r="L260" t="s">
        <v>41</v>
      </c>
      <c r="M260" t="s">
        <v>42</v>
      </c>
      <c r="N260" s="7">
        <v>14</v>
      </c>
      <c r="O260" s="8">
        <v>45110.768611111111</v>
      </c>
      <c r="P260" s="9">
        <v>45113</v>
      </c>
      <c r="Q260" t="s">
        <v>36</v>
      </c>
      <c r="R260" t="s">
        <v>43</v>
      </c>
      <c r="S260" t="s">
        <v>44</v>
      </c>
      <c r="T260" t="s">
        <v>194</v>
      </c>
      <c r="U260" t="s">
        <v>798</v>
      </c>
      <c r="V260">
        <v>71800</v>
      </c>
      <c r="W260" t="s">
        <v>43</v>
      </c>
      <c r="X260" t="s">
        <v>206</v>
      </c>
      <c r="Y260" t="s">
        <v>48</v>
      </c>
      <c r="Z260" s="10">
        <f>IF(N260&lt;=1,7,7+0.8*ROUNDUP(N260-1,0))</f>
        <v>17.399999999999999</v>
      </c>
      <c r="AA260" s="11">
        <v>0</v>
      </c>
      <c r="AB260" s="11">
        <v>0</v>
      </c>
      <c r="AC260" s="11">
        <v>0</v>
      </c>
      <c r="AD260" s="11">
        <v>0</v>
      </c>
      <c r="AE260" s="11">
        <f>(Z260+AB260+AD260)*6%</f>
        <v>1.0439999999999998</v>
      </c>
      <c r="AF260" s="11">
        <f>Z260+AB260+AD260+AE260</f>
        <v>18.443999999999999</v>
      </c>
      <c r="AG260" t="s">
        <v>43</v>
      </c>
    </row>
    <row r="261" spans="1:33" ht="15" customHeight="1" x14ac:dyDescent="0.35">
      <c r="A261">
        <v>690929</v>
      </c>
      <c r="B261" t="s">
        <v>33</v>
      </c>
      <c r="C261" t="s">
        <v>34</v>
      </c>
      <c r="D261" s="6" t="s">
        <v>33</v>
      </c>
      <c r="E261" t="s">
        <v>847</v>
      </c>
      <c r="F261" t="s">
        <v>36</v>
      </c>
      <c r="G261" t="s">
        <v>37</v>
      </c>
      <c r="H261" t="s">
        <v>552</v>
      </c>
      <c r="I261" t="s">
        <v>39</v>
      </c>
      <c r="J261">
        <v>2</v>
      </c>
      <c r="K261" t="s">
        <v>40</v>
      </c>
      <c r="L261" t="s">
        <v>41</v>
      </c>
      <c r="M261" t="s">
        <v>42</v>
      </c>
      <c r="N261" s="7">
        <v>4</v>
      </c>
      <c r="O261" s="8">
        <v>45113.64947916667</v>
      </c>
      <c r="P261" s="9">
        <v>45114</v>
      </c>
      <c r="Q261" t="s">
        <v>36</v>
      </c>
      <c r="R261" t="s">
        <v>43</v>
      </c>
      <c r="S261" t="s">
        <v>44</v>
      </c>
      <c r="T261" t="s">
        <v>89</v>
      </c>
      <c r="U261" t="s">
        <v>553</v>
      </c>
      <c r="V261">
        <v>26660</v>
      </c>
      <c r="W261" t="s">
        <v>43</v>
      </c>
      <c r="X261" t="s">
        <v>554</v>
      </c>
      <c r="Y261" t="s">
        <v>48</v>
      </c>
      <c r="Z261" s="10">
        <f>IF(N261&lt;=1,7,7+0.8*ROUNDUP(N261-1,0))</f>
        <v>9.4</v>
      </c>
      <c r="AA261" s="11">
        <v>0</v>
      </c>
      <c r="AB261" s="11">
        <v>0</v>
      </c>
      <c r="AC261" s="11">
        <v>0</v>
      </c>
      <c r="AD261" s="11">
        <v>0</v>
      </c>
      <c r="AE261" s="11">
        <f>(Z261+AB261+AD261)*6%</f>
        <v>0.56399999999999995</v>
      </c>
      <c r="AF261" s="11">
        <f>Z261+AB261+AD261+AE261</f>
        <v>9.9640000000000004</v>
      </c>
      <c r="AG261" t="s">
        <v>43</v>
      </c>
    </row>
    <row r="262" spans="1:33" ht="15" customHeight="1" x14ac:dyDescent="0.35">
      <c r="A262">
        <v>690929</v>
      </c>
      <c r="B262" t="s">
        <v>33</v>
      </c>
      <c r="C262" t="s">
        <v>34</v>
      </c>
      <c r="D262" s="6" t="s">
        <v>33</v>
      </c>
      <c r="E262" t="s">
        <v>848</v>
      </c>
      <c r="F262" t="s">
        <v>36</v>
      </c>
      <c r="G262" t="s">
        <v>37</v>
      </c>
      <c r="H262" t="s">
        <v>849</v>
      </c>
      <c r="I262" t="s">
        <v>39</v>
      </c>
      <c r="J262">
        <v>2</v>
      </c>
      <c r="K262" t="s">
        <v>40</v>
      </c>
      <c r="L262" t="s">
        <v>41</v>
      </c>
      <c r="M262" t="s">
        <v>42</v>
      </c>
      <c r="N262" s="7">
        <v>1</v>
      </c>
      <c r="O262" s="8">
        <v>45112.702905092592</v>
      </c>
      <c r="P262" s="9">
        <v>45114</v>
      </c>
      <c r="Q262" t="s">
        <v>36</v>
      </c>
      <c r="R262" t="s">
        <v>43</v>
      </c>
      <c r="S262" t="s">
        <v>44</v>
      </c>
      <c r="T262" t="s">
        <v>75</v>
      </c>
      <c r="U262" t="s">
        <v>850</v>
      </c>
      <c r="V262">
        <v>58200</v>
      </c>
      <c r="W262" t="s">
        <v>43</v>
      </c>
      <c r="X262" t="s">
        <v>851</v>
      </c>
      <c r="Y262" t="s">
        <v>48</v>
      </c>
      <c r="Z262" s="10">
        <f>IF(N262&lt;=1,7,7+0.8*ROUNDUP(N262-1,0))</f>
        <v>7</v>
      </c>
      <c r="AA262" s="11">
        <v>0</v>
      </c>
      <c r="AB262" s="11">
        <v>0</v>
      </c>
      <c r="AC262" s="11">
        <v>0</v>
      </c>
      <c r="AD262" s="11">
        <v>0</v>
      </c>
      <c r="AE262" s="11">
        <f>(Z262+AB262+AD262)*6%</f>
        <v>0.42</v>
      </c>
      <c r="AF262" s="11">
        <f>Z262+AB262+AD262+AE262</f>
        <v>7.42</v>
      </c>
      <c r="AG262" t="s">
        <v>43</v>
      </c>
    </row>
    <row r="263" spans="1:33" ht="15" customHeight="1" x14ac:dyDescent="0.35">
      <c r="A263">
        <v>690929</v>
      </c>
      <c r="B263" t="s">
        <v>33</v>
      </c>
      <c r="C263" t="s">
        <v>34</v>
      </c>
      <c r="D263" s="6" t="s">
        <v>33</v>
      </c>
      <c r="E263" t="s">
        <v>852</v>
      </c>
      <c r="F263" t="s">
        <v>36</v>
      </c>
      <c r="G263" t="s">
        <v>37</v>
      </c>
      <c r="H263" t="s">
        <v>853</v>
      </c>
      <c r="I263" t="s">
        <v>39</v>
      </c>
      <c r="J263">
        <v>2</v>
      </c>
      <c r="K263" t="s">
        <v>40</v>
      </c>
      <c r="L263" t="s">
        <v>41</v>
      </c>
      <c r="M263" t="s">
        <v>42</v>
      </c>
      <c r="N263" s="7">
        <v>1</v>
      </c>
      <c r="O263" s="8">
        <v>45112.780462962961</v>
      </c>
      <c r="P263" s="9">
        <v>45114</v>
      </c>
      <c r="Q263" t="s">
        <v>36</v>
      </c>
      <c r="R263" t="s">
        <v>43</v>
      </c>
      <c r="S263" t="s">
        <v>44</v>
      </c>
      <c r="T263" t="s">
        <v>89</v>
      </c>
      <c r="U263" t="s">
        <v>854</v>
      </c>
      <c r="V263">
        <v>26500</v>
      </c>
      <c r="W263" t="s">
        <v>43</v>
      </c>
      <c r="X263" t="s">
        <v>550</v>
      </c>
      <c r="Y263" t="s">
        <v>48</v>
      </c>
      <c r="Z263" s="10">
        <f>IF(N263&lt;=1,7,7+0.8*ROUNDUP(N263-1,0))</f>
        <v>7</v>
      </c>
      <c r="AA263" s="11">
        <v>0</v>
      </c>
      <c r="AB263" s="11">
        <v>0</v>
      </c>
      <c r="AC263" s="11">
        <v>0</v>
      </c>
      <c r="AD263" s="11">
        <v>0</v>
      </c>
      <c r="AE263" s="11">
        <f>(Z263+AB263+AD263)*6%</f>
        <v>0.42</v>
      </c>
      <c r="AF263" s="11">
        <f>Z263+AB263+AD263+AE263</f>
        <v>7.42</v>
      </c>
      <c r="AG263" t="s">
        <v>43</v>
      </c>
    </row>
    <row r="264" spans="1:33" ht="15" customHeight="1" x14ac:dyDescent="0.35">
      <c r="A264">
        <v>690929</v>
      </c>
      <c r="B264" t="s">
        <v>33</v>
      </c>
      <c r="C264" t="s">
        <v>34</v>
      </c>
      <c r="D264" s="6" t="s">
        <v>33</v>
      </c>
      <c r="E264" t="s">
        <v>855</v>
      </c>
      <c r="F264" t="s">
        <v>36</v>
      </c>
      <c r="G264" t="s">
        <v>37</v>
      </c>
      <c r="H264" t="s">
        <v>856</v>
      </c>
      <c r="I264" t="s">
        <v>39</v>
      </c>
      <c r="J264">
        <v>2</v>
      </c>
      <c r="K264" t="s">
        <v>40</v>
      </c>
      <c r="L264" t="s">
        <v>41</v>
      </c>
      <c r="M264" t="s">
        <v>42</v>
      </c>
      <c r="N264" s="7">
        <v>2</v>
      </c>
      <c r="O264" s="8">
        <v>45113.674872685187</v>
      </c>
      <c r="P264" s="9">
        <v>45114</v>
      </c>
      <c r="Q264" t="s">
        <v>36</v>
      </c>
      <c r="R264" t="s">
        <v>43</v>
      </c>
      <c r="S264" t="s">
        <v>44</v>
      </c>
      <c r="T264" t="s">
        <v>89</v>
      </c>
      <c r="U264" t="s">
        <v>857</v>
      </c>
      <c r="V264">
        <v>27000</v>
      </c>
      <c r="W264" t="s">
        <v>43</v>
      </c>
      <c r="X264" t="s">
        <v>760</v>
      </c>
      <c r="Y264" t="s">
        <v>48</v>
      </c>
      <c r="Z264" s="10">
        <f>IF(N264&lt;=1,7,7+0.8*ROUNDUP(N264-1,0))</f>
        <v>7.8</v>
      </c>
      <c r="AA264" s="11">
        <v>0</v>
      </c>
      <c r="AB264" s="11">
        <v>0</v>
      </c>
      <c r="AC264" s="11">
        <v>0</v>
      </c>
      <c r="AD264" s="11">
        <v>0</v>
      </c>
      <c r="AE264" s="11">
        <f>(Z264+AB264+AD264)*6%</f>
        <v>0.46799999999999997</v>
      </c>
      <c r="AF264" s="11">
        <f>Z264+AB264+AD264+AE264</f>
        <v>8.2680000000000007</v>
      </c>
      <c r="AG264" t="s">
        <v>43</v>
      </c>
    </row>
    <row r="265" spans="1:33" ht="15" customHeight="1" x14ac:dyDescent="0.35">
      <c r="A265">
        <v>690929</v>
      </c>
      <c r="B265" t="s">
        <v>33</v>
      </c>
      <c r="C265" t="s">
        <v>34</v>
      </c>
      <c r="D265" s="6" t="s">
        <v>33</v>
      </c>
      <c r="E265" t="s">
        <v>858</v>
      </c>
      <c r="F265" t="s">
        <v>36</v>
      </c>
      <c r="G265" t="s">
        <v>37</v>
      </c>
      <c r="H265" t="s">
        <v>859</v>
      </c>
      <c r="I265" t="s">
        <v>39</v>
      </c>
      <c r="J265">
        <v>2</v>
      </c>
      <c r="K265" t="s">
        <v>40</v>
      </c>
      <c r="L265" t="s">
        <v>41</v>
      </c>
      <c r="M265" t="s">
        <v>42</v>
      </c>
      <c r="N265" s="7">
        <v>2</v>
      </c>
      <c r="O265" s="8">
        <v>45113.627013888887</v>
      </c>
      <c r="P265" s="9">
        <v>45114</v>
      </c>
      <c r="Q265" t="s">
        <v>36</v>
      </c>
      <c r="R265" t="s">
        <v>43</v>
      </c>
      <c r="S265" t="s">
        <v>44</v>
      </c>
      <c r="T265" t="s">
        <v>89</v>
      </c>
      <c r="U265" t="s">
        <v>860</v>
      </c>
      <c r="V265">
        <v>27040</v>
      </c>
      <c r="W265" t="s">
        <v>43</v>
      </c>
      <c r="X265" t="s">
        <v>760</v>
      </c>
      <c r="Y265" t="s">
        <v>48</v>
      </c>
      <c r="Z265" s="10">
        <f>IF(N265&lt;=1,7,7+0.8*ROUNDUP(N265-1,0))</f>
        <v>7.8</v>
      </c>
      <c r="AA265" s="11">
        <v>0</v>
      </c>
      <c r="AB265" s="11">
        <v>0</v>
      </c>
      <c r="AC265" s="11">
        <v>0</v>
      </c>
      <c r="AD265" s="11">
        <v>0</v>
      </c>
      <c r="AE265" s="11">
        <f>(Z265+AB265+AD265)*6%</f>
        <v>0.46799999999999997</v>
      </c>
      <c r="AF265" s="11">
        <f>Z265+AB265+AD265+AE265</f>
        <v>8.2680000000000007</v>
      </c>
      <c r="AG265" t="s">
        <v>43</v>
      </c>
    </row>
    <row r="266" spans="1:33" ht="15" customHeight="1" x14ac:dyDescent="0.35">
      <c r="A266">
        <v>690929</v>
      </c>
      <c r="B266" t="s">
        <v>33</v>
      </c>
      <c r="C266" t="s">
        <v>34</v>
      </c>
      <c r="D266" s="6" t="s">
        <v>33</v>
      </c>
      <c r="E266" t="s">
        <v>861</v>
      </c>
      <c r="F266" t="s">
        <v>36</v>
      </c>
      <c r="G266" t="s">
        <v>37</v>
      </c>
      <c r="H266" t="s">
        <v>862</v>
      </c>
      <c r="I266" t="s">
        <v>39</v>
      </c>
      <c r="J266">
        <v>2</v>
      </c>
      <c r="K266" t="s">
        <v>40</v>
      </c>
      <c r="L266" t="s">
        <v>41</v>
      </c>
      <c r="M266" t="s">
        <v>42</v>
      </c>
      <c r="N266" s="7">
        <v>5</v>
      </c>
      <c r="O266" s="8">
        <v>45113.627013888887</v>
      </c>
      <c r="P266" s="9">
        <v>45114</v>
      </c>
      <c r="Q266" t="s">
        <v>36</v>
      </c>
      <c r="R266" t="s">
        <v>43</v>
      </c>
      <c r="S266" t="s">
        <v>44</v>
      </c>
      <c r="T266" t="s">
        <v>89</v>
      </c>
      <c r="U266" t="s">
        <v>863</v>
      </c>
      <c r="V266">
        <v>28400</v>
      </c>
      <c r="W266" t="s">
        <v>43</v>
      </c>
      <c r="X266" t="s">
        <v>760</v>
      </c>
      <c r="Y266" t="s">
        <v>48</v>
      </c>
      <c r="Z266" s="10">
        <f>IF(N266&lt;=1,7,7+0.8*ROUNDUP(N266-1,0))</f>
        <v>10.199999999999999</v>
      </c>
      <c r="AA266" s="11">
        <v>0</v>
      </c>
      <c r="AB266" s="11">
        <v>0</v>
      </c>
      <c r="AC266" s="11">
        <v>0</v>
      </c>
      <c r="AD266" s="11">
        <v>0</v>
      </c>
      <c r="AE266" s="11">
        <f>(Z266+AB266+AD266)*6%</f>
        <v>0.61199999999999999</v>
      </c>
      <c r="AF266" s="11">
        <f>Z266+AB266+AD266+AE266</f>
        <v>10.811999999999999</v>
      </c>
      <c r="AG266" t="s">
        <v>43</v>
      </c>
    </row>
    <row r="267" spans="1:33" ht="15" customHeight="1" x14ac:dyDescent="0.35">
      <c r="A267">
        <v>690929</v>
      </c>
      <c r="B267" t="s">
        <v>33</v>
      </c>
      <c r="C267" t="s">
        <v>34</v>
      </c>
      <c r="D267" s="6" t="s">
        <v>33</v>
      </c>
      <c r="E267" t="s">
        <v>864</v>
      </c>
      <c r="F267" t="s">
        <v>36</v>
      </c>
      <c r="G267" t="s">
        <v>37</v>
      </c>
      <c r="H267" t="s">
        <v>865</v>
      </c>
      <c r="I267" t="s">
        <v>39</v>
      </c>
      <c r="J267">
        <v>2</v>
      </c>
      <c r="K267" t="s">
        <v>40</v>
      </c>
      <c r="L267" t="s">
        <v>41</v>
      </c>
      <c r="M267" t="s">
        <v>42</v>
      </c>
      <c r="N267" s="7">
        <v>1</v>
      </c>
      <c r="O267" s="8">
        <v>45112.663877314815</v>
      </c>
      <c r="P267" s="9">
        <v>45114</v>
      </c>
      <c r="Q267" t="s">
        <v>36</v>
      </c>
      <c r="R267" t="s">
        <v>43</v>
      </c>
      <c r="S267" t="s">
        <v>44</v>
      </c>
      <c r="T267" t="s">
        <v>194</v>
      </c>
      <c r="U267" t="s">
        <v>866</v>
      </c>
      <c r="V267">
        <v>73480</v>
      </c>
      <c r="W267" t="s">
        <v>43</v>
      </c>
      <c r="X267" t="s">
        <v>47</v>
      </c>
      <c r="Y267" t="s">
        <v>48</v>
      </c>
      <c r="Z267" s="10">
        <f>IF(N267&lt;=1,7,7+0.8*ROUNDUP(N267-1,0))</f>
        <v>7</v>
      </c>
      <c r="AA267" s="11">
        <v>0</v>
      </c>
      <c r="AB267" s="11">
        <v>0</v>
      </c>
      <c r="AC267" s="11">
        <v>0</v>
      </c>
      <c r="AD267" s="11">
        <v>0</v>
      </c>
      <c r="AE267" s="11">
        <f>(Z267+AB267+AD267)*6%</f>
        <v>0.42</v>
      </c>
      <c r="AF267" s="11">
        <f>Z267+AB267+AD267+AE267</f>
        <v>7.42</v>
      </c>
      <c r="AG267" t="s">
        <v>43</v>
      </c>
    </row>
    <row r="268" spans="1:33" ht="15" customHeight="1" x14ac:dyDescent="0.35">
      <c r="A268">
        <v>690929</v>
      </c>
      <c r="B268" t="s">
        <v>33</v>
      </c>
      <c r="C268" t="s">
        <v>34</v>
      </c>
      <c r="D268" s="6" t="s">
        <v>33</v>
      </c>
      <c r="E268" t="s">
        <v>867</v>
      </c>
      <c r="F268" t="s">
        <v>36</v>
      </c>
      <c r="G268" t="s">
        <v>37</v>
      </c>
      <c r="H268" t="s">
        <v>868</v>
      </c>
      <c r="I268" t="s">
        <v>39</v>
      </c>
      <c r="J268">
        <v>2</v>
      </c>
      <c r="K268" t="s">
        <v>40</v>
      </c>
      <c r="L268" t="s">
        <v>41</v>
      </c>
      <c r="M268" t="s">
        <v>42</v>
      </c>
      <c r="N268" s="7">
        <v>1</v>
      </c>
      <c r="O268" s="8">
        <v>45113.627013888887</v>
      </c>
      <c r="P268" s="9">
        <v>45114</v>
      </c>
      <c r="Q268" t="s">
        <v>36</v>
      </c>
      <c r="R268" t="s">
        <v>43</v>
      </c>
      <c r="S268" t="s">
        <v>47</v>
      </c>
      <c r="T268" t="s">
        <v>57</v>
      </c>
      <c r="U268" t="s">
        <v>869</v>
      </c>
      <c r="V268">
        <v>48200</v>
      </c>
      <c r="W268" t="s">
        <v>43</v>
      </c>
      <c r="X268" t="s">
        <v>467</v>
      </c>
      <c r="Y268" t="s">
        <v>48</v>
      </c>
      <c r="Z268" s="10">
        <f>IF(N268&lt;=1,7,7+0.8*ROUNDUP(N268-1,0))</f>
        <v>7</v>
      </c>
      <c r="AA268" s="11">
        <v>0</v>
      </c>
      <c r="AB268" s="11">
        <v>0</v>
      </c>
      <c r="AC268" s="11">
        <v>0</v>
      </c>
      <c r="AD268" s="11">
        <v>0</v>
      </c>
      <c r="AE268" s="11">
        <f>(Z268+AB268+AD268)*6%</f>
        <v>0.42</v>
      </c>
      <c r="AF268" s="11">
        <f>Z268+AB268+AD268+AE268</f>
        <v>7.42</v>
      </c>
      <c r="AG268" t="s">
        <v>43</v>
      </c>
    </row>
    <row r="269" spans="1:33" ht="15" customHeight="1" x14ac:dyDescent="0.35">
      <c r="A269">
        <v>690929</v>
      </c>
      <c r="B269" t="s">
        <v>33</v>
      </c>
      <c r="C269" t="s">
        <v>34</v>
      </c>
      <c r="D269" s="6" t="s">
        <v>33</v>
      </c>
      <c r="E269" t="s">
        <v>870</v>
      </c>
      <c r="F269" t="s">
        <v>36</v>
      </c>
      <c r="G269" t="s">
        <v>37</v>
      </c>
      <c r="H269" t="s">
        <v>871</v>
      </c>
      <c r="I269" t="s">
        <v>39</v>
      </c>
      <c r="J269">
        <v>2</v>
      </c>
      <c r="K269" t="s">
        <v>40</v>
      </c>
      <c r="L269" t="s">
        <v>41</v>
      </c>
      <c r="M269" t="s">
        <v>42</v>
      </c>
      <c r="N269" s="7">
        <v>5</v>
      </c>
      <c r="O269" s="8">
        <v>45113.627013888887</v>
      </c>
      <c r="P269" s="9">
        <v>45114</v>
      </c>
      <c r="Q269" t="s">
        <v>36</v>
      </c>
      <c r="R269" t="s">
        <v>43</v>
      </c>
      <c r="S269" t="s">
        <v>44</v>
      </c>
      <c r="T269" t="s">
        <v>57</v>
      </c>
      <c r="U269" t="s">
        <v>872</v>
      </c>
      <c r="V269">
        <v>62502</v>
      </c>
      <c r="W269" t="s">
        <v>43</v>
      </c>
      <c r="X269" t="s">
        <v>47</v>
      </c>
      <c r="Y269" t="s">
        <v>48</v>
      </c>
      <c r="Z269" s="10">
        <f>IF(N269&lt;=1,7,7+0.8*ROUNDUP(N269-1,0))</f>
        <v>10.199999999999999</v>
      </c>
      <c r="AA269" s="11">
        <v>0</v>
      </c>
      <c r="AB269" s="11">
        <v>0</v>
      </c>
      <c r="AC269" s="11">
        <v>0</v>
      </c>
      <c r="AD269" s="11">
        <v>0</v>
      </c>
      <c r="AE269" s="11">
        <f>(Z269+AB269+AD269)*6%</f>
        <v>0.61199999999999999</v>
      </c>
      <c r="AF269" s="11">
        <f>Z269+AB269+AD269+AE269</f>
        <v>10.811999999999999</v>
      </c>
      <c r="AG269" t="s">
        <v>43</v>
      </c>
    </row>
    <row r="270" spans="1:33" ht="15" customHeight="1" x14ac:dyDescent="0.35">
      <c r="A270">
        <v>690929</v>
      </c>
      <c r="B270" t="s">
        <v>33</v>
      </c>
      <c r="C270" t="s">
        <v>34</v>
      </c>
      <c r="D270" s="6" t="s">
        <v>33</v>
      </c>
      <c r="E270" t="s">
        <v>873</v>
      </c>
      <c r="F270" t="s">
        <v>36</v>
      </c>
      <c r="G270" t="s">
        <v>37</v>
      </c>
      <c r="H270" t="s">
        <v>874</v>
      </c>
      <c r="I270" t="s">
        <v>39</v>
      </c>
      <c r="J270">
        <v>2</v>
      </c>
      <c r="K270" t="s">
        <v>40</v>
      </c>
      <c r="L270" t="s">
        <v>41</v>
      </c>
      <c r="M270" t="s">
        <v>42</v>
      </c>
      <c r="N270" s="7">
        <v>1</v>
      </c>
      <c r="O270" s="8">
        <v>45113.627013888887</v>
      </c>
      <c r="P270" s="9">
        <v>45114</v>
      </c>
      <c r="Q270" t="s">
        <v>36</v>
      </c>
      <c r="R270" t="s">
        <v>43</v>
      </c>
      <c r="S270" t="s">
        <v>47</v>
      </c>
      <c r="T270" t="s">
        <v>57</v>
      </c>
      <c r="U270" t="s">
        <v>875</v>
      </c>
      <c r="V270">
        <v>43650</v>
      </c>
      <c r="W270" t="s">
        <v>43</v>
      </c>
      <c r="X270" t="s">
        <v>180</v>
      </c>
      <c r="Y270" t="s">
        <v>48</v>
      </c>
      <c r="Z270" s="10">
        <f>IF(N270&lt;=1,7,7+0.8*ROUNDUP(N270-1,0))</f>
        <v>7</v>
      </c>
      <c r="AA270" s="11">
        <v>0</v>
      </c>
      <c r="AB270" s="11">
        <v>0</v>
      </c>
      <c r="AC270" s="11">
        <v>0</v>
      </c>
      <c r="AD270" s="11">
        <v>0</v>
      </c>
      <c r="AE270" s="11">
        <f>(Z270+AB270+AD270)*6%</f>
        <v>0.42</v>
      </c>
      <c r="AF270" s="11">
        <f>Z270+AB270+AD270+AE270</f>
        <v>7.42</v>
      </c>
      <c r="AG270" t="s">
        <v>43</v>
      </c>
    </row>
    <row r="271" spans="1:33" ht="15" customHeight="1" x14ac:dyDescent="0.35">
      <c r="A271">
        <v>690929</v>
      </c>
      <c r="B271" t="s">
        <v>33</v>
      </c>
      <c r="C271" t="s">
        <v>34</v>
      </c>
      <c r="D271" s="6" t="s">
        <v>33</v>
      </c>
      <c r="E271" t="s">
        <v>876</v>
      </c>
      <c r="F271" t="s">
        <v>36</v>
      </c>
      <c r="G271" t="s">
        <v>37</v>
      </c>
      <c r="H271" t="s">
        <v>877</v>
      </c>
      <c r="I271" t="s">
        <v>39</v>
      </c>
      <c r="J271">
        <v>2</v>
      </c>
      <c r="K271" t="s">
        <v>40</v>
      </c>
      <c r="L271" t="s">
        <v>41</v>
      </c>
      <c r="M271" t="s">
        <v>42</v>
      </c>
      <c r="N271" s="7">
        <v>1</v>
      </c>
      <c r="O271" s="8">
        <v>45113.627013888887</v>
      </c>
      <c r="P271" s="9">
        <v>45114</v>
      </c>
      <c r="Q271" t="s">
        <v>36</v>
      </c>
      <c r="R271" t="s">
        <v>43</v>
      </c>
      <c r="S271" t="s">
        <v>44</v>
      </c>
      <c r="T271" t="s">
        <v>109</v>
      </c>
      <c r="U271" t="s">
        <v>878</v>
      </c>
      <c r="V271">
        <v>17000</v>
      </c>
      <c r="W271" t="s">
        <v>43</v>
      </c>
      <c r="X271" t="s">
        <v>56</v>
      </c>
      <c r="Y271" t="s">
        <v>48</v>
      </c>
      <c r="Z271" s="10">
        <f>IF(N271&lt;=1,7,7+0.8*ROUNDUP(N271-1,0))</f>
        <v>7</v>
      </c>
      <c r="AA271" s="11">
        <v>0</v>
      </c>
      <c r="AB271" s="11">
        <v>0</v>
      </c>
      <c r="AC271" s="11">
        <v>0</v>
      </c>
      <c r="AD271" s="11">
        <v>0</v>
      </c>
      <c r="AE271" s="11">
        <f>(Z271+AB271+AD271)*6%</f>
        <v>0.42</v>
      </c>
      <c r="AF271" s="11">
        <f>Z271+AB271+AD271+AE271</f>
        <v>7.42</v>
      </c>
      <c r="AG271" t="s">
        <v>43</v>
      </c>
    </row>
    <row r="272" spans="1:33" ht="15" customHeight="1" x14ac:dyDescent="0.35">
      <c r="A272">
        <v>690929</v>
      </c>
      <c r="B272" t="s">
        <v>33</v>
      </c>
      <c r="C272" t="s">
        <v>34</v>
      </c>
      <c r="D272" s="6" t="s">
        <v>33</v>
      </c>
      <c r="E272" t="s">
        <v>879</v>
      </c>
      <c r="F272" t="s">
        <v>36</v>
      </c>
      <c r="G272" t="s">
        <v>37</v>
      </c>
      <c r="H272" t="s">
        <v>880</v>
      </c>
      <c r="I272" t="s">
        <v>39</v>
      </c>
      <c r="J272">
        <v>2</v>
      </c>
      <c r="K272" t="s">
        <v>40</v>
      </c>
      <c r="L272" t="s">
        <v>41</v>
      </c>
      <c r="M272" t="s">
        <v>42</v>
      </c>
      <c r="N272" s="7">
        <v>1</v>
      </c>
      <c r="O272" s="8">
        <v>45113.549988425926</v>
      </c>
      <c r="P272" s="9">
        <v>45114</v>
      </c>
      <c r="Q272" t="s">
        <v>36</v>
      </c>
      <c r="R272" t="s">
        <v>43</v>
      </c>
      <c r="S272" t="s">
        <v>44</v>
      </c>
      <c r="T272" t="s">
        <v>57</v>
      </c>
      <c r="U272" t="s">
        <v>881</v>
      </c>
      <c r="V272">
        <v>43657</v>
      </c>
      <c r="W272" t="s">
        <v>43</v>
      </c>
      <c r="X272" t="s">
        <v>47</v>
      </c>
      <c r="Y272" t="s">
        <v>48</v>
      </c>
      <c r="Z272" s="10">
        <f>IF(N272&lt;=1,7,7+0.8*ROUNDUP(N272-1,0))</f>
        <v>7</v>
      </c>
      <c r="AA272" s="11">
        <v>0</v>
      </c>
      <c r="AB272" s="11">
        <v>0</v>
      </c>
      <c r="AC272" s="11">
        <v>0</v>
      </c>
      <c r="AD272" s="11">
        <v>0</v>
      </c>
      <c r="AE272" s="11">
        <f>(Z272+AB272+AD272)*6%</f>
        <v>0.42</v>
      </c>
      <c r="AF272" s="11">
        <f>Z272+AB272+AD272+AE272</f>
        <v>7.42</v>
      </c>
      <c r="AG272" t="s">
        <v>43</v>
      </c>
    </row>
    <row r="273" spans="1:33" ht="15" customHeight="1" x14ac:dyDescent="0.35">
      <c r="A273">
        <v>690929</v>
      </c>
      <c r="B273" t="s">
        <v>33</v>
      </c>
      <c r="C273" t="s">
        <v>34</v>
      </c>
      <c r="D273" s="6" t="s">
        <v>33</v>
      </c>
      <c r="E273" t="s">
        <v>882</v>
      </c>
      <c r="F273" t="s">
        <v>36</v>
      </c>
      <c r="G273" t="s">
        <v>37</v>
      </c>
      <c r="H273" t="s">
        <v>797</v>
      </c>
      <c r="I273" t="s">
        <v>39</v>
      </c>
      <c r="J273">
        <v>2</v>
      </c>
      <c r="K273" t="s">
        <v>40</v>
      </c>
      <c r="L273" t="s">
        <v>41</v>
      </c>
      <c r="M273" t="s">
        <v>42</v>
      </c>
      <c r="N273" s="7">
        <v>14</v>
      </c>
      <c r="O273" s="8">
        <v>45110.724016203705</v>
      </c>
      <c r="P273" s="9">
        <v>45114</v>
      </c>
      <c r="Q273" t="s">
        <v>36</v>
      </c>
      <c r="R273" t="s">
        <v>43</v>
      </c>
      <c r="S273" t="s">
        <v>44</v>
      </c>
      <c r="T273" t="s">
        <v>194</v>
      </c>
      <c r="U273" t="s">
        <v>798</v>
      </c>
      <c r="V273">
        <v>71800</v>
      </c>
      <c r="W273" t="s">
        <v>43</v>
      </c>
      <c r="X273" t="s">
        <v>206</v>
      </c>
      <c r="Y273" t="s">
        <v>48</v>
      </c>
      <c r="Z273" s="10">
        <f>IF(N273&lt;=1,7,7+0.8*ROUNDUP(N273-1,0))</f>
        <v>17.399999999999999</v>
      </c>
      <c r="AA273" s="11">
        <v>0</v>
      </c>
      <c r="AB273" s="11">
        <v>0</v>
      </c>
      <c r="AC273" s="11">
        <v>0</v>
      </c>
      <c r="AD273" s="11">
        <v>0</v>
      </c>
      <c r="AE273" s="11">
        <f>(Z273+AB273+AD273)*6%</f>
        <v>1.0439999999999998</v>
      </c>
      <c r="AF273" s="11">
        <f>Z273+AB273+AD273+AE273</f>
        <v>18.443999999999999</v>
      </c>
      <c r="AG273" t="s">
        <v>43</v>
      </c>
    </row>
    <row r="274" spans="1:33" ht="15" customHeight="1" x14ac:dyDescent="0.35">
      <c r="A274">
        <v>690929</v>
      </c>
      <c r="B274" t="s">
        <v>33</v>
      </c>
      <c r="C274" t="s">
        <v>34</v>
      </c>
      <c r="D274" s="6" t="s">
        <v>33</v>
      </c>
      <c r="E274" t="s">
        <v>883</v>
      </c>
      <c r="F274" t="s">
        <v>36</v>
      </c>
      <c r="G274" t="s">
        <v>37</v>
      </c>
      <c r="H274" t="s">
        <v>804</v>
      </c>
      <c r="I274" t="s">
        <v>39</v>
      </c>
      <c r="J274">
        <v>2</v>
      </c>
      <c r="K274" t="s">
        <v>40</v>
      </c>
      <c r="L274" t="s">
        <v>41</v>
      </c>
      <c r="M274" t="s">
        <v>42</v>
      </c>
      <c r="N274" s="7">
        <v>15</v>
      </c>
      <c r="O274" s="8">
        <v>45110.735185185185</v>
      </c>
      <c r="P274" s="9">
        <v>45114</v>
      </c>
      <c r="Q274" t="s">
        <v>36</v>
      </c>
      <c r="R274" t="s">
        <v>43</v>
      </c>
      <c r="S274" t="s">
        <v>44</v>
      </c>
      <c r="T274" t="s">
        <v>194</v>
      </c>
      <c r="U274" t="s">
        <v>798</v>
      </c>
      <c r="V274">
        <v>71800</v>
      </c>
      <c r="W274" t="s">
        <v>43</v>
      </c>
      <c r="X274" t="s">
        <v>206</v>
      </c>
      <c r="Y274" t="s">
        <v>48</v>
      </c>
      <c r="Z274" s="10">
        <f>IF(N274&lt;=1,7,7+0.8*ROUNDUP(N274-1,0))</f>
        <v>18.200000000000003</v>
      </c>
      <c r="AA274" s="11">
        <v>0</v>
      </c>
      <c r="AB274" s="11">
        <v>0</v>
      </c>
      <c r="AC274" s="11">
        <v>0</v>
      </c>
      <c r="AD274" s="11">
        <v>0</v>
      </c>
      <c r="AE274" s="11">
        <f>(Z274+AB274+AD274)*6%</f>
        <v>1.0920000000000001</v>
      </c>
      <c r="AF274" s="11">
        <f>Z274+AB274+AD274+AE274</f>
        <v>19.292000000000002</v>
      </c>
      <c r="AG274" t="s">
        <v>43</v>
      </c>
    </row>
    <row r="275" spans="1:33" ht="15" customHeight="1" x14ac:dyDescent="0.35">
      <c r="A275">
        <v>690929</v>
      </c>
      <c r="B275" t="s">
        <v>33</v>
      </c>
      <c r="C275" t="s">
        <v>34</v>
      </c>
      <c r="D275" s="6" t="s">
        <v>33</v>
      </c>
      <c r="E275" t="s">
        <v>884</v>
      </c>
      <c r="F275" t="s">
        <v>36</v>
      </c>
      <c r="G275" t="s">
        <v>37</v>
      </c>
      <c r="H275" t="s">
        <v>885</v>
      </c>
      <c r="I275" t="s">
        <v>39</v>
      </c>
      <c r="J275">
        <v>2</v>
      </c>
      <c r="K275" t="s">
        <v>40</v>
      </c>
      <c r="L275" t="s">
        <v>41</v>
      </c>
      <c r="M275" t="s">
        <v>42</v>
      </c>
      <c r="N275" s="7">
        <v>1</v>
      </c>
      <c r="O275" s="8">
        <v>45113.627013888887</v>
      </c>
      <c r="P275" s="9">
        <v>45114</v>
      </c>
      <c r="Q275" t="s">
        <v>36</v>
      </c>
      <c r="R275" t="s">
        <v>43</v>
      </c>
      <c r="S275" t="s">
        <v>44</v>
      </c>
      <c r="T275" t="s">
        <v>109</v>
      </c>
      <c r="U275" t="s">
        <v>886</v>
      </c>
      <c r="V275">
        <v>16250</v>
      </c>
      <c r="W275" t="s">
        <v>43</v>
      </c>
      <c r="X275" t="s">
        <v>56</v>
      </c>
      <c r="Y275" t="s">
        <v>48</v>
      </c>
      <c r="Z275" s="10">
        <f>IF(N275&lt;=1,7,7+0.8*ROUNDUP(N275-1,0))</f>
        <v>7</v>
      </c>
      <c r="AA275" s="11">
        <v>0</v>
      </c>
      <c r="AB275" s="11">
        <v>0</v>
      </c>
      <c r="AC275" s="11">
        <v>0</v>
      </c>
      <c r="AD275" s="11">
        <v>0</v>
      </c>
      <c r="AE275" s="11">
        <f>(Z275+AB275+AD275)*6%</f>
        <v>0.42</v>
      </c>
      <c r="AF275" s="11">
        <f>Z275+AB275+AD275+AE275</f>
        <v>7.42</v>
      </c>
      <c r="AG275" t="s">
        <v>43</v>
      </c>
    </row>
    <row r="276" spans="1:33" ht="15" customHeight="1" x14ac:dyDescent="0.35">
      <c r="A276">
        <v>690929</v>
      </c>
      <c r="B276" t="s">
        <v>33</v>
      </c>
      <c r="C276" t="s">
        <v>34</v>
      </c>
      <c r="D276" s="6" t="s">
        <v>33</v>
      </c>
      <c r="E276" t="s">
        <v>887</v>
      </c>
      <c r="F276" t="s">
        <v>36</v>
      </c>
      <c r="G276" t="s">
        <v>37</v>
      </c>
      <c r="H276" t="s">
        <v>888</v>
      </c>
      <c r="I276" t="s">
        <v>39</v>
      </c>
      <c r="J276">
        <v>2</v>
      </c>
      <c r="K276" t="s">
        <v>40</v>
      </c>
      <c r="L276" t="s">
        <v>41</v>
      </c>
      <c r="M276" t="s">
        <v>42</v>
      </c>
      <c r="N276" s="7">
        <v>1</v>
      </c>
      <c r="O276" s="8">
        <v>45112.771736111114</v>
      </c>
      <c r="P276" s="9">
        <v>45114</v>
      </c>
      <c r="Q276" t="s">
        <v>36</v>
      </c>
      <c r="R276" t="s">
        <v>43</v>
      </c>
      <c r="S276" t="s">
        <v>47</v>
      </c>
      <c r="T276" t="s">
        <v>57</v>
      </c>
      <c r="U276" t="s">
        <v>889</v>
      </c>
      <c r="V276">
        <v>42500</v>
      </c>
      <c r="W276" t="s">
        <v>43</v>
      </c>
      <c r="X276" t="s">
        <v>517</v>
      </c>
      <c r="Y276" t="s">
        <v>48</v>
      </c>
      <c r="Z276" s="10">
        <f>IF(N276&lt;=1,7,7+0.8*ROUNDUP(N276-1,0))</f>
        <v>7</v>
      </c>
      <c r="AA276" s="11">
        <v>0</v>
      </c>
      <c r="AB276" s="11">
        <v>0</v>
      </c>
      <c r="AC276" s="11">
        <v>0</v>
      </c>
      <c r="AD276" s="11">
        <v>0</v>
      </c>
      <c r="AE276" s="11">
        <f>(Z276+AB276+AD276)*6%</f>
        <v>0.42</v>
      </c>
      <c r="AF276" s="11">
        <f>Z276+AB276+AD276+AE276</f>
        <v>7.42</v>
      </c>
      <c r="AG276" t="s">
        <v>43</v>
      </c>
    </row>
    <row r="277" spans="1:33" ht="15" customHeight="1" x14ac:dyDescent="0.35">
      <c r="A277">
        <v>690929</v>
      </c>
      <c r="B277" t="s">
        <v>33</v>
      </c>
      <c r="C277" t="s">
        <v>34</v>
      </c>
      <c r="D277" s="6" t="s">
        <v>33</v>
      </c>
      <c r="E277" t="s">
        <v>890</v>
      </c>
      <c r="F277" t="s">
        <v>36</v>
      </c>
      <c r="G277" t="s">
        <v>37</v>
      </c>
      <c r="H277" t="s">
        <v>891</v>
      </c>
      <c r="I277" t="s">
        <v>39</v>
      </c>
      <c r="J277">
        <v>2</v>
      </c>
      <c r="K277" t="s">
        <v>40</v>
      </c>
      <c r="L277" t="s">
        <v>41</v>
      </c>
      <c r="M277" t="s">
        <v>42</v>
      </c>
      <c r="N277" s="7">
        <v>1</v>
      </c>
      <c r="O277" s="8">
        <v>45112.768159722225</v>
      </c>
      <c r="P277" s="9">
        <v>45115</v>
      </c>
      <c r="Q277" t="s">
        <v>36</v>
      </c>
      <c r="R277" t="s">
        <v>43</v>
      </c>
      <c r="S277" t="s">
        <v>47</v>
      </c>
      <c r="T277" t="s">
        <v>170</v>
      </c>
      <c r="U277" t="s">
        <v>892</v>
      </c>
      <c r="V277">
        <v>89807</v>
      </c>
      <c r="W277" t="s">
        <v>172</v>
      </c>
      <c r="X277" t="s">
        <v>893</v>
      </c>
      <c r="Y277" t="s">
        <v>48</v>
      </c>
      <c r="Z277" s="12">
        <f>IF(N277&lt;=1,13,IF(N277&lt;=2,23,IF(N277&lt;=3,35,IF(N277&lt;=4,43,IF(N277&lt;=5,53,IF(N277&lt;=6,63,IF(N277&lt;=7,71,IF(N277&lt;=8,79,IF(N277&lt;=9,87,IF(N277&lt;=10,95,IF(N277&lt;=11,105,IF(N277&lt;=12,114,IF(N277&lt;=13,119,IF(N277&lt;=14,127,IF(N277&lt;=15,135,IF(N277&lt;=16,143,IF(N277&lt;=17,153,IF(N277&lt;=18,163,IF(N277&lt;=19,171,IF(N277&lt;=20,185,IF(N277&lt;=21,193,IF(N277&lt;=22,201,IF(N277&lt;=23,210,IF(N277&lt;=24,220,IF(N277&lt;=25,230,IF(N277&lt;=26,240,IF(N277&lt;=27,250,IF(N277&lt;=28,260,IF(N277&lt;=29,270,IF(N277&lt;=30,280,280+10*ROUNDUP(N277-30,0)))))))))))))))))))))))))))))))</f>
        <v>13</v>
      </c>
      <c r="AA277" s="11">
        <v>0</v>
      </c>
      <c r="AB277" s="11">
        <v>0</v>
      </c>
      <c r="AC277" s="11">
        <v>0</v>
      </c>
      <c r="AD277" s="11">
        <v>0</v>
      </c>
      <c r="AE277" s="11">
        <f>(Z277+AB277+AD277)*6%</f>
        <v>0.78</v>
      </c>
      <c r="AF277" s="11">
        <f>Z277+AB277+AD277+AE277</f>
        <v>13.78</v>
      </c>
      <c r="AG277" t="s">
        <v>172</v>
      </c>
    </row>
    <row r="278" spans="1:33" ht="15" customHeight="1" x14ac:dyDescent="0.35">
      <c r="A278">
        <v>690929</v>
      </c>
      <c r="B278" t="s">
        <v>33</v>
      </c>
      <c r="C278" t="s">
        <v>34</v>
      </c>
      <c r="D278" s="6" t="s">
        <v>33</v>
      </c>
      <c r="E278" t="s">
        <v>894</v>
      </c>
      <c r="F278" t="s">
        <v>36</v>
      </c>
      <c r="G278" t="s">
        <v>37</v>
      </c>
      <c r="H278" t="s">
        <v>318</v>
      </c>
      <c r="I278" t="s">
        <v>39</v>
      </c>
      <c r="J278">
        <v>2</v>
      </c>
      <c r="K278" t="s">
        <v>40</v>
      </c>
      <c r="L278" t="s">
        <v>41</v>
      </c>
      <c r="M278" t="s">
        <v>42</v>
      </c>
      <c r="N278" s="7">
        <v>1</v>
      </c>
      <c r="O278" s="8">
        <v>45113.627013888887</v>
      </c>
      <c r="P278" s="9">
        <v>45115</v>
      </c>
      <c r="Q278" t="s">
        <v>36</v>
      </c>
      <c r="R278" t="s">
        <v>43</v>
      </c>
      <c r="S278" t="s">
        <v>47</v>
      </c>
      <c r="T278" t="s">
        <v>109</v>
      </c>
      <c r="U278" t="s">
        <v>319</v>
      </c>
      <c r="V278">
        <v>17000</v>
      </c>
      <c r="W278" t="s">
        <v>43</v>
      </c>
      <c r="X278" t="s">
        <v>111</v>
      </c>
      <c r="Y278" t="s">
        <v>48</v>
      </c>
      <c r="Z278" s="10">
        <f>IF(N278&lt;=1,7,7+0.8*ROUNDUP(N278-1,0))</f>
        <v>7</v>
      </c>
      <c r="AA278" s="11">
        <v>0</v>
      </c>
      <c r="AB278" s="11">
        <v>0</v>
      </c>
      <c r="AC278" s="11">
        <v>0</v>
      </c>
      <c r="AD278" s="11">
        <v>0</v>
      </c>
      <c r="AE278" s="11">
        <f>(Z278+AB278+AD278)*6%</f>
        <v>0.42</v>
      </c>
      <c r="AF278" s="11">
        <f>Z278+AB278+AD278+AE278</f>
        <v>7.42</v>
      </c>
      <c r="AG278" t="s">
        <v>43</v>
      </c>
    </row>
    <row r="279" spans="1:33" ht="15" customHeight="1" x14ac:dyDescent="0.35">
      <c r="A279">
        <v>690929</v>
      </c>
      <c r="B279" t="s">
        <v>33</v>
      </c>
      <c r="C279" t="s">
        <v>34</v>
      </c>
      <c r="D279" s="6" t="s">
        <v>33</v>
      </c>
      <c r="E279" t="s">
        <v>895</v>
      </c>
      <c r="F279" t="s">
        <v>36</v>
      </c>
      <c r="G279" t="s">
        <v>37</v>
      </c>
      <c r="H279" t="s">
        <v>896</v>
      </c>
      <c r="I279" t="s">
        <v>39</v>
      </c>
      <c r="J279">
        <v>2</v>
      </c>
      <c r="K279" t="s">
        <v>40</v>
      </c>
      <c r="L279" t="s">
        <v>41</v>
      </c>
      <c r="M279" t="s">
        <v>42</v>
      </c>
      <c r="N279" s="7">
        <v>1</v>
      </c>
      <c r="O279" s="8">
        <v>45113.521493055552</v>
      </c>
      <c r="P279" s="9">
        <v>45115</v>
      </c>
      <c r="Q279" t="s">
        <v>36</v>
      </c>
      <c r="R279" t="s">
        <v>43</v>
      </c>
      <c r="S279" t="s">
        <v>44</v>
      </c>
      <c r="T279" t="s">
        <v>57</v>
      </c>
      <c r="U279" t="s">
        <v>897</v>
      </c>
      <c r="V279">
        <v>41200</v>
      </c>
      <c r="W279" t="s">
        <v>43</v>
      </c>
      <c r="X279" t="s">
        <v>898</v>
      </c>
      <c r="Y279" t="s">
        <v>48</v>
      </c>
      <c r="Z279" s="10">
        <f>IF(N279&lt;=1,7,7+0.8*ROUNDUP(N279-1,0))</f>
        <v>7</v>
      </c>
      <c r="AA279" s="11">
        <v>0</v>
      </c>
      <c r="AB279" s="11">
        <v>0</v>
      </c>
      <c r="AC279" s="11">
        <v>0</v>
      </c>
      <c r="AD279" s="11">
        <v>0</v>
      </c>
      <c r="AE279" s="11">
        <f>(Z279+AB279+AD279)*6%</f>
        <v>0.42</v>
      </c>
      <c r="AF279" s="11">
        <f>Z279+AB279+AD279+AE279</f>
        <v>7.42</v>
      </c>
      <c r="AG279" t="s">
        <v>43</v>
      </c>
    </row>
    <row r="280" spans="1:33" ht="15" customHeight="1" x14ac:dyDescent="0.35">
      <c r="A280">
        <v>690929</v>
      </c>
      <c r="B280" t="s">
        <v>33</v>
      </c>
      <c r="C280" t="s">
        <v>34</v>
      </c>
      <c r="D280" s="6" t="s">
        <v>33</v>
      </c>
      <c r="E280" t="s">
        <v>899</v>
      </c>
      <c r="F280" t="s">
        <v>36</v>
      </c>
      <c r="G280" t="s">
        <v>37</v>
      </c>
      <c r="H280" t="s">
        <v>900</v>
      </c>
      <c r="I280" t="s">
        <v>39</v>
      </c>
      <c r="J280">
        <v>2</v>
      </c>
      <c r="K280" t="s">
        <v>40</v>
      </c>
      <c r="L280" t="s">
        <v>41</v>
      </c>
      <c r="M280" t="s">
        <v>42</v>
      </c>
      <c r="N280" s="7">
        <v>3</v>
      </c>
      <c r="O280" s="8">
        <v>45113.627013888887</v>
      </c>
      <c r="P280" s="9">
        <v>45115</v>
      </c>
      <c r="Q280" t="s">
        <v>36</v>
      </c>
      <c r="R280" t="s">
        <v>43</v>
      </c>
      <c r="S280" t="s">
        <v>44</v>
      </c>
      <c r="T280" t="s">
        <v>80</v>
      </c>
      <c r="U280" t="s">
        <v>901</v>
      </c>
      <c r="V280">
        <v>6000</v>
      </c>
      <c r="W280" t="s">
        <v>43</v>
      </c>
      <c r="X280" t="s">
        <v>86</v>
      </c>
      <c r="Y280" t="s">
        <v>48</v>
      </c>
      <c r="Z280" s="10">
        <f>IF(N280&lt;=1,7,7+0.8*ROUNDUP(N280-1,0))</f>
        <v>8.6</v>
      </c>
      <c r="AA280" s="11">
        <v>0</v>
      </c>
      <c r="AB280" s="11">
        <v>0</v>
      </c>
      <c r="AC280" s="11">
        <v>0</v>
      </c>
      <c r="AD280" s="11">
        <v>0</v>
      </c>
      <c r="AE280" s="11">
        <f>(Z280+AB280+AD280)*6%</f>
        <v>0.51600000000000001</v>
      </c>
      <c r="AF280" s="11">
        <f>Z280+AB280+AD280+AE280</f>
        <v>9.1159999999999997</v>
      </c>
      <c r="AG280" t="s">
        <v>43</v>
      </c>
    </row>
    <row r="281" spans="1:33" ht="15" customHeight="1" x14ac:dyDescent="0.35">
      <c r="A281">
        <v>690929</v>
      </c>
      <c r="B281" t="s">
        <v>33</v>
      </c>
      <c r="C281" t="s">
        <v>34</v>
      </c>
      <c r="D281" s="6" t="s">
        <v>33</v>
      </c>
      <c r="E281" t="s">
        <v>902</v>
      </c>
      <c r="F281" t="s">
        <v>36</v>
      </c>
      <c r="G281" t="s">
        <v>37</v>
      </c>
      <c r="H281" t="s">
        <v>903</v>
      </c>
      <c r="I281" t="s">
        <v>39</v>
      </c>
      <c r="J281">
        <v>2</v>
      </c>
      <c r="K281" t="s">
        <v>40</v>
      </c>
      <c r="L281" t="s">
        <v>41</v>
      </c>
      <c r="M281" t="s">
        <v>42</v>
      </c>
      <c r="N281" s="7">
        <v>1</v>
      </c>
      <c r="O281" s="8">
        <v>45113.64947916667</v>
      </c>
      <c r="P281" s="9">
        <v>45115</v>
      </c>
      <c r="Q281" t="s">
        <v>36</v>
      </c>
      <c r="R281" t="s">
        <v>43</v>
      </c>
      <c r="S281" t="s">
        <v>44</v>
      </c>
      <c r="T281" t="s">
        <v>61</v>
      </c>
      <c r="U281" t="s">
        <v>904</v>
      </c>
      <c r="V281">
        <v>80100</v>
      </c>
      <c r="W281" t="s">
        <v>43</v>
      </c>
      <c r="X281" t="s">
        <v>63</v>
      </c>
      <c r="Y281" t="s">
        <v>48</v>
      </c>
      <c r="Z281" s="10">
        <f>IF(N281&lt;=1,7,7+0.8*ROUNDUP(N281-1,0))</f>
        <v>7</v>
      </c>
      <c r="AA281" s="11">
        <v>0</v>
      </c>
      <c r="AB281" s="11">
        <v>0</v>
      </c>
      <c r="AC281" s="11">
        <v>0</v>
      </c>
      <c r="AD281" s="11">
        <v>0</v>
      </c>
      <c r="AE281" s="11">
        <f>(Z281+AB281+AD281)*6%</f>
        <v>0.42</v>
      </c>
      <c r="AF281" s="11">
        <f>Z281+AB281+AD281+AE281</f>
        <v>7.42</v>
      </c>
      <c r="AG281" t="s">
        <v>43</v>
      </c>
    </row>
    <row r="282" spans="1:33" ht="15" customHeight="1" x14ac:dyDescent="0.35">
      <c r="A282">
        <v>690929</v>
      </c>
      <c r="B282" t="s">
        <v>33</v>
      </c>
      <c r="C282" t="s">
        <v>34</v>
      </c>
      <c r="D282" s="6" t="s">
        <v>33</v>
      </c>
      <c r="E282" t="s">
        <v>905</v>
      </c>
      <c r="F282" t="s">
        <v>36</v>
      </c>
      <c r="G282" t="s">
        <v>37</v>
      </c>
      <c r="H282" t="s">
        <v>579</v>
      </c>
      <c r="I282" t="s">
        <v>39</v>
      </c>
      <c r="J282">
        <v>2</v>
      </c>
      <c r="K282" t="s">
        <v>40</v>
      </c>
      <c r="L282" t="s">
        <v>41</v>
      </c>
      <c r="M282" t="s">
        <v>42</v>
      </c>
      <c r="N282" s="7">
        <v>1</v>
      </c>
      <c r="O282" s="8">
        <v>45112.666678240741</v>
      </c>
      <c r="P282" s="9">
        <v>45115</v>
      </c>
      <c r="Q282" t="s">
        <v>36</v>
      </c>
      <c r="R282" t="s">
        <v>43</v>
      </c>
      <c r="S282" t="s">
        <v>44</v>
      </c>
      <c r="T282" t="s">
        <v>61</v>
      </c>
      <c r="U282" t="s">
        <v>580</v>
      </c>
      <c r="V282">
        <v>81700</v>
      </c>
      <c r="W282" t="s">
        <v>43</v>
      </c>
      <c r="X282" t="s">
        <v>47</v>
      </c>
      <c r="Y282" t="s">
        <v>48</v>
      </c>
      <c r="Z282" s="10">
        <f>IF(N282&lt;=1,7,7+0.8*ROUNDUP(N282-1,0))</f>
        <v>7</v>
      </c>
      <c r="AA282" s="11">
        <v>0</v>
      </c>
      <c r="AB282" s="11">
        <v>0</v>
      </c>
      <c r="AC282" s="11">
        <v>0</v>
      </c>
      <c r="AD282" s="11">
        <v>0</v>
      </c>
      <c r="AE282" s="11">
        <f>(Z282+AB282+AD282)*6%</f>
        <v>0.42</v>
      </c>
      <c r="AF282" s="11">
        <f>Z282+AB282+AD282+AE282</f>
        <v>7.42</v>
      </c>
      <c r="AG282" t="s">
        <v>43</v>
      </c>
    </row>
    <row r="283" spans="1:33" ht="15" customHeight="1" x14ac:dyDescent="0.35">
      <c r="A283">
        <v>690929</v>
      </c>
      <c r="B283" t="s">
        <v>33</v>
      </c>
      <c r="C283" t="s">
        <v>34</v>
      </c>
      <c r="D283" s="6" t="s">
        <v>33</v>
      </c>
      <c r="E283" t="s">
        <v>906</v>
      </c>
      <c r="F283" t="s">
        <v>36</v>
      </c>
      <c r="G283" t="s">
        <v>37</v>
      </c>
      <c r="H283" t="s">
        <v>907</v>
      </c>
      <c r="I283" t="s">
        <v>39</v>
      </c>
      <c r="J283">
        <v>2</v>
      </c>
      <c r="K283" t="s">
        <v>40</v>
      </c>
      <c r="L283" t="s">
        <v>41</v>
      </c>
      <c r="M283" t="s">
        <v>42</v>
      </c>
      <c r="N283" s="7">
        <v>1</v>
      </c>
      <c r="O283" s="8">
        <v>45114.433877314812</v>
      </c>
      <c r="P283" s="9">
        <v>45115</v>
      </c>
      <c r="Q283" t="s">
        <v>36</v>
      </c>
      <c r="R283" t="s">
        <v>43</v>
      </c>
      <c r="S283" t="s">
        <v>56</v>
      </c>
      <c r="T283" t="s">
        <v>57</v>
      </c>
      <c r="U283" t="s">
        <v>908</v>
      </c>
      <c r="V283">
        <v>43000</v>
      </c>
      <c r="W283" t="s">
        <v>43</v>
      </c>
      <c r="X283" t="s">
        <v>47</v>
      </c>
      <c r="Y283" t="s">
        <v>48</v>
      </c>
      <c r="Z283" s="10">
        <f>IF(N283&lt;=1,7,7+0.8*ROUNDUP(N283-1,0))</f>
        <v>7</v>
      </c>
      <c r="AA283" s="11">
        <v>0</v>
      </c>
      <c r="AB283" s="11">
        <v>0</v>
      </c>
      <c r="AC283" s="11">
        <v>0</v>
      </c>
      <c r="AD283" s="11">
        <v>0</v>
      </c>
      <c r="AE283" s="11">
        <f>(Z283+AB283+AD283)*6%</f>
        <v>0.42</v>
      </c>
      <c r="AF283" s="11">
        <f>Z283+AB283+AD283+AE283</f>
        <v>7.42</v>
      </c>
      <c r="AG283" t="s">
        <v>43</v>
      </c>
    </row>
    <row r="284" spans="1:33" ht="15" customHeight="1" x14ac:dyDescent="0.35">
      <c r="A284">
        <v>690929</v>
      </c>
      <c r="B284" t="s">
        <v>33</v>
      </c>
      <c r="C284" t="s">
        <v>34</v>
      </c>
      <c r="D284" s="6" t="s">
        <v>33</v>
      </c>
      <c r="E284" t="s">
        <v>909</v>
      </c>
      <c r="F284" t="s">
        <v>36</v>
      </c>
      <c r="G284" t="s">
        <v>37</v>
      </c>
      <c r="H284" t="s">
        <v>910</v>
      </c>
      <c r="I284" t="s">
        <v>39</v>
      </c>
      <c r="J284">
        <v>2</v>
      </c>
      <c r="K284" t="s">
        <v>40</v>
      </c>
      <c r="L284" t="s">
        <v>41</v>
      </c>
      <c r="M284" t="s">
        <v>42</v>
      </c>
      <c r="N284" s="7">
        <v>1</v>
      </c>
      <c r="O284" s="8">
        <v>45113.696840277778</v>
      </c>
      <c r="P284" s="9">
        <v>45115</v>
      </c>
      <c r="Q284" t="s">
        <v>36</v>
      </c>
      <c r="R284" t="s">
        <v>43</v>
      </c>
      <c r="S284" t="s">
        <v>44</v>
      </c>
      <c r="T284" t="s">
        <v>61</v>
      </c>
      <c r="U284" t="s">
        <v>911</v>
      </c>
      <c r="V284">
        <v>86399</v>
      </c>
      <c r="W284" t="s">
        <v>43</v>
      </c>
      <c r="X284" t="s">
        <v>47</v>
      </c>
      <c r="Y284" t="s">
        <v>48</v>
      </c>
      <c r="Z284" s="10">
        <f>IF(N284&lt;=1,7,7+0.8*ROUNDUP(N284-1,0))</f>
        <v>7</v>
      </c>
      <c r="AA284" s="11">
        <v>0</v>
      </c>
      <c r="AB284" s="11">
        <v>0</v>
      </c>
      <c r="AC284" s="11">
        <v>0</v>
      </c>
      <c r="AD284" s="11">
        <v>0</v>
      </c>
      <c r="AE284" s="11">
        <f>(Z284+AB284+AD284)*6%</f>
        <v>0.42</v>
      </c>
      <c r="AF284" s="11">
        <f>Z284+AB284+AD284+AE284</f>
        <v>7.42</v>
      </c>
      <c r="AG284" t="s">
        <v>43</v>
      </c>
    </row>
    <row r="285" spans="1:33" ht="15" customHeight="1" x14ac:dyDescent="0.35">
      <c r="A285">
        <v>690929</v>
      </c>
      <c r="B285" t="s">
        <v>33</v>
      </c>
      <c r="C285" t="s">
        <v>34</v>
      </c>
      <c r="D285" s="6" t="s">
        <v>33</v>
      </c>
      <c r="E285" t="s">
        <v>912</v>
      </c>
      <c r="F285" t="s">
        <v>36</v>
      </c>
      <c r="G285" t="s">
        <v>37</v>
      </c>
      <c r="H285" t="s">
        <v>913</v>
      </c>
      <c r="I285" t="s">
        <v>39</v>
      </c>
      <c r="J285">
        <v>2</v>
      </c>
      <c r="K285" t="s">
        <v>40</v>
      </c>
      <c r="L285" t="s">
        <v>41</v>
      </c>
      <c r="M285" t="s">
        <v>42</v>
      </c>
      <c r="N285" s="7">
        <v>9</v>
      </c>
      <c r="O285" s="8">
        <v>45114.451550925929</v>
      </c>
      <c r="P285" s="9">
        <v>45115</v>
      </c>
      <c r="Q285" t="s">
        <v>36</v>
      </c>
      <c r="R285" t="s">
        <v>43</v>
      </c>
      <c r="S285" t="s">
        <v>56</v>
      </c>
      <c r="T285" t="s">
        <v>57</v>
      </c>
      <c r="U285" t="s">
        <v>914</v>
      </c>
      <c r="V285">
        <v>43800</v>
      </c>
      <c r="W285" t="s">
        <v>43</v>
      </c>
      <c r="X285" t="s">
        <v>915</v>
      </c>
      <c r="Y285" t="s">
        <v>48</v>
      </c>
      <c r="Z285" s="10">
        <f>IF(N285&lt;=1,7,7+0.8*ROUNDUP(N285-1,0))</f>
        <v>13.4</v>
      </c>
      <c r="AA285" s="11">
        <v>0</v>
      </c>
      <c r="AB285" s="11">
        <v>0</v>
      </c>
      <c r="AC285" s="11">
        <v>0</v>
      </c>
      <c r="AD285" s="11">
        <v>0</v>
      </c>
      <c r="AE285" s="11">
        <f>(Z285+AB285+AD285)*6%</f>
        <v>0.80399999999999994</v>
      </c>
      <c r="AF285" s="11">
        <f>Z285+AB285+AD285+AE285</f>
        <v>14.204000000000001</v>
      </c>
      <c r="AG285" t="s">
        <v>43</v>
      </c>
    </row>
    <row r="286" spans="1:33" ht="15" customHeight="1" x14ac:dyDescent="0.35">
      <c r="A286">
        <v>690929</v>
      </c>
      <c r="B286" t="s">
        <v>33</v>
      </c>
      <c r="C286" t="s">
        <v>34</v>
      </c>
      <c r="D286" s="6" t="s">
        <v>33</v>
      </c>
      <c r="E286" t="s">
        <v>916</v>
      </c>
      <c r="F286" t="s">
        <v>36</v>
      </c>
      <c r="G286" t="s">
        <v>37</v>
      </c>
      <c r="H286" t="s">
        <v>917</v>
      </c>
      <c r="I286" t="s">
        <v>39</v>
      </c>
      <c r="J286">
        <v>2</v>
      </c>
      <c r="K286" t="s">
        <v>40</v>
      </c>
      <c r="L286" t="s">
        <v>41</v>
      </c>
      <c r="M286" t="s">
        <v>42</v>
      </c>
      <c r="N286" s="7">
        <v>1</v>
      </c>
      <c r="O286" s="8">
        <v>45113.561747685184</v>
      </c>
      <c r="P286" s="9">
        <v>45115</v>
      </c>
      <c r="Q286" t="s">
        <v>36</v>
      </c>
      <c r="R286" t="s">
        <v>43</v>
      </c>
      <c r="S286" t="s">
        <v>44</v>
      </c>
      <c r="T286" t="s">
        <v>51</v>
      </c>
      <c r="U286" t="s">
        <v>918</v>
      </c>
      <c r="V286">
        <v>34600</v>
      </c>
      <c r="W286" t="s">
        <v>43</v>
      </c>
      <c r="X286" t="s">
        <v>47</v>
      </c>
      <c r="Y286" t="s">
        <v>48</v>
      </c>
      <c r="Z286" s="10">
        <f>IF(N286&lt;=1,7,7+0.8*ROUNDUP(N286-1,0))</f>
        <v>7</v>
      </c>
      <c r="AA286" s="11">
        <v>0</v>
      </c>
      <c r="AB286" s="11">
        <v>0</v>
      </c>
      <c r="AC286" s="11">
        <v>0</v>
      </c>
      <c r="AD286" s="11">
        <v>0</v>
      </c>
      <c r="AE286" s="11">
        <f>(Z286+AB286+AD286)*6%</f>
        <v>0.42</v>
      </c>
      <c r="AF286" s="11">
        <f>Z286+AB286+AD286+AE286</f>
        <v>7.42</v>
      </c>
      <c r="AG286" t="s">
        <v>43</v>
      </c>
    </row>
    <row r="287" spans="1:33" ht="15" customHeight="1" x14ac:dyDescent="0.35">
      <c r="A287">
        <v>690929</v>
      </c>
      <c r="B287" t="s">
        <v>33</v>
      </c>
      <c r="C287" t="s">
        <v>34</v>
      </c>
      <c r="D287" s="6" t="s">
        <v>33</v>
      </c>
      <c r="E287" t="s">
        <v>919</v>
      </c>
      <c r="F287" t="s">
        <v>36</v>
      </c>
      <c r="G287" t="s">
        <v>37</v>
      </c>
      <c r="H287" t="s">
        <v>920</v>
      </c>
      <c r="I287" t="s">
        <v>39</v>
      </c>
      <c r="J287">
        <v>2</v>
      </c>
      <c r="K287" t="s">
        <v>40</v>
      </c>
      <c r="L287" t="s">
        <v>41</v>
      </c>
      <c r="M287" t="s">
        <v>42</v>
      </c>
      <c r="N287" s="7">
        <v>5</v>
      </c>
      <c r="O287" s="8">
        <v>45114.451539351852</v>
      </c>
      <c r="P287" s="9">
        <v>45115</v>
      </c>
      <c r="Q287" t="s">
        <v>36</v>
      </c>
      <c r="R287" t="s">
        <v>43</v>
      </c>
      <c r="S287" t="s">
        <v>56</v>
      </c>
      <c r="T287" t="s">
        <v>57</v>
      </c>
      <c r="U287" t="s">
        <v>921</v>
      </c>
      <c r="V287">
        <v>42700</v>
      </c>
      <c r="W287" t="s">
        <v>43</v>
      </c>
      <c r="X287" t="s">
        <v>528</v>
      </c>
      <c r="Y287" t="s">
        <v>48</v>
      </c>
      <c r="Z287" s="10">
        <f>IF(N287&lt;=1,7,7+0.8*ROUNDUP(N287-1,0))</f>
        <v>10.199999999999999</v>
      </c>
      <c r="AA287" s="11">
        <v>0</v>
      </c>
      <c r="AB287" s="11">
        <v>0</v>
      </c>
      <c r="AC287" s="11">
        <v>0</v>
      </c>
      <c r="AD287" s="11">
        <v>0</v>
      </c>
      <c r="AE287" s="11">
        <f>(Z287+AB287+AD287)*6%</f>
        <v>0.61199999999999999</v>
      </c>
      <c r="AF287" s="11">
        <f>Z287+AB287+AD287+AE287</f>
        <v>10.811999999999999</v>
      </c>
      <c r="AG287" t="s">
        <v>43</v>
      </c>
    </row>
    <row r="288" spans="1:33" ht="15" customHeight="1" x14ac:dyDescent="0.35">
      <c r="A288">
        <v>690929</v>
      </c>
      <c r="B288" t="s">
        <v>33</v>
      </c>
      <c r="C288" t="s">
        <v>34</v>
      </c>
      <c r="D288" s="6" t="s">
        <v>33</v>
      </c>
      <c r="E288" t="s">
        <v>922</v>
      </c>
      <c r="F288" t="s">
        <v>36</v>
      </c>
      <c r="G288" t="s">
        <v>37</v>
      </c>
      <c r="H288" t="s">
        <v>923</v>
      </c>
      <c r="I288" t="s">
        <v>39</v>
      </c>
      <c r="J288">
        <v>2</v>
      </c>
      <c r="K288" t="s">
        <v>40</v>
      </c>
      <c r="L288" t="s">
        <v>41</v>
      </c>
      <c r="M288" t="s">
        <v>42</v>
      </c>
      <c r="N288" s="7">
        <v>1</v>
      </c>
      <c r="O288" s="8">
        <v>45112.769328703704</v>
      </c>
      <c r="P288" s="9">
        <v>45115</v>
      </c>
      <c r="Q288" t="s">
        <v>36</v>
      </c>
      <c r="R288" t="s">
        <v>43</v>
      </c>
      <c r="S288" t="s">
        <v>47</v>
      </c>
      <c r="T288" t="s">
        <v>109</v>
      </c>
      <c r="U288" t="s">
        <v>924</v>
      </c>
      <c r="V288">
        <v>16450</v>
      </c>
      <c r="W288" t="s">
        <v>43</v>
      </c>
      <c r="X288" t="s">
        <v>925</v>
      </c>
      <c r="Y288" t="s">
        <v>48</v>
      </c>
      <c r="Z288" s="10">
        <f>IF(N288&lt;=1,7,7+0.8*ROUNDUP(N288-1,0))</f>
        <v>7</v>
      </c>
      <c r="AA288" s="11">
        <v>0</v>
      </c>
      <c r="AB288" s="11">
        <v>0</v>
      </c>
      <c r="AC288" s="11">
        <v>0</v>
      </c>
      <c r="AD288" s="11">
        <v>0</v>
      </c>
      <c r="AE288" s="11">
        <f>(Z288+AB288+AD288)*6%</f>
        <v>0.42</v>
      </c>
      <c r="AF288" s="11">
        <f>Z288+AB288+AD288+AE288</f>
        <v>7.42</v>
      </c>
      <c r="AG288" t="s">
        <v>43</v>
      </c>
    </row>
    <row r="289" spans="1:33" ht="15" customHeight="1" x14ac:dyDescent="0.35">
      <c r="A289">
        <v>690929</v>
      </c>
      <c r="B289" t="s">
        <v>33</v>
      </c>
      <c r="C289" t="s">
        <v>34</v>
      </c>
      <c r="D289" s="6" t="s">
        <v>33</v>
      </c>
      <c r="E289" t="s">
        <v>926</v>
      </c>
      <c r="F289" t="s">
        <v>36</v>
      </c>
      <c r="G289" t="s">
        <v>37</v>
      </c>
      <c r="H289" t="s">
        <v>927</v>
      </c>
      <c r="I289" t="s">
        <v>39</v>
      </c>
      <c r="J289">
        <v>2</v>
      </c>
      <c r="K289" t="s">
        <v>40</v>
      </c>
      <c r="L289" t="s">
        <v>41</v>
      </c>
      <c r="M289" t="s">
        <v>42</v>
      </c>
      <c r="N289" s="7">
        <v>2</v>
      </c>
      <c r="O289" s="8">
        <v>45113.627013888887</v>
      </c>
      <c r="P289" s="9">
        <v>45115</v>
      </c>
      <c r="Q289" t="s">
        <v>36</v>
      </c>
      <c r="R289" t="s">
        <v>43</v>
      </c>
      <c r="S289" t="s">
        <v>44</v>
      </c>
      <c r="T289" t="s">
        <v>51</v>
      </c>
      <c r="U289" t="s">
        <v>928</v>
      </c>
      <c r="V289">
        <v>33400</v>
      </c>
      <c r="W289" t="s">
        <v>43</v>
      </c>
      <c r="X289" t="s">
        <v>929</v>
      </c>
      <c r="Y289" t="s">
        <v>48</v>
      </c>
      <c r="Z289" s="10">
        <f>IF(N289&lt;=1,7,7+0.8*ROUNDUP(N289-1,0))</f>
        <v>7.8</v>
      </c>
      <c r="AA289" s="11">
        <v>0</v>
      </c>
      <c r="AB289" s="11">
        <v>0</v>
      </c>
      <c r="AC289" s="11">
        <v>0</v>
      </c>
      <c r="AD289" s="11">
        <v>0</v>
      </c>
      <c r="AE289" s="11">
        <f>(Z289+AB289+AD289)*6%</f>
        <v>0.46799999999999997</v>
      </c>
      <c r="AF289" s="11">
        <f>Z289+AB289+AD289+AE289</f>
        <v>8.2680000000000007</v>
      </c>
      <c r="AG289" t="s">
        <v>43</v>
      </c>
    </row>
    <row r="290" spans="1:33" ht="15" customHeight="1" x14ac:dyDescent="0.35">
      <c r="A290">
        <v>690929</v>
      </c>
      <c r="B290" t="s">
        <v>33</v>
      </c>
      <c r="C290" t="s">
        <v>34</v>
      </c>
      <c r="D290" s="6" t="s">
        <v>33</v>
      </c>
      <c r="E290" t="s">
        <v>930</v>
      </c>
      <c r="F290" t="s">
        <v>36</v>
      </c>
      <c r="G290" t="s">
        <v>37</v>
      </c>
      <c r="H290" t="s">
        <v>931</v>
      </c>
      <c r="I290" t="s">
        <v>39</v>
      </c>
      <c r="J290">
        <v>2</v>
      </c>
      <c r="K290" t="s">
        <v>40</v>
      </c>
      <c r="L290" t="s">
        <v>41</v>
      </c>
      <c r="M290" t="s">
        <v>42</v>
      </c>
      <c r="N290" s="7">
        <v>1</v>
      </c>
      <c r="O290" s="8">
        <v>45111.667268518519</v>
      </c>
      <c r="P290" s="9">
        <v>45115</v>
      </c>
      <c r="Q290" t="s">
        <v>36</v>
      </c>
      <c r="R290" t="s">
        <v>43</v>
      </c>
      <c r="S290" t="s">
        <v>44</v>
      </c>
      <c r="T290" t="s">
        <v>61</v>
      </c>
      <c r="U290" t="s">
        <v>932</v>
      </c>
      <c r="V290">
        <v>85300</v>
      </c>
      <c r="W290" t="s">
        <v>43</v>
      </c>
      <c r="X290" t="s">
        <v>47</v>
      </c>
      <c r="Y290" t="s">
        <v>48</v>
      </c>
      <c r="Z290" s="10">
        <f>IF(N290&lt;=1,7,7+0.8*ROUNDUP(N290-1,0))</f>
        <v>7</v>
      </c>
      <c r="AA290" s="11">
        <v>0</v>
      </c>
      <c r="AB290" s="11">
        <v>0</v>
      </c>
      <c r="AC290" s="11">
        <v>0</v>
      </c>
      <c r="AD290" s="11">
        <v>0</v>
      </c>
      <c r="AE290" s="11">
        <f>(Z290+AB290+AD290)*6%</f>
        <v>0.42</v>
      </c>
      <c r="AF290" s="11">
        <f>Z290+AB290+AD290+AE290</f>
        <v>7.42</v>
      </c>
      <c r="AG290" t="s">
        <v>43</v>
      </c>
    </row>
    <row r="291" spans="1:33" ht="15" customHeight="1" x14ac:dyDescent="0.35">
      <c r="A291">
        <v>690929</v>
      </c>
      <c r="B291" t="s">
        <v>33</v>
      </c>
      <c r="C291" t="s">
        <v>34</v>
      </c>
      <c r="D291" s="6" t="s">
        <v>33</v>
      </c>
      <c r="E291" t="s">
        <v>933</v>
      </c>
      <c r="F291" t="s">
        <v>36</v>
      </c>
      <c r="G291" t="s">
        <v>37</v>
      </c>
      <c r="H291" t="s">
        <v>934</v>
      </c>
      <c r="I291" t="s">
        <v>39</v>
      </c>
      <c r="J291">
        <v>2</v>
      </c>
      <c r="K291" t="s">
        <v>40</v>
      </c>
      <c r="L291" t="s">
        <v>41</v>
      </c>
      <c r="M291" t="s">
        <v>42</v>
      </c>
      <c r="N291" s="7">
        <v>1</v>
      </c>
      <c r="O291" s="8">
        <v>45112.77888888889</v>
      </c>
      <c r="P291" s="9">
        <v>45115</v>
      </c>
      <c r="Q291" t="s">
        <v>36</v>
      </c>
      <c r="R291" t="s">
        <v>43</v>
      </c>
      <c r="S291" t="s">
        <v>44</v>
      </c>
      <c r="T291" t="s">
        <v>194</v>
      </c>
      <c r="U291" t="s">
        <v>935</v>
      </c>
      <c r="V291">
        <v>70450</v>
      </c>
      <c r="W291" t="s">
        <v>43</v>
      </c>
      <c r="X291" t="s">
        <v>936</v>
      </c>
      <c r="Y291" t="s">
        <v>48</v>
      </c>
      <c r="Z291" s="10">
        <f>IF(N291&lt;=1,7,7+0.8*ROUNDUP(N291-1,0))</f>
        <v>7</v>
      </c>
      <c r="AA291" s="11">
        <v>0</v>
      </c>
      <c r="AB291" s="11">
        <v>0</v>
      </c>
      <c r="AC291" s="11">
        <v>0</v>
      </c>
      <c r="AD291" s="11">
        <v>0</v>
      </c>
      <c r="AE291" s="11">
        <f>(Z291+AB291+AD291)*6%</f>
        <v>0.42</v>
      </c>
      <c r="AF291" s="11">
        <f>Z291+AB291+AD291+AE291</f>
        <v>7.42</v>
      </c>
      <c r="AG291" t="s">
        <v>43</v>
      </c>
    </row>
    <row r="292" spans="1:33" ht="15" customHeight="1" x14ac:dyDescent="0.35">
      <c r="A292">
        <v>690929</v>
      </c>
      <c r="B292" t="s">
        <v>33</v>
      </c>
      <c r="C292" t="s">
        <v>34</v>
      </c>
      <c r="D292" s="6" t="s">
        <v>33</v>
      </c>
      <c r="E292" t="s">
        <v>937</v>
      </c>
      <c r="F292" t="s">
        <v>36</v>
      </c>
      <c r="G292" t="s">
        <v>37</v>
      </c>
      <c r="H292" t="s">
        <v>938</v>
      </c>
      <c r="I292" t="s">
        <v>39</v>
      </c>
      <c r="J292">
        <v>2</v>
      </c>
      <c r="K292" t="s">
        <v>40</v>
      </c>
      <c r="L292" t="s">
        <v>41</v>
      </c>
      <c r="M292" t="s">
        <v>42</v>
      </c>
      <c r="N292" s="7">
        <v>1</v>
      </c>
      <c r="O292" s="8">
        <v>45114.451550925929</v>
      </c>
      <c r="P292" s="9">
        <v>45115</v>
      </c>
      <c r="Q292" t="s">
        <v>36</v>
      </c>
      <c r="R292" t="s">
        <v>43</v>
      </c>
      <c r="S292" t="s">
        <v>56</v>
      </c>
      <c r="T292" t="s">
        <v>57</v>
      </c>
      <c r="U292" t="s">
        <v>939</v>
      </c>
      <c r="V292">
        <v>42500</v>
      </c>
      <c r="W292" t="s">
        <v>43</v>
      </c>
      <c r="X292" t="s">
        <v>517</v>
      </c>
      <c r="Y292" t="s">
        <v>48</v>
      </c>
      <c r="Z292" s="10">
        <f>IF(N292&lt;=1,7,7+0.8*ROUNDUP(N292-1,0))</f>
        <v>7</v>
      </c>
      <c r="AA292" s="11">
        <v>0</v>
      </c>
      <c r="AB292" s="11">
        <v>0</v>
      </c>
      <c r="AC292" s="11">
        <v>0</v>
      </c>
      <c r="AD292" s="11">
        <v>0</v>
      </c>
      <c r="AE292" s="11">
        <f>(Z292+AB292+AD292)*6%</f>
        <v>0.42</v>
      </c>
      <c r="AF292" s="11">
        <f>Z292+AB292+AD292+AE292</f>
        <v>7.42</v>
      </c>
      <c r="AG292" t="s">
        <v>43</v>
      </c>
    </row>
    <row r="293" spans="1:33" ht="15" customHeight="1" x14ac:dyDescent="0.35">
      <c r="A293">
        <v>690929</v>
      </c>
      <c r="B293" t="s">
        <v>33</v>
      </c>
      <c r="C293" t="s">
        <v>34</v>
      </c>
      <c r="D293" s="6" t="s">
        <v>33</v>
      </c>
      <c r="E293" t="s">
        <v>940</v>
      </c>
      <c r="F293" t="s">
        <v>36</v>
      </c>
      <c r="G293" t="s">
        <v>37</v>
      </c>
      <c r="H293" t="s">
        <v>941</v>
      </c>
      <c r="I293" t="s">
        <v>39</v>
      </c>
      <c r="J293">
        <v>2</v>
      </c>
      <c r="K293" t="s">
        <v>40</v>
      </c>
      <c r="L293" t="s">
        <v>41</v>
      </c>
      <c r="M293" t="s">
        <v>42</v>
      </c>
      <c r="N293" s="7">
        <v>14</v>
      </c>
      <c r="O293" s="8">
        <v>45113.627013888887</v>
      </c>
      <c r="P293" s="9">
        <v>45115</v>
      </c>
      <c r="Q293" t="s">
        <v>36</v>
      </c>
      <c r="R293" t="s">
        <v>43</v>
      </c>
      <c r="S293" t="s">
        <v>44</v>
      </c>
      <c r="T293" t="s">
        <v>57</v>
      </c>
      <c r="U293" t="s">
        <v>942</v>
      </c>
      <c r="V293">
        <v>45300</v>
      </c>
      <c r="W293" t="s">
        <v>43</v>
      </c>
      <c r="X293" t="s">
        <v>943</v>
      </c>
      <c r="Y293" t="s">
        <v>48</v>
      </c>
      <c r="Z293" s="10">
        <f>IF(N293&lt;=1,7,7+0.8*ROUNDUP(N293-1,0))</f>
        <v>17.399999999999999</v>
      </c>
      <c r="AA293" s="11">
        <v>0</v>
      </c>
      <c r="AB293" s="11">
        <v>0</v>
      </c>
      <c r="AC293" s="11">
        <v>0</v>
      </c>
      <c r="AD293" s="11">
        <v>0</v>
      </c>
      <c r="AE293" s="11">
        <f>(Z293+AB293+AD293)*6%</f>
        <v>1.0439999999999998</v>
      </c>
      <c r="AF293" s="11">
        <f>Z293+AB293+AD293+AE293</f>
        <v>18.443999999999999</v>
      </c>
      <c r="AG293" t="s">
        <v>43</v>
      </c>
    </row>
    <row r="294" spans="1:33" ht="15" customHeight="1" x14ac:dyDescent="0.35">
      <c r="A294">
        <v>690929</v>
      </c>
      <c r="B294" t="s">
        <v>33</v>
      </c>
      <c r="C294" t="s">
        <v>34</v>
      </c>
      <c r="D294" s="6" t="s">
        <v>33</v>
      </c>
      <c r="E294" t="s">
        <v>944</v>
      </c>
      <c r="F294" t="s">
        <v>36</v>
      </c>
      <c r="G294" t="s">
        <v>37</v>
      </c>
      <c r="H294" t="s">
        <v>945</v>
      </c>
      <c r="I294" t="s">
        <v>39</v>
      </c>
      <c r="J294">
        <v>2</v>
      </c>
      <c r="K294" t="s">
        <v>40</v>
      </c>
      <c r="L294" t="s">
        <v>41</v>
      </c>
      <c r="M294" t="s">
        <v>42</v>
      </c>
      <c r="N294" s="7">
        <v>1</v>
      </c>
      <c r="O294" s="8">
        <v>45113.627013888887</v>
      </c>
      <c r="P294" s="9">
        <v>45115</v>
      </c>
      <c r="Q294" t="s">
        <v>36</v>
      </c>
      <c r="R294" t="s">
        <v>43</v>
      </c>
      <c r="S294" t="s">
        <v>47</v>
      </c>
      <c r="T294" t="s">
        <v>80</v>
      </c>
      <c r="U294" t="s">
        <v>946</v>
      </c>
      <c r="V294">
        <v>8300</v>
      </c>
      <c r="W294" t="s">
        <v>43</v>
      </c>
      <c r="X294" t="s">
        <v>498</v>
      </c>
      <c r="Y294" t="s">
        <v>48</v>
      </c>
      <c r="Z294" s="10">
        <f>IF(N294&lt;=1,7,7+0.8*ROUNDUP(N294-1,0))</f>
        <v>7</v>
      </c>
      <c r="AA294" s="11">
        <v>0</v>
      </c>
      <c r="AB294" s="11">
        <v>0</v>
      </c>
      <c r="AC294" s="11">
        <v>0</v>
      </c>
      <c r="AD294" s="11">
        <v>0</v>
      </c>
      <c r="AE294" s="11">
        <f>(Z294+AB294+AD294)*6%</f>
        <v>0.42</v>
      </c>
      <c r="AF294" s="11">
        <f>Z294+AB294+AD294+AE294</f>
        <v>7.42</v>
      </c>
      <c r="AG294" t="s">
        <v>43</v>
      </c>
    </row>
    <row r="295" spans="1:33" ht="15" customHeight="1" x14ac:dyDescent="0.35">
      <c r="A295">
        <v>690929</v>
      </c>
      <c r="B295" t="s">
        <v>33</v>
      </c>
      <c r="C295" t="s">
        <v>34</v>
      </c>
      <c r="D295" s="6" t="s">
        <v>33</v>
      </c>
      <c r="E295" t="s">
        <v>947</v>
      </c>
      <c r="F295" t="s">
        <v>36</v>
      </c>
      <c r="G295" t="s">
        <v>37</v>
      </c>
      <c r="H295" t="s">
        <v>948</v>
      </c>
      <c r="I295" t="s">
        <v>39</v>
      </c>
      <c r="J295">
        <v>2</v>
      </c>
      <c r="K295" t="s">
        <v>40</v>
      </c>
      <c r="L295" t="s">
        <v>41</v>
      </c>
      <c r="M295" t="s">
        <v>42</v>
      </c>
      <c r="N295" s="7">
        <v>1</v>
      </c>
      <c r="O295" s="8">
        <v>45112.663877314815</v>
      </c>
      <c r="P295" s="9">
        <v>45115</v>
      </c>
      <c r="Q295" t="s">
        <v>36</v>
      </c>
      <c r="R295" t="s">
        <v>43</v>
      </c>
      <c r="S295" t="s">
        <v>44</v>
      </c>
      <c r="T295" t="s">
        <v>80</v>
      </c>
      <c r="U295" t="s">
        <v>949</v>
      </c>
      <c r="V295">
        <v>6550</v>
      </c>
      <c r="W295" t="s">
        <v>43</v>
      </c>
      <c r="X295" t="s">
        <v>597</v>
      </c>
      <c r="Y295" t="s">
        <v>48</v>
      </c>
      <c r="Z295" s="10">
        <f>IF(N295&lt;=1,7,7+0.8*ROUNDUP(N295-1,0))</f>
        <v>7</v>
      </c>
      <c r="AA295" s="11">
        <v>0</v>
      </c>
      <c r="AB295" s="11">
        <v>0</v>
      </c>
      <c r="AC295" s="11">
        <v>0</v>
      </c>
      <c r="AD295" s="11">
        <v>0</v>
      </c>
      <c r="AE295" s="11">
        <f>(Z295+AB295+AD295)*6%</f>
        <v>0.42</v>
      </c>
      <c r="AF295" s="11">
        <f>Z295+AB295+AD295+AE295</f>
        <v>7.42</v>
      </c>
      <c r="AG295" t="s">
        <v>43</v>
      </c>
    </row>
    <row r="296" spans="1:33" ht="15" customHeight="1" x14ac:dyDescent="0.35">
      <c r="A296">
        <v>690929</v>
      </c>
      <c r="B296" t="s">
        <v>33</v>
      </c>
      <c r="C296" t="s">
        <v>34</v>
      </c>
      <c r="D296" s="6" t="s">
        <v>33</v>
      </c>
      <c r="E296" t="s">
        <v>950</v>
      </c>
      <c r="F296" t="s">
        <v>36</v>
      </c>
      <c r="G296" t="s">
        <v>37</v>
      </c>
      <c r="H296" t="s">
        <v>951</v>
      </c>
      <c r="I296" t="s">
        <v>39</v>
      </c>
      <c r="J296">
        <v>2</v>
      </c>
      <c r="K296" t="s">
        <v>40</v>
      </c>
      <c r="L296" t="s">
        <v>41</v>
      </c>
      <c r="M296" t="s">
        <v>42</v>
      </c>
      <c r="N296" s="7">
        <v>3</v>
      </c>
      <c r="O296" s="8">
        <v>45113.748541666668</v>
      </c>
      <c r="P296" s="9">
        <v>45115</v>
      </c>
      <c r="Q296" t="s">
        <v>36</v>
      </c>
      <c r="R296" t="s">
        <v>43</v>
      </c>
      <c r="S296" t="s">
        <v>44</v>
      </c>
      <c r="T296" t="s">
        <v>57</v>
      </c>
      <c r="U296" t="s">
        <v>952</v>
      </c>
      <c r="V296">
        <v>43000</v>
      </c>
      <c r="W296" t="s">
        <v>43</v>
      </c>
      <c r="X296" t="s">
        <v>380</v>
      </c>
      <c r="Y296" t="s">
        <v>48</v>
      </c>
      <c r="Z296" s="10">
        <f>IF(N296&lt;=1,7,7+0.8*ROUNDUP(N296-1,0))</f>
        <v>8.6</v>
      </c>
      <c r="AA296" s="11">
        <v>0</v>
      </c>
      <c r="AB296" s="11">
        <v>0</v>
      </c>
      <c r="AC296" s="11">
        <v>0</v>
      </c>
      <c r="AD296" s="11">
        <v>0</v>
      </c>
      <c r="AE296" s="11">
        <f>(Z296+AB296+AD296)*6%</f>
        <v>0.51600000000000001</v>
      </c>
      <c r="AF296" s="11">
        <f>Z296+AB296+AD296+AE296</f>
        <v>9.1159999999999997</v>
      </c>
      <c r="AG296" t="s">
        <v>43</v>
      </c>
    </row>
    <row r="297" spans="1:33" ht="15" customHeight="1" x14ac:dyDescent="0.35">
      <c r="A297">
        <v>690929</v>
      </c>
      <c r="B297" t="s">
        <v>33</v>
      </c>
      <c r="C297" t="s">
        <v>34</v>
      </c>
      <c r="D297" s="6" t="s">
        <v>33</v>
      </c>
      <c r="E297" t="s">
        <v>953</v>
      </c>
      <c r="F297" t="s">
        <v>36</v>
      </c>
      <c r="G297" t="s">
        <v>37</v>
      </c>
      <c r="H297" t="s">
        <v>954</v>
      </c>
      <c r="I297" t="s">
        <v>39</v>
      </c>
      <c r="J297">
        <v>2</v>
      </c>
      <c r="K297" t="s">
        <v>40</v>
      </c>
      <c r="L297" t="s">
        <v>41</v>
      </c>
      <c r="M297" t="s">
        <v>42</v>
      </c>
      <c r="N297" s="7">
        <v>1</v>
      </c>
      <c r="O297" s="8">
        <v>45113.561747685184</v>
      </c>
      <c r="P297" s="9">
        <v>45115</v>
      </c>
      <c r="Q297" t="s">
        <v>36</v>
      </c>
      <c r="R297" t="s">
        <v>43</v>
      </c>
      <c r="S297" t="s">
        <v>44</v>
      </c>
      <c r="T297" t="s">
        <v>57</v>
      </c>
      <c r="U297" t="s">
        <v>955</v>
      </c>
      <c r="V297">
        <v>68100</v>
      </c>
      <c r="W297" t="s">
        <v>43</v>
      </c>
      <c r="X297" t="s">
        <v>47</v>
      </c>
      <c r="Y297" t="s">
        <v>48</v>
      </c>
      <c r="Z297" s="10">
        <f>IF(N297&lt;=1,7,7+0.8*ROUNDUP(N297-1,0))</f>
        <v>7</v>
      </c>
      <c r="AA297" s="11">
        <v>0</v>
      </c>
      <c r="AB297" s="11">
        <v>0</v>
      </c>
      <c r="AC297" s="11">
        <v>0</v>
      </c>
      <c r="AD297" s="11">
        <v>0</v>
      </c>
      <c r="AE297" s="11">
        <f>(Z297+AB297+AD297)*6%</f>
        <v>0.42</v>
      </c>
      <c r="AF297" s="11">
        <f>Z297+AB297+AD297+AE297</f>
        <v>7.42</v>
      </c>
      <c r="AG297" t="s">
        <v>43</v>
      </c>
    </row>
    <row r="298" spans="1:33" ht="15" customHeight="1" x14ac:dyDescent="0.35">
      <c r="A298">
        <v>690929</v>
      </c>
      <c r="B298" t="s">
        <v>33</v>
      </c>
      <c r="C298" t="s">
        <v>34</v>
      </c>
      <c r="D298" s="6" t="s">
        <v>33</v>
      </c>
      <c r="E298" t="s">
        <v>956</v>
      </c>
      <c r="F298" t="s">
        <v>36</v>
      </c>
      <c r="G298" t="s">
        <v>37</v>
      </c>
      <c r="H298" t="s">
        <v>957</v>
      </c>
      <c r="I298" t="s">
        <v>39</v>
      </c>
      <c r="J298">
        <v>2</v>
      </c>
      <c r="K298" t="s">
        <v>40</v>
      </c>
      <c r="L298" t="s">
        <v>41</v>
      </c>
      <c r="M298" t="s">
        <v>42</v>
      </c>
      <c r="N298" s="7">
        <v>2</v>
      </c>
      <c r="O298" s="8">
        <v>45113.627013888887</v>
      </c>
      <c r="P298" s="9">
        <v>45115</v>
      </c>
      <c r="Q298" t="s">
        <v>36</v>
      </c>
      <c r="R298" t="s">
        <v>43</v>
      </c>
      <c r="S298" t="s">
        <v>44</v>
      </c>
      <c r="T298" t="s">
        <v>57</v>
      </c>
      <c r="U298" t="s">
        <v>958</v>
      </c>
      <c r="V298">
        <v>43000</v>
      </c>
      <c r="W298" t="s">
        <v>43</v>
      </c>
      <c r="X298" t="s">
        <v>47</v>
      </c>
      <c r="Y298" t="s">
        <v>48</v>
      </c>
      <c r="Z298" s="10">
        <f>IF(N298&lt;=1,7,7+0.8*ROUNDUP(N298-1,0))</f>
        <v>7.8</v>
      </c>
      <c r="AA298" s="11">
        <v>0</v>
      </c>
      <c r="AB298" s="11">
        <v>0</v>
      </c>
      <c r="AC298" s="11">
        <v>0</v>
      </c>
      <c r="AD298" s="11">
        <v>0</v>
      </c>
      <c r="AE298" s="11">
        <f>(Z298+AB298+AD298)*6%</f>
        <v>0.46799999999999997</v>
      </c>
      <c r="AF298" s="11">
        <f>Z298+AB298+AD298+AE298</f>
        <v>8.2680000000000007</v>
      </c>
      <c r="AG298" t="s">
        <v>43</v>
      </c>
    </row>
    <row r="299" spans="1:33" ht="15" customHeight="1" x14ac:dyDescent="0.35">
      <c r="A299">
        <v>690929</v>
      </c>
      <c r="B299" t="s">
        <v>33</v>
      </c>
      <c r="C299" t="s">
        <v>34</v>
      </c>
      <c r="D299" s="6" t="s">
        <v>33</v>
      </c>
      <c r="E299" t="s">
        <v>959</v>
      </c>
      <c r="F299" t="s">
        <v>36</v>
      </c>
      <c r="G299" t="s">
        <v>37</v>
      </c>
      <c r="H299" t="s">
        <v>960</v>
      </c>
      <c r="I299" t="s">
        <v>39</v>
      </c>
      <c r="J299">
        <v>2</v>
      </c>
      <c r="K299" t="s">
        <v>40</v>
      </c>
      <c r="L299" t="s">
        <v>41</v>
      </c>
      <c r="M299" t="s">
        <v>42</v>
      </c>
      <c r="N299" s="7">
        <v>3</v>
      </c>
      <c r="O299" s="8">
        <v>45114.451550925929</v>
      </c>
      <c r="P299" s="9">
        <v>45115</v>
      </c>
      <c r="Q299" t="s">
        <v>36</v>
      </c>
      <c r="R299" t="s">
        <v>43</v>
      </c>
      <c r="S299" t="s">
        <v>56</v>
      </c>
      <c r="T299" t="s">
        <v>57</v>
      </c>
      <c r="U299" t="s">
        <v>961</v>
      </c>
      <c r="V299">
        <v>42700</v>
      </c>
      <c r="W299" t="s">
        <v>43</v>
      </c>
      <c r="X299" t="s">
        <v>528</v>
      </c>
      <c r="Y299" t="s">
        <v>48</v>
      </c>
      <c r="Z299" s="10">
        <f>IF(N299&lt;=1,7,7+0.8*ROUNDUP(N299-1,0))</f>
        <v>8.6</v>
      </c>
      <c r="AA299" s="11">
        <v>0</v>
      </c>
      <c r="AB299" s="11">
        <v>0</v>
      </c>
      <c r="AC299" s="11">
        <v>0</v>
      </c>
      <c r="AD299" s="11">
        <v>0</v>
      </c>
      <c r="AE299" s="11">
        <f>(Z299+AB299+AD299)*6%</f>
        <v>0.51600000000000001</v>
      </c>
      <c r="AF299" s="11">
        <f>Z299+AB299+AD299+AE299</f>
        <v>9.1159999999999997</v>
      </c>
      <c r="AG299" t="s">
        <v>43</v>
      </c>
    </row>
    <row r="300" spans="1:33" ht="15" customHeight="1" x14ac:dyDescent="0.35">
      <c r="A300">
        <v>690929</v>
      </c>
      <c r="B300" t="s">
        <v>33</v>
      </c>
      <c r="C300" t="s">
        <v>34</v>
      </c>
      <c r="D300" s="6" t="s">
        <v>33</v>
      </c>
      <c r="E300" t="s">
        <v>962</v>
      </c>
      <c r="F300" t="s">
        <v>36</v>
      </c>
      <c r="G300" t="s">
        <v>37</v>
      </c>
      <c r="H300" t="s">
        <v>963</v>
      </c>
      <c r="I300" t="s">
        <v>39</v>
      </c>
      <c r="J300">
        <v>2</v>
      </c>
      <c r="K300" t="s">
        <v>40</v>
      </c>
      <c r="L300" t="s">
        <v>41</v>
      </c>
      <c r="M300" t="s">
        <v>42</v>
      </c>
      <c r="N300" s="7">
        <v>1</v>
      </c>
      <c r="O300" s="8">
        <v>45113.565335648149</v>
      </c>
      <c r="P300" s="9">
        <v>45115</v>
      </c>
      <c r="Q300" t="s">
        <v>36</v>
      </c>
      <c r="R300" t="s">
        <v>43</v>
      </c>
      <c r="S300" t="s">
        <v>47</v>
      </c>
      <c r="T300" t="s">
        <v>89</v>
      </c>
      <c r="U300" t="s">
        <v>964</v>
      </c>
      <c r="V300">
        <v>39100</v>
      </c>
      <c r="W300" t="s">
        <v>43</v>
      </c>
      <c r="X300" t="s">
        <v>47</v>
      </c>
      <c r="Y300" t="s">
        <v>48</v>
      </c>
      <c r="Z300" s="10">
        <f>IF(N300&lt;=1,7,7+0.8*ROUNDUP(N300-1,0))</f>
        <v>7</v>
      </c>
      <c r="AA300" s="11">
        <v>0</v>
      </c>
      <c r="AB300" s="11">
        <v>0</v>
      </c>
      <c r="AC300" s="11">
        <v>0</v>
      </c>
      <c r="AD300" s="11">
        <v>0</v>
      </c>
      <c r="AE300" s="11">
        <f>(Z300+AB300+AD300)*6%</f>
        <v>0.42</v>
      </c>
      <c r="AF300" s="11">
        <f>Z300+AB300+AD300+AE300</f>
        <v>7.42</v>
      </c>
      <c r="AG300" t="s">
        <v>43</v>
      </c>
    </row>
    <row r="301" spans="1:33" ht="15" customHeight="1" x14ac:dyDescent="0.35">
      <c r="A301">
        <v>690929</v>
      </c>
      <c r="B301" t="s">
        <v>33</v>
      </c>
      <c r="C301" t="s">
        <v>34</v>
      </c>
      <c r="D301" s="6" t="s">
        <v>33</v>
      </c>
      <c r="E301" t="s">
        <v>965</v>
      </c>
      <c r="F301" t="s">
        <v>36</v>
      </c>
      <c r="G301" t="s">
        <v>37</v>
      </c>
      <c r="H301" t="s">
        <v>966</v>
      </c>
      <c r="I301" t="s">
        <v>39</v>
      </c>
      <c r="J301">
        <v>2</v>
      </c>
      <c r="K301" t="s">
        <v>40</v>
      </c>
      <c r="L301" t="s">
        <v>41</v>
      </c>
      <c r="M301" t="s">
        <v>42</v>
      </c>
      <c r="N301" s="7">
        <v>14</v>
      </c>
      <c r="O301" s="8">
        <v>45114.451550925929</v>
      </c>
      <c r="P301" s="9">
        <v>45115</v>
      </c>
      <c r="Q301" t="s">
        <v>36</v>
      </c>
      <c r="R301" t="s">
        <v>43</v>
      </c>
      <c r="S301" t="s">
        <v>56</v>
      </c>
      <c r="T301" t="s">
        <v>89</v>
      </c>
      <c r="U301" t="s">
        <v>967</v>
      </c>
      <c r="V301">
        <v>27000</v>
      </c>
      <c r="W301" t="s">
        <v>43</v>
      </c>
      <c r="X301" t="s">
        <v>376</v>
      </c>
      <c r="Y301" t="s">
        <v>48</v>
      </c>
      <c r="Z301" s="10">
        <f>IF(N301&lt;=1,7,7+0.8*ROUNDUP(N301-1,0))</f>
        <v>17.399999999999999</v>
      </c>
      <c r="AA301" s="11">
        <v>0</v>
      </c>
      <c r="AB301" s="11">
        <v>0</v>
      </c>
      <c r="AC301" s="11">
        <v>0</v>
      </c>
      <c r="AD301" s="11">
        <v>0</v>
      </c>
      <c r="AE301" s="11">
        <f>(Z301+AB301+AD301)*6%</f>
        <v>1.0439999999999998</v>
      </c>
      <c r="AF301" s="11">
        <f>Z301+AB301+AD301+AE301</f>
        <v>18.443999999999999</v>
      </c>
      <c r="AG301" t="s">
        <v>43</v>
      </c>
    </row>
    <row r="302" spans="1:33" ht="15" customHeight="1" x14ac:dyDescent="0.35">
      <c r="A302">
        <v>690929</v>
      </c>
      <c r="B302" t="s">
        <v>33</v>
      </c>
      <c r="C302" t="s">
        <v>34</v>
      </c>
      <c r="D302" s="6" t="s">
        <v>33</v>
      </c>
      <c r="E302" t="s">
        <v>968</v>
      </c>
      <c r="F302" t="s">
        <v>36</v>
      </c>
      <c r="G302" t="s">
        <v>37</v>
      </c>
      <c r="H302" t="s">
        <v>969</v>
      </c>
      <c r="I302" t="s">
        <v>39</v>
      </c>
      <c r="J302">
        <v>2</v>
      </c>
      <c r="K302" t="s">
        <v>40</v>
      </c>
      <c r="L302" t="s">
        <v>41</v>
      </c>
      <c r="M302" t="s">
        <v>42</v>
      </c>
      <c r="N302" s="7">
        <v>1</v>
      </c>
      <c r="O302" s="8">
        <v>45112.766724537039</v>
      </c>
      <c r="P302" s="9">
        <v>45116</v>
      </c>
      <c r="Q302" t="s">
        <v>36</v>
      </c>
      <c r="R302" t="s">
        <v>43</v>
      </c>
      <c r="S302" t="s">
        <v>47</v>
      </c>
      <c r="T302" t="s">
        <v>170</v>
      </c>
      <c r="U302" t="s">
        <v>970</v>
      </c>
      <c r="V302">
        <v>89808</v>
      </c>
      <c r="W302" t="s">
        <v>172</v>
      </c>
      <c r="X302" t="s">
        <v>47</v>
      </c>
      <c r="Y302" t="s">
        <v>48</v>
      </c>
      <c r="Z302" s="12">
        <f>IF(N302&lt;=1,13,IF(N302&lt;=2,23,IF(N302&lt;=3,35,IF(N302&lt;=4,43,IF(N302&lt;=5,53,IF(N302&lt;=6,63,IF(N302&lt;=7,71,IF(N302&lt;=8,79,IF(N302&lt;=9,87,IF(N302&lt;=10,95,IF(N302&lt;=11,105,IF(N302&lt;=12,114,IF(N302&lt;=13,119,IF(N302&lt;=14,127,IF(N302&lt;=15,135,IF(N302&lt;=16,143,IF(N302&lt;=17,153,IF(N302&lt;=18,163,IF(N302&lt;=19,171,IF(N302&lt;=20,185,IF(N302&lt;=21,193,IF(N302&lt;=22,201,IF(N302&lt;=23,210,IF(N302&lt;=24,220,IF(N302&lt;=25,230,IF(N302&lt;=26,240,IF(N302&lt;=27,250,IF(N302&lt;=28,260,IF(N302&lt;=29,270,IF(N302&lt;=30,280,280+10*ROUNDUP(N302-30,0)))))))))))))))))))))))))))))))</f>
        <v>13</v>
      </c>
      <c r="AA302" s="11">
        <v>0</v>
      </c>
      <c r="AB302" s="11">
        <v>0</v>
      </c>
      <c r="AC302" s="11">
        <v>0</v>
      </c>
      <c r="AD302" s="11">
        <v>0</v>
      </c>
      <c r="AE302" s="11">
        <f>(Z302+AB302+AD302)*6%</f>
        <v>0.78</v>
      </c>
      <c r="AF302" s="11">
        <f>Z302+AB302+AD302+AE302</f>
        <v>13.78</v>
      </c>
      <c r="AG302" t="s">
        <v>172</v>
      </c>
    </row>
    <row r="303" spans="1:33" ht="15" customHeight="1" x14ac:dyDescent="0.35">
      <c r="A303">
        <v>690929</v>
      </c>
      <c r="B303" t="s">
        <v>33</v>
      </c>
      <c r="C303" t="s">
        <v>34</v>
      </c>
      <c r="D303" s="6" t="s">
        <v>33</v>
      </c>
      <c r="E303" t="s">
        <v>971</v>
      </c>
      <c r="F303" t="s">
        <v>36</v>
      </c>
      <c r="G303" t="s">
        <v>37</v>
      </c>
      <c r="H303" t="s">
        <v>972</v>
      </c>
      <c r="I303" t="s">
        <v>39</v>
      </c>
      <c r="J303">
        <v>2</v>
      </c>
      <c r="K303" t="s">
        <v>40</v>
      </c>
      <c r="L303" t="s">
        <v>41</v>
      </c>
      <c r="M303" t="s">
        <v>42</v>
      </c>
      <c r="N303" s="7">
        <v>4</v>
      </c>
      <c r="O303" s="8">
        <v>45113.627013888887</v>
      </c>
      <c r="P303" s="9">
        <v>45116</v>
      </c>
      <c r="Q303" t="s">
        <v>36</v>
      </c>
      <c r="R303" t="s">
        <v>43</v>
      </c>
      <c r="S303" t="s">
        <v>44</v>
      </c>
      <c r="T303" t="s">
        <v>170</v>
      </c>
      <c r="U303" t="s">
        <v>973</v>
      </c>
      <c r="V303">
        <v>91000</v>
      </c>
      <c r="W303" t="s">
        <v>172</v>
      </c>
      <c r="X303" t="s">
        <v>974</v>
      </c>
      <c r="Y303" t="s">
        <v>48</v>
      </c>
      <c r="Z303" s="12">
        <f>IF(N303&lt;=1,13,IF(N303&lt;=2,23,IF(N303&lt;=3,35,IF(N303&lt;=4,43,IF(N303&lt;=5,53,IF(N303&lt;=6,63,IF(N303&lt;=7,71,IF(N303&lt;=8,79,IF(N303&lt;=9,87,IF(N303&lt;=10,95,IF(N303&lt;=11,105,IF(N303&lt;=12,114,IF(N303&lt;=13,119,IF(N303&lt;=14,127,IF(N303&lt;=15,135,IF(N303&lt;=16,143,IF(N303&lt;=17,153,IF(N303&lt;=18,163,IF(N303&lt;=19,171,IF(N303&lt;=20,185,IF(N303&lt;=21,193,IF(N303&lt;=22,201,IF(N303&lt;=23,210,IF(N303&lt;=24,220,IF(N303&lt;=25,230,IF(N303&lt;=26,240,IF(N303&lt;=27,250,IF(N303&lt;=28,260,IF(N303&lt;=29,270,IF(N303&lt;=30,280,280+10*ROUNDUP(N303-30,0)))))))))))))))))))))))))))))))</f>
        <v>43</v>
      </c>
      <c r="AA303" s="11">
        <v>0</v>
      </c>
      <c r="AB303" s="11">
        <v>0</v>
      </c>
      <c r="AC303" s="11">
        <v>0</v>
      </c>
      <c r="AD303" s="11">
        <v>0</v>
      </c>
      <c r="AE303" s="11">
        <f>(Z303+AB303+AD303)*6%</f>
        <v>2.58</v>
      </c>
      <c r="AF303" s="11">
        <f>Z303+AB303+AD303+AE303</f>
        <v>45.58</v>
      </c>
      <c r="AG303" t="s">
        <v>172</v>
      </c>
    </row>
    <row r="304" spans="1:33" ht="15" customHeight="1" x14ac:dyDescent="0.35">
      <c r="A304">
        <v>690929</v>
      </c>
      <c r="B304" t="s">
        <v>33</v>
      </c>
      <c r="C304" t="s">
        <v>34</v>
      </c>
      <c r="D304" s="6" t="s">
        <v>33</v>
      </c>
      <c r="E304" t="s">
        <v>975</v>
      </c>
      <c r="F304" t="s">
        <v>36</v>
      </c>
      <c r="G304" t="s">
        <v>37</v>
      </c>
      <c r="H304" t="s">
        <v>976</v>
      </c>
      <c r="I304" t="s">
        <v>39</v>
      </c>
      <c r="J304">
        <v>2</v>
      </c>
      <c r="K304" t="s">
        <v>40</v>
      </c>
      <c r="L304" t="s">
        <v>41</v>
      </c>
      <c r="M304" t="s">
        <v>42</v>
      </c>
      <c r="N304" s="7">
        <v>3</v>
      </c>
      <c r="O304" s="8">
        <v>45114.451550925929</v>
      </c>
      <c r="P304" s="9">
        <v>45116</v>
      </c>
      <c r="Q304" t="s">
        <v>36</v>
      </c>
      <c r="R304" t="s">
        <v>43</v>
      </c>
      <c r="S304" t="s">
        <v>56</v>
      </c>
      <c r="T304" t="s">
        <v>403</v>
      </c>
      <c r="U304" t="s">
        <v>977</v>
      </c>
      <c r="V304">
        <v>94300</v>
      </c>
      <c r="W304" t="s">
        <v>172</v>
      </c>
      <c r="X304" t="s">
        <v>978</v>
      </c>
      <c r="Y304" t="s">
        <v>48</v>
      </c>
      <c r="Z304" s="12">
        <f>IF(N304&lt;=1,13,IF(N304&lt;=2,23,IF(N304&lt;=3,35,IF(N304&lt;=4,43,IF(N304&lt;=5,53,IF(N304&lt;=6,63,IF(N304&lt;=7,71,IF(N304&lt;=8,79,IF(N304&lt;=9,87,IF(N304&lt;=10,95,IF(N304&lt;=11,105,IF(N304&lt;=12,114,IF(N304&lt;=13,119,IF(N304&lt;=14,127,IF(N304&lt;=15,135,IF(N304&lt;=16,143,IF(N304&lt;=17,153,IF(N304&lt;=18,163,IF(N304&lt;=19,171,IF(N304&lt;=20,185,IF(N304&lt;=21,193,IF(N304&lt;=22,201,IF(N304&lt;=23,210,IF(N304&lt;=24,220,IF(N304&lt;=25,230,IF(N304&lt;=26,240,IF(N304&lt;=27,250,IF(N304&lt;=28,260,IF(N304&lt;=29,270,IF(N304&lt;=30,280,280+10*ROUNDUP(N304-30,0)))))))))))))))))))))))))))))))</f>
        <v>35</v>
      </c>
      <c r="AA304" s="11">
        <v>0</v>
      </c>
      <c r="AB304" s="11">
        <v>0</v>
      </c>
      <c r="AC304" s="11">
        <v>0</v>
      </c>
      <c r="AD304" s="11">
        <v>0</v>
      </c>
      <c r="AE304" s="11">
        <f>(Z304+AB304+AD304)*6%</f>
        <v>2.1</v>
      </c>
      <c r="AF304" s="11">
        <f>Z304+AB304+AD304+AE304</f>
        <v>37.1</v>
      </c>
      <c r="AG304" t="s">
        <v>172</v>
      </c>
    </row>
    <row r="305" spans="1:33" ht="15" customHeight="1" x14ac:dyDescent="0.35">
      <c r="A305">
        <v>690929</v>
      </c>
      <c r="B305" t="s">
        <v>33</v>
      </c>
      <c r="C305" t="s">
        <v>34</v>
      </c>
      <c r="D305" s="6" t="s">
        <v>33</v>
      </c>
      <c r="E305" t="s">
        <v>979</v>
      </c>
      <c r="F305" t="s">
        <v>36</v>
      </c>
      <c r="G305" t="s">
        <v>37</v>
      </c>
      <c r="H305" t="s">
        <v>980</v>
      </c>
      <c r="I305" t="s">
        <v>39</v>
      </c>
      <c r="J305">
        <v>2</v>
      </c>
      <c r="K305" t="s">
        <v>40</v>
      </c>
      <c r="L305" t="s">
        <v>41</v>
      </c>
      <c r="M305" t="s">
        <v>42</v>
      </c>
      <c r="N305" s="7">
        <v>4</v>
      </c>
      <c r="O305" s="8">
        <v>45115.598900462966</v>
      </c>
      <c r="P305" s="9">
        <v>45116</v>
      </c>
      <c r="Q305" t="s">
        <v>36</v>
      </c>
      <c r="R305" t="s">
        <v>43</v>
      </c>
      <c r="S305" t="s">
        <v>44</v>
      </c>
      <c r="T305" t="s">
        <v>109</v>
      </c>
      <c r="U305" t="s">
        <v>981</v>
      </c>
      <c r="V305">
        <v>17500</v>
      </c>
      <c r="W305" t="s">
        <v>43</v>
      </c>
      <c r="X305" t="s">
        <v>630</v>
      </c>
      <c r="Y305" t="s">
        <v>48</v>
      </c>
      <c r="Z305" s="10">
        <f>IF(N305&lt;=1,7,7+0.8*ROUNDUP(N305-1,0))</f>
        <v>9.4</v>
      </c>
      <c r="AA305" s="11">
        <v>0</v>
      </c>
      <c r="AB305" s="11">
        <v>0</v>
      </c>
      <c r="AC305" s="11">
        <v>0</v>
      </c>
      <c r="AD305" s="11">
        <v>0</v>
      </c>
      <c r="AE305" s="11">
        <f>(Z305+AB305+AD305)*6%</f>
        <v>0.56399999999999995</v>
      </c>
      <c r="AF305" s="11">
        <f>Z305+AB305+AD305+AE305</f>
        <v>9.9640000000000004</v>
      </c>
      <c r="AG305" t="s">
        <v>43</v>
      </c>
    </row>
    <row r="306" spans="1:33" ht="15" customHeight="1" x14ac:dyDescent="0.35">
      <c r="A306">
        <v>690929</v>
      </c>
      <c r="B306" t="s">
        <v>33</v>
      </c>
      <c r="C306" t="s">
        <v>34</v>
      </c>
      <c r="D306" s="6" t="s">
        <v>33</v>
      </c>
      <c r="E306" t="s">
        <v>982</v>
      </c>
      <c r="F306" t="s">
        <v>36</v>
      </c>
      <c r="G306" t="s">
        <v>37</v>
      </c>
      <c r="H306" t="s">
        <v>983</v>
      </c>
      <c r="I306" t="s">
        <v>39</v>
      </c>
      <c r="J306">
        <v>2</v>
      </c>
      <c r="K306" t="s">
        <v>40</v>
      </c>
      <c r="L306" t="s">
        <v>41</v>
      </c>
      <c r="M306" t="s">
        <v>42</v>
      </c>
      <c r="N306" s="7">
        <v>1</v>
      </c>
      <c r="O306" s="8">
        <v>45112.777789351851</v>
      </c>
      <c r="P306" s="9">
        <v>45116</v>
      </c>
      <c r="Q306" t="s">
        <v>36</v>
      </c>
      <c r="R306" t="s">
        <v>43</v>
      </c>
      <c r="S306" t="s">
        <v>44</v>
      </c>
      <c r="T306" t="s">
        <v>70</v>
      </c>
      <c r="U306" t="s">
        <v>984</v>
      </c>
      <c r="V306">
        <v>11600</v>
      </c>
      <c r="W306" t="s">
        <v>43</v>
      </c>
      <c r="X306" t="s">
        <v>985</v>
      </c>
      <c r="Y306" t="s">
        <v>48</v>
      </c>
      <c r="Z306" s="10">
        <f>IF(N306&lt;=1,7,7+0.8*ROUNDUP(N306-1,0))</f>
        <v>7</v>
      </c>
      <c r="AA306" s="11">
        <v>0</v>
      </c>
      <c r="AB306" s="11">
        <v>0</v>
      </c>
      <c r="AC306" s="11">
        <v>0</v>
      </c>
      <c r="AD306" s="11">
        <v>0</v>
      </c>
      <c r="AE306" s="11">
        <f>(Z306+AB306+AD306)*6%</f>
        <v>0.42</v>
      </c>
      <c r="AF306" s="11">
        <f>Z306+AB306+AD306+AE306</f>
        <v>7.42</v>
      </c>
      <c r="AG306" t="s">
        <v>43</v>
      </c>
    </row>
    <row r="307" spans="1:33" ht="15" customHeight="1" x14ac:dyDescent="0.35">
      <c r="A307">
        <v>690929</v>
      </c>
      <c r="B307" t="s">
        <v>33</v>
      </c>
      <c r="C307" t="s">
        <v>34</v>
      </c>
      <c r="D307" s="6" t="s">
        <v>33</v>
      </c>
      <c r="E307" t="s">
        <v>986</v>
      </c>
      <c r="F307" t="s">
        <v>36</v>
      </c>
      <c r="G307" t="s">
        <v>37</v>
      </c>
      <c r="H307" t="s">
        <v>987</v>
      </c>
      <c r="I307" t="s">
        <v>39</v>
      </c>
      <c r="J307">
        <v>2</v>
      </c>
      <c r="K307" t="s">
        <v>40</v>
      </c>
      <c r="L307" t="s">
        <v>41</v>
      </c>
      <c r="M307" t="s">
        <v>42</v>
      </c>
      <c r="N307" s="7">
        <v>3</v>
      </c>
      <c r="O307" s="8">
        <v>45115.703587962962</v>
      </c>
      <c r="P307" s="9">
        <v>45116</v>
      </c>
      <c r="Q307" t="s">
        <v>36</v>
      </c>
      <c r="R307" t="s">
        <v>43</v>
      </c>
      <c r="S307" t="s">
        <v>44</v>
      </c>
      <c r="T307" t="s">
        <v>89</v>
      </c>
      <c r="U307" t="s">
        <v>988</v>
      </c>
      <c r="V307">
        <v>27200</v>
      </c>
      <c r="W307" t="s">
        <v>43</v>
      </c>
      <c r="X307" t="s">
        <v>708</v>
      </c>
      <c r="Y307" t="s">
        <v>48</v>
      </c>
      <c r="Z307" s="10">
        <f>IF(N307&lt;=1,7,7+0.8*ROUNDUP(N307-1,0))</f>
        <v>8.6</v>
      </c>
      <c r="AA307" s="11">
        <v>0</v>
      </c>
      <c r="AB307" s="11">
        <v>0</v>
      </c>
      <c r="AC307" s="11">
        <v>0</v>
      </c>
      <c r="AD307" s="11">
        <v>0</v>
      </c>
      <c r="AE307" s="11">
        <f>(Z307+AB307+AD307)*6%</f>
        <v>0.51600000000000001</v>
      </c>
      <c r="AF307" s="11">
        <f>Z307+AB307+AD307+AE307</f>
        <v>9.1159999999999997</v>
      </c>
      <c r="AG307" t="s">
        <v>43</v>
      </c>
    </row>
    <row r="308" spans="1:33" ht="15" customHeight="1" x14ac:dyDescent="0.35">
      <c r="A308">
        <v>690929</v>
      </c>
      <c r="B308" t="s">
        <v>33</v>
      </c>
      <c r="C308" t="s">
        <v>34</v>
      </c>
      <c r="D308" s="6" t="s">
        <v>33</v>
      </c>
      <c r="E308" t="s">
        <v>989</v>
      </c>
      <c r="F308" t="s">
        <v>36</v>
      </c>
      <c r="G308" t="s">
        <v>37</v>
      </c>
      <c r="H308" t="s">
        <v>990</v>
      </c>
      <c r="I308" t="s">
        <v>39</v>
      </c>
      <c r="J308">
        <v>2</v>
      </c>
      <c r="K308" t="s">
        <v>40</v>
      </c>
      <c r="L308" t="s">
        <v>41</v>
      </c>
      <c r="M308" t="s">
        <v>42</v>
      </c>
      <c r="N308" s="7">
        <v>2</v>
      </c>
      <c r="O308" s="8">
        <v>45113.627013888887</v>
      </c>
      <c r="P308" s="9">
        <v>45116</v>
      </c>
      <c r="Q308" t="s">
        <v>36</v>
      </c>
      <c r="R308" t="s">
        <v>43</v>
      </c>
      <c r="S308" t="s">
        <v>44</v>
      </c>
      <c r="T308" t="s">
        <v>653</v>
      </c>
      <c r="U308" t="s">
        <v>991</v>
      </c>
      <c r="V308">
        <v>2600</v>
      </c>
      <c r="W308" t="s">
        <v>43</v>
      </c>
      <c r="X308" t="s">
        <v>992</v>
      </c>
      <c r="Y308" t="s">
        <v>48</v>
      </c>
      <c r="Z308" s="10">
        <f>IF(N308&lt;=1,7,7+0.8*ROUNDUP(N308-1,0))</f>
        <v>7.8</v>
      </c>
      <c r="AA308" s="11">
        <v>0</v>
      </c>
      <c r="AB308" s="11">
        <v>0</v>
      </c>
      <c r="AC308" s="11">
        <v>0</v>
      </c>
      <c r="AD308" s="11">
        <v>0</v>
      </c>
      <c r="AE308" s="11">
        <f>(Z308+AB308+AD308)*6%</f>
        <v>0.46799999999999997</v>
      </c>
      <c r="AF308" s="11">
        <f>Z308+AB308+AD308+AE308</f>
        <v>8.2680000000000007</v>
      </c>
      <c r="AG308" t="s">
        <v>43</v>
      </c>
    </row>
    <row r="309" spans="1:33" ht="15" customHeight="1" x14ac:dyDescent="0.35">
      <c r="A309">
        <v>690929</v>
      </c>
      <c r="B309" t="s">
        <v>33</v>
      </c>
      <c r="C309" t="s">
        <v>34</v>
      </c>
      <c r="D309" s="6" t="s">
        <v>33</v>
      </c>
      <c r="E309" t="s">
        <v>993</v>
      </c>
      <c r="F309" t="s">
        <v>36</v>
      </c>
      <c r="G309" t="s">
        <v>37</v>
      </c>
      <c r="H309" t="s">
        <v>994</v>
      </c>
      <c r="I309" t="s">
        <v>39</v>
      </c>
      <c r="J309">
        <v>2</v>
      </c>
      <c r="K309" t="s">
        <v>40</v>
      </c>
      <c r="L309" t="s">
        <v>41</v>
      </c>
      <c r="M309" t="s">
        <v>42</v>
      </c>
      <c r="N309" s="7">
        <v>2</v>
      </c>
      <c r="O309" s="8">
        <v>45113.627013888887</v>
      </c>
      <c r="P309" s="9">
        <v>45116</v>
      </c>
      <c r="Q309" t="s">
        <v>36</v>
      </c>
      <c r="R309" t="s">
        <v>43</v>
      </c>
      <c r="S309" t="s">
        <v>44</v>
      </c>
      <c r="T309" t="s">
        <v>70</v>
      </c>
      <c r="U309" t="s">
        <v>995</v>
      </c>
      <c r="V309">
        <v>11900</v>
      </c>
      <c r="W309" t="s">
        <v>43</v>
      </c>
      <c r="X309" t="s">
        <v>740</v>
      </c>
      <c r="Y309" t="s">
        <v>48</v>
      </c>
      <c r="Z309" s="10">
        <f>IF(N309&lt;=1,7,7+0.8*ROUNDUP(N309-1,0))</f>
        <v>7.8</v>
      </c>
      <c r="AA309" s="11">
        <v>0</v>
      </c>
      <c r="AB309" s="11">
        <v>0</v>
      </c>
      <c r="AC309" s="11">
        <v>0</v>
      </c>
      <c r="AD309" s="11">
        <v>0</v>
      </c>
      <c r="AE309" s="11">
        <f>(Z309+AB309+AD309)*6%</f>
        <v>0.46799999999999997</v>
      </c>
      <c r="AF309" s="11">
        <f>Z309+AB309+AD309+AE309</f>
        <v>8.2680000000000007</v>
      </c>
      <c r="AG309" t="s">
        <v>43</v>
      </c>
    </row>
    <row r="310" spans="1:33" ht="15" customHeight="1" x14ac:dyDescent="0.35">
      <c r="A310">
        <v>690929</v>
      </c>
      <c r="B310" t="s">
        <v>33</v>
      </c>
      <c r="C310" t="s">
        <v>34</v>
      </c>
      <c r="D310" s="6" t="s">
        <v>33</v>
      </c>
      <c r="E310" t="s">
        <v>996</v>
      </c>
      <c r="F310" t="s">
        <v>36</v>
      </c>
      <c r="G310" t="s">
        <v>37</v>
      </c>
      <c r="H310" t="s">
        <v>997</v>
      </c>
      <c r="I310" t="s">
        <v>39</v>
      </c>
      <c r="J310">
        <v>2</v>
      </c>
      <c r="K310" t="s">
        <v>40</v>
      </c>
      <c r="L310" t="s">
        <v>41</v>
      </c>
      <c r="M310" t="s">
        <v>42</v>
      </c>
      <c r="N310" s="7">
        <v>1</v>
      </c>
      <c r="O310" s="8">
        <v>45115.632847222223</v>
      </c>
      <c r="P310" s="9">
        <v>45116</v>
      </c>
      <c r="Q310" t="s">
        <v>36</v>
      </c>
      <c r="R310" t="s">
        <v>43</v>
      </c>
      <c r="S310" t="s">
        <v>44</v>
      </c>
      <c r="T310" t="s">
        <v>109</v>
      </c>
      <c r="U310" t="s">
        <v>998</v>
      </c>
      <c r="V310">
        <v>17500</v>
      </c>
      <c r="W310" t="s">
        <v>43</v>
      </c>
      <c r="X310" t="s">
        <v>44</v>
      </c>
      <c r="Y310" t="s">
        <v>48</v>
      </c>
      <c r="Z310" s="10">
        <f>IF(N310&lt;=1,7,7+0.8*ROUNDUP(N310-1,0))</f>
        <v>7</v>
      </c>
      <c r="AA310" s="11">
        <v>0</v>
      </c>
      <c r="AB310" s="11">
        <v>0</v>
      </c>
      <c r="AC310" s="11">
        <v>0</v>
      </c>
      <c r="AD310" s="11">
        <v>0</v>
      </c>
      <c r="AE310" s="11">
        <f>(Z310+AB310+AD310)*6%</f>
        <v>0.42</v>
      </c>
      <c r="AF310" s="11">
        <f>Z310+AB310+AD310+AE310</f>
        <v>7.42</v>
      </c>
      <c r="AG310" t="s">
        <v>43</v>
      </c>
    </row>
    <row r="311" spans="1:33" ht="15" customHeight="1" x14ac:dyDescent="0.35">
      <c r="A311">
        <v>690929</v>
      </c>
      <c r="B311" t="s">
        <v>33</v>
      </c>
      <c r="C311" t="s">
        <v>34</v>
      </c>
      <c r="D311" s="6" t="s">
        <v>33</v>
      </c>
      <c r="E311" t="s">
        <v>999</v>
      </c>
      <c r="F311" t="s">
        <v>36</v>
      </c>
      <c r="G311" t="s">
        <v>37</v>
      </c>
      <c r="H311" t="s">
        <v>1000</v>
      </c>
      <c r="I311" t="s">
        <v>39</v>
      </c>
      <c r="J311">
        <v>2</v>
      </c>
      <c r="K311" t="s">
        <v>40</v>
      </c>
      <c r="L311" t="s">
        <v>41</v>
      </c>
      <c r="M311" t="s">
        <v>42</v>
      </c>
      <c r="N311" s="7">
        <v>1</v>
      </c>
      <c r="O311" s="8">
        <v>45115.416712962964</v>
      </c>
      <c r="P311" s="9">
        <v>45116</v>
      </c>
      <c r="Q311" t="s">
        <v>36</v>
      </c>
      <c r="R311" t="s">
        <v>43</v>
      </c>
      <c r="S311" t="s">
        <v>44</v>
      </c>
      <c r="T311" t="s">
        <v>109</v>
      </c>
      <c r="U311" t="s">
        <v>1001</v>
      </c>
      <c r="V311">
        <v>18500</v>
      </c>
      <c r="W311" t="s">
        <v>43</v>
      </c>
      <c r="X311" t="s">
        <v>44</v>
      </c>
      <c r="Y311" t="s">
        <v>48</v>
      </c>
      <c r="Z311" s="10">
        <f>IF(N311&lt;=1,7,7+0.8*ROUNDUP(N311-1,0))</f>
        <v>7</v>
      </c>
      <c r="AA311" s="11">
        <v>0</v>
      </c>
      <c r="AB311" s="11">
        <v>0</v>
      </c>
      <c r="AC311" s="11">
        <v>0</v>
      </c>
      <c r="AD311" s="11">
        <v>0</v>
      </c>
      <c r="AE311" s="11">
        <f>(Z311+AB311+AD311)*6%</f>
        <v>0.42</v>
      </c>
      <c r="AF311" s="11">
        <f>Z311+AB311+AD311+AE311</f>
        <v>7.42</v>
      </c>
      <c r="AG311" t="s">
        <v>43</v>
      </c>
    </row>
    <row r="312" spans="1:33" ht="15" customHeight="1" x14ac:dyDescent="0.35">
      <c r="A312">
        <v>690929</v>
      </c>
      <c r="B312" t="s">
        <v>33</v>
      </c>
      <c r="C312" t="s">
        <v>34</v>
      </c>
      <c r="D312" s="6" t="s">
        <v>33</v>
      </c>
      <c r="E312" t="s">
        <v>1002</v>
      </c>
      <c r="F312" t="s">
        <v>36</v>
      </c>
      <c r="G312" t="s">
        <v>37</v>
      </c>
      <c r="H312" t="s">
        <v>1003</v>
      </c>
      <c r="I312" t="s">
        <v>39</v>
      </c>
      <c r="J312">
        <v>2</v>
      </c>
      <c r="K312" t="s">
        <v>40</v>
      </c>
      <c r="L312" t="s">
        <v>41</v>
      </c>
      <c r="M312" t="s">
        <v>42</v>
      </c>
      <c r="N312" s="7">
        <v>1</v>
      </c>
      <c r="O312" s="8">
        <v>45113.627013888887</v>
      </c>
      <c r="P312" s="9">
        <v>45116</v>
      </c>
      <c r="Q312" t="s">
        <v>36</v>
      </c>
      <c r="R312" t="s">
        <v>43</v>
      </c>
      <c r="S312" t="s">
        <v>47</v>
      </c>
      <c r="T312" t="s">
        <v>109</v>
      </c>
      <c r="U312" t="s">
        <v>1004</v>
      </c>
      <c r="V312">
        <v>16020</v>
      </c>
      <c r="W312" t="s">
        <v>43</v>
      </c>
      <c r="X312" t="s">
        <v>1005</v>
      </c>
      <c r="Y312" t="s">
        <v>48</v>
      </c>
      <c r="Z312" s="10">
        <f>IF(N312&lt;=1,7,7+0.8*ROUNDUP(N312-1,0))</f>
        <v>7</v>
      </c>
      <c r="AA312" s="11">
        <v>0</v>
      </c>
      <c r="AB312" s="11">
        <v>0</v>
      </c>
      <c r="AC312" s="11">
        <v>0</v>
      </c>
      <c r="AD312" s="11">
        <v>0</v>
      </c>
      <c r="AE312" s="11">
        <f>(Z312+AB312+AD312)*6%</f>
        <v>0.42</v>
      </c>
      <c r="AF312" s="11">
        <f>Z312+AB312+AD312+AE312</f>
        <v>7.42</v>
      </c>
      <c r="AG312" t="s">
        <v>43</v>
      </c>
    </row>
    <row r="313" spans="1:33" ht="15" customHeight="1" x14ac:dyDescent="0.35">
      <c r="A313">
        <v>690929</v>
      </c>
      <c r="B313" t="s">
        <v>33</v>
      </c>
      <c r="C313" t="s">
        <v>34</v>
      </c>
      <c r="D313" s="6" t="s">
        <v>33</v>
      </c>
      <c r="E313" t="s">
        <v>1006</v>
      </c>
      <c r="F313" t="s">
        <v>36</v>
      </c>
      <c r="G313" t="s">
        <v>37</v>
      </c>
      <c r="H313" t="s">
        <v>1007</v>
      </c>
      <c r="I313" t="s">
        <v>39</v>
      </c>
      <c r="J313">
        <v>2</v>
      </c>
      <c r="K313" t="s">
        <v>40</v>
      </c>
      <c r="L313" t="s">
        <v>41</v>
      </c>
      <c r="M313" t="s">
        <v>42</v>
      </c>
      <c r="N313" s="7">
        <v>2</v>
      </c>
      <c r="O313" s="8">
        <v>45114.412314814814</v>
      </c>
      <c r="P313" s="9">
        <v>45116</v>
      </c>
      <c r="Q313" t="s">
        <v>36</v>
      </c>
      <c r="R313" t="s">
        <v>43</v>
      </c>
      <c r="S313" t="s">
        <v>56</v>
      </c>
      <c r="T313" t="s">
        <v>61</v>
      </c>
      <c r="U313" t="s">
        <v>1008</v>
      </c>
      <c r="V313">
        <v>86400</v>
      </c>
      <c r="W313" t="s">
        <v>43</v>
      </c>
      <c r="X313" t="s">
        <v>490</v>
      </c>
      <c r="Y313" t="s">
        <v>48</v>
      </c>
      <c r="Z313" s="10">
        <f>IF(N313&lt;=1,7,7+0.8*ROUNDUP(N313-1,0))</f>
        <v>7.8</v>
      </c>
      <c r="AA313" s="11">
        <v>0</v>
      </c>
      <c r="AB313" s="11">
        <v>0</v>
      </c>
      <c r="AC313" s="11">
        <v>0</v>
      </c>
      <c r="AD313" s="11">
        <v>0</v>
      </c>
      <c r="AE313" s="11">
        <f>(Z313+AB313+AD313)*6%</f>
        <v>0.46799999999999997</v>
      </c>
      <c r="AF313" s="11">
        <f>Z313+AB313+AD313+AE313</f>
        <v>8.2680000000000007</v>
      </c>
      <c r="AG313" t="s">
        <v>43</v>
      </c>
    </row>
    <row r="314" spans="1:33" ht="15" customHeight="1" x14ac:dyDescent="0.35">
      <c r="A314">
        <v>690929</v>
      </c>
      <c r="B314" t="s">
        <v>33</v>
      </c>
      <c r="C314" t="s">
        <v>34</v>
      </c>
      <c r="D314" s="6" t="s">
        <v>33</v>
      </c>
      <c r="E314" t="s">
        <v>1009</v>
      </c>
      <c r="F314" t="s">
        <v>36</v>
      </c>
      <c r="G314" t="s">
        <v>37</v>
      </c>
      <c r="H314" t="s">
        <v>1010</v>
      </c>
      <c r="I314" t="s">
        <v>39</v>
      </c>
      <c r="J314">
        <v>2</v>
      </c>
      <c r="K314" t="s">
        <v>40</v>
      </c>
      <c r="L314" t="s">
        <v>41</v>
      </c>
      <c r="M314" t="s">
        <v>42</v>
      </c>
      <c r="N314" s="7">
        <v>1</v>
      </c>
      <c r="O314" s="8">
        <v>45114.489756944444</v>
      </c>
      <c r="P314" s="9">
        <v>45116</v>
      </c>
      <c r="Q314" t="s">
        <v>36</v>
      </c>
      <c r="R314" t="s">
        <v>43</v>
      </c>
      <c r="S314" t="s">
        <v>44</v>
      </c>
      <c r="T314" t="s">
        <v>66</v>
      </c>
      <c r="U314" t="s">
        <v>1011</v>
      </c>
      <c r="V314">
        <v>21400</v>
      </c>
      <c r="W314" t="s">
        <v>43</v>
      </c>
      <c r="X314" t="s">
        <v>44</v>
      </c>
      <c r="Y314" t="s">
        <v>48</v>
      </c>
      <c r="Z314" s="10">
        <f>IF(N314&lt;=1,7,7+0.8*ROUNDUP(N314-1,0))</f>
        <v>7</v>
      </c>
      <c r="AA314" s="11">
        <v>0</v>
      </c>
      <c r="AB314" s="11">
        <v>0</v>
      </c>
      <c r="AC314" s="11">
        <v>0</v>
      </c>
      <c r="AD314" s="11">
        <v>0</v>
      </c>
      <c r="AE314" s="11">
        <f>(Z314+AB314+AD314)*6%</f>
        <v>0.42</v>
      </c>
      <c r="AF314" s="11">
        <f>Z314+AB314+AD314+AE314</f>
        <v>7.42</v>
      </c>
      <c r="AG314" t="s">
        <v>43</v>
      </c>
    </row>
    <row r="315" spans="1:33" ht="15" customHeight="1" x14ac:dyDescent="0.35">
      <c r="A315">
        <v>690929</v>
      </c>
      <c r="B315" t="s">
        <v>33</v>
      </c>
      <c r="C315" t="s">
        <v>34</v>
      </c>
      <c r="D315" s="6" t="s">
        <v>33</v>
      </c>
      <c r="E315" t="s">
        <v>1012</v>
      </c>
      <c r="F315" t="s">
        <v>36</v>
      </c>
      <c r="G315" t="s">
        <v>37</v>
      </c>
      <c r="H315" t="s">
        <v>1013</v>
      </c>
      <c r="I315" t="s">
        <v>39</v>
      </c>
      <c r="J315">
        <v>2</v>
      </c>
      <c r="K315" t="s">
        <v>40</v>
      </c>
      <c r="L315" t="s">
        <v>41</v>
      </c>
      <c r="M315" t="s">
        <v>42</v>
      </c>
      <c r="N315" s="7">
        <v>3</v>
      </c>
      <c r="O315" s="8">
        <v>45114.451550925929</v>
      </c>
      <c r="P315" s="9">
        <v>45116</v>
      </c>
      <c r="Q315" t="s">
        <v>36</v>
      </c>
      <c r="R315" t="s">
        <v>43</v>
      </c>
      <c r="S315" t="s">
        <v>56</v>
      </c>
      <c r="T315" t="s">
        <v>61</v>
      </c>
      <c r="U315" t="s">
        <v>1014</v>
      </c>
      <c r="V315">
        <v>83010</v>
      </c>
      <c r="W315" t="s">
        <v>43</v>
      </c>
      <c r="X315" t="s">
        <v>102</v>
      </c>
      <c r="Y315" t="s">
        <v>48</v>
      </c>
      <c r="Z315" s="10">
        <f>IF(N315&lt;=1,7,7+0.8*ROUNDUP(N315-1,0))</f>
        <v>8.6</v>
      </c>
      <c r="AA315" s="11">
        <v>0</v>
      </c>
      <c r="AB315" s="11">
        <v>0</v>
      </c>
      <c r="AC315" s="11">
        <v>0</v>
      </c>
      <c r="AD315" s="11">
        <v>0</v>
      </c>
      <c r="AE315" s="11">
        <f>(Z315+AB315+AD315)*6%</f>
        <v>0.51600000000000001</v>
      </c>
      <c r="AF315" s="11">
        <f>Z315+AB315+AD315+AE315</f>
        <v>9.1159999999999997</v>
      </c>
      <c r="AG315" t="s">
        <v>43</v>
      </c>
    </row>
    <row r="316" spans="1:33" ht="15" customHeight="1" x14ac:dyDescent="0.35">
      <c r="A316">
        <v>690929</v>
      </c>
      <c r="B316" t="s">
        <v>33</v>
      </c>
      <c r="C316" t="s">
        <v>34</v>
      </c>
      <c r="D316" s="6" t="s">
        <v>33</v>
      </c>
      <c r="E316" t="s">
        <v>1015</v>
      </c>
      <c r="F316" t="s">
        <v>36</v>
      </c>
      <c r="G316" t="s">
        <v>37</v>
      </c>
      <c r="H316" t="s">
        <v>1016</v>
      </c>
      <c r="I316" t="s">
        <v>39</v>
      </c>
      <c r="J316">
        <v>2</v>
      </c>
      <c r="K316" t="s">
        <v>40</v>
      </c>
      <c r="L316" t="s">
        <v>41</v>
      </c>
      <c r="M316" t="s">
        <v>42</v>
      </c>
      <c r="N316" s="7">
        <v>5</v>
      </c>
      <c r="O316" s="8">
        <v>45114.451550925929</v>
      </c>
      <c r="P316" s="9">
        <v>45116</v>
      </c>
      <c r="Q316" t="s">
        <v>36</v>
      </c>
      <c r="R316" t="s">
        <v>43</v>
      </c>
      <c r="S316" t="s">
        <v>56</v>
      </c>
      <c r="T316" t="s">
        <v>194</v>
      </c>
      <c r="U316" t="s">
        <v>1017</v>
      </c>
      <c r="V316">
        <v>71800</v>
      </c>
      <c r="W316" t="s">
        <v>43</v>
      </c>
      <c r="X316" t="s">
        <v>206</v>
      </c>
      <c r="Y316" t="s">
        <v>48</v>
      </c>
      <c r="Z316" s="10">
        <f>IF(N316&lt;=1,7,7+0.8*ROUNDUP(N316-1,0))</f>
        <v>10.199999999999999</v>
      </c>
      <c r="AA316" s="11">
        <v>0</v>
      </c>
      <c r="AB316" s="11">
        <v>0</v>
      </c>
      <c r="AC316" s="11">
        <v>0</v>
      </c>
      <c r="AD316" s="11">
        <v>0</v>
      </c>
      <c r="AE316" s="11">
        <f>(Z316+AB316+AD316)*6%</f>
        <v>0.61199999999999999</v>
      </c>
      <c r="AF316" s="11">
        <f>Z316+AB316+AD316+AE316</f>
        <v>10.811999999999999</v>
      </c>
      <c r="AG316" t="s">
        <v>43</v>
      </c>
    </row>
    <row r="317" spans="1:33" ht="15" customHeight="1" x14ac:dyDescent="0.35">
      <c r="A317">
        <v>690929</v>
      </c>
      <c r="B317" t="s">
        <v>33</v>
      </c>
      <c r="C317" t="s">
        <v>34</v>
      </c>
      <c r="D317" s="6" t="s">
        <v>33</v>
      </c>
      <c r="E317" t="s">
        <v>1018</v>
      </c>
      <c r="F317" t="s">
        <v>36</v>
      </c>
      <c r="G317" t="s">
        <v>37</v>
      </c>
      <c r="H317" t="s">
        <v>288</v>
      </c>
      <c r="I317" t="s">
        <v>39</v>
      </c>
      <c r="J317">
        <v>2</v>
      </c>
      <c r="K317" t="s">
        <v>40</v>
      </c>
      <c r="L317" t="s">
        <v>41</v>
      </c>
      <c r="M317" t="s">
        <v>42</v>
      </c>
      <c r="N317" s="7">
        <v>6</v>
      </c>
      <c r="O317" s="8">
        <v>45116.547673611109</v>
      </c>
      <c r="P317" s="9">
        <v>45117</v>
      </c>
      <c r="Q317" t="s">
        <v>36</v>
      </c>
      <c r="R317" t="s">
        <v>43</v>
      </c>
      <c r="S317" t="s">
        <v>44</v>
      </c>
      <c r="T317" t="s">
        <v>194</v>
      </c>
      <c r="U317" t="s">
        <v>289</v>
      </c>
      <c r="V317">
        <v>72120</v>
      </c>
      <c r="W317" t="s">
        <v>43</v>
      </c>
      <c r="X317" t="s">
        <v>47</v>
      </c>
      <c r="Y317" t="s">
        <v>48</v>
      </c>
      <c r="Z317" s="10">
        <f>IF(N317&lt;=1,7,7+0.8*ROUNDUP(N317-1,0))</f>
        <v>11</v>
      </c>
      <c r="AA317" s="11">
        <v>0</v>
      </c>
      <c r="AB317" s="11">
        <v>0</v>
      </c>
      <c r="AC317" s="11">
        <v>0</v>
      </c>
      <c r="AD317" s="11">
        <v>0</v>
      </c>
      <c r="AE317" s="11">
        <f>(Z317+AB317+AD317)*6%</f>
        <v>0.65999999999999992</v>
      </c>
      <c r="AF317" s="11">
        <f>Z317+AB317+AD317+AE317</f>
        <v>11.66</v>
      </c>
      <c r="AG317" t="s">
        <v>43</v>
      </c>
    </row>
    <row r="318" spans="1:33" ht="15" customHeight="1" x14ac:dyDescent="0.35">
      <c r="A318">
        <v>690929</v>
      </c>
      <c r="B318" t="s">
        <v>33</v>
      </c>
      <c r="C318" t="s">
        <v>34</v>
      </c>
      <c r="D318" s="6" t="s">
        <v>33</v>
      </c>
      <c r="E318" t="s">
        <v>1019</v>
      </c>
      <c r="F318" t="s">
        <v>36</v>
      </c>
      <c r="G318" t="s">
        <v>37</v>
      </c>
      <c r="H318" t="s">
        <v>1020</v>
      </c>
      <c r="I318" t="s">
        <v>39</v>
      </c>
      <c r="J318">
        <v>2</v>
      </c>
      <c r="K318" t="s">
        <v>40</v>
      </c>
      <c r="L318" t="s">
        <v>41</v>
      </c>
      <c r="M318" t="s">
        <v>42</v>
      </c>
      <c r="N318" s="7">
        <v>3</v>
      </c>
      <c r="O318" s="8">
        <v>45115.772013888891</v>
      </c>
      <c r="P318" s="9">
        <v>45117</v>
      </c>
      <c r="Q318" t="s">
        <v>36</v>
      </c>
      <c r="R318" t="s">
        <v>43</v>
      </c>
      <c r="S318" t="s">
        <v>44</v>
      </c>
      <c r="T318" t="s">
        <v>75</v>
      </c>
      <c r="U318" t="s">
        <v>1021</v>
      </c>
      <c r="V318">
        <v>50100</v>
      </c>
      <c r="W318" t="s">
        <v>43</v>
      </c>
      <c r="X318" t="s">
        <v>558</v>
      </c>
      <c r="Y318" t="s">
        <v>48</v>
      </c>
      <c r="Z318" s="10">
        <f>IF(N318&lt;=1,7,7+0.8*ROUNDUP(N318-1,0))</f>
        <v>8.6</v>
      </c>
      <c r="AA318" s="11">
        <v>0</v>
      </c>
      <c r="AB318" s="11">
        <v>0</v>
      </c>
      <c r="AC318" s="11">
        <v>0</v>
      </c>
      <c r="AD318" s="11">
        <v>0</v>
      </c>
      <c r="AE318" s="11">
        <f>(Z318+AB318+AD318)*6%</f>
        <v>0.51600000000000001</v>
      </c>
      <c r="AF318" s="11">
        <f>Z318+AB318+AD318+AE318</f>
        <v>9.1159999999999997</v>
      </c>
      <c r="AG318" t="s">
        <v>43</v>
      </c>
    </row>
    <row r="319" spans="1:33" ht="15" customHeight="1" x14ac:dyDescent="0.35">
      <c r="A319">
        <v>690929</v>
      </c>
      <c r="B319" t="s">
        <v>33</v>
      </c>
      <c r="C319" t="s">
        <v>34</v>
      </c>
      <c r="D319" s="6" t="s">
        <v>33</v>
      </c>
      <c r="E319" t="s">
        <v>1022</v>
      </c>
      <c r="F319" t="s">
        <v>36</v>
      </c>
      <c r="G319" t="s">
        <v>37</v>
      </c>
      <c r="H319" t="s">
        <v>1023</v>
      </c>
      <c r="I319" t="s">
        <v>39</v>
      </c>
      <c r="J319">
        <v>2</v>
      </c>
      <c r="K319" t="s">
        <v>40</v>
      </c>
      <c r="L319" t="s">
        <v>41</v>
      </c>
      <c r="M319" t="s">
        <v>42</v>
      </c>
      <c r="N319" s="7">
        <v>8</v>
      </c>
      <c r="O319" s="8">
        <v>45115.598900462966</v>
      </c>
      <c r="P319" s="9">
        <v>45117</v>
      </c>
      <c r="Q319" t="s">
        <v>36</v>
      </c>
      <c r="R319" t="s">
        <v>43</v>
      </c>
      <c r="S319" t="s">
        <v>44</v>
      </c>
      <c r="T319" t="s">
        <v>57</v>
      </c>
      <c r="U319" t="s">
        <v>1024</v>
      </c>
      <c r="V319">
        <v>46000</v>
      </c>
      <c r="W319" t="s">
        <v>43</v>
      </c>
      <c r="X319" t="s">
        <v>1025</v>
      </c>
      <c r="Y319" t="s">
        <v>48</v>
      </c>
      <c r="Z319" s="10">
        <f>IF(N319&lt;=1,7,7+0.8*ROUNDUP(N319-1,0))</f>
        <v>12.600000000000001</v>
      </c>
      <c r="AA319" s="11">
        <v>0</v>
      </c>
      <c r="AB319" s="11">
        <v>0</v>
      </c>
      <c r="AC319" s="11">
        <v>0</v>
      </c>
      <c r="AD319" s="11">
        <v>0</v>
      </c>
      <c r="AE319" s="11">
        <f>(Z319+AB319+AD319)*6%</f>
        <v>0.75600000000000001</v>
      </c>
      <c r="AF319" s="11">
        <f>Z319+AB319+AD319+AE319</f>
        <v>13.356000000000002</v>
      </c>
      <c r="AG319" t="s">
        <v>43</v>
      </c>
    </row>
    <row r="320" spans="1:33" ht="15" customHeight="1" x14ac:dyDescent="0.35">
      <c r="A320">
        <v>690929</v>
      </c>
      <c r="B320" t="s">
        <v>33</v>
      </c>
      <c r="C320" t="s">
        <v>34</v>
      </c>
      <c r="D320" s="6" t="s">
        <v>33</v>
      </c>
      <c r="E320" t="s">
        <v>1026</v>
      </c>
      <c r="F320" t="s">
        <v>36</v>
      </c>
      <c r="G320" t="s">
        <v>37</v>
      </c>
      <c r="H320" t="s">
        <v>1027</v>
      </c>
      <c r="I320" t="s">
        <v>39</v>
      </c>
      <c r="J320">
        <v>2</v>
      </c>
      <c r="K320" t="s">
        <v>40</v>
      </c>
      <c r="L320" t="s">
        <v>41</v>
      </c>
      <c r="M320" t="s">
        <v>42</v>
      </c>
      <c r="N320" s="7">
        <v>1</v>
      </c>
      <c r="O320" s="8">
        <v>45116.641956018517</v>
      </c>
      <c r="P320" s="9">
        <v>45117</v>
      </c>
      <c r="Q320" t="s">
        <v>36</v>
      </c>
      <c r="R320" t="s">
        <v>43</v>
      </c>
      <c r="S320" t="s">
        <v>44</v>
      </c>
      <c r="T320" t="s">
        <v>75</v>
      </c>
      <c r="U320" t="s">
        <v>1028</v>
      </c>
      <c r="V320">
        <v>56000</v>
      </c>
      <c r="W320" t="s">
        <v>43</v>
      </c>
      <c r="X320" t="s">
        <v>1029</v>
      </c>
      <c r="Y320" t="s">
        <v>48</v>
      </c>
      <c r="Z320" s="10">
        <f>IF(N320&lt;=1,7,7+0.8*ROUNDUP(N320-1,0))</f>
        <v>7</v>
      </c>
      <c r="AA320" s="11">
        <v>0</v>
      </c>
      <c r="AB320" s="11">
        <v>0</v>
      </c>
      <c r="AC320" s="11">
        <v>0</v>
      </c>
      <c r="AD320" s="11">
        <v>0</v>
      </c>
      <c r="AE320" s="11">
        <f>(Z320+AB320+AD320)*6%</f>
        <v>0.42</v>
      </c>
      <c r="AF320" s="11">
        <f>Z320+AB320+AD320+AE320</f>
        <v>7.42</v>
      </c>
      <c r="AG320" t="s">
        <v>43</v>
      </c>
    </row>
    <row r="321" spans="1:33" ht="15" customHeight="1" x14ac:dyDescent="0.35">
      <c r="A321">
        <v>690929</v>
      </c>
      <c r="B321" t="s">
        <v>33</v>
      </c>
      <c r="C321" t="s">
        <v>34</v>
      </c>
      <c r="D321" s="6" t="s">
        <v>33</v>
      </c>
      <c r="E321" t="s">
        <v>1030</v>
      </c>
      <c r="F321" t="s">
        <v>36</v>
      </c>
      <c r="G321" t="s">
        <v>37</v>
      </c>
      <c r="H321" t="s">
        <v>1031</v>
      </c>
      <c r="I321" t="s">
        <v>39</v>
      </c>
      <c r="J321">
        <v>2</v>
      </c>
      <c r="K321" t="s">
        <v>40</v>
      </c>
      <c r="L321" t="s">
        <v>41</v>
      </c>
      <c r="M321" t="s">
        <v>42</v>
      </c>
      <c r="N321" s="7">
        <v>1</v>
      </c>
      <c r="O321" s="8">
        <v>45115.737696759257</v>
      </c>
      <c r="P321" s="9">
        <v>45117</v>
      </c>
      <c r="Q321" t="s">
        <v>36</v>
      </c>
      <c r="R321" t="s">
        <v>43</v>
      </c>
      <c r="S321" t="s">
        <v>44</v>
      </c>
      <c r="T321" t="s">
        <v>57</v>
      </c>
      <c r="U321" t="s">
        <v>1032</v>
      </c>
      <c r="V321">
        <v>43300</v>
      </c>
      <c r="W321" t="s">
        <v>43</v>
      </c>
      <c r="X321" t="s">
        <v>1033</v>
      </c>
      <c r="Y321" t="s">
        <v>48</v>
      </c>
      <c r="Z321" s="10">
        <f>IF(N321&lt;=1,7,7+0.8*ROUNDUP(N321-1,0))</f>
        <v>7</v>
      </c>
      <c r="AA321" s="11">
        <v>0</v>
      </c>
      <c r="AB321" s="11">
        <v>0</v>
      </c>
      <c r="AC321" s="11">
        <v>0</v>
      </c>
      <c r="AD321" s="11">
        <v>0</v>
      </c>
      <c r="AE321" s="11">
        <f>(Z321+AB321+AD321)*6%</f>
        <v>0.42</v>
      </c>
      <c r="AF321" s="11">
        <f>Z321+AB321+AD321+AE321</f>
        <v>7.42</v>
      </c>
      <c r="AG321" t="s">
        <v>43</v>
      </c>
    </row>
    <row r="322" spans="1:33" ht="15" customHeight="1" x14ac:dyDescent="0.35">
      <c r="A322">
        <v>690929</v>
      </c>
      <c r="B322" t="s">
        <v>33</v>
      </c>
      <c r="C322" t="s">
        <v>34</v>
      </c>
      <c r="D322" s="6" t="s">
        <v>33</v>
      </c>
      <c r="E322" t="s">
        <v>1034</v>
      </c>
      <c r="F322" t="s">
        <v>36</v>
      </c>
      <c r="G322" t="s">
        <v>37</v>
      </c>
      <c r="H322" t="s">
        <v>1035</v>
      </c>
      <c r="I322" t="s">
        <v>39</v>
      </c>
      <c r="J322">
        <v>2</v>
      </c>
      <c r="K322" t="s">
        <v>40</v>
      </c>
      <c r="L322" t="s">
        <v>41</v>
      </c>
      <c r="M322" t="s">
        <v>42</v>
      </c>
      <c r="N322" s="7">
        <v>1</v>
      </c>
      <c r="O322" s="8">
        <v>45113.72179398148</v>
      </c>
      <c r="P322" s="9">
        <v>45117</v>
      </c>
      <c r="Q322" t="s">
        <v>36</v>
      </c>
      <c r="R322" t="s">
        <v>43</v>
      </c>
      <c r="S322" t="s">
        <v>44</v>
      </c>
      <c r="T322" t="s">
        <v>57</v>
      </c>
      <c r="U322" t="s">
        <v>1036</v>
      </c>
      <c r="V322">
        <v>62604</v>
      </c>
      <c r="W322" t="s">
        <v>43</v>
      </c>
      <c r="X322" t="s">
        <v>47</v>
      </c>
      <c r="Y322" t="s">
        <v>48</v>
      </c>
      <c r="Z322" s="10">
        <f>IF(N322&lt;=1,7,7+0.8*ROUNDUP(N322-1,0))</f>
        <v>7</v>
      </c>
      <c r="AA322" s="11">
        <v>0</v>
      </c>
      <c r="AB322" s="11">
        <v>0</v>
      </c>
      <c r="AC322" s="11">
        <v>0</v>
      </c>
      <c r="AD322" s="11">
        <v>0</v>
      </c>
      <c r="AE322" s="11">
        <f>(Z322+AB322+AD322)*6%</f>
        <v>0.42</v>
      </c>
      <c r="AF322" s="11">
        <f>Z322+AB322+AD322+AE322</f>
        <v>7.42</v>
      </c>
      <c r="AG322" t="s">
        <v>43</v>
      </c>
    </row>
    <row r="323" spans="1:33" ht="15" customHeight="1" x14ac:dyDescent="0.35">
      <c r="A323">
        <v>690929</v>
      </c>
      <c r="B323" t="s">
        <v>33</v>
      </c>
      <c r="C323" t="s">
        <v>34</v>
      </c>
      <c r="D323" s="6" t="s">
        <v>33</v>
      </c>
      <c r="E323" t="s">
        <v>1037</v>
      </c>
      <c r="F323" t="s">
        <v>36</v>
      </c>
      <c r="G323" t="s">
        <v>37</v>
      </c>
      <c r="H323" t="s">
        <v>1038</v>
      </c>
      <c r="I323" t="s">
        <v>39</v>
      </c>
      <c r="J323">
        <v>2</v>
      </c>
      <c r="K323" t="s">
        <v>40</v>
      </c>
      <c r="L323" t="s">
        <v>41</v>
      </c>
      <c r="M323" t="s">
        <v>42</v>
      </c>
      <c r="N323" s="7">
        <v>2</v>
      </c>
      <c r="O323" s="8">
        <v>45115.553472222222</v>
      </c>
      <c r="P323" s="9">
        <v>45117</v>
      </c>
      <c r="Q323" t="s">
        <v>36</v>
      </c>
      <c r="R323" t="s">
        <v>43</v>
      </c>
      <c r="S323" t="s">
        <v>44</v>
      </c>
      <c r="T323" t="s">
        <v>57</v>
      </c>
      <c r="U323" t="s">
        <v>1039</v>
      </c>
      <c r="V323">
        <v>47301</v>
      </c>
      <c r="W323" t="s">
        <v>43</v>
      </c>
      <c r="X323" t="s">
        <v>1040</v>
      </c>
      <c r="Y323" t="s">
        <v>48</v>
      </c>
      <c r="Z323" s="10">
        <f>IF(N323&lt;=1,7,7+0.8*ROUNDUP(N323-1,0))</f>
        <v>7.8</v>
      </c>
      <c r="AA323" s="11">
        <v>0</v>
      </c>
      <c r="AB323" s="11">
        <v>0</v>
      </c>
      <c r="AC323" s="11">
        <v>0</v>
      </c>
      <c r="AD323" s="11">
        <v>0</v>
      </c>
      <c r="AE323" s="11">
        <f>(Z323+AB323+AD323)*6%</f>
        <v>0.46799999999999997</v>
      </c>
      <c r="AF323" s="11">
        <f>Z323+AB323+AD323+AE323</f>
        <v>8.2680000000000007</v>
      </c>
      <c r="AG323" t="s">
        <v>43</v>
      </c>
    </row>
    <row r="324" spans="1:33" ht="15" customHeight="1" x14ac:dyDescent="0.35">
      <c r="A324">
        <v>690929</v>
      </c>
      <c r="B324" t="s">
        <v>33</v>
      </c>
      <c r="C324" t="s">
        <v>34</v>
      </c>
      <c r="D324" s="6" t="s">
        <v>33</v>
      </c>
      <c r="E324" t="s">
        <v>1041</v>
      </c>
      <c r="F324" t="s">
        <v>36</v>
      </c>
      <c r="G324" t="s">
        <v>37</v>
      </c>
      <c r="H324" t="s">
        <v>1042</v>
      </c>
      <c r="I324" t="s">
        <v>39</v>
      </c>
      <c r="J324">
        <v>2</v>
      </c>
      <c r="K324" t="s">
        <v>40</v>
      </c>
      <c r="L324" t="s">
        <v>41</v>
      </c>
      <c r="M324" t="s">
        <v>42</v>
      </c>
      <c r="N324" s="7">
        <v>1</v>
      </c>
      <c r="O324" s="8">
        <v>45113.556967592594</v>
      </c>
      <c r="P324" s="9">
        <v>45117</v>
      </c>
      <c r="Q324" t="s">
        <v>36</v>
      </c>
      <c r="R324" t="s">
        <v>43</v>
      </c>
      <c r="S324" t="s">
        <v>44</v>
      </c>
      <c r="T324" t="s">
        <v>80</v>
      </c>
      <c r="U324" t="s">
        <v>1043</v>
      </c>
      <c r="V324">
        <v>7000</v>
      </c>
      <c r="W324" t="s">
        <v>43</v>
      </c>
      <c r="X324" t="s">
        <v>47</v>
      </c>
      <c r="Y324" t="s">
        <v>48</v>
      </c>
      <c r="Z324" s="10">
        <f>IF(N324&lt;=1,7,7+0.8*ROUNDUP(N324-1,0))</f>
        <v>7</v>
      </c>
      <c r="AA324" s="11">
        <v>0</v>
      </c>
      <c r="AB324" s="11">
        <v>0</v>
      </c>
      <c r="AC324" s="11">
        <v>0</v>
      </c>
      <c r="AD324" s="11">
        <v>0</v>
      </c>
      <c r="AE324" s="11">
        <f>(Z324+AB324+AD324)*6%</f>
        <v>0.42</v>
      </c>
      <c r="AF324" s="11">
        <f>Z324+AB324+AD324+AE324</f>
        <v>7.42</v>
      </c>
      <c r="AG324" t="s">
        <v>43</v>
      </c>
    </row>
    <row r="325" spans="1:33" ht="15" customHeight="1" x14ac:dyDescent="0.35">
      <c r="A325">
        <v>690929</v>
      </c>
      <c r="B325" t="s">
        <v>33</v>
      </c>
      <c r="C325" t="s">
        <v>34</v>
      </c>
      <c r="D325" s="6" t="s">
        <v>33</v>
      </c>
      <c r="E325" t="s">
        <v>1044</v>
      </c>
      <c r="F325" t="s">
        <v>36</v>
      </c>
      <c r="G325" t="s">
        <v>37</v>
      </c>
      <c r="H325" t="s">
        <v>1045</v>
      </c>
      <c r="I325" t="s">
        <v>39</v>
      </c>
      <c r="J325">
        <v>2</v>
      </c>
      <c r="K325" t="s">
        <v>40</v>
      </c>
      <c r="L325" t="s">
        <v>41</v>
      </c>
      <c r="M325" t="s">
        <v>42</v>
      </c>
      <c r="N325" s="7">
        <v>1</v>
      </c>
      <c r="O325" s="8">
        <v>45116.547673611109</v>
      </c>
      <c r="P325" s="9">
        <v>45117</v>
      </c>
      <c r="Q325" t="s">
        <v>36</v>
      </c>
      <c r="R325" t="s">
        <v>43</v>
      </c>
      <c r="S325" t="s">
        <v>44</v>
      </c>
      <c r="T325" t="s">
        <v>66</v>
      </c>
      <c r="U325" t="s">
        <v>1046</v>
      </c>
      <c r="V325">
        <v>21100</v>
      </c>
      <c r="W325" t="s">
        <v>43</v>
      </c>
      <c r="X325" t="s">
        <v>44</v>
      </c>
      <c r="Y325" t="s">
        <v>48</v>
      </c>
      <c r="Z325" s="10">
        <f>IF(N325&lt;=1,7,7+0.8*ROUNDUP(N325-1,0))</f>
        <v>7</v>
      </c>
      <c r="AA325" s="11">
        <v>0</v>
      </c>
      <c r="AB325" s="11">
        <v>0</v>
      </c>
      <c r="AC325" s="11">
        <v>0</v>
      </c>
      <c r="AD325" s="11">
        <v>0</v>
      </c>
      <c r="AE325" s="11">
        <f>(Z325+AB325+AD325)*6%</f>
        <v>0.42</v>
      </c>
      <c r="AF325" s="11">
        <f>Z325+AB325+AD325+AE325</f>
        <v>7.42</v>
      </c>
      <c r="AG325" t="s">
        <v>43</v>
      </c>
    </row>
    <row r="326" spans="1:33" ht="15" customHeight="1" x14ac:dyDescent="0.35">
      <c r="A326">
        <v>690929</v>
      </c>
      <c r="B326" t="s">
        <v>33</v>
      </c>
      <c r="C326" t="s">
        <v>34</v>
      </c>
      <c r="D326" s="6" t="s">
        <v>33</v>
      </c>
      <c r="E326" t="s">
        <v>1047</v>
      </c>
      <c r="F326" t="s">
        <v>36</v>
      </c>
      <c r="G326" t="s">
        <v>37</v>
      </c>
      <c r="H326" t="s">
        <v>1048</v>
      </c>
      <c r="I326" t="s">
        <v>39</v>
      </c>
      <c r="J326">
        <v>2</v>
      </c>
      <c r="K326" t="s">
        <v>40</v>
      </c>
      <c r="L326" t="s">
        <v>41</v>
      </c>
      <c r="M326" t="s">
        <v>42</v>
      </c>
      <c r="N326" s="7">
        <v>1</v>
      </c>
      <c r="O326" s="8">
        <v>45116.628310185188</v>
      </c>
      <c r="P326" s="9">
        <v>45117</v>
      </c>
      <c r="Q326" t="s">
        <v>36</v>
      </c>
      <c r="R326" t="s">
        <v>43</v>
      </c>
      <c r="S326" t="s">
        <v>44</v>
      </c>
      <c r="T326" t="s">
        <v>66</v>
      </c>
      <c r="U326" t="s">
        <v>1049</v>
      </c>
      <c r="V326">
        <v>22200</v>
      </c>
      <c r="W326" t="s">
        <v>43</v>
      </c>
      <c r="X326" t="s">
        <v>1050</v>
      </c>
      <c r="Y326" t="s">
        <v>48</v>
      </c>
      <c r="Z326" s="10">
        <f>IF(N326&lt;=1,7,7+0.8*ROUNDUP(N326-1,0))</f>
        <v>7</v>
      </c>
      <c r="AA326" s="11">
        <v>0</v>
      </c>
      <c r="AB326" s="11">
        <v>0</v>
      </c>
      <c r="AC326" s="11">
        <v>0</v>
      </c>
      <c r="AD326" s="11">
        <v>0</v>
      </c>
      <c r="AE326" s="11">
        <f>(Z326+AB326+AD326)*6%</f>
        <v>0.42</v>
      </c>
      <c r="AF326" s="11">
        <f>Z326+AB326+AD326+AE326</f>
        <v>7.42</v>
      </c>
      <c r="AG326" t="s">
        <v>43</v>
      </c>
    </row>
    <row r="327" spans="1:33" ht="15" customHeight="1" x14ac:dyDescent="0.35">
      <c r="A327">
        <v>690929</v>
      </c>
      <c r="B327" t="s">
        <v>33</v>
      </c>
      <c r="C327" t="s">
        <v>34</v>
      </c>
      <c r="D327" s="6" t="s">
        <v>33</v>
      </c>
      <c r="E327" t="s">
        <v>1051</v>
      </c>
      <c r="F327" t="s">
        <v>36</v>
      </c>
      <c r="G327" t="s">
        <v>37</v>
      </c>
      <c r="H327" t="s">
        <v>1052</v>
      </c>
      <c r="I327" t="s">
        <v>39</v>
      </c>
      <c r="J327">
        <v>2</v>
      </c>
      <c r="K327" t="s">
        <v>40</v>
      </c>
      <c r="L327" t="s">
        <v>41</v>
      </c>
      <c r="M327" t="s">
        <v>42</v>
      </c>
      <c r="N327" s="7">
        <v>1</v>
      </c>
      <c r="O327" s="8">
        <v>45113.447453703702</v>
      </c>
      <c r="P327" s="9">
        <v>45117</v>
      </c>
      <c r="Q327" t="s">
        <v>36</v>
      </c>
      <c r="R327" t="s">
        <v>43</v>
      </c>
      <c r="S327" t="s">
        <v>44</v>
      </c>
      <c r="T327" t="s">
        <v>70</v>
      </c>
      <c r="U327" t="s">
        <v>1053</v>
      </c>
      <c r="V327">
        <v>13200</v>
      </c>
      <c r="W327" t="s">
        <v>43</v>
      </c>
      <c r="X327" t="s">
        <v>423</v>
      </c>
      <c r="Y327" t="s">
        <v>48</v>
      </c>
      <c r="Z327" s="10">
        <f>IF(N327&lt;=1,7,7+0.8*ROUNDUP(N327-1,0))</f>
        <v>7</v>
      </c>
      <c r="AA327" s="11">
        <v>0</v>
      </c>
      <c r="AB327" s="11">
        <v>0</v>
      </c>
      <c r="AC327" s="11">
        <v>0</v>
      </c>
      <c r="AD327" s="11">
        <v>0</v>
      </c>
      <c r="AE327" s="11">
        <f>(Z327+AB327+AD327)*6%</f>
        <v>0.42</v>
      </c>
      <c r="AF327" s="11">
        <f>Z327+AB327+AD327+AE327</f>
        <v>7.42</v>
      </c>
      <c r="AG327" t="s">
        <v>43</v>
      </c>
    </row>
    <row r="328" spans="1:33" ht="15" customHeight="1" x14ac:dyDescent="0.35">
      <c r="A328">
        <v>690929</v>
      </c>
      <c r="B328" t="s">
        <v>33</v>
      </c>
      <c r="C328" t="s">
        <v>34</v>
      </c>
      <c r="D328" s="6" t="s">
        <v>33</v>
      </c>
      <c r="E328" t="s">
        <v>1054</v>
      </c>
      <c r="F328" t="s">
        <v>36</v>
      </c>
      <c r="G328" t="s">
        <v>37</v>
      </c>
      <c r="H328" t="s">
        <v>1055</v>
      </c>
      <c r="I328" t="s">
        <v>39</v>
      </c>
      <c r="J328">
        <v>2</v>
      </c>
      <c r="K328" t="s">
        <v>40</v>
      </c>
      <c r="L328" t="s">
        <v>41</v>
      </c>
      <c r="M328" t="s">
        <v>42</v>
      </c>
      <c r="N328" s="7">
        <v>1</v>
      </c>
      <c r="O328" s="8">
        <v>45116.547673611109</v>
      </c>
      <c r="P328" s="9">
        <v>45117</v>
      </c>
      <c r="Q328" t="s">
        <v>36</v>
      </c>
      <c r="R328" t="s">
        <v>43</v>
      </c>
      <c r="S328" t="s">
        <v>44</v>
      </c>
      <c r="T328" t="s">
        <v>57</v>
      </c>
      <c r="U328" t="s">
        <v>1056</v>
      </c>
      <c r="V328">
        <v>40400</v>
      </c>
      <c r="W328" t="s">
        <v>43</v>
      </c>
      <c r="X328" t="s">
        <v>47</v>
      </c>
      <c r="Y328" t="s">
        <v>48</v>
      </c>
      <c r="Z328" s="10">
        <f>IF(N328&lt;=1,7,7+0.8*ROUNDUP(N328-1,0))</f>
        <v>7</v>
      </c>
      <c r="AA328" s="11">
        <v>0</v>
      </c>
      <c r="AB328" s="11">
        <v>0</v>
      </c>
      <c r="AC328" s="11">
        <v>0</v>
      </c>
      <c r="AD328" s="11">
        <v>0</v>
      </c>
      <c r="AE328" s="11">
        <f>(Z328+AB328+AD328)*6%</f>
        <v>0.42</v>
      </c>
      <c r="AF328" s="11">
        <f>Z328+AB328+AD328+AE328</f>
        <v>7.42</v>
      </c>
      <c r="AG328" t="s">
        <v>43</v>
      </c>
    </row>
    <row r="329" spans="1:33" ht="15" customHeight="1" x14ac:dyDescent="0.35">
      <c r="A329">
        <v>690929</v>
      </c>
      <c r="B329" t="s">
        <v>33</v>
      </c>
      <c r="C329" t="s">
        <v>34</v>
      </c>
      <c r="D329" s="6" t="s">
        <v>33</v>
      </c>
      <c r="E329" t="s">
        <v>1057</v>
      </c>
      <c r="F329" t="s">
        <v>36</v>
      </c>
      <c r="G329" t="s">
        <v>37</v>
      </c>
      <c r="H329" t="s">
        <v>1058</v>
      </c>
      <c r="I329" t="s">
        <v>39</v>
      </c>
      <c r="J329">
        <v>2</v>
      </c>
      <c r="K329" t="s">
        <v>40</v>
      </c>
      <c r="L329" t="s">
        <v>41</v>
      </c>
      <c r="M329" t="s">
        <v>42</v>
      </c>
      <c r="N329" s="7">
        <v>1</v>
      </c>
      <c r="O329" s="8">
        <v>45116.643900462965</v>
      </c>
      <c r="P329" s="9">
        <v>45117</v>
      </c>
      <c r="Q329" t="s">
        <v>36</v>
      </c>
      <c r="R329" t="s">
        <v>43</v>
      </c>
      <c r="S329" t="s">
        <v>44</v>
      </c>
      <c r="T329" t="s">
        <v>66</v>
      </c>
      <c r="U329" t="s">
        <v>1059</v>
      </c>
      <c r="V329">
        <v>21300</v>
      </c>
      <c r="W329" t="s">
        <v>43</v>
      </c>
      <c r="X329" t="s">
        <v>44</v>
      </c>
      <c r="Y329" t="s">
        <v>48</v>
      </c>
      <c r="Z329" s="10">
        <f>IF(N329&lt;=1,7,7+0.8*ROUNDUP(N329-1,0))</f>
        <v>7</v>
      </c>
      <c r="AA329" s="11">
        <v>0</v>
      </c>
      <c r="AB329" s="11">
        <v>0</v>
      </c>
      <c r="AC329" s="11">
        <v>0</v>
      </c>
      <c r="AD329" s="11">
        <v>0</v>
      </c>
      <c r="AE329" s="11">
        <f>(Z329+AB329+AD329)*6%</f>
        <v>0.42</v>
      </c>
      <c r="AF329" s="11">
        <f>Z329+AB329+AD329+AE329</f>
        <v>7.42</v>
      </c>
      <c r="AG329" t="s">
        <v>43</v>
      </c>
    </row>
    <row r="330" spans="1:33" ht="15" customHeight="1" x14ac:dyDescent="0.35">
      <c r="A330">
        <v>690929</v>
      </c>
      <c r="B330" t="s">
        <v>33</v>
      </c>
      <c r="C330" t="s">
        <v>34</v>
      </c>
      <c r="D330" s="6" t="s">
        <v>33</v>
      </c>
      <c r="E330" t="s">
        <v>1060</v>
      </c>
      <c r="F330" t="s">
        <v>36</v>
      </c>
      <c r="G330" t="s">
        <v>37</v>
      </c>
      <c r="H330" t="s">
        <v>1061</v>
      </c>
      <c r="I330" t="s">
        <v>39</v>
      </c>
      <c r="J330">
        <v>2</v>
      </c>
      <c r="K330" t="s">
        <v>40</v>
      </c>
      <c r="L330" t="s">
        <v>41</v>
      </c>
      <c r="M330" t="s">
        <v>42</v>
      </c>
      <c r="N330" s="7">
        <v>1</v>
      </c>
      <c r="O330" s="8">
        <v>45116.547673611109</v>
      </c>
      <c r="P330" s="9">
        <v>45117</v>
      </c>
      <c r="Q330" t="s">
        <v>36</v>
      </c>
      <c r="R330" t="s">
        <v>43</v>
      </c>
      <c r="S330" t="s">
        <v>44</v>
      </c>
      <c r="T330" t="s">
        <v>89</v>
      </c>
      <c r="U330" t="s">
        <v>1062</v>
      </c>
      <c r="V330">
        <v>27060</v>
      </c>
      <c r="W330" t="s">
        <v>43</v>
      </c>
      <c r="X330" t="s">
        <v>44</v>
      </c>
      <c r="Y330" t="s">
        <v>48</v>
      </c>
      <c r="Z330" s="10">
        <f>IF(N330&lt;=1,7,7+0.8*ROUNDUP(N330-1,0))</f>
        <v>7</v>
      </c>
      <c r="AA330" s="11">
        <v>0</v>
      </c>
      <c r="AB330" s="11">
        <v>0</v>
      </c>
      <c r="AC330" s="11">
        <v>0</v>
      </c>
      <c r="AD330" s="11">
        <v>0</v>
      </c>
      <c r="AE330" s="11">
        <f>(Z330+AB330+AD330)*6%</f>
        <v>0.42</v>
      </c>
      <c r="AF330" s="11">
        <f>Z330+AB330+AD330+AE330</f>
        <v>7.42</v>
      </c>
      <c r="AG330" t="s">
        <v>43</v>
      </c>
    </row>
    <row r="331" spans="1:33" ht="15" customHeight="1" x14ac:dyDescent="0.35">
      <c r="A331">
        <v>690929</v>
      </c>
      <c r="B331" t="s">
        <v>33</v>
      </c>
      <c r="C331" t="s">
        <v>34</v>
      </c>
      <c r="D331" s="6" t="s">
        <v>33</v>
      </c>
      <c r="E331" t="s">
        <v>1063</v>
      </c>
      <c r="F331" t="s">
        <v>36</v>
      </c>
      <c r="G331" t="s">
        <v>37</v>
      </c>
      <c r="H331" t="s">
        <v>1064</v>
      </c>
      <c r="I331" t="s">
        <v>39</v>
      </c>
      <c r="J331">
        <v>2</v>
      </c>
      <c r="K331" t="s">
        <v>40</v>
      </c>
      <c r="L331" t="s">
        <v>41</v>
      </c>
      <c r="M331" t="s">
        <v>42</v>
      </c>
      <c r="N331" s="7">
        <v>1</v>
      </c>
      <c r="O331" s="8">
        <v>45115.739166666666</v>
      </c>
      <c r="P331" s="9">
        <v>45117</v>
      </c>
      <c r="Q331" t="s">
        <v>36</v>
      </c>
      <c r="R331" t="s">
        <v>43</v>
      </c>
      <c r="S331" t="s">
        <v>44</v>
      </c>
      <c r="T331" t="s">
        <v>57</v>
      </c>
      <c r="U331" t="s">
        <v>1065</v>
      </c>
      <c r="V331">
        <v>43000</v>
      </c>
      <c r="W331" t="s">
        <v>43</v>
      </c>
      <c r="X331" t="s">
        <v>180</v>
      </c>
      <c r="Y331" t="s">
        <v>48</v>
      </c>
      <c r="Z331" s="10">
        <f>IF(N331&lt;=1,7,7+0.8*ROUNDUP(N331-1,0))</f>
        <v>7</v>
      </c>
      <c r="AA331" s="11">
        <v>0</v>
      </c>
      <c r="AB331" s="11">
        <v>0</v>
      </c>
      <c r="AC331" s="11">
        <v>0</v>
      </c>
      <c r="AD331" s="11">
        <v>0</v>
      </c>
      <c r="AE331" s="11">
        <f>(Z331+AB331+AD331)*6%</f>
        <v>0.42</v>
      </c>
      <c r="AF331" s="11">
        <f>Z331+AB331+AD331+AE331</f>
        <v>7.42</v>
      </c>
      <c r="AG331" t="s">
        <v>43</v>
      </c>
    </row>
    <row r="332" spans="1:33" ht="15" customHeight="1" x14ac:dyDescent="0.35">
      <c r="A332">
        <v>690929</v>
      </c>
      <c r="B332" t="s">
        <v>33</v>
      </c>
      <c r="C332" t="s">
        <v>34</v>
      </c>
      <c r="D332" s="6" t="s">
        <v>33</v>
      </c>
      <c r="E332" t="s">
        <v>1066</v>
      </c>
      <c r="F332" t="s">
        <v>36</v>
      </c>
      <c r="G332" t="s">
        <v>37</v>
      </c>
      <c r="H332" t="s">
        <v>1067</v>
      </c>
      <c r="I332" t="s">
        <v>39</v>
      </c>
      <c r="J332">
        <v>2</v>
      </c>
      <c r="K332" t="s">
        <v>40</v>
      </c>
      <c r="L332" t="s">
        <v>41</v>
      </c>
      <c r="M332" t="s">
        <v>42</v>
      </c>
      <c r="N332" s="7">
        <v>1</v>
      </c>
      <c r="O332" s="8">
        <v>45116.641956018517</v>
      </c>
      <c r="P332" s="9">
        <v>45117</v>
      </c>
      <c r="Q332" t="s">
        <v>36</v>
      </c>
      <c r="R332" t="s">
        <v>43</v>
      </c>
      <c r="S332" t="s">
        <v>44</v>
      </c>
      <c r="T332" t="s">
        <v>109</v>
      </c>
      <c r="U332" t="s">
        <v>1068</v>
      </c>
      <c r="V332">
        <v>15350</v>
      </c>
      <c r="W332" t="s">
        <v>43</v>
      </c>
      <c r="X332" t="s">
        <v>44</v>
      </c>
      <c r="Y332" t="s">
        <v>48</v>
      </c>
      <c r="Z332" s="10">
        <f>IF(N332&lt;=1,7,7+0.8*ROUNDUP(N332-1,0))</f>
        <v>7</v>
      </c>
      <c r="AA332" s="11">
        <v>0</v>
      </c>
      <c r="AB332" s="11">
        <v>0</v>
      </c>
      <c r="AC332" s="11">
        <v>0</v>
      </c>
      <c r="AD332" s="11">
        <v>0</v>
      </c>
      <c r="AE332" s="11">
        <f>(Z332+AB332+AD332)*6%</f>
        <v>0.42</v>
      </c>
      <c r="AF332" s="11">
        <f>Z332+AB332+AD332+AE332</f>
        <v>7.42</v>
      </c>
      <c r="AG332" t="s">
        <v>43</v>
      </c>
    </row>
    <row r="333" spans="1:33" ht="15" customHeight="1" x14ac:dyDescent="0.35">
      <c r="A333">
        <v>690929</v>
      </c>
      <c r="B333" t="s">
        <v>33</v>
      </c>
      <c r="C333" t="s">
        <v>34</v>
      </c>
      <c r="D333" s="6" t="s">
        <v>33</v>
      </c>
      <c r="E333" t="s">
        <v>1069</v>
      </c>
      <c r="F333" t="s">
        <v>36</v>
      </c>
      <c r="G333" t="s">
        <v>37</v>
      </c>
      <c r="H333" t="s">
        <v>1070</v>
      </c>
      <c r="I333" t="s">
        <v>39</v>
      </c>
      <c r="J333">
        <v>2</v>
      </c>
      <c r="K333" t="s">
        <v>40</v>
      </c>
      <c r="L333" t="s">
        <v>41</v>
      </c>
      <c r="M333" t="s">
        <v>42</v>
      </c>
      <c r="N333" s="7">
        <v>1</v>
      </c>
      <c r="O333" s="8">
        <v>45116.467060185183</v>
      </c>
      <c r="P333" s="9">
        <v>45117</v>
      </c>
      <c r="Q333" t="s">
        <v>36</v>
      </c>
      <c r="R333" t="s">
        <v>43</v>
      </c>
      <c r="S333" t="s">
        <v>44</v>
      </c>
      <c r="T333" t="s">
        <v>66</v>
      </c>
      <c r="U333" t="s">
        <v>1071</v>
      </c>
      <c r="V333">
        <v>22300</v>
      </c>
      <c r="W333" t="s">
        <v>43</v>
      </c>
      <c r="X333" t="s">
        <v>1050</v>
      </c>
      <c r="Y333" t="s">
        <v>48</v>
      </c>
      <c r="Z333" s="10">
        <f>IF(N333&lt;=1,7,7+0.8*ROUNDUP(N333-1,0))</f>
        <v>7</v>
      </c>
      <c r="AA333" s="11">
        <v>0</v>
      </c>
      <c r="AB333" s="11">
        <v>0</v>
      </c>
      <c r="AC333" s="11">
        <v>0</v>
      </c>
      <c r="AD333" s="11">
        <v>0</v>
      </c>
      <c r="AE333" s="11">
        <f>(Z333+AB333+AD333)*6%</f>
        <v>0.42</v>
      </c>
      <c r="AF333" s="11">
        <f>Z333+AB333+AD333+AE333</f>
        <v>7.42</v>
      </c>
      <c r="AG333" t="s">
        <v>43</v>
      </c>
    </row>
    <row r="334" spans="1:33" ht="15" customHeight="1" x14ac:dyDescent="0.35">
      <c r="A334">
        <v>690929</v>
      </c>
      <c r="B334" t="s">
        <v>33</v>
      </c>
      <c r="C334" t="s">
        <v>34</v>
      </c>
      <c r="D334" s="6" t="s">
        <v>33</v>
      </c>
      <c r="E334" t="s">
        <v>1072</v>
      </c>
      <c r="F334" t="s">
        <v>36</v>
      </c>
      <c r="G334" t="s">
        <v>37</v>
      </c>
      <c r="H334" t="s">
        <v>156</v>
      </c>
      <c r="I334" t="s">
        <v>39</v>
      </c>
      <c r="J334">
        <v>2</v>
      </c>
      <c r="K334" t="s">
        <v>40</v>
      </c>
      <c r="L334" t="s">
        <v>41</v>
      </c>
      <c r="M334" t="s">
        <v>42</v>
      </c>
      <c r="N334" s="7">
        <v>1</v>
      </c>
      <c r="O334" s="8">
        <v>45116.547673611109</v>
      </c>
      <c r="P334" s="9">
        <v>45117</v>
      </c>
      <c r="Q334" t="s">
        <v>36</v>
      </c>
      <c r="R334" t="s">
        <v>43</v>
      </c>
      <c r="S334" t="s">
        <v>44</v>
      </c>
      <c r="T334" t="s">
        <v>57</v>
      </c>
      <c r="U334" t="s">
        <v>157</v>
      </c>
      <c r="V334">
        <v>68100</v>
      </c>
      <c r="W334" t="s">
        <v>43</v>
      </c>
      <c r="X334" t="s">
        <v>47</v>
      </c>
      <c r="Y334" t="s">
        <v>48</v>
      </c>
      <c r="Z334" s="10">
        <f>IF(N334&lt;=1,7,7+0.8*ROUNDUP(N334-1,0))</f>
        <v>7</v>
      </c>
      <c r="AA334" s="11">
        <v>0</v>
      </c>
      <c r="AB334" s="11">
        <v>0</v>
      </c>
      <c r="AC334" s="11">
        <v>0</v>
      </c>
      <c r="AD334" s="11">
        <v>0</v>
      </c>
      <c r="AE334" s="11">
        <f>(Z334+AB334+AD334)*6%</f>
        <v>0.42</v>
      </c>
      <c r="AF334" s="11">
        <f>Z334+AB334+AD334+AE334</f>
        <v>7.42</v>
      </c>
      <c r="AG334" t="s">
        <v>43</v>
      </c>
    </row>
    <row r="335" spans="1:33" ht="15" customHeight="1" x14ac:dyDescent="0.35">
      <c r="A335">
        <v>690929</v>
      </c>
      <c r="B335" t="s">
        <v>33</v>
      </c>
      <c r="C335" t="s">
        <v>34</v>
      </c>
      <c r="D335" s="6" t="s">
        <v>33</v>
      </c>
      <c r="E335" t="s">
        <v>1073</v>
      </c>
      <c r="F335" t="s">
        <v>36</v>
      </c>
      <c r="G335" t="s">
        <v>37</v>
      </c>
      <c r="H335" t="s">
        <v>1074</v>
      </c>
      <c r="I335" t="s">
        <v>39</v>
      </c>
      <c r="J335">
        <v>2</v>
      </c>
      <c r="K335" t="s">
        <v>40</v>
      </c>
      <c r="L335" t="s">
        <v>41</v>
      </c>
      <c r="M335" t="s">
        <v>42</v>
      </c>
      <c r="N335" s="7">
        <v>1</v>
      </c>
      <c r="O335" s="8">
        <v>45110.776689814818</v>
      </c>
      <c r="P335" s="9">
        <v>45117</v>
      </c>
      <c r="Q335" t="s">
        <v>36</v>
      </c>
      <c r="R335" t="s">
        <v>43</v>
      </c>
      <c r="S335" t="s">
        <v>44</v>
      </c>
      <c r="T335" t="s">
        <v>403</v>
      </c>
      <c r="U335" t="s">
        <v>1075</v>
      </c>
      <c r="V335">
        <v>98700</v>
      </c>
      <c r="W335" t="s">
        <v>172</v>
      </c>
      <c r="X335" t="s">
        <v>405</v>
      </c>
      <c r="Y335" t="s">
        <v>48</v>
      </c>
      <c r="Z335" s="12">
        <f>IF(N335&lt;=1,13,IF(N335&lt;=2,23,IF(N335&lt;=3,35,IF(N335&lt;=4,43,IF(N335&lt;=5,53,IF(N335&lt;=6,63,IF(N335&lt;=7,71,IF(N335&lt;=8,79,IF(N335&lt;=9,87,IF(N335&lt;=10,95,IF(N335&lt;=11,105,IF(N335&lt;=12,114,IF(N335&lt;=13,119,IF(N335&lt;=14,127,IF(N335&lt;=15,135,IF(N335&lt;=16,143,IF(N335&lt;=17,153,IF(N335&lt;=18,163,IF(N335&lt;=19,171,IF(N335&lt;=20,185,IF(N335&lt;=21,193,IF(N335&lt;=22,201,IF(N335&lt;=23,210,IF(N335&lt;=24,220,IF(N335&lt;=25,230,IF(N335&lt;=26,240,IF(N335&lt;=27,250,IF(N335&lt;=28,260,IF(N335&lt;=29,270,IF(N335&lt;=30,280,280+10*ROUNDUP(N335-30,0)))))))))))))))))))))))))))))))</f>
        <v>13</v>
      </c>
      <c r="AA335" s="11">
        <v>0</v>
      </c>
      <c r="AB335" s="11">
        <v>0</v>
      </c>
      <c r="AC335" s="11">
        <v>0</v>
      </c>
      <c r="AD335" s="11">
        <v>0</v>
      </c>
      <c r="AE335" s="11">
        <f>(Z335+AB335+AD335)*6%</f>
        <v>0.78</v>
      </c>
      <c r="AF335" s="11">
        <f>Z335+AB335+AD335+AE335</f>
        <v>13.78</v>
      </c>
      <c r="AG335" t="s">
        <v>172</v>
      </c>
    </row>
    <row r="336" spans="1:33" ht="15" customHeight="1" x14ac:dyDescent="0.35">
      <c r="A336">
        <v>690929</v>
      </c>
      <c r="B336" t="s">
        <v>33</v>
      </c>
      <c r="C336" t="s">
        <v>34</v>
      </c>
      <c r="D336" s="6" t="s">
        <v>33</v>
      </c>
      <c r="E336" t="s">
        <v>1076</v>
      </c>
      <c r="F336" t="s">
        <v>36</v>
      </c>
      <c r="G336" t="s">
        <v>37</v>
      </c>
      <c r="H336" t="s">
        <v>1077</v>
      </c>
      <c r="I336" t="s">
        <v>39</v>
      </c>
      <c r="J336">
        <v>2</v>
      </c>
      <c r="K336" t="s">
        <v>40</v>
      </c>
      <c r="L336" t="s">
        <v>41</v>
      </c>
      <c r="M336" t="s">
        <v>42</v>
      </c>
      <c r="N336" s="7">
        <v>8</v>
      </c>
      <c r="O336" s="8">
        <v>45115.598900462966</v>
      </c>
      <c r="P336" s="9">
        <v>45117</v>
      </c>
      <c r="Q336" t="s">
        <v>36</v>
      </c>
      <c r="R336" t="s">
        <v>43</v>
      </c>
      <c r="S336" t="s">
        <v>44</v>
      </c>
      <c r="T336" t="s">
        <v>61</v>
      </c>
      <c r="U336" t="s">
        <v>1078</v>
      </c>
      <c r="V336">
        <v>81100</v>
      </c>
      <c r="W336" t="s">
        <v>43</v>
      </c>
      <c r="X336" t="s">
        <v>1079</v>
      </c>
      <c r="Y336" t="s">
        <v>48</v>
      </c>
      <c r="Z336" s="10">
        <f>IF(N336&lt;=1,7,7+0.8*ROUNDUP(N336-1,0))</f>
        <v>12.600000000000001</v>
      </c>
      <c r="AA336" s="11">
        <v>0</v>
      </c>
      <c r="AB336" s="11">
        <v>0</v>
      </c>
      <c r="AC336" s="11">
        <v>0</v>
      </c>
      <c r="AD336" s="11">
        <v>0</v>
      </c>
      <c r="AE336" s="11">
        <f>(Z336+AB336+AD336)*6%</f>
        <v>0.75600000000000001</v>
      </c>
      <c r="AF336" s="11">
        <f>Z336+AB336+AD336+AE336</f>
        <v>13.356000000000002</v>
      </c>
      <c r="AG336" t="s">
        <v>43</v>
      </c>
    </row>
    <row r="337" spans="1:33" ht="15" customHeight="1" x14ac:dyDescent="0.35">
      <c r="A337">
        <v>690929</v>
      </c>
      <c r="B337" t="s">
        <v>33</v>
      </c>
      <c r="C337" t="s">
        <v>34</v>
      </c>
      <c r="D337" s="6" t="s">
        <v>33</v>
      </c>
      <c r="E337" t="s">
        <v>1080</v>
      </c>
      <c r="F337" t="s">
        <v>36</v>
      </c>
      <c r="G337" t="s">
        <v>37</v>
      </c>
      <c r="H337" t="s">
        <v>1081</v>
      </c>
      <c r="I337" t="s">
        <v>39</v>
      </c>
      <c r="J337">
        <v>2</v>
      </c>
      <c r="K337" t="s">
        <v>40</v>
      </c>
      <c r="L337" t="s">
        <v>41</v>
      </c>
      <c r="M337" t="s">
        <v>42</v>
      </c>
      <c r="N337" s="7">
        <v>1</v>
      </c>
      <c r="O337" s="8">
        <v>45116.565000000002</v>
      </c>
      <c r="P337" s="9">
        <v>45117</v>
      </c>
      <c r="Q337" t="s">
        <v>36</v>
      </c>
      <c r="R337" t="s">
        <v>43</v>
      </c>
      <c r="S337" t="s">
        <v>44</v>
      </c>
      <c r="T337" t="s">
        <v>57</v>
      </c>
      <c r="U337" t="s">
        <v>1082</v>
      </c>
      <c r="V337">
        <v>56000</v>
      </c>
      <c r="W337" t="s">
        <v>43</v>
      </c>
      <c r="X337" t="s">
        <v>1083</v>
      </c>
      <c r="Y337" t="s">
        <v>48</v>
      </c>
      <c r="Z337" s="10">
        <f>IF(N337&lt;=1,7,7+0.8*ROUNDUP(N337-1,0))</f>
        <v>7</v>
      </c>
      <c r="AA337" s="11">
        <v>0</v>
      </c>
      <c r="AB337" s="11">
        <v>0</v>
      </c>
      <c r="AC337" s="11">
        <v>0</v>
      </c>
      <c r="AD337" s="11">
        <v>0</v>
      </c>
      <c r="AE337" s="11">
        <f>(Z337+AB337+AD337)*6%</f>
        <v>0.42</v>
      </c>
      <c r="AF337" s="11">
        <f>Z337+AB337+AD337+AE337</f>
        <v>7.42</v>
      </c>
      <c r="AG337" t="s">
        <v>43</v>
      </c>
    </row>
    <row r="338" spans="1:33" ht="15" customHeight="1" x14ac:dyDescent="0.35">
      <c r="A338">
        <v>690929</v>
      </c>
      <c r="B338" t="s">
        <v>33</v>
      </c>
      <c r="C338" t="s">
        <v>34</v>
      </c>
      <c r="D338" s="6" t="s">
        <v>33</v>
      </c>
      <c r="E338" t="s">
        <v>1084</v>
      </c>
      <c r="F338" t="s">
        <v>36</v>
      </c>
      <c r="G338" t="s">
        <v>37</v>
      </c>
      <c r="H338" t="s">
        <v>1085</v>
      </c>
      <c r="I338" t="s">
        <v>39</v>
      </c>
      <c r="J338">
        <v>2</v>
      </c>
      <c r="K338" t="s">
        <v>40</v>
      </c>
      <c r="L338" t="s">
        <v>41</v>
      </c>
      <c r="M338" t="s">
        <v>42</v>
      </c>
      <c r="N338" s="7">
        <v>1</v>
      </c>
      <c r="O338" s="8">
        <v>45115.717210648145</v>
      </c>
      <c r="P338" s="9">
        <v>45117</v>
      </c>
      <c r="Q338" t="s">
        <v>36</v>
      </c>
      <c r="R338" t="s">
        <v>43</v>
      </c>
      <c r="S338" t="s">
        <v>44</v>
      </c>
      <c r="T338" t="s">
        <v>51</v>
      </c>
      <c r="U338" t="s">
        <v>1086</v>
      </c>
      <c r="V338">
        <v>34400</v>
      </c>
      <c r="W338" t="s">
        <v>43</v>
      </c>
      <c r="X338" t="s">
        <v>1087</v>
      </c>
      <c r="Y338" t="s">
        <v>48</v>
      </c>
      <c r="Z338" s="10">
        <f>IF(N338&lt;=1,7,7+0.8*ROUNDUP(N338-1,0))</f>
        <v>7</v>
      </c>
      <c r="AA338" s="11">
        <v>0</v>
      </c>
      <c r="AB338" s="11">
        <v>0</v>
      </c>
      <c r="AC338" s="11">
        <v>0</v>
      </c>
      <c r="AD338" s="11">
        <v>0</v>
      </c>
      <c r="AE338" s="11">
        <f>(Z338+AB338+AD338)*6%</f>
        <v>0.42</v>
      </c>
      <c r="AF338" s="11">
        <f>Z338+AB338+AD338+AE338</f>
        <v>7.42</v>
      </c>
      <c r="AG338" t="s">
        <v>43</v>
      </c>
    </row>
    <row r="339" spans="1:33" ht="15" customHeight="1" x14ac:dyDescent="0.35">
      <c r="A339">
        <v>690929</v>
      </c>
      <c r="B339" t="s">
        <v>33</v>
      </c>
      <c r="C339" t="s">
        <v>34</v>
      </c>
      <c r="D339" s="6" t="s">
        <v>33</v>
      </c>
      <c r="E339" t="s">
        <v>1088</v>
      </c>
      <c r="F339" t="s">
        <v>36</v>
      </c>
      <c r="G339" t="s">
        <v>37</v>
      </c>
      <c r="H339" t="s">
        <v>1089</v>
      </c>
      <c r="I339" t="s">
        <v>39</v>
      </c>
      <c r="J339">
        <v>2</v>
      </c>
      <c r="K339" t="s">
        <v>40</v>
      </c>
      <c r="L339" t="s">
        <v>41</v>
      </c>
      <c r="M339" t="s">
        <v>42</v>
      </c>
      <c r="N339" s="7">
        <v>1</v>
      </c>
      <c r="O339" s="8">
        <v>45115.614722222221</v>
      </c>
      <c r="P339" s="9">
        <v>45117</v>
      </c>
      <c r="Q339" t="s">
        <v>36</v>
      </c>
      <c r="R339" t="s">
        <v>43</v>
      </c>
      <c r="S339" t="s">
        <v>44</v>
      </c>
      <c r="T339" t="s">
        <v>75</v>
      </c>
      <c r="U339" t="s">
        <v>1090</v>
      </c>
      <c r="V339">
        <v>51100</v>
      </c>
      <c r="W339" t="s">
        <v>43</v>
      </c>
      <c r="X339" t="s">
        <v>94</v>
      </c>
      <c r="Y339" t="s">
        <v>48</v>
      </c>
      <c r="Z339" s="10">
        <f>IF(N339&lt;=1,7,7+0.8*ROUNDUP(N339-1,0))</f>
        <v>7</v>
      </c>
      <c r="AA339" s="11">
        <v>0</v>
      </c>
      <c r="AB339" s="11">
        <v>0</v>
      </c>
      <c r="AC339" s="11">
        <v>0</v>
      </c>
      <c r="AD339" s="11">
        <v>0</v>
      </c>
      <c r="AE339" s="11">
        <f>(Z339+AB339+AD339)*6%</f>
        <v>0.42</v>
      </c>
      <c r="AF339" s="11">
        <f>Z339+AB339+AD339+AE339</f>
        <v>7.42</v>
      </c>
      <c r="AG339" t="s">
        <v>43</v>
      </c>
    </row>
    <row r="340" spans="1:33" ht="15" customHeight="1" x14ac:dyDescent="0.35">
      <c r="A340">
        <v>690929</v>
      </c>
      <c r="B340" t="s">
        <v>33</v>
      </c>
      <c r="C340" t="s">
        <v>34</v>
      </c>
      <c r="D340" s="6" t="s">
        <v>33</v>
      </c>
      <c r="E340" t="s">
        <v>1091</v>
      </c>
      <c r="F340" t="s">
        <v>36</v>
      </c>
      <c r="G340" t="s">
        <v>37</v>
      </c>
      <c r="H340" t="s">
        <v>1092</v>
      </c>
      <c r="I340" t="s">
        <v>39</v>
      </c>
      <c r="J340">
        <v>2</v>
      </c>
      <c r="K340" t="s">
        <v>40</v>
      </c>
      <c r="L340" t="s">
        <v>41</v>
      </c>
      <c r="M340" t="s">
        <v>42</v>
      </c>
      <c r="N340" s="7">
        <v>2</v>
      </c>
      <c r="O340" s="8">
        <v>45116.547858796293</v>
      </c>
      <c r="P340" s="9">
        <v>45117</v>
      </c>
      <c r="Q340" t="s">
        <v>36</v>
      </c>
      <c r="R340" t="s">
        <v>43</v>
      </c>
      <c r="S340" t="s">
        <v>44</v>
      </c>
      <c r="T340" t="s">
        <v>57</v>
      </c>
      <c r="U340" t="s">
        <v>1093</v>
      </c>
      <c r="V340">
        <v>45800</v>
      </c>
      <c r="W340" t="s">
        <v>43</v>
      </c>
      <c r="X340" t="s">
        <v>1094</v>
      </c>
      <c r="Y340" t="s">
        <v>48</v>
      </c>
      <c r="Z340" s="10">
        <f>IF(N340&lt;=1,7,7+0.8*ROUNDUP(N340-1,0))</f>
        <v>7.8</v>
      </c>
      <c r="AA340" s="11">
        <v>0</v>
      </c>
      <c r="AB340" s="11">
        <v>0</v>
      </c>
      <c r="AC340" s="11">
        <v>0</v>
      </c>
      <c r="AD340" s="11">
        <v>0</v>
      </c>
      <c r="AE340" s="11">
        <f>(Z340+AB340+AD340)*6%</f>
        <v>0.46799999999999997</v>
      </c>
      <c r="AF340" s="11">
        <f>Z340+AB340+AD340+AE340</f>
        <v>8.2680000000000007</v>
      </c>
      <c r="AG340" t="s">
        <v>43</v>
      </c>
    </row>
    <row r="341" spans="1:33" ht="15" customHeight="1" x14ac:dyDescent="0.35">
      <c r="A341">
        <v>690929</v>
      </c>
      <c r="B341" t="s">
        <v>33</v>
      </c>
      <c r="C341" t="s">
        <v>34</v>
      </c>
      <c r="D341" s="6" t="s">
        <v>33</v>
      </c>
      <c r="E341" t="s">
        <v>1095</v>
      </c>
      <c r="F341" t="s">
        <v>36</v>
      </c>
      <c r="G341" t="s">
        <v>37</v>
      </c>
      <c r="H341" t="s">
        <v>1096</v>
      </c>
      <c r="I341" t="s">
        <v>39</v>
      </c>
      <c r="J341">
        <v>2</v>
      </c>
      <c r="K341" t="s">
        <v>40</v>
      </c>
      <c r="L341" t="s">
        <v>41</v>
      </c>
      <c r="M341" t="s">
        <v>42</v>
      </c>
      <c r="N341" s="7">
        <v>1</v>
      </c>
      <c r="O341" s="8">
        <v>45116.606678240743</v>
      </c>
      <c r="P341" s="9">
        <v>45117</v>
      </c>
      <c r="Q341" t="s">
        <v>36</v>
      </c>
      <c r="R341" t="s">
        <v>43</v>
      </c>
      <c r="S341" t="s">
        <v>44</v>
      </c>
      <c r="T341" t="s">
        <v>75</v>
      </c>
      <c r="U341" t="s">
        <v>1097</v>
      </c>
      <c r="V341">
        <v>47400</v>
      </c>
      <c r="W341" t="s">
        <v>43</v>
      </c>
      <c r="X341" t="s">
        <v>47</v>
      </c>
      <c r="Y341" t="s">
        <v>48</v>
      </c>
      <c r="Z341" s="10">
        <f>IF(N341&lt;=1,7,7+0.8*ROUNDUP(N341-1,0))</f>
        <v>7</v>
      </c>
      <c r="AA341" s="11">
        <v>0</v>
      </c>
      <c r="AB341" s="11">
        <v>0</v>
      </c>
      <c r="AC341" s="11">
        <v>0</v>
      </c>
      <c r="AD341" s="11">
        <v>0</v>
      </c>
      <c r="AE341" s="11">
        <f>(Z341+AB341+AD341)*6%</f>
        <v>0.42</v>
      </c>
      <c r="AF341" s="11">
        <f>Z341+AB341+AD341+AE341</f>
        <v>7.42</v>
      </c>
      <c r="AG341" t="s">
        <v>43</v>
      </c>
    </row>
    <row r="342" spans="1:33" ht="15" customHeight="1" x14ac:dyDescent="0.35">
      <c r="A342">
        <v>690929</v>
      </c>
      <c r="B342" t="s">
        <v>33</v>
      </c>
      <c r="C342" t="s">
        <v>34</v>
      </c>
      <c r="D342" s="6" t="s">
        <v>33</v>
      </c>
      <c r="E342" t="s">
        <v>1098</v>
      </c>
      <c r="F342" t="s">
        <v>36</v>
      </c>
      <c r="G342" t="s">
        <v>37</v>
      </c>
      <c r="H342" t="s">
        <v>1099</v>
      </c>
      <c r="I342" t="s">
        <v>39</v>
      </c>
      <c r="J342">
        <v>2</v>
      </c>
      <c r="K342" t="s">
        <v>40</v>
      </c>
      <c r="L342" t="s">
        <v>41</v>
      </c>
      <c r="M342" t="s">
        <v>42</v>
      </c>
      <c r="N342" s="7">
        <v>1</v>
      </c>
      <c r="O342" s="8">
        <v>45116.442685185182</v>
      </c>
      <c r="P342" s="9">
        <v>45117</v>
      </c>
      <c r="Q342" t="s">
        <v>36</v>
      </c>
      <c r="R342" t="s">
        <v>43</v>
      </c>
      <c r="S342" t="s">
        <v>44</v>
      </c>
      <c r="T342" t="s">
        <v>57</v>
      </c>
      <c r="U342" t="s">
        <v>1100</v>
      </c>
      <c r="V342">
        <v>43000</v>
      </c>
      <c r="W342" t="s">
        <v>43</v>
      </c>
      <c r="X342" t="s">
        <v>47</v>
      </c>
      <c r="Y342" t="s">
        <v>48</v>
      </c>
      <c r="Z342" s="10">
        <f>IF(N342&lt;=1,7,7+0.8*ROUNDUP(N342-1,0))</f>
        <v>7</v>
      </c>
      <c r="AA342" s="11">
        <v>0</v>
      </c>
      <c r="AB342" s="11">
        <v>0</v>
      </c>
      <c r="AC342" s="11">
        <v>0</v>
      </c>
      <c r="AD342" s="11">
        <v>0</v>
      </c>
      <c r="AE342" s="11">
        <f>(Z342+AB342+AD342)*6%</f>
        <v>0.42</v>
      </c>
      <c r="AF342" s="11">
        <f>Z342+AB342+AD342+AE342</f>
        <v>7.42</v>
      </c>
      <c r="AG342" t="s">
        <v>43</v>
      </c>
    </row>
    <row r="343" spans="1:33" ht="15" customHeight="1" x14ac:dyDescent="0.35">
      <c r="A343">
        <v>690929</v>
      </c>
      <c r="B343" t="s">
        <v>33</v>
      </c>
      <c r="C343" t="s">
        <v>34</v>
      </c>
      <c r="D343" s="6" t="s">
        <v>33</v>
      </c>
      <c r="E343" t="s">
        <v>1101</v>
      </c>
      <c r="F343" t="s">
        <v>36</v>
      </c>
      <c r="G343" t="s">
        <v>37</v>
      </c>
      <c r="H343" t="s">
        <v>1102</v>
      </c>
      <c r="I343" t="s">
        <v>39</v>
      </c>
      <c r="J343">
        <v>2</v>
      </c>
      <c r="K343" t="s">
        <v>40</v>
      </c>
      <c r="L343" t="s">
        <v>41</v>
      </c>
      <c r="M343" t="s">
        <v>42</v>
      </c>
      <c r="N343" s="7">
        <v>1</v>
      </c>
      <c r="O343" s="8">
        <v>45116.693055555559</v>
      </c>
      <c r="P343" s="9">
        <v>45117</v>
      </c>
      <c r="Q343" t="s">
        <v>36</v>
      </c>
      <c r="R343" t="s">
        <v>43</v>
      </c>
      <c r="S343" t="s">
        <v>44</v>
      </c>
      <c r="T343" t="s">
        <v>57</v>
      </c>
      <c r="U343" t="s">
        <v>1103</v>
      </c>
      <c r="V343">
        <v>43950</v>
      </c>
      <c r="W343" t="s">
        <v>43</v>
      </c>
      <c r="X343" t="s">
        <v>1104</v>
      </c>
      <c r="Y343" t="s">
        <v>48</v>
      </c>
      <c r="Z343" s="10">
        <f>IF(N343&lt;=1,7,7+0.8*ROUNDUP(N343-1,0))</f>
        <v>7</v>
      </c>
      <c r="AA343" s="11">
        <v>0</v>
      </c>
      <c r="AB343" s="11">
        <v>0</v>
      </c>
      <c r="AC343" s="11">
        <v>0</v>
      </c>
      <c r="AD343" s="11">
        <v>0</v>
      </c>
      <c r="AE343" s="11">
        <f>(Z343+AB343+AD343)*6%</f>
        <v>0.42</v>
      </c>
      <c r="AF343" s="11">
        <f>Z343+AB343+AD343+AE343</f>
        <v>7.42</v>
      </c>
      <c r="AG343" t="s">
        <v>43</v>
      </c>
    </row>
    <row r="344" spans="1:33" ht="15" customHeight="1" x14ac:dyDescent="0.35">
      <c r="A344">
        <v>690929</v>
      </c>
      <c r="B344" t="s">
        <v>33</v>
      </c>
      <c r="C344" t="s">
        <v>34</v>
      </c>
      <c r="D344" s="6" t="s">
        <v>33</v>
      </c>
      <c r="E344" t="s">
        <v>1105</v>
      </c>
      <c r="F344" t="s">
        <v>36</v>
      </c>
      <c r="G344" t="s">
        <v>37</v>
      </c>
      <c r="H344" t="s">
        <v>1106</v>
      </c>
      <c r="I344" t="s">
        <v>39</v>
      </c>
      <c r="J344">
        <v>2</v>
      </c>
      <c r="K344" t="s">
        <v>40</v>
      </c>
      <c r="L344" t="s">
        <v>41</v>
      </c>
      <c r="M344" t="s">
        <v>42</v>
      </c>
      <c r="N344" s="7">
        <v>1</v>
      </c>
      <c r="O344" s="8">
        <v>45116.547673611109</v>
      </c>
      <c r="P344" s="9">
        <v>45117</v>
      </c>
      <c r="Q344" t="s">
        <v>36</v>
      </c>
      <c r="R344" t="s">
        <v>43</v>
      </c>
      <c r="S344" t="s">
        <v>44</v>
      </c>
      <c r="T344" t="s">
        <v>57</v>
      </c>
      <c r="U344" t="s">
        <v>1107</v>
      </c>
      <c r="V344">
        <v>68100</v>
      </c>
      <c r="W344" t="s">
        <v>43</v>
      </c>
      <c r="X344" t="s">
        <v>47</v>
      </c>
      <c r="Y344" t="s">
        <v>48</v>
      </c>
      <c r="Z344" s="10">
        <f>IF(N344&lt;=1,7,7+0.8*ROUNDUP(N344-1,0))</f>
        <v>7</v>
      </c>
      <c r="AA344" s="11">
        <v>0</v>
      </c>
      <c r="AB344" s="11">
        <v>0</v>
      </c>
      <c r="AC344" s="11">
        <v>0</v>
      </c>
      <c r="AD344" s="11">
        <v>0</v>
      </c>
      <c r="AE344" s="11">
        <f>(Z344+AB344+AD344)*6%</f>
        <v>0.42</v>
      </c>
      <c r="AF344" s="11">
        <f>Z344+AB344+AD344+AE344</f>
        <v>7.42</v>
      </c>
      <c r="AG344" t="s">
        <v>43</v>
      </c>
    </row>
    <row r="345" spans="1:33" ht="15" customHeight="1" x14ac:dyDescent="0.35">
      <c r="A345">
        <v>690929</v>
      </c>
      <c r="B345" t="s">
        <v>33</v>
      </c>
      <c r="C345" t="s">
        <v>34</v>
      </c>
      <c r="D345" s="6" t="s">
        <v>33</v>
      </c>
      <c r="E345" t="s">
        <v>1108</v>
      </c>
      <c r="F345" t="s">
        <v>36</v>
      </c>
      <c r="G345" t="s">
        <v>37</v>
      </c>
      <c r="H345" t="s">
        <v>1109</v>
      </c>
      <c r="I345" t="s">
        <v>39</v>
      </c>
      <c r="J345">
        <v>2</v>
      </c>
      <c r="K345" t="s">
        <v>40</v>
      </c>
      <c r="L345" t="s">
        <v>41</v>
      </c>
      <c r="M345" t="s">
        <v>42</v>
      </c>
      <c r="N345" s="7">
        <v>2</v>
      </c>
      <c r="O345" s="8">
        <v>45113.627013888887</v>
      </c>
      <c r="P345" s="9">
        <v>45117</v>
      </c>
      <c r="Q345" t="s">
        <v>36</v>
      </c>
      <c r="R345" t="s">
        <v>43</v>
      </c>
      <c r="S345" t="s">
        <v>44</v>
      </c>
      <c r="T345" t="s">
        <v>170</v>
      </c>
      <c r="U345" t="s">
        <v>1110</v>
      </c>
      <c r="V345">
        <v>88200</v>
      </c>
      <c r="W345" t="s">
        <v>172</v>
      </c>
      <c r="X345" t="s">
        <v>1111</v>
      </c>
      <c r="Y345" t="s">
        <v>48</v>
      </c>
      <c r="Z345" s="12">
        <f>IF(N345&lt;=1,13,IF(N345&lt;=2,23,IF(N345&lt;=3,35,IF(N345&lt;=4,43,IF(N345&lt;=5,53,IF(N345&lt;=6,63,IF(N345&lt;=7,71,IF(N345&lt;=8,79,IF(N345&lt;=9,87,IF(N345&lt;=10,95,IF(N345&lt;=11,105,IF(N345&lt;=12,114,IF(N345&lt;=13,119,IF(N345&lt;=14,127,IF(N345&lt;=15,135,IF(N345&lt;=16,143,IF(N345&lt;=17,153,IF(N345&lt;=18,163,IF(N345&lt;=19,171,IF(N345&lt;=20,185,IF(N345&lt;=21,193,IF(N345&lt;=22,201,IF(N345&lt;=23,210,IF(N345&lt;=24,220,IF(N345&lt;=25,230,IF(N345&lt;=26,240,IF(N345&lt;=27,250,IF(N345&lt;=28,260,IF(N345&lt;=29,270,IF(N345&lt;=30,280,280+10*ROUNDUP(N345-30,0)))))))))))))))))))))))))))))))</f>
        <v>23</v>
      </c>
      <c r="AA345" s="11">
        <v>0</v>
      </c>
      <c r="AB345" s="11">
        <v>0</v>
      </c>
      <c r="AC345" s="11">
        <v>0</v>
      </c>
      <c r="AD345" s="11">
        <v>0</v>
      </c>
      <c r="AE345" s="11">
        <f>(Z345+AB345+AD345)*6%</f>
        <v>1.38</v>
      </c>
      <c r="AF345" s="11">
        <f>Z345+AB345+AD345+AE345</f>
        <v>24.38</v>
      </c>
      <c r="AG345" t="s">
        <v>172</v>
      </c>
    </row>
    <row r="346" spans="1:33" ht="15" customHeight="1" x14ac:dyDescent="0.35">
      <c r="A346">
        <v>690929</v>
      </c>
      <c r="B346" t="s">
        <v>33</v>
      </c>
      <c r="C346" t="s">
        <v>34</v>
      </c>
      <c r="D346" s="6" t="s">
        <v>33</v>
      </c>
      <c r="E346" t="s">
        <v>1112</v>
      </c>
      <c r="F346" t="s">
        <v>36</v>
      </c>
      <c r="G346" t="s">
        <v>37</v>
      </c>
      <c r="H346" t="s">
        <v>1113</v>
      </c>
      <c r="I346" t="s">
        <v>39</v>
      </c>
      <c r="J346">
        <v>2</v>
      </c>
      <c r="K346" t="s">
        <v>40</v>
      </c>
      <c r="L346" t="s">
        <v>41</v>
      </c>
      <c r="M346" t="s">
        <v>42</v>
      </c>
      <c r="N346" s="7">
        <v>1</v>
      </c>
      <c r="O346" s="8">
        <v>45116.642152777778</v>
      </c>
      <c r="P346" s="9">
        <v>45117</v>
      </c>
      <c r="Q346" t="s">
        <v>36</v>
      </c>
      <c r="R346" t="s">
        <v>43</v>
      </c>
      <c r="S346" t="s">
        <v>44</v>
      </c>
      <c r="T346" t="s">
        <v>89</v>
      </c>
      <c r="U346" t="s">
        <v>1114</v>
      </c>
      <c r="V346">
        <v>28000</v>
      </c>
      <c r="W346" t="s">
        <v>43</v>
      </c>
      <c r="X346" t="s">
        <v>44</v>
      </c>
      <c r="Y346" t="s">
        <v>48</v>
      </c>
      <c r="Z346" s="10">
        <f>IF(N346&lt;=1,7,7+0.8*ROUNDUP(N346-1,0))</f>
        <v>7</v>
      </c>
      <c r="AA346" s="11">
        <v>0</v>
      </c>
      <c r="AB346" s="11">
        <v>0</v>
      </c>
      <c r="AC346" s="11">
        <v>0</v>
      </c>
      <c r="AD346" s="11">
        <v>0</v>
      </c>
      <c r="AE346" s="11">
        <f>(Z346+AB346+AD346)*6%</f>
        <v>0.42</v>
      </c>
      <c r="AF346" s="11">
        <f>Z346+AB346+AD346+AE346</f>
        <v>7.42</v>
      </c>
      <c r="AG346" t="s">
        <v>43</v>
      </c>
    </row>
    <row r="347" spans="1:33" ht="15" customHeight="1" x14ac:dyDescent="0.35">
      <c r="A347">
        <v>690929</v>
      </c>
      <c r="B347" t="s">
        <v>33</v>
      </c>
      <c r="C347" t="s">
        <v>34</v>
      </c>
      <c r="D347" s="6" t="s">
        <v>33</v>
      </c>
      <c r="E347" t="s">
        <v>1115</v>
      </c>
      <c r="F347" t="s">
        <v>36</v>
      </c>
      <c r="G347" t="s">
        <v>37</v>
      </c>
      <c r="H347" t="s">
        <v>1116</v>
      </c>
      <c r="I347" t="s">
        <v>39</v>
      </c>
      <c r="J347">
        <v>2</v>
      </c>
      <c r="K347" t="s">
        <v>40</v>
      </c>
      <c r="L347" t="s">
        <v>41</v>
      </c>
      <c r="M347" t="s">
        <v>42</v>
      </c>
      <c r="N347" s="7">
        <v>4</v>
      </c>
      <c r="O347" s="8">
        <v>45115.598900462966</v>
      </c>
      <c r="P347" s="9">
        <v>45117</v>
      </c>
      <c r="Q347" t="s">
        <v>36</v>
      </c>
      <c r="R347" t="s">
        <v>43</v>
      </c>
      <c r="S347" t="s">
        <v>44</v>
      </c>
      <c r="T347" t="s">
        <v>51</v>
      </c>
      <c r="U347" t="s">
        <v>1117</v>
      </c>
      <c r="V347">
        <v>32610</v>
      </c>
      <c r="W347" t="s">
        <v>43</v>
      </c>
      <c r="X347" t="s">
        <v>815</v>
      </c>
      <c r="Y347" t="s">
        <v>48</v>
      </c>
      <c r="Z347" s="10">
        <f>IF(N347&lt;=1,7,7+0.8*ROUNDUP(N347-1,0))</f>
        <v>9.4</v>
      </c>
      <c r="AA347" s="11">
        <v>0</v>
      </c>
      <c r="AB347" s="11">
        <v>0</v>
      </c>
      <c r="AC347" s="11">
        <v>0</v>
      </c>
      <c r="AD347" s="11">
        <v>0</v>
      </c>
      <c r="AE347" s="11">
        <f>(Z347+AB347+AD347)*6%</f>
        <v>0.56399999999999995</v>
      </c>
      <c r="AF347" s="11">
        <f>Z347+AB347+AD347+AE347</f>
        <v>9.9640000000000004</v>
      </c>
      <c r="AG347" t="s">
        <v>43</v>
      </c>
    </row>
    <row r="348" spans="1:33" ht="15" customHeight="1" x14ac:dyDescent="0.35">
      <c r="A348">
        <v>690929</v>
      </c>
      <c r="B348" t="s">
        <v>33</v>
      </c>
      <c r="C348" t="s">
        <v>34</v>
      </c>
      <c r="D348" s="6" t="s">
        <v>33</v>
      </c>
      <c r="E348" t="s">
        <v>1118</v>
      </c>
      <c r="F348" t="s">
        <v>36</v>
      </c>
      <c r="G348" t="s">
        <v>37</v>
      </c>
      <c r="H348" t="s">
        <v>1119</v>
      </c>
      <c r="I348" t="s">
        <v>39</v>
      </c>
      <c r="J348">
        <v>2</v>
      </c>
      <c r="K348" t="s">
        <v>40</v>
      </c>
      <c r="L348" t="s">
        <v>41</v>
      </c>
      <c r="M348" t="s">
        <v>42</v>
      </c>
      <c r="N348" s="7">
        <v>1</v>
      </c>
      <c r="O348" s="8">
        <v>45111.665937500002</v>
      </c>
      <c r="P348" s="9">
        <v>45118</v>
      </c>
      <c r="Q348" t="s">
        <v>36</v>
      </c>
      <c r="R348" t="s">
        <v>43</v>
      </c>
      <c r="S348" t="s">
        <v>44</v>
      </c>
      <c r="T348" t="s">
        <v>403</v>
      </c>
      <c r="U348" t="s">
        <v>1120</v>
      </c>
      <c r="V348">
        <v>96850</v>
      </c>
      <c r="W348" t="s">
        <v>172</v>
      </c>
      <c r="X348" t="s">
        <v>47</v>
      </c>
      <c r="Y348" t="s">
        <v>48</v>
      </c>
      <c r="Z348" s="12">
        <f>IF(N348&lt;=1,13,IF(N348&lt;=2,23,IF(N348&lt;=3,35,IF(N348&lt;=4,43,IF(N348&lt;=5,53,IF(N348&lt;=6,63,IF(N348&lt;=7,71,IF(N348&lt;=8,79,IF(N348&lt;=9,87,IF(N348&lt;=10,95,IF(N348&lt;=11,105,IF(N348&lt;=12,114,IF(N348&lt;=13,119,IF(N348&lt;=14,127,IF(N348&lt;=15,135,IF(N348&lt;=16,143,IF(N348&lt;=17,153,IF(N348&lt;=18,163,IF(N348&lt;=19,171,IF(N348&lt;=20,185,IF(N348&lt;=21,193,IF(N348&lt;=22,201,IF(N348&lt;=23,210,IF(N348&lt;=24,220,IF(N348&lt;=25,230,IF(N348&lt;=26,240,IF(N348&lt;=27,250,IF(N348&lt;=28,260,IF(N348&lt;=29,270,IF(N348&lt;=30,280,280+10*ROUNDUP(N348-30,0)))))))))))))))))))))))))))))))</f>
        <v>13</v>
      </c>
      <c r="AA348" s="11">
        <v>0</v>
      </c>
      <c r="AB348" s="11">
        <v>0</v>
      </c>
      <c r="AC348" s="11">
        <v>0</v>
      </c>
      <c r="AD348" s="11">
        <v>0</v>
      </c>
      <c r="AE348" s="11">
        <f>(Z348+AB348+AD348)*6%</f>
        <v>0.78</v>
      </c>
      <c r="AF348" s="11">
        <f>Z348+AB348+AD348+AE348</f>
        <v>13.78</v>
      </c>
      <c r="AG348" t="s">
        <v>172</v>
      </c>
    </row>
    <row r="349" spans="1:33" ht="15" customHeight="1" x14ac:dyDescent="0.35">
      <c r="A349">
        <v>690929</v>
      </c>
      <c r="B349" t="s">
        <v>33</v>
      </c>
      <c r="C349" t="s">
        <v>34</v>
      </c>
      <c r="D349" s="6" t="s">
        <v>33</v>
      </c>
      <c r="E349" t="s">
        <v>1121</v>
      </c>
      <c r="F349" t="s">
        <v>36</v>
      </c>
      <c r="G349" t="s">
        <v>37</v>
      </c>
      <c r="H349" t="s">
        <v>1122</v>
      </c>
      <c r="I349" t="s">
        <v>39</v>
      </c>
      <c r="J349">
        <v>2</v>
      </c>
      <c r="K349" t="s">
        <v>40</v>
      </c>
      <c r="L349" t="s">
        <v>41</v>
      </c>
      <c r="M349" t="s">
        <v>42</v>
      </c>
      <c r="N349" s="7">
        <v>1</v>
      </c>
      <c r="O349" s="8">
        <v>45116.703946759262</v>
      </c>
      <c r="P349" s="9">
        <v>45118</v>
      </c>
      <c r="Q349" t="s">
        <v>36</v>
      </c>
      <c r="R349" t="s">
        <v>43</v>
      </c>
      <c r="S349" t="s">
        <v>44</v>
      </c>
      <c r="T349" t="s">
        <v>61</v>
      </c>
      <c r="U349" t="s">
        <v>1123</v>
      </c>
      <c r="V349">
        <v>81100</v>
      </c>
      <c r="W349" t="s">
        <v>43</v>
      </c>
      <c r="X349" t="s">
        <v>1079</v>
      </c>
      <c r="Y349" t="s">
        <v>48</v>
      </c>
      <c r="Z349" s="10">
        <f>IF(N349&lt;=1,7,7+0.8*ROUNDUP(N349-1,0))</f>
        <v>7</v>
      </c>
      <c r="AA349" s="11">
        <v>0</v>
      </c>
      <c r="AB349" s="11">
        <v>0</v>
      </c>
      <c r="AC349" s="11">
        <v>0</v>
      </c>
      <c r="AD349" s="11">
        <v>0</v>
      </c>
      <c r="AE349" s="11">
        <f>(Z349+AB349+AD349)*6%</f>
        <v>0.42</v>
      </c>
      <c r="AF349" s="11">
        <f>Z349+AB349+AD349+AE349</f>
        <v>7.42</v>
      </c>
      <c r="AG349" t="s">
        <v>43</v>
      </c>
    </row>
    <row r="350" spans="1:33" ht="15" customHeight="1" x14ac:dyDescent="0.35">
      <c r="A350">
        <v>690929</v>
      </c>
      <c r="B350" t="s">
        <v>33</v>
      </c>
      <c r="C350" t="s">
        <v>34</v>
      </c>
      <c r="D350" s="6" t="s">
        <v>33</v>
      </c>
      <c r="E350" t="s">
        <v>1124</v>
      </c>
      <c r="F350" t="s">
        <v>36</v>
      </c>
      <c r="G350" t="s">
        <v>37</v>
      </c>
      <c r="H350" t="s">
        <v>1125</v>
      </c>
      <c r="I350" t="s">
        <v>39</v>
      </c>
      <c r="J350">
        <v>2</v>
      </c>
      <c r="K350" t="s">
        <v>40</v>
      </c>
      <c r="L350" t="s">
        <v>41</v>
      </c>
      <c r="M350" t="s">
        <v>42</v>
      </c>
      <c r="N350" s="7">
        <v>2</v>
      </c>
      <c r="O350" s="8">
        <v>45116.641956018517</v>
      </c>
      <c r="P350" s="9">
        <v>45118</v>
      </c>
      <c r="Q350" t="s">
        <v>36</v>
      </c>
      <c r="R350" t="s">
        <v>43</v>
      </c>
      <c r="S350" t="s">
        <v>44</v>
      </c>
      <c r="T350" t="s">
        <v>45</v>
      </c>
      <c r="U350" t="s">
        <v>1126</v>
      </c>
      <c r="V350">
        <v>78000</v>
      </c>
      <c r="W350" t="s">
        <v>43</v>
      </c>
      <c r="X350" t="s">
        <v>47</v>
      </c>
      <c r="Y350" t="s">
        <v>48</v>
      </c>
      <c r="Z350" s="10">
        <f>IF(N350&lt;=1,7,7+0.8*ROUNDUP(N350-1,0))</f>
        <v>7.8</v>
      </c>
      <c r="AA350" s="11">
        <v>0</v>
      </c>
      <c r="AB350" s="11">
        <v>0</v>
      </c>
      <c r="AC350" s="11">
        <v>0</v>
      </c>
      <c r="AD350" s="11">
        <v>0</v>
      </c>
      <c r="AE350" s="11">
        <f>(Z350+AB350+AD350)*6%</f>
        <v>0.46799999999999997</v>
      </c>
      <c r="AF350" s="11">
        <f>Z350+AB350+AD350+AE350</f>
        <v>8.2680000000000007</v>
      </c>
      <c r="AG350" t="s">
        <v>43</v>
      </c>
    </row>
    <row r="351" spans="1:33" ht="15" customHeight="1" x14ac:dyDescent="0.35">
      <c r="A351">
        <v>690929</v>
      </c>
      <c r="B351" t="s">
        <v>33</v>
      </c>
      <c r="C351" t="s">
        <v>34</v>
      </c>
      <c r="D351" s="6" t="s">
        <v>33</v>
      </c>
      <c r="E351" t="s">
        <v>1127</v>
      </c>
      <c r="F351" t="s">
        <v>36</v>
      </c>
      <c r="G351" t="s">
        <v>37</v>
      </c>
      <c r="H351" t="s">
        <v>1128</v>
      </c>
      <c r="I351" t="s">
        <v>39</v>
      </c>
      <c r="J351">
        <v>2</v>
      </c>
      <c r="K351" t="s">
        <v>40</v>
      </c>
      <c r="L351" t="s">
        <v>41</v>
      </c>
      <c r="M351" t="s">
        <v>42</v>
      </c>
      <c r="N351" s="7">
        <v>11</v>
      </c>
      <c r="O351" s="8">
        <v>45116.699247685188</v>
      </c>
      <c r="P351" s="9">
        <v>45118</v>
      </c>
      <c r="Q351" t="s">
        <v>36</v>
      </c>
      <c r="R351" t="s">
        <v>43</v>
      </c>
      <c r="S351" t="s">
        <v>44</v>
      </c>
      <c r="T351" t="s">
        <v>70</v>
      </c>
      <c r="U351" t="s">
        <v>1129</v>
      </c>
      <c r="V351">
        <v>13700</v>
      </c>
      <c r="W351" t="s">
        <v>43</v>
      </c>
      <c r="X351" t="s">
        <v>259</v>
      </c>
      <c r="Y351" t="s">
        <v>48</v>
      </c>
      <c r="Z351" s="10">
        <f>IF(N351&lt;=1,7,7+0.8*ROUNDUP(N351-1,0))</f>
        <v>15</v>
      </c>
      <c r="AA351" s="11">
        <v>0</v>
      </c>
      <c r="AB351" s="11">
        <v>0</v>
      </c>
      <c r="AC351" s="11">
        <v>0</v>
      </c>
      <c r="AD351" s="11">
        <v>0</v>
      </c>
      <c r="AE351" s="11">
        <f>(Z351+AB351+AD351)*6%</f>
        <v>0.89999999999999991</v>
      </c>
      <c r="AF351" s="11">
        <f>Z351+AB351+AD351+AE351</f>
        <v>15.9</v>
      </c>
      <c r="AG351" t="s">
        <v>43</v>
      </c>
    </row>
    <row r="352" spans="1:33" ht="15" customHeight="1" x14ac:dyDescent="0.35">
      <c r="A352">
        <v>690929</v>
      </c>
      <c r="B352" t="s">
        <v>33</v>
      </c>
      <c r="C352" t="s">
        <v>34</v>
      </c>
      <c r="D352" s="6" t="s">
        <v>33</v>
      </c>
      <c r="E352" t="s">
        <v>1130</v>
      </c>
      <c r="F352" t="s">
        <v>36</v>
      </c>
      <c r="G352" t="s">
        <v>37</v>
      </c>
      <c r="H352" t="s">
        <v>1131</v>
      </c>
      <c r="I352" t="s">
        <v>39</v>
      </c>
      <c r="J352">
        <v>2</v>
      </c>
      <c r="K352" t="s">
        <v>40</v>
      </c>
      <c r="L352" t="s">
        <v>41</v>
      </c>
      <c r="M352" t="s">
        <v>42</v>
      </c>
      <c r="N352" s="7">
        <v>1</v>
      </c>
      <c r="O352" s="8">
        <v>45116.576273148145</v>
      </c>
      <c r="P352" s="9">
        <v>45118</v>
      </c>
      <c r="Q352" t="s">
        <v>36</v>
      </c>
      <c r="R352" t="s">
        <v>43</v>
      </c>
      <c r="S352" t="s">
        <v>44</v>
      </c>
      <c r="T352" t="s">
        <v>61</v>
      </c>
      <c r="U352" t="s">
        <v>1132</v>
      </c>
      <c r="V352">
        <v>81700</v>
      </c>
      <c r="W352" t="s">
        <v>43</v>
      </c>
      <c r="X352" t="s">
        <v>47</v>
      </c>
      <c r="Y352" t="s">
        <v>48</v>
      </c>
      <c r="Z352" s="10">
        <f>IF(N352&lt;=1,7,7+0.8*ROUNDUP(N352-1,0))</f>
        <v>7</v>
      </c>
      <c r="AA352" s="11">
        <v>0</v>
      </c>
      <c r="AB352" s="11">
        <v>0</v>
      </c>
      <c r="AC352" s="11">
        <v>0</v>
      </c>
      <c r="AD352" s="11">
        <v>0</v>
      </c>
      <c r="AE352" s="11">
        <f>(Z352+AB352+AD352)*6%</f>
        <v>0.42</v>
      </c>
      <c r="AF352" s="11">
        <f>Z352+AB352+AD352+AE352</f>
        <v>7.42</v>
      </c>
      <c r="AG352" t="s">
        <v>43</v>
      </c>
    </row>
    <row r="353" spans="1:33" ht="15" customHeight="1" x14ac:dyDescent="0.35">
      <c r="A353">
        <v>690929</v>
      </c>
      <c r="B353" t="s">
        <v>33</v>
      </c>
      <c r="C353" t="s">
        <v>34</v>
      </c>
      <c r="D353" s="6" t="s">
        <v>33</v>
      </c>
      <c r="E353" t="s">
        <v>1133</v>
      </c>
      <c r="F353" t="s">
        <v>36</v>
      </c>
      <c r="G353" t="s">
        <v>37</v>
      </c>
      <c r="H353" t="s">
        <v>1134</v>
      </c>
      <c r="I353" t="s">
        <v>39</v>
      </c>
      <c r="J353">
        <v>2</v>
      </c>
      <c r="K353" t="s">
        <v>40</v>
      </c>
      <c r="L353" t="s">
        <v>41</v>
      </c>
      <c r="M353" t="s">
        <v>42</v>
      </c>
      <c r="N353" s="7">
        <v>1</v>
      </c>
      <c r="O353" s="8">
        <v>45117.723194444443</v>
      </c>
      <c r="P353" s="9">
        <v>45118</v>
      </c>
      <c r="Q353" t="s">
        <v>36</v>
      </c>
      <c r="R353" t="s">
        <v>43</v>
      </c>
      <c r="S353" t="s">
        <v>44</v>
      </c>
      <c r="T353" t="s">
        <v>194</v>
      </c>
      <c r="U353" t="s">
        <v>1135</v>
      </c>
      <c r="V353">
        <v>70450</v>
      </c>
      <c r="W353" t="s">
        <v>43</v>
      </c>
      <c r="X353" t="s">
        <v>936</v>
      </c>
      <c r="Y353" t="s">
        <v>48</v>
      </c>
      <c r="Z353" s="10">
        <f>IF(N353&lt;=1,7,7+0.8*ROUNDUP(N353-1,0))</f>
        <v>7</v>
      </c>
      <c r="AA353" s="11">
        <v>0</v>
      </c>
      <c r="AB353" s="11">
        <v>0</v>
      </c>
      <c r="AC353" s="11">
        <v>0</v>
      </c>
      <c r="AD353" s="11">
        <v>0</v>
      </c>
      <c r="AE353" s="11">
        <f>(Z353+AB353+AD353)*6%</f>
        <v>0.42</v>
      </c>
      <c r="AF353" s="11">
        <f>Z353+AB353+AD353+AE353</f>
        <v>7.42</v>
      </c>
      <c r="AG353" t="s">
        <v>43</v>
      </c>
    </row>
    <row r="354" spans="1:33" ht="15" customHeight="1" x14ac:dyDescent="0.35">
      <c r="A354">
        <v>690929</v>
      </c>
      <c r="B354" t="s">
        <v>33</v>
      </c>
      <c r="C354" t="s">
        <v>34</v>
      </c>
      <c r="D354" s="6" t="s">
        <v>33</v>
      </c>
      <c r="E354" t="s">
        <v>1136</v>
      </c>
      <c r="F354" t="s">
        <v>36</v>
      </c>
      <c r="G354" t="s">
        <v>37</v>
      </c>
      <c r="H354" t="s">
        <v>1137</v>
      </c>
      <c r="I354" t="s">
        <v>39</v>
      </c>
      <c r="J354">
        <v>2</v>
      </c>
      <c r="K354" t="s">
        <v>40</v>
      </c>
      <c r="L354" t="s">
        <v>41</v>
      </c>
      <c r="M354" t="s">
        <v>42</v>
      </c>
      <c r="N354" s="7">
        <v>4</v>
      </c>
      <c r="O354" s="8">
        <v>45117.419930555552</v>
      </c>
      <c r="P354" s="9">
        <v>45118</v>
      </c>
      <c r="Q354" t="s">
        <v>36</v>
      </c>
      <c r="R354" t="s">
        <v>43</v>
      </c>
      <c r="S354" t="s">
        <v>44</v>
      </c>
      <c r="T354" t="s">
        <v>66</v>
      </c>
      <c r="U354" t="s">
        <v>1138</v>
      </c>
      <c r="V354">
        <v>21060</v>
      </c>
      <c r="W354" t="s">
        <v>43</v>
      </c>
      <c r="X354" t="s">
        <v>587</v>
      </c>
      <c r="Y354" t="s">
        <v>48</v>
      </c>
      <c r="Z354" s="10">
        <f>IF(N354&lt;=1,7,7+0.8*ROUNDUP(N354-1,0))</f>
        <v>9.4</v>
      </c>
      <c r="AA354" s="11">
        <v>0</v>
      </c>
      <c r="AB354" s="11">
        <v>0</v>
      </c>
      <c r="AC354" s="11">
        <v>0</v>
      </c>
      <c r="AD354" s="11">
        <v>0</v>
      </c>
      <c r="AE354" s="11">
        <f>(Z354+AB354+AD354)*6%</f>
        <v>0.56399999999999995</v>
      </c>
      <c r="AF354" s="11">
        <f>Z354+AB354+AD354+AE354</f>
        <v>9.9640000000000004</v>
      </c>
      <c r="AG354" t="s">
        <v>43</v>
      </c>
    </row>
    <row r="355" spans="1:33" ht="15" customHeight="1" x14ac:dyDescent="0.35">
      <c r="A355">
        <v>690929</v>
      </c>
      <c r="B355" t="s">
        <v>33</v>
      </c>
      <c r="C355" t="s">
        <v>34</v>
      </c>
      <c r="D355" s="6" t="s">
        <v>33</v>
      </c>
      <c r="E355" t="s">
        <v>1139</v>
      </c>
      <c r="F355" t="s">
        <v>36</v>
      </c>
      <c r="G355" t="s">
        <v>37</v>
      </c>
      <c r="H355" t="s">
        <v>1140</v>
      </c>
      <c r="I355" t="s">
        <v>39</v>
      </c>
      <c r="J355">
        <v>2</v>
      </c>
      <c r="K355" t="s">
        <v>40</v>
      </c>
      <c r="L355" t="s">
        <v>41</v>
      </c>
      <c r="M355" t="s">
        <v>42</v>
      </c>
      <c r="N355" s="7">
        <v>1</v>
      </c>
      <c r="O355" s="8">
        <v>45116.693055555559</v>
      </c>
      <c r="P355" s="9">
        <v>45118</v>
      </c>
      <c r="Q355" t="s">
        <v>36</v>
      </c>
      <c r="R355" t="s">
        <v>43</v>
      </c>
      <c r="S355" t="s">
        <v>44</v>
      </c>
      <c r="T355" t="s">
        <v>89</v>
      </c>
      <c r="U355" t="s">
        <v>1141</v>
      </c>
      <c r="V355">
        <v>26600</v>
      </c>
      <c r="W355" t="s">
        <v>43</v>
      </c>
      <c r="X355" t="s">
        <v>44</v>
      </c>
      <c r="Y355" t="s">
        <v>48</v>
      </c>
      <c r="Z355" s="10">
        <f>IF(N355&lt;=1,7,7+0.8*ROUNDUP(N355-1,0))</f>
        <v>7</v>
      </c>
      <c r="AA355" s="11">
        <v>0</v>
      </c>
      <c r="AB355" s="11">
        <v>0</v>
      </c>
      <c r="AC355" s="11">
        <v>0</v>
      </c>
      <c r="AD355" s="11">
        <v>0</v>
      </c>
      <c r="AE355" s="11">
        <f>(Z355+AB355+AD355)*6%</f>
        <v>0.42</v>
      </c>
      <c r="AF355" s="11">
        <f>Z355+AB355+AD355+AE355</f>
        <v>7.42</v>
      </c>
      <c r="AG355" t="s">
        <v>43</v>
      </c>
    </row>
    <row r="356" spans="1:33" ht="15" customHeight="1" x14ac:dyDescent="0.35">
      <c r="A356">
        <v>690929</v>
      </c>
      <c r="B356" t="s">
        <v>33</v>
      </c>
      <c r="C356" t="s">
        <v>34</v>
      </c>
      <c r="D356" s="6" t="s">
        <v>33</v>
      </c>
      <c r="E356" t="s">
        <v>1142</v>
      </c>
      <c r="F356" t="s">
        <v>36</v>
      </c>
      <c r="G356" t="s">
        <v>37</v>
      </c>
      <c r="H356" t="s">
        <v>1143</v>
      </c>
      <c r="I356" t="s">
        <v>39</v>
      </c>
      <c r="J356">
        <v>2</v>
      </c>
      <c r="K356" t="s">
        <v>40</v>
      </c>
      <c r="L356" t="s">
        <v>41</v>
      </c>
      <c r="M356" t="s">
        <v>42</v>
      </c>
      <c r="N356" s="7">
        <v>1</v>
      </c>
      <c r="O356" s="8">
        <v>45116.641956018517</v>
      </c>
      <c r="P356" s="9">
        <v>45118</v>
      </c>
      <c r="Q356" t="s">
        <v>36</v>
      </c>
      <c r="R356" t="s">
        <v>43</v>
      </c>
      <c r="S356" t="s">
        <v>44</v>
      </c>
      <c r="T356" t="s">
        <v>403</v>
      </c>
      <c r="U356" t="s">
        <v>1144</v>
      </c>
      <c r="V356">
        <v>93250</v>
      </c>
      <c r="W356" t="s">
        <v>172</v>
      </c>
      <c r="X356" t="s">
        <v>1145</v>
      </c>
      <c r="Y356" t="s">
        <v>48</v>
      </c>
      <c r="Z356" s="12">
        <f>IF(N356&lt;=1,13,IF(N356&lt;=2,23,IF(N356&lt;=3,35,IF(N356&lt;=4,43,IF(N356&lt;=5,53,IF(N356&lt;=6,63,IF(N356&lt;=7,71,IF(N356&lt;=8,79,IF(N356&lt;=9,87,IF(N356&lt;=10,95,IF(N356&lt;=11,105,IF(N356&lt;=12,114,IF(N356&lt;=13,119,IF(N356&lt;=14,127,IF(N356&lt;=15,135,IF(N356&lt;=16,143,IF(N356&lt;=17,153,IF(N356&lt;=18,163,IF(N356&lt;=19,171,IF(N356&lt;=20,185,IF(N356&lt;=21,193,IF(N356&lt;=22,201,IF(N356&lt;=23,210,IF(N356&lt;=24,220,IF(N356&lt;=25,230,IF(N356&lt;=26,240,IF(N356&lt;=27,250,IF(N356&lt;=28,260,IF(N356&lt;=29,270,IF(N356&lt;=30,280,280+10*ROUNDUP(N356-30,0)))))))))))))))))))))))))))))))</f>
        <v>13</v>
      </c>
      <c r="AA356" s="11">
        <v>0</v>
      </c>
      <c r="AB356" s="11">
        <v>0</v>
      </c>
      <c r="AC356" s="11">
        <v>0</v>
      </c>
      <c r="AD356" s="11">
        <v>0</v>
      </c>
      <c r="AE356" s="11">
        <f>(Z356+AB356+AD356)*6%</f>
        <v>0.78</v>
      </c>
      <c r="AF356" s="11">
        <f>Z356+AB356+AD356+AE356</f>
        <v>13.78</v>
      </c>
      <c r="AG356" t="s">
        <v>172</v>
      </c>
    </row>
    <row r="357" spans="1:33" ht="15" customHeight="1" x14ac:dyDescent="0.35">
      <c r="A357">
        <v>690929</v>
      </c>
      <c r="B357" t="s">
        <v>33</v>
      </c>
      <c r="C357" t="s">
        <v>34</v>
      </c>
      <c r="D357" s="6" t="s">
        <v>33</v>
      </c>
      <c r="E357" t="s">
        <v>1146</v>
      </c>
      <c r="F357" t="s">
        <v>36</v>
      </c>
      <c r="G357" t="s">
        <v>37</v>
      </c>
      <c r="H357" t="s">
        <v>1147</v>
      </c>
      <c r="I357" t="s">
        <v>39</v>
      </c>
      <c r="J357">
        <v>2</v>
      </c>
      <c r="K357" t="s">
        <v>40</v>
      </c>
      <c r="L357" t="s">
        <v>41</v>
      </c>
      <c r="M357" t="s">
        <v>42</v>
      </c>
      <c r="N357" s="7">
        <v>2</v>
      </c>
      <c r="O357" s="8">
        <v>45117.700115740743</v>
      </c>
      <c r="P357" s="9">
        <v>45118</v>
      </c>
      <c r="Q357" t="s">
        <v>36</v>
      </c>
      <c r="R357" t="s">
        <v>43</v>
      </c>
      <c r="S357" t="s">
        <v>44</v>
      </c>
      <c r="T357" t="s">
        <v>109</v>
      </c>
      <c r="U357" t="s">
        <v>1148</v>
      </c>
      <c r="V357">
        <v>18500</v>
      </c>
      <c r="W357" t="s">
        <v>43</v>
      </c>
      <c r="X357" t="s">
        <v>44</v>
      </c>
      <c r="Y357" t="s">
        <v>48</v>
      </c>
      <c r="Z357" s="10">
        <f>IF(N357&lt;=1,7,7+0.8*ROUNDUP(N357-1,0))</f>
        <v>7.8</v>
      </c>
      <c r="AA357" s="11">
        <v>0</v>
      </c>
      <c r="AB357" s="11">
        <v>0</v>
      </c>
      <c r="AC357" s="11">
        <v>0</v>
      </c>
      <c r="AD357" s="11">
        <v>0</v>
      </c>
      <c r="AE357" s="11">
        <f>(Z357+AB357+AD357)*6%</f>
        <v>0.46799999999999997</v>
      </c>
      <c r="AF357" s="11">
        <f>Z357+AB357+AD357+AE357</f>
        <v>8.2680000000000007</v>
      </c>
      <c r="AG357" t="s">
        <v>43</v>
      </c>
    </row>
    <row r="358" spans="1:33" ht="15" customHeight="1" x14ac:dyDescent="0.35">
      <c r="A358">
        <v>690929</v>
      </c>
      <c r="B358" t="s">
        <v>33</v>
      </c>
      <c r="C358" t="s">
        <v>34</v>
      </c>
      <c r="D358" s="6" t="s">
        <v>33</v>
      </c>
      <c r="E358" t="s">
        <v>1149</v>
      </c>
      <c r="F358" t="s">
        <v>36</v>
      </c>
      <c r="G358" t="s">
        <v>37</v>
      </c>
      <c r="H358" t="s">
        <v>1150</v>
      </c>
      <c r="I358" t="s">
        <v>39</v>
      </c>
      <c r="J358">
        <v>2</v>
      </c>
      <c r="K358" t="s">
        <v>40</v>
      </c>
      <c r="L358" t="s">
        <v>41</v>
      </c>
      <c r="M358" t="s">
        <v>42</v>
      </c>
      <c r="N358" s="7">
        <v>6</v>
      </c>
      <c r="O358" s="8">
        <v>45117.723194444443</v>
      </c>
      <c r="P358" s="9">
        <v>45118</v>
      </c>
      <c r="Q358" t="s">
        <v>36</v>
      </c>
      <c r="R358" t="s">
        <v>43</v>
      </c>
      <c r="S358" t="s">
        <v>44</v>
      </c>
      <c r="T358" t="s">
        <v>57</v>
      </c>
      <c r="U358" t="s">
        <v>1151</v>
      </c>
      <c r="V358">
        <v>43000</v>
      </c>
      <c r="W358" t="s">
        <v>43</v>
      </c>
      <c r="X358" t="s">
        <v>180</v>
      </c>
      <c r="Y358" t="s">
        <v>48</v>
      </c>
      <c r="Z358" s="10">
        <f>IF(N358&lt;=1,7,7+0.8*ROUNDUP(N358-1,0))</f>
        <v>11</v>
      </c>
      <c r="AA358" s="11">
        <v>0</v>
      </c>
      <c r="AB358" s="11">
        <v>0</v>
      </c>
      <c r="AC358" s="11">
        <v>0</v>
      </c>
      <c r="AD358" s="11">
        <v>0</v>
      </c>
      <c r="AE358" s="11">
        <f>(Z358+AB358+AD358)*6%</f>
        <v>0.65999999999999992</v>
      </c>
      <c r="AF358" s="11">
        <f>Z358+AB358+AD358+AE358</f>
        <v>11.66</v>
      </c>
      <c r="AG358" t="s">
        <v>43</v>
      </c>
    </row>
    <row r="359" spans="1:33" ht="15" customHeight="1" x14ac:dyDescent="0.35">
      <c r="A359">
        <v>690929</v>
      </c>
      <c r="B359" t="s">
        <v>33</v>
      </c>
      <c r="C359" t="s">
        <v>34</v>
      </c>
      <c r="D359" s="6" t="s">
        <v>33</v>
      </c>
      <c r="E359" t="s">
        <v>1152</v>
      </c>
      <c r="F359" t="s">
        <v>36</v>
      </c>
      <c r="G359" t="s">
        <v>37</v>
      </c>
      <c r="H359" t="s">
        <v>1153</v>
      </c>
      <c r="I359" t="s">
        <v>39</v>
      </c>
      <c r="J359">
        <v>2</v>
      </c>
      <c r="K359" t="s">
        <v>40</v>
      </c>
      <c r="L359" t="s">
        <v>41</v>
      </c>
      <c r="M359" t="s">
        <v>42</v>
      </c>
      <c r="N359" s="7">
        <v>2</v>
      </c>
      <c r="O359" s="8">
        <v>45116.699247685188</v>
      </c>
      <c r="P359" s="9">
        <v>45118</v>
      </c>
      <c r="Q359" t="s">
        <v>36</v>
      </c>
      <c r="R359" t="s">
        <v>43</v>
      </c>
      <c r="S359" t="s">
        <v>44</v>
      </c>
      <c r="T359" t="s">
        <v>61</v>
      </c>
      <c r="U359" t="s">
        <v>1154</v>
      </c>
      <c r="V359">
        <v>84700</v>
      </c>
      <c r="W359" t="s">
        <v>43</v>
      </c>
      <c r="X359" t="s">
        <v>252</v>
      </c>
      <c r="Y359" t="s">
        <v>48</v>
      </c>
      <c r="Z359" s="10">
        <f>IF(N359&lt;=1,7,7+0.8*ROUNDUP(N359-1,0))</f>
        <v>7.8</v>
      </c>
      <c r="AA359" s="11">
        <v>0</v>
      </c>
      <c r="AB359" s="11">
        <v>0</v>
      </c>
      <c r="AC359" s="11">
        <v>0</v>
      </c>
      <c r="AD359" s="11">
        <v>0</v>
      </c>
      <c r="AE359" s="11">
        <f>(Z359+AB359+AD359)*6%</f>
        <v>0.46799999999999997</v>
      </c>
      <c r="AF359" s="11">
        <f>Z359+AB359+AD359+AE359</f>
        <v>8.2680000000000007</v>
      </c>
      <c r="AG359" t="s">
        <v>43</v>
      </c>
    </row>
    <row r="360" spans="1:33" ht="15" customHeight="1" x14ac:dyDescent="0.35">
      <c r="A360">
        <v>690929</v>
      </c>
      <c r="B360" t="s">
        <v>33</v>
      </c>
      <c r="C360" t="s">
        <v>34</v>
      </c>
      <c r="D360" s="6" t="s">
        <v>33</v>
      </c>
      <c r="E360" t="s">
        <v>1155</v>
      </c>
      <c r="F360" t="s">
        <v>36</v>
      </c>
      <c r="G360" t="s">
        <v>37</v>
      </c>
      <c r="H360" t="s">
        <v>246</v>
      </c>
      <c r="I360" t="s">
        <v>39</v>
      </c>
      <c r="J360">
        <v>2</v>
      </c>
      <c r="K360" t="s">
        <v>40</v>
      </c>
      <c r="L360" t="s">
        <v>41</v>
      </c>
      <c r="M360" t="s">
        <v>42</v>
      </c>
      <c r="N360" s="7">
        <v>1</v>
      </c>
      <c r="O360" s="8">
        <v>45116.714525462965</v>
      </c>
      <c r="P360" s="9">
        <v>45118</v>
      </c>
      <c r="Q360" t="s">
        <v>36</v>
      </c>
      <c r="R360" t="s">
        <v>43</v>
      </c>
      <c r="S360" t="s">
        <v>44</v>
      </c>
      <c r="T360" t="s">
        <v>75</v>
      </c>
      <c r="U360" t="s">
        <v>1156</v>
      </c>
      <c r="V360">
        <v>60000</v>
      </c>
      <c r="W360" t="s">
        <v>43</v>
      </c>
      <c r="X360" t="s">
        <v>248</v>
      </c>
      <c r="Y360" t="s">
        <v>48</v>
      </c>
      <c r="Z360" s="10">
        <f>IF(N360&lt;=1,7,7+0.8*ROUNDUP(N360-1,0))</f>
        <v>7</v>
      </c>
      <c r="AA360" s="11">
        <v>0</v>
      </c>
      <c r="AB360" s="11">
        <v>0</v>
      </c>
      <c r="AC360" s="11">
        <v>0</v>
      </c>
      <c r="AD360" s="11">
        <v>0</v>
      </c>
      <c r="AE360" s="11">
        <f>(Z360+AB360+AD360)*6%</f>
        <v>0.42</v>
      </c>
      <c r="AF360" s="11">
        <f>Z360+AB360+AD360+AE360</f>
        <v>7.42</v>
      </c>
      <c r="AG360" t="s">
        <v>43</v>
      </c>
    </row>
    <row r="361" spans="1:33" ht="15" customHeight="1" x14ac:dyDescent="0.35">
      <c r="A361">
        <v>690929</v>
      </c>
      <c r="B361" t="s">
        <v>33</v>
      </c>
      <c r="C361" t="s">
        <v>34</v>
      </c>
      <c r="D361" s="6" t="s">
        <v>33</v>
      </c>
      <c r="E361" t="s">
        <v>1157</v>
      </c>
      <c r="F361" t="s">
        <v>36</v>
      </c>
      <c r="G361" t="s">
        <v>37</v>
      </c>
      <c r="H361" t="s">
        <v>1153</v>
      </c>
      <c r="I361" t="s">
        <v>39</v>
      </c>
      <c r="J361">
        <v>2</v>
      </c>
      <c r="K361" t="s">
        <v>40</v>
      </c>
      <c r="L361" t="s">
        <v>41</v>
      </c>
      <c r="M361" t="s">
        <v>42</v>
      </c>
      <c r="N361" s="7">
        <v>5</v>
      </c>
      <c r="O361" s="8">
        <v>45116.699247685188</v>
      </c>
      <c r="P361" s="9">
        <v>45118</v>
      </c>
      <c r="Q361" t="s">
        <v>36</v>
      </c>
      <c r="R361" t="s">
        <v>43</v>
      </c>
      <c r="S361" t="s">
        <v>44</v>
      </c>
      <c r="T361" t="s">
        <v>61</v>
      </c>
      <c r="U361" t="s">
        <v>1154</v>
      </c>
      <c r="V361">
        <v>84700</v>
      </c>
      <c r="W361" t="s">
        <v>43</v>
      </c>
      <c r="X361" t="s">
        <v>252</v>
      </c>
      <c r="Y361" t="s">
        <v>48</v>
      </c>
      <c r="Z361" s="10">
        <f>IF(N361&lt;=1,7,7+0.8*ROUNDUP(N361-1,0))</f>
        <v>10.199999999999999</v>
      </c>
      <c r="AA361" s="11">
        <v>0</v>
      </c>
      <c r="AB361" s="11">
        <v>0</v>
      </c>
      <c r="AC361" s="11">
        <v>0</v>
      </c>
      <c r="AD361" s="11">
        <v>0</v>
      </c>
      <c r="AE361" s="11">
        <f>(Z361+AB361+AD361)*6%</f>
        <v>0.61199999999999999</v>
      </c>
      <c r="AF361" s="11">
        <f>Z361+AB361+AD361+AE361</f>
        <v>10.811999999999999</v>
      </c>
      <c r="AG361" t="s">
        <v>43</v>
      </c>
    </row>
    <row r="362" spans="1:33" ht="15" customHeight="1" x14ac:dyDescent="0.35">
      <c r="A362">
        <v>690929</v>
      </c>
      <c r="B362" t="s">
        <v>33</v>
      </c>
      <c r="C362" t="s">
        <v>34</v>
      </c>
      <c r="D362" s="6" t="s">
        <v>33</v>
      </c>
      <c r="E362" t="s">
        <v>1158</v>
      </c>
      <c r="F362" t="s">
        <v>36</v>
      </c>
      <c r="G362" t="s">
        <v>37</v>
      </c>
      <c r="H362" t="s">
        <v>1159</v>
      </c>
      <c r="I362" t="s">
        <v>39</v>
      </c>
      <c r="J362">
        <v>2</v>
      </c>
      <c r="K362" t="s">
        <v>40</v>
      </c>
      <c r="L362" t="s">
        <v>41</v>
      </c>
      <c r="M362" t="s">
        <v>42</v>
      </c>
      <c r="N362" s="7">
        <v>1</v>
      </c>
      <c r="O362" s="8">
        <v>45117.723287037035</v>
      </c>
      <c r="P362" s="9">
        <v>45118</v>
      </c>
      <c r="Q362" t="s">
        <v>36</v>
      </c>
      <c r="R362" t="s">
        <v>43</v>
      </c>
      <c r="S362" t="s">
        <v>44</v>
      </c>
      <c r="T362" t="s">
        <v>194</v>
      </c>
      <c r="U362" t="s">
        <v>1160</v>
      </c>
      <c r="V362">
        <v>71800</v>
      </c>
      <c r="W362" t="s">
        <v>43</v>
      </c>
      <c r="X362" t="s">
        <v>206</v>
      </c>
      <c r="Y362" t="s">
        <v>48</v>
      </c>
      <c r="Z362" s="10">
        <f>IF(N362&lt;=1,7,7+0.8*ROUNDUP(N362-1,0))</f>
        <v>7</v>
      </c>
      <c r="AA362" s="11">
        <v>0</v>
      </c>
      <c r="AB362" s="11">
        <v>0</v>
      </c>
      <c r="AC362" s="11">
        <v>0</v>
      </c>
      <c r="AD362" s="11">
        <v>0</v>
      </c>
      <c r="AE362" s="11">
        <f>(Z362+AB362+AD362)*6%</f>
        <v>0.42</v>
      </c>
      <c r="AF362" s="11">
        <f>Z362+AB362+AD362+AE362</f>
        <v>7.42</v>
      </c>
      <c r="AG362" t="s">
        <v>43</v>
      </c>
    </row>
    <row r="363" spans="1:33" ht="15" customHeight="1" x14ac:dyDescent="0.35">
      <c r="A363">
        <v>690929</v>
      </c>
      <c r="B363" t="s">
        <v>33</v>
      </c>
      <c r="C363" t="s">
        <v>34</v>
      </c>
      <c r="D363" s="6" t="s">
        <v>33</v>
      </c>
      <c r="E363" t="s">
        <v>1161</v>
      </c>
      <c r="F363" t="s">
        <v>36</v>
      </c>
      <c r="G363" t="s">
        <v>37</v>
      </c>
      <c r="H363" t="s">
        <v>367</v>
      </c>
      <c r="I363" t="s">
        <v>39</v>
      </c>
      <c r="J363">
        <v>2</v>
      </c>
      <c r="K363" t="s">
        <v>40</v>
      </c>
      <c r="L363" t="s">
        <v>41</v>
      </c>
      <c r="M363" t="s">
        <v>42</v>
      </c>
      <c r="N363" s="7">
        <v>1</v>
      </c>
      <c r="O363" s="8">
        <v>45116.714525462965</v>
      </c>
      <c r="P363" s="9">
        <v>45118</v>
      </c>
      <c r="Q363" t="s">
        <v>36</v>
      </c>
      <c r="R363" t="s">
        <v>43</v>
      </c>
      <c r="S363" t="s">
        <v>44</v>
      </c>
      <c r="T363" t="s">
        <v>61</v>
      </c>
      <c r="U363" t="s">
        <v>1162</v>
      </c>
      <c r="V363">
        <v>83100</v>
      </c>
      <c r="W363" t="s">
        <v>43</v>
      </c>
      <c r="X363" t="s">
        <v>102</v>
      </c>
      <c r="Y363" t="s">
        <v>48</v>
      </c>
      <c r="Z363" s="10">
        <f>IF(N363&lt;=1,7,7+0.8*ROUNDUP(N363-1,0))</f>
        <v>7</v>
      </c>
      <c r="AA363" s="11">
        <v>0</v>
      </c>
      <c r="AB363" s="11">
        <v>0</v>
      </c>
      <c r="AC363" s="11">
        <v>0</v>
      </c>
      <c r="AD363" s="11">
        <v>0</v>
      </c>
      <c r="AE363" s="11">
        <f>(Z363+AB363+AD363)*6%</f>
        <v>0.42</v>
      </c>
      <c r="AF363" s="11">
        <f>Z363+AB363+AD363+AE363</f>
        <v>7.42</v>
      </c>
      <c r="AG363" t="s">
        <v>43</v>
      </c>
    </row>
    <row r="364" spans="1:33" ht="15" customHeight="1" x14ac:dyDescent="0.35">
      <c r="A364">
        <v>690929</v>
      </c>
      <c r="B364" t="s">
        <v>33</v>
      </c>
      <c r="C364" t="s">
        <v>34</v>
      </c>
      <c r="D364" s="6" t="s">
        <v>33</v>
      </c>
      <c r="E364" t="s">
        <v>1163</v>
      </c>
      <c r="F364" t="s">
        <v>36</v>
      </c>
      <c r="G364" t="s">
        <v>37</v>
      </c>
      <c r="H364" t="s">
        <v>1164</v>
      </c>
      <c r="I364" t="s">
        <v>39</v>
      </c>
      <c r="J364">
        <v>2</v>
      </c>
      <c r="K364" t="s">
        <v>40</v>
      </c>
      <c r="L364" t="s">
        <v>41</v>
      </c>
      <c r="M364" t="s">
        <v>42</v>
      </c>
      <c r="N364" s="7">
        <v>1</v>
      </c>
      <c r="O364" s="8">
        <v>45117.700115740743</v>
      </c>
      <c r="P364" s="9">
        <v>45118</v>
      </c>
      <c r="Q364" t="s">
        <v>36</v>
      </c>
      <c r="R364" t="s">
        <v>43</v>
      </c>
      <c r="S364" t="s">
        <v>44</v>
      </c>
      <c r="T364" t="s">
        <v>194</v>
      </c>
      <c r="U364" t="s">
        <v>1165</v>
      </c>
      <c r="V364">
        <v>73100</v>
      </c>
      <c r="W364" t="s">
        <v>43</v>
      </c>
      <c r="X364" t="s">
        <v>216</v>
      </c>
      <c r="Y364" t="s">
        <v>48</v>
      </c>
      <c r="Z364" s="10">
        <f>IF(N364&lt;=1,7,7+0.8*ROUNDUP(N364-1,0))</f>
        <v>7</v>
      </c>
      <c r="AA364" s="11">
        <v>0</v>
      </c>
      <c r="AB364" s="11">
        <v>0</v>
      </c>
      <c r="AC364" s="11">
        <v>0</v>
      </c>
      <c r="AD364" s="11">
        <v>0</v>
      </c>
      <c r="AE364" s="11">
        <f>(Z364+AB364+AD364)*6%</f>
        <v>0.42</v>
      </c>
      <c r="AF364" s="11">
        <f>Z364+AB364+AD364+AE364</f>
        <v>7.42</v>
      </c>
      <c r="AG364" t="s">
        <v>43</v>
      </c>
    </row>
    <row r="365" spans="1:33" ht="15" customHeight="1" x14ac:dyDescent="0.35">
      <c r="A365">
        <v>690929</v>
      </c>
      <c r="B365" t="s">
        <v>33</v>
      </c>
      <c r="C365" t="s">
        <v>34</v>
      </c>
      <c r="D365" s="6" t="s">
        <v>33</v>
      </c>
      <c r="E365" t="s">
        <v>1166</v>
      </c>
      <c r="F365" t="s">
        <v>36</v>
      </c>
      <c r="G365" t="s">
        <v>37</v>
      </c>
      <c r="H365" t="s">
        <v>1167</v>
      </c>
      <c r="I365" t="s">
        <v>39</v>
      </c>
      <c r="J365">
        <v>2</v>
      </c>
      <c r="K365" t="s">
        <v>40</v>
      </c>
      <c r="L365" t="s">
        <v>41</v>
      </c>
      <c r="M365" t="s">
        <v>42</v>
      </c>
      <c r="N365" s="7">
        <v>1</v>
      </c>
      <c r="O365" s="8">
        <v>45116.641956018517</v>
      </c>
      <c r="P365" s="9">
        <v>45118</v>
      </c>
      <c r="Q365" t="s">
        <v>36</v>
      </c>
      <c r="R365" t="s">
        <v>43</v>
      </c>
      <c r="S365" t="s">
        <v>44</v>
      </c>
      <c r="T365" t="s">
        <v>653</v>
      </c>
      <c r="U365" t="s">
        <v>1168</v>
      </c>
      <c r="V365">
        <v>1000</v>
      </c>
      <c r="W365" t="s">
        <v>43</v>
      </c>
      <c r="X365" t="s">
        <v>47</v>
      </c>
      <c r="Y365" t="s">
        <v>48</v>
      </c>
      <c r="Z365" s="10">
        <f>IF(N365&lt;=1,7,7+0.8*ROUNDUP(N365-1,0))</f>
        <v>7</v>
      </c>
      <c r="AA365" s="11">
        <v>0</v>
      </c>
      <c r="AB365" s="11">
        <v>0</v>
      </c>
      <c r="AC365" s="11">
        <v>0</v>
      </c>
      <c r="AD365" s="11">
        <v>0</v>
      </c>
      <c r="AE365" s="11">
        <f>(Z365+AB365+AD365)*6%</f>
        <v>0.42</v>
      </c>
      <c r="AF365" s="11">
        <f>Z365+AB365+AD365+AE365</f>
        <v>7.42</v>
      </c>
      <c r="AG365" t="s">
        <v>43</v>
      </c>
    </row>
    <row r="366" spans="1:33" ht="15" customHeight="1" x14ac:dyDescent="0.35">
      <c r="A366">
        <v>690929</v>
      </c>
      <c r="B366" t="s">
        <v>33</v>
      </c>
      <c r="C366" t="s">
        <v>34</v>
      </c>
      <c r="D366" s="6" t="s">
        <v>33</v>
      </c>
      <c r="E366" t="s">
        <v>1169</v>
      </c>
      <c r="F366" t="s">
        <v>36</v>
      </c>
      <c r="G366" t="s">
        <v>37</v>
      </c>
      <c r="H366" t="s">
        <v>1170</v>
      </c>
      <c r="I366" t="s">
        <v>39</v>
      </c>
      <c r="J366">
        <v>2</v>
      </c>
      <c r="K366" t="s">
        <v>40</v>
      </c>
      <c r="L366" t="s">
        <v>41</v>
      </c>
      <c r="M366" t="s">
        <v>42</v>
      </c>
      <c r="N366" s="7">
        <v>4</v>
      </c>
      <c r="O366" s="8">
        <v>45117.56858796296</v>
      </c>
      <c r="P366" s="9">
        <v>45118</v>
      </c>
      <c r="Q366" t="s">
        <v>36</v>
      </c>
      <c r="R366" t="s">
        <v>43</v>
      </c>
      <c r="S366" t="s">
        <v>44</v>
      </c>
      <c r="T366" t="s">
        <v>89</v>
      </c>
      <c r="U366" t="s">
        <v>1171</v>
      </c>
      <c r="V366">
        <v>27000</v>
      </c>
      <c r="W366" t="s">
        <v>43</v>
      </c>
      <c r="X366" t="s">
        <v>376</v>
      </c>
      <c r="Y366" t="s">
        <v>48</v>
      </c>
      <c r="Z366" s="10">
        <f>IF(N366&lt;=1,7,7+0.8*ROUNDUP(N366-1,0))</f>
        <v>9.4</v>
      </c>
      <c r="AA366" s="11">
        <v>0</v>
      </c>
      <c r="AB366" s="11">
        <v>0</v>
      </c>
      <c r="AC366" s="11">
        <v>0</v>
      </c>
      <c r="AD366" s="11">
        <v>0</v>
      </c>
      <c r="AE366" s="11">
        <f>(Z366+AB366+AD366)*6%</f>
        <v>0.56399999999999995</v>
      </c>
      <c r="AF366" s="11">
        <f>Z366+AB366+AD366+AE366</f>
        <v>9.9640000000000004</v>
      </c>
      <c r="AG366" t="s">
        <v>43</v>
      </c>
    </row>
    <row r="367" spans="1:33" ht="15" customHeight="1" x14ac:dyDescent="0.35">
      <c r="A367">
        <v>690929</v>
      </c>
      <c r="B367" t="s">
        <v>33</v>
      </c>
      <c r="C367" t="s">
        <v>34</v>
      </c>
      <c r="D367" s="6" t="s">
        <v>33</v>
      </c>
      <c r="E367" t="s">
        <v>1172</v>
      </c>
      <c r="F367" t="s">
        <v>36</v>
      </c>
      <c r="G367" t="s">
        <v>37</v>
      </c>
      <c r="H367" t="s">
        <v>459</v>
      </c>
      <c r="I367" t="s">
        <v>39</v>
      </c>
      <c r="J367">
        <v>2</v>
      </c>
      <c r="K367" t="s">
        <v>40</v>
      </c>
      <c r="L367" t="s">
        <v>41</v>
      </c>
      <c r="M367" t="s">
        <v>42</v>
      </c>
      <c r="N367" s="7">
        <v>2</v>
      </c>
      <c r="O367" s="8">
        <v>45116.547962962963</v>
      </c>
      <c r="P367" s="9">
        <v>45118</v>
      </c>
      <c r="Q367" t="s">
        <v>36</v>
      </c>
      <c r="R367" t="s">
        <v>43</v>
      </c>
      <c r="S367" t="s">
        <v>44</v>
      </c>
      <c r="T367" t="s">
        <v>51</v>
      </c>
      <c r="U367" t="s">
        <v>1173</v>
      </c>
      <c r="V367">
        <v>36600</v>
      </c>
      <c r="W367" t="s">
        <v>43</v>
      </c>
      <c r="X367" t="s">
        <v>296</v>
      </c>
      <c r="Y367" t="s">
        <v>48</v>
      </c>
      <c r="Z367" s="10">
        <f>IF(N367&lt;=1,7,7+0.8*ROUNDUP(N367-1,0))</f>
        <v>7.8</v>
      </c>
      <c r="AA367" s="11">
        <v>0</v>
      </c>
      <c r="AB367" s="11">
        <v>0</v>
      </c>
      <c r="AC367" s="11">
        <v>0</v>
      </c>
      <c r="AD367" s="11">
        <v>0</v>
      </c>
      <c r="AE367" s="11">
        <f>(Z367+AB367+AD367)*6%</f>
        <v>0.46799999999999997</v>
      </c>
      <c r="AF367" s="11">
        <f>Z367+AB367+AD367+AE367</f>
        <v>8.2680000000000007</v>
      </c>
      <c r="AG367" t="s">
        <v>43</v>
      </c>
    </row>
    <row r="368" spans="1:33" ht="15" customHeight="1" x14ac:dyDescent="0.35">
      <c r="A368">
        <v>690929</v>
      </c>
      <c r="B368" t="s">
        <v>33</v>
      </c>
      <c r="C368" t="s">
        <v>34</v>
      </c>
      <c r="D368" s="6" t="s">
        <v>33</v>
      </c>
      <c r="E368" t="s">
        <v>1174</v>
      </c>
      <c r="F368" t="s">
        <v>36</v>
      </c>
      <c r="G368" t="s">
        <v>37</v>
      </c>
      <c r="H368" t="s">
        <v>1175</v>
      </c>
      <c r="I368" t="s">
        <v>39</v>
      </c>
      <c r="J368">
        <v>2</v>
      </c>
      <c r="K368" t="s">
        <v>40</v>
      </c>
      <c r="L368" t="s">
        <v>41</v>
      </c>
      <c r="M368" t="s">
        <v>42</v>
      </c>
      <c r="N368" s="7">
        <v>1</v>
      </c>
      <c r="O368" s="8">
        <v>45117.700115740743</v>
      </c>
      <c r="P368" s="9">
        <v>45118</v>
      </c>
      <c r="Q368" t="s">
        <v>36</v>
      </c>
      <c r="R368" t="s">
        <v>43</v>
      </c>
      <c r="S368" t="s">
        <v>44</v>
      </c>
      <c r="T368" t="s">
        <v>57</v>
      </c>
      <c r="U368" t="s">
        <v>1176</v>
      </c>
      <c r="V368">
        <v>68100</v>
      </c>
      <c r="W368" t="s">
        <v>43</v>
      </c>
      <c r="X368" t="s">
        <v>158</v>
      </c>
      <c r="Y368" t="s">
        <v>48</v>
      </c>
      <c r="Z368" s="10">
        <f>IF(N368&lt;=1,7,7+0.8*ROUNDUP(N368-1,0))</f>
        <v>7</v>
      </c>
      <c r="AA368" s="11">
        <v>0</v>
      </c>
      <c r="AB368" s="11">
        <v>0</v>
      </c>
      <c r="AC368" s="11">
        <v>0</v>
      </c>
      <c r="AD368" s="11">
        <v>0</v>
      </c>
      <c r="AE368" s="11">
        <f>(Z368+AB368+AD368)*6%</f>
        <v>0.42</v>
      </c>
      <c r="AF368" s="11">
        <f>Z368+AB368+AD368+AE368</f>
        <v>7.42</v>
      </c>
      <c r="AG368" t="s">
        <v>43</v>
      </c>
    </row>
    <row r="369" spans="1:33" ht="15" customHeight="1" x14ac:dyDescent="0.35">
      <c r="A369">
        <v>690929</v>
      </c>
      <c r="B369" t="s">
        <v>33</v>
      </c>
      <c r="C369" t="s">
        <v>34</v>
      </c>
      <c r="D369" s="6" t="s">
        <v>33</v>
      </c>
      <c r="E369" t="s">
        <v>1177</v>
      </c>
      <c r="F369" t="s">
        <v>36</v>
      </c>
      <c r="G369" t="s">
        <v>37</v>
      </c>
      <c r="H369" t="s">
        <v>1178</v>
      </c>
      <c r="I369" t="s">
        <v>39</v>
      </c>
      <c r="J369">
        <v>2</v>
      </c>
      <c r="K369" t="s">
        <v>40</v>
      </c>
      <c r="L369" t="s">
        <v>41</v>
      </c>
      <c r="M369" t="s">
        <v>42</v>
      </c>
      <c r="N369" s="7">
        <v>1</v>
      </c>
      <c r="O369" s="8">
        <v>45117.464074074072</v>
      </c>
      <c r="P369" s="9">
        <v>45118</v>
      </c>
      <c r="Q369" t="s">
        <v>36</v>
      </c>
      <c r="R369" t="s">
        <v>43</v>
      </c>
      <c r="S369" t="s">
        <v>44</v>
      </c>
      <c r="T369" t="s">
        <v>66</v>
      </c>
      <c r="U369" t="s">
        <v>1179</v>
      </c>
      <c r="V369">
        <v>21300</v>
      </c>
      <c r="W369" t="s">
        <v>43</v>
      </c>
      <c r="X369" t="s">
        <v>587</v>
      </c>
      <c r="Y369" t="s">
        <v>48</v>
      </c>
      <c r="Z369" s="10">
        <f>IF(N369&lt;=1,7,7+0.8*ROUNDUP(N369-1,0))</f>
        <v>7</v>
      </c>
      <c r="AA369" s="11">
        <v>0</v>
      </c>
      <c r="AB369" s="11">
        <v>0</v>
      </c>
      <c r="AC369" s="11">
        <v>0</v>
      </c>
      <c r="AD369" s="11">
        <v>0</v>
      </c>
      <c r="AE369" s="11">
        <f>(Z369+AB369+AD369)*6%</f>
        <v>0.42</v>
      </c>
      <c r="AF369" s="11">
        <f>Z369+AB369+AD369+AE369</f>
        <v>7.42</v>
      </c>
      <c r="AG369" t="s">
        <v>43</v>
      </c>
    </row>
    <row r="370" spans="1:33" ht="15" customHeight="1" x14ac:dyDescent="0.35">
      <c r="A370">
        <v>690929</v>
      </c>
      <c r="B370" t="s">
        <v>33</v>
      </c>
      <c r="C370" t="s">
        <v>34</v>
      </c>
      <c r="D370" s="6" t="s">
        <v>33</v>
      </c>
      <c r="E370" t="s">
        <v>1180</v>
      </c>
      <c r="F370" t="s">
        <v>36</v>
      </c>
      <c r="G370" t="s">
        <v>37</v>
      </c>
      <c r="H370" t="s">
        <v>1181</v>
      </c>
      <c r="I370" t="s">
        <v>39</v>
      </c>
      <c r="J370">
        <v>2</v>
      </c>
      <c r="K370" t="s">
        <v>40</v>
      </c>
      <c r="L370" t="s">
        <v>41</v>
      </c>
      <c r="M370" t="s">
        <v>42</v>
      </c>
      <c r="N370" s="7">
        <v>1</v>
      </c>
      <c r="O370" s="8">
        <v>45118.602175925924</v>
      </c>
      <c r="P370" s="9">
        <v>45119</v>
      </c>
      <c r="Q370" t="s">
        <v>36</v>
      </c>
      <c r="R370" t="s">
        <v>43</v>
      </c>
      <c r="S370" t="s">
        <v>44</v>
      </c>
      <c r="T370" t="s">
        <v>109</v>
      </c>
      <c r="U370" t="s">
        <v>1182</v>
      </c>
      <c r="V370">
        <v>16200</v>
      </c>
      <c r="W370" t="s">
        <v>43</v>
      </c>
      <c r="X370" t="s">
        <v>44</v>
      </c>
      <c r="Y370" t="s">
        <v>48</v>
      </c>
      <c r="Z370" s="10">
        <f>IF(N370&lt;=1,7,7+0.8*ROUNDUP(N370-1,0))</f>
        <v>7</v>
      </c>
      <c r="AA370" s="11">
        <v>0</v>
      </c>
      <c r="AB370" s="11">
        <v>0</v>
      </c>
      <c r="AC370" s="11">
        <v>0</v>
      </c>
      <c r="AD370" s="11">
        <v>0</v>
      </c>
      <c r="AE370" s="11">
        <f>(Z370+AB370+AD370)*6%</f>
        <v>0.42</v>
      </c>
      <c r="AF370" s="11">
        <f>Z370+AB370+AD370+AE370</f>
        <v>7.42</v>
      </c>
      <c r="AG370" t="s">
        <v>43</v>
      </c>
    </row>
    <row r="371" spans="1:33" ht="15" customHeight="1" x14ac:dyDescent="0.35">
      <c r="A371">
        <v>690929</v>
      </c>
      <c r="B371" t="s">
        <v>33</v>
      </c>
      <c r="C371" t="s">
        <v>34</v>
      </c>
      <c r="D371" s="6" t="s">
        <v>33</v>
      </c>
      <c r="E371" t="s">
        <v>1183</v>
      </c>
      <c r="F371" t="s">
        <v>36</v>
      </c>
      <c r="G371" t="s">
        <v>37</v>
      </c>
      <c r="H371" t="s">
        <v>1128</v>
      </c>
      <c r="I371" t="s">
        <v>39</v>
      </c>
      <c r="J371">
        <v>2</v>
      </c>
      <c r="K371" t="s">
        <v>40</v>
      </c>
      <c r="L371" t="s">
        <v>41</v>
      </c>
      <c r="M371" t="s">
        <v>42</v>
      </c>
      <c r="N371" s="7">
        <v>1</v>
      </c>
      <c r="O371" s="8">
        <v>45117.684421296297</v>
      </c>
      <c r="P371" s="9">
        <v>45119</v>
      </c>
      <c r="Q371" t="s">
        <v>36</v>
      </c>
      <c r="R371" t="s">
        <v>43</v>
      </c>
      <c r="S371" t="s">
        <v>44</v>
      </c>
      <c r="T371" t="s">
        <v>70</v>
      </c>
      <c r="U371" t="s">
        <v>1129</v>
      </c>
      <c r="V371">
        <v>13700</v>
      </c>
      <c r="W371" t="s">
        <v>43</v>
      </c>
      <c r="X371" t="s">
        <v>259</v>
      </c>
      <c r="Y371" t="s">
        <v>48</v>
      </c>
      <c r="Z371" s="10">
        <f>IF(N371&lt;=1,7,7+0.8*ROUNDUP(N371-1,0))</f>
        <v>7</v>
      </c>
      <c r="AA371" s="11">
        <v>0</v>
      </c>
      <c r="AB371" s="11">
        <v>0</v>
      </c>
      <c r="AC371" s="11">
        <v>0</v>
      </c>
      <c r="AD371" s="11">
        <v>0</v>
      </c>
      <c r="AE371" s="11">
        <f>(Z371+AB371+AD371)*6%</f>
        <v>0.42</v>
      </c>
      <c r="AF371" s="11">
        <f>Z371+AB371+AD371+AE371</f>
        <v>7.42</v>
      </c>
      <c r="AG371" t="s">
        <v>43</v>
      </c>
    </row>
    <row r="372" spans="1:33" ht="15" customHeight="1" x14ac:dyDescent="0.35">
      <c r="A372">
        <v>690929</v>
      </c>
      <c r="B372" t="s">
        <v>33</v>
      </c>
      <c r="C372" t="s">
        <v>34</v>
      </c>
      <c r="D372" s="6" t="s">
        <v>33</v>
      </c>
      <c r="E372" t="s">
        <v>1184</v>
      </c>
      <c r="F372" t="s">
        <v>36</v>
      </c>
      <c r="G372" t="s">
        <v>37</v>
      </c>
      <c r="H372" t="s">
        <v>1185</v>
      </c>
      <c r="I372" t="s">
        <v>39</v>
      </c>
      <c r="J372">
        <v>2</v>
      </c>
      <c r="K372" t="s">
        <v>40</v>
      </c>
      <c r="L372" t="s">
        <v>41</v>
      </c>
      <c r="M372" t="s">
        <v>42</v>
      </c>
      <c r="N372" s="7">
        <v>1</v>
      </c>
      <c r="O372" s="8">
        <v>45118.602326388886</v>
      </c>
      <c r="P372" s="9">
        <v>45119</v>
      </c>
      <c r="Q372" t="s">
        <v>36</v>
      </c>
      <c r="R372" t="s">
        <v>43</v>
      </c>
      <c r="S372" t="s">
        <v>44</v>
      </c>
      <c r="T372" t="s">
        <v>57</v>
      </c>
      <c r="U372" t="s">
        <v>1186</v>
      </c>
      <c r="V372">
        <v>42100</v>
      </c>
      <c r="W372" t="s">
        <v>43</v>
      </c>
      <c r="X372" t="s">
        <v>47</v>
      </c>
      <c r="Y372" t="s">
        <v>48</v>
      </c>
      <c r="Z372" s="10">
        <f>IF(N372&lt;=1,7,7+0.8*ROUNDUP(N372-1,0))</f>
        <v>7</v>
      </c>
      <c r="AA372" s="11">
        <v>0</v>
      </c>
      <c r="AB372" s="11">
        <v>0</v>
      </c>
      <c r="AC372" s="11">
        <v>0</v>
      </c>
      <c r="AD372" s="11">
        <v>0</v>
      </c>
      <c r="AE372" s="11">
        <f>(Z372+AB372+AD372)*6%</f>
        <v>0.42</v>
      </c>
      <c r="AF372" s="11">
        <f>Z372+AB372+AD372+AE372</f>
        <v>7.42</v>
      </c>
      <c r="AG372" t="s">
        <v>43</v>
      </c>
    </row>
    <row r="373" spans="1:33" ht="15" customHeight="1" x14ac:dyDescent="0.35">
      <c r="A373">
        <v>690929</v>
      </c>
      <c r="B373" t="s">
        <v>33</v>
      </c>
      <c r="C373" t="s">
        <v>34</v>
      </c>
      <c r="D373" s="6" t="s">
        <v>33</v>
      </c>
      <c r="E373" t="s">
        <v>1187</v>
      </c>
      <c r="F373" t="s">
        <v>36</v>
      </c>
      <c r="G373" t="s">
        <v>37</v>
      </c>
      <c r="H373" t="s">
        <v>1188</v>
      </c>
      <c r="I373" t="s">
        <v>39</v>
      </c>
      <c r="J373">
        <v>2</v>
      </c>
      <c r="K373" t="s">
        <v>40</v>
      </c>
      <c r="L373" t="s">
        <v>41</v>
      </c>
      <c r="M373" t="s">
        <v>42</v>
      </c>
      <c r="N373" s="7">
        <v>1</v>
      </c>
      <c r="O373" s="8">
        <v>45117.684421296297</v>
      </c>
      <c r="P373" s="9">
        <v>45119</v>
      </c>
      <c r="Q373" t="s">
        <v>36</v>
      </c>
      <c r="R373" t="s">
        <v>43</v>
      </c>
      <c r="S373" t="s">
        <v>44</v>
      </c>
      <c r="T373" t="s">
        <v>51</v>
      </c>
      <c r="U373" t="s">
        <v>1189</v>
      </c>
      <c r="V373">
        <v>30020</v>
      </c>
      <c r="W373" t="s">
        <v>43</v>
      </c>
      <c r="X373" t="s">
        <v>244</v>
      </c>
      <c r="Y373" t="s">
        <v>48</v>
      </c>
      <c r="Z373" s="10">
        <f>IF(N373&lt;=1,7,7+0.8*ROUNDUP(N373-1,0))</f>
        <v>7</v>
      </c>
      <c r="AA373" s="11">
        <v>0</v>
      </c>
      <c r="AB373" s="11">
        <v>0</v>
      </c>
      <c r="AC373" s="11">
        <v>0</v>
      </c>
      <c r="AD373" s="11">
        <v>0</v>
      </c>
      <c r="AE373" s="11">
        <f>(Z373+AB373+AD373)*6%</f>
        <v>0.42</v>
      </c>
      <c r="AF373" s="11">
        <f>Z373+AB373+AD373+AE373</f>
        <v>7.42</v>
      </c>
      <c r="AG373" t="s">
        <v>43</v>
      </c>
    </row>
    <row r="374" spans="1:33" ht="15" customHeight="1" x14ac:dyDescent="0.35">
      <c r="A374">
        <v>690929</v>
      </c>
      <c r="B374" t="s">
        <v>33</v>
      </c>
      <c r="C374" t="s">
        <v>34</v>
      </c>
      <c r="D374" s="6" t="s">
        <v>33</v>
      </c>
      <c r="E374" t="s">
        <v>1190</v>
      </c>
      <c r="F374" t="s">
        <v>36</v>
      </c>
      <c r="G374" t="s">
        <v>37</v>
      </c>
      <c r="H374" t="s">
        <v>1191</v>
      </c>
      <c r="I374" t="s">
        <v>39</v>
      </c>
      <c r="J374">
        <v>2</v>
      </c>
      <c r="K374" t="s">
        <v>40</v>
      </c>
      <c r="L374" t="s">
        <v>41</v>
      </c>
      <c r="M374" t="s">
        <v>42</v>
      </c>
      <c r="N374" s="7">
        <v>1</v>
      </c>
      <c r="O374" s="8">
        <v>45118.590856481482</v>
      </c>
      <c r="P374" s="9">
        <v>45119</v>
      </c>
      <c r="Q374" t="s">
        <v>36</v>
      </c>
      <c r="R374" t="s">
        <v>43</v>
      </c>
      <c r="S374" t="s">
        <v>44</v>
      </c>
      <c r="T374" t="s">
        <v>57</v>
      </c>
      <c r="U374" t="s">
        <v>1192</v>
      </c>
      <c r="V374">
        <v>43800</v>
      </c>
      <c r="W374" t="s">
        <v>43</v>
      </c>
      <c r="X374" t="s">
        <v>47</v>
      </c>
      <c r="Y374" t="s">
        <v>48</v>
      </c>
      <c r="Z374" s="10">
        <f>IF(N374&lt;=1,7,7+0.8*ROUNDUP(N374-1,0))</f>
        <v>7</v>
      </c>
      <c r="AA374" s="11">
        <v>0</v>
      </c>
      <c r="AB374" s="11">
        <v>0</v>
      </c>
      <c r="AC374" s="11">
        <v>0</v>
      </c>
      <c r="AD374" s="11">
        <v>0</v>
      </c>
      <c r="AE374" s="11">
        <f>(Z374+AB374+AD374)*6%</f>
        <v>0.42</v>
      </c>
      <c r="AF374" s="11">
        <f>Z374+AB374+AD374+AE374</f>
        <v>7.42</v>
      </c>
      <c r="AG374" t="s">
        <v>43</v>
      </c>
    </row>
    <row r="375" spans="1:33" ht="15" customHeight="1" x14ac:dyDescent="0.35">
      <c r="A375">
        <v>690929</v>
      </c>
      <c r="B375" t="s">
        <v>33</v>
      </c>
      <c r="C375" t="s">
        <v>34</v>
      </c>
      <c r="D375" s="6" t="s">
        <v>33</v>
      </c>
      <c r="E375" t="s">
        <v>1193</v>
      </c>
      <c r="F375" t="s">
        <v>36</v>
      </c>
      <c r="G375" t="s">
        <v>37</v>
      </c>
      <c r="H375" t="s">
        <v>1194</v>
      </c>
      <c r="I375" t="s">
        <v>39</v>
      </c>
      <c r="J375">
        <v>2</v>
      </c>
      <c r="K375" t="s">
        <v>40</v>
      </c>
      <c r="L375" t="s">
        <v>41</v>
      </c>
      <c r="M375" t="s">
        <v>42</v>
      </c>
      <c r="N375" s="7">
        <v>8</v>
      </c>
      <c r="O375" s="8">
        <v>45118.413912037038</v>
      </c>
      <c r="P375" s="9">
        <v>45119</v>
      </c>
      <c r="Q375" t="s">
        <v>36</v>
      </c>
      <c r="R375" t="s">
        <v>43</v>
      </c>
      <c r="S375" t="s">
        <v>44</v>
      </c>
      <c r="T375" t="s">
        <v>57</v>
      </c>
      <c r="U375" t="s">
        <v>1195</v>
      </c>
      <c r="V375">
        <v>43900</v>
      </c>
      <c r="W375" t="s">
        <v>43</v>
      </c>
      <c r="X375" t="s">
        <v>1104</v>
      </c>
      <c r="Y375" t="s">
        <v>48</v>
      </c>
      <c r="Z375" s="10">
        <f>IF(N375&lt;=1,7,7+0.8*ROUNDUP(N375-1,0))</f>
        <v>12.600000000000001</v>
      </c>
      <c r="AA375" s="11">
        <v>0</v>
      </c>
      <c r="AB375" s="11">
        <v>0</v>
      </c>
      <c r="AC375" s="11">
        <v>0</v>
      </c>
      <c r="AD375" s="11">
        <v>0</v>
      </c>
      <c r="AE375" s="11">
        <f>(Z375+AB375+AD375)*6%</f>
        <v>0.75600000000000001</v>
      </c>
      <c r="AF375" s="11">
        <f>Z375+AB375+AD375+AE375</f>
        <v>13.356000000000002</v>
      </c>
      <c r="AG375" t="s">
        <v>43</v>
      </c>
    </row>
    <row r="376" spans="1:33" ht="15" customHeight="1" x14ac:dyDescent="0.35">
      <c r="A376">
        <v>690929</v>
      </c>
      <c r="B376" t="s">
        <v>33</v>
      </c>
      <c r="C376" t="s">
        <v>34</v>
      </c>
      <c r="D376" s="6" t="s">
        <v>33</v>
      </c>
      <c r="E376" t="s">
        <v>1196</v>
      </c>
      <c r="F376" t="s">
        <v>36</v>
      </c>
      <c r="G376" t="s">
        <v>37</v>
      </c>
      <c r="H376" t="s">
        <v>1197</v>
      </c>
      <c r="I376" t="s">
        <v>39</v>
      </c>
      <c r="J376">
        <v>2</v>
      </c>
      <c r="K376" t="s">
        <v>40</v>
      </c>
      <c r="L376" t="s">
        <v>41</v>
      </c>
      <c r="M376" t="s">
        <v>42</v>
      </c>
      <c r="N376" s="7">
        <v>1</v>
      </c>
      <c r="O376" s="8">
        <v>45118.602175925924</v>
      </c>
      <c r="P376" s="9">
        <v>45119</v>
      </c>
      <c r="Q376" t="s">
        <v>36</v>
      </c>
      <c r="R376" t="s">
        <v>43</v>
      </c>
      <c r="S376" t="s">
        <v>44</v>
      </c>
      <c r="T376" t="s">
        <v>66</v>
      </c>
      <c r="U376" t="s">
        <v>1198</v>
      </c>
      <c r="V376">
        <v>22040</v>
      </c>
      <c r="W376" t="s">
        <v>43</v>
      </c>
      <c r="X376" t="s">
        <v>44</v>
      </c>
      <c r="Y376" t="s">
        <v>48</v>
      </c>
      <c r="Z376" s="10">
        <f>IF(N376&lt;=1,7,7+0.8*ROUNDUP(N376-1,0))</f>
        <v>7</v>
      </c>
      <c r="AA376" s="11">
        <v>0</v>
      </c>
      <c r="AB376" s="11">
        <v>0</v>
      </c>
      <c r="AC376" s="11">
        <v>0</v>
      </c>
      <c r="AD376" s="11">
        <v>0</v>
      </c>
      <c r="AE376" s="11">
        <f>(Z376+AB376+AD376)*6%</f>
        <v>0.42</v>
      </c>
      <c r="AF376" s="11">
        <f>Z376+AB376+AD376+AE376</f>
        <v>7.42</v>
      </c>
      <c r="AG376" t="s">
        <v>43</v>
      </c>
    </row>
    <row r="377" spans="1:33" ht="15" customHeight="1" x14ac:dyDescent="0.35">
      <c r="A377">
        <v>690929</v>
      </c>
      <c r="B377" t="s">
        <v>33</v>
      </c>
      <c r="C377" t="s">
        <v>34</v>
      </c>
      <c r="D377" s="6" t="s">
        <v>33</v>
      </c>
      <c r="E377" t="s">
        <v>1199</v>
      </c>
      <c r="F377" t="s">
        <v>36</v>
      </c>
      <c r="G377" t="s">
        <v>37</v>
      </c>
      <c r="H377" t="s">
        <v>1200</v>
      </c>
      <c r="I377" t="s">
        <v>39</v>
      </c>
      <c r="J377">
        <v>2</v>
      </c>
      <c r="K377" t="s">
        <v>40</v>
      </c>
      <c r="L377" t="s">
        <v>41</v>
      </c>
      <c r="M377" t="s">
        <v>42</v>
      </c>
      <c r="N377" s="7">
        <v>1</v>
      </c>
      <c r="O377" s="8">
        <v>45118.627280092594</v>
      </c>
      <c r="P377" s="9">
        <v>45119</v>
      </c>
      <c r="Q377" t="s">
        <v>36</v>
      </c>
      <c r="R377" t="s">
        <v>43</v>
      </c>
      <c r="S377" t="s">
        <v>44</v>
      </c>
      <c r="T377" t="s">
        <v>66</v>
      </c>
      <c r="U377" t="s">
        <v>1201</v>
      </c>
      <c r="V377">
        <v>22200</v>
      </c>
      <c r="W377" t="s">
        <v>43</v>
      </c>
      <c r="X377" t="s">
        <v>44</v>
      </c>
      <c r="Y377" t="s">
        <v>48</v>
      </c>
      <c r="Z377" s="10">
        <f>IF(N377&lt;=1,7,7+0.8*ROUNDUP(N377-1,0))</f>
        <v>7</v>
      </c>
      <c r="AA377" s="11">
        <v>0</v>
      </c>
      <c r="AB377" s="11">
        <v>0</v>
      </c>
      <c r="AC377" s="11">
        <v>0</v>
      </c>
      <c r="AD377" s="11">
        <v>0</v>
      </c>
      <c r="AE377" s="11">
        <f>(Z377+AB377+AD377)*6%</f>
        <v>0.42</v>
      </c>
      <c r="AF377" s="11">
        <f>Z377+AB377+AD377+AE377</f>
        <v>7.42</v>
      </c>
      <c r="AG377" t="s">
        <v>43</v>
      </c>
    </row>
    <row r="378" spans="1:33" ht="15" customHeight="1" x14ac:dyDescent="0.35">
      <c r="A378">
        <v>690929</v>
      </c>
      <c r="B378" t="s">
        <v>33</v>
      </c>
      <c r="C378" t="s">
        <v>34</v>
      </c>
      <c r="D378" s="6" t="s">
        <v>33</v>
      </c>
      <c r="E378" t="s">
        <v>1202</v>
      </c>
      <c r="F378" t="s">
        <v>36</v>
      </c>
      <c r="G378" t="s">
        <v>37</v>
      </c>
      <c r="H378" t="s">
        <v>1203</v>
      </c>
      <c r="I378" t="s">
        <v>39</v>
      </c>
      <c r="J378">
        <v>2</v>
      </c>
      <c r="K378" t="s">
        <v>40</v>
      </c>
      <c r="L378" t="s">
        <v>41</v>
      </c>
      <c r="M378" t="s">
        <v>42</v>
      </c>
      <c r="N378" s="7">
        <v>1</v>
      </c>
      <c r="O378" s="8">
        <v>45118.667974537035</v>
      </c>
      <c r="P378" s="9">
        <v>45119</v>
      </c>
      <c r="Q378" t="s">
        <v>36</v>
      </c>
      <c r="R378" t="s">
        <v>43</v>
      </c>
      <c r="S378" t="s">
        <v>44</v>
      </c>
      <c r="T378" t="s">
        <v>57</v>
      </c>
      <c r="U378" t="s">
        <v>1204</v>
      </c>
      <c r="V378">
        <v>41400</v>
      </c>
      <c r="W378" t="s">
        <v>43</v>
      </c>
      <c r="X378" t="s">
        <v>47</v>
      </c>
      <c r="Y378" t="s">
        <v>48</v>
      </c>
      <c r="Z378" s="10">
        <f>IF(N378&lt;=1,7,7+0.8*ROUNDUP(N378-1,0))</f>
        <v>7</v>
      </c>
      <c r="AA378" s="11">
        <v>0</v>
      </c>
      <c r="AB378" s="11">
        <v>0</v>
      </c>
      <c r="AC378" s="11">
        <v>0</v>
      </c>
      <c r="AD378" s="11">
        <v>0</v>
      </c>
      <c r="AE378" s="11">
        <f>(Z378+AB378+AD378)*6%</f>
        <v>0.42</v>
      </c>
      <c r="AF378" s="11">
        <f>Z378+AB378+AD378+AE378</f>
        <v>7.42</v>
      </c>
      <c r="AG378" t="s">
        <v>43</v>
      </c>
    </row>
    <row r="379" spans="1:33" ht="15" customHeight="1" x14ac:dyDescent="0.35">
      <c r="A379">
        <v>690929</v>
      </c>
      <c r="B379" t="s">
        <v>33</v>
      </c>
      <c r="C379" t="s">
        <v>34</v>
      </c>
      <c r="D379" s="6" t="s">
        <v>33</v>
      </c>
      <c r="E379" t="s">
        <v>1205</v>
      </c>
      <c r="F379" t="s">
        <v>36</v>
      </c>
      <c r="G379" t="s">
        <v>37</v>
      </c>
      <c r="H379" t="s">
        <v>1206</v>
      </c>
      <c r="I379" t="s">
        <v>39</v>
      </c>
      <c r="J379">
        <v>2</v>
      </c>
      <c r="K379" t="s">
        <v>40</v>
      </c>
      <c r="L379" t="s">
        <v>41</v>
      </c>
      <c r="M379" t="s">
        <v>42</v>
      </c>
      <c r="N379" s="7">
        <v>4</v>
      </c>
      <c r="O379" s="8">
        <v>45117.576689814814</v>
      </c>
      <c r="P379" s="9">
        <v>45119</v>
      </c>
      <c r="Q379" t="s">
        <v>36</v>
      </c>
      <c r="R379" t="s">
        <v>43</v>
      </c>
      <c r="S379" t="s">
        <v>44</v>
      </c>
      <c r="T379" t="s">
        <v>61</v>
      </c>
      <c r="U379" t="s">
        <v>1207</v>
      </c>
      <c r="V379">
        <v>81550</v>
      </c>
      <c r="W379" t="s">
        <v>43</v>
      </c>
      <c r="X379" t="s">
        <v>1208</v>
      </c>
      <c r="Y379" t="s">
        <v>48</v>
      </c>
      <c r="Z379" s="10">
        <f>IF(N379&lt;=1,7,7+0.8*ROUNDUP(N379-1,0))</f>
        <v>9.4</v>
      </c>
      <c r="AA379" s="11">
        <v>0</v>
      </c>
      <c r="AB379" s="11">
        <v>0</v>
      </c>
      <c r="AC379" s="11">
        <v>0</v>
      </c>
      <c r="AD379" s="11">
        <v>0</v>
      </c>
      <c r="AE379" s="11">
        <f>(Z379+AB379+AD379)*6%</f>
        <v>0.56399999999999995</v>
      </c>
      <c r="AF379" s="11">
        <f>Z379+AB379+AD379+AE379</f>
        <v>9.9640000000000004</v>
      </c>
      <c r="AG379" t="s">
        <v>43</v>
      </c>
    </row>
    <row r="380" spans="1:33" ht="15" customHeight="1" x14ac:dyDescent="0.35">
      <c r="A380">
        <v>690929</v>
      </c>
      <c r="B380" t="s">
        <v>33</v>
      </c>
      <c r="C380" t="s">
        <v>34</v>
      </c>
      <c r="D380" s="6" t="s">
        <v>33</v>
      </c>
      <c r="E380" t="s">
        <v>1209</v>
      </c>
      <c r="F380" t="s">
        <v>36</v>
      </c>
      <c r="G380" t="s">
        <v>37</v>
      </c>
      <c r="H380" t="s">
        <v>1210</v>
      </c>
      <c r="I380" t="s">
        <v>39</v>
      </c>
      <c r="J380">
        <v>2</v>
      </c>
      <c r="K380" t="s">
        <v>40</v>
      </c>
      <c r="L380" t="s">
        <v>41</v>
      </c>
      <c r="M380" t="s">
        <v>42</v>
      </c>
      <c r="N380" s="7">
        <v>1</v>
      </c>
      <c r="O380" s="8">
        <v>45118.602175925924</v>
      </c>
      <c r="P380" s="9">
        <v>45119</v>
      </c>
      <c r="Q380" t="s">
        <v>36</v>
      </c>
      <c r="R380" t="s">
        <v>43</v>
      </c>
      <c r="S380" t="s">
        <v>44</v>
      </c>
      <c r="T380" t="s">
        <v>89</v>
      </c>
      <c r="U380" t="s">
        <v>1211</v>
      </c>
      <c r="V380">
        <v>25200</v>
      </c>
      <c r="W380" t="s">
        <v>43</v>
      </c>
      <c r="X380" t="s">
        <v>44</v>
      </c>
      <c r="Y380" t="s">
        <v>48</v>
      </c>
      <c r="Z380" s="10">
        <f>IF(N380&lt;=1,7,7+0.8*ROUNDUP(N380-1,0))</f>
        <v>7</v>
      </c>
      <c r="AA380" s="11">
        <v>0</v>
      </c>
      <c r="AB380" s="11">
        <v>0</v>
      </c>
      <c r="AC380" s="11">
        <v>0</v>
      </c>
      <c r="AD380" s="11">
        <v>0</v>
      </c>
      <c r="AE380" s="11">
        <f>(Z380+AB380+AD380)*6%</f>
        <v>0.42</v>
      </c>
      <c r="AF380" s="11">
        <f>Z380+AB380+AD380+AE380</f>
        <v>7.42</v>
      </c>
      <c r="AG380" t="s">
        <v>43</v>
      </c>
    </row>
    <row r="381" spans="1:33" ht="15" customHeight="1" x14ac:dyDescent="0.35">
      <c r="A381">
        <v>690929</v>
      </c>
      <c r="B381" t="s">
        <v>33</v>
      </c>
      <c r="C381" t="s">
        <v>34</v>
      </c>
      <c r="D381" s="6" t="s">
        <v>33</v>
      </c>
      <c r="E381" t="s">
        <v>1212</v>
      </c>
      <c r="F381" t="s">
        <v>36</v>
      </c>
      <c r="G381" t="s">
        <v>37</v>
      </c>
      <c r="H381" t="s">
        <v>1213</v>
      </c>
      <c r="I381" t="s">
        <v>39</v>
      </c>
      <c r="J381">
        <v>2</v>
      </c>
      <c r="K381" t="s">
        <v>40</v>
      </c>
      <c r="L381" t="s">
        <v>41</v>
      </c>
      <c r="M381" t="s">
        <v>42</v>
      </c>
      <c r="N381" s="7">
        <v>4</v>
      </c>
      <c r="O381" s="8">
        <v>45118.667974537035</v>
      </c>
      <c r="P381" s="9">
        <v>45119</v>
      </c>
      <c r="Q381" t="s">
        <v>36</v>
      </c>
      <c r="R381" t="s">
        <v>43</v>
      </c>
      <c r="S381" t="s">
        <v>44</v>
      </c>
      <c r="T381" t="s">
        <v>66</v>
      </c>
      <c r="U381" t="s">
        <v>1214</v>
      </c>
      <c r="V381">
        <v>21600</v>
      </c>
      <c r="W381" t="s">
        <v>43</v>
      </c>
      <c r="X381" t="s">
        <v>1215</v>
      </c>
      <c r="Y381" t="s">
        <v>48</v>
      </c>
      <c r="Z381" s="10">
        <f>IF(N381&lt;=1,7,7+0.8*ROUNDUP(N381-1,0))</f>
        <v>9.4</v>
      </c>
      <c r="AA381" s="11">
        <v>0</v>
      </c>
      <c r="AB381" s="11">
        <v>0</v>
      </c>
      <c r="AC381" s="11">
        <v>0</v>
      </c>
      <c r="AD381" s="11">
        <v>0</v>
      </c>
      <c r="AE381" s="11">
        <f>(Z381+AB381+AD381)*6%</f>
        <v>0.56399999999999995</v>
      </c>
      <c r="AF381" s="11">
        <f>Z381+AB381+AD381+AE381</f>
        <v>9.9640000000000004</v>
      </c>
      <c r="AG381" t="s">
        <v>43</v>
      </c>
    </row>
    <row r="382" spans="1:33" ht="15" customHeight="1" x14ac:dyDescent="0.35">
      <c r="A382">
        <v>690929</v>
      </c>
      <c r="B382" t="s">
        <v>33</v>
      </c>
      <c r="C382" t="s">
        <v>34</v>
      </c>
      <c r="D382" s="6" t="s">
        <v>33</v>
      </c>
      <c r="E382" t="s">
        <v>1216</v>
      </c>
      <c r="F382" t="s">
        <v>36</v>
      </c>
      <c r="G382" t="s">
        <v>37</v>
      </c>
      <c r="H382" t="s">
        <v>1217</v>
      </c>
      <c r="I382" t="s">
        <v>39</v>
      </c>
      <c r="J382">
        <v>2</v>
      </c>
      <c r="K382" t="s">
        <v>40</v>
      </c>
      <c r="L382" t="s">
        <v>41</v>
      </c>
      <c r="M382" t="s">
        <v>42</v>
      </c>
      <c r="N382" s="7">
        <v>1</v>
      </c>
      <c r="O382" s="8">
        <v>45118.590856481482</v>
      </c>
      <c r="P382" s="9">
        <v>45119</v>
      </c>
      <c r="Q382" t="s">
        <v>36</v>
      </c>
      <c r="R382" t="s">
        <v>43</v>
      </c>
      <c r="S382" t="s">
        <v>44</v>
      </c>
      <c r="T382" t="s">
        <v>75</v>
      </c>
      <c r="U382" t="s">
        <v>1218</v>
      </c>
      <c r="V382">
        <v>51200</v>
      </c>
      <c r="W382" t="s">
        <v>43</v>
      </c>
      <c r="X382" t="s">
        <v>47</v>
      </c>
      <c r="Y382" t="s">
        <v>48</v>
      </c>
      <c r="Z382" s="10">
        <f>IF(N382&lt;=1,7,7+0.8*ROUNDUP(N382-1,0))</f>
        <v>7</v>
      </c>
      <c r="AA382" s="11">
        <v>0</v>
      </c>
      <c r="AB382" s="11">
        <v>0</v>
      </c>
      <c r="AC382" s="11">
        <v>0</v>
      </c>
      <c r="AD382" s="11">
        <v>0</v>
      </c>
      <c r="AE382" s="11">
        <f>(Z382+AB382+AD382)*6%</f>
        <v>0.42</v>
      </c>
      <c r="AF382" s="11">
        <f>Z382+AB382+AD382+AE382</f>
        <v>7.42</v>
      </c>
      <c r="AG382" t="s">
        <v>43</v>
      </c>
    </row>
    <row r="383" spans="1:33" ht="15" customHeight="1" x14ac:dyDescent="0.35">
      <c r="A383">
        <v>690929</v>
      </c>
      <c r="B383" t="s">
        <v>33</v>
      </c>
      <c r="C383" t="s">
        <v>34</v>
      </c>
      <c r="D383" s="6" t="s">
        <v>33</v>
      </c>
      <c r="E383" t="s">
        <v>1219</v>
      </c>
      <c r="F383" t="s">
        <v>36</v>
      </c>
      <c r="G383" t="s">
        <v>37</v>
      </c>
      <c r="H383" t="s">
        <v>1220</v>
      </c>
      <c r="I383" t="s">
        <v>39</v>
      </c>
      <c r="J383">
        <v>2</v>
      </c>
      <c r="K383" t="s">
        <v>40</v>
      </c>
      <c r="L383" t="s">
        <v>41</v>
      </c>
      <c r="M383" t="s">
        <v>42</v>
      </c>
      <c r="N383" s="7">
        <v>1</v>
      </c>
      <c r="O383" s="8">
        <v>45118.602175925924</v>
      </c>
      <c r="P383" s="9">
        <v>45119</v>
      </c>
      <c r="Q383" t="s">
        <v>36</v>
      </c>
      <c r="R383" t="s">
        <v>43</v>
      </c>
      <c r="S383" t="s">
        <v>44</v>
      </c>
      <c r="T383" t="s">
        <v>57</v>
      </c>
      <c r="U383" t="s">
        <v>1221</v>
      </c>
      <c r="V383">
        <v>52000</v>
      </c>
      <c r="W383" t="s">
        <v>43</v>
      </c>
      <c r="X383" t="s">
        <v>47</v>
      </c>
      <c r="Y383" t="s">
        <v>48</v>
      </c>
      <c r="Z383" s="10">
        <f>IF(N383&lt;=1,7,7+0.8*ROUNDUP(N383-1,0))</f>
        <v>7</v>
      </c>
      <c r="AA383" s="11">
        <v>0</v>
      </c>
      <c r="AB383" s="11">
        <v>0</v>
      </c>
      <c r="AC383" s="11">
        <v>0</v>
      </c>
      <c r="AD383" s="11">
        <v>0</v>
      </c>
      <c r="AE383" s="11">
        <f>(Z383+AB383+AD383)*6%</f>
        <v>0.42</v>
      </c>
      <c r="AF383" s="11">
        <f>Z383+AB383+AD383+AE383</f>
        <v>7.42</v>
      </c>
      <c r="AG383" t="s">
        <v>43</v>
      </c>
    </row>
    <row r="384" spans="1:33" ht="15" customHeight="1" x14ac:dyDescent="0.35">
      <c r="A384">
        <v>690929</v>
      </c>
      <c r="B384" t="s">
        <v>33</v>
      </c>
      <c r="C384" t="s">
        <v>34</v>
      </c>
      <c r="D384" s="6" t="s">
        <v>33</v>
      </c>
      <c r="E384" t="s">
        <v>1222</v>
      </c>
      <c r="F384" t="s">
        <v>36</v>
      </c>
      <c r="G384" t="s">
        <v>37</v>
      </c>
      <c r="H384" t="s">
        <v>1223</v>
      </c>
      <c r="I384" t="s">
        <v>39</v>
      </c>
      <c r="J384">
        <v>2</v>
      </c>
      <c r="K384" t="s">
        <v>40</v>
      </c>
      <c r="L384" t="s">
        <v>41</v>
      </c>
      <c r="M384" t="s">
        <v>42</v>
      </c>
      <c r="N384" s="7">
        <v>1</v>
      </c>
      <c r="O384" s="8">
        <v>45116.641956018517</v>
      </c>
      <c r="P384" s="9">
        <v>45119</v>
      </c>
      <c r="Q384" t="s">
        <v>36</v>
      </c>
      <c r="R384" t="s">
        <v>43</v>
      </c>
      <c r="S384" t="s">
        <v>44</v>
      </c>
      <c r="T384" t="s">
        <v>61</v>
      </c>
      <c r="U384" t="s">
        <v>1224</v>
      </c>
      <c r="V384">
        <v>81200</v>
      </c>
      <c r="W384" t="s">
        <v>43</v>
      </c>
      <c r="X384" t="s">
        <v>1225</v>
      </c>
      <c r="Y384" t="s">
        <v>48</v>
      </c>
      <c r="Z384" s="10">
        <f>IF(N384&lt;=1,7,7+0.8*ROUNDUP(N384-1,0))</f>
        <v>7</v>
      </c>
      <c r="AA384" s="11">
        <v>0</v>
      </c>
      <c r="AB384" s="11">
        <v>0</v>
      </c>
      <c r="AC384" s="11">
        <v>0</v>
      </c>
      <c r="AD384" s="11">
        <v>0</v>
      </c>
      <c r="AE384" s="11">
        <f>(Z384+AB384+AD384)*6%</f>
        <v>0.42</v>
      </c>
      <c r="AF384" s="11">
        <f>Z384+AB384+AD384+AE384</f>
        <v>7.42</v>
      </c>
      <c r="AG384" t="s">
        <v>43</v>
      </c>
    </row>
    <row r="385" spans="1:33" ht="15" customHeight="1" x14ac:dyDescent="0.35">
      <c r="A385">
        <v>690929</v>
      </c>
      <c r="B385" t="s">
        <v>33</v>
      </c>
      <c r="C385" t="s">
        <v>34</v>
      </c>
      <c r="D385" s="6" t="s">
        <v>33</v>
      </c>
      <c r="E385" t="s">
        <v>1226</v>
      </c>
      <c r="F385" t="s">
        <v>36</v>
      </c>
      <c r="G385" t="s">
        <v>37</v>
      </c>
      <c r="H385" t="s">
        <v>1227</v>
      </c>
      <c r="I385" t="s">
        <v>39</v>
      </c>
      <c r="J385">
        <v>2</v>
      </c>
      <c r="K385" t="s">
        <v>40</v>
      </c>
      <c r="L385" t="s">
        <v>41</v>
      </c>
      <c r="M385" t="s">
        <v>42</v>
      </c>
      <c r="N385" s="7">
        <v>1</v>
      </c>
      <c r="O385" s="8">
        <v>45117.700115740743</v>
      </c>
      <c r="P385" s="9">
        <v>45119</v>
      </c>
      <c r="Q385" t="s">
        <v>36</v>
      </c>
      <c r="R385" t="s">
        <v>43</v>
      </c>
      <c r="S385" t="s">
        <v>44</v>
      </c>
      <c r="T385" t="s">
        <v>70</v>
      </c>
      <c r="U385" t="s">
        <v>1228</v>
      </c>
      <c r="V385">
        <v>11900</v>
      </c>
      <c r="W385" t="s">
        <v>43</v>
      </c>
      <c r="X385" t="s">
        <v>740</v>
      </c>
      <c r="Y385" t="s">
        <v>48</v>
      </c>
      <c r="Z385" s="10">
        <f>IF(N385&lt;=1,7,7+0.8*ROUNDUP(N385-1,0))</f>
        <v>7</v>
      </c>
      <c r="AA385" s="11">
        <v>0</v>
      </c>
      <c r="AB385" s="11">
        <v>0</v>
      </c>
      <c r="AC385" s="11">
        <v>0</v>
      </c>
      <c r="AD385" s="11">
        <v>0</v>
      </c>
      <c r="AE385" s="11">
        <f>(Z385+AB385+AD385)*6%</f>
        <v>0.42</v>
      </c>
      <c r="AF385" s="11">
        <f>Z385+AB385+AD385+AE385</f>
        <v>7.42</v>
      </c>
      <c r="AG385" t="s">
        <v>43</v>
      </c>
    </row>
    <row r="386" spans="1:33" ht="15" customHeight="1" x14ac:dyDescent="0.35">
      <c r="A386">
        <v>690929</v>
      </c>
      <c r="B386" t="s">
        <v>33</v>
      </c>
      <c r="C386" t="s">
        <v>34</v>
      </c>
      <c r="D386" s="6" t="s">
        <v>33</v>
      </c>
      <c r="E386" t="s">
        <v>1229</v>
      </c>
      <c r="F386" t="s">
        <v>36</v>
      </c>
      <c r="G386" t="s">
        <v>37</v>
      </c>
      <c r="H386" t="s">
        <v>1230</v>
      </c>
      <c r="I386" t="s">
        <v>39</v>
      </c>
      <c r="J386">
        <v>2</v>
      </c>
      <c r="K386" t="s">
        <v>40</v>
      </c>
      <c r="L386" t="s">
        <v>41</v>
      </c>
      <c r="M386" t="s">
        <v>42</v>
      </c>
      <c r="N386" s="7">
        <v>1</v>
      </c>
      <c r="O386" s="8">
        <v>45118.590856481482</v>
      </c>
      <c r="P386" s="9">
        <v>45119</v>
      </c>
      <c r="Q386" t="s">
        <v>36</v>
      </c>
      <c r="R386" t="s">
        <v>43</v>
      </c>
      <c r="S386" t="s">
        <v>44</v>
      </c>
      <c r="T386" t="s">
        <v>109</v>
      </c>
      <c r="U386" t="s">
        <v>1231</v>
      </c>
      <c r="V386">
        <v>17500</v>
      </c>
      <c r="W386" t="s">
        <v>43</v>
      </c>
      <c r="X386" t="s">
        <v>44</v>
      </c>
      <c r="Y386" t="s">
        <v>48</v>
      </c>
      <c r="Z386" s="10">
        <f>IF(N386&lt;=1,7,7+0.8*ROUNDUP(N386-1,0))</f>
        <v>7</v>
      </c>
      <c r="AA386" s="11">
        <v>0</v>
      </c>
      <c r="AB386" s="11">
        <v>0</v>
      </c>
      <c r="AC386" s="11">
        <v>0</v>
      </c>
      <c r="AD386" s="11">
        <v>0</v>
      </c>
      <c r="AE386" s="11">
        <f>(Z386+AB386+AD386)*6%</f>
        <v>0.42</v>
      </c>
      <c r="AF386" s="11">
        <f>Z386+AB386+AD386+AE386</f>
        <v>7.42</v>
      </c>
      <c r="AG386" t="s">
        <v>43</v>
      </c>
    </row>
    <row r="387" spans="1:33" ht="15" customHeight="1" x14ac:dyDescent="0.35">
      <c r="A387">
        <v>690929</v>
      </c>
      <c r="B387" t="s">
        <v>33</v>
      </c>
      <c r="C387" t="s">
        <v>34</v>
      </c>
      <c r="D387" s="6" t="s">
        <v>33</v>
      </c>
      <c r="E387" t="s">
        <v>1232</v>
      </c>
      <c r="F387" t="s">
        <v>36</v>
      </c>
      <c r="G387" t="s">
        <v>37</v>
      </c>
      <c r="H387" t="s">
        <v>123</v>
      </c>
      <c r="I387" t="s">
        <v>39</v>
      </c>
      <c r="J387">
        <v>2</v>
      </c>
      <c r="K387" t="s">
        <v>40</v>
      </c>
      <c r="L387" t="s">
        <v>41</v>
      </c>
      <c r="M387" t="s">
        <v>42</v>
      </c>
      <c r="N387" s="7">
        <v>1</v>
      </c>
      <c r="O387" s="8">
        <v>45119.384525462963</v>
      </c>
      <c r="P387" s="9">
        <v>45120</v>
      </c>
      <c r="Q387" t="s">
        <v>36</v>
      </c>
      <c r="R387" t="s">
        <v>43</v>
      </c>
      <c r="S387" t="s">
        <v>44</v>
      </c>
      <c r="T387" t="s">
        <v>109</v>
      </c>
      <c r="U387" t="s">
        <v>124</v>
      </c>
      <c r="V387">
        <v>16450</v>
      </c>
      <c r="W387" t="s">
        <v>43</v>
      </c>
      <c r="X387" t="s">
        <v>44</v>
      </c>
      <c r="Y387" t="s">
        <v>48</v>
      </c>
      <c r="Z387" s="10">
        <f>IF(N387&lt;=1,7,7+0.8*ROUNDUP(N387-1,0))</f>
        <v>7</v>
      </c>
      <c r="AA387" s="11">
        <v>0</v>
      </c>
      <c r="AB387" s="11">
        <v>0</v>
      </c>
      <c r="AC387" s="11">
        <v>0</v>
      </c>
      <c r="AD387" s="11">
        <v>0</v>
      </c>
      <c r="AE387" s="11">
        <f>(Z387+AB387+AD387)*6%</f>
        <v>0.42</v>
      </c>
      <c r="AF387" s="11">
        <f>Z387+AB387+AD387+AE387</f>
        <v>7.42</v>
      </c>
      <c r="AG387" t="s">
        <v>43</v>
      </c>
    </row>
    <row r="388" spans="1:33" ht="15" customHeight="1" x14ac:dyDescent="0.35">
      <c r="A388">
        <v>690929</v>
      </c>
      <c r="B388" t="s">
        <v>33</v>
      </c>
      <c r="C388" t="s">
        <v>34</v>
      </c>
      <c r="D388" s="6" t="s">
        <v>33</v>
      </c>
      <c r="E388" t="s">
        <v>1233</v>
      </c>
      <c r="F388" t="s">
        <v>36</v>
      </c>
      <c r="G388" t="s">
        <v>37</v>
      </c>
      <c r="H388" t="s">
        <v>1234</v>
      </c>
      <c r="I388" t="s">
        <v>39</v>
      </c>
      <c r="J388">
        <v>2</v>
      </c>
      <c r="K388" t="s">
        <v>40</v>
      </c>
      <c r="L388" t="s">
        <v>41</v>
      </c>
      <c r="M388" t="s">
        <v>42</v>
      </c>
      <c r="N388" s="7">
        <v>1</v>
      </c>
      <c r="O388" s="8">
        <v>45118.756180555552</v>
      </c>
      <c r="P388" s="9">
        <v>45120</v>
      </c>
      <c r="Q388" t="s">
        <v>36</v>
      </c>
      <c r="R388" t="s">
        <v>43</v>
      </c>
      <c r="S388" t="s">
        <v>44</v>
      </c>
      <c r="T388" t="s">
        <v>89</v>
      </c>
      <c r="U388" t="s">
        <v>1235</v>
      </c>
      <c r="V388">
        <v>25050</v>
      </c>
      <c r="W388" t="s">
        <v>43</v>
      </c>
      <c r="X388" t="s">
        <v>44</v>
      </c>
      <c r="Y388" t="s">
        <v>48</v>
      </c>
      <c r="Z388" s="10">
        <f>IF(N388&lt;=1,7,7+0.8*ROUNDUP(N388-1,0))</f>
        <v>7</v>
      </c>
      <c r="AA388" s="11">
        <v>0</v>
      </c>
      <c r="AB388" s="11">
        <v>0</v>
      </c>
      <c r="AC388" s="11">
        <v>0</v>
      </c>
      <c r="AD388" s="11">
        <v>0</v>
      </c>
      <c r="AE388" s="11">
        <f>(Z388+AB388+AD388)*6%</f>
        <v>0.42</v>
      </c>
      <c r="AF388" s="11">
        <f>Z388+AB388+AD388+AE388</f>
        <v>7.42</v>
      </c>
      <c r="AG388" t="s">
        <v>43</v>
      </c>
    </row>
    <row r="389" spans="1:33" ht="15" customHeight="1" x14ac:dyDescent="0.35">
      <c r="A389">
        <v>690929</v>
      </c>
      <c r="B389" t="s">
        <v>33</v>
      </c>
      <c r="C389" t="s">
        <v>34</v>
      </c>
      <c r="D389" s="6" t="s">
        <v>33</v>
      </c>
      <c r="E389" t="s">
        <v>1236</v>
      </c>
      <c r="F389" t="s">
        <v>36</v>
      </c>
      <c r="G389" t="s">
        <v>37</v>
      </c>
      <c r="H389" t="s">
        <v>1237</v>
      </c>
      <c r="I389" t="s">
        <v>39</v>
      </c>
      <c r="J389">
        <v>2</v>
      </c>
      <c r="K389" t="s">
        <v>40</v>
      </c>
      <c r="L389" t="s">
        <v>41</v>
      </c>
      <c r="M389" t="s">
        <v>42</v>
      </c>
      <c r="N389" s="7">
        <v>1</v>
      </c>
      <c r="O389" s="8">
        <v>45118.602175925924</v>
      </c>
      <c r="P389" s="9">
        <v>45120</v>
      </c>
      <c r="Q389" t="s">
        <v>36</v>
      </c>
      <c r="R389" t="s">
        <v>43</v>
      </c>
      <c r="S389" t="s">
        <v>44</v>
      </c>
      <c r="T389" t="s">
        <v>170</v>
      </c>
      <c r="U389" t="s">
        <v>1238</v>
      </c>
      <c r="V389">
        <v>90107</v>
      </c>
      <c r="W389" t="s">
        <v>172</v>
      </c>
      <c r="X389" t="s">
        <v>47</v>
      </c>
      <c r="Y389" t="s">
        <v>48</v>
      </c>
      <c r="Z389" s="12">
        <f>IF(N389&lt;=1,13,IF(N389&lt;=2,23,IF(N389&lt;=3,35,IF(N389&lt;=4,43,IF(N389&lt;=5,53,IF(N389&lt;=6,63,IF(N389&lt;=7,71,IF(N389&lt;=8,79,IF(N389&lt;=9,87,IF(N389&lt;=10,95,IF(N389&lt;=11,105,IF(N389&lt;=12,114,IF(N389&lt;=13,119,IF(N389&lt;=14,127,IF(N389&lt;=15,135,IF(N389&lt;=16,143,IF(N389&lt;=17,153,IF(N389&lt;=18,163,IF(N389&lt;=19,171,IF(N389&lt;=20,185,IF(N389&lt;=21,193,IF(N389&lt;=22,201,IF(N389&lt;=23,210,IF(N389&lt;=24,220,IF(N389&lt;=25,230,IF(N389&lt;=26,240,IF(N389&lt;=27,250,IF(N389&lt;=28,260,IF(N389&lt;=29,270,IF(N389&lt;=30,280,280+10*ROUNDUP(N389-30,0)))))))))))))))))))))))))))))))</f>
        <v>13</v>
      </c>
      <c r="AA389" s="11">
        <v>0</v>
      </c>
      <c r="AB389" s="11">
        <v>0</v>
      </c>
      <c r="AC389" s="11">
        <v>0</v>
      </c>
      <c r="AD389" s="11">
        <v>0</v>
      </c>
      <c r="AE389" s="11">
        <f>(Z389+AB389+AD389)*6%</f>
        <v>0.78</v>
      </c>
      <c r="AF389" s="11">
        <f>Z389+AB389+AD389+AE389</f>
        <v>13.78</v>
      </c>
      <c r="AG389" t="s">
        <v>172</v>
      </c>
    </row>
    <row r="390" spans="1:33" ht="15" customHeight="1" x14ac:dyDescent="0.35">
      <c r="A390">
        <v>690929</v>
      </c>
      <c r="B390" t="s">
        <v>33</v>
      </c>
      <c r="C390" t="s">
        <v>34</v>
      </c>
      <c r="D390" s="6" t="s">
        <v>33</v>
      </c>
      <c r="E390" t="s">
        <v>1239</v>
      </c>
      <c r="F390" t="s">
        <v>36</v>
      </c>
      <c r="G390" t="s">
        <v>37</v>
      </c>
      <c r="H390" t="s">
        <v>1194</v>
      </c>
      <c r="I390" t="s">
        <v>39</v>
      </c>
      <c r="J390">
        <v>2</v>
      </c>
      <c r="K390" t="s">
        <v>40</v>
      </c>
      <c r="L390" t="s">
        <v>41</v>
      </c>
      <c r="M390" t="s">
        <v>42</v>
      </c>
      <c r="N390" s="7">
        <v>12</v>
      </c>
      <c r="O390" s="8">
        <v>45115.598900462966</v>
      </c>
      <c r="P390" s="9">
        <v>45120</v>
      </c>
      <c r="Q390" t="s">
        <v>36</v>
      </c>
      <c r="R390" t="s">
        <v>43</v>
      </c>
      <c r="S390" t="s">
        <v>44</v>
      </c>
      <c r="T390" t="s">
        <v>57</v>
      </c>
      <c r="U390" t="s">
        <v>1195</v>
      </c>
      <c r="V390">
        <v>43900</v>
      </c>
      <c r="W390" t="s">
        <v>43</v>
      </c>
      <c r="X390" t="s">
        <v>390</v>
      </c>
      <c r="Y390" t="s">
        <v>48</v>
      </c>
      <c r="Z390" s="10">
        <f>IF(N390&lt;=1,7,7+0.8*ROUNDUP(N390-1,0))</f>
        <v>15.8</v>
      </c>
      <c r="AA390" s="11">
        <v>0</v>
      </c>
      <c r="AB390" s="11">
        <v>0</v>
      </c>
      <c r="AC390" s="11">
        <v>0</v>
      </c>
      <c r="AD390" s="11">
        <v>0</v>
      </c>
      <c r="AE390" s="11">
        <f>(Z390+AB390+AD390)*6%</f>
        <v>0.94799999999999995</v>
      </c>
      <c r="AF390" s="11">
        <f>Z390+AB390+AD390+AE390</f>
        <v>16.748000000000001</v>
      </c>
      <c r="AG390" t="s">
        <v>43</v>
      </c>
    </row>
    <row r="391" spans="1:33" ht="15" customHeight="1" x14ac:dyDescent="0.35">
      <c r="A391">
        <v>690929</v>
      </c>
      <c r="B391" t="s">
        <v>33</v>
      </c>
      <c r="C391" t="s">
        <v>34</v>
      </c>
      <c r="D391" s="6" t="s">
        <v>33</v>
      </c>
      <c r="E391" t="s">
        <v>1240</v>
      </c>
      <c r="F391" t="s">
        <v>36</v>
      </c>
      <c r="G391" t="s">
        <v>37</v>
      </c>
      <c r="H391" t="s">
        <v>1241</v>
      </c>
      <c r="I391" t="s">
        <v>39</v>
      </c>
      <c r="J391">
        <v>2</v>
      </c>
      <c r="K391" t="s">
        <v>40</v>
      </c>
      <c r="L391" t="s">
        <v>41</v>
      </c>
      <c r="M391" t="s">
        <v>42</v>
      </c>
      <c r="N391" s="7">
        <v>4</v>
      </c>
      <c r="O391" s="8">
        <v>45118.743310185186</v>
      </c>
      <c r="P391" s="9">
        <v>45120</v>
      </c>
      <c r="Q391" t="s">
        <v>36</v>
      </c>
      <c r="R391" t="s">
        <v>43</v>
      </c>
      <c r="S391" t="s">
        <v>44</v>
      </c>
      <c r="T391" t="s">
        <v>57</v>
      </c>
      <c r="U391" t="s">
        <v>1242</v>
      </c>
      <c r="V391">
        <v>43000</v>
      </c>
      <c r="W391" t="s">
        <v>43</v>
      </c>
      <c r="X391" t="s">
        <v>380</v>
      </c>
      <c r="Y391" t="s">
        <v>48</v>
      </c>
      <c r="Z391" s="10">
        <f>IF(N391&lt;=1,7,7+0.8*ROUNDUP(N391-1,0))</f>
        <v>9.4</v>
      </c>
      <c r="AA391" s="11">
        <v>0</v>
      </c>
      <c r="AB391" s="11">
        <v>0</v>
      </c>
      <c r="AC391" s="11">
        <v>0</v>
      </c>
      <c r="AD391" s="11">
        <v>0</v>
      </c>
      <c r="AE391" s="11">
        <f>(Z391+AB391+AD391)*6%</f>
        <v>0.56399999999999995</v>
      </c>
      <c r="AF391" s="11">
        <f>Z391+AB391+AD391+AE391</f>
        <v>9.9640000000000004</v>
      </c>
      <c r="AG391" t="s">
        <v>43</v>
      </c>
    </row>
    <row r="392" spans="1:33" ht="15" customHeight="1" x14ac:dyDescent="0.35">
      <c r="A392">
        <v>690929</v>
      </c>
      <c r="B392" t="s">
        <v>33</v>
      </c>
      <c r="C392" t="s">
        <v>34</v>
      </c>
      <c r="D392" s="6" t="s">
        <v>33</v>
      </c>
      <c r="E392" t="s">
        <v>1243</v>
      </c>
      <c r="F392" t="s">
        <v>36</v>
      </c>
      <c r="G392" t="s">
        <v>37</v>
      </c>
      <c r="H392" t="s">
        <v>1244</v>
      </c>
      <c r="I392" t="s">
        <v>39</v>
      </c>
      <c r="J392">
        <v>2</v>
      </c>
      <c r="K392" t="s">
        <v>40</v>
      </c>
      <c r="L392" t="s">
        <v>41</v>
      </c>
      <c r="M392" t="s">
        <v>42</v>
      </c>
      <c r="N392" s="7">
        <v>5</v>
      </c>
      <c r="O392" s="8">
        <v>45119.708113425928</v>
      </c>
      <c r="P392" s="9">
        <v>45120</v>
      </c>
      <c r="Q392" t="s">
        <v>36</v>
      </c>
      <c r="R392" t="s">
        <v>43</v>
      </c>
      <c r="S392" t="s">
        <v>44</v>
      </c>
      <c r="T392" t="s">
        <v>66</v>
      </c>
      <c r="U392" t="s">
        <v>1245</v>
      </c>
      <c r="V392">
        <v>21100</v>
      </c>
      <c r="W392" t="s">
        <v>43</v>
      </c>
      <c r="X392" t="s">
        <v>199</v>
      </c>
      <c r="Y392" t="s">
        <v>48</v>
      </c>
      <c r="Z392" s="10">
        <f>IF(N392&lt;=1,7,7+0.8*ROUNDUP(N392-1,0))</f>
        <v>10.199999999999999</v>
      </c>
      <c r="AA392" s="11">
        <v>0</v>
      </c>
      <c r="AB392" s="11">
        <v>0</v>
      </c>
      <c r="AC392" s="11">
        <v>0</v>
      </c>
      <c r="AD392" s="11">
        <v>0</v>
      </c>
      <c r="AE392" s="11">
        <f>(Z392+AB392+AD392)*6%</f>
        <v>0.61199999999999999</v>
      </c>
      <c r="AF392" s="11">
        <f>Z392+AB392+AD392+AE392</f>
        <v>10.811999999999999</v>
      </c>
      <c r="AG392" t="s">
        <v>43</v>
      </c>
    </row>
    <row r="393" spans="1:33" ht="15" customHeight="1" x14ac:dyDescent="0.35">
      <c r="A393">
        <v>690929</v>
      </c>
      <c r="B393" t="s">
        <v>33</v>
      </c>
      <c r="C393" t="s">
        <v>34</v>
      </c>
      <c r="D393" s="6" t="s">
        <v>33</v>
      </c>
      <c r="E393" t="s">
        <v>1246</v>
      </c>
      <c r="F393" t="s">
        <v>36</v>
      </c>
      <c r="G393" t="s">
        <v>37</v>
      </c>
      <c r="H393" t="s">
        <v>1247</v>
      </c>
      <c r="I393" t="s">
        <v>39</v>
      </c>
      <c r="J393">
        <v>2</v>
      </c>
      <c r="K393" t="s">
        <v>40</v>
      </c>
      <c r="L393" t="s">
        <v>41</v>
      </c>
      <c r="M393" t="s">
        <v>42</v>
      </c>
      <c r="N393" s="7">
        <v>1</v>
      </c>
      <c r="O393" s="8">
        <v>45118.590856481482</v>
      </c>
      <c r="P393" s="9">
        <v>45120</v>
      </c>
      <c r="Q393" t="s">
        <v>36</v>
      </c>
      <c r="R393" t="s">
        <v>43</v>
      </c>
      <c r="S393" t="s">
        <v>44</v>
      </c>
      <c r="T393" t="s">
        <v>70</v>
      </c>
      <c r="U393" t="s">
        <v>1248</v>
      </c>
      <c r="V393">
        <v>14100</v>
      </c>
      <c r="W393" t="s">
        <v>43</v>
      </c>
      <c r="X393" t="s">
        <v>1249</v>
      </c>
      <c r="Y393" t="s">
        <v>48</v>
      </c>
      <c r="Z393" s="10">
        <f>IF(N393&lt;=1,7,7+0.8*ROUNDUP(N393-1,0))</f>
        <v>7</v>
      </c>
      <c r="AA393" s="11">
        <v>0</v>
      </c>
      <c r="AB393" s="11">
        <v>0</v>
      </c>
      <c r="AC393" s="11">
        <v>0</v>
      </c>
      <c r="AD393" s="11">
        <v>0</v>
      </c>
      <c r="AE393" s="11">
        <f>(Z393+AB393+AD393)*6%</f>
        <v>0.42</v>
      </c>
      <c r="AF393" s="11">
        <f>Z393+AB393+AD393+AE393</f>
        <v>7.42</v>
      </c>
      <c r="AG393" t="s">
        <v>43</v>
      </c>
    </row>
    <row r="394" spans="1:33" ht="15" customHeight="1" x14ac:dyDescent="0.35">
      <c r="A394">
        <v>690929</v>
      </c>
      <c r="B394" t="s">
        <v>33</v>
      </c>
      <c r="C394" t="s">
        <v>34</v>
      </c>
      <c r="D394" s="6" t="s">
        <v>33</v>
      </c>
      <c r="E394" t="s">
        <v>1250</v>
      </c>
      <c r="F394" t="s">
        <v>36</v>
      </c>
      <c r="G394" t="s">
        <v>37</v>
      </c>
      <c r="H394" t="s">
        <v>1251</v>
      </c>
      <c r="I394" t="s">
        <v>39</v>
      </c>
      <c r="J394">
        <v>2</v>
      </c>
      <c r="K394" t="s">
        <v>40</v>
      </c>
      <c r="L394" t="s">
        <v>41</v>
      </c>
      <c r="M394" t="s">
        <v>42</v>
      </c>
      <c r="N394" s="7">
        <v>2</v>
      </c>
      <c r="O394" s="8">
        <v>45118.602175925924</v>
      </c>
      <c r="P394" s="9">
        <v>45120</v>
      </c>
      <c r="Q394" t="s">
        <v>36</v>
      </c>
      <c r="R394" t="s">
        <v>43</v>
      </c>
      <c r="S394" t="s">
        <v>44</v>
      </c>
      <c r="T394" t="s">
        <v>80</v>
      </c>
      <c r="U394" t="s">
        <v>1252</v>
      </c>
      <c r="V394">
        <v>9700</v>
      </c>
      <c r="W394" t="s">
        <v>43</v>
      </c>
      <c r="X394" t="s">
        <v>47</v>
      </c>
      <c r="Y394" t="s">
        <v>48</v>
      </c>
      <c r="Z394" s="10">
        <f>IF(N394&lt;=1,7,7+0.8*ROUNDUP(N394-1,0))</f>
        <v>7.8</v>
      </c>
      <c r="AA394" s="11">
        <v>0</v>
      </c>
      <c r="AB394" s="11">
        <v>0</v>
      </c>
      <c r="AC394" s="11">
        <v>0</v>
      </c>
      <c r="AD394" s="11">
        <v>0</v>
      </c>
      <c r="AE394" s="11">
        <f>(Z394+AB394+AD394)*6%</f>
        <v>0.46799999999999997</v>
      </c>
      <c r="AF394" s="11">
        <f>Z394+AB394+AD394+AE394</f>
        <v>8.2680000000000007</v>
      </c>
      <c r="AG394" t="s">
        <v>43</v>
      </c>
    </row>
    <row r="395" spans="1:33" ht="15" customHeight="1" x14ac:dyDescent="0.35">
      <c r="A395">
        <v>690929</v>
      </c>
      <c r="B395" t="s">
        <v>33</v>
      </c>
      <c r="C395" t="s">
        <v>34</v>
      </c>
      <c r="D395" s="6" t="s">
        <v>33</v>
      </c>
      <c r="E395" t="s">
        <v>1253</v>
      </c>
      <c r="F395" t="s">
        <v>36</v>
      </c>
      <c r="G395" t="s">
        <v>37</v>
      </c>
      <c r="H395" t="s">
        <v>1254</v>
      </c>
      <c r="I395" t="s">
        <v>39</v>
      </c>
      <c r="J395">
        <v>2</v>
      </c>
      <c r="K395" t="s">
        <v>40</v>
      </c>
      <c r="L395" t="s">
        <v>41</v>
      </c>
      <c r="M395" t="s">
        <v>42</v>
      </c>
      <c r="N395" s="7">
        <v>1</v>
      </c>
      <c r="O395" s="8">
        <v>45118.593206018515</v>
      </c>
      <c r="P395" s="9">
        <v>45120</v>
      </c>
      <c r="Q395" t="s">
        <v>36</v>
      </c>
      <c r="R395" t="s">
        <v>43</v>
      </c>
      <c r="S395" t="s">
        <v>44</v>
      </c>
      <c r="T395" t="s">
        <v>653</v>
      </c>
      <c r="U395" t="s">
        <v>1255</v>
      </c>
      <c r="V395">
        <v>2600</v>
      </c>
      <c r="W395" t="s">
        <v>43</v>
      </c>
      <c r="X395" t="s">
        <v>47</v>
      </c>
      <c r="Y395" t="s">
        <v>48</v>
      </c>
      <c r="Z395" s="10">
        <f>IF(N395&lt;=1,7,7+0.8*ROUNDUP(N395-1,0))</f>
        <v>7</v>
      </c>
      <c r="AA395" s="11">
        <v>0</v>
      </c>
      <c r="AB395" s="11">
        <v>0</v>
      </c>
      <c r="AC395" s="11">
        <v>0</v>
      </c>
      <c r="AD395" s="11">
        <v>0</v>
      </c>
      <c r="AE395" s="11">
        <f>(Z395+AB395+AD395)*6%</f>
        <v>0.42</v>
      </c>
      <c r="AF395" s="11">
        <f>Z395+AB395+AD395+AE395</f>
        <v>7.42</v>
      </c>
      <c r="AG395" t="s">
        <v>43</v>
      </c>
    </row>
    <row r="396" spans="1:33" ht="15" customHeight="1" x14ac:dyDescent="0.35">
      <c r="A396">
        <v>690929</v>
      </c>
      <c r="B396" t="s">
        <v>33</v>
      </c>
      <c r="C396" t="s">
        <v>34</v>
      </c>
      <c r="D396" s="6" t="s">
        <v>33</v>
      </c>
      <c r="E396" t="s">
        <v>1256</v>
      </c>
      <c r="F396" t="s">
        <v>36</v>
      </c>
      <c r="G396" t="s">
        <v>37</v>
      </c>
      <c r="H396" t="s">
        <v>1257</v>
      </c>
      <c r="I396" t="s">
        <v>39</v>
      </c>
      <c r="J396">
        <v>2</v>
      </c>
      <c r="K396" t="s">
        <v>40</v>
      </c>
      <c r="L396" t="s">
        <v>41</v>
      </c>
      <c r="M396" t="s">
        <v>42</v>
      </c>
      <c r="N396" s="7">
        <v>1</v>
      </c>
      <c r="O396" s="8">
        <v>45119.717789351853</v>
      </c>
      <c r="P396" s="9">
        <v>45120</v>
      </c>
      <c r="Q396" t="s">
        <v>36</v>
      </c>
      <c r="R396" t="s">
        <v>43</v>
      </c>
      <c r="S396" t="s">
        <v>44</v>
      </c>
      <c r="T396" t="s">
        <v>57</v>
      </c>
      <c r="U396" t="s">
        <v>1258</v>
      </c>
      <c r="V396">
        <v>41250</v>
      </c>
      <c r="W396" t="s">
        <v>43</v>
      </c>
      <c r="X396" t="s">
        <v>98</v>
      </c>
      <c r="Y396" t="s">
        <v>48</v>
      </c>
      <c r="Z396" s="10">
        <f>IF(N396&lt;=1,7,7+0.8*ROUNDUP(N396-1,0))</f>
        <v>7</v>
      </c>
      <c r="AA396" s="11">
        <v>0</v>
      </c>
      <c r="AB396" s="11">
        <v>0</v>
      </c>
      <c r="AC396" s="11">
        <v>0</v>
      </c>
      <c r="AD396" s="11">
        <v>0</v>
      </c>
      <c r="AE396" s="11">
        <f>(Z396+AB396+AD396)*6%</f>
        <v>0.42</v>
      </c>
      <c r="AF396" s="11">
        <f>Z396+AB396+AD396+AE396</f>
        <v>7.42</v>
      </c>
      <c r="AG396" t="s">
        <v>43</v>
      </c>
    </row>
    <row r="397" spans="1:33" ht="15" customHeight="1" x14ac:dyDescent="0.35">
      <c r="A397">
        <v>690929</v>
      </c>
      <c r="B397" t="s">
        <v>33</v>
      </c>
      <c r="C397" t="s">
        <v>34</v>
      </c>
      <c r="D397" s="6" t="s">
        <v>33</v>
      </c>
      <c r="E397" t="s">
        <v>1259</v>
      </c>
      <c r="F397" t="s">
        <v>36</v>
      </c>
      <c r="G397" t="s">
        <v>37</v>
      </c>
      <c r="H397" t="s">
        <v>1260</v>
      </c>
      <c r="I397" t="s">
        <v>39</v>
      </c>
      <c r="J397">
        <v>2</v>
      </c>
      <c r="K397" t="s">
        <v>40</v>
      </c>
      <c r="L397" t="s">
        <v>41</v>
      </c>
      <c r="M397" t="s">
        <v>42</v>
      </c>
      <c r="N397" s="7">
        <v>1</v>
      </c>
      <c r="O397" s="8">
        <v>45116.641956018517</v>
      </c>
      <c r="P397" s="9">
        <v>45120</v>
      </c>
      <c r="Q397" t="s">
        <v>36</v>
      </c>
      <c r="R397" t="s">
        <v>43</v>
      </c>
      <c r="S397" t="s">
        <v>44</v>
      </c>
      <c r="T397" t="s">
        <v>80</v>
      </c>
      <c r="U397" t="s">
        <v>1261</v>
      </c>
      <c r="V397">
        <v>7000</v>
      </c>
      <c r="W397" t="s">
        <v>43</v>
      </c>
      <c r="X397" t="s">
        <v>47</v>
      </c>
      <c r="Y397" t="s">
        <v>48</v>
      </c>
      <c r="Z397" s="10">
        <f>IF(N397&lt;=1,7,7+0.8*ROUNDUP(N397-1,0))</f>
        <v>7</v>
      </c>
      <c r="AA397" s="11">
        <v>0</v>
      </c>
      <c r="AB397" s="11">
        <v>0</v>
      </c>
      <c r="AC397" s="11">
        <v>0</v>
      </c>
      <c r="AD397" s="11">
        <v>0</v>
      </c>
      <c r="AE397" s="11">
        <f>(Z397+AB397+AD397)*6%</f>
        <v>0.42</v>
      </c>
      <c r="AF397" s="11">
        <f>Z397+AB397+AD397+AE397</f>
        <v>7.42</v>
      </c>
      <c r="AG397" t="s">
        <v>43</v>
      </c>
    </row>
    <row r="398" spans="1:33" ht="15" customHeight="1" x14ac:dyDescent="0.35">
      <c r="A398">
        <v>690929</v>
      </c>
      <c r="B398" t="s">
        <v>33</v>
      </c>
      <c r="C398" t="s">
        <v>34</v>
      </c>
      <c r="D398" s="6" t="s">
        <v>33</v>
      </c>
      <c r="E398" t="s">
        <v>1262</v>
      </c>
      <c r="F398" t="s">
        <v>36</v>
      </c>
      <c r="G398" t="s">
        <v>37</v>
      </c>
      <c r="H398" t="s">
        <v>1102</v>
      </c>
      <c r="I398" t="s">
        <v>39</v>
      </c>
      <c r="J398">
        <v>2</v>
      </c>
      <c r="K398" t="s">
        <v>40</v>
      </c>
      <c r="L398" t="s">
        <v>41</v>
      </c>
      <c r="M398" t="s">
        <v>42</v>
      </c>
      <c r="N398" s="7">
        <v>1</v>
      </c>
      <c r="O398" s="8">
        <v>45119.679861111108</v>
      </c>
      <c r="P398" s="9">
        <v>45120</v>
      </c>
      <c r="Q398" t="s">
        <v>36</v>
      </c>
      <c r="R398" t="s">
        <v>43</v>
      </c>
      <c r="S398" t="s">
        <v>44</v>
      </c>
      <c r="T398" t="s">
        <v>57</v>
      </c>
      <c r="U398" t="s">
        <v>1103</v>
      </c>
      <c r="V398">
        <v>43950</v>
      </c>
      <c r="W398" t="s">
        <v>43</v>
      </c>
      <c r="X398" t="s">
        <v>1104</v>
      </c>
      <c r="Y398" t="s">
        <v>48</v>
      </c>
      <c r="Z398" s="10">
        <f>IF(N398&lt;=1,7,7+0.8*ROUNDUP(N398-1,0))</f>
        <v>7</v>
      </c>
      <c r="AA398" s="11">
        <v>0</v>
      </c>
      <c r="AB398" s="11">
        <v>0</v>
      </c>
      <c r="AC398" s="11">
        <v>0</v>
      </c>
      <c r="AD398" s="11">
        <v>0</v>
      </c>
      <c r="AE398" s="11">
        <f>(Z398+AB398+AD398)*6%</f>
        <v>0.42</v>
      </c>
      <c r="AF398" s="11">
        <f>Z398+AB398+AD398+AE398</f>
        <v>7.42</v>
      </c>
      <c r="AG398" t="s">
        <v>43</v>
      </c>
    </row>
    <row r="399" spans="1:33" ht="15" customHeight="1" x14ac:dyDescent="0.35">
      <c r="A399">
        <v>690929</v>
      </c>
      <c r="B399" t="s">
        <v>33</v>
      </c>
      <c r="C399" t="s">
        <v>34</v>
      </c>
      <c r="D399" s="6" t="s">
        <v>33</v>
      </c>
      <c r="E399" t="s">
        <v>1263</v>
      </c>
      <c r="F399" t="s">
        <v>36</v>
      </c>
      <c r="G399" t="s">
        <v>37</v>
      </c>
      <c r="H399" t="s">
        <v>239</v>
      </c>
      <c r="I399" t="s">
        <v>39</v>
      </c>
      <c r="J399">
        <v>2</v>
      </c>
      <c r="K399" t="s">
        <v>40</v>
      </c>
      <c r="L399" t="s">
        <v>41</v>
      </c>
      <c r="M399" t="s">
        <v>42</v>
      </c>
      <c r="N399" s="7">
        <v>1</v>
      </c>
      <c r="O399" s="8">
        <v>45118.602175925924</v>
      </c>
      <c r="P399" s="9">
        <v>45120</v>
      </c>
      <c r="Q399" t="s">
        <v>36</v>
      </c>
      <c r="R399" t="s">
        <v>43</v>
      </c>
      <c r="S399" t="s">
        <v>44</v>
      </c>
      <c r="T399" t="s">
        <v>70</v>
      </c>
      <c r="U399" t="s">
        <v>240</v>
      </c>
      <c r="V399">
        <v>13100</v>
      </c>
      <c r="W399" t="s">
        <v>43</v>
      </c>
      <c r="X399" t="s">
        <v>423</v>
      </c>
      <c r="Y399" t="s">
        <v>48</v>
      </c>
      <c r="Z399" s="10">
        <f>IF(N399&lt;=1,7,7+0.8*ROUNDUP(N399-1,0))</f>
        <v>7</v>
      </c>
      <c r="AA399" s="11">
        <v>0</v>
      </c>
      <c r="AB399" s="11">
        <v>0</v>
      </c>
      <c r="AC399" s="11">
        <v>0</v>
      </c>
      <c r="AD399" s="11">
        <v>0</v>
      </c>
      <c r="AE399" s="11">
        <f>(Z399+AB399+AD399)*6%</f>
        <v>0.42</v>
      </c>
      <c r="AF399" s="11">
        <f>Z399+AB399+AD399+AE399</f>
        <v>7.42</v>
      </c>
      <c r="AG399" t="s">
        <v>43</v>
      </c>
    </row>
    <row r="400" spans="1:33" ht="15" customHeight="1" x14ac:dyDescent="0.35">
      <c r="A400">
        <v>690929</v>
      </c>
      <c r="B400" t="s">
        <v>33</v>
      </c>
      <c r="C400" t="s">
        <v>34</v>
      </c>
      <c r="D400" s="6" t="s">
        <v>33</v>
      </c>
      <c r="E400" t="s">
        <v>1264</v>
      </c>
      <c r="F400" t="s">
        <v>36</v>
      </c>
      <c r="G400" t="s">
        <v>37</v>
      </c>
      <c r="H400" t="s">
        <v>1265</v>
      </c>
      <c r="I400" t="s">
        <v>39</v>
      </c>
      <c r="J400">
        <v>2</v>
      </c>
      <c r="K400" t="s">
        <v>40</v>
      </c>
      <c r="L400" t="s">
        <v>41</v>
      </c>
      <c r="M400" t="s">
        <v>42</v>
      </c>
      <c r="N400" s="7">
        <v>1</v>
      </c>
      <c r="O400" s="8">
        <v>45118.756180555552</v>
      </c>
      <c r="P400" s="9">
        <v>45120</v>
      </c>
      <c r="Q400" t="s">
        <v>36</v>
      </c>
      <c r="R400" t="s">
        <v>43</v>
      </c>
      <c r="S400" t="s">
        <v>44</v>
      </c>
      <c r="T400" t="s">
        <v>109</v>
      </c>
      <c r="U400" t="s">
        <v>1266</v>
      </c>
      <c r="V400">
        <v>16450</v>
      </c>
      <c r="W400" t="s">
        <v>43</v>
      </c>
      <c r="X400" t="s">
        <v>44</v>
      </c>
      <c r="Y400" t="s">
        <v>48</v>
      </c>
      <c r="Z400" s="10">
        <f>IF(N400&lt;=1,7,7+0.8*ROUNDUP(N400-1,0))</f>
        <v>7</v>
      </c>
      <c r="AA400" s="11">
        <v>0</v>
      </c>
      <c r="AB400" s="11">
        <v>0</v>
      </c>
      <c r="AC400" s="11">
        <v>0</v>
      </c>
      <c r="AD400" s="11">
        <v>0</v>
      </c>
      <c r="AE400" s="11">
        <f>(Z400+AB400+AD400)*6%</f>
        <v>0.42</v>
      </c>
      <c r="AF400" s="11">
        <f>Z400+AB400+AD400+AE400</f>
        <v>7.42</v>
      </c>
      <c r="AG400" t="s">
        <v>43</v>
      </c>
    </row>
    <row r="401" spans="1:33" ht="15" customHeight="1" x14ac:dyDescent="0.35">
      <c r="A401">
        <v>690929</v>
      </c>
      <c r="B401" t="s">
        <v>33</v>
      </c>
      <c r="C401" t="s">
        <v>34</v>
      </c>
      <c r="D401" s="6" t="s">
        <v>33</v>
      </c>
      <c r="E401" t="s">
        <v>1267</v>
      </c>
      <c r="F401" t="s">
        <v>36</v>
      </c>
      <c r="G401" t="s">
        <v>37</v>
      </c>
      <c r="H401" t="s">
        <v>1268</v>
      </c>
      <c r="I401" t="s">
        <v>39</v>
      </c>
      <c r="J401">
        <v>2</v>
      </c>
      <c r="K401" t="s">
        <v>40</v>
      </c>
      <c r="L401" t="s">
        <v>41</v>
      </c>
      <c r="M401" t="s">
        <v>42</v>
      </c>
      <c r="N401" s="7">
        <v>1</v>
      </c>
      <c r="O401" s="8">
        <v>45118.74659722222</v>
      </c>
      <c r="P401" s="9">
        <v>45120</v>
      </c>
      <c r="Q401" t="s">
        <v>36</v>
      </c>
      <c r="R401" t="s">
        <v>43</v>
      </c>
      <c r="S401" t="s">
        <v>44</v>
      </c>
      <c r="T401" t="s">
        <v>66</v>
      </c>
      <c r="U401" t="s">
        <v>1269</v>
      </c>
      <c r="V401">
        <v>23000</v>
      </c>
      <c r="W401" t="s">
        <v>43</v>
      </c>
      <c r="X401" t="s">
        <v>44</v>
      </c>
      <c r="Y401" t="s">
        <v>48</v>
      </c>
      <c r="Z401" s="10">
        <f>IF(N401&lt;=1,7,7+0.8*ROUNDUP(N401-1,0))</f>
        <v>7</v>
      </c>
      <c r="AA401" s="11">
        <v>0</v>
      </c>
      <c r="AB401" s="11">
        <v>0</v>
      </c>
      <c r="AC401" s="11">
        <v>0</v>
      </c>
      <c r="AD401" s="11">
        <v>0</v>
      </c>
      <c r="AE401" s="11">
        <f>(Z401+AB401+AD401)*6%</f>
        <v>0.42</v>
      </c>
      <c r="AF401" s="11">
        <f>Z401+AB401+AD401+AE401</f>
        <v>7.42</v>
      </c>
      <c r="AG401" t="s">
        <v>43</v>
      </c>
    </row>
    <row r="402" spans="1:33" ht="15" customHeight="1" x14ac:dyDescent="0.35">
      <c r="A402">
        <v>690929</v>
      </c>
      <c r="B402" t="s">
        <v>33</v>
      </c>
      <c r="C402" t="s">
        <v>34</v>
      </c>
      <c r="D402" s="6" t="s">
        <v>33</v>
      </c>
      <c r="E402" t="s">
        <v>1270</v>
      </c>
      <c r="F402" t="s">
        <v>36</v>
      </c>
      <c r="G402" t="s">
        <v>37</v>
      </c>
      <c r="H402" t="s">
        <v>1271</v>
      </c>
      <c r="I402" t="s">
        <v>39</v>
      </c>
      <c r="J402">
        <v>2</v>
      </c>
      <c r="K402" t="s">
        <v>40</v>
      </c>
      <c r="L402" t="s">
        <v>41</v>
      </c>
      <c r="M402" t="s">
        <v>42</v>
      </c>
      <c r="N402" s="7">
        <v>1</v>
      </c>
      <c r="O402" s="8">
        <v>45117.700115740743</v>
      </c>
      <c r="P402" s="9">
        <v>45120</v>
      </c>
      <c r="Q402" t="s">
        <v>36</v>
      </c>
      <c r="R402" t="s">
        <v>43</v>
      </c>
      <c r="S402" t="s">
        <v>44</v>
      </c>
      <c r="T402" t="s">
        <v>61</v>
      </c>
      <c r="U402" t="s">
        <v>1272</v>
      </c>
      <c r="V402">
        <v>81100</v>
      </c>
      <c r="W402" t="s">
        <v>43</v>
      </c>
      <c r="X402" t="s">
        <v>1079</v>
      </c>
      <c r="Y402" t="s">
        <v>48</v>
      </c>
      <c r="Z402" s="10">
        <f>IF(N402&lt;=1,7,7+0.8*ROUNDUP(N402-1,0))</f>
        <v>7</v>
      </c>
      <c r="AA402" s="11">
        <v>0</v>
      </c>
      <c r="AB402" s="11">
        <v>0</v>
      </c>
      <c r="AC402" s="11">
        <v>0</v>
      </c>
      <c r="AD402" s="11">
        <v>0</v>
      </c>
      <c r="AE402" s="11">
        <f>(Z402+AB402+AD402)*6%</f>
        <v>0.42</v>
      </c>
      <c r="AF402" s="11">
        <f>Z402+AB402+AD402+AE402</f>
        <v>7.42</v>
      </c>
      <c r="AG402" t="s">
        <v>43</v>
      </c>
    </row>
    <row r="403" spans="1:33" ht="15" customHeight="1" x14ac:dyDescent="0.35">
      <c r="A403">
        <v>690929</v>
      </c>
      <c r="B403" t="s">
        <v>33</v>
      </c>
      <c r="C403" t="s">
        <v>34</v>
      </c>
      <c r="D403" s="6" t="s">
        <v>33</v>
      </c>
      <c r="E403" t="s">
        <v>1273</v>
      </c>
      <c r="F403" t="s">
        <v>36</v>
      </c>
      <c r="G403" t="s">
        <v>37</v>
      </c>
      <c r="H403" t="s">
        <v>50</v>
      </c>
      <c r="I403" t="s">
        <v>39</v>
      </c>
      <c r="J403">
        <v>2</v>
      </c>
      <c r="K403" t="s">
        <v>40</v>
      </c>
      <c r="L403" t="s">
        <v>41</v>
      </c>
      <c r="M403" t="s">
        <v>42</v>
      </c>
      <c r="N403" s="7">
        <v>1</v>
      </c>
      <c r="O403" s="8">
        <v>45118.756192129629</v>
      </c>
      <c r="P403" s="9">
        <v>45121</v>
      </c>
      <c r="Q403" t="s">
        <v>36</v>
      </c>
      <c r="R403" t="s">
        <v>43</v>
      </c>
      <c r="S403" t="s">
        <v>44</v>
      </c>
      <c r="T403" t="s">
        <v>51</v>
      </c>
      <c r="U403" t="s">
        <v>1274</v>
      </c>
      <c r="V403">
        <v>31350</v>
      </c>
      <c r="W403" t="s">
        <v>43</v>
      </c>
      <c r="X403" t="s">
        <v>47</v>
      </c>
      <c r="Y403" t="s">
        <v>48</v>
      </c>
      <c r="Z403" s="10">
        <f>IF(N403&lt;=1,7,7+0.8*ROUNDUP(N403-1,0))</f>
        <v>7</v>
      </c>
      <c r="AA403" s="11">
        <v>0</v>
      </c>
      <c r="AB403" s="11">
        <v>0</v>
      </c>
      <c r="AC403" s="11">
        <v>0</v>
      </c>
      <c r="AD403" s="11">
        <v>0</v>
      </c>
      <c r="AE403" s="11">
        <f>(Z403+AB403+AD403)*6%</f>
        <v>0.42</v>
      </c>
      <c r="AF403" s="11">
        <f>Z403+AB403+AD403+AE403</f>
        <v>7.42</v>
      </c>
      <c r="AG403" t="s">
        <v>43</v>
      </c>
    </row>
    <row r="404" spans="1:33" ht="15" customHeight="1" x14ac:dyDescent="0.35">
      <c r="A404">
        <v>690929</v>
      </c>
      <c r="B404" t="s">
        <v>33</v>
      </c>
      <c r="C404" t="s">
        <v>34</v>
      </c>
      <c r="D404" s="6" t="s">
        <v>33</v>
      </c>
      <c r="E404" t="s">
        <v>1275</v>
      </c>
      <c r="F404" t="s">
        <v>36</v>
      </c>
      <c r="G404" t="s">
        <v>37</v>
      </c>
      <c r="H404" t="s">
        <v>1276</v>
      </c>
      <c r="I404" t="s">
        <v>39</v>
      </c>
      <c r="J404">
        <v>2</v>
      </c>
      <c r="K404" t="s">
        <v>40</v>
      </c>
      <c r="L404" t="s">
        <v>41</v>
      </c>
      <c r="M404" t="s">
        <v>42</v>
      </c>
      <c r="N404" s="7">
        <v>1</v>
      </c>
      <c r="O404" s="8">
        <v>45118.731122685182</v>
      </c>
      <c r="P404" s="9">
        <v>45121</v>
      </c>
      <c r="Q404" t="s">
        <v>36</v>
      </c>
      <c r="R404" t="s">
        <v>43</v>
      </c>
      <c r="S404" t="s">
        <v>44</v>
      </c>
      <c r="T404" t="s">
        <v>403</v>
      </c>
      <c r="U404" t="s">
        <v>1277</v>
      </c>
      <c r="V404">
        <v>96100</v>
      </c>
      <c r="W404" t="s">
        <v>172</v>
      </c>
      <c r="X404" t="s">
        <v>47</v>
      </c>
      <c r="Y404" t="s">
        <v>48</v>
      </c>
      <c r="Z404" s="12">
        <f>IF(N404&lt;=1,13,IF(N404&lt;=2,23,IF(N404&lt;=3,35,IF(N404&lt;=4,43,IF(N404&lt;=5,53,IF(N404&lt;=6,63,IF(N404&lt;=7,71,IF(N404&lt;=8,79,IF(N404&lt;=9,87,IF(N404&lt;=10,95,IF(N404&lt;=11,105,IF(N404&lt;=12,114,IF(N404&lt;=13,119,IF(N404&lt;=14,127,IF(N404&lt;=15,135,IF(N404&lt;=16,143,IF(N404&lt;=17,153,IF(N404&lt;=18,163,IF(N404&lt;=19,171,IF(N404&lt;=20,185,IF(N404&lt;=21,193,IF(N404&lt;=22,201,IF(N404&lt;=23,210,IF(N404&lt;=24,220,IF(N404&lt;=25,230,IF(N404&lt;=26,240,IF(N404&lt;=27,250,IF(N404&lt;=28,260,IF(N404&lt;=29,270,IF(N404&lt;=30,280,280+10*ROUNDUP(N404-30,0)))))))))))))))))))))))))))))))</f>
        <v>13</v>
      </c>
      <c r="AA404" s="11">
        <v>0</v>
      </c>
      <c r="AB404" s="11">
        <v>0</v>
      </c>
      <c r="AC404" s="11">
        <v>0</v>
      </c>
      <c r="AD404" s="11">
        <v>0</v>
      </c>
      <c r="AE404" s="11">
        <f>(Z404+AB404+AD404)*6%</f>
        <v>0.78</v>
      </c>
      <c r="AF404" s="11">
        <f>Z404+AB404+AD404+AE404</f>
        <v>13.78</v>
      </c>
      <c r="AG404" t="s">
        <v>172</v>
      </c>
    </row>
    <row r="405" spans="1:33" ht="15" customHeight="1" x14ac:dyDescent="0.35">
      <c r="A405">
        <v>690929</v>
      </c>
      <c r="B405" t="s">
        <v>33</v>
      </c>
      <c r="C405" t="s">
        <v>34</v>
      </c>
      <c r="D405" s="6" t="s">
        <v>33</v>
      </c>
      <c r="E405" t="s">
        <v>1278</v>
      </c>
      <c r="F405" t="s">
        <v>36</v>
      </c>
      <c r="G405" t="s">
        <v>37</v>
      </c>
      <c r="H405" t="s">
        <v>1279</v>
      </c>
      <c r="I405" t="s">
        <v>39</v>
      </c>
      <c r="J405">
        <v>2</v>
      </c>
      <c r="K405" t="s">
        <v>40</v>
      </c>
      <c r="L405" t="s">
        <v>41</v>
      </c>
      <c r="M405" t="s">
        <v>42</v>
      </c>
      <c r="N405" s="7">
        <v>1</v>
      </c>
      <c r="O405" s="8">
        <v>45118.756180555552</v>
      </c>
      <c r="P405" s="9">
        <v>45121</v>
      </c>
      <c r="Q405" t="s">
        <v>36</v>
      </c>
      <c r="R405" t="s">
        <v>43</v>
      </c>
      <c r="S405" t="s">
        <v>44</v>
      </c>
      <c r="T405" t="s">
        <v>51</v>
      </c>
      <c r="U405" t="s">
        <v>1280</v>
      </c>
      <c r="V405">
        <v>30020</v>
      </c>
      <c r="W405" t="s">
        <v>43</v>
      </c>
      <c r="X405" t="s">
        <v>47</v>
      </c>
      <c r="Y405" t="s">
        <v>48</v>
      </c>
      <c r="Z405" s="10">
        <f>IF(N405&lt;=1,7,7+0.8*ROUNDUP(N405-1,0))</f>
        <v>7</v>
      </c>
      <c r="AA405" s="11">
        <v>0</v>
      </c>
      <c r="AB405" s="11">
        <v>0</v>
      </c>
      <c r="AC405" s="11">
        <v>0</v>
      </c>
      <c r="AD405" s="11">
        <v>0</v>
      </c>
      <c r="AE405" s="11">
        <f>(Z405+AB405+AD405)*6%</f>
        <v>0.42</v>
      </c>
      <c r="AF405" s="11">
        <f>Z405+AB405+AD405+AE405</f>
        <v>7.42</v>
      </c>
      <c r="AG405" t="s">
        <v>43</v>
      </c>
    </row>
    <row r="406" spans="1:33" ht="15" customHeight="1" x14ac:dyDescent="0.35">
      <c r="A406">
        <v>690929</v>
      </c>
      <c r="B406" t="s">
        <v>33</v>
      </c>
      <c r="C406" t="s">
        <v>34</v>
      </c>
      <c r="D406" s="6" t="s">
        <v>33</v>
      </c>
      <c r="E406" t="s">
        <v>1281</v>
      </c>
      <c r="F406" t="s">
        <v>36</v>
      </c>
      <c r="G406" t="s">
        <v>37</v>
      </c>
      <c r="H406" t="s">
        <v>1282</v>
      </c>
      <c r="I406" t="s">
        <v>39</v>
      </c>
      <c r="J406">
        <v>2</v>
      </c>
      <c r="K406" t="s">
        <v>40</v>
      </c>
      <c r="L406" t="s">
        <v>41</v>
      </c>
      <c r="M406" t="s">
        <v>42</v>
      </c>
      <c r="N406" s="7">
        <v>1</v>
      </c>
      <c r="O406" s="8">
        <v>45118.756180555552</v>
      </c>
      <c r="P406" s="9">
        <v>45121</v>
      </c>
      <c r="Q406" t="s">
        <v>36</v>
      </c>
      <c r="R406" t="s">
        <v>43</v>
      </c>
      <c r="S406" t="s">
        <v>44</v>
      </c>
      <c r="T406" t="s">
        <v>403</v>
      </c>
      <c r="U406" t="s">
        <v>1283</v>
      </c>
      <c r="V406">
        <v>94300</v>
      </c>
      <c r="W406" t="s">
        <v>172</v>
      </c>
      <c r="X406" t="s">
        <v>47</v>
      </c>
      <c r="Y406" t="s">
        <v>48</v>
      </c>
      <c r="Z406" s="12">
        <f>IF(N406&lt;=1,13,IF(N406&lt;=2,23,IF(N406&lt;=3,35,IF(N406&lt;=4,43,IF(N406&lt;=5,53,IF(N406&lt;=6,63,IF(N406&lt;=7,71,IF(N406&lt;=8,79,IF(N406&lt;=9,87,IF(N406&lt;=10,95,IF(N406&lt;=11,105,IF(N406&lt;=12,114,IF(N406&lt;=13,119,IF(N406&lt;=14,127,IF(N406&lt;=15,135,IF(N406&lt;=16,143,IF(N406&lt;=17,153,IF(N406&lt;=18,163,IF(N406&lt;=19,171,IF(N406&lt;=20,185,IF(N406&lt;=21,193,IF(N406&lt;=22,201,IF(N406&lt;=23,210,IF(N406&lt;=24,220,IF(N406&lt;=25,230,IF(N406&lt;=26,240,IF(N406&lt;=27,250,IF(N406&lt;=28,260,IF(N406&lt;=29,270,IF(N406&lt;=30,280,280+10*ROUNDUP(N406-30,0)))))))))))))))))))))))))))))))</f>
        <v>13</v>
      </c>
      <c r="AA406" s="11">
        <v>0</v>
      </c>
      <c r="AB406" s="11">
        <v>0</v>
      </c>
      <c r="AC406" s="11">
        <v>0</v>
      </c>
      <c r="AD406" s="11">
        <v>0</v>
      </c>
      <c r="AE406" s="11">
        <f>(Z406+AB406+AD406)*6%</f>
        <v>0.78</v>
      </c>
      <c r="AF406" s="11">
        <f>Z406+AB406+AD406+AE406</f>
        <v>13.78</v>
      </c>
      <c r="AG406" t="s">
        <v>172</v>
      </c>
    </row>
    <row r="407" spans="1:33" ht="15" customHeight="1" x14ac:dyDescent="0.35">
      <c r="A407">
        <v>690929</v>
      </c>
      <c r="B407" t="s">
        <v>33</v>
      </c>
      <c r="C407" t="s">
        <v>34</v>
      </c>
      <c r="D407" s="6" t="s">
        <v>33</v>
      </c>
      <c r="E407" t="s">
        <v>1284</v>
      </c>
      <c r="F407" t="s">
        <v>36</v>
      </c>
      <c r="G407" t="s">
        <v>37</v>
      </c>
      <c r="H407" t="s">
        <v>1285</v>
      </c>
      <c r="I407" t="s">
        <v>39</v>
      </c>
      <c r="J407">
        <v>2</v>
      </c>
      <c r="K407" t="s">
        <v>40</v>
      </c>
      <c r="L407" t="s">
        <v>41</v>
      </c>
      <c r="M407" t="s">
        <v>42</v>
      </c>
      <c r="N407" s="7">
        <v>1</v>
      </c>
      <c r="O407" s="8">
        <v>45120.518391203703</v>
      </c>
      <c r="P407" s="9">
        <v>45121</v>
      </c>
      <c r="Q407" t="s">
        <v>36</v>
      </c>
      <c r="R407" t="s">
        <v>43</v>
      </c>
      <c r="S407" t="s">
        <v>44</v>
      </c>
      <c r="T407" t="s">
        <v>57</v>
      </c>
      <c r="U407" t="s">
        <v>1286</v>
      </c>
      <c r="V407">
        <v>62150</v>
      </c>
      <c r="W407" t="s">
        <v>43</v>
      </c>
      <c r="X407" t="s">
        <v>47</v>
      </c>
      <c r="Y407" t="s">
        <v>48</v>
      </c>
      <c r="Z407" s="10">
        <f>IF(N407&lt;=1,7,7+0.8*ROUNDUP(N407-1,0))</f>
        <v>7</v>
      </c>
      <c r="AA407" s="11">
        <v>0</v>
      </c>
      <c r="AB407" s="11">
        <v>0</v>
      </c>
      <c r="AC407" s="11">
        <v>0</v>
      </c>
      <c r="AD407" s="11">
        <v>0</v>
      </c>
      <c r="AE407" s="11">
        <f>(Z407+AB407+AD407)*6%</f>
        <v>0.42</v>
      </c>
      <c r="AF407" s="11">
        <f>Z407+AB407+AD407+AE407</f>
        <v>7.42</v>
      </c>
      <c r="AG407" t="s">
        <v>43</v>
      </c>
    </row>
    <row r="408" spans="1:33" ht="15" customHeight="1" x14ac:dyDescent="0.35">
      <c r="A408">
        <v>690929</v>
      </c>
      <c r="B408" t="s">
        <v>33</v>
      </c>
      <c r="C408" t="s">
        <v>34</v>
      </c>
      <c r="D408" s="6" t="s">
        <v>33</v>
      </c>
      <c r="E408" t="s">
        <v>1287</v>
      </c>
      <c r="F408" t="s">
        <v>36</v>
      </c>
      <c r="G408" t="s">
        <v>37</v>
      </c>
      <c r="H408" t="s">
        <v>1288</v>
      </c>
      <c r="I408" t="s">
        <v>39</v>
      </c>
      <c r="J408">
        <v>2</v>
      </c>
      <c r="K408" t="s">
        <v>40</v>
      </c>
      <c r="L408" t="s">
        <v>41</v>
      </c>
      <c r="M408" t="s">
        <v>42</v>
      </c>
      <c r="N408" s="7">
        <v>1</v>
      </c>
      <c r="O408" s="8">
        <v>45119.736215277779</v>
      </c>
      <c r="P408" s="9">
        <v>45121</v>
      </c>
      <c r="Q408" t="s">
        <v>36</v>
      </c>
      <c r="R408" t="s">
        <v>43</v>
      </c>
      <c r="S408" t="s">
        <v>44</v>
      </c>
      <c r="T408" t="s">
        <v>57</v>
      </c>
      <c r="U408" t="s">
        <v>1289</v>
      </c>
      <c r="V408">
        <v>47630</v>
      </c>
      <c r="W408" t="s">
        <v>43</v>
      </c>
      <c r="X408" t="s">
        <v>1290</v>
      </c>
      <c r="Y408" t="s">
        <v>48</v>
      </c>
      <c r="Z408" s="10">
        <f>IF(N408&lt;=1,7,7+0.8*ROUNDUP(N408-1,0))</f>
        <v>7</v>
      </c>
      <c r="AA408" s="11">
        <v>0</v>
      </c>
      <c r="AB408" s="11">
        <v>0</v>
      </c>
      <c r="AC408" s="11">
        <v>0</v>
      </c>
      <c r="AD408" s="11">
        <v>0</v>
      </c>
      <c r="AE408" s="11">
        <f>(Z408+AB408+AD408)*6%</f>
        <v>0.42</v>
      </c>
      <c r="AF408" s="11">
        <f>Z408+AB408+AD408+AE408</f>
        <v>7.42</v>
      </c>
      <c r="AG408" t="s">
        <v>43</v>
      </c>
    </row>
    <row r="409" spans="1:33" ht="15" customHeight="1" x14ac:dyDescent="0.35">
      <c r="A409">
        <v>690929</v>
      </c>
      <c r="B409" t="s">
        <v>33</v>
      </c>
      <c r="C409" t="s">
        <v>34</v>
      </c>
      <c r="D409" s="6" t="s">
        <v>33</v>
      </c>
      <c r="E409" t="s">
        <v>1291</v>
      </c>
      <c r="F409" t="s">
        <v>36</v>
      </c>
      <c r="G409" t="s">
        <v>37</v>
      </c>
      <c r="H409" t="s">
        <v>1292</v>
      </c>
      <c r="I409" t="s">
        <v>39</v>
      </c>
      <c r="J409">
        <v>2</v>
      </c>
      <c r="K409" t="s">
        <v>40</v>
      </c>
      <c r="L409" t="s">
        <v>41</v>
      </c>
      <c r="M409" t="s">
        <v>42</v>
      </c>
      <c r="N409" s="7">
        <v>1</v>
      </c>
      <c r="O409" s="8">
        <v>45118.756180555552</v>
      </c>
      <c r="P409" s="9">
        <v>45121</v>
      </c>
      <c r="Q409" t="s">
        <v>36</v>
      </c>
      <c r="R409" t="s">
        <v>43</v>
      </c>
      <c r="S409" t="s">
        <v>44</v>
      </c>
      <c r="T409" t="s">
        <v>61</v>
      </c>
      <c r="U409" t="s">
        <v>1293</v>
      </c>
      <c r="V409">
        <v>86400</v>
      </c>
      <c r="W409" t="s">
        <v>43</v>
      </c>
      <c r="X409" t="s">
        <v>47</v>
      </c>
      <c r="Y409" t="s">
        <v>48</v>
      </c>
      <c r="Z409" s="10">
        <f>IF(N409&lt;=1,7,7+0.8*ROUNDUP(N409-1,0))</f>
        <v>7</v>
      </c>
      <c r="AA409" s="11">
        <v>0</v>
      </c>
      <c r="AB409" s="11">
        <v>0</v>
      </c>
      <c r="AC409" s="11">
        <v>0</v>
      </c>
      <c r="AD409" s="11">
        <v>0</v>
      </c>
      <c r="AE409" s="11">
        <f>(Z409+AB409+AD409)*6%</f>
        <v>0.42</v>
      </c>
      <c r="AF409" s="11">
        <f>Z409+AB409+AD409+AE409</f>
        <v>7.42</v>
      </c>
      <c r="AG409" t="s">
        <v>43</v>
      </c>
    </row>
    <row r="410" spans="1:33" ht="15" customHeight="1" x14ac:dyDescent="0.35">
      <c r="A410">
        <v>690929</v>
      </c>
      <c r="B410" t="s">
        <v>33</v>
      </c>
      <c r="C410" t="s">
        <v>34</v>
      </c>
      <c r="D410" s="6" t="s">
        <v>33</v>
      </c>
      <c r="E410" t="s">
        <v>1294</v>
      </c>
      <c r="F410" t="s">
        <v>36</v>
      </c>
      <c r="G410" t="s">
        <v>37</v>
      </c>
      <c r="H410" t="s">
        <v>1295</v>
      </c>
      <c r="I410" t="s">
        <v>39</v>
      </c>
      <c r="J410">
        <v>2</v>
      </c>
      <c r="K410" t="s">
        <v>40</v>
      </c>
      <c r="L410" t="s">
        <v>41</v>
      </c>
      <c r="M410" t="s">
        <v>42</v>
      </c>
      <c r="N410" s="7">
        <v>1</v>
      </c>
      <c r="O410" s="8">
        <v>45120.518391203703</v>
      </c>
      <c r="P410" s="9">
        <v>45121</v>
      </c>
      <c r="Q410" t="s">
        <v>36</v>
      </c>
      <c r="R410" t="s">
        <v>43</v>
      </c>
      <c r="S410" t="s">
        <v>44</v>
      </c>
      <c r="T410" t="s">
        <v>109</v>
      </c>
      <c r="U410" t="s">
        <v>1296</v>
      </c>
      <c r="V410">
        <v>16800</v>
      </c>
      <c r="W410" t="s">
        <v>43</v>
      </c>
      <c r="X410" t="s">
        <v>44</v>
      </c>
      <c r="Y410" t="s">
        <v>48</v>
      </c>
      <c r="Z410" s="10">
        <f>IF(N410&lt;=1,7,7+0.8*ROUNDUP(N410-1,0))</f>
        <v>7</v>
      </c>
      <c r="AA410" s="11">
        <v>0</v>
      </c>
      <c r="AB410" s="11">
        <v>0</v>
      </c>
      <c r="AC410" s="11">
        <v>0</v>
      </c>
      <c r="AD410" s="11">
        <v>0</v>
      </c>
      <c r="AE410" s="11">
        <f>(Z410+AB410+AD410)*6%</f>
        <v>0.42</v>
      </c>
      <c r="AF410" s="11">
        <f>Z410+AB410+AD410+AE410</f>
        <v>7.42</v>
      </c>
      <c r="AG410" t="s">
        <v>43</v>
      </c>
    </row>
    <row r="411" spans="1:33" ht="15" customHeight="1" x14ac:dyDescent="0.35">
      <c r="A411">
        <v>690929</v>
      </c>
      <c r="B411" t="s">
        <v>33</v>
      </c>
      <c r="C411" t="s">
        <v>34</v>
      </c>
      <c r="D411" s="6" t="s">
        <v>33</v>
      </c>
      <c r="E411" t="s">
        <v>1297</v>
      </c>
      <c r="F411" t="s">
        <v>36</v>
      </c>
      <c r="G411" t="s">
        <v>37</v>
      </c>
      <c r="H411" t="s">
        <v>1298</v>
      </c>
      <c r="I411" t="s">
        <v>39</v>
      </c>
      <c r="J411">
        <v>2</v>
      </c>
      <c r="K411" t="s">
        <v>40</v>
      </c>
      <c r="L411" t="s">
        <v>41</v>
      </c>
      <c r="M411" t="s">
        <v>42</v>
      </c>
      <c r="N411" s="7">
        <v>6</v>
      </c>
      <c r="O411" s="8">
        <v>45119.732708333337</v>
      </c>
      <c r="P411" s="9">
        <v>45121</v>
      </c>
      <c r="Q411" t="s">
        <v>36</v>
      </c>
      <c r="R411" t="s">
        <v>43</v>
      </c>
      <c r="S411" t="s">
        <v>44</v>
      </c>
      <c r="T411" t="s">
        <v>66</v>
      </c>
      <c r="U411" t="s">
        <v>511</v>
      </c>
      <c r="V411">
        <v>21100</v>
      </c>
      <c r="W411" t="s">
        <v>43</v>
      </c>
      <c r="X411" t="s">
        <v>199</v>
      </c>
      <c r="Y411" t="s">
        <v>48</v>
      </c>
      <c r="Z411" s="10">
        <f>IF(N411&lt;=1,7,7+0.8*ROUNDUP(N411-1,0))</f>
        <v>11</v>
      </c>
      <c r="AA411" s="11">
        <v>0</v>
      </c>
      <c r="AB411" s="11">
        <v>0</v>
      </c>
      <c r="AC411" s="11">
        <v>0</v>
      </c>
      <c r="AD411" s="11">
        <v>0</v>
      </c>
      <c r="AE411" s="11">
        <f>(Z411+AB411+AD411)*6%</f>
        <v>0.65999999999999992</v>
      </c>
      <c r="AF411" s="11">
        <f>Z411+AB411+AD411+AE411</f>
        <v>11.66</v>
      </c>
      <c r="AG411" t="s">
        <v>43</v>
      </c>
    </row>
    <row r="412" spans="1:33" ht="15" customHeight="1" x14ac:dyDescent="0.35">
      <c r="A412">
        <v>690929</v>
      </c>
      <c r="B412" t="s">
        <v>33</v>
      </c>
      <c r="C412" t="s">
        <v>34</v>
      </c>
      <c r="D412" s="6" t="s">
        <v>33</v>
      </c>
      <c r="E412" t="s">
        <v>1299</v>
      </c>
      <c r="F412" t="s">
        <v>36</v>
      </c>
      <c r="G412" t="s">
        <v>37</v>
      </c>
      <c r="H412" t="s">
        <v>1150</v>
      </c>
      <c r="I412" t="s">
        <v>39</v>
      </c>
      <c r="J412">
        <v>2</v>
      </c>
      <c r="K412" t="s">
        <v>40</v>
      </c>
      <c r="L412" t="s">
        <v>41</v>
      </c>
      <c r="M412" t="s">
        <v>42</v>
      </c>
      <c r="N412" s="7">
        <v>1</v>
      </c>
      <c r="O412" s="8">
        <v>45120.716956018521</v>
      </c>
      <c r="P412" s="9">
        <v>45121</v>
      </c>
      <c r="Q412" t="s">
        <v>36</v>
      </c>
      <c r="R412" t="s">
        <v>43</v>
      </c>
      <c r="S412" t="s">
        <v>44</v>
      </c>
      <c r="T412" t="s">
        <v>57</v>
      </c>
      <c r="U412" t="s">
        <v>1151</v>
      </c>
      <c r="V412">
        <v>43000</v>
      </c>
      <c r="W412" t="s">
        <v>43</v>
      </c>
      <c r="X412" t="s">
        <v>47</v>
      </c>
      <c r="Y412" t="s">
        <v>48</v>
      </c>
      <c r="Z412" s="10">
        <f>IF(N412&lt;=1,7,7+0.8*ROUNDUP(N412-1,0))</f>
        <v>7</v>
      </c>
      <c r="AA412" s="11">
        <v>0</v>
      </c>
      <c r="AB412" s="11">
        <v>0</v>
      </c>
      <c r="AC412" s="11">
        <v>0</v>
      </c>
      <c r="AD412" s="11">
        <v>0</v>
      </c>
      <c r="AE412" s="11">
        <f>(Z412+AB412+AD412)*6%</f>
        <v>0.42</v>
      </c>
      <c r="AF412" s="11">
        <f>Z412+AB412+AD412+AE412</f>
        <v>7.42</v>
      </c>
      <c r="AG412" t="s">
        <v>43</v>
      </c>
    </row>
    <row r="413" spans="1:33" ht="15" customHeight="1" x14ac:dyDescent="0.35">
      <c r="A413">
        <v>690929</v>
      </c>
      <c r="B413" t="s">
        <v>33</v>
      </c>
      <c r="C413" t="s">
        <v>34</v>
      </c>
      <c r="D413" s="6" t="s">
        <v>33</v>
      </c>
      <c r="E413" t="s">
        <v>1300</v>
      </c>
      <c r="F413" t="s">
        <v>36</v>
      </c>
      <c r="G413" t="s">
        <v>37</v>
      </c>
      <c r="H413" t="s">
        <v>595</v>
      </c>
      <c r="I413" t="s">
        <v>39</v>
      </c>
      <c r="J413">
        <v>2</v>
      </c>
      <c r="K413" t="s">
        <v>40</v>
      </c>
      <c r="L413" t="s">
        <v>41</v>
      </c>
      <c r="M413" t="s">
        <v>42</v>
      </c>
      <c r="N413" s="7">
        <v>1</v>
      </c>
      <c r="O413" s="8">
        <v>45118.740578703706</v>
      </c>
      <c r="P413" s="9">
        <v>45121</v>
      </c>
      <c r="Q413" t="s">
        <v>36</v>
      </c>
      <c r="R413" t="s">
        <v>43</v>
      </c>
      <c r="S413" t="s">
        <v>44</v>
      </c>
      <c r="T413" t="s">
        <v>80</v>
      </c>
      <c r="U413" t="s">
        <v>596</v>
      </c>
      <c r="V413">
        <v>5300</v>
      </c>
      <c r="W413" t="s">
        <v>43</v>
      </c>
      <c r="X413" t="s">
        <v>597</v>
      </c>
      <c r="Y413" t="s">
        <v>48</v>
      </c>
      <c r="Z413" s="10">
        <f>IF(N413&lt;=1,7,7+0.8*ROUNDUP(N413-1,0))</f>
        <v>7</v>
      </c>
      <c r="AA413" s="11">
        <v>0</v>
      </c>
      <c r="AB413" s="11">
        <v>0</v>
      </c>
      <c r="AC413" s="11">
        <v>0</v>
      </c>
      <c r="AD413" s="11">
        <v>0</v>
      </c>
      <c r="AE413" s="11">
        <f>(Z413+AB413+AD413)*6%</f>
        <v>0.42</v>
      </c>
      <c r="AF413" s="11">
        <f>Z413+AB413+AD413+AE413</f>
        <v>7.42</v>
      </c>
      <c r="AG413" t="s">
        <v>43</v>
      </c>
    </row>
    <row r="414" spans="1:33" ht="15" customHeight="1" x14ac:dyDescent="0.35">
      <c r="A414">
        <v>690929</v>
      </c>
      <c r="B414" t="s">
        <v>33</v>
      </c>
      <c r="C414" t="s">
        <v>34</v>
      </c>
      <c r="D414" s="6" t="s">
        <v>33</v>
      </c>
      <c r="E414" t="s">
        <v>1301</v>
      </c>
      <c r="F414" t="s">
        <v>36</v>
      </c>
      <c r="G414" t="s">
        <v>37</v>
      </c>
      <c r="H414" t="s">
        <v>1302</v>
      </c>
      <c r="I414" t="s">
        <v>39</v>
      </c>
      <c r="J414">
        <v>2</v>
      </c>
      <c r="K414" t="s">
        <v>40</v>
      </c>
      <c r="L414" t="s">
        <v>41</v>
      </c>
      <c r="M414" t="s">
        <v>42</v>
      </c>
      <c r="N414" s="7">
        <v>1</v>
      </c>
      <c r="O414" s="8">
        <v>45119.736215277779</v>
      </c>
      <c r="P414" s="9">
        <v>45121</v>
      </c>
      <c r="Q414" t="s">
        <v>36</v>
      </c>
      <c r="R414" t="s">
        <v>43</v>
      </c>
      <c r="S414" t="s">
        <v>44</v>
      </c>
      <c r="T414" t="s">
        <v>57</v>
      </c>
      <c r="U414" t="s">
        <v>1303</v>
      </c>
      <c r="V414">
        <v>47500</v>
      </c>
      <c r="W414" t="s">
        <v>43</v>
      </c>
      <c r="X414" t="s">
        <v>1290</v>
      </c>
      <c r="Y414" t="s">
        <v>48</v>
      </c>
      <c r="Z414" s="10">
        <f>IF(N414&lt;=1,7,7+0.8*ROUNDUP(N414-1,0))</f>
        <v>7</v>
      </c>
      <c r="AA414" s="11">
        <v>0</v>
      </c>
      <c r="AB414" s="11">
        <v>0</v>
      </c>
      <c r="AC414" s="11">
        <v>0</v>
      </c>
      <c r="AD414" s="11">
        <v>0</v>
      </c>
      <c r="AE414" s="11">
        <f>(Z414+AB414+AD414)*6%</f>
        <v>0.42</v>
      </c>
      <c r="AF414" s="11">
        <f>Z414+AB414+AD414+AE414</f>
        <v>7.42</v>
      </c>
      <c r="AG414" t="s">
        <v>43</v>
      </c>
    </row>
    <row r="415" spans="1:33" ht="15" customHeight="1" x14ac:dyDescent="0.35">
      <c r="A415">
        <v>690929</v>
      </c>
      <c r="B415" t="s">
        <v>33</v>
      </c>
      <c r="C415" t="s">
        <v>34</v>
      </c>
      <c r="D415" s="6" t="s">
        <v>33</v>
      </c>
      <c r="E415" t="s">
        <v>1304</v>
      </c>
      <c r="F415" t="s">
        <v>36</v>
      </c>
      <c r="G415" t="s">
        <v>37</v>
      </c>
      <c r="H415" t="s">
        <v>1305</v>
      </c>
      <c r="I415" t="s">
        <v>39</v>
      </c>
      <c r="J415">
        <v>2</v>
      </c>
      <c r="K415" t="s">
        <v>40</v>
      </c>
      <c r="L415" t="s">
        <v>41</v>
      </c>
      <c r="M415" t="s">
        <v>42</v>
      </c>
      <c r="N415" s="7">
        <v>1</v>
      </c>
      <c r="O415" s="8">
        <v>45119.679861111108</v>
      </c>
      <c r="P415" s="9">
        <v>45121</v>
      </c>
      <c r="Q415" t="s">
        <v>36</v>
      </c>
      <c r="R415" t="s">
        <v>43</v>
      </c>
      <c r="S415" t="s">
        <v>44</v>
      </c>
      <c r="T415" t="s">
        <v>51</v>
      </c>
      <c r="U415" t="s">
        <v>1306</v>
      </c>
      <c r="V415">
        <v>32040</v>
      </c>
      <c r="W415" t="s">
        <v>43</v>
      </c>
      <c r="X415" t="s">
        <v>1307</v>
      </c>
      <c r="Y415" t="s">
        <v>48</v>
      </c>
      <c r="Z415" s="10">
        <f>IF(N415&lt;=1,7,7+0.8*ROUNDUP(N415-1,0))</f>
        <v>7</v>
      </c>
      <c r="AA415" s="11">
        <v>0</v>
      </c>
      <c r="AB415" s="11">
        <v>0</v>
      </c>
      <c r="AC415" s="11">
        <v>0</v>
      </c>
      <c r="AD415" s="11">
        <v>0</v>
      </c>
      <c r="AE415" s="11">
        <f>(Z415+AB415+AD415)*6%</f>
        <v>0.42</v>
      </c>
      <c r="AF415" s="11">
        <f>Z415+AB415+AD415+AE415</f>
        <v>7.42</v>
      </c>
      <c r="AG415" t="s">
        <v>43</v>
      </c>
    </row>
    <row r="416" spans="1:33" ht="15" customHeight="1" x14ac:dyDescent="0.35">
      <c r="A416">
        <v>690929</v>
      </c>
      <c r="B416" t="s">
        <v>33</v>
      </c>
      <c r="C416" t="s">
        <v>34</v>
      </c>
      <c r="D416" s="6" t="s">
        <v>33</v>
      </c>
      <c r="E416" t="s">
        <v>1308</v>
      </c>
      <c r="F416" t="s">
        <v>36</v>
      </c>
      <c r="G416" t="s">
        <v>37</v>
      </c>
      <c r="H416" t="s">
        <v>1309</v>
      </c>
      <c r="I416" t="s">
        <v>39</v>
      </c>
      <c r="J416">
        <v>2</v>
      </c>
      <c r="K416" t="s">
        <v>40</v>
      </c>
      <c r="L416" t="s">
        <v>41</v>
      </c>
      <c r="M416" t="s">
        <v>42</v>
      </c>
      <c r="N416" s="7">
        <v>1</v>
      </c>
      <c r="O416" s="8">
        <v>45117.700115740743</v>
      </c>
      <c r="P416" s="9">
        <v>45121</v>
      </c>
      <c r="Q416" t="s">
        <v>36</v>
      </c>
      <c r="R416" t="s">
        <v>43</v>
      </c>
      <c r="S416" t="s">
        <v>44</v>
      </c>
      <c r="T416" t="s">
        <v>57</v>
      </c>
      <c r="U416" t="s">
        <v>1310</v>
      </c>
      <c r="V416">
        <v>53100</v>
      </c>
      <c r="W416" t="s">
        <v>43</v>
      </c>
      <c r="X416" t="s">
        <v>47</v>
      </c>
      <c r="Y416" t="s">
        <v>48</v>
      </c>
      <c r="Z416" s="10">
        <f>IF(N416&lt;=1,7,7+0.8*ROUNDUP(N416-1,0))</f>
        <v>7</v>
      </c>
      <c r="AA416" s="11">
        <v>0</v>
      </c>
      <c r="AB416" s="11">
        <v>0</v>
      </c>
      <c r="AC416" s="11">
        <v>0</v>
      </c>
      <c r="AD416" s="11">
        <v>0</v>
      </c>
      <c r="AE416" s="11">
        <f>(Z416+AB416+AD416)*6%</f>
        <v>0.42</v>
      </c>
      <c r="AF416" s="11">
        <f>Z416+AB416+AD416+AE416</f>
        <v>7.42</v>
      </c>
      <c r="AG416" t="s">
        <v>43</v>
      </c>
    </row>
    <row r="417" spans="1:33" ht="15" customHeight="1" x14ac:dyDescent="0.35">
      <c r="A417">
        <v>690929</v>
      </c>
      <c r="B417" t="s">
        <v>33</v>
      </c>
      <c r="C417" t="s">
        <v>34</v>
      </c>
      <c r="D417" s="6" t="s">
        <v>33</v>
      </c>
      <c r="E417" t="s">
        <v>1311</v>
      </c>
      <c r="F417" t="s">
        <v>36</v>
      </c>
      <c r="G417" t="s">
        <v>37</v>
      </c>
      <c r="H417" t="s">
        <v>826</v>
      </c>
      <c r="I417" t="s">
        <v>39</v>
      </c>
      <c r="J417">
        <v>2</v>
      </c>
      <c r="K417" t="s">
        <v>40</v>
      </c>
      <c r="L417" t="s">
        <v>41</v>
      </c>
      <c r="M417" t="s">
        <v>42</v>
      </c>
      <c r="N417" s="7">
        <v>1</v>
      </c>
      <c r="O417" s="8">
        <v>45120.72111111111</v>
      </c>
      <c r="P417" s="9">
        <v>45121</v>
      </c>
      <c r="Q417" t="s">
        <v>36</v>
      </c>
      <c r="R417" t="s">
        <v>43</v>
      </c>
      <c r="S417" t="s">
        <v>44</v>
      </c>
      <c r="T417" t="s">
        <v>89</v>
      </c>
      <c r="U417" t="s">
        <v>1312</v>
      </c>
      <c r="V417">
        <v>27100</v>
      </c>
      <c r="W417" t="s">
        <v>43</v>
      </c>
      <c r="X417" t="s">
        <v>44</v>
      </c>
      <c r="Y417" t="s">
        <v>48</v>
      </c>
      <c r="Z417" s="10">
        <f>IF(N417&lt;=1,7,7+0.8*ROUNDUP(N417-1,0))</f>
        <v>7</v>
      </c>
      <c r="AA417" s="11">
        <v>0</v>
      </c>
      <c r="AB417" s="11">
        <v>0</v>
      </c>
      <c r="AC417" s="11">
        <v>0</v>
      </c>
      <c r="AD417" s="11">
        <v>0</v>
      </c>
      <c r="AE417" s="11">
        <f>(Z417+AB417+AD417)*6%</f>
        <v>0.42</v>
      </c>
      <c r="AF417" s="11">
        <f>Z417+AB417+AD417+AE417</f>
        <v>7.42</v>
      </c>
      <c r="AG417" t="s">
        <v>43</v>
      </c>
    </row>
    <row r="418" spans="1:33" ht="15" customHeight="1" x14ac:dyDescent="0.35">
      <c r="A418">
        <v>690929</v>
      </c>
      <c r="B418" t="s">
        <v>33</v>
      </c>
      <c r="C418" t="s">
        <v>34</v>
      </c>
      <c r="D418" s="6" t="s">
        <v>33</v>
      </c>
      <c r="E418" t="s">
        <v>1313</v>
      </c>
      <c r="F418" t="s">
        <v>36</v>
      </c>
      <c r="G418" t="s">
        <v>37</v>
      </c>
      <c r="H418" t="s">
        <v>1314</v>
      </c>
      <c r="I418" t="s">
        <v>39</v>
      </c>
      <c r="J418">
        <v>2</v>
      </c>
      <c r="K418" t="s">
        <v>40</v>
      </c>
      <c r="L418" t="s">
        <v>41</v>
      </c>
      <c r="M418" t="s">
        <v>42</v>
      </c>
      <c r="N418" s="7">
        <v>5</v>
      </c>
      <c r="O418" s="8">
        <v>45118.756180555552</v>
      </c>
      <c r="P418" s="9">
        <v>45121</v>
      </c>
      <c r="Q418" t="s">
        <v>36</v>
      </c>
      <c r="R418" t="s">
        <v>43</v>
      </c>
      <c r="S418" t="s">
        <v>44</v>
      </c>
      <c r="T418" t="s">
        <v>61</v>
      </c>
      <c r="U418" t="s">
        <v>1315</v>
      </c>
      <c r="V418">
        <v>86000</v>
      </c>
      <c r="W418" t="s">
        <v>43</v>
      </c>
      <c r="X418" t="s">
        <v>612</v>
      </c>
      <c r="Y418" t="s">
        <v>48</v>
      </c>
      <c r="Z418" s="10">
        <f>IF(N418&lt;=1,7,7+0.8*ROUNDUP(N418-1,0))</f>
        <v>10.199999999999999</v>
      </c>
      <c r="AA418" s="11">
        <v>0</v>
      </c>
      <c r="AB418" s="11">
        <v>0</v>
      </c>
      <c r="AC418" s="11">
        <v>0</v>
      </c>
      <c r="AD418" s="11">
        <v>0</v>
      </c>
      <c r="AE418" s="11">
        <f>(Z418+AB418+AD418)*6%</f>
        <v>0.61199999999999999</v>
      </c>
      <c r="AF418" s="11">
        <f>Z418+AB418+AD418+AE418</f>
        <v>10.811999999999999</v>
      </c>
      <c r="AG418" t="s">
        <v>43</v>
      </c>
    </row>
    <row r="419" spans="1:33" ht="15" customHeight="1" x14ac:dyDescent="0.35">
      <c r="A419">
        <v>690929</v>
      </c>
      <c r="B419" t="s">
        <v>33</v>
      </c>
      <c r="C419" t="s">
        <v>34</v>
      </c>
      <c r="D419" s="6" t="s">
        <v>33</v>
      </c>
      <c r="E419" t="s">
        <v>1316</v>
      </c>
      <c r="F419" t="s">
        <v>36</v>
      </c>
      <c r="G419" t="s">
        <v>37</v>
      </c>
      <c r="H419" t="s">
        <v>1317</v>
      </c>
      <c r="I419" t="s">
        <v>39</v>
      </c>
      <c r="J419">
        <v>2</v>
      </c>
      <c r="K419" t="s">
        <v>40</v>
      </c>
      <c r="L419" t="s">
        <v>41</v>
      </c>
      <c r="M419" t="s">
        <v>42</v>
      </c>
      <c r="N419" s="7">
        <v>1</v>
      </c>
      <c r="O419" s="8">
        <v>45120.518391203703</v>
      </c>
      <c r="P419" s="9">
        <v>45121</v>
      </c>
      <c r="Q419" t="s">
        <v>36</v>
      </c>
      <c r="R419" t="s">
        <v>43</v>
      </c>
      <c r="S419" t="s">
        <v>44</v>
      </c>
      <c r="T419" t="s">
        <v>57</v>
      </c>
      <c r="U419" t="s">
        <v>1318</v>
      </c>
      <c r="V419">
        <v>43000</v>
      </c>
      <c r="W419" t="s">
        <v>43</v>
      </c>
      <c r="X419" t="s">
        <v>380</v>
      </c>
      <c r="Y419" t="s">
        <v>48</v>
      </c>
      <c r="Z419" s="10">
        <f>IF(N419&lt;=1,7,7+0.8*ROUNDUP(N419-1,0))</f>
        <v>7</v>
      </c>
      <c r="AA419" s="11">
        <v>0</v>
      </c>
      <c r="AB419" s="11">
        <v>0</v>
      </c>
      <c r="AC419" s="11">
        <v>0</v>
      </c>
      <c r="AD419" s="11">
        <v>0</v>
      </c>
      <c r="AE419" s="11">
        <f>(Z419+AB419+AD419)*6%</f>
        <v>0.42</v>
      </c>
      <c r="AF419" s="11">
        <f>Z419+AB419+AD419+AE419</f>
        <v>7.42</v>
      </c>
      <c r="AG419" t="s">
        <v>43</v>
      </c>
    </row>
    <row r="420" spans="1:33" ht="15" customHeight="1" x14ac:dyDescent="0.35">
      <c r="A420">
        <v>690929</v>
      </c>
      <c r="B420" t="s">
        <v>33</v>
      </c>
      <c r="C420" t="s">
        <v>34</v>
      </c>
      <c r="D420" s="6" t="s">
        <v>33</v>
      </c>
      <c r="E420" t="s">
        <v>1319</v>
      </c>
      <c r="F420" t="s">
        <v>36</v>
      </c>
      <c r="G420" t="s">
        <v>37</v>
      </c>
      <c r="H420" t="s">
        <v>257</v>
      </c>
      <c r="I420" t="s">
        <v>39</v>
      </c>
      <c r="J420">
        <v>2</v>
      </c>
      <c r="K420" t="s">
        <v>40</v>
      </c>
      <c r="L420" t="s">
        <v>41</v>
      </c>
      <c r="M420" t="s">
        <v>42</v>
      </c>
      <c r="N420" s="7">
        <v>1</v>
      </c>
      <c r="O420" s="8">
        <v>45118.756192129629</v>
      </c>
      <c r="P420" s="9">
        <v>45121</v>
      </c>
      <c r="Q420" t="s">
        <v>36</v>
      </c>
      <c r="R420" t="s">
        <v>43</v>
      </c>
      <c r="S420" t="s">
        <v>44</v>
      </c>
      <c r="T420" t="s">
        <v>70</v>
      </c>
      <c r="U420" t="s">
        <v>1320</v>
      </c>
      <c r="V420">
        <v>13500</v>
      </c>
      <c r="W420" t="s">
        <v>43</v>
      </c>
      <c r="X420" t="s">
        <v>47</v>
      </c>
      <c r="Y420" t="s">
        <v>48</v>
      </c>
      <c r="Z420" s="10">
        <f>IF(N420&lt;=1,7,7+0.8*ROUNDUP(N420-1,0))</f>
        <v>7</v>
      </c>
      <c r="AA420" s="11">
        <v>0</v>
      </c>
      <c r="AB420" s="11">
        <v>0</v>
      </c>
      <c r="AC420" s="11">
        <v>0</v>
      </c>
      <c r="AD420" s="11">
        <v>0</v>
      </c>
      <c r="AE420" s="11">
        <f>(Z420+AB420+AD420)*6%</f>
        <v>0.42</v>
      </c>
      <c r="AF420" s="11">
        <f>Z420+AB420+AD420+AE420</f>
        <v>7.42</v>
      </c>
      <c r="AG420" t="s">
        <v>43</v>
      </c>
    </row>
    <row r="421" spans="1:33" ht="15" customHeight="1" x14ac:dyDescent="0.35">
      <c r="A421">
        <v>690929</v>
      </c>
      <c r="B421" t="s">
        <v>33</v>
      </c>
      <c r="C421" t="s">
        <v>34</v>
      </c>
      <c r="D421" s="6" t="s">
        <v>33</v>
      </c>
      <c r="E421" t="s">
        <v>1321</v>
      </c>
      <c r="F421" t="s">
        <v>36</v>
      </c>
      <c r="G421" t="s">
        <v>37</v>
      </c>
      <c r="H421" t="s">
        <v>1322</v>
      </c>
      <c r="I421" t="s">
        <v>39</v>
      </c>
      <c r="J421">
        <v>2</v>
      </c>
      <c r="K421" t="s">
        <v>40</v>
      </c>
      <c r="L421" t="s">
        <v>41</v>
      </c>
      <c r="M421" t="s">
        <v>42</v>
      </c>
      <c r="N421" s="7">
        <v>3</v>
      </c>
      <c r="O421" s="8">
        <v>45119.707326388889</v>
      </c>
      <c r="P421" s="9">
        <v>45121</v>
      </c>
      <c r="Q421" t="s">
        <v>36</v>
      </c>
      <c r="R421" t="s">
        <v>43</v>
      </c>
      <c r="S421" t="s">
        <v>44</v>
      </c>
      <c r="T421" t="s">
        <v>57</v>
      </c>
      <c r="U421" t="s">
        <v>1323</v>
      </c>
      <c r="V421">
        <v>48300</v>
      </c>
      <c r="W421" t="s">
        <v>43</v>
      </c>
      <c r="X421" t="s">
        <v>199</v>
      </c>
      <c r="Y421" t="s">
        <v>48</v>
      </c>
      <c r="Z421" s="10">
        <f>IF(N421&lt;=1,7,7+0.8*ROUNDUP(N421-1,0))</f>
        <v>8.6</v>
      </c>
      <c r="AA421" s="11">
        <v>0</v>
      </c>
      <c r="AB421" s="11">
        <v>0</v>
      </c>
      <c r="AC421" s="11">
        <v>0</v>
      </c>
      <c r="AD421" s="11">
        <v>0</v>
      </c>
      <c r="AE421" s="11">
        <f>(Z421+AB421+AD421)*6%</f>
        <v>0.51600000000000001</v>
      </c>
      <c r="AF421" s="11">
        <f>Z421+AB421+AD421+AE421</f>
        <v>9.1159999999999997</v>
      </c>
      <c r="AG421" t="s">
        <v>43</v>
      </c>
    </row>
    <row r="422" spans="1:33" ht="15" customHeight="1" x14ac:dyDescent="0.35">
      <c r="A422">
        <v>690929</v>
      </c>
      <c r="B422" t="s">
        <v>33</v>
      </c>
      <c r="C422" t="s">
        <v>34</v>
      </c>
      <c r="D422" s="6" t="s">
        <v>33</v>
      </c>
      <c r="E422" t="s">
        <v>1324</v>
      </c>
      <c r="F422" t="s">
        <v>36</v>
      </c>
      <c r="G422" t="s">
        <v>37</v>
      </c>
      <c r="H422" t="s">
        <v>1325</v>
      </c>
      <c r="I422" t="s">
        <v>39</v>
      </c>
      <c r="J422">
        <v>2</v>
      </c>
      <c r="K422" t="s">
        <v>40</v>
      </c>
      <c r="L422" t="s">
        <v>41</v>
      </c>
      <c r="M422" t="s">
        <v>42</v>
      </c>
      <c r="N422" s="7">
        <v>1</v>
      </c>
      <c r="O422" s="8">
        <v>45119.587870370371</v>
      </c>
      <c r="P422" s="9">
        <v>45121</v>
      </c>
      <c r="Q422" t="s">
        <v>36</v>
      </c>
      <c r="R422" t="s">
        <v>43</v>
      </c>
      <c r="S422" t="s">
        <v>44</v>
      </c>
      <c r="T422" t="s">
        <v>80</v>
      </c>
      <c r="U422" t="s">
        <v>1326</v>
      </c>
      <c r="V422">
        <v>6010</v>
      </c>
      <c r="W422" t="s">
        <v>43</v>
      </c>
      <c r="X422" t="s">
        <v>86</v>
      </c>
      <c r="Y422" t="s">
        <v>48</v>
      </c>
      <c r="Z422" s="10">
        <f>IF(N422&lt;=1,7,7+0.8*ROUNDUP(N422-1,0))</f>
        <v>7</v>
      </c>
      <c r="AA422" s="11">
        <v>0</v>
      </c>
      <c r="AB422" s="11">
        <v>0</v>
      </c>
      <c r="AC422" s="11">
        <v>0</v>
      </c>
      <c r="AD422" s="11">
        <v>0</v>
      </c>
      <c r="AE422" s="11">
        <f>(Z422+AB422+AD422)*6%</f>
        <v>0.42</v>
      </c>
      <c r="AF422" s="11">
        <f>Z422+AB422+AD422+AE422</f>
        <v>7.42</v>
      </c>
      <c r="AG422" t="s">
        <v>43</v>
      </c>
    </row>
    <row r="423" spans="1:33" ht="15" customHeight="1" x14ac:dyDescent="0.35">
      <c r="A423">
        <v>690929</v>
      </c>
      <c r="B423" t="s">
        <v>33</v>
      </c>
      <c r="C423" t="s">
        <v>34</v>
      </c>
      <c r="D423" s="6" t="s">
        <v>33</v>
      </c>
      <c r="E423" t="s">
        <v>1327</v>
      </c>
      <c r="F423" t="s">
        <v>36</v>
      </c>
      <c r="G423" t="s">
        <v>37</v>
      </c>
      <c r="H423" t="s">
        <v>1067</v>
      </c>
      <c r="I423" t="s">
        <v>39</v>
      </c>
      <c r="J423">
        <v>2</v>
      </c>
      <c r="K423" t="s">
        <v>40</v>
      </c>
      <c r="L423" t="s">
        <v>41</v>
      </c>
      <c r="M423" t="s">
        <v>42</v>
      </c>
      <c r="N423" s="7">
        <v>1</v>
      </c>
      <c r="O423" s="8">
        <v>45120.518391203703</v>
      </c>
      <c r="P423" s="9">
        <v>45121</v>
      </c>
      <c r="Q423" t="s">
        <v>36</v>
      </c>
      <c r="R423" t="s">
        <v>43</v>
      </c>
      <c r="S423" t="s">
        <v>44</v>
      </c>
      <c r="T423" t="s">
        <v>109</v>
      </c>
      <c r="U423" t="s">
        <v>1328</v>
      </c>
      <c r="V423">
        <v>17060</v>
      </c>
      <c r="W423" t="s">
        <v>43</v>
      </c>
      <c r="X423" t="s">
        <v>44</v>
      </c>
      <c r="Y423" t="s">
        <v>48</v>
      </c>
      <c r="Z423" s="10">
        <f>IF(N423&lt;=1,7,7+0.8*ROUNDUP(N423-1,0))</f>
        <v>7</v>
      </c>
      <c r="AA423" s="11">
        <v>0</v>
      </c>
      <c r="AB423" s="11">
        <v>0</v>
      </c>
      <c r="AC423" s="11">
        <v>0</v>
      </c>
      <c r="AD423" s="11">
        <v>0</v>
      </c>
      <c r="AE423" s="11">
        <f>(Z423+AB423+AD423)*6%</f>
        <v>0.42</v>
      </c>
      <c r="AF423" s="11">
        <f>Z423+AB423+AD423+AE423</f>
        <v>7.42</v>
      </c>
      <c r="AG423" t="s">
        <v>43</v>
      </c>
    </row>
    <row r="424" spans="1:33" ht="15" customHeight="1" x14ac:dyDescent="0.35">
      <c r="A424">
        <v>690929</v>
      </c>
      <c r="B424" t="s">
        <v>33</v>
      </c>
      <c r="C424" t="s">
        <v>34</v>
      </c>
      <c r="D424" s="6" t="s">
        <v>33</v>
      </c>
      <c r="E424" t="s">
        <v>1329</v>
      </c>
      <c r="F424" t="s">
        <v>36</v>
      </c>
      <c r="G424" t="s">
        <v>37</v>
      </c>
      <c r="H424" t="s">
        <v>1330</v>
      </c>
      <c r="I424" t="s">
        <v>39</v>
      </c>
      <c r="J424">
        <v>2</v>
      </c>
      <c r="K424" t="s">
        <v>40</v>
      </c>
      <c r="L424" t="s">
        <v>41</v>
      </c>
      <c r="M424" t="s">
        <v>42</v>
      </c>
      <c r="N424" s="7">
        <v>2</v>
      </c>
      <c r="O424" s="8">
        <v>45119.732708333337</v>
      </c>
      <c r="P424" s="9">
        <v>45121</v>
      </c>
      <c r="Q424" t="s">
        <v>36</v>
      </c>
      <c r="R424" t="s">
        <v>43</v>
      </c>
      <c r="S424" t="s">
        <v>44</v>
      </c>
      <c r="T424" t="s">
        <v>89</v>
      </c>
      <c r="U424" t="s">
        <v>1331</v>
      </c>
      <c r="V424">
        <v>25050</v>
      </c>
      <c r="W424" t="s">
        <v>43</v>
      </c>
      <c r="X424" t="s">
        <v>184</v>
      </c>
      <c r="Y424" t="s">
        <v>48</v>
      </c>
      <c r="Z424" s="10">
        <f>IF(N424&lt;=1,7,7+0.8*ROUNDUP(N424-1,0))</f>
        <v>7.8</v>
      </c>
      <c r="AA424" s="11">
        <v>0</v>
      </c>
      <c r="AB424" s="11">
        <v>0</v>
      </c>
      <c r="AC424" s="11">
        <v>0</v>
      </c>
      <c r="AD424" s="11">
        <v>0</v>
      </c>
      <c r="AE424" s="11">
        <f>(Z424+AB424+AD424)*6%</f>
        <v>0.46799999999999997</v>
      </c>
      <c r="AF424" s="11">
        <f>Z424+AB424+AD424+AE424</f>
        <v>8.2680000000000007</v>
      </c>
      <c r="AG424" t="s">
        <v>43</v>
      </c>
    </row>
    <row r="425" spans="1:33" ht="15" customHeight="1" x14ac:dyDescent="0.35">
      <c r="A425">
        <v>690929</v>
      </c>
      <c r="B425" t="s">
        <v>33</v>
      </c>
      <c r="C425" t="s">
        <v>34</v>
      </c>
      <c r="D425" s="6" t="s">
        <v>33</v>
      </c>
      <c r="E425" t="s">
        <v>1332</v>
      </c>
      <c r="F425" t="s">
        <v>36</v>
      </c>
      <c r="G425" t="s">
        <v>37</v>
      </c>
      <c r="H425" t="s">
        <v>1333</v>
      </c>
      <c r="I425" t="s">
        <v>39</v>
      </c>
      <c r="J425">
        <v>2</v>
      </c>
      <c r="K425" t="s">
        <v>40</v>
      </c>
      <c r="L425" t="s">
        <v>41</v>
      </c>
      <c r="M425" t="s">
        <v>42</v>
      </c>
      <c r="N425" s="7">
        <v>1</v>
      </c>
      <c r="O425" s="8">
        <v>45120.689826388887</v>
      </c>
      <c r="P425" s="9">
        <v>45121</v>
      </c>
      <c r="Q425" t="s">
        <v>36</v>
      </c>
      <c r="R425" t="s">
        <v>43</v>
      </c>
      <c r="S425" t="s">
        <v>44</v>
      </c>
      <c r="T425" t="s">
        <v>109</v>
      </c>
      <c r="U425" t="s">
        <v>1334</v>
      </c>
      <c r="V425">
        <v>18000</v>
      </c>
      <c r="W425" t="s">
        <v>43</v>
      </c>
      <c r="X425" t="s">
        <v>44</v>
      </c>
      <c r="Y425" t="s">
        <v>48</v>
      </c>
      <c r="Z425" s="10">
        <f>IF(N425&lt;=1,7,7+0.8*ROUNDUP(N425-1,0))</f>
        <v>7</v>
      </c>
      <c r="AA425" s="11">
        <v>0</v>
      </c>
      <c r="AB425" s="11">
        <v>0</v>
      </c>
      <c r="AC425" s="11">
        <v>0</v>
      </c>
      <c r="AD425" s="11">
        <v>0</v>
      </c>
      <c r="AE425" s="11">
        <f>(Z425+AB425+AD425)*6%</f>
        <v>0.42</v>
      </c>
      <c r="AF425" s="11">
        <f>Z425+AB425+AD425+AE425</f>
        <v>7.42</v>
      </c>
      <c r="AG425" t="s">
        <v>43</v>
      </c>
    </row>
    <row r="426" spans="1:33" ht="15" customHeight="1" x14ac:dyDescent="0.35">
      <c r="A426">
        <v>690929</v>
      </c>
      <c r="B426" t="s">
        <v>33</v>
      </c>
      <c r="C426" t="s">
        <v>34</v>
      </c>
      <c r="D426" s="6" t="s">
        <v>33</v>
      </c>
      <c r="E426" t="s">
        <v>1335</v>
      </c>
      <c r="F426" t="s">
        <v>36</v>
      </c>
      <c r="G426" t="s">
        <v>37</v>
      </c>
      <c r="H426" t="s">
        <v>1336</v>
      </c>
      <c r="I426" t="s">
        <v>39</v>
      </c>
      <c r="J426">
        <v>2</v>
      </c>
      <c r="K426" t="s">
        <v>40</v>
      </c>
      <c r="L426" t="s">
        <v>41</v>
      </c>
      <c r="M426" t="s">
        <v>42</v>
      </c>
      <c r="N426" s="7">
        <v>1</v>
      </c>
      <c r="O426" s="8">
        <v>45118.756180555552</v>
      </c>
      <c r="P426" s="9">
        <v>45122</v>
      </c>
      <c r="Q426" t="s">
        <v>36</v>
      </c>
      <c r="R426" t="s">
        <v>43</v>
      </c>
      <c r="S426" t="s">
        <v>44</v>
      </c>
      <c r="T426" t="s">
        <v>89</v>
      </c>
      <c r="U426" t="s">
        <v>1337</v>
      </c>
      <c r="V426">
        <v>28700</v>
      </c>
      <c r="W426" t="s">
        <v>43</v>
      </c>
      <c r="X426" t="s">
        <v>47</v>
      </c>
      <c r="Y426" t="s">
        <v>48</v>
      </c>
      <c r="Z426" s="10">
        <f>IF(N426&lt;=1,7,7+0.8*ROUNDUP(N426-1,0))</f>
        <v>7</v>
      </c>
      <c r="AA426" s="11">
        <v>0</v>
      </c>
      <c r="AB426" s="11">
        <v>0</v>
      </c>
      <c r="AC426" s="11">
        <v>0</v>
      </c>
      <c r="AD426" s="11">
        <v>0</v>
      </c>
      <c r="AE426" s="11">
        <f>(Z426+AB426+AD426)*6%</f>
        <v>0.42</v>
      </c>
      <c r="AF426" s="11">
        <f>Z426+AB426+AD426+AE426</f>
        <v>7.42</v>
      </c>
      <c r="AG426" t="s">
        <v>43</v>
      </c>
    </row>
    <row r="427" spans="1:33" ht="15" customHeight="1" x14ac:dyDescent="0.35">
      <c r="A427">
        <v>690929</v>
      </c>
      <c r="B427" t="s">
        <v>33</v>
      </c>
      <c r="C427" t="s">
        <v>34</v>
      </c>
      <c r="D427" s="6" t="s">
        <v>33</v>
      </c>
      <c r="E427" t="s">
        <v>1338</v>
      </c>
      <c r="F427" t="s">
        <v>36</v>
      </c>
      <c r="G427" t="s">
        <v>37</v>
      </c>
      <c r="H427" t="s">
        <v>1339</v>
      </c>
      <c r="I427" t="s">
        <v>39</v>
      </c>
      <c r="J427">
        <v>2</v>
      </c>
      <c r="K427" t="s">
        <v>40</v>
      </c>
      <c r="L427" t="s">
        <v>41</v>
      </c>
      <c r="M427" t="s">
        <v>42</v>
      </c>
      <c r="N427" s="7">
        <v>2</v>
      </c>
      <c r="O427" s="8">
        <v>45120.466805555552</v>
      </c>
      <c r="P427" s="9">
        <v>45122</v>
      </c>
      <c r="Q427" t="s">
        <v>36</v>
      </c>
      <c r="R427" t="s">
        <v>43</v>
      </c>
      <c r="S427" t="s">
        <v>44</v>
      </c>
      <c r="T427" t="s">
        <v>194</v>
      </c>
      <c r="U427" t="s">
        <v>1340</v>
      </c>
      <c r="V427">
        <v>71010</v>
      </c>
      <c r="W427" t="s">
        <v>43</v>
      </c>
      <c r="X427" t="s">
        <v>47</v>
      </c>
      <c r="Y427" t="s">
        <v>48</v>
      </c>
      <c r="Z427" s="10">
        <f>IF(N427&lt;=1,7,7+0.8*ROUNDUP(N427-1,0))</f>
        <v>7.8</v>
      </c>
      <c r="AA427" s="11">
        <v>0</v>
      </c>
      <c r="AB427" s="11">
        <v>0</v>
      </c>
      <c r="AC427" s="11">
        <v>0</v>
      </c>
      <c r="AD427" s="11">
        <v>0</v>
      </c>
      <c r="AE427" s="11">
        <f>(Z427+AB427+AD427)*6%</f>
        <v>0.46799999999999997</v>
      </c>
      <c r="AF427" s="11">
        <f>Z427+AB427+AD427+AE427</f>
        <v>8.2680000000000007</v>
      </c>
      <c r="AG427" t="s">
        <v>43</v>
      </c>
    </row>
    <row r="428" spans="1:33" ht="15" customHeight="1" x14ac:dyDescent="0.35">
      <c r="A428">
        <v>690929</v>
      </c>
      <c r="B428" t="s">
        <v>33</v>
      </c>
      <c r="C428" t="s">
        <v>34</v>
      </c>
      <c r="D428" s="6" t="s">
        <v>33</v>
      </c>
      <c r="E428" t="s">
        <v>1341</v>
      </c>
      <c r="F428" t="s">
        <v>36</v>
      </c>
      <c r="G428" t="s">
        <v>37</v>
      </c>
      <c r="H428" t="s">
        <v>1342</v>
      </c>
      <c r="I428" t="s">
        <v>39</v>
      </c>
      <c r="J428">
        <v>2</v>
      </c>
      <c r="K428" t="s">
        <v>40</v>
      </c>
      <c r="L428" t="s">
        <v>41</v>
      </c>
      <c r="M428" t="s">
        <v>42</v>
      </c>
      <c r="N428" s="7">
        <v>2</v>
      </c>
      <c r="O428" s="8">
        <v>45121.479803240742</v>
      </c>
      <c r="P428" s="9">
        <v>45122</v>
      </c>
      <c r="Q428" t="s">
        <v>36</v>
      </c>
      <c r="R428" t="s">
        <v>43</v>
      </c>
      <c r="S428" t="s">
        <v>56</v>
      </c>
      <c r="T428" t="s">
        <v>89</v>
      </c>
      <c r="U428" t="s">
        <v>1343</v>
      </c>
      <c r="V428">
        <v>26100</v>
      </c>
      <c r="W428" t="s">
        <v>43</v>
      </c>
      <c r="X428" t="s">
        <v>56</v>
      </c>
      <c r="Y428" t="s">
        <v>48</v>
      </c>
      <c r="Z428" s="10">
        <f>IF(N428&lt;=1,7,7+0.8*ROUNDUP(N428-1,0))</f>
        <v>7.8</v>
      </c>
      <c r="AA428" s="11">
        <v>0</v>
      </c>
      <c r="AB428" s="11">
        <v>0</v>
      </c>
      <c r="AC428" s="11">
        <v>0</v>
      </c>
      <c r="AD428" s="11">
        <v>0</v>
      </c>
      <c r="AE428" s="11">
        <f>(Z428+AB428+AD428)*6%</f>
        <v>0.46799999999999997</v>
      </c>
      <c r="AF428" s="11">
        <f>Z428+AB428+AD428+AE428</f>
        <v>8.2680000000000007</v>
      </c>
      <c r="AG428" t="s">
        <v>43</v>
      </c>
    </row>
    <row r="429" spans="1:33" ht="15" customHeight="1" x14ac:dyDescent="0.35">
      <c r="A429">
        <v>690929</v>
      </c>
      <c r="B429" t="s">
        <v>33</v>
      </c>
      <c r="C429" t="s">
        <v>34</v>
      </c>
      <c r="D429" s="6" t="s">
        <v>33</v>
      </c>
      <c r="E429" t="s">
        <v>1344</v>
      </c>
      <c r="G429" t="s">
        <v>37</v>
      </c>
      <c r="H429" t="s">
        <v>1345</v>
      </c>
      <c r="I429" t="s">
        <v>39</v>
      </c>
      <c r="J429">
        <v>2</v>
      </c>
      <c r="K429" t="s">
        <v>40</v>
      </c>
      <c r="L429" t="s">
        <v>41</v>
      </c>
      <c r="M429" t="s">
        <v>42</v>
      </c>
      <c r="N429" s="7">
        <v>2</v>
      </c>
      <c r="O429" s="8">
        <v>45129.709756944445</v>
      </c>
      <c r="P429" s="9">
        <v>45134</v>
      </c>
      <c r="R429" t="s">
        <v>43</v>
      </c>
      <c r="S429" t="s">
        <v>44</v>
      </c>
      <c r="T429" t="s">
        <v>80</v>
      </c>
      <c r="U429" t="s">
        <v>1346</v>
      </c>
      <c r="V429">
        <v>7000</v>
      </c>
      <c r="W429" t="s">
        <v>43</v>
      </c>
      <c r="X429" t="s">
        <v>47</v>
      </c>
      <c r="Y429" t="s">
        <v>48</v>
      </c>
      <c r="Z429" s="10">
        <f>IF(N429&lt;=1,7,7+0.8*ROUNDUP(N429-1,0))</f>
        <v>7.8</v>
      </c>
      <c r="AA429" s="11">
        <v>0</v>
      </c>
      <c r="AB429" s="11">
        <v>0</v>
      </c>
      <c r="AC429" s="11">
        <v>0</v>
      </c>
      <c r="AD429" s="11">
        <v>0</v>
      </c>
      <c r="AE429" s="11">
        <f>(Z429+AB429+AD429)*6%</f>
        <v>0.46799999999999997</v>
      </c>
      <c r="AF429" s="11">
        <f>Z429+AB429+AD429+AE429</f>
        <v>8.2680000000000007</v>
      </c>
      <c r="AG429" t="s">
        <v>43</v>
      </c>
    </row>
    <row r="430" spans="1:33" ht="15" customHeight="1" x14ac:dyDescent="0.35">
      <c r="A430">
        <v>690929</v>
      </c>
      <c r="B430" t="s">
        <v>33</v>
      </c>
      <c r="C430" t="s">
        <v>34</v>
      </c>
      <c r="D430" s="6" t="s">
        <v>33</v>
      </c>
      <c r="E430" t="s">
        <v>1347</v>
      </c>
      <c r="G430" t="s">
        <v>37</v>
      </c>
      <c r="H430" t="s">
        <v>1348</v>
      </c>
      <c r="I430" t="s">
        <v>39</v>
      </c>
      <c r="J430">
        <v>2</v>
      </c>
      <c r="K430" t="s">
        <v>40</v>
      </c>
      <c r="L430" t="s">
        <v>41</v>
      </c>
      <c r="M430" t="s">
        <v>42</v>
      </c>
      <c r="N430" s="7">
        <v>1</v>
      </c>
      <c r="O430" s="8">
        <v>45132.657094907408</v>
      </c>
      <c r="P430" s="9">
        <v>45134</v>
      </c>
      <c r="R430" t="s">
        <v>43</v>
      </c>
      <c r="S430" t="s">
        <v>44</v>
      </c>
      <c r="T430" t="s">
        <v>61</v>
      </c>
      <c r="U430" t="s">
        <v>1349</v>
      </c>
      <c r="V430">
        <v>81900</v>
      </c>
      <c r="W430" t="s">
        <v>43</v>
      </c>
      <c r="X430" t="s">
        <v>47</v>
      </c>
      <c r="Y430" t="s">
        <v>48</v>
      </c>
      <c r="Z430" s="10">
        <f>IF(N430&lt;=1,7,7+0.8*ROUNDUP(N430-1,0))</f>
        <v>7</v>
      </c>
      <c r="AA430" s="11">
        <v>0</v>
      </c>
      <c r="AB430" s="11">
        <v>0</v>
      </c>
      <c r="AC430" s="11">
        <v>0</v>
      </c>
      <c r="AD430" s="11">
        <v>0</v>
      </c>
      <c r="AE430" s="11">
        <f>(Z430+AB430+AD430)*6%</f>
        <v>0.42</v>
      </c>
      <c r="AF430" s="11">
        <f>Z430+AB430+AD430+AE430</f>
        <v>7.42</v>
      </c>
      <c r="AG430" t="s">
        <v>43</v>
      </c>
    </row>
    <row r="431" spans="1:33" ht="15" customHeight="1" x14ac:dyDescent="0.35">
      <c r="A431">
        <v>690929</v>
      </c>
      <c r="B431" t="s">
        <v>33</v>
      </c>
      <c r="C431" t="s">
        <v>34</v>
      </c>
      <c r="D431" s="6" t="s">
        <v>33</v>
      </c>
      <c r="E431" t="s">
        <v>1350</v>
      </c>
      <c r="G431" t="s">
        <v>37</v>
      </c>
      <c r="H431" t="s">
        <v>1351</v>
      </c>
      <c r="I431" t="s">
        <v>39</v>
      </c>
      <c r="J431">
        <v>2</v>
      </c>
      <c r="K431" t="s">
        <v>40</v>
      </c>
      <c r="L431" t="s">
        <v>41</v>
      </c>
      <c r="M431" t="s">
        <v>42</v>
      </c>
      <c r="N431" s="7">
        <v>1</v>
      </c>
      <c r="O431" s="8">
        <v>45132.622511574074</v>
      </c>
      <c r="P431" s="9">
        <v>45134</v>
      </c>
      <c r="R431" t="s">
        <v>43</v>
      </c>
      <c r="S431" t="s">
        <v>44</v>
      </c>
      <c r="T431" t="s">
        <v>70</v>
      </c>
      <c r="U431" t="s">
        <v>1352</v>
      </c>
      <c r="V431">
        <v>13300</v>
      </c>
      <c r="W431" t="s">
        <v>43</v>
      </c>
      <c r="X431" t="s">
        <v>47</v>
      </c>
      <c r="Y431" t="s">
        <v>48</v>
      </c>
      <c r="Z431" s="10">
        <f>IF(N431&lt;=1,7,7+0.8*ROUNDUP(N431-1,0))</f>
        <v>7</v>
      </c>
      <c r="AA431" s="11">
        <v>0</v>
      </c>
      <c r="AB431" s="11">
        <v>0</v>
      </c>
      <c r="AC431" s="11">
        <v>0</v>
      </c>
      <c r="AD431" s="11">
        <v>0</v>
      </c>
      <c r="AE431" s="11">
        <f>(Z431+AB431+AD431)*6%</f>
        <v>0.42</v>
      </c>
      <c r="AF431" s="11">
        <f>Z431+AB431+AD431+AE431</f>
        <v>7.42</v>
      </c>
      <c r="AG431" t="s">
        <v>43</v>
      </c>
    </row>
    <row r="432" spans="1:33" ht="15" customHeight="1" x14ac:dyDescent="0.35">
      <c r="A432">
        <v>690929</v>
      </c>
      <c r="B432" t="s">
        <v>33</v>
      </c>
      <c r="C432" t="s">
        <v>34</v>
      </c>
      <c r="D432" s="6" t="s">
        <v>33</v>
      </c>
      <c r="E432" t="s">
        <v>1353</v>
      </c>
      <c r="G432" t="s">
        <v>37</v>
      </c>
      <c r="H432" t="s">
        <v>1354</v>
      </c>
      <c r="I432" t="s">
        <v>39</v>
      </c>
      <c r="J432">
        <v>2</v>
      </c>
      <c r="K432" t="s">
        <v>40</v>
      </c>
      <c r="L432" t="s">
        <v>41</v>
      </c>
      <c r="M432" t="s">
        <v>42</v>
      </c>
      <c r="N432" s="7">
        <v>1</v>
      </c>
      <c r="O432" s="8">
        <v>45132.721446759257</v>
      </c>
      <c r="P432" s="9">
        <v>45134</v>
      </c>
      <c r="R432" t="s">
        <v>43</v>
      </c>
      <c r="S432" t="s">
        <v>44</v>
      </c>
      <c r="T432" t="s">
        <v>80</v>
      </c>
      <c r="U432" t="s">
        <v>1355</v>
      </c>
      <c r="V432">
        <v>6500</v>
      </c>
      <c r="W432" t="s">
        <v>43</v>
      </c>
      <c r="X432" t="s">
        <v>597</v>
      </c>
      <c r="Y432" t="s">
        <v>48</v>
      </c>
      <c r="Z432" s="10">
        <f>IF(N432&lt;=1,7,7+0.8*ROUNDUP(N432-1,0))</f>
        <v>7</v>
      </c>
      <c r="AA432" s="11">
        <v>0</v>
      </c>
      <c r="AB432" s="11">
        <v>0</v>
      </c>
      <c r="AC432" s="11">
        <v>0</v>
      </c>
      <c r="AD432" s="11">
        <v>0</v>
      </c>
      <c r="AE432" s="11">
        <f>(Z432+AB432+AD432)*6%</f>
        <v>0.42</v>
      </c>
      <c r="AF432" s="11">
        <f>Z432+AB432+AD432+AE432</f>
        <v>7.42</v>
      </c>
      <c r="AG432" t="s">
        <v>43</v>
      </c>
    </row>
    <row r="433" spans="1:33" ht="15" customHeight="1" x14ac:dyDescent="0.35">
      <c r="A433">
        <v>690929</v>
      </c>
      <c r="B433" t="s">
        <v>33</v>
      </c>
      <c r="C433" t="s">
        <v>34</v>
      </c>
      <c r="D433" s="6" t="s">
        <v>33</v>
      </c>
      <c r="E433" t="s">
        <v>1356</v>
      </c>
      <c r="G433" t="s">
        <v>37</v>
      </c>
      <c r="H433" t="s">
        <v>1357</v>
      </c>
      <c r="I433" t="s">
        <v>39</v>
      </c>
      <c r="J433">
        <v>2</v>
      </c>
      <c r="K433" t="s">
        <v>40</v>
      </c>
      <c r="L433" t="s">
        <v>41</v>
      </c>
      <c r="M433" t="s">
        <v>42</v>
      </c>
      <c r="N433" s="7">
        <v>2</v>
      </c>
      <c r="O433" s="8">
        <v>45132.577106481483</v>
      </c>
      <c r="P433" s="9">
        <v>45134</v>
      </c>
      <c r="R433" t="s">
        <v>43</v>
      </c>
      <c r="S433" t="s">
        <v>44</v>
      </c>
      <c r="T433" t="s">
        <v>61</v>
      </c>
      <c r="U433" t="s">
        <v>1358</v>
      </c>
      <c r="V433">
        <v>81600</v>
      </c>
      <c r="W433" t="s">
        <v>43</v>
      </c>
      <c r="X433" t="s">
        <v>220</v>
      </c>
      <c r="Y433" t="s">
        <v>48</v>
      </c>
      <c r="Z433" s="10">
        <f>IF(N433&lt;=1,7,7+0.8*ROUNDUP(N433-1,0))</f>
        <v>7.8</v>
      </c>
      <c r="AA433" s="11">
        <v>0</v>
      </c>
      <c r="AB433" s="11">
        <v>0</v>
      </c>
      <c r="AC433" s="11">
        <v>0</v>
      </c>
      <c r="AD433" s="11">
        <v>0</v>
      </c>
      <c r="AE433" s="11">
        <f>(Z433+AB433+AD433)*6%</f>
        <v>0.46799999999999997</v>
      </c>
      <c r="AF433" s="11">
        <f>Z433+AB433+AD433+AE433</f>
        <v>8.2680000000000007</v>
      </c>
      <c r="AG433" t="s">
        <v>43</v>
      </c>
    </row>
    <row r="434" spans="1:33" ht="15" customHeight="1" x14ac:dyDescent="0.35">
      <c r="A434">
        <v>690929</v>
      </c>
      <c r="B434" t="s">
        <v>33</v>
      </c>
      <c r="C434" t="s">
        <v>34</v>
      </c>
      <c r="D434" s="6" t="s">
        <v>33</v>
      </c>
      <c r="E434" t="s">
        <v>1359</v>
      </c>
      <c r="G434" t="s">
        <v>37</v>
      </c>
      <c r="H434" t="s">
        <v>1360</v>
      </c>
      <c r="I434" t="s">
        <v>39</v>
      </c>
      <c r="J434">
        <v>2</v>
      </c>
      <c r="K434" t="s">
        <v>40</v>
      </c>
      <c r="L434" t="s">
        <v>41</v>
      </c>
      <c r="M434" t="s">
        <v>42</v>
      </c>
      <c r="N434" s="7">
        <v>1</v>
      </c>
      <c r="O434" s="8">
        <v>45133.723599537036</v>
      </c>
      <c r="P434" s="9">
        <v>45135</v>
      </c>
      <c r="R434" t="s">
        <v>43</v>
      </c>
      <c r="S434" t="s">
        <v>44</v>
      </c>
      <c r="T434" t="s">
        <v>51</v>
      </c>
      <c r="U434" t="s">
        <v>1361</v>
      </c>
      <c r="V434">
        <v>31400</v>
      </c>
      <c r="W434" t="s">
        <v>43</v>
      </c>
      <c r="X434" t="s">
        <v>244</v>
      </c>
      <c r="Y434" t="s">
        <v>48</v>
      </c>
      <c r="Z434" s="10">
        <f>IF(N434&lt;=1,7,7+0.8*ROUNDUP(N434-1,0))</f>
        <v>7</v>
      </c>
      <c r="AA434" s="11">
        <v>0</v>
      </c>
      <c r="AB434" s="11">
        <v>0</v>
      </c>
      <c r="AC434" s="11">
        <v>0</v>
      </c>
      <c r="AD434" s="11">
        <v>0</v>
      </c>
      <c r="AE434" s="11">
        <f>(Z434+AB434+AD434)*6%</f>
        <v>0.42</v>
      </c>
      <c r="AF434" s="11">
        <f>Z434+AB434+AD434+AE434</f>
        <v>7.42</v>
      </c>
      <c r="AG434" t="s">
        <v>43</v>
      </c>
    </row>
    <row r="435" spans="1:33" ht="15" customHeight="1" x14ac:dyDescent="0.35">
      <c r="A435">
        <v>690929</v>
      </c>
      <c r="B435" t="s">
        <v>33</v>
      </c>
      <c r="C435" t="s">
        <v>34</v>
      </c>
      <c r="D435" s="6" t="s">
        <v>33</v>
      </c>
      <c r="E435" t="s">
        <v>1362</v>
      </c>
      <c r="G435" t="s">
        <v>37</v>
      </c>
      <c r="H435" t="s">
        <v>1363</v>
      </c>
      <c r="I435" t="s">
        <v>39</v>
      </c>
      <c r="J435">
        <v>2</v>
      </c>
      <c r="K435" t="s">
        <v>40</v>
      </c>
      <c r="L435" t="s">
        <v>41</v>
      </c>
      <c r="M435" t="s">
        <v>42</v>
      </c>
      <c r="N435" s="7">
        <v>1</v>
      </c>
      <c r="O435" s="8">
        <v>45134.610949074071</v>
      </c>
      <c r="P435" s="9">
        <v>45135</v>
      </c>
      <c r="R435" t="s">
        <v>43</v>
      </c>
      <c r="S435" t="s">
        <v>44</v>
      </c>
      <c r="T435" t="s">
        <v>89</v>
      </c>
      <c r="U435" t="s">
        <v>1364</v>
      </c>
      <c r="V435">
        <v>26060</v>
      </c>
      <c r="W435" t="s">
        <v>43</v>
      </c>
      <c r="X435" t="s">
        <v>44</v>
      </c>
      <c r="Y435" t="s">
        <v>48</v>
      </c>
      <c r="Z435" s="10">
        <f>IF(N435&lt;=1,7,7+0.8*ROUNDUP(N435-1,0))</f>
        <v>7</v>
      </c>
      <c r="AA435" s="11">
        <v>0</v>
      </c>
      <c r="AB435" s="11">
        <v>0</v>
      </c>
      <c r="AC435" s="11">
        <v>0</v>
      </c>
      <c r="AD435" s="11">
        <v>0</v>
      </c>
      <c r="AE435" s="11">
        <f>(Z435+AB435+AD435)*6%</f>
        <v>0.42</v>
      </c>
      <c r="AF435" s="11">
        <f>Z435+AB435+AD435+AE435</f>
        <v>7.42</v>
      </c>
      <c r="AG435" t="s">
        <v>43</v>
      </c>
    </row>
    <row r="436" spans="1:33" ht="15" customHeight="1" x14ac:dyDescent="0.35">
      <c r="A436">
        <v>690929</v>
      </c>
      <c r="B436" t="s">
        <v>33</v>
      </c>
      <c r="C436" t="s">
        <v>34</v>
      </c>
      <c r="D436" s="6" t="s">
        <v>33</v>
      </c>
      <c r="E436" t="s">
        <v>1365</v>
      </c>
      <c r="G436" t="s">
        <v>37</v>
      </c>
      <c r="H436" t="s">
        <v>1366</v>
      </c>
      <c r="I436" t="s">
        <v>39</v>
      </c>
      <c r="J436">
        <v>2</v>
      </c>
      <c r="K436" t="s">
        <v>40</v>
      </c>
      <c r="L436" t="s">
        <v>41</v>
      </c>
      <c r="M436" t="s">
        <v>42</v>
      </c>
      <c r="N436" s="7">
        <v>1</v>
      </c>
      <c r="O436" s="8">
        <v>45133.610578703701</v>
      </c>
      <c r="P436" s="9">
        <v>45135</v>
      </c>
      <c r="R436" t="s">
        <v>43</v>
      </c>
      <c r="S436" t="s">
        <v>44</v>
      </c>
      <c r="T436" t="s">
        <v>70</v>
      </c>
      <c r="U436" t="s">
        <v>1367</v>
      </c>
      <c r="V436">
        <v>13200</v>
      </c>
      <c r="W436" t="s">
        <v>43</v>
      </c>
      <c r="X436" t="s">
        <v>47</v>
      </c>
      <c r="Y436" t="s">
        <v>48</v>
      </c>
      <c r="Z436" s="10">
        <f>IF(N436&lt;=1,7,7+0.8*ROUNDUP(N436-1,0))</f>
        <v>7</v>
      </c>
      <c r="AA436" s="11">
        <v>0</v>
      </c>
      <c r="AB436" s="11">
        <v>0</v>
      </c>
      <c r="AC436" s="11">
        <v>0</v>
      </c>
      <c r="AD436" s="11">
        <v>0</v>
      </c>
      <c r="AE436" s="11">
        <f>(Z436+AB436+AD436)*6%</f>
        <v>0.42</v>
      </c>
      <c r="AF436" s="11">
        <f>Z436+AB436+AD436+AE436</f>
        <v>7.42</v>
      </c>
      <c r="AG436" t="s">
        <v>43</v>
      </c>
    </row>
    <row r="437" spans="1:33" ht="15" customHeight="1" x14ac:dyDescent="0.35">
      <c r="A437">
        <v>690929</v>
      </c>
      <c r="B437" t="s">
        <v>33</v>
      </c>
      <c r="C437" t="s">
        <v>34</v>
      </c>
      <c r="D437" s="6" t="s">
        <v>33</v>
      </c>
      <c r="E437" t="s">
        <v>1368</v>
      </c>
      <c r="G437" t="s">
        <v>37</v>
      </c>
      <c r="H437" t="s">
        <v>1369</v>
      </c>
      <c r="I437" t="s">
        <v>39</v>
      </c>
      <c r="J437">
        <v>2</v>
      </c>
      <c r="K437" t="s">
        <v>40</v>
      </c>
      <c r="L437" t="s">
        <v>41</v>
      </c>
      <c r="M437" t="s">
        <v>42</v>
      </c>
      <c r="N437" s="7">
        <v>1</v>
      </c>
      <c r="O437" s="8">
        <v>45134.612164351849</v>
      </c>
      <c r="P437" s="9">
        <v>45135</v>
      </c>
      <c r="R437" t="s">
        <v>43</v>
      </c>
      <c r="S437" t="s">
        <v>44</v>
      </c>
      <c r="T437" t="s">
        <v>57</v>
      </c>
      <c r="U437" t="s">
        <v>1370</v>
      </c>
      <c r="V437">
        <v>43700</v>
      </c>
      <c r="W437" t="s">
        <v>43</v>
      </c>
      <c r="X437" t="s">
        <v>47</v>
      </c>
      <c r="Y437" t="s">
        <v>48</v>
      </c>
      <c r="Z437" s="10">
        <f>IF(N437&lt;=1,7,7+0.8*ROUNDUP(N437-1,0))</f>
        <v>7</v>
      </c>
      <c r="AA437" s="11">
        <v>0</v>
      </c>
      <c r="AB437" s="11">
        <v>0</v>
      </c>
      <c r="AC437" s="11">
        <v>0</v>
      </c>
      <c r="AD437" s="11">
        <v>0</v>
      </c>
      <c r="AE437" s="11">
        <f>(Z437+AB437+AD437)*6%</f>
        <v>0.42</v>
      </c>
      <c r="AF437" s="11">
        <f>Z437+AB437+AD437+AE437</f>
        <v>7.42</v>
      </c>
      <c r="AG437" t="s">
        <v>43</v>
      </c>
    </row>
    <row r="438" spans="1:33" ht="15" customHeight="1" x14ac:dyDescent="0.35">
      <c r="A438">
        <v>690929</v>
      </c>
      <c r="B438" t="s">
        <v>33</v>
      </c>
      <c r="C438" t="s">
        <v>34</v>
      </c>
      <c r="D438" s="6" t="s">
        <v>33</v>
      </c>
      <c r="E438" t="s">
        <v>1371</v>
      </c>
      <c r="G438" t="s">
        <v>37</v>
      </c>
      <c r="H438" t="s">
        <v>1372</v>
      </c>
      <c r="I438" t="s">
        <v>39</v>
      </c>
      <c r="J438">
        <v>2</v>
      </c>
      <c r="K438" t="s">
        <v>40</v>
      </c>
      <c r="L438" t="s">
        <v>41</v>
      </c>
      <c r="M438" t="s">
        <v>42</v>
      </c>
      <c r="N438" s="7">
        <v>1</v>
      </c>
      <c r="O438" s="8">
        <v>45133.587696759256</v>
      </c>
      <c r="P438" s="9">
        <v>45135</v>
      </c>
      <c r="R438" t="s">
        <v>43</v>
      </c>
      <c r="S438" t="s">
        <v>44</v>
      </c>
      <c r="T438" t="s">
        <v>51</v>
      </c>
      <c r="U438" t="s">
        <v>1373</v>
      </c>
      <c r="V438">
        <v>31200</v>
      </c>
      <c r="W438" t="s">
        <v>43</v>
      </c>
      <c r="X438" t="s">
        <v>244</v>
      </c>
      <c r="Y438" t="s">
        <v>48</v>
      </c>
      <c r="Z438" s="10">
        <f>IF(N438&lt;=1,7,7+0.8*ROUNDUP(N438-1,0))</f>
        <v>7</v>
      </c>
      <c r="AA438" s="11">
        <v>0</v>
      </c>
      <c r="AB438" s="11">
        <v>0</v>
      </c>
      <c r="AC438" s="11">
        <v>0</v>
      </c>
      <c r="AD438" s="11">
        <v>0</v>
      </c>
      <c r="AE438" s="11">
        <f>(Z438+AB438+AD438)*6%</f>
        <v>0.42</v>
      </c>
      <c r="AF438" s="11">
        <f>Z438+AB438+AD438+AE438</f>
        <v>7.42</v>
      </c>
      <c r="AG438" t="s">
        <v>43</v>
      </c>
    </row>
    <row r="439" spans="1:33" ht="15" customHeight="1" x14ac:dyDescent="0.35">
      <c r="A439">
        <v>690929</v>
      </c>
      <c r="B439" t="s">
        <v>33</v>
      </c>
      <c r="C439" t="s">
        <v>34</v>
      </c>
      <c r="D439" s="6" t="s">
        <v>33</v>
      </c>
      <c r="E439" t="s">
        <v>1374</v>
      </c>
      <c r="G439" t="s">
        <v>37</v>
      </c>
      <c r="H439" t="s">
        <v>1375</v>
      </c>
      <c r="I439" t="s">
        <v>39</v>
      </c>
      <c r="J439">
        <v>2</v>
      </c>
      <c r="K439" t="s">
        <v>40</v>
      </c>
      <c r="L439" t="s">
        <v>41</v>
      </c>
      <c r="M439" t="s">
        <v>42</v>
      </c>
      <c r="N439" s="7">
        <v>1</v>
      </c>
      <c r="O439" s="8">
        <v>45134.533009259256</v>
      </c>
      <c r="P439" s="9">
        <v>45135</v>
      </c>
      <c r="R439" t="s">
        <v>43</v>
      </c>
      <c r="S439" t="s">
        <v>44</v>
      </c>
      <c r="T439" t="s">
        <v>66</v>
      </c>
      <c r="U439" t="s">
        <v>1376</v>
      </c>
      <c r="V439">
        <v>21600</v>
      </c>
      <c r="W439" t="s">
        <v>43</v>
      </c>
      <c r="X439" t="s">
        <v>44</v>
      </c>
      <c r="Y439" t="s">
        <v>48</v>
      </c>
      <c r="Z439" s="10">
        <f>IF(N439&lt;=1,7,7+0.8*ROUNDUP(N439-1,0))</f>
        <v>7</v>
      </c>
      <c r="AA439" s="11">
        <v>0</v>
      </c>
      <c r="AB439" s="11">
        <v>0</v>
      </c>
      <c r="AC439" s="11">
        <v>0</v>
      </c>
      <c r="AD439" s="11">
        <v>0</v>
      </c>
      <c r="AE439" s="11">
        <f>(Z439+AB439+AD439)*6%</f>
        <v>0.42</v>
      </c>
      <c r="AF439" s="11">
        <f>Z439+AB439+AD439+AE439</f>
        <v>7.42</v>
      </c>
      <c r="AG439" t="s">
        <v>43</v>
      </c>
    </row>
    <row r="440" spans="1:33" ht="15" customHeight="1" x14ac:dyDescent="0.35">
      <c r="A440">
        <v>690929</v>
      </c>
      <c r="B440" t="s">
        <v>33</v>
      </c>
      <c r="C440" t="s">
        <v>34</v>
      </c>
      <c r="D440" s="6" t="s">
        <v>33</v>
      </c>
      <c r="E440" t="s">
        <v>1377</v>
      </c>
      <c r="G440" t="s">
        <v>37</v>
      </c>
      <c r="H440" t="s">
        <v>1378</v>
      </c>
      <c r="I440" t="s">
        <v>39</v>
      </c>
      <c r="J440">
        <v>2</v>
      </c>
      <c r="K440" t="s">
        <v>40</v>
      </c>
      <c r="L440" t="s">
        <v>41</v>
      </c>
      <c r="M440" t="s">
        <v>42</v>
      </c>
      <c r="N440" s="7">
        <v>1</v>
      </c>
      <c r="O440" s="8">
        <v>45133.764027777775</v>
      </c>
      <c r="P440" s="9">
        <v>45135</v>
      </c>
      <c r="R440" t="s">
        <v>43</v>
      </c>
      <c r="S440" t="s">
        <v>44</v>
      </c>
      <c r="T440" t="s">
        <v>89</v>
      </c>
      <c r="U440" t="s">
        <v>1379</v>
      </c>
      <c r="V440">
        <v>26090</v>
      </c>
      <c r="W440" t="s">
        <v>43</v>
      </c>
      <c r="X440" t="s">
        <v>44</v>
      </c>
      <c r="Y440" t="s">
        <v>48</v>
      </c>
      <c r="Z440" s="10">
        <f>IF(N440&lt;=1,7,7+0.8*ROUNDUP(N440-1,0))</f>
        <v>7</v>
      </c>
      <c r="AA440" s="11">
        <v>0</v>
      </c>
      <c r="AB440" s="11">
        <v>0</v>
      </c>
      <c r="AC440" s="11">
        <v>0</v>
      </c>
      <c r="AD440" s="11">
        <v>0</v>
      </c>
      <c r="AE440" s="11">
        <f>(Z440+AB440+AD440)*6%</f>
        <v>0.42</v>
      </c>
      <c r="AF440" s="11">
        <f>Z440+AB440+AD440+AE440</f>
        <v>7.42</v>
      </c>
      <c r="AG440" t="s">
        <v>43</v>
      </c>
    </row>
    <row r="441" spans="1:33" ht="15" customHeight="1" x14ac:dyDescent="0.35">
      <c r="A441">
        <v>690929</v>
      </c>
      <c r="B441" t="s">
        <v>33</v>
      </c>
      <c r="C441" t="s">
        <v>34</v>
      </c>
      <c r="D441" s="6" t="s">
        <v>33</v>
      </c>
      <c r="E441" t="s">
        <v>1380</v>
      </c>
      <c r="G441" t="s">
        <v>37</v>
      </c>
      <c r="H441" t="s">
        <v>1381</v>
      </c>
      <c r="I441" t="s">
        <v>39</v>
      </c>
      <c r="J441">
        <v>2</v>
      </c>
      <c r="K441" t="s">
        <v>40</v>
      </c>
      <c r="L441" t="s">
        <v>41</v>
      </c>
      <c r="M441" t="s">
        <v>42</v>
      </c>
      <c r="N441" s="7">
        <v>1</v>
      </c>
      <c r="O441" s="8">
        <v>45134.610949074071</v>
      </c>
      <c r="P441" s="9">
        <v>45135</v>
      </c>
      <c r="R441" t="s">
        <v>43</v>
      </c>
      <c r="S441" t="s">
        <v>44</v>
      </c>
      <c r="T441" t="s">
        <v>89</v>
      </c>
      <c r="U441" t="s">
        <v>1382</v>
      </c>
      <c r="V441">
        <v>28000</v>
      </c>
      <c r="W441" t="s">
        <v>43</v>
      </c>
      <c r="X441" t="s">
        <v>44</v>
      </c>
      <c r="Y441" t="s">
        <v>48</v>
      </c>
      <c r="Z441" s="10">
        <f>IF(N441&lt;=1,7,7+0.8*ROUNDUP(N441-1,0))</f>
        <v>7</v>
      </c>
      <c r="AA441" s="11">
        <v>0</v>
      </c>
      <c r="AB441" s="11">
        <v>0</v>
      </c>
      <c r="AC441" s="11">
        <v>0</v>
      </c>
      <c r="AD441" s="11">
        <v>0</v>
      </c>
      <c r="AE441" s="11">
        <f>(Z441+AB441+AD441)*6%</f>
        <v>0.42</v>
      </c>
      <c r="AF441" s="11">
        <f>Z441+AB441+AD441+AE441</f>
        <v>7.42</v>
      </c>
      <c r="AG441" t="s">
        <v>43</v>
      </c>
    </row>
    <row r="442" spans="1:33" ht="15" customHeight="1" x14ac:dyDescent="0.35">
      <c r="A442">
        <v>690929</v>
      </c>
      <c r="B442" t="s">
        <v>33</v>
      </c>
      <c r="C442" t="s">
        <v>34</v>
      </c>
      <c r="D442" s="6" t="s">
        <v>33</v>
      </c>
      <c r="E442" t="s">
        <v>1383</v>
      </c>
      <c r="G442" t="s">
        <v>37</v>
      </c>
      <c r="H442" t="s">
        <v>145</v>
      </c>
      <c r="I442" t="s">
        <v>39</v>
      </c>
      <c r="J442">
        <v>2</v>
      </c>
      <c r="K442" t="s">
        <v>40</v>
      </c>
      <c r="L442" t="s">
        <v>41</v>
      </c>
      <c r="M442" t="s">
        <v>42</v>
      </c>
      <c r="N442" s="7">
        <v>1</v>
      </c>
      <c r="O442" s="8">
        <v>45134.633680555555</v>
      </c>
      <c r="P442" s="9">
        <v>45135</v>
      </c>
      <c r="R442" t="s">
        <v>43</v>
      </c>
      <c r="S442" t="s">
        <v>44</v>
      </c>
      <c r="T442" t="s">
        <v>57</v>
      </c>
      <c r="U442" t="s">
        <v>146</v>
      </c>
      <c r="V442">
        <v>47100</v>
      </c>
      <c r="W442" t="s">
        <v>43</v>
      </c>
      <c r="X442" t="s">
        <v>47</v>
      </c>
      <c r="Y442" t="s">
        <v>48</v>
      </c>
      <c r="Z442" s="10">
        <f>IF(N442&lt;=1,7,7+0.8*ROUNDUP(N442-1,0))</f>
        <v>7</v>
      </c>
      <c r="AA442" s="11">
        <v>0</v>
      </c>
      <c r="AB442" s="11">
        <v>0</v>
      </c>
      <c r="AC442" s="11">
        <v>0</v>
      </c>
      <c r="AD442" s="11">
        <v>0</v>
      </c>
      <c r="AE442" s="11">
        <f>(Z442+AB442+AD442)*6%</f>
        <v>0.42</v>
      </c>
      <c r="AF442" s="11">
        <f>Z442+AB442+AD442+AE442</f>
        <v>7.42</v>
      </c>
      <c r="AG442" t="s">
        <v>43</v>
      </c>
    </row>
    <row r="443" spans="1:33" ht="15" customHeight="1" x14ac:dyDescent="0.35">
      <c r="A443">
        <v>690929</v>
      </c>
      <c r="B443" t="s">
        <v>33</v>
      </c>
      <c r="C443" t="s">
        <v>34</v>
      </c>
      <c r="D443" s="6" t="s">
        <v>33</v>
      </c>
      <c r="E443" t="s">
        <v>1384</v>
      </c>
      <c r="G443" t="s">
        <v>37</v>
      </c>
      <c r="H443" t="s">
        <v>1385</v>
      </c>
      <c r="I443" t="s">
        <v>39</v>
      </c>
      <c r="J443">
        <v>2</v>
      </c>
      <c r="K443" t="s">
        <v>40</v>
      </c>
      <c r="L443" t="s">
        <v>41</v>
      </c>
      <c r="M443" t="s">
        <v>42</v>
      </c>
      <c r="N443" s="7">
        <v>1</v>
      </c>
      <c r="O443" s="8">
        <v>45134.611006944448</v>
      </c>
      <c r="P443" s="9">
        <v>45135</v>
      </c>
      <c r="R443" t="s">
        <v>43</v>
      </c>
      <c r="S443" t="s">
        <v>44</v>
      </c>
      <c r="T443" t="s">
        <v>89</v>
      </c>
      <c r="U443" t="s">
        <v>1386</v>
      </c>
      <c r="V443">
        <v>28000</v>
      </c>
      <c r="W443" t="s">
        <v>43</v>
      </c>
      <c r="X443" t="s">
        <v>44</v>
      </c>
      <c r="Y443" t="s">
        <v>48</v>
      </c>
      <c r="Z443" s="10">
        <f>IF(N443&lt;=1,7,7+0.8*ROUNDUP(N443-1,0))</f>
        <v>7</v>
      </c>
      <c r="AA443" s="11">
        <v>0</v>
      </c>
      <c r="AB443" s="11">
        <v>0</v>
      </c>
      <c r="AC443" s="11">
        <v>0</v>
      </c>
      <c r="AD443" s="11">
        <v>0</v>
      </c>
      <c r="AE443" s="11">
        <f>(Z443+AB443+AD443)*6%</f>
        <v>0.42</v>
      </c>
      <c r="AF443" s="11">
        <f>Z443+AB443+AD443+AE443</f>
        <v>7.42</v>
      </c>
      <c r="AG443" t="s">
        <v>43</v>
      </c>
    </row>
    <row r="444" spans="1:33" ht="15" customHeight="1" x14ac:dyDescent="0.35">
      <c r="A444">
        <v>690929</v>
      </c>
      <c r="B444" t="s">
        <v>33</v>
      </c>
      <c r="C444" t="s">
        <v>34</v>
      </c>
      <c r="D444" s="6" t="s">
        <v>33</v>
      </c>
      <c r="E444" t="s">
        <v>1387</v>
      </c>
      <c r="G444" t="s">
        <v>37</v>
      </c>
      <c r="H444" t="s">
        <v>1388</v>
      </c>
      <c r="I444" t="s">
        <v>39</v>
      </c>
      <c r="J444">
        <v>2</v>
      </c>
      <c r="K444" t="s">
        <v>40</v>
      </c>
      <c r="L444" t="s">
        <v>41</v>
      </c>
      <c r="M444" t="s">
        <v>42</v>
      </c>
      <c r="N444" s="7">
        <v>1</v>
      </c>
      <c r="O444" s="8">
        <v>45134.702407407407</v>
      </c>
      <c r="P444" s="9">
        <v>45135</v>
      </c>
      <c r="R444" t="s">
        <v>43</v>
      </c>
      <c r="S444" t="s">
        <v>44</v>
      </c>
      <c r="T444" t="s">
        <v>75</v>
      </c>
      <c r="U444" t="s">
        <v>1389</v>
      </c>
      <c r="V444">
        <v>56000</v>
      </c>
      <c r="W444" t="s">
        <v>43</v>
      </c>
      <c r="X444" t="s">
        <v>47</v>
      </c>
      <c r="Y444" t="s">
        <v>48</v>
      </c>
      <c r="Z444" s="10">
        <f>IF(N444&lt;=1,7,7+0.8*ROUNDUP(N444-1,0))</f>
        <v>7</v>
      </c>
      <c r="AA444" s="11">
        <v>0</v>
      </c>
      <c r="AB444" s="11">
        <v>0</v>
      </c>
      <c r="AC444" s="11">
        <v>0</v>
      </c>
      <c r="AD444" s="11">
        <v>0</v>
      </c>
      <c r="AE444" s="11">
        <f>(Z444+AB444+AD444)*6%</f>
        <v>0.42</v>
      </c>
      <c r="AF444" s="11">
        <f>Z444+AB444+AD444+AE444</f>
        <v>7.42</v>
      </c>
      <c r="AG444" t="s">
        <v>43</v>
      </c>
    </row>
    <row r="445" spans="1:33" ht="15" customHeight="1" x14ac:dyDescent="0.35">
      <c r="A445">
        <v>690929</v>
      </c>
      <c r="B445" t="s">
        <v>33</v>
      </c>
      <c r="C445" t="s">
        <v>34</v>
      </c>
      <c r="D445" s="6" t="s">
        <v>33</v>
      </c>
      <c r="E445" t="s">
        <v>1390</v>
      </c>
      <c r="G445" t="s">
        <v>37</v>
      </c>
      <c r="H445" t="s">
        <v>1391</v>
      </c>
      <c r="I445" t="s">
        <v>39</v>
      </c>
      <c r="J445">
        <v>2</v>
      </c>
      <c r="K445" t="s">
        <v>40</v>
      </c>
      <c r="L445" t="s">
        <v>41</v>
      </c>
      <c r="M445" t="s">
        <v>42</v>
      </c>
      <c r="N445" s="7">
        <v>3</v>
      </c>
      <c r="O445" s="8">
        <v>45133.602789351855</v>
      </c>
      <c r="P445" s="9">
        <v>45134</v>
      </c>
      <c r="R445" t="s">
        <v>43</v>
      </c>
      <c r="S445" t="s">
        <v>44</v>
      </c>
      <c r="T445" t="s">
        <v>75</v>
      </c>
      <c r="U445" t="s">
        <v>1392</v>
      </c>
      <c r="V445">
        <v>55100</v>
      </c>
      <c r="W445" t="s">
        <v>43</v>
      </c>
      <c r="X445" t="s">
        <v>77</v>
      </c>
      <c r="Y445" t="s">
        <v>48</v>
      </c>
      <c r="Z445" s="10">
        <f>IF(N445&lt;=1,7,7+0.8*ROUNDUP(N445-1,0))</f>
        <v>8.6</v>
      </c>
      <c r="AA445" s="11">
        <v>0</v>
      </c>
      <c r="AB445" s="11">
        <v>0</v>
      </c>
      <c r="AC445" s="11">
        <v>0</v>
      </c>
      <c r="AD445" s="11">
        <v>0</v>
      </c>
      <c r="AE445" s="11">
        <f>(Z445+AB445+AD445)*6%</f>
        <v>0.51600000000000001</v>
      </c>
      <c r="AF445" s="11">
        <f>Z445+AB445+AD445+AE445</f>
        <v>9.1159999999999997</v>
      </c>
      <c r="AG445" t="s">
        <v>43</v>
      </c>
    </row>
    <row r="446" spans="1:33" ht="15" customHeight="1" x14ac:dyDescent="0.35">
      <c r="A446">
        <v>690929</v>
      </c>
      <c r="B446" t="s">
        <v>33</v>
      </c>
      <c r="C446" t="s">
        <v>34</v>
      </c>
      <c r="D446" s="6" t="s">
        <v>33</v>
      </c>
      <c r="E446" t="s">
        <v>1393</v>
      </c>
      <c r="G446" t="s">
        <v>37</v>
      </c>
      <c r="H446" t="s">
        <v>1394</v>
      </c>
      <c r="I446" t="s">
        <v>39</v>
      </c>
      <c r="J446">
        <v>2</v>
      </c>
      <c r="K446" t="s">
        <v>40</v>
      </c>
      <c r="L446" t="s">
        <v>41</v>
      </c>
      <c r="M446" t="s">
        <v>42</v>
      </c>
      <c r="N446" s="7">
        <v>1</v>
      </c>
      <c r="O446" s="8">
        <v>45133.602916666663</v>
      </c>
      <c r="P446" s="9">
        <v>45134</v>
      </c>
      <c r="R446" t="s">
        <v>43</v>
      </c>
      <c r="S446" t="s">
        <v>44</v>
      </c>
      <c r="T446" t="s">
        <v>194</v>
      </c>
      <c r="U446" t="s">
        <v>1395</v>
      </c>
      <c r="V446">
        <v>71300</v>
      </c>
      <c r="W446" t="s">
        <v>43</v>
      </c>
      <c r="X446" t="s">
        <v>936</v>
      </c>
      <c r="Y446" t="s">
        <v>48</v>
      </c>
      <c r="Z446" s="10">
        <f>IF(N446&lt;=1,7,7+0.8*ROUNDUP(N446-1,0))</f>
        <v>7</v>
      </c>
      <c r="AA446" s="11">
        <v>0</v>
      </c>
      <c r="AB446" s="11">
        <v>0</v>
      </c>
      <c r="AC446" s="11">
        <v>0</v>
      </c>
      <c r="AD446" s="11">
        <v>0</v>
      </c>
      <c r="AE446" s="11">
        <f>(Z446+AB446+AD446)*6%</f>
        <v>0.42</v>
      </c>
      <c r="AF446" s="11">
        <f>Z446+AB446+AD446+AE446</f>
        <v>7.42</v>
      </c>
      <c r="AG446" t="s">
        <v>43</v>
      </c>
    </row>
    <row r="447" spans="1:33" ht="15" customHeight="1" x14ac:dyDescent="0.35">
      <c r="A447">
        <v>690929</v>
      </c>
      <c r="B447" t="s">
        <v>33</v>
      </c>
      <c r="C447" t="s">
        <v>34</v>
      </c>
      <c r="D447" s="6" t="s">
        <v>33</v>
      </c>
      <c r="E447" t="s">
        <v>1396</v>
      </c>
      <c r="G447" t="s">
        <v>37</v>
      </c>
      <c r="H447" t="s">
        <v>1397</v>
      </c>
      <c r="I447" t="s">
        <v>39</v>
      </c>
      <c r="J447">
        <v>2</v>
      </c>
      <c r="K447" t="s">
        <v>40</v>
      </c>
      <c r="L447" t="s">
        <v>41</v>
      </c>
      <c r="M447" t="s">
        <v>42</v>
      </c>
      <c r="N447" s="7">
        <v>1</v>
      </c>
      <c r="O447" s="8">
        <v>45133.610578703701</v>
      </c>
      <c r="P447" s="9">
        <v>45134</v>
      </c>
      <c r="R447" t="s">
        <v>43</v>
      </c>
      <c r="S447" t="s">
        <v>44</v>
      </c>
      <c r="T447" t="s">
        <v>66</v>
      </c>
      <c r="U447" t="s">
        <v>1398</v>
      </c>
      <c r="V447">
        <v>24000</v>
      </c>
      <c r="W447" t="s">
        <v>43</v>
      </c>
      <c r="X447" t="s">
        <v>1399</v>
      </c>
      <c r="Y447" t="s">
        <v>48</v>
      </c>
      <c r="Z447" s="10">
        <f>IF(N447&lt;=1,7,7+0.8*ROUNDUP(N447-1,0))</f>
        <v>7</v>
      </c>
      <c r="AA447" s="11">
        <v>0</v>
      </c>
      <c r="AB447" s="11">
        <v>0</v>
      </c>
      <c r="AC447" s="11">
        <v>0</v>
      </c>
      <c r="AD447" s="11">
        <v>0</v>
      </c>
      <c r="AE447" s="11">
        <f>(Z447+AB447+AD447)*6%</f>
        <v>0.42</v>
      </c>
      <c r="AF447" s="11">
        <f>Z447+AB447+AD447+AE447</f>
        <v>7.42</v>
      </c>
      <c r="AG447" t="s">
        <v>43</v>
      </c>
    </row>
    <row r="448" spans="1:33" ht="15" customHeight="1" x14ac:dyDescent="0.35">
      <c r="A448">
        <v>690929</v>
      </c>
      <c r="B448" t="s">
        <v>33</v>
      </c>
      <c r="C448" t="s">
        <v>34</v>
      </c>
      <c r="D448" s="6" t="s">
        <v>33</v>
      </c>
      <c r="E448" t="s">
        <v>1400</v>
      </c>
      <c r="G448" t="s">
        <v>37</v>
      </c>
      <c r="H448" t="s">
        <v>1401</v>
      </c>
      <c r="I448" t="s">
        <v>39</v>
      </c>
      <c r="J448">
        <v>2</v>
      </c>
      <c r="K448" t="s">
        <v>40</v>
      </c>
      <c r="L448" t="s">
        <v>41</v>
      </c>
      <c r="M448" t="s">
        <v>42</v>
      </c>
      <c r="N448" s="7">
        <v>1</v>
      </c>
      <c r="O448" s="8">
        <v>45133.602847222224</v>
      </c>
      <c r="P448" s="9">
        <v>45134</v>
      </c>
      <c r="R448" t="s">
        <v>43</v>
      </c>
      <c r="S448" t="s">
        <v>44</v>
      </c>
      <c r="T448" t="s">
        <v>109</v>
      </c>
      <c r="U448" t="s">
        <v>1402</v>
      </c>
      <c r="V448">
        <v>16150</v>
      </c>
      <c r="W448" t="s">
        <v>43</v>
      </c>
      <c r="X448" t="s">
        <v>44</v>
      </c>
      <c r="Y448" t="s">
        <v>48</v>
      </c>
      <c r="Z448" s="10">
        <f>IF(N448&lt;=1,7,7+0.8*ROUNDUP(N448-1,0))</f>
        <v>7</v>
      </c>
      <c r="AA448" s="11">
        <v>0</v>
      </c>
      <c r="AB448" s="11">
        <v>0</v>
      </c>
      <c r="AC448" s="11">
        <v>0</v>
      </c>
      <c r="AD448" s="11">
        <v>0</v>
      </c>
      <c r="AE448" s="11">
        <f>(Z448+AB448+AD448)*6%</f>
        <v>0.42</v>
      </c>
      <c r="AF448" s="11">
        <f>Z448+AB448+AD448+AE448</f>
        <v>7.42</v>
      </c>
      <c r="AG448" t="s">
        <v>43</v>
      </c>
    </row>
    <row r="449" spans="1:33" ht="15" customHeight="1" x14ac:dyDescent="0.35">
      <c r="A449">
        <v>690929</v>
      </c>
      <c r="B449" t="s">
        <v>33</v>
      </c>
      <c r="C449" t="s">
        <v>34</v>
      </c>
      <c r="D449" s="6" t="s">
        <v>33</v>
      </c>
      <c r="E449" t="s">
        <v>1403</v>
      </c>
      <c r="G449" t="s">
        <v>37</v>
      </c>
      <c r="H449" t="s">
        <v>1404</v>
      </c>
      <c r="I449" t="s">
        <v>39</v>
      </c>
      <c r="J449">
        <v>2</v>
      </c>
      <c r="K449" t="s">
        <v>40</v>
      </c>
      <c r="L449" t="s">
        <v>41</v>
      </c>
      <c r="M449" t="s">
        <v>42</v>
      </c>
      <c r="N449" s="7">
        <v>1</v>
      </c>
      <c r="O449" s="8">
        <v>45133.587743055556</v>
      </c>
      <c r="P449" s="9">
        <v>45134</v>
      </c>
      <c r="R449" t="s">
        <v>43</v>
      </c>
      <c r="S449" t="s">
        <v>44</v>
      </c>
      <c r="T449" t="s">
        <v>109</v>
      </c>
      <c r="U449" t="s">
        <v>1405</v>
      </c>
      <c r="V449">
        <v>17050</v>
      </c>
      <c r="W449" t="s">
        <v>43</v>
      </c>
      <c r="X449" t="s">
        <v>44</v>
      </c>
      <c r="Y449" t="s">
        <v>48</v>
      </c>
      <c r="Z449" s="10">
        <f>IF(N449&lt;=1,7,7+0.8*ROUNDUP(N449-1,0))</f>
        <v>7</v>
      </c>
      <c r="AA449" s="11">
        <v>0</v>
      </c>
      <c r="AB449" s="11">
        <v>0</v>
      </c>
      <c r="AC449" s="11">
        <v>0</v>
      </c>
      <c r="AD449" s="11">
        <v>0</v>
      </c>
      <c r="AE449" s="11">
        <f>(Z449+AB449+AD449)*6%</f>
        <v>0.42</v>
      </c>
      <c r="AF449" s="11">
        <f>Z449+AB449+AD449+AE449</f>
        <v>7.42</v>
      </c>
      <c r="AG449" t="s">
        <v>43</v>
      </c>
    </row>
    <row r="450" spans="1:33" ht="15" customHeight="1" x14ac:dyDescent="0.35">
      <c r="A450">
        <v>690929</v>
      </c>
      <c r="B450" t="s">
        <v>33</v>
      </c>
      <c r="C450" t="s">
        <v>34</v>
      </c>
      <c r="D450" s="6" t="s">
        <v>33</v>
      </c>
      <c r="E450" t="s">
        <v>1406</v>
      </c>
      <c r="G450" t="s">
        <v>37</v>
      </c>
      <c r="H450" t="s">
        <v>1407</v>
      </c>
      <c r="I450" t="s">
        <v>39</v>
      </c>
      <c r="J450">
        <v>2</v>
      </c>
      <c r="K450" t="s">
        <v>40</v>
      </c>
      <c r="L450" t="s">
        <v>41</v>
      </c>
      <c r="M450" t="s">
        <v>42</v>
      </c>
      <c r="N450" s="7">
        <v>2</v>
      </c>
      <c r="O450" s="8">
        <v>45133.602951388886</v>
      </c>
      <c r="P450" s="9">
        <v>45134</v>
      </c>
      <c r="R450" t="s">
        <v>43</v>
      </c>
      <c r="S450" t="s">
        <v>44</v>
      </c>
      <c r="T450" t="s">
        <v>75</v>
      </c>
      <c r="U450" t="s">
        <v>1408</v>
      </c>
      <c r="V450">
        <v>51200</v>
      </c>
      <c r="W450" t="s">
        <v>43</v>
      </c>
      <c r="X450" t="s">
        <v>94</v>
      </c>
      <c r="Y450" t="s">
        <v>48</v>
      </c>
      <c r="Z450" s="10">
        <f>IF(N450&lt;=1,7,7+0.8*ROUNDUP(N450-1,0))</f>
        <v>7.8</v>
      </c>
      <c r="AA450" s="11">
        <v>0</v>
      </c>
      <c r="AB450" s="11">
        <v>0</v>
      </c>
      <c r="AC450" s="11">
        <v>0</v>
      </c>
      <c r="AD450" s="11">
        <v>0</v>
      </c>
      <c r="AE450" s="11">
        <f>(Z450+AB450+AD450)*6%</f>
        <v>0.46799999999999997</v>
      </c>
      <c r="AF450" s="11">
        <f>Z450+AB450+AD450+AE450</f>
        <v>8.2680000000000007</v>
      </c>
      <c r="AG450" t="s">
        <v>43</v>
      </c>
    </row>
    <row r="451" spans="1:33" ht="15" customHeight="1" x14ac:dyDescent="0.35">
      <c r="A451">
        <v>690929</v>
      </c>
      <c r="B451" t="s">
        <v>33</v>
      </c>
      <c r="C451" t="s">
        <v>34</v>
      </c>
      <c r="D451" s="6" t="s">
        <v>33</v>
      </c>
      <c r="E451" t="s">
        <v>1409</v>
      </c>
      <c r="G451" t="s">
        <v>37</v>
      </c>
      <c r="H451" t="s">
        <v>1410</v>
      </c>
      <c r="I451" t="s">
        <v>39</v>
      </c>
      <c r="J451">
        <v>2</v>
      </c>
      <c r="K451" t="s">
        <v>40</v>
      </c>
      <c r="L451" t="s">
        <v>41</v>
      </c>
      <c r="M451" t="s">
        <v>42</v>
      </c>
      <c r="N451" s="7">
        <v>1</v>
      </c>
      <c r="O451" s="8">
        <v>45133.729004629633</v>
      </c>
      <c r="P451" s="9">
        <v>45134</v>
      </c>
      <c r="R451" t="s">
        <v>43</v>
      </c>
      <c r="S451" t="s">
        <v>44</v>
      </c>
      <c r="T451" t="s">
        <v>57</v>
      </c>
      <c r="U451" t="s">
        <v>1411</v>
      </c>
      <c r="V451">
        <v>43000</v>
      </c>
      <c r="W451" t="s">
        <v>43</v>
      </c>
      <c r="X451" t="s">
        <v>647</v>
      </c>
      <c r="Y451" t="s">
        <v>48</v>
      </c>
      <c r="Z451" s="10">
        <f>IF(N451&lt;=1,7,7+0.8*ROUNDUP(N451-1,0))</f>
        <v>7</v>
      </c>
      <c r="AA451" s="11">
        <v>0</v>
      </c>
      <c r="AB451" s="11">
        <v>0</v>
      </c>
      <c r="AC451" s="11">
        <v>0</v>
      </c>
      <c r="AD451" s="11">
        <v>0</v>
      </c>
      <c r="AE451" s="11">
        <f>(Z451+AB451+AD451)*6%</f>
        <v>0.42</v>
      </c>
      <c r="AF451" s="11">
        <f>Z451+AB451+AD451+AE451</f>
        <v>7.42</v>
      </c>
      <c r="AG451" t="s">
        <v>43</v>
      </c>
    </row>
    <row r="452" spans="1:33" ht="15" customHeight="1" x14ac:dyDescent="0.35">
      <c r="A452">
        <v>690929</v>
      </c>
      <c r="B452" t="s">
        <v>33</v>
      </c>
      <c r="C452" t="s">
        <v>34</v>
      </c>
      <c r="D452" s="6" t="s">
        <v>33</v>
      </c>
      <c r="E452" t="s">
        <v>1412</v>
      </c>
      <c r="G452" t="s">
        <v>37</v>
      </c>
      <c r="H452" t="s">
        <v>1413</v>
      </c>
      <c r="I452" t="s">
        <v>39</v>
      </c>
      <c r="J452">
        <v>2</v>
      </c>
      <c r="K452" t="s">
        <v>40</v>
      </c>
      <c r="L452" t="s">
        <v>41</v>
      </c>
      <c r="M452" t="s">
        <v>42</v>
      </c>
      <c r="N452" s="7">
        <v>3</v>
      </c>
      <c r="O452" s="8">
        <v>45133.583356481482</v>
      </c>
      <c r="P452" s="9">
        <v>45134</v>
      </c>
      <c r="R452" t="s">
        <v>43</v>
      </c>
      <c r="S452" t="s">
        <v>44</v>
      </c>
      <c r="T452" t="s">
        <v>75</v>
      </c>
      <c r="U452" t="s">
        <v>1414</v>
      </c>
      <c r="V452">
        <v>56000</v>
      </c>
      <c r="W452" t="s">
        <v>43</v>
      </c>
      <c r="X452" t="s">
        <v>1029</v>
      </c>
      <c r="Y452" t="s">
        <v>48</v>
      </c>
      <c r="Z452" s="10">
        <f>IF(N452&lt;=1,7,7+0.8*ROUNDUP(N452-1,0))</f>
        <v>8.6</v>
      </c>
      <c r="AA452" s="11">
        <v>0</v>
      </c>
      <c r="AB452" s="11">
        <v>0</v>
      </c>
      <c r="AC452" s="11">
        <v>0</v>
      </c>
      <c r="AD452" s="11">
        <v>0</v>
      </c>
      <c r="AE452" s="11">
        <f>(Z452+AB452+AD452)*6%</f>
        <v>0.51600000000000001</v>
      </c>
      <c r="AF452" s="11">
        <f>Z452+AB452+AD452+AE452</f>
        <v>9.1159999999999997</v>
      </c>
      <c r="AG452" t="s">
        <v>43</v>
      </c>
    </row>
    <row r="453" spans="1:33" ht="15" customHeight="1" x14ac:dyDescent="0.35">
      <c r="A453">
        <v>690929</v>
      </c>
      <c r="B453" t="s">
        <v>33</v>
      </c>
      <c r="C453" t="s">
        <v>34</v>
      </c>
      <c r="D453" s="6" t="s">
        <v>33</v>
      </c>
      <c r="E453" t="s">
        <v>1415</v>
      </c>
      <c r="G453" t="s">
        <v>37</v>
      </c>
      <c r="H453" t="s">
        <v>1416</v>
      </c>
      <c r="I453" t="s">
        <v>39</v>
      </c>
      <c r="J453">
        <v>2</v>
      </c>
      <c r="K453" t="s">
        <v>40</v>
      </c>
      <c r="L453" t="s">
        <v>41</v>
      </c>
      <c r="M453" t="s">
        <v>42</v>
      </c>
      <c r="N453" s="7">
        <v>2</v>
      </c>
      <c r="O453" s="8">
        <v>45133.602986111109</v>
      </c>
      <c r="P453" s="9">
        <v>45134</v>
      </c>
      <c r="R453" t="s">
        <v>43</v>
      </c>
      <c r="S453" t="s">
        <v>44</v>
      </c>
      <c r="T453" t="s">
        <v>109</v>
      </c>
      <c r="U453" t="s">
        <v>1417</v>
      </c>
      <c r="V453">
        <v>16250</v>
      </c>
      <c r="W453" t="s">
        <v>43</v>
      </c>
      <c r="X453" t="s">
        <v>44</v>
      </c>
      <c r="Y453" t="s">
        <v>48</v>
      </c>
      <c r="Z453" s="10">
        <f>IF(N453&lt;=1,7,7+0.8*ROUNDUP(N453-1,0))</f>
        <v>7.8</v>
      </c>
      <c r="AA453" s="11">
        <v>0</v>
      </c>
      <c r="AB453" s="11">
        <v>0</v>
      </c>
      <c r="AC453" s="11">
        <v>0</v>
      </c>
      <c r="AD453" s="11">
        <v>0</v>
      </c>
      <c r="AE453" s="11">
        <f>(Z453+AB453+AD453)*6%</f>
        <v>0.46799999999999997</v>
      </c>
      <c r="AF453" s="11">
        <f>Z453+AB453+AD453+AE453</f>
        <v>8.2680000000000007</v>
      </c>
      <c r="AG453" t="s">
        <v>43</v>
      </c>
    </row>
    <row r="454" spans="1:33" ht="15" customHeight="1" x14ac:dyDescent="0.35">
      <c r="A454">
        <v>690929</v>
      </c>
      <c r="B454" t="s">
        <v>33</v>
      </c>
      <c r="C454" t="s">
        <v>34</v>
      </c>
      <c r="D454" s="6" t="s">
        <v>33</v>
      </c>
      <c r="E454" t="s">
        <v>1418</v>
      </c>
      <c r="G454" t="s">
        <v>37</v>
      </c>
      <c r="H454" t="s">
        <v>1419</v>
      </c>
      <c r="I454" t="s">
        <v>39</v>
      </c>
      <c r="J454">
        <v>2</v>
      </c>
      <c r="K454" t="s">
        <v>40</v>
      </c>
      <c r="L454" t="s">
        <v>41</v>
      </c>
      <c r="M454" t="s">
        <v>42</v>
      </c>
      <c r="N454" s="7">
        <v>1</v>
      </c>
      <c r="O454" s="8">
        <v>45133.742314814815</v>
      </c>
      <c r="P454" s="9">
        <v>45134</v>
      </c>
      <c r="R454" t="s">
        <v>43</v>
      </c>
      <c r="S454" t="s">
        <v>44</v>
      </c>
      <c r="T454" t="s">
        <v>89</v>
      </c>
      <c r="U454" t="s">
        <v>1420</v>
      </c>
      <c r="V454">
        <v>27660</v>
      </c>
      <c r="W454" t="s">
        <v>43</v>
      </c>
      <c r="X454" t="s">
        <v>708</v>
      </c>
      <c r="Y454" t="s">
        <v>48</v>
      </c>
      <c r="Z454" s="10">
        <f>IF(N454&lt;=1,7,7+0.8*ROUNDUP(N454-1,0))</f>
        <v>7</v>
      </c>
      <c r="AA454" s="11">
        <v>0</v>
      </c>
      <c r="AB454" s="11">
        <v>0</v>
      </c>
      <c r="AC454" s="11">
        <v>0</v>
      </c>
      <c r="AD454" s="11">
        <v>0</v>
      </c>
      <c r="AE454" s="11">
        <f>(Z454+AB454+AD454)*6%</f>
        <v>0.42</v>
      </c>
      <c r="AF454" s="11">
        <f>Z454+AB454+AD454+AE454</f>
        <v>7.42</v>
      </c>
      <c r="AG454" t="s">
        <v>43</v>
      </c>
    </row>
    <row r="455" spans="1:33" ht="15" customHeight="1" x14ac:dyDescent="0.35">
      <c r="A455">
        <v>690929</v>
      </c>
      <c r="B455" t="s">
        <v>33</v>
      </c>
      <c r="C455" t="s">
        <v>34</v>
      </c>
      <c r="D455" s="6" t="s">
        <v>33</v>
      </c>
      <c r="E455" t="s">
        <v>1421</v>
      </c>
      <c r="G455" t="s">
        <v>37</v>
      </c>
      <c r="H455" t="s">
        <v>1422</v>
      </c>
      <c r="I455" t="s">
        <v>39</v>
      </c>
      <c r="J455">
        <v>2</v>
      </c>
      <c r="K455" t="s">
        <v>40</v>
      </c>
      <c r="L455" t="s">
        <v>41</v>
      </c>
      <c r="M455" t="s">
        <v>42</v>
      </c>
      <c r="N455" s="7">
        <v>1</v>
      </c>
      <c r="O455" s="8">
        <v>45133.723599537036</v>
      </c>
      <c r="P455" s="9">
        <v>45134</v>
      </c>
      <c r="R455" t="s">
        <v>43</v>
      </c>
      <c r="S455" t="s">
        <v>44</v>
      </c>
      <c r="T455" t="s">
        <v>89</v>
      </c>
      <c r="U455" t="s">
        <v>1423</v>
      </c>
      <c r="V455">
        <v>27500</v>
      </c>
      <c r="W455" t="s">
        <v>43</v>
      </c>
      <c r="X455" t="s">
        <v>1424</v>
      </c>
      <c r="Y455" t="s">
        <v>48</v>
      </c>
      <c r="Z455" s="10">
        <f>IF(N455&lt;=1,7,7+0.8*ROUNDUP(N455-1,0))</f>
        <v>7</v>
      </c>
      <c r="AA455" s="11">
        <v>0</v>
      </c>
      <c r="AB455" s="11">
        <v>0</v>
      </c>
      <c r="AC455" s="11">
        <v>0</v>
      </c>
      <c r="AD455" s="11">
        <v>0</v>
      </c>
      <c r="AE455" s="11">
        <f>(Z455+AB455+AD455)*6%</f>
        <v>0.42</v>
      </c>
      <c r="AF455" s="11">
        <f>Z455+AB455+AD455+AE455</f>
        <v>7.42</v>
      </c>
      <c r="AG455" t="s">
        <v>43</v>
      </c>
    </row>
    <row r="456" spans="1:33" ht="15" customHeight="1" x14ac:dyDescent="0.35">
      <c r="A456">
        <v>690929</v>
      </c>
      <c r="B456" t="s">
        <v>33</v>
      </c>
      <c r="C456" t="s">
        <v>34</v>
      </c>
      <c r="D456" s="6" t="s">
        <v>33</v>
      </c>
      <c r="E456" t="s">
        <v>1425</v>
      </c>
      <c r="G456" t="s">
        <v>37</v>
      </c>
      <c r="H456" t="s">
        <v>1426</v>
      </c>
      <c r="I456" t="s">
        <v>39</v>
      </c>
      <c r="J456">
        <v>2</v>
      </c>
      <c r="K456" t="s">
        <v>40</v>
      </c>
      <c r="L456" t="s">
        <v>41</v>
      </c>
      <c r="M456" t="s">
        <v>42</v>
      </c>
      <c r="N456" s="7">
        <v>1</v>
      </c>
      <c r="O456" s="8">
        <v>45133.602881944447</v>
      </c>
      <c r="P456" s="9">
        <v>45135</v>
      </c>
      <c r="R456" t="s">
        <v>43</v>
      </c>
      <c r="S456" t="s">
        <v>44</v>
      </c>
      <c r="T456" t="s">
        <v>61</v>
      </c>
      <c r="U456" t="s">
        <v>1427</v>
      </c>
      <c r="V456">
        <v>81400</v>
      </c>
      <c r="W456" t="s">
        <v>43</v>
      </c>
      <c r="X456" t="s">
        <v>300</v>
      </c>
      <c r="Y456" t="s">
        <v>48</v>
      </c>
      <c r="Z456" s="10">
        <f>IF(N456&lt;=1,7,7+0.8*ROUNDUP(N456-1,0))</f>
        <v>7</v>
      </c>
      <c r="AA456" s="11">
        <v>0</v>
      </c>
      <c r="AB456" s="11">
        <v>0</v>
      </c>
      <c r="AC456" s="11">
        <v>0</v>
      </c>
      <c r="AD456" s="11">
        <v>0</v>
      </c>
      <c r="AE456" s="11">
        <f>(Z456+AB456+AD456)*6%</f>
        <v>0.42</v>
      </c>
      <c r="AF456" s="11">
        <f>Z456+AB456+AD456+AE456</f>
        <v>7.42</v>
      </c>
      <c r="AG456" t="s">
        <v>43</v>
      </c>
    </row>
    <row r="457" spans="1:33" ht="15" customHeight="1" x14ac:dyDescent="0.35">
      <c r="A457">
        <v>690929</v>
      </c>
      <c r="B457" t="s">
        <v>33</v>
      </c>
      <c r="C457" t="s">
        <v>34</v>
      </c>
      <c r="D457" s="6" t="s">
        <v>33</v>
      </c>
      <c r="E457" t="s">
        <v>1428</v>
      </c>
      <c r="G457" t="s">
        <v>37</v>
      </c>
      <c r="H457" t="s">
        <v>1429</v>
      </c>
      <c r="I457" t="s">
        <v>39</v>
      </c>
      <c r="J457">
        <v>2</v>
      </c>
      <c r="K457" t="s">
        <v>40</v>
      </c>
      <c r="L457" t="s">
        <v>41</v>
      </c>
      <c r="M457" t="s">
        <v>42</v>
      </c>
      <c r="N457" s="7">
        <v>1</v>
      </c>
      <c r="O457" s="8">
        <v>45132.609594907408</v>
      </c>
      <c r="P457" s="9">
        <v>45136</v>
      </c>
      <c r="R457" t="s">
        <v>43</v>
      </c>
      <c r="S457" t="s">
        <v>44</v>
      </c>
      <c r="T457" t="s">
        <v>80</v>
      </c>
      <c r="U457" t="s">
        <v>1430</v>
      </c>
      <c r="V457">
        <v>7000</v>
      </c>
      <c r="W457" t="s">
        <v>43</v>
      </c>
      <c r="X457" t="s">
        <v>47</v>
      </c>
      <c r="Y457" t="s">
        <v>48</v>
      </c>
      <c r="Z457" s="10">
        <f>IF(N457&lt;=1,7,7+0.8*ROUNDUP(N457-1,0))</f>
        <v>7</v>
      </c>
      <c r="AA457" s="11">
        <v>0</v>
      </c>
      <c r="AB457" s="11">
        <v>0</v>
      </c>
      <c r="AC457" s="11">
        <v>0</v>
      </c>
      <c r="AD457" s="11">
        <v>0</v>
      </c>
      <c r="AE457" s="11">
        <f>(Z457+AB457+AD457)*6%</f>
        <v>0.42</v>
      </c>
      <c r="AF457" s="11">
        <f>Z457+AB457+AD457+AE457</f>
        <v>7.42</v>
      </c>
      <c r="AG457" t="s">
        <v>43</v>
      </c>
    </row>
    <row r="458" spans="1:33" ht="15" customHeight="1" x14ac:dyDescent="0.35">
      <c r="A458">
        <v>690929</v>
      </c>
      <c r="B458" t="s">
        <v>33</v>
      </c>
      <c r="C458" t="s">
        <v>34</v>
      </c>
      <c r="D458" s="6" t="s">
        <v>33</v>
      </c>
      <c r="E458" t="s">
        <v>1431</v>
      </c>
      <c r="G458" t="s">
        <v>37</v>
      </c>
      <c r="H458" t="s">
        <v>1432</v>
      </c>
      <c r="I458" t="s">
        <v>39</v>
      </c>
      <c r="J458">
        <v>2</v>
      </c>
      <c r="K458" t="s">
        <v>40</v>
      </c>
      <c r="L458" t="s">
        <v>41</v>
      </c>
      <c r="M458" t="s">
        <v>42</v>
      </c>
      <c r="N458" s="7">
        <v>1</v>
      </c>
      <c r="O458" s="8">
        <v>45134.594733796293</v>
      </c>
      <c r="P458" s="9">
        <v>45136</v>
      </c>
      <c r="R458" t="s">
        <v>43</v>
      </c>
      <c r="S458" t="s">
        <v>44</v>
      </c>
      <c r="T458" t="s">
        <v>89</v>
      </c>
      <c r="U458" t="s">
        <v>1433</v>
      </c>
      <c r="V458">
        <v>28700</v>
      </c>
      <c r="W458" t="s">
        <v>43</v>
      </c>
      <c r="X458" t="s">
        <v>1434</v>
      </c>
      <c r="Y458" t="s">
        <v>48</v>
      </c>
      <c r="Z458" s="10">
        <f>IF(N458&lt;=1,7,7+0.8*ROUNDUP(N458-1,0))</f>
        <v>7</v>
      </c>
      <c r="AA458" s="11">
        <v>0</v>
      </c>
      <c r="AB458" s="11">
        <v>0</v>
      </c>
      <c r="AC458" s="11">
        <v>0</v>
      </c>
      <c r="AD458" s="11">
        <v>0</v>
      </c>
      <c r="AE458" s="11">
        <f>(Z458+AB458+AD458)*6%</f>
        <v>0.42</v>
      </c>
      <c r="AF458" s="11">
        <f>Z458+AB458+AD458+AE458</f>
        <v>7.42</v>
      </c>
      <c r="AG458" t="s">
        <v>43</v>
      </c>
    </row>
    <row r="459" spans="1:33" ht="15" customHeight="1" x14ac:dyDescent="0.35">
      <c r="A459">
        <v>690929</v>
      </c>
      <c r="B459" t="s">
        <v>33</v>
      </c>
      <c r="C459" t="s">
        <v>34</v>
      </c>
      <c r="D459" s="6" t="s">
        <v>33</v>
      </c>
      <c r="E459" t="s">
        <v>1435</v>
      </c>
      <c r="G459" t="s">
        <v>37</v>
      </c>
      <c r="H459" t="s">
        <v>1436</v>
      </c>
      <c r="I459" t="s">
        <v>39</v>
      </c>
      <c r="J459">
        <v>2</v>
      </c>
      <c r="K459" t="s">
        <v>40</v>
      </c>
      <c r="L459" t="s">
        <v>41</v>
      </c>
      <c r="M459" t="s">
        <v>42</v>
      </c>
      <c r="N459" s="7">
        <v>3</v>
      </c>
      <c r="O459" s="8">
        <v>45134.728993055556</v>
      </c>
      <c r="P459" s="9">
        <v>45136</v>
      </c>
      <c r="R459" t="s">
        <v>43</v>
      </c>
      <c r="S459" t="s">
        <v>56</v>
      </c>
      <c r="T459" t="s">
        <v>66</v>
      </c>
      <c r="U459" t="s">
        <v>1437</v>
      </c>
      <c r="V459">
        <v>22200</v>
      </c>
      <c r="W459" t="s">
        <v>43</v>
      </c>
      <c r="X459" t="s">
        <v>1050</v>
      </c>
      <c r="Y459" t="s">
        <v>48</v>
      </c>
      <c r="Z459" s="10">
        <f>IF(N459&lt;=1,7,7+0.8*ROUNDUP(N459-1,0))</f>
        <v>8.6</v>
      </c>
      <c r="AA459" s="11">
        <v>0</v>
      </c>
      <c r="AB459" s="11">
        <v>0</v>
      </c>
      <c r="AC459" s="11">
        <v>0</v>
      </c>
      <c r="AD459" s="11">
        <v>0</v>
      </c>
      <c r="AE459" s="11">
        <f>(Z459+AB459+AD459)*6%</f>
        <v>0.51600000000000001</v>
      </c>
      <c r="AF459" s="11">
        <f>Z459+AB459+AD459+AE459</f>
        <v>9.1159999999999997</v>
      </c>
      <c r="AG459" t="s">
        <v>43</v>
      </c>
    </row>
    <row r="460" spans="1:33" ht="15" customHeight="1" x14ac:dyDescent="0.35">
      <c r="A460">
        <v>690929</v>
      </c>
      <c r="B460" t="s">
        <v>33</v>
      </c>
      <c r="C460" t="s">
        <v>34</v>
      </c>
      <c r="D460" s="6" t="s">
        <v>33</v>
      </c>
      <c r="E460" t="s">
        <v>1438</v>
      </c>
      <c r="G460" t="s">
        <v>37</v>
      </c>
      <c r="H460" t="s">
        <v>1439</v>
      </c>
      <c r="I460" t="s">
        <v>39</v>
      </c>
      <c r="J460">
        <v>2</v>
      </c>
      <c r="K460" t="s">
        <v>40</v>
      </c>
      <c r="L460" t="s">
        <v>41</v>
      </c>
      <c r="M460" t="s">
        <v>42</v>
      </c>
      <c r="N460" s="7">
        <v>1</v>
      </c>
      <c r="O460" s="8">
        <v>45134.59479166667</v>
      </c>
      <c r="P460" s="9">
        <v>45136</v>
      </c>
      <c r="R460" t="s">
        <v>43</v>
      </c>
      <c r="S460" t="s">
        <v>44</v>
      </c>
      <c r="T460" t="s">
        <v>70</v>
      </c>
      <c r="U460" t="s">
        <v>1440</v>
      </c>
      <c r="V460">
        <v>14000</v>
      </c>
      <c r="W460" t="s">
        <v>43</v>
      </c>
      <c r="X460" t="s">
        <v>47</v>
      </c>
      <c r="Y460" t="s">
        <v>48</v>
      </c>
      <c r="Z460" s="10">
        <f>IF(N460&lt;=1,7,7+0.8*ROUNDUP(N460-1,0))</f>
        <v>7</v>
      </c>
      <c r="AA460" s="11">
        <v>0</v>
      </c>
      <c r="AB460" s="11">
        <v>0</v>
      </c>
      <c r="AC460" s="11">
        <v>0</v>
      </c>
      <c r="AD460" s="11">
        <v>0</v>
      </c>
      <c r="AE460" s="11">
        <f>(Z460+AB460+AD460)*6%</f>
        <v>0.42</v>
      </c>
      <c r="AF460" s="11">
        <f>Z460+AB460+AD460+AE460</f>
        <v>7.42</v>
      </c>
      <c r="AG460" t="s">
        <v>43</v>
      </c>
    </row>
    <row r="461" spans="1:33" ht="15" customHeight="1" x14ac:dyDescent="0.35">
      <c r="A461">
        <v>690929</v>
      </c>
      <c r="B461" t="s">
        <v>33</v>
      </c>
      <c r="C461" t="s">
        <v>34</v>
      </c>
      <c r="D461" s="6" t="s">
        <v>33</v>
      </c>
      <c r="E461" t="s">
        <v>1441</v>
      </c>
      <c r="G461" t="s">
        <v>37</v>
      </c>
      <c r="H461" t="s">
        <v>1442</v>
      </c>
      <c r="I461" t="s">
        <v>39</v>
      </c>
      <c r="J461">
        <v>2</v>
      </c>
      <c r="K461" t="s">
        <v>40</v>
      </c>
      <c r="L461" t="s">
        <v>41</v>
      </c>
      <c r="M461" t="s">
        <v>42</v>
      </c>
      <c r="N461" s="7">
        <v>1</v>
      </c>
      <c r="O461" s="8">
        <v>45134.503784722219</v>
      </c>
      <c r="P461" s="9">
        <v>45136</v>
      </c>
      <c r="R461" t="s">
        <v>43</v>
      </c>
      <c r="S461" t="s">
        <v>44</v>
      </c>
      <c r="T461" t="s">
        <v>70</v>
      </c>
      <c r="U461" t="s">
        <v>1443</v>
      </c>
      <c r="V461">
        <v>13200</v>
      </c>
      <c r="W461" t="s">
        <v>43</v>
      </c>
      <c r="X461" t="s">
        <v>423</v>
      </c>
      <c r="Y461" t="s">
        <v>48</v>
      </c>
      <c r="Z461" s="10">
        <f>IF(N461&lt;=1,7,7+0.8*ROUNDUP(N461-1,0))</f>
        <v>7</v>
      </c>
      <c r="AA461" s="11">
        <v>0</v>
      </c>
      <c r="AB461" s="11">
        <v>0</v>
      </c>
      <c r="AC461" s="11">
        <v>0</v>
      </c>
      <c r="AD461" s="11">
        <v>0</v>
      </c>
      <c r="AE461" s="11">
        <f>(Z461+AB461+AD461)*6%</f>
        <v>0.42</v>
      </c>
      <c r="AF461" s="11">
        <f>Z461+AB461+AD461+AE461</f>
        <v>7.42</v>
      </c>
      <c r="AG461" t="s">
        <v>43</v>
      </c>
    </row>
    <row r="462" spans="1:33" ht="15" customHeight="1" x14ac:dyDescent="0.35">
      <c r="A462">
        <v>690929</v>
      </c>
      <c r="B462" t="s">
        <v>33</v>
      </c>
      <c r="C462" t="s">
        <v>34</v>
      </c>
      <c r="D462" s="6" t="s">
        <v>33</v>
      </c>
      <c r="E462" t="s">
        <v>1444</v>
      </c>
      <c r="G462" t="s">
        <v>37</v>
      </c>
      <c r="H462" t="s">
        <v>1276</v>
      </c>
      <c r="I462" t="s">
        <v>39</v>
      </c>
      <c r="J462">
        <v>2</v>
      </c>
      <c r="K462" t="s">
        <v>40</v>
      </c>
      <c r="L462" t="s">
        <v>41</v>
      </c>
      <c r="M462" t="s">
        <v>42</v>
      </c>
      <c r="N462" s="7">
        <v>1</v>
      </c>
      <c r="O462" s="8">
        <v>45134.566782407404</v>
      </c>
      <c r="P462" s="9">
        <v>45136</v>
      </c>
      <c r="R462" t="s">
        <v>43</v>
      </c>
      <c r="S462" t="s">
        <v>44</v>
      </c>
      <c r="T462" t="s">
        <v>403</v>
      </c>
      <c r="U462" t="s">
        <v>1445</v>
      </c>
      <c r="V462">
        <v>96100</v>
      </c>
      <c r="W462" t="s">
        <v>172</v>
      </c>
      <c r="X462" t="s">
        <v>47</v>
      </c>
      <c r="Y462" t="s">
        <v>48</v>
      </c>
      <c r="Z462" s="12">
        <f>IF(N462&lt;=1,13,IF(N462&lt;=2,23,IF(N462&lt;=3,35,IF(N462&lt;=4,43,IF(N462&lt;=5,53,IF(N462&lt;=6,63,IF(N462&lt;=7,71,IF(N462&lt;=8,79,IF(N462&lt;=9,87,IF(N462&lt;=10,95,IF(N462&lt;=11,105,IF(N462&lt;=12,114,IF(N462&lt;=13,119,IF(N462&lt;=14,127,IF(N462&lt;=15,135,IF(N462&lt;=16,143,IF(N462&lt;=17,153,IF(N462&lt;=18,163,IF(N462&lt;=19,171,IF(N462&lt;=20,185,IF(N462&lt;=21,193,IF(N462&lt;=22,201,IF(N462&lt;=23,210,IF(N462&lt;=24,220,IF(N462&lt;=25,230,IF(N462&lt;=26,240,IF(N462&lt;=27,250,IF(N462&lt;=28,260,IF(N462&lt;=29,270,IF(N462&lt;=30,280,280+10*ROUNDUP(N462-30,0)))))))))))))))))))))))))))))))</f>
        <v>13</v>
      </c>
      <c r="AA462" s="11">
        <v>0</v>
      </c>
      <c r="AB462" s="11">
        <v>0</v>
      </c>
      <c r="AC462" s="11">
        <v>0</v>
      </c>
      <c r="AD462" s="11">
        <v>0</v>
      </c>
      <c r="AE462" s="11">
        <f>(Z462+AB462+AD462)*6%</f>
        <v>0.78</v>
      </c>
      <c r="AF462" s="11">
        <f>Z462+AB462+AD462+AE462</f>
        <v>13.78</v>
      </c>
      <c r="AG462" t="s">
        <v>172</v>
      </c>
    </row>
    <row r="463" spans="1:33" ht="15" customHeight="1" x14ac:dyDescent="0.35">
      <c r="A463">
        <v>690929</v>
      </c>
      <c r="B463" t="s">
        <v>33</v>
      </c>
      <c r="C463" t="s">
        <v>34</v>
      </c>
      <c r="D463" s="6" t="s">
        <v>33</v>
      </c>
      <c r="E463" t="s">
        <v>1446</v>
      </c>
      <c r="G463" t="s">
        <v>37</v>
      </c>
      <c r="H463" t="s">
        <v>1447</v>
      </c>
      <c r="I463" t="s">
        <v>39</v>
      </c>
      <c r="J463">
        <v>2</v>
      </c>
      <c r="K463" t="s">
        <v>40</v>
      </c>
      <c r="L463" t="s">
        <v>41</v>
      </c>
      <c r="M463" t="s">
        <v>42</v>
      </c>
      <c r="N463" s="7">
        <v>1</v>
      </c>
      <c r="O463" s="8">
        <v>45133.729062500002</v>
      </c>
      <c r="P463" s="9">
        <v>45136</v>
      </c>
      <c r="R463" t="s">
        <v>43</v>
      </c>
      <c r="S463" t="s">
        <v>44</v>
      </c>
      <c r="T463" t="s">
        <v>57</v>
      </c>
      <c r="U463" t="s">
        <v>1448</v>
      </c>
      <c r="V463">
        <v>43200</v>
      </c>
      <c r="W463" t="s">
        <v>43</v>
      </c>
      <c r="X463" t="s">
        <v>1029</v>
      </c>
      <c r="Y463" t="s">
        <v>48</v>
      </c>
      <c r="Z463" s="10">
        <f>IF(N463&lt;=1,7,7+0.8*ROUNDUP(N463-1,0))</f>
        <v>7</v>
      </c>
      <c r="AA463" s="11">
        <v>0</v>
      </c>
      <c r="AB463" s="11">
        <v>0</v>
      </c>
      <c r="AC463" s="11">
        <v>0</v>
      </c>
      <c r="AD463" s="11">
        <v>0</v>
      </c>
      <c r="AE463" s="11">
        <f>(Z463+AB463+AD463)*6%</f>
        <v>0.42</v>
      </c>
      <c r="AF463" s="11">
        <f>Z463+AB463+AD463+AE463</f>
        <v>7.42</v>
      </c>
      <c r="AG463" t="s">
        <v>43</v>
      </c>
    </row>
    <row r="464" spans="1:33" ht="15" customHeight="1" x14ac:dyDescent="0.35">
      <c r="A464">
        <v>690929</v>
      </c>
      <c r="B464" t="s">
        <v>33</v>
      </c>
      <c r="C464" t="s">
        <v>34</v>
      </c>
      <c r="D464" s="6" t="s">
        <v>33</v>
      </c>
      <c r="E464" t="s">
        <v>1449</v>
      </c>
      <c r="G464" t="s">
        <v>37</v>
      </c>
      <c r="H464" t="s">
        <v>1450</v>
      </c>
      <c r="I464" t="s">
        <v>39</v>
      </c>
      <c r="J464">
        <v>2</v>
      </c>
      <c r="K464" t="s">
        <v>40</v>
      </c>
      <c r="L464" t="s">
        <v>41</v>
      </c>
      <c r="M464" t="s">
        <v>42</v>
      </c>
      <c r="N464" s="7">
        <v>1</v>
      </c>
      <c r="O464" s="8">
        <v>45134.578298611108</v>
      </c>
      <c r="P464" s="9">
        <v>45136</v>
      </c>
      <c r="R464" t="s">
        <v>43</v>
      </c>
      <c r="S464" t="s">
        <v>44</v>
      </c>
      <c r="T464" t="s">
        <v>70</v>
      </c>
      <c r="U464" t="s">
        <v>1451</v>
      </c>
      <c r="V464">
        <v>11500</v>
      </c>
      <c r="W464" t="s">
        <v>43</v>
      </c>
      <c r="X464" t="s">
        <v>985</v>
      </c>
      <c r="Y464" t="s">
        <v>48</v>
      </c>
      <c r="Z464" s="10">
        <f>IF(N464&lt;=1,7,7+0.8*ROUNDUP(N464-1,0))</f>
        <v>7</v>
      </c>
      <c r="AA464" s="11">
        <v>0</v>
      </c>
      <c r="AB464" s="11">
        <v>0</v>
      </c>
      <c r="AC464" s="11">
        <v>0</v>
      </c>
      <c r="AD464" s="11">
        <v>0</v>
      </c>
      <c r="AE464" s="11">
        <f>(Z464+AB464+AD464)*6%</f>
        <v>0.42</v>
      </c>
      <c r="AF464" s="11">
        <f>Z464+AB464+AD464+AE464</f>
        <v>7.42</v>
      </c>
      <c r="AG464" t="s">
        <v>43</v>
      </c>
    </row>
    <row r="465" spans="1:33" ht="15" customHeight="1" x14ac:dyDescent="0.35">
      <c r="A465">
        <v>690929</v>
      </c>
      <c r="B465" t="s">
        <v>33</v>
      </c>
      <c r="C465" t="s">
        <v>34</v>
      </c>
      <c r="D465" s="6" t="s">
        <v>33</v>
      </c>
      <c r="E465" t="s">
        <v>1452</v>
      </c>
      <c r="G465" t="s">
        <v>37</v>
      </c>
      <c r="H465" t="s">
        <v>1453</v>
      </c>
      <c r="I465" t="s">
        <v>39</v>
      </c>
      <c r="J465">
        <v>2</v>
      </c>
      <c r="K465" t="s">
        <v>40</v>
      </c>
      <c r="L465" t="s">
        <v>41</v>
      </c>
      <c r="M465" t="s">
        <v>42</v>
      </c>
      <c r="N465" s="7">
        <v>1</v>
      </c>
      <c r="O465" s="8">
        <v>45136.512245370373</v>
      </c>
      <c r="P465" s="9">
        <v>45137</v>
      </c>
      <c r="R465" t="s">
        <v>43</v>
      </c>
      <c r="S465" t="s">
        <v>44</v>
      </c>
      <c r="T465" t="s">
        <v>75</v>
      </c>
      <c r="U465" t="s">
        <v>1454</v>
      </c>
      <c r="V465">
        <v>57100</v>
      </c>
      <c r="W465" t="s">
        <v>43</v>
      </c>
      <c r="X465" t="s">
        <v>151</v>
      </c>
      <c r="Y465" t="s">
        <v>48</v>
      </c>
      <c r="Z465" s="10">
        <f>IF(N465&lt;=1,7,7+0.8*ROUNDUP(N465-1,0))</f>
        <v>7</v>
      </c>
      <c r="AA465" s="11">
        <v>0</v>
      </c>
      <c r="AB465" s="11">
        <v>0</v>
      </c>
      <c r="AC465" s="11">
        <v>0</v>
      </c>
      <c r="AD465" s="11">
        <v>0</v>
      </c>
      <c r="AE465" s="11">
        <f>(Z465+AB465+AD465)*6%</f>
        <v>0.42</v>
      </c>
      <c r="AF465" s="11">
        <f>Z465+AB465+AD465+AE465</f>
        <v>7.42</v>
      </c>
      <c r="AG465" t="s">
        <v>43</v>
      </c>
    </row>
    <row r="466" spans="1:33" ht="15" customHeight="1" x14ac:dyDescent="0.35">
      <c r="A466">
        <v>690929</v>
      </c>
      <c r="B466" t="s">
        <v>33</v>
      </c>
      <c r="C466" t="s">
        <v>34</v>
      </c>
      <c r="D466" s="6" t="s">
        <v>33</v>
      </c>
      <c r="E466" t="s">
        <v>1455</v>
      </c>
      <c r="G466" t="s">
        <v>37</v>
      </c>
      <c r="H466" t="s">
        <v>1456</v>
      </c>
      <c r="I466" t="s">
        <v>39</v>
      </c>
      <c r="J466">
        <v>2</v>
      </c>
      <c r="K466" t="s">
        <v>40</v>
      </c>
      <c r="L466" t="s">
        <v>41</v>
      </c>
      <c r="M466" t="s">
        <v>42</v>
      </c>
      <c r="N466" s="7">
        <v>4</v>
      </c>
      <c r="O466" s="8">
        <v>45135.477800925924</v>
      </c>
      <c r="P466" s="9">
        <v>45137</v>
      </c>
      <c r="R466" t="s">
        <v>43</v>
      </c>
      <c r="S466" t="s">
        <v>56</v>
      </c>
      <c r="T466" t="s">
        <v>80</v>
      </c>
      <c r="U466" t="s">
        <v>1457</v>
      </c>
      <c r="V466">
        <v>6400</v>
      </c>
      <c r="W466" t="s">
        <v>43</v>
      </c>
      <c r="X466" t="s">
        <v>115</v>
      </c>
      <c r="Y466" t="s">
        <v>48</v>
      </c>
      <c r="Z466" s="10">
        <f>IF(N466&lt;=1,7,7+0.8*ROUNDUP(N466-1,0))</f>
        <v>9.4</v>
      </c>
      <c r="AA466" s="11">
        <v>0</v>
      </c>
      <c r="AB466" s="11">
        <v>0</v>
      </c>
      <c r="AC466" s="11">
        <v>0</v>
      </c>
      <c r="AD466" s="11">
        <v>0</v>
      </c>
      <c r="AE466" s="11">
        <f>(Z466+AB466+AD466)*6%</f>
        <v>0.56399999999999995</v>
      </c>
      <c r="AF466" s="11">
        <f>Z466+AB466+AD466+AE466</f>
        <v>9.9640000000000004</v>
      </c>
      <c r="AG466" t="s">
        <v>43</v>
      </c>
    </row>
    <row r="467" spans="1:33" ht="15" customHeight="1" x14ac:dyDescent="0.35">
      <c r="A467">
        <v>690929</v>
      </c>
      <c r="B467" t="s">
        <v>33</v>
      </c>
      <c r="C467" t="s">
        <v>34</v>
      </c>
      <c r="D467" s="6" t="s">
        <v>33</v>
      </c>
      <c r="E467" t="s">
        <v>1458</v>
      </c>
      <c r="G467" t="s">
        <v>37</v>
      </c>
      <c r="H467" t="s">
        <v>1459</v>
      </c>
      <c r="I467" t="s">
        <v>39</v>
      </c>
      <c r="J467">
        <v>2</v>
      </c>
      <c r="K467" t="s">
        <v>40</v>
      </c>
      <c r="L467" t="s">
        <v>41</v>
      </c>
      <c r="M467" t="s">
        <v>42</v>
      </c>
      <c r="N467" s="7">
        <v>1</v>
      </c>
      <c r="O467" s="8">
        <v>45136.702951388892</v>
      </c>
      <c r="P467" s="9">
        <v>45137</v>
      </c>
      <c r="R467" t="s">
        <v>43</v>
      </c>
      <c r="S467" t="s">
        <v>44</v>
      </c>
      <c r="T467" t="s">
        <v>109</v>
      </c>
      <c r="U467" t="s">
        <v>1460</v>
      </c>
      <c r="V467">
        <v>17200</v>
      </c>
      <c r="W467" t="s">
        <v>43</v>
      </c>
      <c r="X467" t="s">
        <v>111</v>
      </c>
      <c r="Y467" t="s">
        <v>48</v>
      </c>
      <c r="Z467" s="10">
        <f>IF(N467&lt;=1,7,7+0.8*ROUNDUP(N467-1,0))</f>
        <v>7</v>
      </c>
      <c r="AA467" s="11">
        <v>0</v>
      </c>
      <c r="AB467" s="11">
        <v>0</v>
      </c>
      <c r="AC467" s="11">
        <v>0</v>
      </c>
      <c r="AD467" s="11">
        <v>0</v>
      </c>
      <c r="AE467" s="11">
        <f>(Z467+AB467+AD467)*6%</f>
        <v>0.42</v>
      </c>
      <c r="AF467" s="11">
        <f>Z467+AB467+AD467+AE467</f>
        <v>7.42</v>
      </c>
      <c r="AG467" t="s">
        <v>43</v>
      </c>
    </row>
    <row r="468" spans="1:33" ht="15" customHeight="1" x14ac:dyDescent="0.35">
      <c r="A468">
        <v>690929</v>
      </c>
      <c r="B468" t="s">
        <v>33</v>
      </c>
      <c r="C468" t="s">
        <v>34</v>
      </c>
      <c r="D468" s="6" t="s">
        <v>33</v>
      </c>
      <c r="E468" t="s">
        <v>1461</v>
      </c>
      <c r="G468" t="s">
        <v>37</v>
      </c>
      <c r="H468" t="s">
        <v>1462</v>
      </c>
      <c r="I468" t="s">
        <v>39</v>
      </c>
      <c r="J468">
        <v>2</v>
      </c>
      <c r="K468" t="s">
        <v>40</v>
      </c>
      <c r="L468" t="s">
        <v>41</v>
      </c>
      <c r="M468" t="s">
        <v>42</v>
      </c>
      <c r="N468" s="7">
        <v>2</v>
      </c>
      <c r="O468" s="8">
        <v>45136.512245370373</v>
      </c>
      <c r="P468" s="9">
        <v>45137</v>
      </c>
      <c r="R468" t="s">
        <v>43</v>
      </c>
      <c r="S468" t="s">
        <v>44</v>
      </c>
      <c r="T468" t="s">
        <v>66</v>
      </c>
      <c r="U468" t="s">
        <v>1463</v>
      </c>
      <c r="V468">
        <v>22000</v>
      </c>
      <c r="W468" t="s">
        <v>43</v>
      </c>
      <c r="X468" t="s">
        <v>44</v>
      </c>
      <c r="Y468" t="s">
        <v>48</v>
      </c>
      <c r="Z468" s="10">
        <f>IF(N468&lt;=1,7,7+0.8*ROUNDUP(N468-1,0))</f>
        <v>7.8</v>
      </c>
      <c r="AA468" s="11">
        <v>0</v>
      </c>
      <c r="AB468" s="11">
        <v>0</v>
      </c>
      <c r="AC468" s="11">
        <v>0</v>
      </c>
      <c r="AD468" s="11">
        <v>0</v>
      </c>
      <c r="AE468" s="11">
        <f>(Z468+AB468+AD468)*6%</f>
        <v>0.46799999999999997</v>
      </c>
      <c r="AF468" s="11">
        <f>Z468+AB468+AD468+AE468</f>
        <v>8.2680000000000007</v>
      </c>
      <c r="AG468" t="s">
        <v>43</v>
      </c>
    </row>
    <row r="469" spans="1:33" ht="15" customHeight="1" x14ac:dyDescent="0.35">
      <c r="A469">
        <v>690929</v>
      </c>
      <c r="B469" t="s">
        <v>33</v>
      </c>
      <c r="C469" t="s">
        <v>34</v>
      </c>
      <c r="D469" s="6" t="s">
        <v>33</v>
      </c>
      <c r="E469" t="s">
        <v>1464</v>
      </c>
      <c r="G469" t="s">
        <v>37</v>
      </c>
      <c r="H469" t="s">
        <v>1465</v>
      </c>
      <c r="I469" t="s">
        <v>39</v>
      </c>
      <c r="J469">
        <v>2</v>
      </c>
      <c r="K469" t="s">
        <v>40</v>
      </c>
      <c r="L469" t="s">
        <v>41</v>
      </c>
      <c r="M469" t="s">
        <v>42</v>
      </c>
      <c r="N469" s="7">
        <v>1</v>
      </c>
      <c r="O469" s="8">
        <v>45134.634710648148</v>
      </c>
      <c r="P469" s="9">
        <v>45137</v>
      </c>
      <c r="R469" t="s">
        <v>43</v>
      </c>
      <c r="S469" t="s">
        <v>44</v>
      </c>
      <c r="T469" t="s">
        <v>61</v>
      </c>
      <c r="U469" t="s">
        <v>1466</v>
      </c>
      <c r="V469">
        <v>81560</v>
      </c>
      <c r="W469" t="s">
        <v>43</v>
      </c>
      <c r="X469" t="s">
        <v>1208</v>
      </c>
      <c r="Y469" t="s">
        <v>48</v>
      </c>
      <c r="Z469" s="10">
        <f>IF(N469&lt;=1,7,7+0.8*ROUNDUP(N469-1,0))</f>
        <v>7</v>
      </c>
      <c r="AA469" s="11">
        <v>0</v>
      </c>
      <c r="AB469" s="11">
        <v>0</v>
      </c>
      <c r="AC469" s="11">
        <v>0</v>
      </c>
      <c r="AD469" s="11">
        <v>0</v>
      </c>
      <c r="AE469" s="11">
        <f>(Z469+AB469+AD469)*6%</f>
        <v>0.42</v>
      </c>
      <c r="AF469" s="11">
        <f>Z469+AB469+AD469+AE469</f>
        <v>7.42</v>
      </c>
      <c r="AG469" t="s">
        <v>43</v>
      </c>
    </row>
    <row r="470" spans="1:33" ht="15" customHeight="1" x14ac:dyDescent="0.35">
      <c r="A470">
        <v>690929</v>
      </c>
      <c r="B470" t="s">
        <v>33</v>
      </c>
      <c r="C470" t="s">
        <v>34</v>
      </c>
      <c r="D470" s="6" t="s">
        <v>33</v>
      </c>
      <c r="E470" t="s">
        <v>1467</v>
      </c>
      <c r="G470" t="s">
        <v>37</v>
      </c>
      <c r="H470" t="s">
        <v>149</v>
      </c>
      <c r="I470" t="s">
        <v>39</v>
      </c>
      <c r="J470">
        <v>2</v>
      </c>
      <c r="K470" t="s">
        <v>40</v>
      </c>
      <c r="L470" t="s">
        <v>41</v>
      </c>
      <c r="M470" t="s">
        <v>42</v>
      </c>
      <c r="N470" s="7">
        <v>1</v>
      </c>
      <c r="O470" s="8">
        <v>45136.512245370373</v>
      </c>
      <c r="P470" s="9">
        <v>45137</v>
      </c>
      <c r="R470" t="s">
        <v>43</v>
      </c>
      <c r="S470" t="s">
        <v>44</v>
      </c>
      <c r="T470" t="s">
        <v>75</v>
      </c>
      <c r="U470" t="s">
        <v>150</v>
      </c>
      <c r="V470">
        <v>57000</v>
      </c>
      <c r="W470" t="s">
        <v>43</v>
      </c>
      <c r="X470" t="s">
        <v>151</v>
      </c>
      <c r="Y470" t="s">
        <v>48</v>
      </c>
      <c r="Z470" s="10">
        <f>IF(N470&lt;=1,7,7+0.8*ROUNDUP(N470-1,0))</f>
        <v>7</v>
      </c>
      <c r="AA470" s="11">
        <v>0</v>
      </c>
      <c r="AB470" s="11">
        <v>0</v>
      </c>
      <c r="AC470" s="11">
        <v>0</v>
      </c>
      <c r="AD470" s="11">
        <v>0</v>
      </c>
      <c r="AE470" s="11">
        <f>(Z470+AB470+AD470)*6%</f>
        <v>0.42</v>
      </c>
      <c r="AF470" s="11">
        <f>Z470+AB470+AD470+AE470</f>
        <v>7.42</v>
      </c>
      <c r="AG470" t="s">
        <v>43</v>
      </c>
    </row>
    <row r="471" spans="1:33" ht="15" customHeight="1" x14ac:dyDescent="0.35">
      <c r="A471">
        <v>690929</v>
      </c>
      <c r="B471" t="s">
        <v>33</v>
      </c>
      <c r="C471" t="s">
        <v>34</v>
      </c>
      <c r="D471" s="6" t="s">
        <v>33</v>
      </c>
      <c r="E471" t="s">
        <v>1468</v>
      </c>
      <c r="G471" t="s">
        <v>37</v>
      </c>
      <c r="H471" t="s">
        <v>1469</v>
      </c>
      <c r="I471" t="s">
        <v>39</v>
      </c>
      <c r="J471">
        <v>2</v>
      </c>
      <c r="K471" t="s">
        <v>40</v>
      </c>
      <c r="L471" t="s">
        <v>41</v>
      </c>
      <c r="M471" t="s">
        <v>42</v>
      </c>
      <c r="N471" s="7">
        <v>1</v>
      </c>
      <c r="O471" s="8">
        <v>45134.717372685183</v>
      </c>
      <c r="P471" s="9">
        <v>45137</v>
      </c>
      <c r="R471" t="s">
        <v>43</v>
      </c>
      <c r="S471" t="s">
        <v>56</v>
      </c>
      <c r="T471" t="s">
        <v>80</v>
      </c>
      <c r="U471" t="s">
        <v>1470</v>
      </c>
      <c r="V471">
        <v>8000</v>
      </c>
      <c r="W471" t="s">
        <v>43</v>
      </c>
      <c r="X471" t="s">
        <v>767</v>
      </c>
      <c r="Y471" t="s">
        <v>48</v>
      </c>
      <c r="Z471" s="10">
        <f>IF(N471&lt;=1,7,7+0.8*ROUNDUP(N471-1,0))</f>
        <v>7</v>
      </c>
      <c r="AA471" s="11">
        <v>0</v>
      </c>
      <c r="AB471" s="11">
        <v>0</v>
      </c>
      <c r="AC471" s="11">
        <v>0</v>
      </c>
      <c r="AD471" s="11">
        <v>0</v>
      </c>
      <c r="AE471" s="11">
        <f>(Z471+AB471+AD471)*6%</f>
        <v>0.42</v>
      </c>
      <c r="AF471" s="11">
        <f>Z471+AB471+AD471+AE471</f>
        <v>7.42</v>
      </c>
      <c r="AG471" t="s">
        <v>43</v>
      </c>
    </row>
    <row r="472" spans="1:33" ht="15" customHeight="1" x14ac:dyDescent="0.35">
      <c r="A472">
        <v>690929</v>
      </c>
      <c r="B472" t="s">
        <v>33</v>
      </c>
      <c r="C472" t="s">
        <v>34</v>
      </c>
      <c r="D472" s="6" t="s">
        <v>33</v>
      </c>
      <c r="E472" t="s">
        <v>1471</v>
      </c>
      <c r="G472" t="s">
        <v>37</v>
      </c>
      <c r="H472" t="s">
        <v>1472</v>
      </c>
      <c r="I472" t="s">
        <v>39</v>
      </c>
      <c r="J472">
        <v>2</v>
      </c>
      <c r="K472" t="s">
        <v>40</v>
      </c>
      <c r="L472" t="s">
        <v>41</v>
      </c>
      <c r="M472" t="s">
        <v>42</v>
      </c>
      <c r="N472" s="7">
        <v>1</v>
      </c>
      <c r="O472" s="8">
        <v>45136.512245370373</v>
      </c>
      <c r="P472" s="9">
        <v>45137</v>
      </c>
      <c r="R472" t="s">
        <v>43</v>
      </c>
      <c r="S472" t="s">
        <v>44</v>
      </c>
      <c r="T472" t="s">
        <v>66</v>
      </c>
      <c r="U472" t="s">
        <v>1473</v>
      </c>
      <c r="V472">
        <v>21500</v>
      </c>
      <c r="W472" t="s">
        <v>43</v>
      </c>
      <c r="X472" t="s">
        <v>44</v>
      </c>
      <c r="Y472" t="s">
        <v>48</v>
      </c>
      <c r="Z472" s="10">
        <f>IF(N472&lt;=1,7,7+0.8*ROUNDUP(N472-1,0))</f>
        <v>7</v>
      </c>
      <c r="AA472" s="11">
        <v>0</v>
      </c>
      <c r="AB472" s="11">
        <v>0</v>
      </c>
      <c r="AC472" s="11">
        <v>0</v>
      </c>
      <c r="AD472" s="11">
        <v>0</v>
      </c>
      <c r="AE472" s="11">
        <f>(Z472+AB472+AD472)*6%</f>
        <v>0.42</v>
      </c>
      <c r="AF472" s="11">
        <f>Z472+AB472+AD472+AE472</f>
        <v>7.42</v>
      </c>
      <c r="AG472" t="s">
        <v>43</v>
      </c>
    </row>
    <row r="473" spans="1:33" ht="15" customHeight="1" x14ac:dyDescent="0.35">
      <c r="A473">
        <v>690929</v>
      </c>
      <c r="B473" t="s">
        <v>33</v>
      </c>
      <c r="C473" t="s">
        <v>34</v>
      </c>
      <c r="D473" s="6" t="s">
        <v>33</v>
      </c>
      <c r="E473" t="s">
        <v>1474</v>
      </c>
      <c r="G473" t="s">
        <v>37</v>
      </c>
      <c r="H473" t="s">
        <v>1475</v>
      </c>
      <c r="I473" t="s">
        <v>39</v>
      </c>
      <c r="J473">
        <v>2</v>
      </c>
      <c r="K473" t="s">
        <v>40</v>
      </c>
      <c r="L473" t="s">
        <v>41</v>
      </c>
      <c r="M473" t="s">
        <v>42</v>
      </c>
      <c r="N473" s="7">
        <v>3</v>
      </c>
      <c r="O473" s="8">
        <v>45134.750497685185</v>
      </c>
      <c r="P473" s="9">
        <v>45137</v>
      </c>
      <c r="R473" t="s">
        <v>43</v>
      </c>
      <c r="S473" t="s">
        <v>56</v>
      </c>
      <c r="T473" t="s">
        <v>75</v>
      </c>
      <c r="U473" t="s">
        <v>1476</v>
      </c>
      <c r="V473">
        <v>56000</v>
      </c>
      <c r="W473" t="s">
        <v>43</v>
      </c>
      <c r="X473" t="s">
        <v>1029</v>
      </c>
      <c r="Y473" t="s">
        <v>48</v>
      </c>
      <c r="Z473" s="10">
        <f>IF(N473&lt;=1,7,7+0.8*ROUNDUP(N473-1,0))</f>
        <v>8.6</v>
      </c>
      <c r="AA473" s="11">
        <v>0</v>
      </c>
      <c r="AB473" s="11">
        <v>0</v>
      </c>
      <c r="AC473" s="11">
        <v>0</v>
      </c>
      <c r="AD473" s="11">
        <v>0</v>
      </c>
      <c r="AE473" s="11">
        <f>(Z473+AB473+AD473)*6%</f>
        <v>0.51600000000000001</v>
      </c>
      <c r="AF473" s="11">
        <f>Z473+AB473+AD473+AE473</f>
        <v>9.1159999999999997</v>
      </c>
      <c r="AG473" t="s">
        <v>43</v>
      </c>
    </row>
    <row r="474" spans="1:33" ht="15" customHeight="1" x14ac:dyDescent="0.35">
      <c r="A474">
        <v>690929</v>
      </c>
      <c r="B474" t="s">
        <v>33</v>
      </c>
      <c r="C474" t="s">
        <v>34</v>
      </c>
      <c r="D474" s="6" t="s">
        <v>33</v>
      </c>
      <c r="E474" t="s">
        <v>1477</v>
      </c>
      <c r="G474" t="s">
        <v>37</v>
      </c>
      <c r="H474" t="s">
        <v>1478</v>
      </c>
      <c r="I474" t="s">
        <v>39</v>
      </c>
      <c r="J474">
        <v>2</v>
      </c>
      <c r="K474" t="s">
        <v>40</v>
      </c>
      <c r="L474" t="s">
        <v>41</v>
      </c>
      <c r="M474" t="s">
        <v>42</v>
      </c>
      <c r="N474" s="7">
        <v>2</v>
      </c>
      <c r="O474" s="8">
        <v>45136.517650462964</v>
      </c>
      <c r="P474" s="9">
        <v>45137</v>
      </c>
      <c r="R474" t="s">
        <v>43</v>
      </c>
      <c r="S474" t="s">
        <v>44</v>
      </c>
      <c r="T474" t="s">
        <v>66</v>
      </c>
      <c r="U474" t="s">
        <v>1479</v>
      </c>
      <c r="V474">
        <v>2000</v>
      </c>
      <c r="W474" t="s">
        <v>43</v>
      </c>
      <c r="X474" t="s">
        <v>44</v>
      </c>
      <c r="Y474" t="s">
        <v>48</v>
      </c>
      <c r="Z474" s="10">
        <f>IF(N474&lt;=1,7,7+0.8*ROUNDUP(N474-1,0))</f>
        <v>7.8</v>
      </c>
      <c r="AA474" s="11">
        <v>0</v>
      </c>
      <c r="AB474" s="11">
        <v>0</v>
      </c>
      <c r="AC474" s="11">
        <v>0</v>
      </c>
      <c r="AD474" s="11">
        <v>0</v>
      </c>
      <c r="AE474" s="11">
        <f>(Z474+AB474+AD474)*6%</f>
        <v>0.46799999999999997</v>
      </c>
      <c r="AF474" s="11">
        <f>Z474+AB474+AD474+AE474</f>
        <v>8.2680000000000007</v>
      </c>
      <c r="AG474" t="s">
        <v>43</v>
      </c>
    </row>
    <row r="475" spans="1:33" ht="15" customHeight="1" x14ac:dyDescent="0.35">
      <c r="A475">
        <v>690929</v>
      </c>
      <c r="B475" t="s">
        <v>33</v>
      </c>
      <c r="C475" t="s">
        <v>34</v>
      </c>
      <c r="D475" s="6" t="s">
        <v>33</v>
      </c>
      <c r="E475" t="s">
        <v>1480</v>
      </c>
      <c r="G475" t="s">
        <v>37</v>
      </c>
      <c r="H475" t="s">
        <v>1481</v>
      </c>
      <c r="I475" t="s">
        <v>39</v>
      </c>
      <c r="J475">
        <v>2</v>
      </c>
      <c r="K475" t="s">
        <v>40</v>
      </c>
      <c r="L475" t="s">
        <v>41</v>
      </c>
      <c r="M475" t="s">
        <v>42</v>
      </c>
      <c r="N475" s="7">
        <v>3</v>
      </c>
      <c r="O475" s="8">
        <v>45136.72078703704</v>
      </c>
      <c r="P475" s="9">
        <v>45137</v>
      </c>
      <c r="R475" t="s">
        <v>43</v>
      </c>
      <c r="S475" t="s">
        <v>44</v>
      </c>
      <c r="T475" t="s">
        <v>66</v>
      </c>
      <c r="U475" t="s">
        <v>1482</v>
      </c>
      <c r="V475">
        <v>21400</v>
      </c>
      <c r="W475" t="s">
        <v>43</v>
      </c>
      <c r="X475" t="s">
        <v>199</v>
      </c>
      <c r="Y475" t="s">
        <v>48</v>
      </c>
      <c r="Z475" s="10">
        <f>IF(N475&lt;=1,7,7+0.8*ROUNDUP(N475-1,0))</f>
        <v>8.6</v>
      </c>
      <c r="AA475" s="11">
        <v>0</v>
      </c>
      <c r="AB475" s="11">
        <v>0</v>
      </c>
      <c r="AC475" s="11">
        <v>0</v>
      </c>
      <c r="AD475" s="11">
        <v>0</v>
      </c>
      <c r="AE475" s="11">
        <f>(Z475+AB475+AD475)*6%</f>
        <v>0.51600000000000001</v>
      </c>
      <c r="AF475" s="11">
        <f>Z475+AB475+AD475+AE475</f>
        <v>9.1159999999999997</v>
      </c>
      <c r="AG475" t="s">
        <v>43</v>
      </c>
    </row>
    <row r="476" spans="1:33" ht="15" customHeight="1" x14ac:dyDescent="0.35">
      <c r="A476">
        <v>690929</v>
      </c>
      <c r="B476" t="s">
        <v>33</v>
      </c>
      <c r="C476" t="s">
        <v>34</v>
      </c>
      <c r="D476" s="6" t="s">
        <v>33</v>
      </c>
      <c r="E476" t="s">
        <v>1483</v>
      </c>
      <c r="G476" t="s">
        <v>37</v>
      </c>
      <c r="H476" t="s">
        <v>1484</v>
      </c>
      <c r="I476" t="s">
        <v>39</v>
      </c>
      <c r="J476">
        <v>2</v>
      </c>
      <c r="K476" t="s">
        <v>40</v>
      </c>
      <c r="L476" t="s">
        <v>41</v>
      </c>
      <c r="M476" t="s">
        <v>42</v>
      </c>
      <c r="N476" s="7">
        <v>1</v>
      </c>
      <c r="O476" s="8">
        <v>45136.512245370373</v>
      </c>
      <c r="P476" s="9">
        <v>45137</v>
      </c>
      <c r="R476" t="s">
        <v>43</v>
      </c>
      <c r="S476" t="s">
        <v>44</v>
      </c>
      <c r="T476" t="s">
        <v>109</v>
      </c>
      <c r="U476" t="s">
        <v>1485</v>
      </c>
      <c r="V476">
        <v>16040</v>
      </c>
      <c r="W476" t="s">
        <v>43</v>
      </c>
      <c r="X476" t="s">
        <v>44</v>
      </c>
      <c r="Y476" t="s">
        <v>48</v>
      </c>
      <c r="Z476" s="10">
        <f>IF(N476&lt;=1,7,7+0.8*ROUNDUP(N476-1,0))</f>
        <v>7</v>
      </c>
      <c r="AA476" s="11">
        <v>0</v>
      </c>
      <c r="AB476" s="11">
        <v>0</v>
      </c>
      <c r="AC476" s="11">
        <v>0</v>
      </c>
      <c r="AD476" s="11">
        <v>0</v>
      </c>
      <c r="AE476" s="11">
        <f>(Z476+AB476+AD476)*6%</f>
        <v>0.42</v>
      </c>
      <c r="AF476" s="11">
        <f>Z476+AB476+AD476+AE476</f>
        <v>7.42</v>
      </c>
      <c r="AG476" t="s">
        <v>43</v>
      </c>
    </row>
    <row r="477" spans="1:33" ht="15" customHeight="1" x14ac:dyDescent="0.35">
      <c r="A477">
        <v>690929</v>
      </c>
      <c r="B477" t="s">
        <v>33</v>
      </c>
      <c r="C477" t="s">
        <v>34</v>
      </c>
      <c r="D477" s="6" t="s">
        <v>33</v>
      </c>
      <c r="E477" t="s">
        <v>1486</v>
      </c>
      <c r="G477" t="s">
        <v>37</v>
      </c>
      <c r="H477" t="s">
        <v>1487</v>
      </c>
      <c r="I477" t="s">
        <v>39</v>
      </c>
      <c r="J477">
        <v>2</v>
      </c>
      <c r="K477" t="s">
        <v>40</v>
      </c>
      <c r="L477" t="s">
        <v>41</v>
      </c>
      <c r="M477" t="s">
        <v>42</v>
      </c>
      <c r="N477" s="7">
        <v>3</v>
      </c>
      <c r="O477" s="8">
        <v>45136.72078703704</v>
      </c>
      <c r="P477" s="9">
        <v>45137</v>
      </c>
      <c r="R477" t="s">
        <v>43</v>
      </c>
      <c r="S477" t="s">
        <v>44</v>
      </c>
      <c r="T477" t="s">
        <v>57</v>
      </c>
      <c r="U477" t="s">
        <v>1488</v>
      </c>
      <c r="V477">
        <v>42000</v>
      </c>
      <c r="W477" t="s">
        <v>43</v>
      </c>
      <c r="X477" t="s">
        <v>898</v>
      </c>
      <c r="Y477" t="s">
        <v>48</v>
      </c>
      <c r="Z477" s="10">
        <f>IF(N477&lt;=1,7,7+0.8*ROUNDUP(N477-1,0))</f>
        <v>8.6</v>
      </c>
      <c r="AA477" s="11">
        <v>0</v>
      </c>
      <c r="AB477" s="11">
        <v>0</v>
      </c>
      <c r="AC477" s="11">
        <v>0</v>
      </c>
      <c r="AD477" s="11">
        <v>0</v>
      </c>
      <c r="AE477" s="11">
        <f>(Z477+AB477+AD477)*6%</f>
        <v>0.51600000000000001</v>
      </c>
      <c r="AF477" s="11">
        <f>Z477+AB477+AD477+AE477</f>
        <v>9.1159999999999997</v>
      </c>
      <c r="AG477" t="s">
        <v>43</v>
      </c>
    </row>
    <row r="478" spans="1:33" ht="15" customHeight="1" x14ac:dyDescent="0.35">
      <c r="A478">
        <v>690929</v>
      </c>
      <c r="B478" t="s">
        <v>33</v>
      </c>
      <c r="C478" t="s">
        <v>34</v>
      </c>
      <c r="D478" s="6" t="s">
        <v>33</v>
      </c>
      <c r="E478" t="s">
        <v>1489</v>
      </c>
      <c r="G478" t="s">
        <v>37</v>
      </c>
      <c r="H478" t="s">
        <v>1490</v>
      </c>
      <c r="I478" t="s">
        <v>39</v>
      </c>
      <c r="J478">
        <v>2</v>
      </c>
      <c r="K478" t="s">
        <v>40</v>
      </c>
      <c r="L478" t="s">
        <v>41</v>
      </c>
      <c r="M478" t="s">
        <v>42</v>
      </c>
      <c r="N478" s="7">
        <v>1</v>
      </c>
      <c r="O478" s="8">
        <v>45137.383090277777</v>
      </c>
      <c r="P478" s="9">
        <v>45138</v>
      </c>
      <c r="R478" t="s">
        <v>43</v>
      </c>
      <c r="S478" t="s">
        <v>44</v>
      </c>
      <c r="T478" t="s">
        <v>66</v>
      </c>
      <c r="U478" t="s">
        <v>1491</v>
      </c>
      <c r="V478">
        <v>20100</v>
      </c>
      <c r="W478" t="s">
        <v>43</v>
      </c>
      <c r="X478" t="s">
        <v>44</v>
      </c>
      <c r="Y478" t="s">
        <v>48</v>
      </c>
      <c r="Z478" s="10">
        <f>IF(N478&lt;=1,7,7+0.8*ROUNDUP(N478-1,0))</f>
        <v>7</v>
      </c>
      <c r="AA478" s="11">
        <v>0</v>
      </c>
      <c r="AB478" s="11">
        <v>0</v>
      </c>
      <c r="AC478" s="11">
        <v>0</v>
      </c>
      <c r="AD478" s="11">
        <v>0</v>
      </c>
      <c r="AE478" s="11">
        <f>(Z478+AB478+AD478)*6%</f>
        <v>0.42</v>
      </c>
      <c r="AF478" s="11">
        <f>Z478+AB478+AD478+AE478</f>
        <v>7.42</v>
      </c>
      <c r="AG478" t="s">
        <v>43</v>
      </c>
    </row>
    <row r="479" spans="1:33" ht="15" customHeight="1" x14ac:dyDescent="0.35">
      <c r="A479">
        <v>690929</v>
      </c>
      <c r="B479" t="s">
        <v>33</v>
      </c>
      <c r="C479" t="s">
        <v>34</v>
      </c>
      <c r="D479" s="6" t="s">
        <v>33</v>
      </c>
      <c r="E479" t="s">
        <v>1492</v>
      </c>
      <c r="G479" t="s">
        <v>37</v>
      </c>
      <c r="H479" t="s">
        <v>1493</v>
      </c>
      <c r="I479" t="s">
        <v>39</v>
      </c>
      <c r="J479">
        <v>2</v>
      </c>
      <c r="K479" t="s">
        <v>40</v>
      </c>
      <c r="L479" t="s">
        <v>41</v>
      </c>
      <c r="M479" t="s">
        <v>42</v>
      </c>
      <c r="N479" s="7">
        <v>1</v>
      </c>
      <c r="O479" s="8">
        <v>45136.720891203702</v>
      </c>
      <c r="P479" s="9">
        <v>45138</v>
      </c>
      <c r="R479" t="s">
        <v>43</v>
      </c>
      <c r="S479" t="s">
        <v>47</v>
      </c>
      <c r="T479" t="s">
        <v>51</v>
      </c>
      <c r="U479" t="s">
        <v>1494</v>
      </c>
      <c r="V479">
        <v>34300</v>
      </c>
      <c r="W479" t="s">
        <v>43</v>
      </c>
      <c r="X479" t="s">
        <v>47</v>
      </c>
      <c r="Y479" t="s">
        <v>48</v>
      </c>
      <c r="Z479" s="10">
        <f>IF(N479&lt;=1,7,7+0.8*ROUNDUP(N479-1,0))</f>
        <v>7</v>
      </c>
      <c r="AA479" s="11">
        <v>0</v>
      </c>
      <c r="AB479" s="11">
        <v>0</v>
      </c>
      <c r="AC479" s="11">
        <v>0</v>
      </c>
      <c r="AD479" s="11">
        <v>0</v>
      </c>
      <c r="AE479" s="11">
        <f>(Z479+AB479+AD479)*6%</f>
        <v>0.42</v>
      </c>
      <c r="AF479" s="11">
        <f>Z479+AB479+AD479+AE479</f>
        <v>7.42</v>
      </c>
      <c r="AG479" t="s">
        <v>43</v>
      </c>
    </row>
    <row r="480" spans="1:33" ht="15" customHeight="1" x14ac:dyDescent="0.35">
      <c r="A480">
        <v>690929</v>
      </c>
      <c r="B480" t="s">
        <v>33</v>
      </c>
      <c r="C480" t="s">
        <v>34</v>
      </c>
      <c r="D480" s="6" t="s">
        <v>33</v>
      </c>
      <c r="E480" t="s">
        <v>1495</v>
      </c>
      <c r="G480" t="s">
        <v>37</v>
      </c>
      <c r="H480" t="s">
        <v>1496</v>
      </c>
      <c r="I480" t="s">
        <v>39</v>
      </c>
      <c r="J480">
        <v>2</v>
      </c>
      <c r="K480" t="s">
        <v>40</v>
      </c>
      <c r="L480" t="s">
        <v>41</v>
      </c>
      <c r="M480" t="s">
        <v>42</v>
      </c>
      <c r="N480" s="7">
        <v>1</v>
      </c>
      <c r="O480" s="8">
        <v>45136.734085648146</v>
      </c>
      <c r="P480" s="9">
        <v>45138</v>
      </c>
      <c r="R480" t="s">
        <v>43</v>
      </c>
      <c r="S480" t="s">
        <v>47</v>
      </c>
      <c r="T480" t="s">
        <v>45</v>
      </c>
      <c r="U480" t="s">
        <v>1497</v>
      </c>
      <c r="V480">
        <v>75350</v>
      </c>
      <c r="W480" t="s">
        <v>43</v>
      </c>
      <c r="X480" t="s">
        <v>365</v>
      </c>
      <c r="Y480" t="s">
        <v>48</v>
      </c>
      <c r="Z480" s="10">
        <f>IF(N480&lt;=1,7,7+0.8*ROUNDUP(N480-1,0))</f>
        <v>7</v>
      </c>
      <c r="AA480" s="11">
        <v>0</v>
      </c>
      <c r="AB480" s="11">
        <v>0</v>
      </c>
      <c r="AC480" s="11">
        <v>0</v>
      </c>
      <c r="AD480" s="11">
        <v>0</v>
      </c>
      <c r="AE480" s="11">
        <f>(Z480+AB480+AD480)*6%</f>
        <v>0.42</v>
      </c>
      <c r="AF480" s="11">
        <f>Z480+AB480+AD480+AE480</f>
        <v>7.42</v>
      </c>
      <c r="AG480" t="s">
        <v>43</v>
      </c>
    </row>
    <row r="481" spans="1:33" ht="15" customHeight="1" x14ac:dyDescent="0.35">
      <c r="A481">
        <v>690929</v>
      </c>
      <c r="B481" t="s">
        <v>33</v>
      </c>
      <c r="C481" t="s">
        <v>34</v>
      </c>
      <c r="D481" s="6" t="s">
        <v>33</v>
      </c>
      <c r="E481" t="s">
        <v>1498</v>
      </c>
      <c r="G481" t="s">
        <v>37</v>
      </c>
      <c r="H481" t="s">
        <v>1499</v>
      </c>
      <c r="I481" t="s">
        <v>39</v>
      </c>
      <c r="J481">
        <v>2</v>
      </c>
      <c r="K481" t="s">
        <v>40</v>
      </c>
      <c r="L481" t="s">
        <v>41</v>
      </c>
      <c r="M481" t="s">
        <v>42</v>
      </c>
      <c r="N481" s="7">
        <v>6</v>
      </c>
      <c r="O481" s="8">
        <v>45136.531215277777</v>
      </c>
      <c r="P481" s="9">
        <v>45138</v>
      </c>
      <c r="R481" t="s">
        <v>43</v>
      </c>
      <c r="S481" t="s">
        <v>44</v>
      </c>
      <c r="T481" t="s">
        <v>51</v>
      </c>
      <c r="U481" t="s">
        <v>1500</v>
      </c>
      <c r="V481">
        <v>31600</v>
      </c>
      <c r="W481" t="s">
        <v>43</v>
      </c>
      <c r="X481" t="s">
        <v>815</v>
      </c>
      <c r="Y481" t="s">
        <v>48</v>
      </c>
      <c r="Z481" s="10">
        <f>IF(N481&lt;=1,7,7+0.8*ROUNDUP(N481-1,0))</f>
        <v>11</v>
      </c>
      <c r="AA481" s="11">
        <v>0</v>
      </c>
      <c r="AB481" s="11">
        <v>0</v>
      </c>
      <c r="AC481" s="11">
        <v>0</v>
      </c>
      <c r="AD481" s="11">
        <v>0</v>
      </c>
      <c r="AE481" s="11">
        <f>(Z481+AB481+AD481)*6%</f>
        <v>0.65999999999999992</v>
      </c>
      <c r="AF481" s="11">
        <f>Z481+AB481+AD481+AE481</f>
        <v>11.66</v>
      </c>
      <c r="AG481" t="s">
        <v>43</v>
      </c>
    </row>
    <row r="482" spans="1:33" ht="15" customHeight="1" x14ac:dyDescent="0.35">
      <c r="A482">
        <v>690929</v>
      </c>
      <c r="B482" t="s">
        <v>33</v>
      </c>
      <c r="C482" t="s">
        <v>34</v>
      </c>
      <c r="D482" s="6" t="s">
        <v>33</v>
      </c>
      <c r="E482" t="s">
        <v>1501</v>
      </c>
      <c r="G482" t="s">
        <v>37</v>
      </c>
      <c r="H482" t="s">
        <v>1502</v>
      </c>
      <c r="I482" t="s">
        <v>39</v>
      </c>
      <c r="J482">
        <v>2</v>
      </c>
      <c r="K482" t="s">
        <v>40</v>
      </c>
      <c r="L482" t="s">
        <v>41</v>
      </c>
      <c r="M482" t="s">
        <v>42</v>
      </c>
      <c r="N482" s="7">
        <v>1</v>
      </c>
      <c r="O482" s="8">
        <v>45136.633032407408</v>
      </c>
      <c r="P482" s="9">
        <v>45138</v>
      </c>
      <c r="R482" t="s">
        <v>43</v>
      </c>
      <c r="S482" t="s">
        <v>47</v>
      </c>
      <c r="T482" t="s">
        <v>61</v>
      </c>
      <c r="U482" t="s">
        <v>1503</v>
      </c>
      <c r="V482">
        <v>84000</v>
      </c>
      <c r="W482" t="s">
        <v>43</v>
      </c>
      <c r="X482" t="s">
        <v>1504</v>
      </c>
      <c r="Y482" t="s">
        <v>48</v>
      </c>
      <c r="Z482" s="10">
        <f>IF(N482&lt;=1,7,7+0.8*ROUNDUP(N482-1,0))</f>
        <v>7</v>
      </c>
      <c r="AA482" s="11">
        <v>0</v>
      </c>
      <c r="AB482" s="11">
        <v>0</v>
      </c>
      <c r="AC482" s="11">
        <v>0</v>
      </c>
      <c r="AD482" s="11">
        <v>0</v>
      </c>
      <c r="AE482" s="11">
        <f>(Z482+AB482+AD482)*6%</f>
        <v>0.42</v>
      </c>
      <c r="AF482" s="11">
        <f>Z482+AB482+AD482+AE482</f>
        <v>7.42</v>
      </c>
      <c r="AG482" t="s">
        <v>43</v>
      </c>
    </row>
    <row r="483" spans="1:33" ht="15" customHeight="1" x14ac:dyDescent="0.35">
      <c r="A483">
        <v>690929</v>
      </c>
      <c r="B483" t="s">
        <v>33</v>
      </c>
      <c r="C483" t="s">
        <v>34</v>
      </c>
      <c r="D483" s="6" t="s">
        <v>33</v>
      </c>
      <c r="E483" t="s">
        <v>1505</v>
      </c>
      <c r="G483" t="s">
        <v>37</v>
      </c>
      <c r="H483" t="s">
        <v>1506</v>
      </c>
      <c r="I483" t="s">
        <v>39</v>
      </c>
      <c r="J483">
        <v>2</v>
      </c>
      <c r="K483" t="s">
        <v>40</v>
      </c>
      <c r="L483" t="s">
        <v>41</v>
      </c>
      <c r="M483" t="s">
        <v>42</v>
      </c>
      <c r="N483" s="7">
        <v>2</v>
      </c>
      <c r="O483" s="8">
        <v>45136.702893518515</v>
      </c>
      <c r="P483" s="9">
        <v>45138</v>
      </c>
      <c r="R483" t="s">
        <v>43</v>
      </c>
      <c r="S483" t="s">
        <v>44</v>
      </c>
      <c r="T483" t="s">
        <v>51</v>
      </c>
      <c r="U483" t="s">
        <v>1507</v>
      </c>
      <c r="V483">
        <v>34100</v>
      </c>
      <c r="W483" t="s">
        <v>43</v>
      </c>
      <c r="X483" t="s">
        <v>1087</v>
      </c>
      <c r="Y483" t="s">
        <v>48</v>
      </c>
      <c r="Z483" s="10">
        <f>IF(N483&lt;=1,7,7+0.8*ROUNDUP(N483-1,0))</f>
        <v>7.8</v>
      </c>
      <c r="AA483" s="11">
        <v>0</v>
      </c>
      <c r="AB483" s="11">
        <v>0</v>
      </c>
      <c r="AC483" s="11">
        <v>0</v>
      </c>
      <c r="AD483" s="11">
        <v>0</v>
      </c>
      <c r="AE483" s="11">
        <f>(Z483+AB483+AD483)*6%</f>
        <v>0.46799999999999997</v>
      </c>
      <c r="AF483" s="11">
        <f>Z483+AB483+AD483+AE483</f>
        <v>8.2680000000000007</v>
      </c>
      <c r="AG483" t="s">
        <v>43</v>
      </c>
    </row>
    <row r="484" spans="1:33" ht="15" customHeight="1" x14ac:dyDescent="0.35">
      <c r="A484">
        <v>690929</v>
      </c>
      <c r="B484" t="s">
        <v>33</v>
      </c>
      <c r="C484" t="s">
        <v>34</v>
      </c>
      <c r="D484" s="6" t="s">
        <v>33</v>
      </c>
      <c r="E484" t="s">
        <v>1508</v>
      </c>
      <c r="G484" t="s">
        <v>37</v>
      </c>
      <c r="H484" t="s">
        <v>1509</v>
      </c>
      <c r="I484" t="s">
        <v>39</v>
      </c>
      <c r="J484">
        <v>2</v>
      </c>
      <c r="K484" t="s">
        <v>40</v>
      </c>
      <c r="L484" t="s">
        <v>41</v>
      </c>
      <c r="M484" t="s">
        <v>42</v>
      </c>
      <c r="N484" s="7">
        <v>2</v>
      </c>
      <c r="O484" s="8">
        <v>45136.512245370373</v>
      </c>
      <c r="P484" s="9">
        <v>45138</v>
      </c>
      <c r="R484" t="s">
        <v>43</v>
      </c>
      <c r="S484" t="s">
        <v>44</v>
      </c>
      <c r="T484" t="s">
        <v>57</v>
      </c>
      <c r="U484" t="s">
        <v>1510</v>
      </c>
      <c r="V484">
        <v>47120</v>
      </c>
      <c r="W484" t="s">
        <v>43</v>
      </c>
      <c r="X484" t="s">
        <v>227</v>
      </c>
      <c r="Y484" t="s">
        <v>48</v>
      </c>
      <c r="Z484" s="10">
        <f>IF(N484&lt;=1,7,7+0.8*ROUNDUP(N484-1,0))</f>
        <v>7.8</v>
      </c>
      <c r="AA484" s="11">
        <v>0</v>
      </c>
      <c r="AB484" s="11">
        <v>0</v>
      </c>
      <c r="AC484" s="11">
        <v>0</v>
      </c>
      <c r="AD484" s="11">
        <v>0</v>
      </c>
      <c r="AE484" s="11">
        <f>(Z484+AB484+AD484)*6%</f>
        <v>0.46799999999999997</v>
      </c>
      <c r="AF484" s="11">
        <f>Z484+AB484+AD484+AE484</f>
        <v>8.2680000000000007</v>
      </c>
      <c r="AG484" t="s">
        <v>43</v>
      </c>
    </row>
    <row r="485" spans="1:33" ht="15" customHeight="1" x14ac:dyDescent="0.35">
      <c r="A485">
        <v>690929</v>
      </c>
      <c r="B485" t="s">
        <v>33</v>
      </c>
      <c r="C485" t="s">
        <v>34</v>
      </c>
      <c r="D485" s="6" t="s">
        <v>33</v>
      </c>
      <c r="E485" t="s">
        <v>1511</v>
      </c>
      <c r="G485" t="s">
        <v>37</v>
      </c>
      <c r="H485" t="s">
        <v>485</v>
      </c>
      <c r="I485" t="s">
        <v>39</v>
      </c>
      <c r="J485">
        <v>2</v>
      </c>
      <c r="K485" t="s">
        <v>40</v>
      </c>
      <c r="L485" t="s">
        <v>41</v>
      </c>
      <c r="M485" t="s">
        <v>42</v>
      </c>
      <c r="N485" s="7">
        <v>1</v>
      </c>
      <c r="O485" s="8">
        <v>45136.515902777777</v>
      </c>
      <c r="P485" s="9">
        <v>45138</v>
      </c>
      <c r="R485" t="s">
        <v>43</v>
      </c>
      <c r="S485" t="s">
        <v>44</v>
      </c>
      <c r="T485" t="s">
        <v>51</v>
      </c>
      <c r="U485" t="s">
        <v>486</v>
      </c>
      <c r="V485">
        <v>34700</v>
      </c>
      <c r="W485" t="s">
        <v>43</v>
      </c>
      <c r="X485" t="s">
        <v>47</v>
      </c>
      <c r="Y485" t="s">
        <v>48</v>
      </c>
      <c r="Z485" s="10">
        <f>IF(N485&lt;=1,7,7+0.8*ROUNDUP(N485-1,0))</f>
        <v>7</v>
      </c>
      <c r="AA485" s="11">
        <v>0</v>
      </c>
      <c r="AB485" s="11">
        <v>0</v>
      </c>
      <c r="AC485" s="11">
        <v>0</v>
      </c>
      <c r="AD485" s="11">
        <v>0</v>
      </c>
      <c r="AE485" s="11">
        <f>(Z485+AB485+AD485)*6%</f>
        <v>0.42</v>
      </c>
      <c r="AF485" s="11">
        <f>Z485+AB485+AD485+AE485</f>
        <v>7.42</v>
      </c>
      <c r="AG485" t="s">
        <v>43</v>
      </c>
    </row>
    <row r="486" spans="1:33" ht="15" customHeight="1" x14ac:dyDescent="0.35">
      <c r="A486">
        <v>690929</v>
      </c>
      <c r="B486" t="s">
        <v>33</v>
      </c>
      <c r="C486" t="s">
        <v>34</v>
      </c>
      <c r="D486" s="6" t="s">
        <v>33</v>
      </c>
      <c r="E486" t="s">
        <v>1512</v>
      </c>
      <c r="G486" t="s">
        <v>37</v>
      </c>
      <c r="H486" t="s">
        <v>994</v>
      </c>
      <c r="I486" t="s">
        <v>39</v>
      </c>
      <c r="J486">
        <v>2</v>
      </c>
      <c r="K486" t="s">
        <v>40</v>
      </c>
      <c r="L486" t="s">
        <v>41</v>
      </c>
      <c r="M486" t="s">
        <v>42</v>
      </c>
      <c r="N486" s="7">
        <v>6</v>
      </c>
      <c r="O486" s="8">
        <v>45136.512233796297</v>
      </c>
      <c r="P486" s="9">
        <v>45138</v>
      </c>
      <c r="R486" t="s">
        <v>43</v>
      </c>
      <c r="S486" t="s">
        <v>44</v>
      </c>
      <c r="T486" t="s">
        <v>70</v>
      </c>
      <c r="U486" t="s">
        <v>995</v>
      </c>
      <c r="V486">
        <v>11900</v>
      </c>
      <c r="W486" t="s">
        <v>43</v>
      </c>
      <c r="X486" t="s">
        <v>740</v>
      </c>
      <c r="Y486" t="s">
        <v>48</v>
      </c>
      <c r="Z486" s="10">
        <f>IF(N486&lt;=1,7,7+0.8*ROUNDUP(N486-1,0))</f>
        <v>11</v>
      </c>
      <c r="AA486" s="11">
        <v>0</v>
      </c>
      <c r="AB486" s="11">
        <v>0</v>
      </c>
      <c r="AC486" s="11">
        <v>0</v>
      </c>
      <c r="AD486" s="11">
        <v>0</v>
      </c>
      <c r="AE486" s="11">
        <f>(Z486+AB486+AD486)*6%</f>
        <v>0.65999999999999992</v>
      </c>
      <c r="AF486" s="11">
        <f>Z486+AB486+AD486+AE486</f>
        <v>11.66</v>
      </c>
      <c r="AG486" t="s">
        <v>43</v>
      </c>
    </row>
    <row r="487" spans="1:33" ht="15" customHeight="1" x14ac:dyDescent="0.35">
      <c r="A487">
        <v>690929</v>
      </c>
      <c r="B487" t="s">
        <v>33</v>
      </c>
      <c r="C487" t="s">
        <v>34</v>
      </c>
      <c r="D487" s="6" t="s">
        <v>33</v>
      </c>
      <c r="E487" t="s">
        <v>1513</v>
      </c>
      <c r="G487" t="s">
        <v>37</v>
      </c>
      <c r="H487" t="s">
        <v>1514</v>
      </c>
      <c r="I487" t="s">
        <v>39</v>
      </c>
      <c r="J487">
        <v>2</v>
      </c>
      <c r="K487" t="s">
        <v>40</v>
      </c>
      <c r="L487" t="s">
        <v>41</v>
      </c>
      <c r="M487" t="s">
        <v>42</v>
      </c>
      <c r="N487" s="7">
        <v>1</v>
      </c>
      <c r="O487" s="8">
        <v>45136.628796296296</v>
      </c>
      <c r="P487" s="9">
        <v>45138</v>
      </c>
      <c r="R487" t="s">
        <v>43</v>
      </c>
      <c r="S487" t="s">
        <v>47</v>
      </c>
      <c r="T487" t="s">
        <v>75</v>
      </c>
      <c r="U487" t="s">
        <v>1515</v>
      </c>
      <c r="V487">
        <v>59200</v>
      </c>
      <c r="W487" t="s">
        <v>43</v>
      </c>
      <c r="X487" t="s">
        <v>1516</v>
      </c>
      <c r="Y487" t="s">
        <v>48</v>
      </c>
      <c r="Z487" s="10">
        <f>IF(N487&lt;=1,7,7+0.8*ROUNDUP(N487-1,0))</f>
        <v>7</v>
      </c>
      <c r="AA487" s="11">
        <v>0</v>
      </c>
      <c r="AB487" s="11">
        <v>0</v>
      </c>
      <c r="AC487" s="11">
        <v>0</v>
      </c>
      <c r="AD487" s="11">
        <v>0</v>
      </c>
      <c r="AE487" s="11">
        <f>(Z487+AB487+AD487)*6%</f>
        <v>0.42</v>
      </c>
      <c r="AF487" s="11">
        <f>Z487+AB487+AD487+AE487</f>
        <v>7.42</v>
      </c>
      <c r="AG487" t="s">
        <v>43</v>
      </c>
    </row>
    <row r="488" spans="1:33" ht="15" customHeight="1" x14ac:dyDescent="0.35">
      <c r="A488">
        <v>690929</v>
      </c>
      <c r="B488" t="s">
        <v>33</v>
      </c>
      <c r="C488" t="s">
        <v>34</v>
      </c>
      <c r="D488" s="6" t="s">
        <v>33</v>
      </c>
      <c r="E488" t="s">
        <v>1517</v>
      </c>
      <c r="G488" t="s">
        <v>37</v>
      </c>
      <c r="H488" t="s">
        <v>50</v>
      </c>
      <c r="I488" t="s">
        <v>39</v>
      </c>
      <c r="J488">
        <v>2</v>
      </c>
      <c r="K488" t="s">
        <v>40</v>
      </c>
      <c r="L488" t="s">
        <v>41</v>
      </c>
      <c r="M488" t="s">
        <v>42</v>
      </c>
      <c r="N488" s="7">
        <v>2</v>
      </c>
      <c r="O488" s="8">
        <v>45136.72078703704</v>
      </c>
      <c r="P488" s="9">
        <v>45138</v>
      </c>
      <c r="R488" t="s">
        <v>43</v>
      </c>
      <c r="S488" t="s">
        <v>44</v>
      </c>
      <c r="T488" t="s">
        <v>51</v>
      </c>
      <c r="U488" t="s">
        <v>52</v>
      </c>
      <c r="V488">
        <v>31350</v>
      </c>
      <c r="W488" t="s">
        <v>43</v>
      </c>
      <c r="X488" t="s">
        <v>53</v>
      </c>
      <c r="Y488" t="s">
        <v>48</v>
      </c>
      <c r="Z488" s="10">
        <f>IF(N488&lt;=1,7,7+0.8*ROUNDUP(N488-1,0))</f>
        <v>7.8</v>
      </c>
      <c r="AA488" s="11">
        <v>0</v>
      </c>
      <c r="AB488" s="11">
        <v>0</v>
      </c>
      <c r="AC488" s="11">
        <v>0</v>
      </c>
      <c r="AD488" s="11">
        <v>0</v>
      </c>
      <c r="AE488" s="11">
        <f>(Z488+AB488+AD488)*6%</f>
        <v>0.46799999999999997</v>
      </c>
      <c r="AF488" s="11">
        <f>Z488+AB488+AD488+AE488</f>
        <v>8.2680000000000007</v>
      </c>
      <c r="AG488" t="s">
        <v>43</v>
      </c>
    </row>
    <row r="489" spans="1:33" ht="15" customHeight="1" x14ac:dyDescent="0.35">
      <c r="A489">
        <v>690929</v>
      </c>
      <c r="B489" t="s">
        <v>33</v>
      </c>
      <c r="C489" t="s">
        <v>34</v>
      </c>
      <c r="D489" s="6" t="s">
        <v>33</v>
      </c>
      <c r="E489" t="s">
        <v>1518</v>
      </c>
      <c r="G489" t="s">
        <v>37</v>
      </c>
      <c r="H489" t="s">
        <v>1519</v>
      </c>
      <c r="I489" t="s">
        <v>39</v>
      </c>
      <c r="J489">
        <v>2</v>
      </c>
      <c r="K489" t="s">
        <v>40</v>
      </c>
      <c r="L489" t="s">
        <v>41</v>
      </c>
      <c r="M489" t="s">
        <v>42</v>
      </c>
      <c r="N489" s="7">
        <v>4</v>
      </c>
      <c r="O489" s="8">
        <v>45135.477800925924</v>
      </c>
      <c r="P489" s="9">
        <v>45138</v>
      </c>
      <c r="R489" t="s">
        <v>43</v>
      </c>
      <c r="S489" t="s">
        <v>56</v>
      </c>
      <c r="T489" t="s">
        <v>61</v>
      </c>
      <c r="U489" t="s">
        <v>1520</v>
      </c>
      <c r="V489">
        <v>81100</v>
      </c>
      <c r="W489" t="s">
        <v>43</v>
      </c>
      <c r="X489" t="s">
        <v>1079</v>
      </c>
      <c r="Y489" t="s">
        <v>48</v>
      </c>
      <c r="Z489" s="10">
        <f>IF(N489&lt;=1,7,7+0.8*ROUNDUP(N489-1,0))</f>
        <v>9.4</v>
      </c>
      <c r="AA489" s="11">
        <v>0</v>
      </c>
      <c r="AB489" s="11">
        <v>0</v>
      </c>
      <c r="AC489" s="11">
        <v>0</v>
      </c>
      <c r="AD489" s="11">
        <v>0</v>
      </c>
      <c r="AE489" s="11">
        <f>(Z489+AB489+AD489)*6%</f>
        <v>0.56399999999999995</v>
      </c>
      <c r="AF489" s="11">
        <f>Z489+AB489+AD489+AE489</f>
        <v>9.9640000000000004</v>
      </c>
      <c r="AG489" t="s">
        <v>43</v>
      </c>
    </row>
    <row r="490" spans="1:33" ht="15" customHeight="1" x14ac:dyDescent="0.35">
      <c r="A490">
        <v>690929</v>
      </c>
      <c r="B490" t="s">
        <v>33</v>
      </c>
      <c r="C490" t="s">
        <v>34</v>
      </c>
      <c r="D490" s="6" t="s">
        <v>33</v>
      </c>
      <c r="E490" t="s">
        <v>1521</v>
      </c>
      <c r="G490" t="s">
        <v>37</v>
      </c>
      <c r="H490" t="s">
        <v>1522</v>
      </c>
      <c r="I490" t="s">
        <v>39</v>
      </c>
      <c r="J490">
        <v>2</v>
      </c>
      <c r="K490" t="s">
        <v>40</v>
      </c>
      <c r="L490" t="s">
        <v>41</v>
      </c>
      <c r="M490" t="s">
        <v>42</v>
      </c>
      <c r="N490" s="7">
        <v>1</v>
      </c>
      <c r="O490" s="8">
        <v>45136.709652777776</v>
      </c>
      <c r="P490" s="9">
        <v>45138</v>
      </c>
      <c r="R490" t="s">
        <v>43</v>
      </c>
      <c r="S490" t="s">
        <v>47</v>
      </c>
      <c r="T490" t="s">
        <v>57</v>
      </c>
      <c r="U490" t="s">
        <v>1523</v>
      </c>
      <c r="V490">
        <v>42700</v>
      </c>
      <c r="W490" t="s">
        <v>43</v>
      </c>
      <c r="X490" t="s">
        <v>47</v>
      </c>
      <c r="Y490" t="s">
        <v>48</v>
      </c>
      <c r="Z490" s="10">
        <f>IF(N490&lt;=1,7,7+0.8*ROUNDUP(N490-1,0))</f>
        <v>7</v>
      </c>
      <c r="AA490" s="11">
        <v>0</v>
      </c>
      <c r="AB490" s="11">
        <v>0</v>
      </c>
      <c r="AC490" s="11">
        <v>0</v>
      </c>
      <c r="AD490" s="11">
        <v>0</v>
      </c>
      <c r="AE490" s="11">
        <f>(Z490+AB490+AD490)*6%</f>
        <v>0.42</v>
      </c>
      <c r="AF490" s="11">
        <f>Z490+AB490+AD490+AE490</f>
        <v>7.42</v>
      </c>
      <c r="AG490" t="s">
        <v>43</v>
      </c>
    </row>
    <row r="491" spans="1:33" ht="15" customHeight="1" x14ac:dyDescent="0.35">
      <c r="A491">
        <v>690929</v>
      </c>
      <c r="B491" t="s">
        <v>33</v>
      </c>
      <c r="C491" t="s">
        <v>34</v>
      </c>
      <c r="D491" s="6" t="s">
        <v>33</v>
      </c>
      <c r="E491" t="s">
        <v>1524</v>
      </c>
      <c r="G491" t="s">
        <v>37</v>
      </c>
      <c r="H491" t="s">
        <v>1525</v>
      </c>
      <c r="I491" t="s">
        <v>39</v>
      </c>
      <c r="J491">
        <v>2</v>
      </c>
      <c r="K491" t="s">
        <v>40</v>
      </c>
      <c r="L491" t="s">
        <v>41</v>
      </c>
      <c r="M491" t="s">
        <v>42</v>
      </c>
      <c r="N491" s="7">
        <v>1</v>
      </c>
      <c r="O491" s="8">
        <v>45134.717372685183</v>
      </c>
      <c r="P491" s="9">
        <v>45138</v>
      </c>
      <c r="R491" t="s">
        <v>43</v>
      </c>
      <c r="S491" t="s">
        <v>56</v>
      </c>
      <c r="T491" t="s">
        <v>109</v>
      </c>
      <c r="U491" t="s">
        <v>1526</v>
      </c>
      <c r="V491">
        <v>16150</v>
      </c>
      <c r="W491" t="s">
        <v>43</v>
      </c>
      <c r="X491" t="s">
        <v>56</v>
      </c>
      <c r="Y491" t="s">
        <v>48</v>
      </c>
      <c r="Z491" s="10">
        <f>IF(N491&lt;=1,7,7+0.8*ROUNDUP(N491-1,0))</f>
        <v>7</v>
      </c>
      <c r="AA491" s="11">
        <v>0</v>
      </c>
      <c r="AB491" s="11">
        <v>0</v>
      </c>
      <c r="AC491" s="11">
        <v>0</v>
      </c>
      <c r="AD491" s="11">
        <v>0</v>
      </c>
      <c r="AE491" s="11">
        <f>(Z491+AB491+AD491)*6%</f>
        <v>0.42</v>
      </c>
      <c r="AF491" s="11">
        <f>Z491+AB491+AD491+AE491</f>
        <v>7.42</v>
      </c>
      <c r="AG491" t="s">
        <v>43</v>
      </c>
    </row>
    <row r="492" spans="1:33" ht="15" customHeight="1" x14ac:dyDescent="0.35">
      <c r="A492">
        <v>690929</v>
      </c>
      <c r="B492" t="s">
        <v>33</v>
      </c>
      <c r="C492" t="s">
        <v>34</v>
      </c>
      <c r="D492" s="6" t="s">
        <v>33</v>
      </c>
      <c r="E492" t="s">
        <v>1527</v>
      </c>
      <c r="G492" t="s">
        <v>37</v>
      </c>
      <c r="H492" t="s">
        <v>1528</v>
      </c>
      <c r="I492" t="s">
        <v>39</v>
      </c>
      <c r="J492">
        <v>2</v>
      </c>
      <c r="K492" t="s">
        <v>40</v>
      </c>
      <c r="L492" t="s">
        <v>41</v>
      </c>
      <c r="M492" t="s">
        <v>42</v>
      </c>
      <c r="N492" s="7">
        <v>1</v>
      </c>
      <c r="O492" s="8">
        <v>45136.736886574072</v>
      </c>
      <c r="P492" s="9">
        <v>45138</v>
      </c>
      <c r="R492" t="s">
        <v>43</v>
      </c>
      <c r="S492" t="s">
        <v>47</v>
      </c>
      <c r="T492" t="s">
        <v>61</v>
      </c>
      <c r="U492" t="s">
        <v>1529</v>
      </c>
      <c r="V492">
        <v>81400</v>
      </c>
      <c r="W492" t="s">
        <v>43</v>
      </c>
      <c r="X492" t="s">
        <v>300</v>
      </c>
      <c r="Y492" t="s">
        <v>48</v>
      </c>
      <c r="Z492" s="10">
        <f>IF(N492&lt;=1,7,7+0.8*ROUNDUP(N492-1,0))</f>
        <v>7</v>
      </c>
      <c r="AA492" s="11">
        <v>0</v>
      </c>
      <c r="AB492" s="11">
        <v>0</v>
      </c>
      <c r="AC492" s="11">
        <v>0</v>
      </c>
      <c r="AD492" s="11">
        <v>0</v>
      </c>
      <c r="AE492" s="11">
        <f>(Z492+AB492+AD492)*6%</f>
        <v>0.42</v>
      </c>
      <c r="AF492" s="11">
        <f>Z492+AB492+AD492+AE492</f>
        <v>7.42</v>
      </c>
      <c r="AG492" t="s">
        <v>43</v>
      </c>
    </row>
    <row r="493" spans="1:33" ht="15" customHeight="1" x14ac:dyDescent="0.35">
      <c r="A493">
        <v>690929</v>
      </c>
      <c r="B493" t="s">
        <v>33</v>
      </c>
      <c r="C493" t="s">
        <v>34</v>
      </c>
      <c r="D493" s="6" t="s">
        <v>33</v>
      </c>
      <c r="E493" t="s">
        <v>1530</v>
      </c>
      <c r="G493" t="s">
        <v>37</v>
      </c>
      <c r="H493" t="s">
        <v>1531</v>
      </c>
      <c r="I493" t="s">
        <v>39</v>
      </c>
      <c r="J493">
        <v>2</v>
      </c>
      <c r="K493" t="s">
        <v>40</v>
      </c>
      <c r="L493" t="s">
        <v>41</v>
      </c>
      <c r="M493" t="s">
        <v>42</v>
      </c>
      <c r="N493" s="7">
        <v>1</v>
      </c>
      <c r="O493" s="8">
        <v>45134.717361111114</v>
      </c>
      <c r="P493" s="9">
        <v>45138</v>
      </c>
      <c r="R493" t="s">
        <v>43</v>
      </c>
      <c r="S493" t="s">
        <v>56</v>
      </c>
      <c r="T493" t="s">
        <v>403</v>
      </c>
      <c r="U493" t="s">
        <v>1532</v>
      </c>
      <c r="V493">
        <v>94300</v>
      </c>
      <c r="W493" t="s">
        <v>172</v>
      </c>
      <c r="X493" t="s">
        <v>47</v>
      </c>
      <c r="Y493" t="s">
        <v>48</v>
      </c>
      <c r="Z493" s="12">
        <f>IF(N493&lt;=1,13,IF(N493&lt;=2,23,IF(N493&lt;=3,35,IF(N493&lt;=4,43,IF(N493&lt;=5,53,IF(N493&lt;=6,63,IF(N493&lt;=7,71,IF(N493&lt;=8,79,IF(N493&lt;=9,87,IF(N493&lt;=10,95,IF(N493&lt;=11,105,IF(N493&lt;=12,114,IF(N493&lt;=13,119,IF(N493&lt;=14,127,IF(N493&lt;=15,135,IF(N493&lt;=16,143,IF(N493&lt;=17,153,IF(N493&lt;=18,163,IF(N493&lt;=19,171,IF(N493&lt;=20,185,IF(N493&lt;=21,193,IF(N493&lt;=22,201,IF(N493&lt;=23,210,IF(N493&lt;=24,220,IF(N493&lt;=25,230,IF(N493&lt;=26,240,IF(N493&lt;=27,250,IF(N493&lt;=28,260,IF(N493&lt;=29,270,IF(N493&lt;=30,280,280+10*ROUNDUP(N493-30,0)))))))))))))))))))))))))))))))</f>
        <v>13</v>
      </c>
      <c r="AA493" s="11">
        <v>0</v>
      </c>
      <c r="AB493" s="11">
        <v>0</v>
      </c>
      <c r="AC493" s="11">
        <v>0</v>
      </c>
      <c r="AD493" s="11">
        <v>0</v>
      </c>
      <c r="AE493" s="11">
        <f>(Z493+AB493+AD493)*6%</f>
        <v>0.78</v>
      </c>
      <c r="AF493" s="11">
        <f>Z493+AB493+AD493+AE493</f>
        <v>13.78</v>
      </c>
      <c r="AG493" t="s">
        <v>172</v>
      </c>
    </row>
    <row r="494" spans="1:33" ht="15" customHeight="1" x14ac:dyDescent="0.35">
      <c r="A494">
        <v>690929</v>
      </c>
      <c r="B494" t="s">
        <v>33</v>
      </c>
      <c r="C494" t="s">
        <v>34</v>
      </c>
      <c r="D494" s="6" t="s">
        <v>33</v>
      </c>
      <c r="E494" t="s">
        <v>1533</v>
      </c>
      <c r="G494" t="s">
        <v>37</v>
      </c>
      <c r="H494" t="s">
        <v>1534</v>
      </c>
      <c r="I494" t="s">
        <v>39</v>
      </c>
      <c r="J494">
        <v>2</v>
      </c>
      <c r="K494" t="s">
        <v>40</v>
      </c>
      <c r="L494" t="s">
        <v>41</v>
      </c>
      <c r="M494" t="s">
        <v>42</v>
      </c>
      <c r="N494" s="7">
        <v>3</v>
      </c>
      <c r="O494" s="8">
        <v>45137.658391203702</v>
      </c>
      <c r="P494" s="9">
        <v>45138</v>
      </c>
      <c r="R494" t="s">
        <v>43</v>
      </c>
      <c r="S494" t="s">
        <v>44</v>
      </c>
      <c r="T494" t="s">
        <v>109</v>
      </c>
      <c r="U494" t="s">
        <v>1535</v>
      </c>
      <c r="V494">
        <v>17700</v>
      </c>
      <c r="W494" t="s">
        <v>43</v>
      </c>
      <c r="X494" t="s">
        <v>630</v>
      </c>
      <c r="Y494" t="s">
        <v>48</v>
      </c>
      <c r="Z494" s="10">
        <f>IF(N494&lt;=1,7,7+0.8*ROUNDUP(N494-1,0))</f>
        <v>8.6</v>
      </c>
      <c r="AA494" s="11">
        <v>0</v>
      </c>
      <c r="AB494" s="11">
        <v>0</v>
      </c>
      <c r="AC494" s="11">
        <v>0</v>
      </c>
      <c r="AD494" s="11">
        <v>0</v>
      </c>
      <c r="AE494" s="11">
        <f>(Z494+AB494+AD494)*6%</f>
        <v>0.51600000000000001</v>
      </c>
      <c r="AF494" s="11">
        <f>Z494+AB494+AD494+AE494</f>
        <v>9.1159999999999997</v>
      </c>
      <c r="AG494" t="s">
        <v>43</v>
      </c>
    </row>
    <row r="495" spans="1:33" ht="15" customHeight="1" x14ac:dyDescent="0.35">
      <c r="A495">
        <v>690929</v>
      </c>
      <c r="B495" t="s">
        <v>33</v>
      </c>
      <c r="C495" t="s">
        <v>34</v>
      </c>
      <c r="D495" s="6" t="s">
        <v>33</v>
      </c>
      <c r="E495" t="s">
        <v>1536</v>
      </c>
      <c r="G495" t="s">
        <v>37</v>
      </c>
      <c r="H495" t="s">
        <v>74</v>
      </c>
      <c r="I495" t="s">
        <v>39</v>
      </c>
      <c r="J495">
        <v>2</v>
      </c>
      <c r="K495" t="s">
        <v>40</v>
      </c>
      <c r="L495" t="s">
        <v>41</v>
      </c>
      <c r="M495" t="s">
        <v>42</v>
      </c>
      <c r="N495" s="7">
        <v>9</v>
      </c>
      <c r="O495" s="8">
        <v>45136.512245370373</v>
      </c>
      <c r="P495" s="9">
        <v>45138</v>
      </c>
      <c r="R495" t="s">
        <v>43</v>
      </c>
      <c r="S495" t="s">
        <v>44</v>
      </c>
      <c r="T495" t="s">
        <v>75</v>
      </c>
      <c r="U495" t="s">
        <v>76</v>
      </c>
      <c r="V495">
        <v>50400</v>
      </c>
      <c r="W495" t="s">
        <v>43</v>
      </c>
      <c r="X495" t="s">
        <v>77</v>
      </c>
      <c r="Y495" t="s">
        <v>48</v>
      </c>
      <c r="Z495" s="10">
        <f>IF(N495&lt;=1,7,7+0.8*ROUNDUP(N495-1,0))</f>
        <v>13.4</v>
      </c>
      <c r="AA495" s="11">
        <v>0</v>
      </c>
      <c r="AB495" s="11">
        <v>0</v>
      </c>
      <c r="AC495" s="11">
        <v>0</v>
      </c>
      <c r="AD495" s="11">
        <v>0</v>
      </c>
      <c r="AE495" s="11">
        <f>(Z495+AB495+AD495)*6%</f>
        <v>0.80399999999999994</v>
      </c>
      <c r="AF495" s="11">
        <f>Z495+AB495+AD495+AE495</f>
        <v>14.204000000000001</v>
      </c>
      <c r="AG495" t="s">
        <v>43</v>
      </c>
    </row>
    <row r="496" spans="1:33" ht="15" customHeight="1" x14ac:dyDescent="0.35">
      <c r="A496">
        <v>690929</v>
      </c>
      <c r="B496" t="s">
        <v>33</v>
      </c>
      <c r="C496" t="s">
        <v>34</v>
      </c>
      <c r="D496" s="6" t="s">
        <v>33</v>
      </c>
      <c r="E496" t="s">
        <v>1537</v>
      </c>
      <c r="G496" t="s">
        <v>37</v>
      </c>
      <c r="H496" t="s">
        <v>1538</v>
      </c>
      <c r="I496" t="s">
        <v>39</v>
      </c>
      <c r="J496">
        <v>2</v>
      </c>
      <c r="K496" t="s">
        <v>40</v>
      </c>
      <c r="L496" t="s">
        <v>41</v>
      </c>
      <c r="M496" t="s">
        <v>42</v>
      </c>
      <c r="N496" s="7">
        <v>1</v>
      </c>
      <c r="O496" s="8">
        <v>45137.569571759261</v>
      </c>
      <c r="P496" s="9">
        <v>45138</v>
      </c>
      <c r="R496" t="s">
        <v>43</v>
      </c>
      <c r="S496" t="s">
        <v>44</v>
      </c>
      <c r="T496" t="s">
        <v>109</v>
      </c>
      <c r="U496" t="s">
        <v>1539</v>
      </c>
      <c r="V496">
        <v>16100</v>
      </c>
      <c r="W496" t="s">
        <v>43</v>
      </c>
      <c r="X496" t="s">
        <v>44</v>
      </c>
      <c r="Y496" t="s">
        <v>48</v>
      </c>
      <c r="Z496" s="10">
        <f>IF(N496&lt;=1,7,7+0.8*ROUNDUP(N496-1,0))</f>
        <v>7</v>
      </c>
      <c r="AA496" s="11">
        <v>0</v>
      </c>
      <c r="AB496" s="11">
        <v>0</v>
      </c>
      <c r="AC496" s="11">
        <v>0</v>
      </c>
      <c r="AD496" s="11">
        <v>0</v>
      </c>
      <c r="AE496" s="11">
        <f>(Z496+AB496+AD496)*6%</f>
        <v>0.42</v>
      </c>
      <c r="AF496" s="11">
        <f>Z496+AB496+AD496+AE496</f>
        <v>7.42</v>
      </c>
      <c r="AG496" t="s">
        <v>43</v>
      </c>
    </row>
    <row r="497" spans="1:33" ht="15" customHeight="1" x14ac:dyDescent="0.35">
      <c r="A497">
        <v>690929</v>
      </c>
      <c r="B497" t="s">
        <v>33</v>
      </c>
      <c r="C497" t="s">
        <v>34</v>
      </c>
      <c r="D497" s="6" t="s">
        <v>33</v>
      </c>
      <c r="E497" t="s">
        <v>1540</v>
      </c>
      <c r="G497" t="s">
        <v>37</v>
      </c>
      <c r="H497" t="s">
        <v>1541</v>
      </c>
      <c r="I497" t="s">
        <v>39</v>
      </c>
      <c r="J497">
        <v>2</v>
      </c>
      <c r="K497" t="s">
        <v>40</v>
      </c>
      <c r="L497" t="s">
        <v>41</v>
      </c>
      <c r="M497" t="s">
        <v>42</v>
      </c>
      <c r="N497" s="7">
        <v>2</v>
      </c>
      <c r="O497" s="8">
        <v>45136.512245370373</v>
      </c>
      <c r="P497" s="9">
        <v>45138</v>
      </c>
      <c r="R497" t="s">
        <v>43</v>
      </c>
      <c r="S497" t="s">
        <v>44</v>
      </c>
      <c r="T497" t="s">
        <v>57</v>
      </c>
      <c r="U497" t="s">
        <v>1542</v>
      </c>
      <c r="V497">
        <v>43800</v>
      </c>
      <c r="W497" t="s">
        <v>43</v>
      </c>
      <c r="X497" t="s">
        <v>1104</v>
      </c>
      <c r="Y497" t="s">
        <v>48</v>
      </c>
      <c r="Z497" s="10">
        <f>IF(N497&lt;=1,7,7+0.8*ROUNDUP(N497-1,0))</f>
        <v>7.8</v>
      </c>
      <c r="AA497" s="11">
        <v>0</v>
      </c>
      <c r="AB497" s="11">
        <v>0</v>
      </c>
      <c r="AC497" s="11">
        <v>0</v>
      </c>
      <c r="AD497" s="11">
        <v>0</v>
      </c>
      <c r="AE497" s="11">
        <f>(Z497+AB497+AD497)*6%</f>
        <v>0.46799999999999997</v>
      </c>
      <c r="AF497" s="11">
        <f>Z497+AB497+AD497+AE497</f>
        <v>8.2680000000000007</v>
      </c>
      <c r="AG497" t="s">
        <v>43</v>
      </c>
    </row>
    <row r="498" spans="1:33" ht="15" customHeight="1" x14ac:dyDescent="0.35">
      <c r="A498">
        <v>690929</v>
      </c>
      <c r="B498" t="s">
        <v>33</v>
      </c>
      <c r="C498" t="s">
        <v>34</v>
      </c>
      <c r="D498" s="6" t="s">
        <v>33</v>
      </c>
      <c r="E498" t="s">
        <v>1543</v>
      </c>
      <c r="G498" t="s">
        <v>37</v>
      </c>
      <c r="H498" t="s">
        <v>1544</v>
      </c>
      <c r="I498" t="s">
        <v>39</v>
      </c>
      <c r="J498">
        <v>2</v>
      </c>
      <c r="K498" t="s">
        <v>40</v>
      </c>
      <c r="L498" t="s">
        <v>41</v>
      </c>
      <c r="M498" t="s">
        <v>42</v>
      </c>
      <c r="N498" s="7">
        <v>1</v>
      </c>
      <c r="O498" s="8">
        <v>45136.512245370373</v>
      </c>
      <c r="P498" s="9">
        <v>45138</v>
      </c>
      <c r="R498" t="s">
        <v>43</v>
      </c>
      <c r="S498" t="s">
        <v>44</v>
      </c>
      <c r="T498" t="s">
        <v>51</v>
      </c>
      <c r="U498" t="s">
        <v>1545</v>
      </c>
      <c r="V498">
        <v>34500</v>
      </c>
      <c r="W498" t="s">
        <v>43</v>
      </c>
      <c r="X498" t="s">
        <v>277</v>
      </c>
      <c r="Y498" t="s">
        <v>48</v>
      </c>
      <c r="Z498" s="10">
        <f>IF(N498&lt;=1,7,7+0.8*ROUNDUP(N498-1,0))</f>
        <v>7</v>
      </c>
      <c r="AA498" s="11">
        <v>0</v>
      </c>
      <c r="AB498" s="11">
        <v>0</v>
      </c>
      <c r="AC498" s="11">
        <v>0</v>
      </c>
      <c r="AD498" s="11">
        <v>0</v>
      </c>
      <c r="AE498" s="11">
        <f>(Z498+AB498+AD498)*6%</f>
        <v>0.42</v>
      </c>
      <c r="AF498" s="11">
        <f>Z498+AB498+AD498+AE498</f>
        <v>7.42</v>
      </c>
      <c r="AG498" t="s">
        <v>43</v>
      </c>
    </row>
    <row r="499" spans="1:33" ht="15" customHeight="1" x14ac:dyDescent="0.35">
      <c r="A499">
        <v>690929</v>
      </c>
      <c r="B499" t="s">
        <v>33</v>
      </c>
      <c r="C499" t="s">
        <v>34</v>
      </c>
      <c r="D499" s="6" t="s">
        <v>33</v>
      </c>
      <c r="E499" t="s">
        <v>1546</v>
      </c>
      <c r="G499" t="s">
        <v>37</v>
      </c>
      <c r="H499" t="s">
        <v>1547</v>
      </c>
      <c r="I499" t="s">
        <v>39</v>
      </c>
      <c r="J499">
        <v>2</v>
      </c>
      <c r="K499" t="s">
        <v>40</v>
      </c>
      <c r="L499" t="s">
        <v>41</v>
      </c>
      <c r="M499" t="s">
        <v>42</v>
      </c>
      <c r="N499" s="7">
        <v>1</v>
      </c>
      <c r="O499" s="8">
        <v>45134.731585648151</v>
      </c>
      <c r="P499" s="9">
        <v>45138</v>
      </c>
      <c r="R499" t="s">
        <v>43</v>
      </c>
      <c r="S499" t="s">
        <v>56</v>
      </c>
      <c r="T499" t="s">
        <v>57</v>
      </c>
      <c r="U499" t="s">
        <v>1548</v>
      </c>
      <c r="V499">
        <v>53100</v>
      </c>
      <c r="W499" t="s">
        <v>43</v>
      </c>
      <c r="X499" t="s">
        <v>47</v>
      </c>
      <c r="Y499" t="s">
        <v>48</v>
      </c>
      <c r="Z499" s="10">
        <f>IF(N499&lt;=1,7,7+0.8*ROUNDUP(N499-1,0))</f>
        <v>7</v>
      </c>
      <c r="AA499" s="11">
        <v>0</v>
      </c>
      <c r="AB499" s="11">
        <v>0</v>
      </c>
      <c r="AC499" s="11">
        <v>0</v>
      </c>
      <c r="AD499" s="11">
        <v>0</v>
      </c>
      <c r="AE499" s="11">
        <f>(Z499+AB499+AD499)*6%</f>
        <v>0.42</v>
      </c>
      <c r="AF499" s="11">
        <f>Z499+AB499+AD499+AE499</f>
        <v>7.42</v>
      </c>
      <c r="AG499" t="s">
        <v>43</v>
      </c>
    </row>
    <row r="500" spans="1:33" ht="15" customHeight="1" x14ac:dyDescent="0.35">
      <c r="A500">
        <v>690929</v>
      </c>
      <c r="B500" t="s">
        <v>33</v>
      </c>
      <c r="C500" t="s">
        <v>34</v>
      </c>
      <c r="D500" s="6" t="s">
        <v>33</v>
      </c>
      <c r="E500" t="s">
        <v>1549</v>
      </c>
      <c r="G500" t="s">
        <v>37</v>
      </c>
      <c r="H500" t="s">
        <v>1550</v>
      </c>
      <c r="I500" t="s">
        <v>39</v>
      </c>
      <c r="J500">
        <v>2</v>
      </c>
      <c r="K500" t="s">
        <v>40</v>
      </c>
      <c r="L500" t="s">
        <v>41</v>
      </c>
      <c r="M500" t="s">
        <v>42</v>
      </c>
      <c r="N500" s="7">
        <v>1</v>
      </c>
      <c r="O500" s="8">
        <v>45137.729259259257</v>
      </c>
      <c r="P500" s="9">
        <v>45138</v>
      </c>
      <c r="R500" t="s">
        <v>43</v>
      </c>
      <c r="S500" t="s">
        <v>44</v>
      </c>
      <c r="T500" t="s">
        <v>57</v>
      </c>
      <c r="U500" t="s">
        <v>1551</v>
      </c>
      <c r="V500">
        <v>40470</v>
      </c>
      <c r="W500" t="s">
        <v>43</v>
      </c>
      <c r="X500" t="s">
        <v>128</v>
      </c>
      <c r="Y500" t="s">
        <v>48</v>
      </c>
      <c r="Z500" s="10">
        <f>IF(N500&lt;=1,7,7+0.8*ROUNDUP(N500-1,0))</f>
        <v>7</v>
      </c>
      <c r="AA500" s="11">
        <v>0</v>
      </c>
      <c r="AB500" s="11">
        <v>0</v>
      </c>
      <c r="AC500" s="11">
        <v>0</v>
      </c>
      <c r="AD500" s="11">
        <v>0</v>
      </c>
      <c r="AE500" s="11">
        <f>(Z500+AB500+AD500)*6%</f>
        <v>0.42</v>
      </c>
      <c r="AF500" s="11">
        <f>Z500+AB500+AD500+AE500</f>
        <v>7.42</v>
      </c>
      <c r="AG500" t="s">
        <v>43</v>
      </c>
    </row>
    <row r="501" spans="1:33" ht="15" customHeight="1" x14ac:dyDescent="0.35">
      <c r="A501">
        <v>690929</v>
      </c>
      <c r="B501" t="s">
        <v>33</v>
      </c>
      <c r="C501" t="s">
        <v>34</v>
      </c>
      <c r="D501" s="6" t="s">
        <v>33</v>
      </c>
      <c r="E501" t="s">
        <v>1552</v>
      </c>
      <c r="G501" t="s">
        <v>37</v>
      </c>
      <c r="H501" t="s">
        <v>1553</v>
      </c>
      <c r="I501" t="s">
        <v>39</v>
      </c>
      <c r="J501">
        <v>2</v>
      </c>
      <c r="K501" t="s">
        <v>40</v>
      </c>
      <c r="L501" t="s">
        <v>41</v>
      </c>
      <c r="M501" t="s">
        <v>42</v>
      </c>
      <c r="N501" s="7">
        <v>2</v>
      </c>
      <c r="O501" s="8">
        <v>45136.512245370373</v>
      </c>
      <c r="P501" s="9">
        <v>45138</v>
      </c>
      <c r="R501" t="s">
        <v>43</v>
      </c>
      <c r="S501" t="s">
        <v>47</v>
      </c>
      <c r="T501" t="s">
        <v>57</v>
      </c>
      <c r="U501" t="s">
        <v>1554</v>
      </c>
      <c r="V501">
        <v>47810</v>
      </c>
      <c r="W501" t="s">
        <v>43</v>
      </c>
      <c r="X501" t="s">
        <v>434</v>
      </c>
      <c r="Y501" t="s">
        <v>48</v>
      </c>
      <c r="Z501" s="10">
        <f>IF(N501&lt;=1,7,7+0.8*ROUNDUP(N501-1,0))</f>
        <v>7.8</v>
      </c>
      <c r="AA501" s="11">
        <v>0</v>
      </c>
      <c r="AB501" s="11">
        <v>0</v>
      </c>
      <c r="AC501" s="11">
        <v>0</v>
      </c>
      <c r="AD501" s="11">
        <v>0</v>
      </c>
      <c r="AE501" s="11">
        <f>(Z501+AB501+AD501)*6%</f>
        <v>0.46799999999999997</v>
      </c>
      <c r="AF501" s="11">
        <f>Z501+AB501+AD501+AE501</f>
        <v>8.2680000000000007</v>
      </c>
      <c r="AG501" t="s">
        <v>43</v>
      </c>
    </row>
    <row r="502" spans="1:33" ht="15" customHeight="1" x14ac:dyDescent="0.35">
      <c r="A502">
        <v>690929</v>
      </c>
      <c r="B502" t="s">
        <v>33</v>
      </c>
      <c r="C502" t="s">
        <v>34</v>
      </c>
      <c r="D502" s="6" t="s">
        <v>33</v>
      </c>
      <c r="E502" t="s">
        <v>1555</v>
      </c>
      <c r="G502" t="s">
        <v>37</v>
      </c>
      <c r="H502" t="s">
        <v>1556</v>
      </c>
      <c r="I502" t="s">
        <v>39</v>
      </c>
      <c r="J502">
        <v>2</v>
      </c>
      <c r="K502" t="s">
        <v>40</v>
      </c>
      <c r="L502" t="s">
        <v>41</v>
      </c>
      <c r="M502" t="s">
        <v>42</v>
      </c>
      <c r="N502" s="7">
        <v>3</v>
      </c>
      <c r="O502" s="8">
        <v>45136.720856481479</v>
      </c>
      <c r="P502" s="9">
        <v>45138</v>
      </c>
      <c r="R502" t="s">
        <v>43</v>
      </c>
      <c r="S502" t="s">
        <v>44</v>
      </c>
      <c r="T502" t="s">
        <v>80</v>
      </c>
      <c r="U502" t="s">
        <v>1557</v>
      </c>
      <c r="V502">
        <v>9100</v>
      </c>
      <c r="W502" t="s">
        <v>43</v>
      </c>
      <c r="X502" t="s">
        <v>483</v>
      </c>
      <c r="Y502" t="s">
        <v>48</v>
      </c>
      <c r="Z502" s="10">
        <f>IF(N502&lt;=1,7,7+0.8*ROUNDUP(N502-1,0))</f>
        <v>8.6</v>
      </c>
      <c r="AA502" s="11">
        <v>0</v>
      </c>
      <c r="AB502" s="11">
        <v>0</v>
      </c>
      <c r="AC502" s="11">
        <v>0</v>
      </c>
      <c r="AD502" s="11">
        <v>0</v>
      </c>
      <c r="AE502" s="11">
        <f>(Z502+AB502+AD502)*6%</f>
        <v>0.51600000000000001</v>
      </c>
      <c r="AF502" s="11">
        <f>Z502+AB502+AD502+AE502</f>
        <v>9.1159999999999997</v>
      </c>
      <c r="AG502" t="s">
        <v>43</v>
      </c>
    </row>
    <row r="503" spans="1:33" ht="15" customHeight="1" x14ac:dyDescent="0.35">
      <c r="A503">
        <v>690929</v>
      </c>
      <c r="B503" t="s">
        <v>33</v>
      </c>
      <c r="C503" t="s">
        <v>34</v>
      </c>
      <c r="D503" s="6" t="s">
        <v>33</v>
      </c>
      <c r="E503" t="s">
        <v>1558</v>
      </c>
      <c r="G503" t="s">
        <v>37</v>
      </c>
      <c r="H503" t="s">
        <v>927</v>
      </c>
      <c r="I503" t="s">
        <v>39</v>
      </c>
      <c r="J503">
        <v>2</v>
      </c>
      <c r="K503" t="s">
        <v>40</v>
      </c>
      <c r="L503" t="s">
        <v>41</v>
      </c>
      <c r="M503" t="s">
        <v>42</v>
      </c>
      <c r="N503" s="7">
        <v>2</v>
      </c>
      <c r="O503" s="8">
        <v>45136.512245370373</v>
      </c>
      <c r="P503" s="9">
        <v>45138</v>
      </c>
      <c r="R503" t="s">
        <v>43</v>
      </c>
      <c r="S503" t="s">
        <v>47</v>
      </c>
      <c r="T503" t="s">
        <v>51</v>
      </c>
      <c r="U503" t="s">
        <v>928</v>
      </c>
      <c r="V503">
        <v>33400</v>
      </c>
      <c r="W503" t="s">
        <v>43</v>
      </c>
      <c r="X503" t="s">
        <v>929</v>
      </c>
      <c r="Y503" t="s">
        <v>48</v>
      </c>
      <c r="Z503" s="10">
        <f>IF(N503&lt;=1,7,7+0.8*ROUNDUP(N503-1,0))</f>
        <v>7.8</v>
      </c>
      <c r="AA503" s="11">
        <v>0</v>
      </c>
      <c r="AB503" s="11">
        <v>0</v>
      </c>
      <c r="AC503" s="11">
        <v>0</v>
      </c>
      <c r="AD503" s="11">
        <v>0</v>
      </c>
      <c r="AE503" s="11">
        <f>(Z503+AB503+AD503)*6%</f>
        <v>0.46799999999999997</v>
      </c>
      <c r="AF503" s="11">
        <f>Z503+AB503+AD503+AE503</f>
        <v>8.2680000000000007</v>
      </c>
      <c r="AG503" t="s">
        <v>43</v>
      </c>
    </row>
    <row r="504" spans="1:33" ht="15" customHeight="1" x14ac:dyDescent="0.35">
      <c r="A504">
        <v>690929</v>
      </c>
      <c r="B504" t="s">
        <v>33</v>
      </c>
      <c r="C504" t="s">
        <v>34</v>
      </c>
      <c r="D504" s="6" t="s">
        <v>33</v>
      </c>
      <c r="E504" t="s">
        <v>1559</v>
      </c>
      <c r="G504" t="s">
        <v>37</v>
      </c>
      <c r="H504" t="s">
        <v>1560</v>
      </c>
      <c r="I504" t="s">
        <v>39</v>
      </c>
      <c r="J504">
        <v>2</v>
      </c>
      <c r="K504" t="s">
        <v>40</v>
      </c>
      <c r="L504" t="s">
        <v>41</v>
      </c>
      <c r="M504" t="s">
        <v>42</v>
      </c>
      <c r="N504" s="7">
        <v>1</v>
      </c>
      <c r="O504" s="8">
        <v>45136.741435185184</v>
      </c>
      <c r="P504" s="9">
        <v>45138</v>
      </c>
      <c r="R504" t="s">
        <v>43</v>
      </c>
      <c r="S504" t="s">
        <v>47</v>
      </c>
      <c r="T504" t="s">
        <v>170</v>
      </c>
      <c r="U504" t="s">
        <v>1561</v>
      </c>
      <c r="V504">
        <v>90107</v>
      </c>
      <c r="W504" t="s">
        <v>172</v>
      </c>
      <c r="X504" t="s">
        <v>47</v>
      </c>
      <c r="Y504" t="s">
        <v>48</v>
      </c>
      <c r="Z504" s="12">
        <f>IF(N504&lt;=1,13,IF(N504&lt;=2,23,IF(N504&lt;=3,35,IF(N504&lt;=4,43,IF(N504&lt;=5,53,IF(N504&lt;=6,63,IF(N504&lt;=7,71,IF(N504&lt;=8,79,IF(N504&lt;=9,87,IF(N504&lt;=10,95,IF(N504&lt;=11,105,IF(N504&lt;=12,114,IF(N504&lt;=13,119,IF(N504&lt;=14,127,IF(N504&lt;=15,135,IF(N504&lt;=16,143,IF(N504&lt;=17,153,IF(N504&lt;=18,163,IF(N504&lt;=19,171,IF(N504&lt;=20,185,IF(N504&lt;=21,193,IF(N504&lt;=22,201,IF(N504&lt;=23,210,IF(N504&lt;=24,220,IF(N504&lt;=25,230,IF(N504&lt;=26,240,IF(N504&lt;=27,250,IF(N504&lt;=28,260,IF(N504&lt;=29,270,IF(N504&lt;=30,280,280+10*ROUNDUP(N504-30,0)))))))))))))))))))))))))))))))</f>
        <v>13</v>
      </c>
      <c r="AA504" s="11">
        <v>0</v>
      </c>
      <c r="AB504" s="11">
        <v>0</v>
      </c>
      <c r="AC504" s="11">
        <v>0</v>
      </c>
      <c r="AD504" s="11">
        <v>0</v>
      </c>
      <c r="AE504" s="11">
        <f>(Z504+AB504+AD504)*6%</f>
        <v>0.78</v>
      </c>
      <c r="AF504" s="11">
        <f>Z504+AB504+AD504+AE504</f>
        <v>13.78</v>
      </c>
      <c r="AG504" t="s">
        <v>172</v>
      </c>
    </row>
    <row r="505" spans="1:33" ht="15" customHeight="1" x14ac:dyDescent="0.35">
      <c r="A505">
        <v>690929</v>
      </c>
      <c r="B505" t="s">
        <v>33</v>
      </c>
      <c r="C505" t="s">
        <v>34</v>
      </c>
      <c r="D505" s="6" t="s">
        <v>33</v>
      </c>
      <c r="E505" t="s">
        <v>1562</v>
      </c>
      <c r="G505" t="s">
        <v>37</v>
      </c>
      <c r="H505" t="s">
        <v>1563</v>
      </c>
      <c r="I505" t="s">
        <v>39</v>
      </c>
      <c r="J505">
        <v>2</v>
      </c>
      <c r="K505" t="s">
        <v>40</v>
      </c>
      <c r="L505" t="s">
        <v>41</v>
      </c>
      <c r="M505" t="s">
        <v>42</v>
      </c>
      <c r="N505" s="7">
        <v>1</v>
      </c>
      <c r="O505" s="8">
        <v>45137.722604166665</v>
      </c>
      <c r="P505" s="9">
        <v>45138</v>
      </c>
      <c r="R505" t="s">
        <v>43</v>
      </c>
      <c r="S505" t="s">
        <v>44</v>
      </c>
      <c r="T505" t="s">
        <v>57</v>
      </c>
      <c r="U505" t="s">
        <v>1564</v>
      </c>
      <c r="V505">
        <v>43500</v>
      </c>
      <c r="W505" t="s">
        <v>43</v>
      </c>
      <c r="X505" t="s">
        <v>1565</v>
      </c>
      <c r="Y505" t="s">
        <v>48</v>
      </c>
      <c r="Z505" s="10">
        <f>IF(N505&lt;=1,7,7+0.8*ROUNDUP(N505-1,0))</f>
        <v>7</v>
      </c>
      <c r="AA505" s="11">
        <v>0</v>
      </c>
      <c r="AB505" s="11">
        <v>0</v>
      </c>
      <c r="AC505" s="11">
        <v>0</v>
      </c>
      <c r="AD505" s="11">
        <v>0</v>
      </c>
      <c r="AE505" s="11">
        <f>(Z505+AB505+AD505)*6%</f>
        <v>0.42</v>
      </c>
      <c r="AF505" s="11">
        <f>Z505+AB505+AD505+AE505</f>
        <v>7.42</v>
      </c>
      <c r="AG505" t="s">
        <v>43</v>
      </c>
    </row>
    <row r="507" spans="1:33" x14ac:dyDescent="0.35">
      <c r="Z507" s="13">
        <f>SUM(Z2:Z505)</f>
        <v>4554.0000000000045</v>
      </c>
      <c r="AA507" s="13">
        <f>SUM(AA2:AA505)</f>
        <v>0</v>
      </c>
      <c r="AB507" s="13">
        <f>SUM(AB2:AB505)</f>
        <v>0</v>
      </c>
      <c r="AC507" s="13">
        <f>SUM(AC2:AC505)</f>
        <v>0</v>
      </c>
      <c r="AD507" s="13">
        <f>SUM(AD2:AD505)</f>
        <v>0</v>
      </c>
      <c r="AE507" s="13">
        <f>SUM(AE2:AE505)</f>
        <v>273.23999999999836</v>
      </c>
      <c r="AF507" s="13">
        <f>SUM(AF2:AF505)</f>
        <v>4827.2400000000143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2023-08-03T05:32:54Z</dcterms:created>
  <dcterms:modified xsi:type="dcterms:W3CDTF">2023-08-03T05:32:55Z</dcterms:modified>
</cp:coreProperties>
</file>