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NJAVAN\BILLING 2023\Jun'23\Closing\ASN\Split\ASN Walk-in\"/>
    </mc:Choice>
  </mc:AlternateContent>
  <xr:revisionPtr revIDLastSave="0" documentId="8_{87B183CA-A862-4F86-9285-613818B2BE65}" xr6:coauthVersionLast="47" xr6:coauthVersionMax="47" xr10:uidLastSave="{00000000-0000-0000-0000-000000000000}"/>
  <bookViews>
    <workbookView xWindow="28680" yWindow="-120" windowWidth="29040" windowHeight="15840" xr2:uid="{849317D1-3615-4C35-AF8F-44B8E2CAE9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97" i="1" l="1"/>
  <c r="AE297" i="1"/>
  <c r="AD297" i="1"/>
  <c r="AC297" i="1"/>
  <c r="AB297" i="1"/>
  <c r="AA297" i="1"/>
  <c r="Z297" i="1"/>
  <c r="Z295" i="1"/>
  <c r="Z294" i="1"/>
  <c r="AE294" i="1" s="1"/>
  <c r="AF294" i="1" s="1"/>
  <c r="AE293" i="1"/>
  <c r="AF293" i="1" s="1"/>
  <c r="Z293" i="1"/>
  <c r="Z292" i="1"/>
  <c r="Z291" i="1"/>
  <c r="AF290" i="1"/>
  <c r="Z290" i="1"/>
  <c r="AE290" i="1" s="1"/>
  <c r="AE289" i="1"/>
  <c r="AF289" i="1" s="1"/>
  <c r="Z289" i="1"/>
  <c r="Z288" i="1"/>
  <c r="AE288" i="1" s="1"/>
  <c r="Z287" i="1"/>
  <c r="Z286" i="1"/>
  <c r="AE286" i="1" s="1"/>
  <c r="AF286" i="1" s="1"/>
  <c r="AF285" i="1"/>
  <c r="AE285" i="1"/>
  <c r="Z285" i="1"/>
  <c r="Z284" i="1"/>
  <c r="Z283" i="1"/>
  <c r="Z282" i="1"/>
  <c r="AE282" i="1" s="1"/>
  <c r="AF282" i="1" s="1"/>
  <c r="AE281" i="1"/>
  <c r="AF281" i="1" s="1"/>
  <c r="Z281" i="1"/>
  <c r="Z280" i="1"/>
  <c r="Z279" i="1"/>
  <c r="Z278" i="1"/>
  <c r="AE278" i="1" s="1"/>
  <c r="AF278" i="1" s="1"/>
  <c r="AF277" i="1"/>
  <c r="AE277" i="1"/>
  <c r="Z277" i="1"/>
  <c r="Z276" i="1"/>
  <c r="Z275" i="1"/>
  <c r="Z274" i="1"/>
  <c r="AE274" i="1" s="1"/>
  <c r="AF274" i="1" s="1"/>
  <c r="AE273" i="1"/>
  <c r="AF273" i="1" s="1"/>
  <c r="Z273" i="1"/>
  <c r="Z272" i="1"/>
  <c r="Z271" i="1"/>
  <c r="AF270" i="1"/>
  <c r="Z270" i="1"/>
  <c r="AE270" i="1" s="1"/>
  <c r="AE269" i="1"/>
  <c r="AF269" i="1" s="1"/>
  <c r="Z269" i="1"/>
  <c r="Z268" i="1"/>
  <c r="Z267" i="1"/>
  <c r="Z266" i="1"/>
  <c r="AE266" i="1" s="1"/>
  <c r="AF266" i="1" s="1"/>
  <c r="AE265" i="1"/>
  <c r="AF265" i="1" s="1"/>
  <c r="Z265" i="1"/>
  <c r="Z264" i="1"/>
  <c r="AE264" i="1" s="1"/>
  <c r="Z263" i="1"/>
  <c r="AF262" i="1"/>
  <c r="Z262" i="1"/>
  <c r="AE262" i="1" s="1"/>
  <c r="AF261" i="1"/>
  <c r="AE261" i="1"/>
  <c r="Z261" i="1"/>
  <c r="Z260" i="1"/>
  <c r="Z259" i="1"/>
  <c r="Z258" i="1"/>
  <c r="AE258" i="1" s="1"/>
  <c r="AF258" i="1" s="1"/>
  <c r="AE257" i="1"/>
  <c r="AF257" i="1" s="1"/>
  <c r="Z257" i="1"/>
  <c r="Z256" i="1"/>
  <c r="Z255" i="1"/>
  <c r="AF254" i="1"/>
  <c r="Z254" i="1"/>
  <c r="AE254" i="1" s="1"/>
  <c r="AF253" i="1"/>
  <c r="AE253" i="1"/>
  <c r="Z253" i="1"/>
  <c r="Z252" i="1"/>
  <c r="Z251" i="1"/>
  <c r="Z250" i="1"/>
  <c r="AE250" i="1" s="1"/>
  <c r="AF250" i="1" s="1"/>
  <c r="AE249" i="1"/>
  <c r="AF249" i="1" s="1"/>
  <c r="Z249" i="1"/>
  <c r="AE248" i="1"/>
  <c r="AF248" i="1" s="1"/>
  <c r="Z248" i="1"/>
  <c r="AE247" i="1"/>
  <c r="Z247" i="1"/>
  <c r="AF247" i="1" s="1"/>
  <c r="AF246" i="1"/>
  <c r="Z246" i="1"/>
  <c r="AE246" i="1" s="1"/>
  <c r="AF245" i="1"/>
  <c r="AE245" i="1"/>
  <c r="Z245" i="1"/>
  <c r="Z244" i="1"/>
  <c r="Z243" i="1"/>
  <c r="AE243" i="1" s="1"/>
  <c r="AF242" i="1"/>
  <c r="Z242" i="1"/>
  <c r="AE242" i="1" s="1"/>
  <c r="AE241" i="1"/>
  <c r="AF241" i="1" s="1"/>
  <c r="Z241" i="1"/>
  <c r="AE240" i="1"/>
  <c r="AF240" i="1" s="1"/>
  <c r="Z240" i="1"/>
  <c r="AE239" i="1"/>
  <c r="Z239" i="1"/>
  <c r="AF239" i="1" s="1"/>
  <c r="Z238" i="1"/>
  <c r="AE238" i="1" s="1"/>
  <c r="AE237" i="1"/>
  <c r="AF237" i="1" s="1"/>
  <c r="Z237" i="1"/>
  <c r="Z236" i="1"/>
  <c r="Z235" i="1"/>
  <c r="Z234" i="1"/>
  <c r="AE234" i="1" s="1"/>
  <c r="AF234" i="1" s="1"/>
  <c r="AE233" i="1"/>
  <c r="AF233" i="1" s="1"/>
  <c r="Z233" i="1"/>
  <c r="Z232" i="1"/>
  <c r="AE231" i="1"/>
  <c r="Z231" i="1"/>
  <c r="AF231" i="1" s="1"/>
  <c r="AF230" i="1"/>
  <c r="Z230" i="1"/>
  <c r="AE230" i="1" s="1"/>
  <c r="AE229" i="1"/>
  <c r="AF229" i="1" s="1"/>
  <c r="Z229" i="1"/>
  <c r="Z228" i="1"/>
  <c r="AE227" i="1"/>
  <c r="Z227" i="1"/>
  <c r="AF226" i="1"/>
  <c r="Z226" i="1"/>
  <c r="AE226" i="1" s="1"/>
  <c r="AE225" i="1"/>
  <c r="AF225" i="1" s="1"/>
  <c r="Z225" i="1"/>
  <c r="Z224" i="1"/>
  <c r="AE224" i="1" s="1"/>
  <c r="AE223" i="1"/>
  <c r="Z223" i="1"/>
  <c r="AF223" i="1" s="1"/>
  <c r="Z222" i="1"/>
  <c r="AE222" i="1" s="1"/>
  <c r="AE221" i="1"/>
  <c r="AF221" i="1" s="1"/>
  <c r="Z221" i="1"/>
  <c r="Z220" i="1"/>
  <c r="Z219" i="1"/>
  <c r="Z218" i="1"/>
  <c r="AE218" i="1" s="1"/>
  <c r="AF218" i="1" s="1"/>
  <c r="AE217" i="1"/>
  <c r="AF217" i="1" s="1"/>
  <c r="Z217" i="1"/>
  <c r="AE216" i="1"/>
  <c r="AF216" i="1" s="1"/>
  <c r="Z216" i="1"/>
  <c r="AE215" i="1"/>
  <c r="Z215" i="1"/>
  <c r="AF215" i="1" s="1"/>
  <c r="Z214" i="1"/>
  <c r="AE214" i="1" s="1"/>
  <c r="AE213" i="1"/>
  <c r="AF213" i="1" s="1"/>
  <c r="Z213" i="1"/>
  <c r="Z212" i="1"/>
  <c r="AE211" i="1"/>
  <c r="Z211" i="1"/>
  <c r="Z210" i="1"/>
  <c r="AE210" i="1" s="1"/>
  <c r="AF210" i="1" s="1"/>
  <c r="AE209" i="1"/>
  <c r="AF209" i="1" s="1"/>
  <c r="Z209" i="1"/>
  <c r="Z208" i="1"/>
  <c r="AE208" i="1" s="1"/>
  <c r="AF208" i="1" s="1"/>
  <c r="AE207" i="1"/>
  <c r="Z207" i="1"/>
  <c r="AF207" i="1" s="1"/>
  <c r="Z206" i="1"/>
  <c r="AE206" i="1" s="1"/>
  <c r="AF206" i="1" s="1"/>
  <c r="AE205" i="1"/>
  <c r="AF205" i="1" s="1"/>
  <c r="Z205" i="1"/>
  <c r="Z204" i="1"/>
  <c r="Z203" i="1"/>
  <c r="Z202" i="1"/>
  <c r="AE202" i="1" s="1"/>
  <c r="AF202" i="1" s="1"/>
  <c r="AE201" i="1"/>
  <c r="AF201" i="1" s="1"/>
  <c r="Z201" i="1"/>
  <c r="AE200" i="1"/>
  <c r="AF200" i="1" s="1"/>
  <c r="Z200" i="1"/>
  <c r="AE199" i="1"/>
  <c r="Z199" i="1"/>
  <c r="AF199" i="1" s="1"/>
  <c r="Z198" i="1"/>
  <c r="AE198" i="1" s="1"/>
  <c r="AF197" i="1"/>
  <c r="AE197" i="1"/>
  <c r="Z197" i="1"/>
  <c r="Z196" i="1"/>
  <c r="AE195" i="1"/>
  <c r="Z195" i="1"/>
  <c r="Z194" i="1"/>
  <c r="AE194" i="1" s="1"/>
  <c r="AF194" i="1" s="1"/>
  <c r="AE193" i="1"/>
  <c r="AF193" i="1" s="1"/>
  <c r="Z193" i="1"/>
  <c r="Z192" i="1"/>
  <c r="AE192" i="1" s="1"/>
  <c r="AF192" i="1" s="1"/>
  <c r="AE191" i="1"/>
  <c r="Z191" i="1"/>
  <c r="AF191" i="1" s="1"/>
  <c r="Z190" i="1"/>
  <c r="AE190" i="1" s="1"/>
  <c r="AE189" i="1"/>
  <c r="AF189" i="1" s="1"/>
  <c r="Z189" i="1"/>
  <c r="Z188" i="1"/>
  <c r="Z187" i="1"/>
  <c r="Z186" i="1"/>
  <c r="AE186" i="1" s="1"/>
  <c r="AF186" i="1" s="1"/>
  <c r="AE185" i="1"/>
  <c r="AF185" i="1" s="1"/>
  <c r="Z185" i="1"/>
  <c r="Z184" i="1"/>
  <c r="AE183" i="1"/>
  <c r="Z183" i="1"/>
  <c r="AF183" i="1" s="1"/>
  <c r="AF182" i="1"/>
  <c r="Z182" i="1"/>
  <c r="AE182" i="1" s="1"/>
  <c r="AF181" i="1"/>
  <c r="AE181" i="1"/>
  <c r="Z181" i="1"/>
  <c r="Z180" i="1"/>
  <c r="Z179" i="1"/>
  <c r="AE179" i="1" s="1"/>
  <c r="AF178" i="1"/>
  <c r="Z178" i="1"/>
  <c r="AE178" i="1" s="1"/>
  <c r="AE177" i="1"/>
  <c r="AF177" i="1" s="1"/>
  <c r="Z177" i="1"/>
  <c r="AE176" i="1"/>
  <c r="Z176" i="1"/>
  <c r="AF176" i="1" s="1"/>
  <c r="AE175" i="1"/>
  <c r="Z175" i="1"/>
  <c r="AF175" i="1" s="1"/>
  <c r="Z174" i="1"/>
  <c r="AE174" i="1" s="1"/>
  <c r="AE173" i="1"/>
  <c r="AF173" i="1" s="1"/>
  <c r="Z173" i="1"/>
  <c r="Z172" i="1"/>
  <c r="Z171" i="1"/>
  <c r="Z170" i="1"/>
  <c r="AE170" i="1" s="1"/>
  <c r="AF170" i="1" s="1"/>
  <c r="AE169" i="1"/>
  <c r="AF169" i="1" s="1"/>
  <c r="Z169" i="1"/>
  <c r="Z168" i="1"/>
  <c r="AE167" i="1"/>
  <c r="Z167" i="1"/>
  <c r="AF167" i="1" s="1"/>
  <c r="AF166" i="1"/>
  <c r="Z166" i="1"/>
  <c r="AE166" i="1" s="1"/>
  <c r="AE165" i="1"/>
  <c r="AF165" i="1" s="1"/>
  <c r="Z165" i="1"/>
  <c r="Z164" i="1"/>
  <c r="AE163" i="1"/>
  <c r="Z163" i="1"/>
  <c r="AF162" i="1"/>
  <c r="Z162" i="1"/>
  <c r="AE162" i="1" s="1"/>
  <c r="AE161" i="1"/>
  <c r="AF161" i="1" s="1"/>
  <c r="Z161" i="1"/>
  <c r="Z160" i="1"/>
  <c r="AE160" i="1" s="1"/>
  <c r="AE159" i="1"/>
  <c r="Z159" i="1"/>
  <c r="AF159" i="1" s="1"/>
  <c r="Z158" i="1"/>
  <c r="AE158" i="1" s="1"/>
  <c r="AE157" i="1"/>
  <c r="AF157" i="1" s="1"/>
  <c r="Z157" i="1"/>
  <c r="Z156" i="1"/>
  <c r="Z155" i="1"/>
  <c r="Z154" i="1"/>
  <c r="AE154" i="1" s="1"/>
  <c r="AF154" i="1" s="1"/>
  <c r="AE153" i="1"/>
  <c r="AF153" i="1" s="1"/>
  <c r="Z153" i="1"/>
  <c r="AE152" i="1"/>
  <c r="AF152" i="1" s="1"/>
  <c r="Z152" i="1"/>
  <c r="AE151" i="1"/>
  <c r="Z151" i="1"/>
  <c r="AF151" i="1" s="1"/>
  <c r="Z150" i="1"/>
  <c r="AE150" i="1" s="1"/>
  <c r="AF150" i="1" s="1"/>
  <c r="AE149" i="1"/>
  <c r="AF149" i="1" s="1"/>
  <c r="Z149" i="1"/>
  <c r="Z148" i="1"/>
  <c r="AE147" i="1"/>
  <c r="Z147" i="1"/>
  <c r="Z146" i="1"/>
  <c r="AE146" i="1" s="1"/>
  <c r="AF146" i="1" s="1"/>
  <c r="AE145" i="1"/>
  <c r="AF145" i="1" s="1"/>
  <c r="Z145" i="1"/>
  <c r="Z144" i="1"/>
  <c r="AE143" i="1"/>
  <c r="Z143" i="1"/>
  <c r="AF143" i="1" s="1"/>
  <c r="AF142" i="1"/>
  <c r="Z142" i="1"/>
  <c r="AE142" i="1" s="1"/>
  <c r="AE141" i="1"/>
  <c r="AF141" i="1" s="1"/>
  <c r="Z141" i="1"/>
  <c r="Z140" i="1"/>
  <c r="Z139" i="1"/>
  <c r="AF138" i="1"/>
  <c r="Z138" i="1"/>
  <c r="AE138" i="1" s="1"/>
  <c r="AE137" i="1"/>
  <c r="AF137" i="1" s="1"/>
  <c r="Z137" i="1"/>
  <c r="AE136" i="1"/>
  <c r="AF136" i="1" s="1"/>
  <c r="Z136" i="1"/>
  <c r="AE135" i="1"/>
  <c r="Z135" i="1"/>
  <c r="AF135" i="1" s="1"/>
  <c r="Z134" i="1"/>
  <c r="AE134" i="1" s="1"/>
  <c r="AF133" i="1"/>
  <c r="AE133" i="1"/>
  <c r="Z133" i="1"/>
  <c r="Z132" i="1"/>
  <c r="Z131" i="1"/>
  <c r="Z130" i="1"/>
  <c r="AE130" i="1" s="1"/>
  <c r="AF130" i="1" s="1"/>
  <c r="AE129" i="1"/>
  <c r="AF129" i="1" s="1"/>
  <c r="Z129" i="1"/>
  <c r="Z128" i="1"/>
  <c r="AE128" i="1" s="1"/>
  <c r="AF128" i="1" s="1"/>
  <c r="AE127" i="1"/>
  <c r="Z127" i="1"/>
  <c r="AF127" i="1" s="1"/>
  <c r="Z126" i="1"/>
  <c r="AE126" i="1" s="1"/>
  <c r="AE125" i="1"/>
  <c r="AF125" i="1" s="1"/>
  <c r="Z125" i="1"/>
  <c r="Z124" i="1"/>
  <c r="Z123" i="1"/>
  <c r="Z122" i="1"/>
  <c r="AE122" i="1" s="1"/>
  <c r="AF122" i="1" s="1"/>
  <c r="AE121" i="1"/>
  <c r="AF121" i="1" s="1"/>
  <c r="Z121" i="1"/>
  <c r="Z120" i="1"/>
  <c r="AE119" i="1"/>
  <c r="Z119" i="1"/>
  <c r="AF119" i="1" s="1"/>
  <c r="AF118" i="1"/>
  <c r="Z118" i="1"/>
  <c r="AE118" i="1" s="1"/>
  <c r="AF117" i="1"/>
  <c r="AE117" i="1"/>
  <c r="Z117" i="1"/>
  <c r="Z116" i="1"/>
  <c r="Z115" i="1"/>
  <c r="AE115" i="1" s="1"/>
  <c r="AF114" i="1"/>
  <c r="Z114" i="1"/>
  <c r="AE114" i="1" s="1"/>
  <c r="AE113" i="1"/>
  <c r="AF113" i="1" s="1"/>
  <c r="Z113" i="1"/>
  <c r="Z112" i="1"/>
  <c r="AE111" i="1"/>
  <c r="Z111" i="1"/>
  <c r="AF111" i="1" s="1"/>
  <c r="Z110" i="1"/>
  <c r="AE110" i="1" s="1"/>
  <c r="AE109" i="1"/>
  <c r="AF109" i="1" s="1"/>
  <c r="Z109" i="1"/>
  <c r="Z108" i="1"/>
  <c r="Z107" i="1"/>
  <c r="AE107" i="1" s="1"/>
  <c r="Z106" i="1"/>
  <c r="AE106" i="1" s="1"/>
  <c r="AF106" i="1" s="1"/>
  <c r="AE105" i="1"/>
  <c r="AF105" i="1" s="1"/>
  <c r="Z105" i="1"/>
  <c r="Z104" i="1"/>
  <c r="AE103" i="1"/>
  <c r="Z103" i="1"/>
  <c r="AF103" i="1" s="1"/>
  <c r="AF102" i="1"/>
  <c r="Z102" i="1"/>
  <c r="AE102" i="1" s="1"/>
  <c r="AE101" i="1"/>
  <c r="AF101" i="1" s="1"/>
  <c r="Z101" i="1"/>
  <c r="Z100" i="1"/>
  <c r="AE99" i="1"/>
  <c r="Z99" i="1"/>
  <c r="AF98" i="1"/>
  <c r="Z98" i="1"/>
  <c r="AE98" i="1" s="1"/>
  <c r="AE97" i="1"/>
  <c r="AF97" i="1" s="1"/>
  <c r="Z97" i="1"/>
  <c r="Z96" i="1"/>
  <c r="AE96" i="1" s="1"/>
  <c r="AE95" i="1"/>
  <c r="Z95" i="1"/>
  <c r="AF95" i="1" s="1"/>
  <c r="Z94" i="1"/>
  <c r="AE94" i="1" s="1"/>
  <c r="AE93" i="1"/>
  <c r="AF93" i="1" s="1"/>
  <c r="Z93" i="1"/>
  <c r="Z92" i="1"/>
  <c r="Z91" i="1"/>
  <c r="Z90" i="1"/>
  <c r="AE90" i="1" s="1"/>
  <c r="AF90" i="1" s="1"/>
  <c r="AE89" i="1"/>
  <c r="AF89" i="1" s="1"/>
  <c r="Z89" i="1"/>
  <c r="AE88" i="1"/>
  <c r="AF88" i="1" s="1"/>
  <c r="Z88" i="1"/>
  <c r="AE87" i="1"/>
  <c r="Z87" i="1"/>
  <c r="AF87" i="1" s="1"/>
  <c r="Z86" i="1"/>
  <c r="AE86" i="1" s="1"/>
  <c r="AE85" i="1"/>
  <c r="AF85" i="1" s="1"/>
  <c r="Z85" i="1"/>
  <c r="Z84" i="1"/>
  <c r="AE83" i="1"/>
  <c r="Z83" i="1"/>
  <c r="Z82" i="1"/>
  <c r="AE82" i="1" s="1"/>
  <c r="AF82" i="1" s="1"/>
  <c r="AE81" i="1"/>
  <c r="AF81" i="1" s="1"/>
  <c r="Z81" i="1"/>
  <c r="Z80" i="1"/>
  <c r="AE79" i="1"/>
  <c r="Z79" i="1"/>
  <c r="AF79" i="1" s="1"/>
  <c r="Z78" i="1"/>
  <c r="AE78" i="1" s="1"/>
  <c r="AE77" i="1"/>
  <c r="AF77" i="1" s="1"/>
  <c r="Z77" i="1"/>
  <c r="Z76" i="1"/>
  <c r="Z75" i="1"/>
  <c r="Z74" i="1"/>
  <c r="AE74" i="1" s="1"/>
  <c r="AF74" i="1" s="1"/>
  <c r="AE73" i="1"/>
  <c r="AF73" i="1" s="1"/>
  <c r="Z73" i="1"/>
  <c r="AE72" i="1"/>
  <c r="AF72" i="1" s="1"/>
  <c r="Z72" i="1"/>
  <c r="AE71" i="1"/>
  <c r="Z71" i="1"/>
  <c r="AF71" i="1" s="1"/>
  <c r="Z70" i="1"/>
  <c r="AE70" i="1" s="1"/>
  <c r="AF69" i="1"/>
  <c r="AE69" i="1"/>
  <c r="Z69" i="1"/>
  <c r="Z68" i="1"/>
  <c r="Z67" i="1"/>
  <c r="Z66" i="1"/>
  <c r="AE66" i="1" s="1"/>
  <c r="AF66" i="1" s="1"/>
  <c r="AE65" i="1"/>
  <c r="AF65" i="1" s="1"/>
  <c r="Z65" i="1"/>
  <c r="Z64" i="1"/>
  <c r="AE64" i="1" s="1"/>
  <c r="AF64" i="1" s="1"/>
  <c r="AE63" i="1"/>
  <c r="Z63" i="1"/>
  <c r="AF63" i="1" s="1"/>
  <c r="Z62" i="1"/>
  <c r="AE62" i="1" s="1"/>
  <c r="AE61" i="1"/>
  <c r="AF61" i="1" s="1"/>
  <c r="Z61" i="1"/>
  <c r="Z60" i="1"/>
  <c r="Z59" i="1"/>
  <c r="Z58" i="1"/>
  <c r="AE58" i="1" s="1"/>
  <c r="AF58" i="1" s="1"/>
  <c r="AE57" i="1"/>
  <c r="AF57" i="1" s="1"/>
  <c r="Z57" i="1"/>
  <c r="Z56" i="1"/>
  <c r="AE55" i="1"/>
  <c r="Z55" i="1"/>
  <c r="AF55" i="1" s="1"/>
  <c r="AF54" i="1"/>
  <c r="Z54" i="1"/>
  <c r="AE54" i="1" s="1"/>
  <c r="AF53" i="1"/>
  <c r="AE53" i="1"/>
  <c r="Z53" i="1"/>
  <c r="Z52" i="1"/>
  <c r="Z51" i="1"/>
  <c r="AF50" i="1"/>
  <c r="Z50" i="1"/>
  <c r="AE50" i="1" s="1"/>
  <c r="AE49" i="1"/>
  <c r="AF49" i="1" s="1"/>
  <c r="Z49" i="1"/>
  <c r="Z48" i="1"/>
  <c r="AE47" i="1"/>
  <c r="Z47" i="1"/>
  <c r="AF47" i="1" s="1"/>
  <c r="Z46" i="1"/>
  <c r="AE46" i="1" s="1"/>
  <c r="AE45" i="1"/>
  <c r="AF45" i="1" s="1"/>
  <c r="Z45" i="1"/>
  <c r="Z44" i="1"/>
  <c r="Z43" i="1"/>
  <c r="Z42" i="1"/>
  <c r="AE42" i="1" s="1"/>
  <c r="AF42" i="1" s="1"/>
  <c r="AE41" i="1"/>
  <c r="AF41" i="1" s="1"/>
  <c r="Z41" i="1"/>
  <c r="Z40" i="1"/>
  <c r="AE39" i="1"/>
  <c r="Z39" i="1"/>
  <c r="AF39" i="1" s="1"/>
  <c r="AF38" i="1"/>
  <c r="Z38" i="1"/>
  <c r="AE38" i="1" s="1"/>
  <c r="AE37" i="1"/>
  <c r="AF37" i="1" s="1"/>
  <c r="Z37" i="1"/>
  <c r="Z36" i="1"/>
  <c r="AE35" i="1"/>
  <c r="Z35" i="1"/>
  <c r="AF34" i="1"/>
  <c r="Z34" i="1"/>
  <c r="AE34" i="1" s="1"/>
  <c r="AE33" i="1"/>
  <c r="AF33" i="1" s="1"/>
  <c r="Z33" i="1"/>
  <c r="Z32" i="1"/>
  <c r="AE32" i="1" s="1"/>
  <c r="AE31" i="1"/>
  <c r="Z31" i="1"/>
  <c r="AF31" i="1" s="1"/>
  <c r="AF30" i="1"/>
  <c r="Z30" i="1"/>
  <c r="AE30" i="1" s="1"/>
  <c r="AE29" i="1"/>
  <c r="AF29" i="1" s="1"/>
  <c r="Z29" i="1"/>
  <c r="Z28" i="1"/>
  <c r="Z27" i="1"/>
  <c r="AE27" i="1" s="1"/>
  <c r="Z26" i="1"/>
  <c r="AE26" i="1" s="1"/>
  <c r="AF26" i="1" s="1"/>
  <c r="AE25" i="1"/>
  <c r="AF25" i="1" s="1"/>
  <c r="Z25" i="1"/>
  <c r="AE24" i="1"/>
  <c r="AF24" i="1" s="1"/>
  <c r="Z24" i="1"/>
  <c r="AE23" i="1"/>
  <c r="Z23" i="1"/>
  <c r="AF23" i="1" s="1"/>
  <c r="Z22" i="1"/>
  <c r="AE22" i="1" s="1"/>
  <c r="AE21" i="1"/>
  <c r="AF21" i="1" s="1"/>
  <c r="Z21" i="1"/>
  <c r="Z20" i="1"/>
  <c r="AE19" i="1"/>
  <c r="Z19" i="1"/>
  <c r="Z18" i="1"/>
  <c r="AE18" i="1" s="1"/>
  <c r="AF18" i="1" s="1"/>
  <c r="AE17" i="1"/>
  <c r="AF17" i="1" s="1"/>
  <c r="Z17" i="1"/>
  <c r="Z16" i="1"/>
  <c r="AE15" i="1"/>
  <c r="Z15" i="1"/>
  <c r="AF15" i="1" s="1"/>
  <c r="Z14" i="1"/>
  <c r="AE14" i="1" s="1"/>
  <c r="AE13" i="1"/>
  <c r="AF13" i="1" s="1"/>
  <c r="Z13" i="1"/>
  <c r="Z12" i="1"/>
  <c r="Z11" i="1"/>
  <c r="Z10" i="1"/>
  <c r="AE10" i="1" s="1"/>
  <c r="AF10" i="1" s="1"/>
  <c r="AE9" i="1"/>
  <c r="AF9" i="1" s="1"/>
  <c r="Z9" i="1"/>
  <c r="AE8" i="1"/>
  <c r="AF8" i="1" s="1"/>
  <c r="Z8" i="1"/>
  <c r="AE7" i="1"/>
  <c r="Z7" i="1"/>
  <c r="AF7" i="1" s="1"/>
  <c r="Z6" i="1"/>
  <c r="AE6" i="1" s="1"/>
  <c r="AF5" i="1"/>
  <c r="AE5" i="1"/>
  <c r="Z5" i="1"/>
  <c r="Z4" i="1"/>
  <c r="Z3" i="1"/>
  <c r="Z2" i="1"/>
  <c r="AE2" i="1" s="1"/>
  <c r="AF2" i="1" s="1"/>
  <c r="AF104" i="1" l="1"/>
  <c r="AF168" i="1"/>
  <c r="AF232" i="1"/>
  <c r="AE140" i="1"/>
  <c r="AF140" i="1" s="1"/>
  <c r="AF155" i="1"/>
  <c r="AE204" i="1"/>
  <c r="AF204" i="1" s="1"/>
  <c r="AE267" i="1"/>
  <c r="AF267" i="1" s="1"/>
  <c r="AE16" i="1"/>
  <c r="AF16" i="1" s="1"/>
  <c r="AF20" i="1"/>
  <c r="AE20" i="1"/>
  <c r="AF35" i="1"/>
  <c r="AF46" i="1"/>
  <c r="AE80" i="1"/>
  <c r="AF80" i="1" s="1"/>
  <c r="AE84" i="1"/>
  <c r="AF84" i="1" s="1"/>
  <c r="AE91" i="1"/>
  <c r="AF91" i="1" s="1"/>
  <c r="AF99" i="1"/>
  <c r="AF110" i="1"/>
  <c r="AE144" i="1"/>
  <c r="AF144" i="1" s="1"/>
  <c r="AE148" i="1"/>
  <c r="AF148" i="1" s="1"/>
  <c r="AE155" i="1"/>
  <c r="AF163" i="1"/>
  <c r="AF174" i="1"/>
  <c r="AF212" i="1"/>
  <c r="AE212" i="1"/>
  <c r="AE219" i="1"/>
  <c r="AF219" i="1" s="1"/>
  <c r="AF227" i="1"/>
  <c r="AF238" i="1"/>
  <c r="AE268" i="1"/>
  <c r="AF268" i="1" s="1"/>
  <c r="AE272" i="1"/>
  <c r="AF272" i="1" s="1"/>
  <c r="AF291" i="1"/>
  <c r="AE291" i="1"/>
  <c r="AF27" i="1"/>
  <c r="AF171" i="1"/>
  <c r="AF51" i="1"/>
  <c r="AE100" i="1"/>
  <c r="AF100" i="1" s="1"/>
  <c r="AF126" i="1"/>
  <c r="AE171" i="1"/>
  <c r="AE228" i="1"/>
  <c r="AF228" i="1" s="1"/>
  <c r="AF32" i="1"/>
  <c r="AE40" i="1"/>
  <c r="AF40" i="1" s="1"/>
  <c r="AE44" i="1"/>
  <c r="AF44" i="1" s="1"/>
  <c r="AE51" i="1"/>
  <c r="AF70" i="1"/>
  <c r="AF96" i="1"/>
  <c r="AE104" i="1"/>
  <c r="AE108" i="1"/>
  <c r="AF108" i="1" s="1"/>
  <c r="AF123" i="1"/>
  <c r="AF134" i="1"/>
  <c r="AF160" i="1"/>
  <c r="AE168" i="1"/>
  <c r="AE172" i="1"/>
  <c r="AF172" i="1" s="1"/>
  <c r="AF187" i="1"/>
  <c r="AF198" i="1"/>
  <c r="AF224" i="1"/>
  <c r="AE232" i="1"/>
  <c r="AE236" i="1"/>
  <c r="AF236" i="1" s="1"/>
  <c r="AE251" i="1"/>
  <c r="AF251" i="1" s="1"/>
  <c r="AE283" i="1"/>
  <c r="AF283" i="1" s="1"/>
  <c r="AF76" i="1"/>
  <c r="AE76" i="1"/>
  <c r="AE28" i="1"/>
  <c r="AF28" i="1" s="1"/>
  <c r="AE43" i="1"/>
  <c r="AF43" i="1" s="1"/>
  <c r="AF115" i="1"/>
  <c r="AF179" i="1"/>
  <c r="AF243" i="1"/>
  <c r="AE48" i="1"/>
  <c r="AF48" i="1" s="1"/>
  <c r="AE52" i="1"/>
  <c r="AF52" i="1" s="1"/>
  <c r="AE59" i="1"/>
  <c r="AF59" i="1" s="1"/>
  <c r="AF67" i="1"/>
  <c r="AF78" i="1"/>
  <c r="AE112" i="1"/>
  <c r="AF112" i="1" s="1"/>
  <c r="AE116" i="1"/>
  <c r="AF116" i="1" s="1"/>
  <c r="AE123" i="1"/>
  <c r="AF131" i="1"/>
  <c r="AE180" i="1"/>
  <c r="AF180" i="1" s="1"/>
  <c r="AE187" i="1"/>
  <c r="AF195" i="1"/>
  <c r="AE244" i="1"/>
  <c r="AF244" i="1" s="1"/>
  <c r="AE252" i="1"/>
  <c r="AF252" i="1" s="1"/>
  <c r="AE256" i="1"/>
  <c r="AF256" i="1" s="1"/>
  <c r="AF279" i="1"/>
  <c r="AE156" i="1"/>
  <c r="AF156" i="1" s="1"/>
  <c r="AF220" i="1"/>
  <c r="AE220" i="1"/>
  <c r="AE259" i="1"/>
  <c r="AF259" i="1" s="1"/>
  <c r="AF292" i="1"/>
  <c r="AF62" i="1"/>
  <c r="AF190" i="1"/>
  <c r="AE235" i="1"/>
  <c r="AF235" i="1" s="1"/>
  <c r="AF260" i="1"/>
  <c r="AE260" i="1"/>
  <c r="AF288" i="1"/>
  <c r="AE3" i="1"/>
  <c r="AF3" i="1" s="1"/>
  <c r="AF11" i="1"/>
  <c r="AF22" i="1"/>
  <c r="AE56" i="1"/>
  <c r="AF56" i="1" s="1"/>
  <c r="AE60" i="1"/>
  <c r="AF60" i="1" s="1"/>
  <c r="AE67" i="1"/>
  <c r="AF86" i="1"/>
  <c r="AE120" i="1"/>
  <c r="AF120" i="1" s="1"/>
  <c r="AF124" i="1"/>
  <c r="AE124" i="1"/>
  <c r="AE131" i="1"/>
  <c r="AE184" i="1"/>
  <c r="AF184" i="1" s="1"/>
  <c r="AE188" i="1"/>
  <c r="AF188" i="1" s="1"/>
  <c r="AF203" i="1"/>
  <c r="AF214" i="1"/>
  <c r="AE275" i="1"/>
  <c r="AF275" i="1" s="1"/>
  <c r="AE12" i="1"/>
  <c r="AF12" i="1" s="1"/>
  <c r="AE92" i="1"/>
  <c r="AF92" i="1" s="1"/>
  <c r="AF107" i="1"/>
  <c r="AF264" i="1"/>
  <c r="AF36" i="1"/>
  <c r="AE36" i="1"/>
  <c r="AE164" i="1"/>
  <c r="AF164" i="1" s="1"/>
  <c r="AF6" i="1"/>
  <c r="AF14" i="1"/>
  <c r="AE4" i="1"/>
  <c r="AF4" i="1" s="1"/>
  <c r="AE11" i="1"/>
  <c r="AF19" i="1"/>
  <c r="AE68" i="1"/>
  <c r="AF68" i="1" s="1"/>
  <c r="AE75" i="1"/>
  <c r="AF75" i="1" s="1"/>
  <c r="AF83" i="1"/>
  <c r="AF94" i="1"/>
  <c r="AE132" i="1"/>
  <c r="AF132" i="1" s="1"/>
  <c r="AE139" i="1"/>
  <c r="AF139" i="1" s="1"/>
  <c r="AF147" i="1"/>
  <c r="AF158" i="1"/>
  <c r="AF196" i="1"/>
  <c r="AE196" i="1"/>
  <c r="AE203" i="1"/>
  <c r="AF211" i="1"/>
  <c r="AF222" i="1"/>
  <c r="AE276" i="1"/>
  <c r="AF276" i="1" s="1"/>
  <c r="AE280" i="1"/>
  <c r="AF280" i="1" s="1"/>
  <c r="AE284" i="1"/>
  <c r="AF284" i="1" s="1"/>
  <c r="AE292" i="1"/>
  <c r="AE255" i="1"/>
  <c r="AF255" i="1" s="1"/>
  <c r="AE263" i="1"/>
  <c r="AF263" i="1" s="1"/>
  <c r="AE271" i="1"/>
  <c r="AF271" i="1" s="1"/>
  <c r="AE279" i="1"/>
  <c r="AE287" i="1"/>
  <c r="AF287" i="1" s="1"/>
  <c r="AE295" i="1"/>
  <c r="AF295" i="1" s="1"/>
</calcChain>
</file>

<file path=xl/sharedStrings.xml><?xml version="1.0" encoding="utf-8"?>
<sst xmlns="http://schemas.openxmlformats.org/spreadsheetml/2006/main" count="5881" uniqueCount="1004">
  <si>
    <t>Legacy Shipper ID</t>
  </si>
  <si>
    <t>Shipper Name</t>
  </si>
  <si>
    <t>Billing Name</t>
  </si>
  <si>
    <t>ASN Agent</t>
  </si>
  <si>
    <t>Tracking ID</t>
  </si>
  <si>
    <t>Shipper Order Ref</t>
  </si>
  <si>
    <t>Order Granular Status</t>
  </si>
  <si>
    <t>Customer Name</t>
  </si>
  <si>
    <t>Delivery Type Name</t>
  </si>
  <si>
    <t>Delivery Type ID</t>
  </si>
  <si>
    <t>Service Type</t>
  </si>
  <si>
    <t>Service Level</t>
  </si>
  <si>
    <t>Parcel Size ID</t>
  </si>
  <si>
    <t>Billing Weight</t>
  </si>
  <si>
    <t>Create Time</t>
  </si>
  <si>
    <t>Delivery Date</t>
  </si>
  <si>
    <t>From City</t>
  </si>
  <si>
    <t>From Billing Zone</t>
  </si>
  <si>
    <t>Origin Hub</t>
  </si>
  <si>
    <t>L1 Name</t>
  </si>
  <si>
    <t>To Address</t>
  </si>
  <si>
    <t>To Postcode</t>
  </si>
  <si>
    <t>To Billing Zone</t>
  </si>
  <si>
    <t>Destination Hub</t>
  </si>
  <si>
    <t>FIN.FINANCE</t>
  </si>
  <si>
    <t>Actual delivery_fee</t>
  </si>
  <si>
    <t>cod_collected</t>
  </si>
  <si>
    <t>cod_fee</t>
  </si>
  <si>
    <t>insured_value</t>
  </si>
  <si>
    <t>insurance_fee</t>
  </si>
  <si>
    <t>SST (6%)</t>
  </si>
  <si>
    <t>Total Charge</t>
  </si>
  <si>
    <t>Country</t>
  </si>
  <si>
    <t>ASN - Ninja Van at Pengkalan Chepa</t>
  </si>
  <si>
    <t>NAHKHODA LINK EXPRESS</t>
  </si>
  <si>
    <t>NVMY34535000005433</t>
  </si>
  <si>
    <t/>
  </si>
  <si>
    <t>Completed</t>
  </si>
  <si>
    <t>AISHAH</t>
  </si>
  <si>
    <t>DELIVERY_THREE_DAYS_ANYTIME</t>
  </si>
  <si>
    <t>Parcel</t>
  </si>
  <si>
    <t>STANDARD</t>
  </si>
  <si>
    <t>SMALL</t>
  </si>
  <si>
    <t>WMSIA</t>
  </si>
  <si>
    <t>KBR1-KBR1</t>
  </si>
  <si>
    <t>Selangor</t>
  </si>
  <si>
    <t>NO 13 JALAN RHU 2/2, PINES BANDAR HILLPARK 42300 PUNCAK ALAM SELANGOR  Bandar Puncak Alam Selangor - my 42300</t>
  </si>
  <si>
    <t>K13-PCK-135</t>
  </si>
  <si>
    <t>AHMAD RETAIL</t>
  </si>
  <si>
    <t>NVMY34535000005417</t>
  </si>
  <si>
    <t>ZAILANI CHE WAIL</t>
  </si>
  <si>
    <t>70 JALAN 9/9 F SEKSYEN 9 BANDAR BARU BANGI 43650 SELANGOR  Bandar Baru Bangi Selangor - my 43650</t>
  </si>
  <si>
    <t>K12A-BGI-128</t>
  </si>
  <si>
    <t>NVMY34535000005424</t>
  </si>
  <si>
    <t>Ruhaizan Abdul Rahman</t>
  </si>
  <si>
    <t>No. 11, Jalan 15/5H 43650 Bandar Baru Bangi Selangor  Bandar Baru Bangi Selangor - my 43650</t>
  </si>
  <si>
    <t>NVMY34535000005415</t>
  </si>
  <si>
    <t>WAHIDA WAHID (PUDO)</t>
  </si>
  <si>
    <t>NINJA VAN,LEVEL14 ,WEST WING,WISMA CONSPLANT 1, JALAN SS16/4,47500 SUBANG JAYA,SELANGOR  Subang Jaya Selangor - my 47500</t>
  </si>
  <si>
    <t>K12-HTC-124</t>
  </si>
  <si>
    <t>NVMY34535000005427</t>
  </si>
  <si>
    <t>UMMI FAZIRA BINTI DERUS</t>
  </si>
  <si>
    <t>Terengganu</t>
  </si>
  <si>
    <t>LOT 16907B JALAN GERTAK SERATUS 22300 KUALA BESUT TERENGGANU  Kuala Terengganu Terengganu - my 22300</t>
  </si>
  <si>
    <t>NVMY34535000005418</t>
  </si>
  <si>
    <t>GRIMO</t>
  </si>
  <si>
    <t>SELANGOR, PUCHONG, 67, JALAN TK 5/39 KINRARA INDUSTRIAL PARK   Puchong Selangor - my 47180</t>
  </si>
  <si>
    <t>MM-MM</t>
  </si>
  <si>
    <t>NVMY34535000005399</t>
  </si>
  <si>
    <t>Fatimah Kapor</t>
  </si>
  <si>
    <t>Lot 118-A2 jalan muhibah, Padang jawa, 42450 klang.selangor  Shah Alam Selangor - my 42450</t>
  </si>
  <si>
    <t>K14-BTK-139</t>
  </si>
  <si>
    <t>NVMY34535000005425</t>
  </si>
  <si>
    <t>ASRUL AFFENDI ABDULLAH</t>
  </si>
  <si>
    <t>Kuala Lumpur</t>
  </si>
  <si>
    <t>NO 40-46 JALAN MAAROF 59000 BANGSAR KUALA LUMPUR  Kuala Lumpur Kuala Lumpur - my 59000</t>
  </si>
  <si>
    <t>K14-SPH-144</t>
  </si>
  <si>
    <t>NVMY34535000005432</t>
  </si>
  <si>
    <t>ENRICH CHAMPION SDN BHD</t>
  </si>
  <si>
    <t>LOT 1 LORONG CJ 1/1A OFF JALAN BALAKONG TAMAN CHERAS JAYA 43200 BALAKONG SELANGOR  Kuala Lumpur Kuala Lumpur - my 43200</t>
  </si>
  <si>
    <t>K10A-KAJ-102</t>
  </si>
  <si>
    <t>NVMY34535000005431</t>
  </si>
  <si>
    <t>NVMY34535000005423</t>
  </si>
  <si>
    <t>PUAN NIZA</t>
  </si>
  <si>
    <t>B-9-11 V.Residensi Persiaran Selayang Heights Gombak ,68100 Selangor.  Batu Caves Selangor - my 68100</t>
  </si>
  <si>
    <t>K12-SLG-122</t>
  </si>
  <si>
    <t>NVMY34535000005426</t>
  </si>
  <si>
    <t>NUR ALEESA MALISA</t>
  </si>
  <si>
    <t>E-11-1 OLD KLANG ROAD JALAN KLANG LAMA 58200 KUALA LUMPUR  Kuala Lumpur Kuala Lumpur - my 58200</t>
  </si>
  <si>
    <t>K11-DSA-111</t>
  </si>
  <si>
    <t>NVMY34535000005421</t>
  </si>
  <si>
    <t>JENNY LAPON</t>
  </si>
  <si>
    <t>Sabah</t>
  </si>
  <si>
    <t>SMK KENINGAU PETI SURAT 272 89008 KENINGAU SABAH  Keningau Sabah - my 89008</t>
  </si>
  <si>
    <t>EMSIA</t>
  </si>
  <si>
    <t>SBH-SBH</t>
  </si>
  <si>
    <t>NVMY34535000005420</t>
  </si>
  <si>
    <t>PERTUBUHAN ARKITEK MALAYSIA</t>
  </si>
  <si>
    <t>99L JALAN TANDOK BANGSAR 59100 KUALA LUMPUR (UP: MR NORAZAM VICTOR ABDULLAH) (0322022866)  Kuala Lumpur Kuala Lumpur - my 59100</t>
  </si>
  <si>
    <t>NVMY34535000005428</t>
  </si>
  <si>
    <t>MR KIDDO</t>
  </si>
  <si>
    <t>Kedah</t>
  </si>
  <si>
    <t>NO 71 JALAN SERI ASTANA 6 TAMAN SERI ASTANA 06500 JALAN LANGGAR ALOR SETAR KEDAH  Langgar Kedah - my 06500</t>
  </si>
  <si>
    <t>E3A-AOR-37</t>
  </si>
  <si>
    <t>NVMY34535000005436</t>
  </si>
  <si>
    <t>MOHD ASYRAF IKHWAN BIN MOHD ZAINAL</t>
  </si>
  <si>
    <t>Pahang</t>
  </si>
  <si>
    <t>NO 97 JLN 1/5 TAMAN TUALANG INDAH 28400 MENTAKAB PAHANG  Mentakab Pahang - my 28400</t>
  </si>
  <si>
    <t>PHG-PHG</t>
  </si>
  <si>
    <t>NVMY34535000005430</t>
  </si>
  <si>
    <t>MAX AUDIO ONLINE (HADI) - 2306018P0CE1MT</t>
  </si>
  <si>
    <t>74 JALAN JEJAKA 1 TAMAN MALURI CHERAS 55100 KUALA LUMPUR   Kuala Lumpur Kuala Lumpur - my 55100</t>
  </si>
  <si>
    <t>NVMY34535000005441</t>
  </si>
  <si>
    <t>ENOTEX PC SDN BHD</t>
  </si>
  <si>
    <t>NO 33-G JALAN METRO PERDANA 7 TAMAN USAHAWAN KEPONG 52100 KUALA LUMPUR (0128848169)  Kuala Lumpur Kuala Lumpur - my 52100</t>
  </si>
  <si>
    <t>K11A-KEP-115</t>
  </si>
  <si>
    <t>NVMY34535000005422</t>
  </si>
  <si>
    <t>NURSYAFIQAH BINTI MOHD NOOR</t>
  </si>
  <si>
    <t>Negeri Sembilan</t>
  </si>
  <si>
    <t>JALAN KONDOK 12 PEKAN NILAI LAMA 71800 LABU NEGERI SEMBILAN  Labu Negeri Sembilan - my 71800</t>
  </si>
  <si>
    <t>S9-NIL-84</t>
  </si>
  <si>
    <t>NVMY34535000005414</t>
  </si>
  <si>
    <t>MISS SIEW</t>
  </si>
  <si>
    <t>KEL-KEL</t>
  </si>
  <si>
    <t>Perak</t>
  </si>
  <si>
    <t>BTK INTEGRATED TRANSPORT SDN BHD, LOT 1303 &amp; 1070, JALAN KUALA KANGSAR 34700 SIMPANG, PERAK DARUL RIDZUAN  Perak - Simpang Perak - my 34700</t>
  </si>
  <si>
    <t>NVMY34535000005429</t>
  </si>
  <si>
    <t>SITI RAIHAN BINTI RASDI</t>
  </si>
  <si>
    <t>Johor</t>
  </si>
  <si>
    <t>LOT 24 JALAN BUNGA MAWAR KAMPONG MAJU JAYA 81300 SKUDAI JOHOR  Johor Bahru Johor - my 81300</t>
  </si>
  <si>
    <t>S7A-SEN-73</t>
  </si>
  <si>
    <t>NVMY34535000005419</t>
  </si>
  <si>
    <t>TAN HUEY JUEN</t>
  </si>
  <si>
    <t>Melaka</t>
  </si>
  <si>
    <t>XEPA-SOUL PATTINSON MALAYSIA SDN BHD 1-5 CHENG INDUSTRIAL ESTATE 75250 MELAKA  Melaka Melaka - my 75250</t>
  </si>
  <si>
    <t>NVMY34535000005434</t>
  </si>
  <si>
    <t>NURLYANA BT MOHAMAD SHAH</t>
  </si>
  <si>
    <t>NO 80 TAMAN MUTIARA SEBERANG JALAN PUTRA 05150 ALOR SETAR KEDAH  Alor Setar Kedah - my 05150</t>
  </si>
  <si>
    <t>NVMY34535000005443</t>
  </si>
  <si>
    <t>MUHAMMAD Al SUKRI</t>
  </si>
  <si>
    <t>NO 3 JALAN HARMONI 4 /6 TAMAN DESA HARMONI 81100 JOHOR BAHRU JOHOR  Johor Bahru Johor - my 81100</t>
  </si>
  <si>
    <t>S7-AUS-67</t>
  </si>
  <si>
    <t>NVMY34535000005454</t>
  </si>
  <si>
    <t>NURUL NAJIHAH BT YUSOF</t>
  </si>
  <si>
    <t>LOT 8510-C LORONG TEPI MASJID KG BUKIT BERANGAN 21030 TEPOH KUALA TERENGGANU   Kuala Terengganu Terengganu - my 21030</t>
  </si>
  <si>
    <t>E2-GBK-11</t>
  </si>
  <si>
    <t>NVMY34535000005440</t>
  </si>
  <si>
    <t>MOHD BAZLIE IKHRAM BIN AZMI</t>
  </si>
  <si>
    <t>Labuan</t>
  </si>
  <si>
    <t>JABATAN LAUT MALAYSIA W.P.LABUAN JALAN MERDEKA 87020 W.P LABUAN   Labuan Labuan - my 87020</t>
  </si>
  <si>
    <t>M15B-LBN-168</t>
  </si>
  <si>
    <t>NVMY34535000005444</t>
  </si>
  <si>
    <t>NIK LOKMAN</t>
  </si>
  <si>
    <t>NO 32 JALAN SETIA PERDANA U13/27E BANDAR SETIA ALAM 40170 SHAH ALAM SELANGOR  Shah Alam Selangor - my 40170</t>
  </si>
  <si>
    <t>K10-ALM-98</t>
  </si>
  <si>
    <t>NVMY34535000005453</t>
  </si>
  <si>
    <t>MOHD HAFIZI BIN ZAKARIA (HAFIZI COCONUT SHAKE)</t>
  </si>
  <si>
    <t>Kelantan</t>
  </si>
  <si>
    <t>KAMPUNG BECHAH SEMAK 17020 PASIR MAS KELANTAN  Pasir Mas Kelantan - my 17020</t>
  </si>
  <si>
    <t>NVMY34535000005451</t>
  </si>
  <si>
    <t>CIK ASNAH BINTI JUSOH</t>
  </si>
  <si>
    <t>310 KAMPUNG LINGAI, BATU RAKIT 21060 KUALA TERENGGANU, TERENGGANU  Kuala Terengganu Terengganu - my 21060</t>
  </si>
  <si>
    <t>NVMY34535000005435</t>
  </si>
  <si>
    <t>NADIA</t>
  </si>
  <si>
    <t>NO 61 A PERUMAHAN KASTAM BATU ASAH JALAN PADANG GAONG 07000 LANGKAWI KEDAH  -   MY 07000</t>
  </si>
  <si>
    <t>NVMY34535000005438</t>
  </si>
  <si>
    <t>MOHD NUR RAJAUDDIN BIN MOHD ROSDI</t>
  </si>
  <si>
    <t>Pulau Pinang</t>
  </si>
  <si>
    <t>CAWANGAN OPERASI PANGKALAN UDARA BUTTERWORTH 12990 PULAU PINANG  Butterworth Pulau Pinang - my 12990</t>
  </si>
  <si>
    <t>N5-BTS-42</t>
  </si>
  <si>
    <t>NVMY34535000005449</t>
  </si>
  <si>
    <t>ANIS SAKINAH</t>
  </si>
  <si>
    <t>KOLEJ DATO ONN 3 UNIVERSITI TEKNOLOGI MARA CAWANGAN KELANTAN KAMPUS MACHANG BUKIT ILMU 18500 MACHANG KELANTAN  Machang Kelantan - my 18500</t>
  </si>
  <si>
    <t>NVMY34535000005442</t>
  </si>
  <si>
    <t>JAIVINESH</t>
  </si>
  <si>
    <t>NO 16 TAMAN KENANGAN SUNGAI KARANGAN 09410 PADANG SERAI KULIM KEDAH  Padang Serai Kedah - my 09410</t>
  </si>
  <si>
    <t>N5-KLM-40</t>
  </si>
  <si>
    <t>NVMY34535000005456</t>
  </si>
  <si>
    <t>Wan Zunaidah Bt Wan Ab Rahman</t>
  </si>
  <si>
    <t>11-2-1 Kelumpuk Kemunting B, Jalan 30/56 Keramat Wangsa, 54200 KL  Kuala Lumpur Kuala Lumpur - my 54200</t>
  </si>
  <si>
    <t>NVMY34535000005450</t>
  </si>
  <si>
    <t>SYAZI RAWANIS</t>
  </si>
  <si>
    <t>NO 127 FELDA CIKU 5 18300 GUA MUSANG KELANTAN  Gua Musang Kelantan - my 18300</t>
  </si>
  <si>
    <t>NVMY34535000005448</t>
  </si>
  <si>
    <t>HAZREEN</t>
  </si>
  <si>
    <t>KOLEJ TUN SYED NASIR UKM JALAN TEMERLOH TITIWANGSA 53200 KUALA LUMPUR WILAYAH PERSEKUTUAN KUALA LUMPUR  Kuala Lumpur Kuala Lumpur - my 53200</t>
  </si>
  <si>
    <t>NVMY34535000005439</t>
  </si>
  <si>
    <t>NURUL AINI BINTI AHMAD ZAINORDIN</t>
  </si>
  <si>
    <t>NO A11 BANGUNAN KOPERASI JALAN PASAR 86400 PARIT RAJA BATU PAHAT JOHOR  Parit Raja Johor - my 86400</t>
  </si>
  <si>
    <t>S8-HTM-81</t>
  </si>
  <si>
    <t>NVMY34535000005452</t>
  </si>
  <si>
    <t>PUAN HAMIDAH MOHD YUNNUS</t>
  </si>
  <si>
    <t>19 JALAN PENDAMAR INDAH 5A TAMAN PENDAMAR INDAH 42000 PORT KLANG SELANGOR  Pelabuhan Klang Selangor - my 42000</t>
  </si>
  <si>
    <t>NVMY34535000005437</t>
  </si>
  <si>
    <t>AHLIM</t>
  </si>
  <si>
    <t>62, JALAN HASAN KAMPONG BENTONG KLUANG 86000 JOHOR  Kluang Johor - my 86000</t>
  </si>
  <si>
    <t>S8-KLU-76</t>
  </si>
  <si>
    <t>NVMY34535000005416</t>
  </si>
  <si>
    <t>AMIRUL ASHRAFF ROSLAN (AREA LIAISON PHG)</t>
  </si>
  <si>
    <t>15,JALAN IM 14/9,INDERA MAHKOTA INDUSTRIAL AREA,25200 KUANTAN PAHANG  Pahang Kuantan Pahang - my 25200</t>
  </si>
  <si>
    <t>NVMY34535000005457</t>
  </si>
  <si>
    <t>SOFWAN FATHY</t>
  </si>
  <si>
    <t>THE LEVERAGE LITE HOTEL KUANTAN NO 289 &amp; 291 JALAN AIR PUTIH AIR PUTIH 25350 KUANTAN PAHANG  Kuantan Pahang - my 25350</t>
  </si>
  <si>
    <t>NVMY34535000005461</t>
  </si>
  <si>
    <t>NOOR HIDAYAH BT MASARANI</t>
  </si>
  <si>
    <t>SEKOLAH MENENGAH SERI SETIA 120 JALAN DATO KLANA MA'MOR 70200 SEREMBAN NEGERI SEMBILAN  Seremban Negeri Sembilan - my 70200</t>
  </si>
  <si>
    <t>S9-SBN-86</t>
  </si>
  <si>
    <t>NVMY34535000005459</t>
  </si>
  <si>
    <t>SOFEA MEDISPA KAMPUNG RAJA</t>
  </si>
  <si>
    <t>LOT 7200 TINGKAT 1 JALAN KAMPUNG RAJA KUALA BESUT MUKIM KAMPUNG RAJA BESUT TERENGGANU  Jerteh Terengganu - my 22000</t>
  </si>
  <si>
    <t>E1A-JTH-9</t>
  </si>
  <si>
    <t>NVMY34535000005455</t>
  </si>
  <si>
    <t>ZURAIDA ASMANITA CHE MAT</t>
  </si>
  <si>
    <t>No 688c lorong Sri Astana, 11/4 Bandar Astana 08000 Sungai Petani Kedah   Kedah my 08000</t>
  </si>
  <si>
    <t>E3-SPT-30</t>
  </si>
  <si>
    <t>NVMY34535000005460</t>
  </si>
  <si>
    <t>SOFEA MEDISPA KEMAMAN</t>
  </si>
  <si>
    <t>PT 21074 TINGKAT 1 JALAN CENDERAWSIH TAMAN CUKAI UTAMA KEMAMAN TERENGGANU  Ayer Puteh Terengganu - my 24000</t>
  </si>
  <si>
    <t>N4-CHU-19</t>
  </si>
  <si>
    <t>NVMY34535000005446</t>
  </si>
  <si>
    <t>NIK HASBOLLAH</t>
  </si>
  <si>
    <t>NIK IKAN BAKAR NO 1 MEDAN SELERA MASJID KAYANGAN BRINCHANG 39100 CAMERON HIGHLANDS PAHANG  Brinchang Pahang - my 39100</t>
  </si>
  <si>
    <t>N6-CMN-54</t>
  </si>
  <si>
    <t>NVMY34535000005447</t>
  </si>
  <si>
    <t>NORFARAHIN BT MOHAMMAD</t>
  </si>
  <si>
    <t>262 PT MOIN 2 MK 2 BAGAN 83000 BATU PAHAT JOHOR  Batu Pahat Johor - my 83000</t>
  </si>
  <si>
    <t>S8-BPT-80</t>
  </si>
  <si>
    <t>NVMY34535000005465</t>
  </si>
  <si>
    <t>NOR AFLINA MOHAMED</t>
  </si>
  <si>
    <t>NO 13 JALAN GP 3/7 TAMAN GOMBAK PERMAI 68100 BATU CAVES SELANGOR  Batu Caves Selangor - my 68100</t>
  </si>
  <si>
    <t>NVMY34535000005462</t>
  </si>
  <si>
    <t>NUR RAHIMAH</t>
  </si>
  <si>
    <t>DJ2/2 KG SUNGAI DUA PANTAI SEPAT JALAN PENOR 26060 KUANTAN PAHANG  Kuantan Pahang - my 26060</t>
  </si>
  <si>
    <t>NVMY34535000005445</t>
  </si>
  <si>
    <t>ISTA ZOHRA BINTI SURATIN</t>
  </si>
  <si>
    <t>6E-21-17 MELODY HOMES APARTMENT LEBUHRAYA THEAN TEIK 11500 AYER ITAM PENANG  Ayer Itam Pulau Pinang - my 11500</t>
  </si>
  <si>
    <t>N5-FLM-46</t>
  </si>
  <si>
    <t>NVMY34535000005464</t>
  </si>
  <si>
    <t>ABDULLAH BIN ALI</t>
  </si>
  <si>
    <t>SMK PANTAI IB WORLD SCHOOL P.O BOX 81755 JALAN POHON BATU 87007 W.P.LABUAN  Labuan Labuan - my 87007</t>
  </si>
  <si>
    <t>NVMY34535000005475</t>
  </si>
  <si>
    <t>RAINBOW PAPER SUPPLIES SDN BHD (ATTN: FATIN)</t>
  </si>
  <si>
    <t>1 &amp; 3 JALAN TPP 6/8 TAMAN PERINDUSTRIAN PUCHONG 47100 SELANGOR  Telok Panglima Garang Selangor - my 47100</t>
  </si>
  <si>
    <t>K14-TPK-140</t>
  </si>
  <si>
    <t>NVMY34535000005471</t>
  </si>
  <si>
    <t>SYAHIRAH AZMI</t>
  </si>
  <si>
    <t>LOT 61190 JALAN KEBUN SAYUR BANGGOL LALANG SERADA 20050 KUALA TERENGGANU TERENGGANU   Terengganu my 20050</t>
  </si>
  <si>
    <t>NVMY34535000005463</t>
  </si>
  <si>
    <t>NVMY34535000005469</t>
  </si>
  <si>
    <t>539113 SJN BURHANIS SULTONI BIN TEMU</t>
  </si>
  <si>
    <t>NO.7 LORONG GAMBANG DAMAI 1/15, TAMAN GAMBANG DAMAI 1, 26300 KUANTAN, PAHANG.  Gambang Pahang - my 26300</t>
  </si>
  <si>
    <t>NVMY34535000005470</t>
  </si>
  <si>
    <t>SYED MOHD AZIZ</t>
  </si>
  <si>
    <t>NO 27 JALAN CAHAYA 4 TAMAN CAHAYA 68000 AMPANG SELANGOR   Selangor my 68000</t>
  </si>
  <si>
    <t>NVMY34535000005466</t>
  </si>
  <si>
    <t>MOHD DASUKI BIN PARIDIN</t>
  </si>
  <si>
    <t>KG BARU HUJUNG REPEK 16310 BACHOK KELANTAN  Bachok Kelantan - my 16310</t>
  </si>
  <si>
    <t>NVMY34535000005458</t>
  </si>
  <si>
    <t>RAJINII DEVI</t>
  </si>
  <si>
    <t>NO 27 JALAN RM2/2 TAMAN RAMBAI MURNI 2 BUKIT RAMBAI MELAKA TENGAH 75260 MELAKA  Melaka Melaka - my 75260</t>
  </si>
  <si>
    <t>NVMY34535000005467</t>
  </si>
  <si>
    <t>MUHAMMAD SYAHMIN BIN KAMARUDIN</t>
  </si>
  <si>
    <t>NO 39-1 JLN RAJA UDA KAMPUNG BARU 53000 KUALA LUMPUR  Kuala Lumpur Kuala Lumpur - my 53000</t>
  </si>
  <si>
    <t>K11-CKT-112</t>
  </si>
  <si>
    <t>NVMY34535000005472</t>
  </si>
  <si>
    <t>RASYIQAH</t>
  </si>
  <si>
    <t>PEKAN SELASA LAMA SUNGAI HAJI DORANI 45300  SUNGAI BESAR SABAK BERNAM SELANGOR  Sungai Besar Selangor - my 45300</t>
  </si>
  <si>
    <t>K13-SBR-137</t>
  </si>
  <si>
    <t>NVMY34535000005473</t>
  </si>
  <si>
    <t>NVMY34535000005476</t>
  </si>
  <si>
    <t>HAZA ISMAIL</t>
  </si>
  <si>
    <t>B-7-8 MASRECA 19 PERSIARAN RIMBA PERMAI SEPANG SELANGOR  Shah Alam Selangor - my 63000</t>
  </si>
  <si>
    <t>K12-CJY-123</t>
  </si>
  <si>
    <t>NVMY34535000005477</t>
  </si>
  <si>
    <t>ROSMAWATI BINTI MUHAMAD</t>
  </si>
  <si>
    <t>NO 10 JALAN 2/3 TAMAN KESEDAR PUTRA 18300 GUA MUSANG KELANTAN  Gua Musang Kelantan - my 18300</t>
  </si>
  <si>
    <t>NVMY34535000005468</t>
  </si>
  <si>
    <t>LOT 16907B JALAN GERTAK SERATUS 22300 KUALA BESUT TERENGGANU   Terengganu my 22300</t>
  </si>
  <si>
    <t>NVMY34535000005479</t>
  </si>
  <si>
    <t>MUHAMMMAD FARKHANUDIN</t>
  </si>
  <si>
    <t>LOT 606, KAMPUNG KUALA PAJAM 43700 BERANANG SELANGOR  Beranang Selangor - my 43700</t>
  </si>
  <si>
    <t>K13-SYH-136</t>
  </si>
  <si>
    <t>NVMY34535000005474</t>
  </si>
  <si>
    <t>ATIRAH</t>
  </si>
  <si>
    <t>FZ CAMERON C-G-10 &amp; C-G-11 CAMERON FAIR JALAN CAMELIA 39000 TANAH RATA CAMERON HIGHLANDS PAHANG  Tanah Rata Pahang - my 39000</t>
  </si>
  <si>
    <t>NVMY34535000005481</t>
  </si>
  <si>
    <t>NORSHAM (GUARD POST)</t>
  </si>
  <si>
    <t>SEK MEN AGAMA RANTAU, KUALA SAWAH 71200 RANTAU, NEGERI SEMBILAN  Rantau Negeri Sembilan - my 71200</t>
  </si>
  <si>
    <t>S9-PDS-85</t>
  </si>
  <si>
    <t>NVMY34535000005486</t>
  </si>
  <si>
    <t>SYARIFAH NORAFIZAH FARIDAH SOFIA</t>
  </si>
  <si>
    <t>842 JALAN SEMARAK 15 TAMAN PANCHOR JAYA 70400 SEREMBAN NEGERI SEMBILAN   Seremban Negeri Sembilan - my 70400</t>
  </si>
  <si>
    <t>S9-SWG-83</t>
  </si>
  <si>
    <t>NVMY34535000005484</t>
  </si>
  <si>
    <t>SHAHRUL BIN AHMAD</t>
  </si>
  <si>
    <t>7-9-1 SURIA AVENUE JALAN DAWAI 16/2, SEKSYEN 16 SHAH ALAM SELANGOR  Shah Alam Selangor - my 40000</t>
  </si>
  <si>
    <t>K11-KLG-108</t>
  </si>
  <si>
    <t>NVMY34535000005485</t>
  </si>
  <si>
    <t>SAHILA BT MOHAMAD</t>
  </si>
  <si>
    <t>707 KAMPUNG PULAU MUSANG 20050 KUALA TERENGGANU  Kuala Terengganu Terengganu - my 20050</t>
  </si>
  <si>
    <t>NVMY34535000005487</t>
  </si>
  <si>
    <t>NOOR HALEZARIAH BT ABDUL LATIFF</t>
  </si>
  <si>
    <t>NO 29 JALAN AU 2A/9 TAMAN KERAMAT 54200 KUALA LUMPUR  Kuala Lumpur Kuala Lumpur - my 54200</t>
  </si>
  <si>
    <t>K10-MLT-94</t>
  </si>
  <si>
    <t>NVMY34535000005482</t>
  </si>
  <si>
    <t>MUHAMMAD DAUD</t>
  </si>
  <si>
    <t>TS 6352 JALAN KILANG UBI CHEROK TOK KUN 14000 BUKIT MERTAJAM PULAU PINANG  Kubang Semang Pulau Pinang - my 14000</t>
  </si>
  <si>
    <t>NVMY34535000005489</t>
  </si>
  <si>
    <t>MOHAMAD ZULHILMI ISMAIL</t>
  </si>
  <si>
    <t>NO 50 LORONG PKP 28 BANDAR KUANTAN PUTERI SUNGAI SOI KUANTAN PAHANG  Kuantan Pahang - my 25150</t>
  </si>
  <si>
    <t>NVMY34535000005480</t>
  </si>
  <si>
    <t>RANJANA BIN DAUN</t>
  </si>
  <si>
    <t>JABATAN KERJA RAYA KM 5.5, JALAN UTARA 90700 SANDAKAN SABAH  Sandakan Sabah - my 90700</t>
  </si>
  <si>
    <t>M15-SDK-149</t>
  </si>
  <si>
    <t>NVMY34535000005488</t>
  </si>
  <si>
    <t>TENGKU MASURI</t>
  </si>
  <si>
    <t>Perlis</t>
  </si>
  <si>
    <t>MINI MART LADANG KAWASAN BERSERI KM 11 JALAN KAKI BUKIT KANGAR 02400 PERLIS  Kangar Perlis - my 02400</t>
  </si>
  <si>
    <t>E3-BSR-34</t>
  </si>
  <si>
    <t>NVMY34535000005495</t>
  </si>
  <si>
    <t>EVONN CHESTER</t>
  </si>
  <si>
    <t>NO 6 JLN MOHD TAHIR 26 OFF JALAN RAJA NONG 41200 KLANG SELANGOR  Klang Selangor - my 41200</t>
  </si>
  <si>
    <t>NVMY34535000005502</t>
  </si>
  <si>
    <t>WAN SADZALE BIN WAN ABD RAHIM</t>
  </si>
  <si>
    <t>BALAI PENGAWAL INSTITUT KOMUNIKASI DAN ELEKTRONIK TENTERA DARAT KEM PERDANA SUNGAI BESI 57000 KUALA LUMPUR  Kuala Lumpur Kuala Lumpur - my 57000</t>
  </si>
  <si>
    <t>K12A-BTR-125</t>
  </si>
  <si>
    <t>NVMY34535000005478</t>
  </si>
  <si>
    <t>BANK PERTANIAN MALAYSIA BERHAD (AGROBANK)</t>
  </si>
  <si>
    <t>TRADE FINANCE DEPARTMENT SUITE 8.0 , 8TH FLOOR WISMA MARAN NO 28 MEDAN PASAR 50050 KUALA LUMPUR (ATTN : TRADE OPERATIONS SECTION)  Kuala Lumpur Kuala Lumpur - my 50050</t>
  </si>
  <si>
    <t>NVMY34535000005506</t>
  </si>
  <si>
    <t>CARMEN CHUI</t>
  </si>
  <si>
    <t>NO 5 TAMAN SRI JERKOH KUALA LIPIS 27300 PAHANG  Kuala Lipis Pahang - my 27300</t>
  </si>
  <si>
    <t>NVMY34535000005498</t>
  </si>
  <si>
    <t>CIK BELLA</t>
  </si>
  <si>
    <t>NO 31 JALAN BUNGA RAYA 2, TAMAN BUNGA RAYA 01000 KANGAR PERLIS  Kangar Perlis - my 01000</t>
  </si>
  <si>
    <t>E3A-KGR-35</t>
  </si>
  <si>
    <t>NVMY34535000005496</t>
  </si>
  <si>
    <t>FIRDAUS B  MOHD ROSIDI</t>
  </si>
  <si>
    <t>NO 50 LALUAN RAIA MESRA 14, 31300 KG KEPAYANG PERAK  Kampung Kepayang Perak - my 31300</t>
  </si>
  <si>
    <t>N6-HLD-48</t>
  </si>
  <si>
    <t>NVMY34535000005483</t>
  </si>
  <si>
    <t>MOHD RIDUAN</t>
  </si>
  <si>
    <t>UPECA AEROTECH SDN BHD, LOT 2-22 JALAN SU 6A, SEKSYEN 22 LION INDUSTRIAL PARK 40300 SHAH ALAM SELANGOR  Selangor Shah Alam Selangor - my 40300</t>
  </si>
  <si>
    <t>K10A-SHA-104</t>
  </si>
  <si>
    <t>NVMY34535000005505</t>
  </si>
  <si>
    <t>USTAZ MUHAMAD SHAFIQ</t>
  </si>
  <si>
    <t>PUSAT RAWATAN AL IDRUS (PRAI), 75-1 AMBER BUSINESS PLAZA, 82A, JALAN JELAWAT 1, CHERAS 56000 KUALA LUMPUR  Kuala Lumpur Kuala Lumpur - my 56000</t>
  </si>
  <si>
    <t>NVMY34535000005503</t>
  </si>
  <si>
    <t>MUHAMAD NAIM BIN ISMAIL</t>
  </si>
  <si>
    <t>LOT 947 LORONG SENANGIN KG SAUJANA 22110 SETIU TERENGGANU  Chalok Terengganu - my 22110</t>
  </si>
  <si>
    <t>NVMY34535000005493</t>
  </si>
  <si>
    <t>WAN SURBANI BINTI WAN OMAR</t>
  </si>
  <si>
    <t>OFFICE INFORMATION TECHNOLOGY DIVISION INTERNATIONAL ISLAMIC UNIVERSITY MALAYSIA GOMBAK 53100 KUALA LUMPUR  Hulu Langat Kuala Lumpur - my 53100</t>
  </si>
  <si>
    <t>K10-CAV-95</t>
  </si>
  <si>
    <t>NVMY34535000005492</t>
  </si>
  <si>
    <t>MAIZUM MOHD</t>
  </si>
  <si>
    <t>MRSM Johor Bahru Jln Persiaran Sinaran Ilmu Bandar Seri Alam 81750 Masai Johor   Johor my 81750</t>
  </si>
  <si>
    <t>S7A-PSG-68</t>
  </si>
  <si>
    <t>NVMY34535000005501</t>
  </si>
  <si>
    <t>WAN RISYAM</t>
  </si>
  <si>
    <t>NO 38 JALAN SAUJANA AMAN 3 TAMAN SAUJANA AMAN 47000 SUNGAI BULOH KUALA LUMPUR  Kuala Lumpur Kuala Lumpur - my 47000</t>
  </si>
  <si>
    <t>NVMY34535000005497</t>
  </si>
  <si>
    <t>NURUL KHAIRANI BINTI ISMAIL</t>
  </si>
  <si>
    <t>PUSAT PEMINDAHAN TEKNOLOGI &amp; PEMBANGUNAN USAHAWAN, IBU PEJABAT MARDI, PERSIARAN MARDI-UPM 43400 SERDANG SELANGOR  Serdang Selangor - my 43400</t>
  </si>
  <si>
    <t>K12-SRD-121</t>
  </si>
  <si>
    <t>NVMY34535000005504</t>
  </si>
  <si>
    <t>SHERLYN</t>
  </si>
  <si>
    <t>E18-01 MAXIM CITILIGHT SENTUL JALAN SENTUL PASAR 51100 KUALA LUMPUR  Kuala Lumpur Kuala Lumpur - my 51100</t>
  </si>
  <si>
    <t>NVMY34535000005499</t>
  </si>
  <si>
    <t>WAN HAZIM MUIZ BIN WAN AZIZ</t>
  </si>
  <si>
    <t>RSC 1 GENTING HIGHLAND 69000 GENTING HIGHLAND PAHANG  Genting Highlands Pahang - my 69000</t>
  </si>
  <si>
    <t>K10-GEN-96</t>
  </si>
  <si>
    <t>NVMY34535000005491</t>
  </si>
  <si>
    <t>AZURA BINTI MUHAMAD</t>
  </si>
  <si>
    <t>Blok B, B-7-5,  Desa Wangsa Keramat, Jalan Keramat Hujung, Off Jalan Dato Keramat, Kg Datuk Keramat, 54000 Wilayah Persekutuan Kuala Lumpur.   Kuala Lumpur my 54000</t>
  </si>
  <si>
    <t>NVMY34535000005507</t>
  </si>
  <si>
    <t>SITI NAJAH BT ISMAIL</t>
  </si>
  <si>
    <t>KG TEMBAK 'B' MADRASAH SAADATOL WATHONIAH TELAGA PANCUR 09300 KUALA KETIL KEDAH  Kuala Ketil Kedah - my 09300</t>
  </si>
  <si>
    <t>E3A-BAL-39</t>
  </si>
  <si>
    <t>NVMY34535000005521</t>
  </si>
  <si>
    <t>NAPISAH BINTI NAYAN</t>
  </si>
  <si>
    <t>NO 1-6 BLOK 3 JLN UFUK 25/73 TMN SRI MUDA SEKSYEN 25 SHAH ALAM 40400 SELANGOR  Shah Alam Selangor - my 40400</t>
  </si>
  <si>
    <t>K10-HGT-99</t>
  </si>
  <si>
    <t>NVMY34535000005508</t>
  </si>
  <si>
    <t>NORFAIZA</t>
  </si>
  <si>
    <t>NO 45 LORONG 35 PERUMAHAN MAKMUR INDERAPURAJAYA 25150 KUANTAN PAHANG  Kuantan Pahang - my 25150</t>
  </si>
  <si>
    <t>N4-KUA-18</t>
  </si>
  <si>
    <t>NVMY34535000005494</t>
  </si>
  <si>
    <t>HAMIDAH BINTI JANTAN</t>
  </si>
  <si>
    <t>NO 25 JLN PE 14 TAMAN PAYA EMAS 76450 MELAKA  Melaka Melaka - my 76450</t>
  </si>
  <si>
    <t>S9A-MYK-88</t>
  </si>
  <si>
    <t>NVMY34535000005520</t>
  </si>
  <si>
    <t>UMMU HANISAH BINTI NOR ZAMAN</t>
  </si>
  <si>
    <t>LOT 3353-12 LORONG SETIA 4 KG SETIA 48050 RAWANG SELANGOR  Rawang Selangor - my 48050</t>
  </si>
  <si>
    <t>K14-SGB-145</t>
  </si>
  <si>
    <t>NVMY34535000005515</t>
  </si>
  <si>
    <t>SHARIFAH AINI</t>
  </si>
  <si>
    <t>NO 30 JLN 3/37 SEKSYEN 3 BANDAR BARU BANGI 43650 SELANGOR  Bandar Baru Bangi Selangor - my 43650</t>
  </si>
  <si>
    <t>NVMY34535000005509</t>
  </si>
  <si>
    <t>SITI NUR ZULAIKHA BINTI HASSAN</t>
  </si>
  <si>
    <t>NO 55 JALAN DAMAI IMPIAN 6 TAMAN DAMAI IMPIAN 2 27200 KUALA LIPIS PAHANG  Kuala Lipis Pahang - my 27200</t>
  </si>
  <si>
    <t>N4A-LIP-29</t>
  </si>
  <si>
    <t>NVMY34535000005510</t>
  </si>
  <si>
    <t>AKBAR</t>
  </si>
  <si>
    <t>NIK IKAN BAKAR 2 CAMERON HIGHLANS B1-7-G BRINCHANG SQUARE 39100 AMERON HIGHLANDS PAHANG  Brinchang Pahang - my 39100</t>
  </si>
  <si>
    <t>NVMY34535000005513</t>
  </si>
  <si>
    <t>HAFIY KEMAMAN</t>
  </si>
  <si>
    <t>1264-2 KAMPUNG PENGKALAN PANDAN LAMA 24000 CHUKAI TERENGGANU  Ayer Puteh Terengganu - my 24000</t>
  </si>
  <si>
    <t>NVMY34535000005514</t>
  </si>
  <si>
    <t>AIMI NADIAH</t>
  </si>
  <si>
    <t>6, CHANGKAT KERAMAT HUJUNG KAMPUNG DATUK KERAMAT 54000 KUALA LUMPUR  Kuala Lumpur Kuala Lumpur - my 54000</t>
  </si>
  <si>
    <t>NVMY34535000005523</t>
  </si>
  <si>
    <t>FEKRI AL HADDAD</t>
  </si>
  <si>
    <t>C5-02 CHANCELLOR CONDOMINIUM JALAN KOSAS 2/4 TAMAN KOSAS AMPANG 68000 SELANGOR  Ampang Selangor - my 68000</t>
  </si>
  <si>
    <t>K10A-AMP-105</t>
  </si>
  <si>
    <t>NVMY34535000005511</t>
  </si>
  <si>
    <t>AZWA AZIRA</t>
  </si>
  <si>
    <t>NO 2 PARIT PAKAT, PARIT 8 BAN 3 SUNGAI LEMAN 45400 SEKINCHAN SELANGOR  Sekinchan Selangor - my 45400</t>
  </si>
  <si>
    <t>NVMY34535000005524</t>
  </si>
  <si>
    <t>PUAN MAJIDAH BT MUHAMMAD</t>
  </si>
  <si>
    <t>652 JALAN TOK FAKEH KG SUNGAI PETAI 21700 KUALA BERANG HULU TERENGGANU TERENGGANU  Kuala Berang Terengganu - my 21700</t>
  </si>
  <si>
    <t>E2-AJL-13</t>
  </si>
  <si>
    <t>NVMY34535000005500</t>
  </si>
  <si>
    <t>BTK INTEGRATED TRANSPORT SDN BHD (ATTN : MISS SIEW)</t>
  </si>
  <si>
    <t>LOT 1030 &amp; 1070 JALAN KUALA KANGSAR 34700 SIMPANG TAIPING PERAK  Simpang Perak - my 34700</t>
  </si>
  <si>
    <t>NVMY34535000005512</t>
  </si>
  <si>
    <t>SYUIB</t>
  </si>
  <si>
    <t>LOT 504 BELAKANG SEKOLAH MENENGAH KEBANGSAAN GAAL 16800 PASIR PUTIH KELANTAN  Pasir Puteh Kelantan - my 16800</t>
  </si>
  <si>
    <t>NVMY34535000005490</t>
  </si>
  <si>
    <t>ROSLI BIN ABRAHIM @ IBRAHIM</t>
  </si>
  <si>
    <t>NO 80 KAMPUNG TELUK SUNGAI LAYAR 08000 SUNGAI PETANI KEDAH  Sungai Petani Kedah - my 08000</t>
  </si>
  <si>
    <t>NVMY34535000005218</t>
  </si>
  <si>
    <t>NORASIMAH NORDIN</t>
  </si>
  <si>
    <t>D/A SAIMAN GANI KLINIK PERGIGIAN BEAUFORT P/SURAT 1152 89808 BEAUFORT SABAH  Beaufort Sabah - my 89808</t>
  </si>
  <si>
    <t>M15-BFT-160</t>
  </si>
  <si>
    <t>NVMY34535000005228</t>
  </si>
  <si>
    <t>UDA SALEHAH BT JAMALAN</t>
  </si>
  <si>
    <t>NO 296 JALAN COLLEGE HEIGHT 5 TAMAN COLLEGE HEIGHT SIKAMAT 70400 SEREMBAN NEGERI SEMBILAN  Seremban Negeri Sembilan - my 70400</t>
  </si>
  <si>
    <t>NVMY34535000005257</t>
  </si>
  <si>
    <t>EMMA</t>
  </si>
  <si>
    <t>PPRT JALAN SEK KEB SEBERANG JERTEH, KG PENGKALAN SENTOL 22000 JERTEH TERENGGANU  Jerteh Terengganu - my 22000</t>
  </si>
  <si>
    <t>NVMY34535000005259</t>
  </si>
  <si>
    <t>CIK ARIFAH BT CHE ABDUL RAHMAN</t>
  </si>
  <si>
    <t>7-57 AXIS SOHU @ AXIS PANDAN JLN CEMPAKA TMN CEMPAKA 68000 AMPANG SELANGOR  Ampang Selangor - my 68000</t>
  </si>
  <si>
    <t>NVMY34535000005241</t>
  </si>
  <si>
    <t>MARZUKI YAHAYA</t>
  </si>
  <si>
    <t>SEK MEN KEB AGAMA ARAU JALAN SYED HASSAN ARAU 02600 PERLIS  Arau Perlis - my 02600</t>
  </si>
  <si>
    <t>NVMY34535000005261</t>
  </si>
  <si>
    <t>VIANA LIZA ABU HASSAN</t>
  </si>
  <si>
    <t>2EC IMPIANA WATERFRONT CONDO JALAN AMPANG ULU 68000 AMPANG SELANGOR  Ampang Selangor - my 68000</t>
  </si>
  <si>
    <t>NVMY34535000005232</t>
  </si>
  <si>
    <t>SYAUQI LOQMAN</t>
  </si>
  <si>
    <t>BLOK G 03-01 JALAN PULAI 83 TAMAN PULAI UTAMA, SKUDAI 81300 JOHOR BAHRU, JOHOR  Johor Bahru Johor - my 81300</t>
  </si>
  <si>
    <t>S7-NSJ-65</t>
  </si>
  <si>
    <t>NVMY34535000005251</t>
  </si>
  <si>
    <t>NUR SHURIANI BT MOHD YUSSUF</t>
  </si>
  <si>
    <t>E1-02-02,GARDENVILLE,ANDARI TOWNVILLA 1,JALAN SH 2/1,SELAYANG HEIGHTS,68100 BATU CAVES SELANGOR  Batu Caves Selangor - my 68100</t>
  </si>
  <si>
    <t>NVMY34535000005252</t>
  </si>
  <si>
    <t>ABDULLAH TAHIR</t>
  </si>
  <si>
    <t>NO 10 JALAN ADDA 6/5 (PURPLE FIELD), TAMAN ADDA 81100 JOHOR BAHRU JOHOR  Johor Bahru Johor - my 81100</t>
  </si>
  <si>
    <t>NVMY34535000005238</t>
  </si>
  <si>
    <t>DG.FATIMAH AG. LIMUDIN</t>
  </si>
  <si>
    <t>SK. LUBOKDARAT PETI SURAT 64 89857 BEAUFORT SABAH  Sipitang Sabah JALAN SESB SIPITANG my 89857</t>
  </si>
  <si>
    <t>M15-SIP-158</t>
  </si>
  <si>
    <t>NVMY34535000005239</t>
  </si>
  <si>
    <t>AZLYANA BINTI LADJALINO</t>
  </si>
  <si>
    <t>KAMPUNG TANJUNG KAPOR 89050 KUDAT SABAH  Kudat Sabah - my 89050</t>
  </si>
  <si>
    <t>M15-KDT-162</t>
  </si>
  <si>
    <t>NVMY34535000005266</t>
  </si>
  <si>
    <t>LUCAS</t>
  </si>
  <si>
    <t>NO 44 JALAN SS 2/75 47300 PETALING JAYA SELANGOR  Petaling Jaya Selangor - my 47300</t>
  </si>
  <si>
    <t>NVMY34535000005262</t>
  </si>
  <si>
    <t>RAJU AHMED</t>
  </si>
  <si>
    <t>A-10-10 KENANGA POINT CONDOMINIUM JALAN GELUGOR PUDU WILAYAH KUALA LUMPUR 55200  Kuala Lumpur Kuala Lumpur - my 55200</t>
  </si>
  <si>
    <t>K14-SHM-141</t>
  </si>
  <si>
    <t>NVMY34535000005253</t>
  </si>
  <si>
    <t>NVMY34535000005255</t>
  </si>
  <si>
    <t>NVMY34535000005258</t>
  </si>
  <si>
    <t>DAUD</t>
  </si>
  <si>
    <t>2783E RUMAH AWAN PAYA RUMPUT 76450 MELAKA  Melaka Melaka - my 76450</t>
  </si>
  <si>
    <t>NVMY34535000005254</t>
  </si>
  <si>
    <t>NVMY34535000005256</t>
  </si>
  <si>
    <t>NVMY34535000005267</t>
  </si>
  <si>
    <t>BOOKCAFE (FATIN)</t>
  </si>
  <si>
    <t>KEDAI BUKU BOOKCAFE 3A-01 SELAYANG 18 PERSIARAN 3 BANDAR BARU SELAYANG 68100 BATU CAVES SELANGOR  Batu Caves Selangor - my 68100</t>
  </si>
  <si>
    <t>NVMY34535000005260</t>
  </si>
  <si>
    <t>NORASHIMAH BT SHAIK KAMALUDIN</t>
  </si>
  <si>
    <t>BLOK 14-3-9 PERSIARAN MAYANGPASIR 5 BAYAN BARU 11950 PULAU PINANG  Bayan Lepas Pulau Pinang - my 11950</t>
  </si>
  <si>
    <t>N5-BAY-45</t>
  </si>
  <si>
    <t>NVMY34535000005249</t>
  </si>
  <si>
    <t>AZMAN A BAKAR</t>
  </si>
  <si>
    <t>NO 23 A BATU 1 1/2, JALAN MASJID LAMA, JALAN MATA AYER 02500 KANGAR PERLIS  Kangar Perlis - my 02500</t>
  </si>
  <si>
    <t>NVMY34535000005265</t>
  </si>
  <si>
    <t>KAMARULSALAM BIN ZAKARIA</t>
  </si>
  <si>
    <t>537 KG MENGABANG TELONG BATU RAKIT 21020 KUALA NERUS TERENGGANU  Kuala Terengganu Terengganu - my 21020</t>
  </si>
  <si>
    <t>NVMY34535000005250</t>
  </si>
  <si>
    <t>ALIAA BINTI MOHAMAD AREFF</t>
  </si>
  <si>
    <t>NO 47 LORONG PERDA TIMUR 8, BANDAR PERDA 14000 BUKIT MERTAJAM PULAU PINANG  Bukit Mertajam Pulau Pinang - my 14000</t>
  </si>
  <si>
    <t>NVMY34535000005264</t>
  </si>
  <si>
    <t>NVMY34535000005248</t>
  </si>
  <si>
    <t>FAEZ BT ZA'BAR</t>
  </si>
  <si>
    <t>NO 45 JALAN BAYAM 4, FELDA MAOKIL 3, 85300 LABIS SEGAMAT JOHOR  Labis Johor - my 85300</t>
  </si>
  <si>
    <t>S8-SGT-77</t>
  </si>
  <si>
    <t>NVMY34535000005272</t>
  </si>
  <si>
    <t>IRSALINA SHAHIRAH</t>
  </si>
  <si>
    <t>LOT 36285,LORONG DB 5,KG DATO ABU BAKAR BAGINDA,43000 KAJANG SELANGOR  Kajang Selangor - my 43000</t>
  </si>
  <si>
    <t>NVMY34535000005269</t>
  </si>
  <si>
    <t>PAMMELA DESIGN</t>
  </si>
  <si>
    <t>8B JALAN EKOPERNIAGAAN 10 PASIR GUDANG 2 JOHOR BAHRU JOHOR  Pasir Gudang Johor - my 81700</t>
  </si>
  <si>
    <t>S7A-MAS-70</t>
  </si>
  <si>
    <t>NVMY34535000005263</t>
  </si>
  <si>
    <t>SARAH AZMAN</t>
  </si>
  <si>
    <t>BELAKANG KUBUR NO 063 KAMPUNG SERI LALANG 71200 RANTAU NEGERI SEMBILAN DAERAH SEREMBAN NEGERI SEMBILAN  Rantau Negeri Sembilan - my 71200</t>
  </si>
  <si>
    <t>NVMY34535000005279</t>
  </si>
  <si>
    <t>PENGANGKUTAN PELADANG TRG SDN BHD (ATTN: TUAN KHAIRUL)</t>
  </si>
  <si>
    <t>LOT 400 KUBANG IKAN 21080 CHENDERING KUALA TERENGGANU TERENGGANU  Kuala Terengganu Terengganu - my 21080</t>
  </si>
  <si>
    <t>NVMY34535000005277</t>
  </si>
  <si>
    <t>Nurmuzalifah bt bohari</t>
  </si>
  <si>
    <t>No 91 Jalan desa baris 2/2  Taman desa baris pelangai 28740 bentong phg  Bentong Pahang - my 28740</t>
  </si>
  <si>
    <t>NVMY34535000005246</t>
  </si>
  <si>
    <t>SAPIK</t>
  </si>
  <si>
    <t>Sarawak</t>
  </si>
  <si>
    <t>BILIK BUJANG SKUADRON ALPHA REJIMAN KE 4 KOR ARMOR DIRAJA KEM PENRISSAN 93677 KUCHING SARAWAK  Kuching Sarawak - my 93677</t>
  </si>
  <si>
    <t>M16-SAM-175</t>
  </si>
  <si>
    <t>NVMY34535000005286</t>
  </si>
  <si>
    <t>Laili Ghazali</t>
  </si>
  <si>
    <t>Blok A.4.11 pangsapuri bistari sri perantau 42000 pelabuhan klang Selangor  Pelabuhan Klang Selangor - my 42000</t>
  </si>
  <si>
    <t>K11A-PKL-118</t>
  </si>
  <si>
    <t>NVMY34535000005270</t>
  </si>
  <si>
    <t>NIK MOHD FAUZI</t>
  </si>
  <si>
    <t>LOT 1309 BATU 7 JALAN MARAN 28000 TEMERLOH PAHANG  Pahang Temerloh Pahang - my 28000</t>
  </si>
  <si>
    <t>NVMY34535000005290</t>
  </si>
  <si>
    <t>NUR ARABELLA SOFEA</t>
  </si>
  <si>
    <t>KEDAI RUNCIT DAN BASAH SYAM KG BANGGOL KEMIANG PALOH RAWA 18500 MACHANG KELANTAN  Machang Kelantan - my 18500</t>
  </si>
  <si>
    <t>NVMY34535000005288</t>
  </si>
  <si>
    <t>Nora Mohd Nordin</t>
  </si>
  <si>
    <t>No 94, Jalan Jaya Putra 8/17, Taman Jaya Putra Perdana, 81100 Johor Bahru, Johor Darul Takzim.  Johor Bahru Johor - my 81100</t>
  </si>
  <si>
    <t>NVMY34535000005280</t>
  </si>
  <si>
    <t>MOHAYAH BINTI KHAMIS</t>
  </si>
  <si>
    <t>NO 89 KAMPUNG LUBOK MUKIM 1, 83600 SEMERAH BATU PAHAT JOHOR  Semerah Johor - my 83600</t>
  </si>
  <si>
    <t>NVMY34535000005303</t>
  </si>
  <si>
    <t>CHOIZES CONCEPT STORE SDN BHD</t>
  </si>
  <si>
    <t>UNIT NO D6-3A-17 BANGUNAN PERDAGANGAN D6, SENTUL RAYA, 801 JLN SENTUL 51100 KUALA LUMPUR  Kuala Lumpur Kuala Lumpur - my 51100</t>
  </si>
  <si>
    <t>K12A-SEG-129</t>
  </si>
  <si>
    <t>NVMY34535000005304</t>
  </si>
  <si>
    <t>PROF DR SHAHRIMAN ABU BAKAR</t>
  </si>
  <si>
    <t>FAKULTI TEKNOLOGI KEJURUTERAAN MEKANIKAL PAUH PUTRA CAMPUS UNIVERSITI MALAYSIA PERLIS 02400 ARAU PERLIS  Arau Perlis - my 02400</t>
  </si>
  <si>
    <t>NVMY34535000005302</t>
  </si>
  <si>
    <t>MOHD RAZI BIN AHMAD RAFI</t>
  </si>
  <si>
    <t>JA 7251 JALAN ROS 5 TAMAN BUKIT TEMBAKAU 77300 UMBAI JASIN MELAKA  Merlimau Melaka - my 77300</t>
  </si>
  <si>
    <t>NVMY34535000005299</t>
  </si>
  <si>
    <t>NUR FARAH WAHEEDA BINTI MUHAMMAD FARID</t>
  </si>
  <si>
    <t>D01/419, HUB PARCEL MASMED, PUSAT PELAJAR UITM MACHANG 18500 MACHANG KELANTAN  Machang Kelantan - my 18500</t>
  </si>
  <si>
    <t>NVMY34535000005285</t>
  </si>
  <si>
    <t>NO 688C LORONG SRI ASTANA, 11/4 BANDAR ASTANA 08000 SUNGAI PETANI KEDAH  Sungai Petani Kedah - my 08000</t>
  </si>
  <si>
    <t>NVMY34535000005281</t>
  </si>
  <si>
    <t>NORHAFIZAH KHAMIS</t>
  </si>
  <si>
    <t>NO24C, KAMPUNG OLAK BATU, MK7, PARIT RAJA, BATU PAHAT 86400 JOHOR BAHRU  Parit Raja Johor - my 86400</t>
  </si>
  <si>
    <t>NVMY34535000005301</t>
  </si>
  <si>
    <t>NVMY34535000005273</t>
  </si>
  <si>
    <t>JEFFERY TAN</t>
  </si>
  <si>
    <t>B-2-6 VILLA DUTA CONDOMINIUM JALAN MULIA 2/1 TAMAN MULIA BUKIT ANTARABANGSA 68000 AMPANG SELANGOR  Ampang Selangor - my 68000</t>
  </si>
  <si>
    <t>NVMY34535000005276</t>
  </si>
  <si>
    <t>sis eriena</t>
  </si>
  <si>
    <t>no 1 lot 5425, bt 29 jalan sheikh jalalludin kampung jenderam hulu 43800 dengkil selngor (0123386801)  Telok Panglima Garang Selangor - my 43800</t>
  </si>
  <si>
    <t>NVMY34535000005287</t>
  </si>
  <si>
    <t>JULITA SIDEK</t>
  </si>
  <si>
    <t>R-3-6 APARTMENT SERI SEROJA, BB7 48300 RAWANG SELANGOR, 48300, Rawang Selangor, Malaysia.  Rawang Selangor - my 48300</t>
  </si>
  <si>
    <t>K12-RWG-120</t>
  </si>
  <si>
    <t>NVMY34535000005275</t>
  </si>
  <si>
    <t>Ieda Aswad</t>
  </si>
  <si>
    <t>No 880,Jalan Politeknik 17,Taman Politeknik, 71050 Port Dickson N9  Si Rusa Negeri Sembilan - my 71050</t>
  </si>
  <si>
    <t>NVMY34535000005283</t>
  </si>
  <si>
    <t>AURA AROMATIC (M) SDN BHD</t>
  </si>
  <si>
    <t>LOT 664 JALAN 24, TAMAN PERINDUSTRIAN EHSAN JAYA 52100 KUALA LUMPUR  Kuala Lumpur Kuala Lumpur - my 52100</t>
  </si>
  <si>
    <t>NVMY34535000005289</t>
  </si>
  <si>
    <t>Noor Azizah binti Md Muhayatdin</t>
  </si>
  <si>
    <t>No 60 Jalan Bestari 8/3 Taman Bestari Indah 81800 Ulu Tiram, Johor  Ulu Tiram Johor - my 81800</t>
  </si>
  <si>
    <t>S7A-TRM-71</t>
  </si>
  <si>
    <t>NVMY34535000005284</t>
  </si>
  <si>
    <t>Siti Hanipah Abdul Majid</t>
  </si>
  <si>
    <t>No 19 Jalan Lembing 22  Taman Puteri Wangsa 81800 Ulu Tiram  Johor  Ulu Tiram Johor - my 81800</t>
  </si>
  <si>
    <t>NVMY34535000005274</t>
  </si>
  <si>
    <t>Zuraini Bt Ayob</t>
  </si>
  <si>
    <t>No 811 Jalan Seri Bayu 18, Taman Seri Bayu, Sg lalang, 08000 Sg Petani, Kedah  Sungai Petani Kedah - my 08000</t>
  </si>
  <si>
    <t>NVMY34535000005282</t>
  </si>
  <si>
    <t>LOT 664, JALAN 24, TAMAN PERINDUSTRIAN EHSAN JAYA 52100 KUALA LUMPUR  Kuala Lumpur Kuala Lumpur - my 52100</t>
  </si>
  <si>
    <t>NVMY34535000005300</t>
  </si>
  <si>
    <t>NUR FADHLIN</t>
  </si>
  <si>
    <t>C-09-30 PANGSAPURI DAMAI MEWAH B, OFF JALAN SEMENYIH 43000 KAJANG SELANGOR  Kajang Selangor - my 43000</t>
  </si>
  <si>
    <t>NVMY34535000005278</t>
  </si>
  <si>
    <t>Haflinda binti Hamidul  Majid</t>
  </si>
  <si>
    <t>Lot 4233 Jalan Semarak 2, Kg Sungai Kelambu, 42700 Banting, Selangor  Telok Panglima Garang Selangor - my 42700</t>
  </si>
  <si>
    <t>NVMY34535000005292</t>
  </si>
  <si>
    <t>NORFADZILLAH BINIT SAHHAN SHAH</t>
  </si>
  <si>
    <t>NO 6 KAMPUNG BARU PULAU PISANG 45200 SABAK BERNAM SELANGOR  Sabak Bernam Selangor - my 45200</t>
  </si>
  <si>
    <t>NVMY34535000005293</t>
  </si>
  <si>
    <t>UMMI AMIRAH</t>
  </si>
  <si>
    <t>NO 10 JALAN 5C/8 SEKSYEN 5 43650 BANDAR BARU BANGI SELANGOR  Bandar Baru Bangi Selangor - my 43650</t>
  </si>
  <si>
    <t>NVMY34535000005291</t>
  </si>
  <si>
    <t>LANBAHARIN</t>
  </si>
  <si>
    <t>R-02-13 EMPORIS KOTA DAMANSARA PERSIARAN SURIAN KOTA DAMANSARA PETALING JAYA SELANGOR 40150  Shah Alam Selangor - my 40150</t>
  </si>
  <si>
    <t>K10A-DAM-106</t>
  </si>
  <si>
    <t>NVMY34535000005305</t>
  </si>
  <si>
    <t>MATYI TOWING</t>
  </si>
  <si>
    <t>NO 65 KAMPUNG BUKIT LAKOTA, BUKIT LAKOTA JELI 17600 KELANTAN  Jeli Kelantan - my 17600</t>
  </si>
  <si>
    <t>NVMY34535000005294</t>
  </si>
  <si>
    <t>NVMY34535000005297</t>
  </si>
  <si>
    <t>KPL/AZILA SAAT</t>
  </si>
  <si>
    <t>BALAI POLIS DAERAH BEAUFORT P/S 28 89808 BEAUFORT SABAH  Beaufort Sabah - my 89808</t>
  </si>
  <si>
    <t>NVMY34535000005298</t>
  </si>
  <si>
    <t>MARIANI HUSNI</t>
  </si>
  <si>
    <t>NVMY34535000005313</t>
  </si>
  <si>
    <t>LAU LAY BOAY</t>
  </si>
  <si>
    <t>1454, JALAN JIRAN 7, TAMAN GEMBIRA 58200 KUALA LUMPUR  Kuala Lumpur Kuala Lumpur - my 58200</t>
  </si>
  <si>
    <t>K10A-OUG-101</t>
  </si>
  <si>
    <t>NVMY34535000005309</t>
  </si>
  <si>
    <t>FAIZ HARUN (MOK KINAH)</t>
  </si>
  <si>
    <t>344 JALAN BUNGA RAYA FELDA CHIKU 01 18300 GUA MUSANG KELANTAN  Gua Musang Kelantan - my 18300</t>
  </si>
  <si>
    <t>NVMY34535000005295</t>
  </si>
  <si>
    <t>KARSUM USMAN</t>
  </si>
  <si>
    <t>KAMPUNG SELAMAT MASJID AS'SALAM 91308 SEMPORNA SABAH  Kota Kinabalu Sabah - my 91308</t>
  </si>
  <si>
    <t>M15A-SMM-165</t>
  </si>
  <si>
    <t>NVMY34535000005315</t>
  </si>
  <si>
    <t>SYALEZA BT MOHAMAD</t>
  </si>
  <si>
    <t>UEDA PLATING (M) SDN BHD (GUARD HOUSE) LOT 54 JALAN SEPINTAS 26/13 KAWASAN PERINDUSTRIAN HICOM 40000 SHAH ALAM SELANGOR  Shah Alam Selangor - my 40000</t>
  </si>
  <si>
    <t>NVMY34535000005314</t>
  </si>
  <si>
    <t>ZATIL SARAH ASYIKIN BT ABD HAMID</t>
  </si>
  <si>
    <t>SEKOLAH KEBANGSAAN SUNGAI BESI JALAN KAMPUNG SELAMAT 57000 SUNGAI BESI KUALA LUMPUR  Kuala Lumpur Kuala Lumpur - my 57000</t>
  </si>
  <si>
    <t>NVMY34535000005268</t>
  </si>
  <si>
    <t>HASWATI BINTI KARIMIN</t>
  </si>
  <si>
    <t>TAMAN LOK KAWI HEIGHT BLOCK IDAMAN A2-5 KINARUT 89600 PAPAR SABAH  Papar Sabah - my 89600</t>
  </si>
  <si>
    <t>NVMY34535000005308</t>
  </si>
  <si>
    <t>MUHAMMAD HANIS AIMAN</t>
  </si>
  <si>
    <t>NO 12 JALAN SAGA INDAH 2/1 TAMAN SAGA INDAH 28400 MENTAKAB PAHANG   Pahang my 28400</t>
  </si>
  <si>
    <t>NVMY34535000005316</t>
  </si>
  <si>
    <t>ZAINURUL AQSHA</t>
  </si>
  <si>
    <t>PT 269 JALAN WAKAF STAN KUBANG KERIAN 16150 KOTA BHARU KELANTAN  Kota Bharu Kelantan - my 16150</t>
  </si>
  <si>
    <t>NVMY34535000005307</t>
  </si>
  <si>
    <t>NURFARAWAHIDAH BADRUESHAM</t>
  </si>
  <si>
    <t>T34, TAMAN MAWAR, 27000 JERANTUT PAHANG  Jerantut Pahang - my 27000</t>
  </si>
  <si>
    <t>NVMY34535000005312</t>
  </si>
  <si>
    <t>NURULAKMAL BINTI MD HASSAN</t>
  </si>
  <si>
    <t>NO 29, JALAN P11A 1/14, PRESINT 11, 62300 PUTRAJAYA  Putrajaya Putrajaya - my 62300</t>
  </si>
  <si>
    <t>NVMY34535000005321</t>
  </si>
  <si>
    <t>Kamarulzaman bin bunangin</t>
  </si>
  <si>
    <t>No. 29, lorong sg karang damai 35, Taman PSJ, 26100 kuantan pahang   Pahang my 26100</t>
  </si>
  <si>
    <t>N4-BLK-20</t>
  </si>
  <si>
    <t>NVMY34535000005306</t>
  </si>
  <si>
    <t>NUR IZZATUL HUSNA BINTI ROSLIN</t>
  </si>
  <si>
    <t>TI/15 POS 51A KAMPUNG PARIT BINGAN 86400 PARIT RAJA BATU PAHAT JOHOR  Parit Raja Johor - my 86400</t>
  </si>
  <si>
    <t>NVMY34535000005271</t>
  </si>
  <si>
    <t>EN SHAHRIM</t>
  </si>
  <si>
    <t>MALAYAN BANKING BERHAD (3813-K) KUANTAN TRADE CENTRE,2ND FLOOR,KCCCI BUILDING,LOT 46-47,SECT 18,JALAN BUKIT UBI,25000 KUANTAN,PAHANG  Pahang - Kuantan Pahang - my 25000</t>
  </si>
  <si>
    <t>RESOLUTION ERROR : (2.99347000, 100.84966300)</t>
  </si>
  <si>
    <t>NVMY34535000005311</t>
  </si>
  <si>
    <t>EN.KHAIRUDDIN BIN AHMAD BASRI</t>
  </si>
  <si>
    <t>LOT 942 KAMPUNG LABIT 33400 LENGGONG PERAK  Lenggong Perak - my 33400</t>
  </si>
  <si>
    <t>N6A-GER-56</t>
  </si>
  <si>
    <t>NVMY34535000005310</t>
  </si>
  <si>
    <t>NVMY34535000005322</t>
  </si>
  <si>
    <t>Syahrul asrul bin Roomainor</t>
  </si>
  <si>
    <t>677 perumahan sem./banjir kuala medang 27650 Raub Pahang  Sungai Koyan Pahang - my 27650</t>
  </si>
  <si>
    <t>NVMY34535000005323</t>
  </si>
  <si>
    <t>62, Jalan Hasan kampong Bentong Kluang 86000 Johor  Kluang Johor - my 86000</t>
  </si>
  <si>
    <t>NVMY34535000005317</t>
  </si>
  <si>
    <t>JANNURA</t>
  </si>
  <si>
    <t>LOT 5935 KG PETALIN BHARU BTG PADANG 35500 BIDOR PERAK  Bidor Perak - my 35500</t>
  </si>
  <si>
    <t>N6-TAP-51</t>
  </si>
  <si>
    <t>NVMY34535000005318</t>
  </si>
  <si>
    <t>WAN SUHAIMI BT WAN MOHAMED</t>
  </si>
  <si>
    <t>NO 4 TAMAN NURI 7/17A KOTA DAMANSARA 47810 PETALING JAYA SELANGOR  Petaling Jaya Selangor - my 47810</t>
  </si>
  <si>
    <t>NVMY34535000005327</t>
  </si>
  <si>
    <t>SITI FAZIANA</t>
  </si>
  <si>
    <t>NO 59, JALAN STESYEN KAMPUNG,PULAU TIGA,35000,TAPAH PERAK  Tapah Perak - my 35000</t>
  </si>
  <si>
    <t>NVMY34535000005319</t>
  </si>
  <si>
    <t>ROSILAWATI BINTI KHAMIS</t>
  </si>
  <si>
    <t>NO 14 JALAN KESUMA 6/1M TMN TASIK KESUMA 43700 BERANANG SELANGOR  Beranang Selangor - my 43700</t>
  </si>
  <si>
    <t>NVMY34535000005332</t>
  </si>
  <si>
    <t>NUR NAJIHAH BINTI CHE HASSAN</t>
  </si>
  <si>
    <t>KUARTERS GURU SJKC CHOONG CHEE, JALAN ULU YAM LAMA, 44300 BATANG KALI, SELANGOR  Batang Kali Selangor - my 44300</t>
  </si>
  <si>
    <t>NVMY34535000005333</t>
  </si>
  <si>
    <t>YUSRAN AZIM</t>
  </si>
  <si>
    <t>LOT 2795 JALAN PADANG GEREK KG BUKIT TIU 18500 MACHANG KELANTAN  Machang Kelantan - my 18500</t>
  </si>
  <si>
    <t>NVMY34535000005326</t>
  </si>
  <si>
    <t>SYAMIMI</t>
  </si>
  <si>
    <t>NO 27,JALAN TIJANI 2/B,TAMAN TIJANI UKAY PERDANA,68000 AMPANG  Ampang Selangor - my 68000</t>
  </si>
  <si>
    <t>NVMY34535000005320</t>
  </si>
  <si>
    <t>Lau Kok Kuan</t>
  </si>
  <si>
    <t>Ka Ka Trading PLT, WDT 146, MDKNK 2331, Bangunan Kunak Plaza, 91207 Kunak, Sabah  Kunak Sabah - my 91207</t>
  </si>
  <si>
    <t>M15A-KNK-167</t>
  </si>
  <si>
    <t>NVMY34535000005329</t>
  </si>
  <si>
    <t>FADZILAH BT HAMID</t>
  </si>
  <si>
    <t>LOT 9363 PT 5 1/2 TIMUR JALAN BARU SUNGAI BESAR SELANGOR  Sungai Besar Selangor - my 45300</t>
  </si>
  <si>
    <t>NVMY34535000005334</t>
  </si>
  <si>
    <t>INTAN FATIHAH KHAIRUDDIN</t>
  </si>
  <si>
    <t>BLOK F3 209 APARTMENT BAYU, JLN PJU 10/6A, DAMANSARA DAMAI 47830 PETALING JAYA SELANGOR  Petaling Jaya Selangor - my 47830</t>
  </si>
  <si>
    <t>NVMY34535000005349</t>
  </si>
  <si>
    <t>NUR AMALINA FARHANA</t>
  </si>
  <si>
    <t>NO 8 KG ALOR PASIR 16800 PASIR PUTEH KELANTAN  Pasir Puteh Kelantan - my 16800</t>
  </si>
  <si>
    <t>NVMY34535000005343</t>
  </si>
  <si>
    <t>ASMIN NUR IZZATI</t>
  </si>
  <si>
    <t>MALAYSIAN SHEET GLASS SDN BHD 21KM, BANDAR BARU SUNGAI BULOH, 47000 SUNGAI BULOH, SELANGOR  Kuala Lumpur Kuala Lumpur - my 47000</t>
  </si>
  <si>
    <t>NVMY34535000005345</t>
  </si>
  <si>
    <t>RUSNANI BINTI ABDULLAH</t>
  </si>
  <si>
    <t>LOT 427 LORONG 19/1 KAMPUNG PERAMU 26060 KUANTAN PAHANG  Kuantan Pahang - my 26060</t>
  </si>
  <si>
    <t>NVMY34535000005336</t>
  </si>
  <si>
    <t>NUR ATIERAH RUSLAN</t>
  </si>
  <si>
    <t>PT 9766 JALAN PUNAI, TAMAN KIJAL MERAGA 1-2, 24100 KIJAL KEMAMAN TERENGGANU  Kijal Terengganu - my 24100</t>
  </si>
  <si>
    <t>NVMY34535000005331</t>
  </si>
  <si>
    <t>MUHD NUR HAKIM BIN MUHD AKHIR</t>
  </si>
  <si>
    <t>UNIVERSITI MALAYSIA KELANTAN KAMPUS JELI KARUNG BERKUNCI 100 17700 JELI KELANTAN  Kelantan Ayer Lanas Kelantan - my 17700</t>
  </si>
  <si>
    <t>NVMY34535000005325</t>
  </si>
  <si>
    <t>NABILAH RASLAN</t>
  </si>
  <si>
    <t>NO 258,LOT 944,KAMPUNG PADANG PUTEH,JALAN PANTAI TENGAH,MUKIM KEDAWANG,07000,LANGKAWI,KEDAH  Kuala Kedah Kedah - my 07000</t>
  </si>
  <si>
    <t>E3-LGK-31</t>
  </si>
  <si>
    <t>NVMY34535000005338</t>
  </si>
  <si>
    <t>IZAN BT ISMAIL</t>
  </si>
  <si>
    <t>107-16-10 APARTMENT PUDU IMPIAN II JLN PUDU ULU 56100 WP KUALA LUMPUR  Kuala Lumpur Kuala Lumpur - my 56100</t>
  </si>
  <si>
    <t>NVMY34535000005350</t>
  </si>
  <si>
    <t>FARAHDILA BT ASAAD</t>
  </si>
  <si>
    <t>ASZI HOMESTAY, NO 14 A, LORONG HJ ABDUL AZIZ, KG TAMAN SEDIA 39000 TANAH RATA CAMERON HIGHLANDS PAHANG  Tanah Rata Pahang - my 39000</t>
  </si>
  <si>
    <t>NVMY34535000005362</t>
  </si>
  <si>
    <t>PUTERI MARISHQA</t>
  </si>
  <si>
    <t>DESA VILLA 007,JALAN DESA BARU 1, TAMAN DESA BARU 1 ,43000 KAJANG SELANGOR  Kajang Selangor - my 43000</t>
  </si>
  <si>
    <t>NVMY34535000005360</t>
  </si>
  <si>
    <t>NUR AFINI SYUHADAH</t>
  </si>
  <si>
    <t>LOT 20431 KAMPUNG TOK JEMBAL JALAN PANTAI 21300 KUALA NERUS TERENGGANU  Kuala Terengganu Terengganu - my 21300</t>
  </si>
  <si>
    <t>TGG-TGG</t>
  </si>
  <si>
    <t>NVMY34535000005353</t>
  </si>
  <si>
    <t>ZAIDIAZRUL BIN  MAT ZAINAL</t>
  </si>
  <si>
    <t>NO 250 LORONG 5/10 SRI IORA JALAN KELISA RIA II, 08000 SG PETANI KEDAH  Sungai Petani Kedah - my 08000</t>
  </si>
  <si>
    <t>NVMY34535000005346</t>
  </si>
  <si>
    <t>RAHIMAH ALIAS</t>
  </si>
  <si>
    <t>NO 110 JLN PERSIARAN PUNCAK ISKANDAR 2C/2 PUNCAK ISKANDAR 32610 BANDAR SERI ISKANDAR PERAK  Bandar Seri Iskandar Perak - my 32610</t>
  </si>
  <si>
    <t>N6-GAJ-49</t>
  </si>
  <si>
    <t>NVMY34535000005357</t>
  </si>
  <si>
    <t>KHAIROL ANUAR AZMAN</t>
  </si>
  <si>
    <t>LOT 1301 KAMPUNG PADANG GELONG BILAL 21100 KUALA TERENGANU TERENGGANU  Kuala Terengganu Terengganu - my 21100</t>
  </si>
  <si>
    <t>NVMY34535000005342</t>
  </si>
  <si>
    <t>SYAZA NAJLAA</t>
  </si>
  <si>
    <t>DYNATON HOLDINGS NO 1 TINGKAT BASEMENT JALAN DAGANG 2 DYNATON BUKIT ANGIN 28000 TEMERLOH PAHANG  Temerloh Pahang - my 28000</t>
  </si>
  <si>
    <t>NVMY34535000005347</t>
  </si>
  <si>
    <t>BTK INTERGRATED TRANSPORT SDN BHD (ATTN: MISS SIEW)</t>
  </si>
  <si>
    <t>LOT 1030 &amp; 1070 JALAN KUALA KANGSAR 34700 SIMPANG TAIPING PERAK   Simpang Perak - my 34700</t>
  </si>
  <si>
    <t>NVMY34535000005340</t>
  </si>
  <si>
    <t>AZIE</t>
  </si>
  <si>
    <t>B3-15-17 KEPONG SENTRAL CONDO, JALAN PUNCAK DESA 2, TAMAN PUNCAK DESA KEPONG 52100 KUALA LUMPUR  Kuala Lumpur Kuala Lumpur - my 52100</t>
  </si>
  <si>
    <t>NVMY34535000005348</t>
  </si>
  <si>
    <t>IQIN</t>
  </si>
  <si>
    <t>No 25 jalan tupai tiga 20/16c 40300 seksyen 20 shah alam SELANGOR  Shah Alam Selangor - my 40300</t>
  </si>
  <si>
    <t>NVMY34535000005330</t>
  </si>
  <si>
    <t>ASP CHEN SIEW CHOO</t>
  </si>
  <si>
    <t>ARAS 30 MENARA KPJ BAHAGIAN SIASATAN JENAYAH KORPORAT / PERSATUAN / SYARIKAT JALAN TUN RAZAK 50400 KUALA LUMPUR  Kuala Lumpur Kuala Lumpur - my 50400</t>
  </si>
  <si>
    <t>NVMY34535000005337</t>
  </si>
  <si>
    <t>ZAINAB BT CHE MAT</t>
  </si>
  <si>
    <t>NO 59 SL 4/3 BANDAR SUNGAI LONG 43000 KAJANG SELANGOR  Kajang Selangor - my 43000</t>
  </si>
  <si>
    <t>NVMY34535000005344</t>
  </si>
  <si>
    <t>SUKMA MELATI SDN BHD (ATTN: SYAFIQAH)</t>
  </si>
  <si>
    <t>NO 47 JALAN BATAI LAUT 3 TAMAN INTAN 41300 KLANG SELANGOR  Klang Selangor - my 41300</t>
  </si>
  <si>
    <t>NVMY34535000005351</t>
  </si>
  <si>
    <t>NORAZEAN BINTI BAHARIN</t>
  </si>
  <si>
    <t>NO 2A, LEBUH ORKARDIA 1, JALAN ORKARDIA 11000 BALIK PULAU, PULAU PINANG  Balik Pulau Pulau Pinang - my 11000</t>
  </si>
  <si>
    <t>NVMY34535000005328</t>
  </si>
  <si>
    <t>EDRINA AZLAN</t>
  </si>
  <si>
    <t>26-G JALAN KAJANG PERDANA 9, TAMAN KAJANG PERDANA 43000 KAJANG SELANGOR  Selangor Kajang Selangor - my 43000</t>
  </si>
  <si>
    <t>K14-BMC-142</t>
  </si>
  <si>
    <t>NVMY34535000005363</t>
  </si>
  <si>
    <t>ANIS</t>
  </si>
  <si>
    <t>42,JALAN KEBUN NENAS 2H/KS7,BANDAR PUTERA,KLANG,41000 SELANGOR  Klang Selangor - my 41000</t>
  </si>
  <si>
    <t>NVMY34535000005361</t>
  </si>
  <si>
    <t>AIMAN ZULHELMI</t>
  </si>
  <si>
    <t>NO 222 LORONG BELAKANG KUATERS GURU SEKOLAH KEBANGSAAN BUKIT JERING JELI KELANTAN  Kuala Balah Kelantan - my 17610</t>
  </si>
  <si>
    <t>NVMY34535000005354</t>
  </si>
  <si>
    <t>ZAINORITA MAT ZAINAL</t>
  </si>
  <si>
    <t>PT 4999 JALAN TS 2/4B TAMAN SEMARAK 2, 71800 NILAI NEGERI SEMBILAN  Labu Negeri Sembilan - my 71800</t>
  </si>
  <si>
    <t>NVMY34535000005356</t>
  </si>
  <si>
    <t>SITI NORAZIYANI BT YAHYA</t>
  </si>
  <si>
    <t>LOT 83 JALAN LANGDAR KAMPUNG SLOW MACHANG PASIR MAS 17000 KELANTAN  Pasir Mas Kelantan - my 17000</t>
  </si>
  <si>
    <t>NVMY34535000005352</t>
  </si>
  <si>
    <t>NURUL SHARIZA BINTI AHMAD</t>
  </si>
  <si>
    <t>FLAT SEMERAK 12-G-6 JLN TS TAMAN SEMARAK 71800 NILAI NEGERI SEMBILAN  Labu Negeri Sembilan - my 71800</t>
  </si>
  <si>
    <t>NVMY34535000005335</t>
  </si>
  <si>
    <t>MAZLINA MOHAMMAD</t>
  </si>
  <si>
    <t>JALAN PUSAT TERNAKAN LEMBU KG BOMBOI 89000 KENINGAU SABAH  Keningau Sabah - my 89000</t>
  </si>
  <si>
    <t>M15-KGU-152</t>
  </si>
  <si>
    <t>NVMY34535000005324</t>
  </si>
  <si>
    <t>JUAN DANAR</t>
  </si>
  <si>
    <t>10A LORONG OYA 8, 96000 SIBU SARAWAK   Sarawak my 96000</t>
  </si>
  <si>
    <t>NVMY34535000005364</t>
  </si>
  <si>
    <t>CHE WAH BINTI MOHD ISA</t>
  </si>
  <si>
    <t>11B LORONG JASMIN INDAH 1/1 TAMAN JASMIN INDAH SENAWANG 70450 SEREMBAN NEGERI SMEBILAN  Seremban Negeri Sembilan - my 70450</t>
  </si>
  <si>
    <t>NVMY34535000005359</t>
  </si>
  <si>
    <t>ISMAIL YOP</t>
  </si>
  <si>
    <t>3013 LORONG BEBARAU KG DATO'AHMAD SAID TAMB.2 30020 IPOH PERAK  Ipoh Perak - my 30020</t>
  </si>
  <si>
    <t>NVMY34535000005371</t>
  </si>
  <si>
    <t>KLINIK ALYA IMAN</t>
  </si>
  <si>
    <t>5669 (GROUND FLOOR) TAMAN SUTERAS MAS KAMPUNG MAK CHILI 24000 KEMAMAN TERENGGANU  Ayer Puteh Terengganu - my 24000</t>
  </si>
  <si>
    <t>NVMY34535000005366</t>
  </si>
  <si>
    <t>ZALEHA SALLEH</t>
  </si>
  <si>
    <t>KAMPONG BARU PULAU RUSA MERCHANG 21610 MARANG TERENGGANU   Terengganu my 21610</t>
  </si>
  <si>
    <t>NVMY34535000005367</t>
  </si>
  <si>
    <t>YUSFAZLI HISYAM BIN MAT YUSOF</t>
  </si>
  <si>
    <t>JALAN LOJI AIR KG BUKIT KEMUDU 22100 PERMAISURI SETIU TERENGGANU  Permaisuri Terengganu - my 22100</t>
  </si>
  <si>
    <t>NVMY34535000005372</t>
  </si>
  <si>
    <t>NVMY34535000005370</t>
  </si>
  <si>
    <t>KLINIK MEDINNA</t>
  </si>
  <si>
    <t>15-G BLOK A JALAN ATMOSPHERE 2 PUSAT PERNIAGAAN THE ATMOSPHERE BANDAR PUTRA PERMAI 43300 SERI KEMBANGAN SELANGOR  Seri Kembangan Selangor - my 43300</t>
  </si>
  <si>
    <t>NVMY34535000005368</t>
  </si>
  <si>
    <t>ROSMALIZA MOHAMED</t>
  </si>
  <si>
    <t>PT 3880 KG BARU LAPANG JAMBU LAUT JAMBU BONGKOK 21610 MARANG TERENGGANU  Kuala Terengganu Terengganu - my 21610</t>
  </si>
  <si>
    <t>NVMY34535000005358</t>
  </si>
  <si>
    <t>SITI ZUBAIDAH BT MUSDIN</t>
  </si>
  <si>
    <t>LOT 3644(2) JALAN HJ ABDUL RAHMAN KAMPUNG SETIA DALAM 36800 KAMPONG GAJAH PERAK  Kampung Gajah Perak - my 36800</t>
  </si>
  <si>
    <t>N6-TIN-53</t>
  </si>
  <si>
    <t>NVMY34535000005341</t>
  </si>
  <si>
    <t>MUSLIHA BINTI MD ARIFIN</t>
  </si>
  <si>
    <t>NO 19 JALAN 12/4A TAMAN CHERAS JAYA BATU 11 CHERAS 43200 BATU 9 CHERAS SELANGOR  Kuala Lumpur Kuala Lumpur - my 43200</t>
  </si>
  <si>
    <t>NVMY34535000005355</t>
  </si>
  <si>
    <t>SHAHRUL NEZAM BIN MOHD SHAHRIL</t>
  </si>
  <si>
    <t xml:space="preserve">NO 30 JALAN BANDAR CEMERLANG 3/2,BANDAR CEMERLANG,81800 ULU TIRAM JOHOR  Ulu Tiram Johor - my 81800 </t>
  </si>
  <si>
    <t>NVMY34535000005339</t>
  </si>
  <si>
    <t>SUSILAWATI BINTI RAIE</t>
  </si>
  <si>
    <t>NO 154-B LORONG SEMARIANG 12 JALAN SEMARIANG 93050 PETRA JAYA KUCHING SARAWAK  Kuching Sarawak - my 93050</t>
  </si>
  <si>
    <t>M16-KCH-169</t>
  </si>
  <si>
    <t>NVMY34535000005369</t>
  </si>
  <si>
    <t>NORAZIAH ABD RAHMAN</t>
  </si>
  <si>
    <t>LOT 3080 TAMAN SAYANG SELASIH JALAN MERANTI KLEBANG BESAR 75200 MELAKA  Melaka Melaka - my 75200</t>
  </si>
  <si>
    <t>NVMY34535000005377</t>
  </si>
  <si>
    <t>MOHD NUR YUSOFF</t>
  </si>
  <si>
    <t>NO 42 SIGC PRESIDENSI JALAN 2/3 SIGC PRESIDENSI 70400 SEREMBAN NEGERI SEMBILAN  Seremban Negeri Sembilan - my 70400</t>
  </si>
  <si>
    <t>NVMY34535000005387</t>
  </si>
  <si>
    <t>AFIFAH SHAH</t>
  </si>
  <si>
    <t>A-4-7 TIARA PARKHOMES JALAN BUKIT RIA 43000 KAJANG SELANGOR  Kajang Selangor - my 43000</t>
  </si>
  <si>
    <t>NVMY34535000005384</t>
  </si>
  <si>
    <t>AZIEYLA JOHAN</t>
  </si>
  <si>
    <t>NO 59GF, 61GF KIOSK 1, ESPIKAY HOTEL 25000 KUANTAN PAHANG  Kuantan Pahang - my 25000</t>
  </si>
  <si>
    <t>NVMY34535000005381</t>
  </si>
  <si>
    <t>MOHD FADHLI BIN DAUD</t>
  </si>
  <si>
    <t>KAMPUNG BUKIT BATU PANCHING QUARY 26090 KUANTAN PAHANG  Bukit Goh Pahang - my 26090</t>
  </si>
  <si>
    <t>NVMY34535000005382</t>
  </si>
  <si>
    <t>MD zaini bin shaari</t>
  </si>
  <si>
    <t>36 jalan harapan 7d/ku7 taman  Sungai kapar indah fasa 5a kapar Selangor ,kapar Klang 42200 SELANGOR  Kapar Selangor - my 42200</t>
  </si>
  <si>
    <t>K14-RPG-143</t>
  </si>
  <si>
    <t>NVMY34535000005373</t>
  </si>
  <si>
    <t>NVMY34535000005380</t>
  </si>
  <si>
    <t>Tania Marsella</t>
  </si>
  <si>
    <t>D-2-11 apartmen siantan  Jalan putra perdana 3A .47130 Puchong Selangor   Puchong Selangor - my 47130</t>
  </si>
  <si>
    <t>NVMY34535000005376</t>
  </si>
  <si>
    <t>AZIZAH CHE YA</t>
  </si>
  <si>
    <t>KAMPUNG PAK MALI 16390 GUNONG BACHOK KELANTAN   Kelantan my 16390</t>
  </si>
  <si>
    <t>NVMY34535000005378</t>
  </si>
  <si>
    <t>JUNAIDAH BT JUHARI</t>
  </si>
  <si>
    <t>NO TIANG JKB 135 BATU 4 1/2 JALAN KUNCI AIR BESAR 45500 TANJONG KARANG SELANGOR (0132991344)  Tanjong Karang Selangor - my 45500</t>
  </si>
  <si>
    <t>K13-KSR-131</t>
  </si>
  <si>
    <t>NVMY34535000005383</t>
  </si>
  <si>
    <t>SYAFIKAH ILIEYNA</t>
  </si>
  <si>
    <t>KAMPUNG BARU JEREK 18300 GUA MUSANG KELANTAN  Gua Musang Kelantan - my 18300</t>
  </si>
  <si>
    <t>NVMY34535000005374</t>
  </si>
  <si>
    <t>NURUL MOHD</t>
  </si>
  <si>
    <t>NO 12 JALAN RUMBIA 13 TMAN DAYA 81100 JOHOR BHARU JOHOR  Johor Bahru Johor - my 81100</t>
  </si>
  <si>
    <t>NVMY34535000005379</t>
  </si>
  <si>
    <t>LAU KOK KUAN</t>
  </si>
  <si>
    <t>Ka Ka Trading PLT, WDT 146, MDKNK 2331, Bangunan Kunak Plaza, 91207 Kunak, Sabah.  Kunak Sabah - my 91207</t>
  </si>
  <si>
    <t>NVMY34535000005386</t>
  </si>
  <si>
    <t>HEME PAHING</t>
  </si>
  <si>
    <t>JASARIA HOTEL 1ST FLOOR LOT 1-5 BLOK K BEAUFORT JAYA PHASE 1 COMMERCIAL DEVELOPMENT P.O BOX 123, 89808 BEAUFORT SABAH   Sabah my 89808</t>
  </si>
  <si>
    <t>NVMY34535000005385</t>
  </si>
  <si>
    <t>NVMY34535000005375</t>
  </si>
  <si>
    <t>ZULFIKRI BIN HASSAN</t>
  </si>
  <si>
    <t>NO 50 JALAN IBRAHIM MERSING KECHIL, 86800 MERSING JOHOR  Mersing Johor - my 86800</t>
  </si>
  <si>
    <t>S8-MSG-75</t>
  </si>
  <si>
    <t>NVMY34535000005394</t>
  </si>
  <si>
    <t>CEO FORK</t>
  </si>
  <si>
    <t>NO 15 1G ECO GRANDUER 13 LAMAN HARIS BANDAR PUNCAK ALAM 42300 SELANGOR  Bandar Puncak Alam Selangor - my 42300</t>
  </si>
  <si>
    <t>NVMY34535000005395</t>
  </si>
  <si>
    <t>SOFEA MEDISPA SETIA ALAM</t>
  </si>
  <si>
    <t>NO B-2-1 TINGKAT 1 JALAN WANGI G 16/G ALAM AVENUE PERSIARAN SELANGOR SEKSYEN 16 40200 SHAH ALAM SELANGOR  Shah Alam Selangor - my 40200</t>
  </si>
  <si>
    <t>NVMY34535000005365</t>
  </si>
  <si>
    <t>LATIPAH RAZALI</t>
  </si>
  <si>
    <t>8 B LORONG PEDADA 4 A SIBU 96000 SIBU SARAWAK   Sarawak my 96000</t>
  </si>
  <si>
    <t>M16-SBW-170</t>
  </si>
  <si>
    <t>NVMY34535000005391</t>
  </si>
  <si>
    <t>CIKGU ZALINA</t>
  </si>
  <si>
    <t>SK DATO' ABU BAKAR BAGINDA KAJANG 43000 SELANGOR  Kajang Selangor - my 43000</t>
  </si>
  <si>
    <t>NVMY34535000005389</t>
  </si>
  <si>
    <t>SITI SHARMILA SALLEH</t>
  </si>
  <si>
    <t>LOT 1550 DEPAN MASJID KG KOK KELI 1 16040 PALEKBONG TUMPAT KELANTAN  Wakaf Bharu Kelantan - my 16040</t>
  </si>
  <si>
    <t>NVMY34535000005397</t>
  </si>
  <si>
    <t>AIMAN FAIZ</t>
  </si>
  <si>
    <t>B-01-16 TMN SRI HANECO OFF JALAN SG LALANG 43500 SEMENYIH SELNGOR  Shah Alam Selangor - my 43500</t>
  </si>
  <si>
    <t>NVMY34535000005393</t>
  </si>
  <si>
    <t>EN.MUNZIR BIN OTHMAN</t>
  </si>
  <si>
    <t>NO 1 CHEMOR IMPIAN 13 DESA CHEMOR IMPIAN 31200 CHEMOR PERAK  Chemor Perak - my 31200</t>
  </si>
  <si>
    <t>N6A-IPH-61</t>
  </si>
  <si>
    <t>NVMY34535000005400</t>
  </si>
  <si>
    <t>Sabarina bt Muda</t>
  </si>
  <si>
    <t>Lot 2254 kg seri kemunting 22300 kuala besut  Terengganu   Terengganu my 22300</t>
  </si>
  <si>
    <t>NVMY34535000005398</t>
  </si>
  <si>
    <t>AZILAH</t>
  </si>
  <si>
    <t>NO 9 JALAN ANDALAS 1 TAMAN ANDALAS MANTIN 71700 NEGERI SEMBILAN  Mantin Negeri Sembilan - my 71700</t>
  </si>
  <si>
    <t>NVMY34535000005401</t>
  </si>
  <si>
    <t>KAMARIAH MD SARIF</t>
  </si>
  <si>
    <t>PUBLIC BANK BERHAD 252, 252A &amp; 256 JLN BESAR 42200 KAPAR SELANGOR  Kapar Selangor - my 42200</t>
  </si>
  <si>
    <t>K12A-MRU-127</t>
  </si>
  <si>
    <t>NVMY34535000005390</t>
  </si>
  <si>
    <t>ARISSFHAKIRA NAKIRA SHAKIRA BT ADNAN</t>
  </si>
  <si>
    <t>MAAHAD TAHFIZ AL-QURAN AL-MUHAMMADI JALAN BESAR KG PARIT MEDAN KUNDANG ULU 84710 TANGKAK JOHOR  Gerisek Johor - my 84710</t>
  </si>
  <si>
    <t>S8-GMR-78</t>
  </si>
  <si>
    <t>NVMY34535000005409</t>
  </si>
  <si>
    <t>NURFAJRIMAH</t>
  </si>
  <si>
    <t>PT 11184 TAMAN DESA DAMAI 11, JALAN GIAT MARA BUKIT PAYONG 21400 MARANG TERENGGANU  Bukit Payong Terengganu - my 21400</t>
  </si>
  <si>
    <t>E2-PYG-17</t>
  </si>
  <si>
    <t>NVMY34535000005402</t>
  </si>
  <si>
    <t>MUHD ASHRAF</t>
  </si>
  <si>
    <t>NO 10 KMAPUNG BARU LANJUL 43900 SEPANG SELANGOR  Sepang Selangor - my 43900</t>
  </si>
  <si>
    <t>K13-STG-133</t>
  </si>
  <si>
    <t>NVMY34535000005408</t>
  </si>
  <si>
    <t>EN AMIRZAKI BIN CHE HASSAIM</t>
  </si>
  <si>
    <t>NO 20 JALAN 4a/12, DESA PINGGIRAN PUTRA, SUNGAI MERAB 43000 KAJANG SELANGOR  Kajang Selangor - my 43000</t>
  </si>
  <si>
    <t>NVMY34535000005407</t>
  </si>
  <si>
    <t>NVMY34535000005392</t>
  </si>
  <si>
    <t>EN.JAMALUDIN BIN AB.KADIR</t>
  </si>
  <si>
    <t>27 JALAN CANGGUNG 15 TAMAN PASIR PUTIH 81700 PASIR GUDANG JOHOR  Pasir Gudang Johor - my 81700</t>
  </si>
  <si>
    <t>NVMY34535000005388</t>
  </si>
  <si>
    <t>MUHAMAD HAFIZUL HARIS</t>
  </si>
  <si>
    <t>NO 117B KUARTERS JABATAN PERTANIAN 06050 BUKIT KAYU HITAM KEDAH  Bukit Kayu Hitam Kedah - my 06050</t>
  </si>
  <si>
    <t>E3A-JIT-36</t>
  </si>
  <si>
    <t>NVMY34535000005396</t>
  </si>
  <si>
    <t>AHMAD MUJAHID</t>
  </si>
  <si>
    <t>BLOCK A 08-13 IMPIANA @ EAST LEDANG 79250 ISKANDAR PUTERI JOHOR  Iskandar Puteri Johor - my 79250</t>
  </si>
  <si>
    <t>S7-GLG-64</t>
  </si>
  <si>
    <t>NVMY34535000005410</t>
  </si>
  <si>
    <t>ANIS SHAFIKA</t>
  </si>
  <si>
    <t>NO 2 LORONG 2/2A TAMAN SRI ANGGERIK 71200 RANTAU NEGERI SEMBILAN  Rantau Negeri Sembilan - my 71200</t>
  </si>
  <si>
    <t>NVMY34535000005404</t>
  </si>
  <si>
    <t>EN ZURI BIN SAID</t>
  </si>
  <si>
    <t>SABK MAAHAD AL IMAM ASY SHAFIEE, JELAPANG 30020 IPOH PERAK  Ipoh Perak - my 30020</t>
  </si>
  <si>
    <t>NVMY34535000005413</t>
  </si>
  <si>
    <t>MOHD YUSRAN</t>
  </si>
  <si>
    <t>KG LACHANG ALOR PASIR 17000 PASIR MAS KELANTAN  Pasir Mas Kelantan - my 17000</t>
  </si>
  <si>
    <t>NVMY34535000005403</t>
  </si>
  <si>
    <t>IBH KHIDMAT</t>
  </si>
  <si>
    <t>45C, PDG TEMUSU DERANG 06400 POKOK SENA KEDAH  Pokok Sena Kedah - my 06400</t>
  </si>
  <si>
    <t>NVMY34535000005411</t>
  </si>
  <si>
    <t>FRENDY RUBIL</t>
  </si>
  <si>
    <t>31, JLN RIMBUN HARMONI 3, RIMBUN HARMONI, S2 HEIGHTS 70300 SEREMBAN NEGERI SEMBILAN  Seremban Negeri Sembilan - my 70300</t>
  </si>
  <si>
    <t>NVMY34535000005405</t>
  </si>
  <si>
    <t>EN AZMAN BIN ABDULLAH</t>
  </si>
  <si>
    <t>2386, LORONG SERAMPANG 5, TAMAN RIA JAYA 08000 SUNGAI PETANI KEDAH  Sungai Petani Kedah - my 08000</t>
  </si>
  <si>
    <t>NVMY34535000005412</t>
  </si>
  <si>
    <t>ZUHARDIE BIN ZULFANDIE OSMAN</t>
  </si>
  <si>
    <t>NO 35 PHASE 1 KIDURONG HILLS JALAN NYABAU 97000 BINTULU SARAWAK  Bintulu Sarawak - my 97000</t>
  </si>
  <si>
    <t>NVMY34535000005406</t>
  </si>
  <si>
    <t>NOR AZLI BIN ABD AZIZ</t>
  </si>
  <si>
    <t>NO 1689, MUKIM 4, KAMPUNG PERTAMA 13500 PERMATANG PAUH, PULAU PINANG  Pulau Pinang Permatang Pauh Pulau Pinang - my 13500</t>
  </si>
  <si>
    <t>N5-BWH-41</t>
  </si>
  <si>
    <t>NVMY34535000005530</t>
  </si>
  <si>
    <t>NVMY34535000005534</t>
  </si>
  <si>
    <t>ROSMAHAIDA JAMALUDIN</t>
  </si>
  <si>
    <t>23 JALAN ANDAMAN 3 TAMAN ANDAMAN UKAY 68000 AMPANG SELANGOR  Ampang Selangor - my 68000</t>
  </si>
  <si>
    <t>NVMY34535000005522</t>
  </si>
  <si>
    <t>ROSSILAWATI BINTI AIYUB</t>
  </si>
  <si>
    <t>NO 155/10 JALAN KERIS KIRI FELCRA CHANGKAT LADA 36800 KAMPUNG GAJAH PERAK  Kampung Gajah Perak - my 36800</t>
  </si>
  <si>
    <t>N6-HML-52</t>
  </si>
  <si>
    <t>NVMY34535000005533</t>
  </si>
  <si>
    <t>LET'S COOPI ROASTERS</t>
  </si>
  <si>
    <t>TAMAN SRI PANDYAN JALAN 11/153A 58200 KUALA LUMPUR  Kuala Lumpur Kuala Lumpur - my 58200</t>
  </si>
  <si>
    <t>NVMY34535000005518</t>
  </si>
  <si>
    <t>HUSNIYAH</t>
  </si>
  <si>
    <t>NO 177 JALAN JATI 13 TAMAN DESA JATI 71800 NILAI NEGERI SEMBILAN  Labu Negeri Sembilan - my 71800</t>
  </si>
  <si>
    <t>NVMY34535000005516</t>
  </si>
  <si>
    <t>HALIMAH BAHARUDIN</t>
  </si>
  <si>
    <t>NO 53 JALAN SELASIH 2, TAMAN KEMAS, 81200 JOHOR BAHRU JOHOR  Johor Bahru Johor - my 81200</t>
  </si>
  <si>
    <t>S7A-KEM-74</t>
  </si>
  <si>
    <t>NVMY34535000005529</t>
  </si>
  <si>
    <t>SITI SABARIAH BINTI SAHEM</t>
  </si>
  <si>
    <t>B-3-1 Hijauan Heights, Jalan Vista Emas 3, Kg Sg Tangkas,43000 Kajang Selangor  Kajang Selangor - my 43000</t>
  </si>
  <si>
    <t>NVMY34535000005526</t>
  </si>
  <si>
    <t>NOR HAMIEDA BT ABD RAZAK</t>
  </si>
  <si>
    <t>NO 115, KG PADANG LALANG FELD NERAM 24060 CENEH TERENGGANU  Ceneh Terengganu - my 24060</t>
  </si>
  <si>
    <t>NVMY34535000005528</t>
  </si>
  <si>
    <t>BALQIES</t>
  </si>
  <si>
    <t>QUARTERS KLINIK AIR TAWAR, KG RAJA 22200 BESUT TERENGGANU  Kampung Raja Terengganu - my 22200</t>
  </si>
  <si>
    <t>NVMY34535000005519</t>
  </si>
  <si>
    <t>MUHAMMAD AMINUDIN BIN DAUD</t>
  </si>
  <si>
    <t>NO 161B LORONG HIJAU PERUMAHAN KASTAM BUKIT KAYU HITAM 06050 BUKIT KAYU HITAM KEDAH  Bukit Kayu Hitam Kedah - my 06050</t>
  </si>
  <si>
    <t>NVMY34535000005532</t>
  </si>
  <si>
    <t>YUSMAZIAH YAHYA</t>
  </si>
  <si>
    <t>2781-12 BATU 6 1/4 JLN KG TENGAH 1 53100 GOMBAK SELANGOR  Hulu Langat Kuala Lumpur - my 53100</t>
  </si>
  <si>
    <t>NVMY34535000005525</t>
  </si>
  <si>
    <t>ROSNIATI</t>
  </si>
  <si>
    <t>NO 69 JALAN SHEIKH MOHD NOR, KAMPUNG SUNGAI CHINCHIN 53100 GOMBAK KUALA LUMPUR  Hulu Langat Kuala Lumpur - my 53100</t>
  </si>
  <si>
    <t>NVMY34535000005517</t>
  </si>
  <si>
    <t>NORSHAHIRAH BINTI SAZALI</t>
  </si>
  <si>
    <t>NO 26 JLN PI/11 TMN PULAI INDAH 81300 SKUDAI JOHOR  Johor Bahru Johor - my 81300</t>
  </si>
  <si>
    <t>NVMY34535000005536</t>
  </si>
  <si>
    <t>NO 1 TINGKAT BASEMENT JALAN DAGANG 2 DYNATON BUKIT ANGIN 28000 TEMERLOH PAHANG  Temerloh Pahang - my 28000</t>
  </si>
  <si>
    <t>NVMY34535000005537</t>
  </si>
  <si>
    <t>TAJUDIN BIN ABDULLAH</t>
  </si>
  <si>
    <t>1631-E JALAN PANJI ALAM 21100 KUALA TERENGGANU TERENGGANU  Kuala Terengganu Terengganu - my 21100</t>
  </si>
  <si>
    <t>NVMY34535000005535</t>
  </si>
  <si>
    <t>LADY FOFO</t>
  </si>
  <si>
    <t>F-UG-3A BLOCK F DRIMBA APARTMENT JALAN KENYALANG 11/14 KOTA DAMANSARA PETALING 47810 SELANGOR  Petaling Jaya Selangor - my 47810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</si>
</sst>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FF"/>
        <bgColor rgb="FFFFCCFF"/>
      </patternFill>
    </fill>
    <fill>
      <patternFill patternType="solid">
        <fgColor rgb="FFC1F7D3"/>
        <bgColor rgb="FFC1F7D3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164" fontId="3" fillId="4" borderId="0" xfId="0" applyNumberFormat="1" applyFont="1" applyFill="1" applyAlignment="1">
      <alignment horizontal="left"/>
    </xf>
    <xf numFmtId="0" fontId="3" fillId="5" borderId="0" xfId="0" applyFont="1" applyFill="1"/>
    <xf numFmtId="0" fontId="0" fillId="2" borderId="0" xfId="0" applyFill="1"/>
    <xf numFmtId="0" fontId="0" fillId="3" borderId="0" xfId="0" applyFill="1"/>
    <xf numFmtId="22" fontId="0" fillId="0" borderId="0" xfId="0" applyNumberFormat="1"/>
    <xf numFmtId="14" fontId="0" fillId="0" borderId="0" xfId="0" applyNumberFormat="1"/>
    <xf numFmtId="43" fontId="4" fillId="4" borderId="0" xfId="0" applyNumberFormat="1" applyFont="1" applyFill="1"/>
    <xf numFmtId="43" fontId="0" fillId="6" borderId="0" xfId="0" applyNumberFormat="1" applyFill="1"/>
    <xf numFmtId="43" fontId="0" fillId="7" borderId="0" xfId="1" applyFont="1" applyFill="1" applyBorder="1" applyAlignment="1" applyProtection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B6225-AC35-44A6-ABA5-C61C70DEE788}">
  <dimension ref="A1:AG297"/>
  <sheetViews>
    <sheetView tabSelected="1" workbookViewId="0">
      <selection sqref="A1:AG295"/>
    </sheetView>
  </sheetViews>
  <sheetFormatPr defaultRowHeight="14.5" x14ac:dyDescent="0.35"/>
  <cols>
    <col min="1" max="33" width="9.08984375" customWidth="1"/>
  </cols>
  <sheetData>
    <row r="1" spans="1:33" ht="15" customHeight="1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5" t="s">
        <v>32</v>
      </c>
    </row>
    <row r="2" spans="1:33" ht="15" customHeight="1" x14ac:dyDescent="0.35">
      <c r="A2">
        <v>690929</v>
      </c>
      <c r="B2" t="s">
        <v>33</v>
      </c>
      <c r="C2" t="s">
        <v>34</v>
      </c>
      <c r="D2" s="6" t="s">
        <v>33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>
        <v>2</v>
      </c>
      <c r="K2" t="s">
        <v>40</v>
      </c>
      <c r="L2" t="s">
        <v>41</v>
      </c>
      <c r="M2" t="s">
        <v>42</v>
      </c>
      <c r="N2" s="7">
        <v>8</v>
      </c>
      <c r="O2" s="8">
        <v>45095.692199074074</v>
      </c>
      <c r="P2" s="9">
        <v>45096</v>
      </c>
      <c r="Q2" t="s">
        <v>36</v>
      </c>
      <c r="R2" t="s">
        <v>43</v>
      </c>
      <c r="S2" t="s">
        <v>44</v>
      </c>
      <c r="T2" t="s">
        <v>45</v>
      </c>
      <c r="U2" t="s">
        <v>46</v>
      </c>
      <c r="V2">
        <v>42300</v>
      </c>
      <c r="W2" t="s">
        <v>43</v>
      </c>
      <c r="X2" t="s">
        <v>47</v>
      </c>
      <c r="Y2" t="s">
        <v>48</v>
      </c>
      <c r="Z2" s="10">
        <f t="shared" ref="Z2:Z11" si="0">IF(N2&lt;=1,7,7+0.8*ROUNDUP(N2-1,0))</f>
        <v>12.600000000000001</v>
      </c>
      <c r="AA2" s="11">
        <v>0</v>
      </c>
      <c r="AB2" s="11">
        <v>0</v>
      </c>
      <c r="AC2" s="11">
        <v>0</v>
      </c>
      <c r="AD2" s="11">
        <v>0</v>
      </c>
      <c r="AE2" s="11">
        <f t="shared" ref="AE2:AE65" si="1">(Z2+AB2+AD2)*6%</f>
        <v>0.75600000000000001</v>
      </c>
      <c r="AF2" s="11">
        <f t="shared" ref="AF2:AF65" si="2">Z2+AB2+AD2+AE2</f>
        <v>13.356000000000002</v>
      </c>
      <c r="AG2" t="s">
        <v>43</v>
      </c>
    </row>
    <row r="3" spans="1:33" ht="15" customHeight="1" x14ac:dyDescent="0.35">
      <c r="A3">
        <v>690929</v>
      </c>
      <c r="B3" t="s">
        <v>33</v>
      </c>
      <c r="C3" t="s">
        <v>34</v>
      </c>
      <c r="D3" s="6" t="s">
        <v>33</v>
      </c>
      <c r="E3" t="s">
        <v>49</v>
      </c>
      <c r="F3" t="s">
        <v>36</v>
      </c>
      <c r="G3" t="s">
        <v>37</v>
      </c>
      <c r="H3" t="s">
        <v>50</v>
      </c>
      <c r="I3" t="s">
        <v>39</v>
      </c>
      <c r="J3">
        <v>2</v>
      </c>
      <c r="K3" t="s">
        <v>40</v>
      </c>
      <c r="L3" t="s">
        <v>41</v>
      </c>
      <c r="M3" t="s">
        <v>42</v>
      </c>
      <c r="N3" s="7">
        <v>1</v>
      </c>
      <c r="O3" s="8">
        <v>45094.456157407411</v>
      </c>
      <c r="P3" s="9">
        <v>45096</v>
      </c>
      <c r="Q3" t="s">
        <v>36</v>
      </c>
      <c r="R3" t="s">
        <v>43</v>
      </c>
      <c r="S3" t="s">
        <v>44</v>
      </c>
      <c r="T3" t="s">
        <v>45</v>
      </c>
      <c r="U3" t="s">
        <v>51</v>
      </c>
      <c r="V3">
        <v>43650</v>
      </c>
      <c r="W3" t="s">
        <v>43</v>
      </c>
      <c r="X3" t="s">
        <v>52</v>
      </c>
      <c r="Y3" t="s">
        <v>48</v>
      </c>
      <c r="Z3" s="10">
        <f t="shared" si="0"/>
        <v>7</v>
      </c>
      <c r="AA3" s="11">
        <v>0</v>
      </c>
      <c r="AB3" s="11">
        <v>0</v>
      </c>
      <c r="AC3" s="11">
        <v>0</v>
      </c>
      <c r="AD3" s="11">
        <v>0</v>
      </c>
      <c r="AE3" s="11">
        <f t="shared" si="1"/>
        <v>0.42</v>
      </c>
      <c r="AF3" s="11">
        <f t="shared" si="2"/>
        <v>7.42</v>
      </c>
      <c r="AG3" t="s">
        <v>43</v>
      </c>
    </row>
    <row r="4" spans="1:33" ht="15" customHeight="1" x14ac:dyDescent="0.35">
      <c r="A4">
        <v>690929</v>
      </c>
      <c r="B4" t="s">
        <v>33</v>
      </c>
      <c r="C4" t="s">
        <v>34</v>
      </c>
      <c r="D4" s="6" t="s">
        <v>33</v>
      </c>
      <c r="E4" t="s">
        <v>53</v>
      </c>
      <c r="F4" t="s">
        <v>36</v>
      </c>
      <c r="G4" t="s">
        <v>37</v>
      </c>
      <c r="H4" t="s">
        <v>54</v>
      </c>
      <c r="I4" t="s">
        <v>39</v>
      </c>
      <c r="J4">
        <v>2</v>
      </c>
      <c r="K4" t="s">
        <v>40</v>
      </c>
      <c r="L4" t="s">
        <v>41</v>
      </c>
      <c r="M4" t="s">
        <v>42</v>
      </c>
      <c r="N4" s="7">
        <v>1</v>
      </c>
      <c r="O4" s="8">
        <v>45094.700439814813</v>
      </c>
      <c r="P4" s="9">
        <v>45096</v>
      </c>
      <c r="Q4" t="s">
        <v>36</v>
      </c>
      <c r="R4" t="s">
        <v>43</v>
      </c>
      <c r="S4" t="s">
        <v>44</v>
      </c>
      <c r="T4" t="s">
        <v>45</v>
      </c>
      <c r="U4" t="s">
        <v>55</v>
      </c>
      <c r="V4">
        <v>43650</v>
      </c>
      <c r="W4" t="s">
        <v>43</v>
      </c>
      <c r="X4" t="s">
        <v>52</v>
      </c>
      <c r="Y4" t="s">
        <v>48</v>
      </c>
      <c r="Z4" s="10">
        <f t="shared" si="0"/>
        <v>7</v>
      </c>
      <c r="AA4" s="11">
        <v>0</v>
      </c>
      <c r="AB4" s="11">
        <v>0</v>
      </c>
      <c r="AC4" s="11">
        <v>0</v>
      </c>
      <c r="AD4" s="11">
        <v>0</v>
      </c>
      <c r="AE4" s="11">
        <f t="shared" si="1"/>
        <v>0.42</v>
      </c>
      <c r="AF4" s="11">
        <f t="shared" si="2"/>
        <v>7.42</v>
      </c>
      <c r="AG4" t="s">
        <v>43</v>
      </c>
    </row>
    <row r="5" spans="1:33" ht="15" customHeight="1" x14ac:dyDescent="0.35">
      <c r="A5">
        <v>690929</v>
      </c>
      <c r="B5" t="s">
        <v>33</v>
      </c>
      <c r="C5" t="s">
        <v>34</v>
      </c>
      <c r="D5" s="6" t="s">
        <v>33</v>
      </c>
      <c r="E5" t="s">
        <v>56</v>
      </c>
      <c r="F5" t="s">
        <v>36</v>
      </c>
      <c r="G5" t="s">
        <v>37</v>
      </c>
      <c r="H5" t="s">
        <v>57</v>
      </c>
      <c r="I5" t="s">
        <v>39</v>
      </c>
      <c r="J5">
        <v>2</v>
      </c>
      <c r="K5" t="s">
        <v>40</v>
      </c>
      <c r="L5" t="s">
        <v>41</v>
      </c>
      <c r="M5" t="s">
        <v>42</v>
      </c>
      <c r="N5" s="7">
        <v>1</v>
      </c>
      <c r="O5" s="8">
        <v>45093.685578703706</v>
      </c>
      <c r="P5" s="9">
        <v>45096</v>
      </c>
      <c r="Q5" t="s">
        <v>36</v>
      </c>
      <c r="R5" t="s">
        <v>43</v>
      </c>
      <c r="S5" t="s">
        <v>44</v>
      </c>
      <c r="T5" t="s">
        <v>45</v>
      </c>
      <c r="U5" t="s">
        <v>58</v>
      </c>
      <c r="V5">
        <v>47500</v>
      </c>
      <c r="W5" t="s">
        <v>43</v>
      </c>
      <c r="X5" t="s">
        <v>59</v>
      </c>
      <c r="Y5" t="s">
        <v>48</v>
      </c>
      <c r="Z5" s="10">
        <f t="shared" si="0"/>
        <v>7</v>
      </c>
      <c r="AA5" s="11">
        <v>0</v>
      </c>
      <c r="AB5" s="11">
        <v>0</v>
      </c>
      <c r="AC5" s="11">
        <v>0</v>
      </c>
      <c r="AD5" s="11">
        <v>0</v>
      </c>
      <c r="AE5" s="11">
        <f t="shared" si="1"/>
        <v>0.42</v>
      </c>
      <c r="AF5" s="11">
        <f t="shared" si="2"/>
        <v>7.42</v>
      </c>
      <c r="AG5" t="s">
        <v>43</v>
      </c>
    </row>
    <row r="6" spans="1:33" ht="15" customHeight="1" x14ac:dyDescent="0.35">
      <c r="A6">
        <v>690929</v>
      </c>
      <c r="B6" t="s">
        <v>33</v>
      </c>
      <c r="C6" t="s">
        <v>34</v>
      </c>
      <c r="D6" s="6" t="s">
        <v>33</v>
      </c>
      <c r="E6" t="s">
        <v>60</v>
      </c>
      <c r="F6" t="s">
        <v>36</v>
      </c>
      <c r="G6" t="s">
        <v>37</v>
      </c>
      <c r="H6" t="s">
        <v>61</v>
      </c>
      <c r="I6" t="s">
        <v>39</v>
      </c>
      <c r="J6">
        <v>2</v>
      </c>
      <c r="K6" t="s">
        <v>40</v>
      </c>
      <c r="L6" t="s">
        <v>41</v>
      </c>
      <c r="M6" t="s">
        <v>42</v>
      </c>
      <c r="N6" s="7">
        <v>1</v>
      </c>
      <c r="O6" s="8">
        <v>45095.578113425923</v>
      </c>
      <c r="P6" s="9">
        <v>45096</v>
      </c>
      <c r="Q6" t="s">
        <v>36</v>
      </c>
      <c r="R6" t="s">
        <v>43</v>
      </c>
      <c r="S6" t="s">
        <v>44</v>
      </c>
      <c r="T6" t="s">
        <v>62</v>
      </c>
      <c r="U6" t="s">
        <v>63</v>
      </c>
      <c r="V6">
        <v>22300</v>
      </c>
      <c r="W6" t="s">
        <v>43</v>
      </c>
      <c r="X6" t="s">
        <v>44</v>
      </c>
      <c r="Y6" t="s">
        <v>48</v>
      </c>
      <c r="Z6" s="10">
        <f t="shared" si="0"/>
        <v>7</v>
      </c>
      <c r="AA6" s="11">
        <v>0</v>
      </c>
      <c r="AB6" s="11">
        <v>0</v>
      </c>
      <c r="AC6" s="11">
        <v>0</v>
      </c>
      <c r="AD6" s="11">
        <v>0</v>
      </c>
      <c r="AE6" s="11">
        <f t="shared" si="1"/>
        <v>0.42</v>
      </c>
      <c r="AF6" s="11">
        <f t="shared" si="2"/>
        <v>7.42</v>
      </c>
      <c r="AG6" t="s">
        <v>43</v>
      </c>
    </row>
    <row r="7" spans="1:33" ht="15" customHeight="1" x14ac:dyDescent="0.35">
      <c r="A7">
        <v>690929</v>
      </c>
      <c r="B7" t="s">
        <v>33</v>
      </c>
      <c r="C7" t="s">
        <v>34</v>
      </c>
      <c r="D7" s="6" t="s">
        <v>33</v>
      </c>
      <c r="E7" t="s">
        <v>64</v>
      </c>
      <c r="F7" t="s">
        <v>36</v>
      </c>
      <c r="G7" t="s">
        <v>37</v>
      </c>
      <c r="H7" t="s">
        <v>65</v>
      </c>
      <c r="I7" t="s">
        <v>39</v>
      </c>
      <c r="J7">
        <v>2</v>
      </c>
      <c r="K7" t="s">
        <v>40</v>
      </c>
      <c r="L7" t="s">
        <v>41</v>
      </c>
      <c r="M7" t="s">
        <v>42</v>
      </c>
      <c r="N7" s="7">
        <v>2</v>
      </c>
      <c r="O7" s="8">
        <v>45094.462037037039</v>
      </c>
      <c r="P7" s="9">
        <v>45096</v>
      </c>
      <c r="Q7" t="s">
        <v>36</v>
      </c>
      <c r="R7" t="s">
        <v>43</v>
      </c>
      <c r="S7" t="s">
        <v>44</v>
      </c>
      <c r="T7" t="s">
        <v>45</v>
      </c>
      <c r="U7" t="s">
        <v>66</v>
      </c>
      <c r="V7">
        <v>47180</v>
      </c>
      <c r="W7" t="s">
        <v>43</v>
      </c>
      <c r="X7" t="s">
        <v>67</v>
      </c>
      <c r="Y7" t="s">
        <v>48</v>
      </c>
      <c r="Z7" s="10">
        <f t="shared" si="0"/>
        <v>7.8</v>
      </c>
      <c r="AA7" s="11">
        <v>0</v>
      </c>
      <c r="AB7" s="11">
        <v>0</v>
      </c>
      <c r="AC7" s="11">
        <v>0</v>
      </c>
      <c r="AD7" s="11">
        <v>0</v>
      </c>
      <c r="AE7" s="11">
        <f t="shared" si="1"/>
        <v>0.46799999999999997</v>
      </c>
      <c r="AF7" s="11">
        <f t="shared" si="2"/>
        <v>8.2680000000000007</v>
      </c>
      <c r="AG7" t="s">
        <v>43</v>
      </c>
    </row>
    <row r="8" spans="1:33" ht="15" customHeight="1" x14ac:dyDescent="0.35">
      <c r="A8">
        <v>690929</v>
      </c>
      <c r="B8" t="s">
        <v>33</v>
      </c>
      <c r="C8" t="s">
        <v>34</v>
      </c>
      <c r="D8" s="6" t="s">
        <v>33</v>
      </c>
      <c r="E8" t="s">
        <v>68</v>
      </c>
      <c r="F8" t="s">
        <v>36</v>
      </c>
      <c r="G8" t="s">
        <v>37</v>
      </c>
      <c r="H8" t="s">
        <v>69</v>
      </c>
      <c r="I8" t="s">
        <v>39</v>
      </c>
      <c r="J8">
        <v>2</v>
      </c>
      <c r="K8" t="s">
        <v>40</v>
      </c>
      <c r="L8" t="s">
        <v>41</v>
      </c>
      <c r="M8" t="s">
        <v>42</v>
      </c>
      <c r="N8" s="7">
        <v>3</v>
      </c>
      <c r="O8" s="8">
        <v>45091.774039351854</v>
      </c>
      <c r="P8" s="9">
        <v>45096</v>
      </c>
      <c r="Q8" t="s">
        <v>36</v>
      </c>
      <c r="R8" t="s">
        <v>43</v>
      </c>
      <c r="S8" t="s">
        <v>44</v>
      </c>
      <c r="T8" t="s">
        <v>45</v>
      </c>
      <c r="U8" t="s">
        <v>70</v>
      </c>
      <c r="V8">
        <v>42450</v>
      </c>
      <c r="W8" t="s">
        <v>43</v>
      </c>
      <c r="X8" t="s">
        <v>71</v>
      </c>
      <c r="Y8" t="s">
        <v>48</v>
      </c>
      <c r="Z8" s="10">
        <f t="shared" si="0"/>
        <v>8.6</v>
      </c>
      <c r="AA8" s="11">
        <v>0</v>
      </c>
      <c r="AB8" s="11">
        <v>0</v>
      </c>
      <c r="AC8" s="11">
        <v>0</v>
      </c>
      <c r="AD8" s="11">
        <v>0</v>
      </c>
      <c r="AE8" s="11">
        <f t="shared" si="1"/>
        <v>0.51600000000000001</v>
      </c>
      <c r="AF8" s="11">
        <f t="shared" si="2"/>
        <v>9.1159999999999997</v>
      </c>
      <c r="AG8" t="s">
        <v>43</v>
      </c>
    </row>
    <row r="9" spans="1:33" ht="15" customHeight="1" x14ac:dyDescent="0.35">
      <c r="A9">
        <v>690929</v>
      </c>
      <c r="B9" t="s">
        <v>33</v>
      </c>
      <c r="C9" t="s">
        <v>34</v>
      </c>
      <c r="D9" s="6" t="s">
        <v>33</v>
      </c>
      <c r="E9" t="s">
        <v>72</v>
      </c>
      <c r="F9" t="s">
        <v>36</v>
      </c>
      <c r="G9" t="s">
        <v>37</v>
      </c>
      <c r="H9" t="s">
        <v>73</v>
      </c>
      <c r="I9" t="s">
        <v>39</v>
      </c>
      <c r="J9">
        <v>2</v>
      </c>
      <c r="K9" t="s">
        <v>40</v>
      </c>
      <c r="L9" t="s">
        <v>41</v>
      </c>
      <c r="M9" t="s">
        <v>42</v>
      </c>
      <c r="N9" s="7">
        <v>1</v>
      </c>
      <c r="O9" s="8">
        <v>45095.464583333334</v>
      </c>
      <c r="P9" s="9">
        <v>45096</v>
      </c>
      <c r="Q9" t="s">
        <v>36</v>
      </c>
      <c r="R9" t="s">
        <v>43</v>
      </c>
      <c r="S9" t="s">
        <v>44</v>
      </c>
      <c r="T9" t="s">
        <v>74</v>
      </c>
      <c r="U9" t="s">
        <v>75</v>
      </c>
      <c r="V9">
        <v>59000</v>
      </c>
      <c r="W9" t="s">
        <v>43</v>
      </c>
      <c r="X9" t="s">
        <v>76</v>
      </c>
      <c r="Y9" t="s">
        <v>48</v>
      </c>
      <c r="Z9" s="10">
        <f t="shared" si="0"/>
        <v>7</v>
      </c>
      <c r="AA9" s="11">
        <v>0</v>
      </c>
      <c r="AB9" s="11">
        <v>0</v>
      </c>
      <c r="AC9" s="11">
        <v>0</v>
      </c>
      <c r="AD9" s="11">
        <v>0</v>
      </c>
      <c r="AE9" s="11">
        <f t="shared" si="1"/>
        <v>0.42</v>
      </c>
      <c r="AF9" s="11">
        <f t="shared" si="2"/>
        <v>7.42</v>
      </c>
      <c r="AG9" t="s">
        <v>43</v>
      </c>
    </row>
    <row r="10" spans="1:33" ht="15" customHeight="1" x14ac:dyDescent="0.35">
      <c r="A10">
        <v>690929</v>
      </c>
      <c r="B10" t="s">
        <v>33</v>
      </c>
      <c r="C10" t="s">
        <v>34</v>
      </c>
      <c r="D10" s="6" t="s">
        <v>33</v>
      </c>
      <c r="E10" t="s">
        <v>77</v>
      </c>
      <c r="F10" t="s">
        <v>36</v>
      </c>
      <c r="G10" t="s">
        <v>37</v>
      </c>
      <c r="H10" t="s">
        <v>78</v>
      </c>
      <c r="I10" t="s">
        <v>39</v>
      </c>
      <c r="J10">
        <v>2</v>
      </c>
      <c r="K10" t="s">
        <v>40</v>
      </c>
      <c r="L10" t="s">
        <v>41</v>
      </c>
      <c r="M10" t="s">
        <v>42</v>
      </c>
      <c r="N10" s="7">
        <v>24</v>
      </c>
      <c r="O10" s="8">
        <v>45095.632430555554</v>
      </c>
      <c r="P10" s="9">
        <v>45096</v>
      </c>
      <c r="Q10" t="s">
        <v>36</v>
      </c>
      <c r="R10" t="s">
        <v>43</v>
      </c>
      <c r="S10" t="s">
        <v>44</v>
      </c>
      <c r="T10" t="s">
        <v>45</v>
      </c>
      <c r="U10" t="s">
        <v>79</v>
      </c>
      <c r="V10">
        <v>43200</v>
      </c>
      <c r="W10" t="s">
        <v>43</v>
      </c>
      <c r="X10" t="s">
        <v>80</v>
      </c>
      <c r="Y10" t="s">
        <v>48</v>
      </c>
      <c r="Z10" s="10">
        <f t="shared" si="0"/>
        <v>25.400000000000002</v>
      </c>
      <c r="AA10" s="11">
        <v>0</v>
      </c>
      <c r="AB10" s="11">
        <v>0</v>
      </c>
      <c r="AC10" s="11">
        <v>0</v>
      </c>
      <c r="AD10" s="11">
        <v>0</v>
      </c>
      <c r="AE10" s="11">
        <f t="shared" si="1"/>
        <v>1.524</v>
      </c>
      <c r="AF10" s="11">
        <f t="shared" si="2"/>
        <v>26.924000000000003</v>
      </c>
      <c r="AG10" t="s">
        <v>43</v>
      </c>
    </row>
    <row r="11" spans="1:33" ht="15" customHeight="1" x14ac:dyDescent="0.35">
      <c r="A11">
        <v>690929</v>
      </c>
      <c r="B11" t="s">
        <v>33</v>
      </c>
      <c r="C11" t="s">
        <v>34</v>
      </c>
      <c r="D11" s="6" t="s">
        <v>33</v>
      </c>
      <c r="E11" t="s">
        <v>81</v>
      </c>
      <c r="F11" t="s">
        <v>36</v>
      </c>
      <c r="G11" t="s">
        <v>37</v>
      </c>
      <c r="H11" t="s">
        <v>78</v>
      </c>
      <c r="I11" t="s">
        <v>39</v>
      </c>
      <c r="J11">
        <v>2</v>
      </c>
      <c r="K11" t="s">
        <v>40</v>
      </c>
      <c r="L11" t="s">
        <v>41</v>
      </c>
      <c r="M11" t="s">
        <v>42</v>
      </c>
      <c r="N11" s="7">
        <v>7</v>
      </c>
      <c r="O11" s="8">
        <v>45095.631064814814</v>
      </c>
      <c r="P11" s="9">
        <v>45096</v>
      </c>
      <c r="Q11" t="s">
        <v>36</v>
      </c>
      <c r="R11" t="s">
        <v>43</v>
      </c>
      <c r="S11" t="s">
        <v>44</v>
      </c>
      <c r="T11" t="s">
        <v>45</v>
      </c>
      <c r="U11" t="s">
        <v>79</v>
      </c>
      <c r="V11">
        <v>43200</v>
      </c>
      <c r="W11" t="s">
        <v>43</v>
      </c>
      <c r="X11" t="s">
        <v>80</v>
      </c>
      <c r="Y11" t="s">
        <v>48</v>
      </c>
      <c r="Z11" s="10">
        <f t="shared" si="0"/>
        <v>11.8</v>
      </c>
      <c r="AA11" s="11">
        <v>0</v>
      </c>
      <c r="AB11" s="11">
        <v>0</v>
      </c>
      <c r="AC11" s="11">
        <v>0</v>
      </c>
      <c r="AD11" s="11">
        <v>0</v>
      </c>
      <c r="AE11" s="11">
        <f t="shared" si="1"/>
        <v>0.70799999999999996</v>
      </c>
      <c r="AF11" s="11">
        <f t="shared" si="2"/>
        <v>12.508000000000001</v>
      </c>
      <c r="AG11" t="s">
        <v>43</v>
      </c>
    </row>
    <row r="12" spans="1:33" ht="15" customHeight="1" x14ac:dyDescent="0.35">
      <c r="A12">
        <v>690929</v>
      </c>
      <c r="B12" t="s">
        <v>33</v>
      </c>
      <c r="C12" t="s">
        <v>34</v>
      </c>
      <c r="D12" s="6" t="s">
        <v>33</v>
      </c>
      <c r="E12" t="s">
        <v>82</v>
      </c>
      <c r="F12" t="s">
        <v>36</v>
      </c>
      <c r="G12" t="s">
        <v>37</v>
      </c>
      <c r="H12" t="s">
        <v>83</v>
      </c>
      <c r="I12" t="s">
        <v>39</v>
      </c>
      <c r="J12">
        <v>2</v>
      </c>
      <c r="K12" t="s">
        <v>40</v>
      </c>
      <c r="L12" t="s">
        <v>41</v>
      </c>
      <c r="M12" t="s">
        <v>42</v>
      </c>
      <c r="N12" s="7">
        <v>1</v>
      </c>
      <c r="O12" s="8">
        <v>45094.697800925926</v>
      </c>
      <c r="P12" s="9">
        <v>45096</v>
      </c>
      <c r="Q12" t="s">
        <v>36</v>
      </c>
      <c r="R12" t="s">
        <v>43</v>
      </c>
      <c r="S12" t="s">
        <v>44</v>
      </c>
      <c r="T12" t="s">
        <v>45</v>
      </c>
      <c r="U12" t="s">
        <v>84</v>
      </c>
      <c r="V12">
        <v>68100</v>
      </c>
      <c r="W12" t="s">
        <v>43</v>
      </c>
      <c r="X12" t="s">
        <v>85</v>
      </c>
      <c r="Y12" t="s">
        <v>48</v>
      </c>
      <c r="Z12" s="10">
        <f>IF(N12&lt;=1,7,7+0.8*ROUNDUP(N12-1,0))</f>
        <v>7</v>
      </c>
      <c r="AA12" s="11">
        <v>0</v>
      </c>
      <c r="AB12" s="11">
        <v>0</v>
      </c>
      <c r="AC12" s="11">
        <v>0</v>
      </c>
      <c r="AD12" s="11">
        <v>0</v>
      </c>
      <c r="AE12" s="11">
        <f t="shared" si="1"/>
        <v>0.42</v>
      </c>
      <c r="AF12" s="11">
        <f t="shared" si="2"/>
        <v>7.42</v>
      </c>
      <c r="AG12" t="s">
        <v>43</v>
      </c>
    </row>
    <row r="13" spans="1:33" ht="15" customHeight="1" x14ac:dyDescent="0.35">
      <c r="A13">
        <v>690929</v>
      </c>
      <c r="B13" t="s">
        <v>33</v>
      </c>
      <c r="C13" t="s">
        <v>34</v>
      </c>
      <c r="D13" s="6" t="s">
        <v>33</v>
      </c>
      <c r="E13" t="s">
        <v>86</v>
      </c>
      <c r="F13" t="s">
        <v>36</v>
      </c>
      <c r="G13" t="s">
        <v>37</v>
      </c>
      <c r="H13" t="s">
        <v>87</v>
      </c>
      <c r="I13" t="s">
        <v>39</v>
      </c>
      <c r="J13">
        <v>2</v>
      </c>
      <c r="K13" t="s">
        <v>40</v>
      </c>
      <c r="L13" t="s">
        <v>41</v>
      </c>
      <c r="M13" t="s">
        <v>42</v>
      </c>
      <c r="N13" s="7">
        <v>1</v>
      </c>
      <c r="O13" s="8">
        <v>45095.535127314812</v>
      </c>
      <c r="P13" s="9">
        <v>45096</v>
      </c>
      <c r="Q13" t="s">
        <v>36</v>
      </c>
      <c r="R13" t="s">
        <v>43</v>
      </c>
      <c r="S13" t="s">
        <v>44</v>
      </c>
      <c r="T13" t="s">
        <v>74</v>
      </c>
      <c r="U13" t="s">
        <v>88</v>
      </c>
      <c r="V13">
        <v>58200</v>
      </c>
      <c r="W13" t="s">
        <v>43</v>
      </c>
      <c r="X13" t="s">
        <v>89</v>
      </c>
      <c r="Y13" t="s">
        <v>48</v>
      </c>
      <c r="Z13" s="10">
        <f t="shared" ref="Z13" si="3">IF(N13&lt;=1,7,7+0.8*ROUNDUP(N13-1,0))</f>
        <v>7</v>
      </c>
      <c r="AA13" s="11">
        <v>0</v>
      </c>
      <c r="AB13" s="11">
        <v>0</v>
      </c>
      <c r="AC13" s="11">
        <v>0</v>
      </c>
      <c r="AD13" s="11">
        <v>0</v>
      </c>
      <c r="AE13" s="11">
        <f t="shared" si="1"/>
        <v>0.42</v>
      </c>
      <c r="AF13" s="11">
        <f t="shared" si="2"/>
        <v>7.42</v>
      </c>
      <c r="AG13" t="s">
        <v>43</v>
      </c>
    </row>
    <row r="14" spans="1:33" ht="15" customHeight="1" x14ac:dyDescent="0.35">
      <c r="A14">
        <v>690929</v>
      </c>
      <c r="B14" t="s">
        <v>33</v>
      </c>
      <c r="C14" t="s">
        <v>34</v>
      </c>
      <c r="D14" s="6" t="s">
        <v>33</v>
      </c>
      <c r="E14" t="s">
        <v>90</v>
      </c>
      <c r="F14" t="s">
        <v>36</v>
      </c>
      <c r="G14" t="s">
        <v>37</v>
      </c>
      <c r="H14" t="s">
        <v>91</v>
      </c>
      <c r="I14" t="s">
        <v>39</v>
      </c>
      <c r="J14">
        <v>2</v>
      </c>
      <c r="K14" t="s">
        <v>40</v>
      </c>
      <c r="L14" t="s">
        <v>41</v>
      </c>
      <c r="M14" t="s">
        <v>42</v>
      </c>
      <c r="N14" s="7">
        <v>3</v>
      </c>
      <c r="O14" s="8">
        <v>45094.611851851849</v>
      </c>
      <c r="P14" s="9">
        <v>45097</v>
      </c>
      <c r="Q14" t="s">
        <v>36</v>
      </c>
      <c r="R14" t="s">
        <v>43</v>
      </c>
      <c r="S14" t="s">
        <v>44</v>
      </c>
      <c r="T14" t="s">
        <v>92</v>
      </c>
      <c r="U14" t="s">
        <v>93</v>
      </c>
      <c r="V14">
        <v>89008</v>
      </c>
      <c r="W14" t="s">
        <v>94</v>
      </c>
      <c r="X14" t="s">
        <v>95</v>
      </c>
      <c r="Y14" t="s">
        <v>48</v>
      </c>
      <c r="Z14" s="12">
        <f>IF(N14&lt;=1,13,IF(N14&lt;=2,23,IF(N14&lt;=3,35,IF(N14&lt;=4,43,IF(N14&lt;=5,53,IF(N14&lt;=6,63,IF(N14&lt;=7,71,IF(N14&lt;=8,79,IF(N14&lt;=9,87,IF(N14&lt;=10,95,IF(N14&lt;=11,105,IF(N14&lt;=12,114,IF(N14&lt;=13,119,IF(N14&lt;=14,127,IF(N14&lt;=15,135,IF(N14&lt;=16,143,IF(N14&lt;=17,153,IF(N14&lt;=18,163,IF(N14&lt;=19,171,IF(N14&lt;=20,185,IF(N14&lt;=21,193,IF(N14&lt;=22,201,IF(N14&lt;=23,210,IF(N14&lt;=24,220,IF(N14&lt;=25,230,IF(N14&lt;=26,240,IF(N14&lt;=27,250,IF(N14&lt;=28,260,IF(N14&lt;=29,270,IF(N14&lt;=30,280,280+10*ROUNDUP(N14-30,0)))))))))))))))))))))))))))))))</f>
        <v>35</v>
      </c>
      <c r="AA14" s="11">
        <v>0</v>
      </c>
      <c r="AB14" s="11">
        <v>0</v>
      </c>
      <c r="AC14" s="11">
        <v>0</v>
      </c>
      <c r="AD14" s="11">
        <v>0</v>
      </c>
      <c r="AE14" s="11">
        <f t="shared" si="1"/>
        <v>2.1</v>
      </c>
      <c r="AF14" s="11">
        <f t="shared" si="2"/>
        <v>37.1</v>
      </c>
      <c r="AG14" t="s">
        <v>94</v>
      </c>
    </row>
    <row r="15" spans="1:33" ht="15" customHeight="1" x14ac:dyDescent="0.35">
      <c r="A15">
        <v>690929</v>
      </c>
      <c r="B15" t="s">
        <v>33</v>
      </c>
      <c r="C15" t="s">
        <v>34</v>
      </c>
      <c r="D15" s="6" t="s">
        <v>33</v>
      </c>
      <c r="E15" t="s">
        <v>96</v>
      </c>
      <c r="F15" t="s">
        <v>36</v>
      </c>
      <c r="G15" t="s">
        <v>37</v>
      </c>
      <c r="H15" t="s">
        <v>97</v>
      </c>
      <c r="I15" t="s">
        <v>39</v>
      </c>
      <c r="J15">
        <v>2</v>
      </c>
      <c r="K15" t="s">
        <v>40</v>
      </c>
      <c r="L15" t="s">
        <v>41</v>
      </c>
      <c r="M15" t="s">
        <v>42</v>
      </c>
      <c r="N15" s="7">
        <v>1</v>
      </c>
      <c r="O15" s="8">
        <v>45094.545335648145</v>
      </c>
      <c r="P15" s="9">
        <v>45097</v>
      </c>
      <c r="Q15" t="s">
        <v>36</v>
      </c>
      <c r="R15" t="s">
        <v>43</v>
      </c>
      <c r="S15" t="s">
        <v>44</v>
      </c>
      <c r="T15" t="s">
        <v>74</v>
      </c>
      <c r="U15" t="s">
        <v>98</v>
      </c>
      <c r="V15">
        <v>59100</v>
      </c>
      <c r="W15" t="s">
        <v>43</v>
      </c>
      <c r="X15" t="s">
        <v>67</v>
      </c>
      <c r="Y15" t="s">
        <v>48</v>
      </c>
      <c r="Z15" s="10">
        <f t="shared" ref="Z15:Z25" si="4">IF(N15&lt;=1,7,7+0.8*ROUNDUP(N15-1,0))</f>
        <v>7</v>
      </c>
      <c r="AA15" s="11">
        <v>0</v>
      </c>
      <c r="AB15" s="11">
        <v>0</v>
      </c>
      <c r="AC15" s="11">
        <v>0</v>
      </c>
      <c r="AD15" s="11">
        <v>0</v>
      </c>
      <c r="AE15" s="11">
        <f t="shared" si="1"/>
        <v>0.42</v>
      </c>
      <c r="AF15" s="11">
        <f t="shared" si="2"/>
        <v>7.42</v>
      </c>
      <c r="AG15" t="s">
        <v>43</v>
      </c>
    </row>
    <row r="16" spans="1:33" ht="15" customHeight="1" x14ac:dyDescent="0.35">
      <c r="A16">
        <v>690929</v>
      </c>
      <c r="B16" t="s">
        <v>33</v>
      </c>
      <c r="C16" t="s">
        <v>34</v>
      </c>
      <c r="D16" s="6" t="s">
        <v>33</v>
      </c>
      <c r="E16" t="s">
        <v>99</v>
      </c>
      <c r="F16" t="s">
        <v>36</v>
      </c>
      <c r="G16" t="s">
        <v>37</v>
      </c>
      <c r="H16" t="s">
        <v>100</v>
      </c>
      <c r="I16" t="s">
        <v>39</v>
      </c>
      <c r="J16">
        <v>2</v>
      </c>
      <c r="K16" t="s">
        <v>40</v>
      </c>
      <c r="L16" t="s">
        <v>41</v>
      </c>
      <c r="M16" t="s">
        <v>42</v>
      </c>
      <c r="N16" s="7">
        <v>1</v>
      </c>
      <c r="O16" s="8">
        <v>45095.580231481479</v>
      </c>
      <c r="P16" s="9">
        <v>45097</v>
      </c>
      <c r="Q16" t="s">
        <v>36</v>
      </c>
      <c r="R16" t="s">
        <v>43</v>
      </c>
      <c r="S16" t="s">
        <v>44</v>
      </c>
      <c r="T16" t="s">
        <v>101</v>
      </c>
      <c r="U16" t="s">
        <v>102</v>
      </c>
      <c r="V16">
        <v>6500</v>
      </c>
      <c r="W16" t="s">
        <v>43</v>
      </c>
      <c r="X16" t="s">
        <v>103</v>
      </c>
      <c r="Y16" t="s">
        <v>48</v>
      </c>
      <c r="Z16" s="10">
        <f t="shared" si="4"/>
        <v>7</v>
      </c>
      <c r="AA16" s="11">
        <v>0</v>
      </c>
      <c r="AB16" s="11">
        <v>0</v>
      </c>
      <c r="AC16" s="11">
        <v>0</v>
      </c>
      <c r="AD16" s="11">
        <v>0</v>
      </c>
      <c r="AE16" s="11">
        <f t="shared" si="1"/>
        <v>0.42</v>
      </c>
      <c r="AF16" s="11">
        <f t="shared" si="2"/>
        <v>7.42</v>
      </c>
      <c r="AG16" t="s">
        <v>43</v>
      </c>
    </row>
    <row r="17" spans="1:33" ht="15" customHeight="1" x14ac:dyDescent="0.35">
      <c r="A17">
        <v>690929</v>
      </c>
      <c r="B17" t="s">
        <v>33</v>
      </c>
      <c r="C17" t="s">
        <v>34</v>
      </c>
      <c r="D17" s="6" t="s">
        <v>33</v>
      </c>
      <c r="E17" t="s">
        <v>104</v>
      </c>
      <c r="F17" t="s">
        <v>36</v>
      </c>
      <c r="G17" t="s">
        <v>37</v>
      </c>
      <c r="H17" t="s">
        <v>105</v>
      </c>
      <c r="I17" t="s">
        <v>39</v>
      </c>
      <c r="J17">
        <v>2</v>
      </c>
      <c r="K17" t="s">
        <v>40</v>
      </c>
      <c r="L17" t="s">
        <v>41</v>
      </c>
      <c r="M17" t="s">
        <v>42</v>
      </c>
      <c r="N17" s="7">
        <v>1</v>
      </c>
      <c r="O17" s="8">
        <v>45095.748263888891</v>
      </c>
      <c r="P17" s="9">
        <v>45097</v>
      </c>
      <c r="Q17" t="s">
        <v>36</v>
      </c>
      <c r="R17" t="s">
        <v>43</v>
      </c>
      <c r="S17" t="s">
        <v>44</v>
      </c>
      <c r="T17" t="s">
        <v>106</v>
      </c>
      <c r="U17" t="s">
        <v>107</v>
      </c>
      <c r="V17">
        <v>28400</v>
      </c>
      <c r="W17" t="s">
        <v>43</v>
      </c>
      <c r="X17" t="s">
        <v>108</v>
      </c>
      <c r="Y17" t="s">
        <v>48</v>
      </c>
      <c r="Z17" s="10">
        <f t="shared" si="4"/>
        <v>7</v>
      </c>
      <c r="AA17" s="11">
        <v>0</v>
      </c>
      <c r="AB17" s="11">
        <v>0</v>
      </c>
      <c r="AC17" s="11">
        <v>0</v>
      </c>
      <c r="AD17" s="11">
        <v>0</v>
      </c>
      <c r="AE17" s="11">
        <f t="shared" si="1"/>
        <v>0.42</v>
      </c>
      <c r="AF17" s="11">
        <f t="shared" si="2"/>
        <v>7.42</v>
      </c>
      <c r="AG17" t="s">
        <v>43</v>
      </c>
    </row>
    <row r="18" spans="1:33" ht="15" customHeight="1" x14ac:dyDescent="0.35">
      <c r="A18">
        <v>690929</v>
      </c>
      <c r="B18" t="s">
        <v>33</v>
      </c>
      <c r="C18" t="s">
        <v>34</v>
      </c>
      <c r="D18" s="6" t="s">
        <v>33</v>
      </c>
      <c r="E18" t="s">
        <v>109</v>
      </c>
      <c r="F18" t="s">
        <v>36</v>
      </c>
      <c r="G18" t="s">
        <v>37</v>
      </c>
      <c r="H18" t="s">
        <v>110</v>
      </c>
      <c r="I18" t="s">
        <v>39</v>
      </c>
      <c r="J18">
        <v>2</v>
      </c>
      <c r="K18" t="s">
        <v>40</v>
      </c>
      <c r="L18" t="s">
        <v>41</v>
      </c>
      <c r="M18" t="s">
        <v>42</v>
      </c>
      <c r="N18" s="7">
        <v>1</v>
      </c>
      <c r="O18" s="8">
        <v>45095.602361111109</v>
      </c>
      <c r="P18" s="9">
        <v>45097</v>
      </c>
      <c r="Q18" t="s">
        <v>36</v>
      </c>
      <c r="R18" t="s">
        <v>43</v>
      </c>
      <c r="S18" t="s">
        <v>44</v>
      </c>
      <c r="T18" t="s">
        <v>74</v>
      </c>
      <c r="U18" t="s">
        <v>111</v>
      </c>
      <c r="V18">
        <v>55100</v>
      </c>
      <c r="W18" t="s">
        <v>43</v>
      </c>
      <c r="X18" t="s">
        <v>67</v>
      </c>
      <c r="Y18" t="s">
        <v>48</v>
      </c>
      <c r="Z18" s="10">
        <f t="shared" si="4"/>
        <v>7</v>
      </c>
      <c r="AA18" s="11">
        <v>0</v>
      </c>
      <c r="AB18" s="11">
        <v>0</v>
      </c>
      <c r="AC18" s="11">
        <v>0</v>
      </c>
      <c r="AD18" s="11">
        <v>0</v>
      </c>
      <c r="AE18" s="11">
        <f t="shared" si="1"/>
        <v>0.42</v>
      </c>
      <c r="AF18" s="11">
        <f t="shared" si="2"/>
        <v>7.42</v>
      </c>
      <c r="AG18" t="s">
        <v>43</v>
      </c>
    </row>
    <row r="19" spans="1:33" ht="15" customHeight="1" x14ac:dyDescent="0.35">
      <c r="A19">
        <v>690929</v>
      </c>
      <c r="B19" t="s">
        <v>33</v>
      </c>
      <c r="C19" t="s">
        <v>34</v>
      </c>
      <c r="D19" s="6" t="s">
        <v>33</v>
      </c>
      <c r="E19" t="s">
        <v>112</v>
      </c>
      <c r="F19" t="s">
        <v>36</v>
      </c>
      <c r="G19" t="s">
        <v>37</v>
      </c>
      <c r="H19" t="s">
        <v>113</v>
      </c>
      <c r="I19" t="s">
        <v>39</v>
      </c>
      <c r="J19">
        <v>2</v>
      </c>
      <c r="K19" t="s">
        <v>40</v>
      </c>
      <c r="L19" t="s">
        <v>41</v>
      </c>
      <c r="M19" t="s">
        <v>42</v>
      </c>
      <c r="N19" s="7">
        <v>1</v>
      </c>
      <c r="O19" s="8">
        <v>45096.721435185187</v>
      </c>
      <c r="P19" s="9">
        <v>45097</v>
      </c>
      <c r="Q19" t="s">
        <v>36</v>
      </c>
      <c r="R19" t="s">
        <v>43</v>
      </c>
      <c r="S19" t="s">
        <v>44</v>
      </c>
      <c r="T19" t="s">
        <v>74</v>
      </c>
      <c r="U19" t="s">
        <v>114</v>
      </c>
      <c r="V19">
        <v>52100</v>
      </c>
      <c r="W19" t="s">
        <v>43</v>
      </c>
      <c r="X19" t="s">
        <v>115</v>
      </c>
      <c r="Y19" t="s">
        <v>48</v>
      </c>
      <c r="Z19" s="10">
        <f t="shared" si="4"/>
        <v>7</v>
      </c>
      <c r="AA19" s="11">
        <v>0</v>
      </c>
      <c r="AB19" s="11">
        <v>0</v>
      </c>
      <c r="AC19" s="11">
        <v>0</v>
      </c>
      <c r="AD19" s="11">
        <v>0</v>
      </c>
      <c r="AE19" s="11">
        <f t="shared" si="1"/>
        <v>0.42</v>
      </c>
      <c r="AF19" s="11">
        <f t="shared" si="2"/>
        <v>7.42</v>
      </c>
      <c r="AG19" t="s">
        <v>43</v>
      </c>
    </row>
    <row r="20" spans="1:33" ht="15" customHeight="1" x14ac:dyDescent="0.35">
      <c r="A20">
        <v>690929</v>
      </c>
      <c r="B20" t="s">
        <v>33</v>
      </c>
      <c r="C20" t="s">
        <v>34</v>
      </c>
      <c r="D20" s="6" t="s">
        <v>33</v>
      </c>
      <c r="E20" t="s">
        <v>116</v>
      </c>
      <c r="F20" t="s">
        <v>36</v>
      </c>
      <c r="G20" t="s">
        <v>37</v>
      </c>
      <c r="H20" t="s">
        <v>117</v>
      </c>
      <c r="I20" t="s">
        <v>39</v>
      </c>
      <c r="J20">
        <v>2</v>
      </c>
      <c r="K20" t="s">
        <v>40</v>
      </c>
      <c r="L20" t="s">
        <v>41</v>
      </c>
      <c r="M20" t="s">
        <v>42</v>
      </c>
      <c r="N20" s="7">
        <v>1</v>
      </c>
      <c r="O20" s="8">
        <v>45094.624606481484</v>
      </c>
      <c r="P20" s="9">
        <v>45097</v>
      </c>
      <c r="Q20" t="s">
        <v>36</v>
      </c>
      <c r="R20" t="s">
        <v>43</v>
      </c>
      <c r="S20" t="s">
        <v>44</v>
      </c>
      <c r="T20" t="s">
        <v>118</v>
      </c>
      <c r="U20" t="s">
        <v>119</v>
      </c>
      <c r="V20">
        <v>71800</v>
      </c>
      <c r="W20" t="s">
        <v>43</v>
      </c>
      <c r="X20" t="s">
        <v>120</v>
      </c>
      <c r="Y20" t="s">
        <v>48</v>
      </c>
      <c r="Z20" s="10">
        <f t="shared" si="4"/>
        <v>7</v>
      </c>
      <c r="AA20" s="11">
        <v>0</v>
      </c>
      <c r="AB20" s="11">
        <v>0</v>
      </c>
      <c r="AC20" s="11">
        <v>0</v>
      </c>
      <c r="AD20" s="11">
        <v>0</v>
      </c>
      <c r="AE20" s="11">
        <f t="shared" si="1"/>
        <v>0.42</v>
      </c>
      <c r="AF20" s="11">
        <f t="shared" si="2"/>
        <v>7.42</v>
      </c>
      <c r="AG20" t="s">
        <v>43</v>
      </c>
    </row>
    <row r="21" spans="1:33" ht="15" customHeight="1" x14ac:dyDescent="0.35">
      <c r="A21">
        <v>690929</v>
      </c>
      <c r="B21" t="s">
        <v>33</v>
      </c>
      <c r="C21" t="s">
        <v>34</v>
      </c>
      <c r="D21" s="6" t="s">
        <v>33</v>
      </c>
      <c r="E21" t="s">
        <v>121</v>
      </c>
      <c r="F21" t="s">
        <v>36</v>
      </c>
      <c r="G21" t="s">
        <v>37</v>
      </c>
      <c r="H21" t="s">
        <v>122</v>
      </c>
      <c r="I21" t="s">
        <v>39</v>
      </c>
      <c r="J21">
        <v>2</v>
      </c>
      <c r="K21" t="s">
        <v>40</v>
      </c>
      <c r="L21" t="s">
        <v>41</v>
      </c>
      <c r="M21" t="s">
        <v>42</v>
      </c>
      <c r="N21" s="7">
        <v>1</v>
      </c>
      <c r="O21" s="8">
        <v>45093.479085648149</v>
      </c>
      <c r="P21" s="9">
        <v>45097</v>
      </c>
      <c r="Q21" t="s">
        <v>36</v>
      </c>
      <c r="R21" t="s">
        <v>43</v>
      </c>
      <c r="S21" t="s">
        <v>123</v>
      </c>
      <c r="T21" t="s">
        <v>124</v>
      </c>
      <c r="U21" t="s">
        <v>125</v>
      </c>
      <c r="V21">
        <v>34700</v>
      </c>
      <c r="W21" t="s">
        <v>43</v>
      </c>
      <c r="X21" t="s">
        <v>67</v>
      </c>
      <c r="Y21" t="s">
        <v>48</v>
      </c>
      <c r="Z21" s="10">
        <f t="shared" si="4"/>
        <v>7</v>
      </c>
      <c r="AA21" s="11">
        <v>0</v>
      </c>
      <c r="AB21" s="11">
        <v>0</v>
      </c>
      <c r="AC21" s="11">
        <v>0</v>
      </c>
      <c r="AD21" s="11">
        <v>0</v>
      </c>
      <c r="AE21" s="11">
        <f t="shared" si="1"/>
        <v>0.42</v>
      </c>
      <c r="AF21" s="11">
        <f t="shared" si="2"/>
        <v>7.42</v>
      </c>
      <c r="AG21" t="s">
        <v>43</v>
      </c>
    </row>
    <row r="22" spans="1:33" ht="15" customHeight="1" x14ac:dyDescent="0.35">
      <c r="A22">
        <v>690929</v>
      </c>
      <c r="B22" t="s">
        <v>33</v>
      </c>
      <c r="C22" t="s">
        <v>34</v>
      </c>
      <c r="D22" s="6" t="s">
        <v>33</v>
      </c>
      <c r="E22" t="s">
        <v>126</v>
      </c>
      <c r="F22" t="s">
        <v>36</v>
      </c>
      <c r="G22" t="s">
        <v>37</v>
      </c>
      <c r="H22" t="s">
        <v>127</v>
      </c>
      <c r="I22" t="s">
        <v>39</v>
      </c>
      <c r="J22">
        <v>2</v>
      </c>
      <c r="K22" t="s">
        <v>40</v>
      </c>
      <c r="L22" t="s">
        <v>41</v>
      </c>
      <c r="M22" t="s">
        <v>42</v>
      </c>
      <c r="N22" s="7">
        <v>11</v>
      </c>
      <c r="O22" s="8">
        <v>45095.592476851853</v>
      </c>
      <c r="P22" s="9">
        <v>45097</v>
      </c>
      <c r="Q22" t="s">
        <v>36</v>
      </c>
      <c r="R22" t="s">
        <v>43</v>
      </c>
      <c r="S22" t="s">
        <v>44</v>
      </c>
      <c r="T22" t="s">
        <v>128</v>
      </c>
      <c r="U22" t="s">
        <v>129</v>
      </c>
      <c r="V22">
        <v>81300</v>
      </c>
      <c r="W22" t="s">
        <v>43</v>
      </c>
      <c r="X22" t="s">
        <v>130</v>
      </c>
      <c r="Y22" t="s">
        <v>48</v>
      </c>
      <c r="Z22" s="10">
        <f t="shared" si="4"/>
        <v>15</v>
      </c>
      <c r="AA22" s="11">
        <v>0</v>
      </c>
      <c r="AB22" s="11">
        <v>0</v>
      </c>
      <c r="AC22" s="11">
        <v>0</v>
      </c>
      <c r="AD22" s="11">
        <v>0</v>
      </c>
      <c r="AE22" s="11">
        <f t="shared" si="1"/>
        <v>0.89999999999999991</v>
      </c>
      <c r="AF22" s="11">
        <f t="shared" si="2"/>
        <v>15.9</v>
      </c>
      <c r="AG22" t="s">
        <v>43</v>
      </c>
    </row>
    <row r="23" spans="1:33" ht="15" customHeight="1" x14ac:dyDescent="0.35">
      <c r="A23">
        <v>690929</v>
      </c>
      <c r="B23" t="s">
        <v>33</v>
      </c>
      <c r="C23" t="s">
        <v>34</v>
      </c>
      <c r="D23" s="6" t="s">
        <v>33</v>
      </c>
      <c r="E23" t="s">
        <v>131</v>
      </c>
      <c r="F23" t="s">
        <v>36</v>
      </c>
      <c r="G23" t="s">
        <v>37</v>
      </c>
      <c r="H23" t="s">
        <v>132</v>
      </c>
      <c r="I23" t="s">
        <v>39</v>
      </c>
      <c r="J23">
        <v>2</v>
      </c>
      <c r="K23" t="s">
        <v>40</v>
      </c>
      <c r="L23" t="s">
        <v>41</v>
      </c>
      <c r="M23" t="s">
        <v>42</v>
      </c>
      <c r="N23" s="7">
        <v>1</v>
      </c>
      <c r="O23" s="8">
        <v>45094.468946759262</v>
      </c>
      <c r="P23" s="9">
        <v>45097</v>
      </c>
      <c r="Q23" t="s">
        <v>36</v>
      </c>
      <c r="R23" t="s">
        <v>43</v>
      </c>
      <c r="S23" t="s">
        <v>44</v>
      </c>
      <c r="T23" t="s">
        <v>133</v>
      </c>
      <c r="U23" t="s">
        <v>134</v>
      </c>
      <c r="V23">
        <v>75250</v>
      </c>
      <c r="W23" t="s">
        <v>43</v>
      </c>
      <c r="X23" t="s">
        <v>67</v>
      </c>
      <c r="Y23" t="s">
        <v>48</v>
      </c>
      <c r="Z23" s="10">
        <f t="shared" si="4"/>
        <v>7</v>
      </c>
      <c r="AA23" s="11">
        <v>0</v>
      </c>
      <c r="AB23" s="11">
        <v>0</v>
      </c>
      <c r="AC23" s="11">
        <v>0</v>
      </c>
      <c r="AD23" s="11">
        <v>0</v>
      </c>
      <c r="AE23" s="11">
        <f t="shared" si="1"/>
        <v>0.42</v>
      </c>
      <c r="AF23" s="11">
        <f t="shared" si="2"/>
        <v>7.42</v>
      </c>
      <c r="AG23" t="s">
        <v>43</v>
      </c>
    </row>
    <row r="24" spans="1:33" ht="15" customHeight="1" x14ac:dyDescent="0.35">
      <c r="A24">
        <v>690929</v>
      </c>
      <c r="B24" t="s">
        <v>33</v>
      </c>
      <c r="C24" t="s">
        <v>34</v>
      </c>
      <c r="D24" s="6" t="s">
        <v>33</v>
      </c>
      <c r="E24" t="s">
        <v>135</v>
      </c>
      <c r="F24" t="s">
        <v>36</v>
      </c>
      <c r="G24" t="s">
        <v>37</v>
      </c>
      <c r="H24" t="s">
        <v>136</v>
      </c>
      <c r="I24" t="s">
        <v>39</v>
      </c>
      <c r="J24">
        <v>2</v>
      </c>
      <c r="K24" t="s">
        <v>40</v>
      </c>
      <c r="L24" t="s">
        <v>41</v>
      </c>
      <c r="M24" t="s">
        <v>42</v>
      </c>
      <c r="N24" s="7">
        <v>4</v>
      </c>
      <c r="O24" s="8">
        <v>45095.696203703701</v>
      </c>
      <c r="P24" s="9">
        <v>45097</v>
      </c>
      <c r="Q24" t="s">
        <v>36</v>
      </c>
      <c r="R24" t="s">
        <v>43</v>
      </c>
      <c r="S24" t="s">
        <v>44</v>
      </c>
      <c r="T24" t="s">
        <v>101</v>
      </c>
      <c r="U24" t="s">
        <v>137</v>
      </c>
      <c r="V24">
        <v>5150</v>
      </c>
      <c r="W24" t="s">
        <v>43</v>
      </c>
      <c r="X24" t="s">
        <v>103</v>
      </c>
      <c r="Y24" t="s">
        <v>48</v>
      </c>
      <c r="Z24" s="10">
        <f t="shared" si="4"/>
        <v>9.4</v>
      </c>
      <c r="AA24" s="11">
        <v>0</v>
      </c>
      <c r="AB24" s="11">
        <v>0</v>
      </c>
      <c r="AC24" s="11">
        <v>0</v>
      </c>
      <c r="AD24" s="11">
        <v>0</v>
      </c>
      <c r="AE24" s="11">
        <f t="shared" si="1"/>
        <v>0.56399999999999995</v>
      </c>
      <c r="AF24" s="11">
        <f t="shared" si="2"/>
        <v>9.9640000000000004</v>
      </c>
      <c r="AG24" t="s">
        <v>43</v>
      </c>
    </row>
    <row r="25" spans="1:33" ht="15" customHeight="1" x14ac:dyDescent="0.35">
      <c r="A25">
        <v>690929</v>
      </c>
      <c r="B25" t="s">
        <v>33</v>
      </c>
      <c r="C25" t="s">
        <v>34</v>
      </c>
      <c r="D25" s="6" t="s">
        <v>33</v>
      </c>
      <c r="E25" t="s">
        <v>138</v>
      </c>
      <c r="F25" t="s">
        <v>36</v>
      </c>
      <c r="G25" t="s">
        <v>37</v>
      </c>
      <c r="H25" t="s">
        <v>139</v>
      </c>
      <c r="I25" t="s">
        <v>39</v>
      </c>
      <c r="J25">
        <v>2</v>
      </c>
      <c r="K25" t="s">
        <v>40</v>
      </c>
      <c r="L25" t="s">
        <v>41</v>
      </c>
      <c r="M25" t="s">
        <v>42</v>
      </c>
      <c r="N25" s="7">
        <v>1</v>
      </c>
      <c r="O25" s="8">
        <v>45096.771793981483</v>
      </c>
      <c r="P25" s="9">
        <v>45098</v>
      </c>
      <c r="Q25" t="s">
        <v>36</v>
      </c>
      <c r="R25" t="s">
        <v>43</v>
      </c>
      <c r="S25" t="s">
        <v>44</v>
      </c>
      <c r="T25" t="s">
        <v>128</v>
      </c>
      <c r="U25" t="s">
        <v>140</v>
      </c>
      <c r="V25">
        <v>81100</v>
      </c>
      <c r="W25" t="s">
        <v>43</v>
      </c>
      <c r="X25" t="s">
        <v>141</v>
      </c>
      <c r="Y25" t="s">
        <v>48</v>
      </c>
      <c r="Z25" s="10">
        <f t="shared" si="4"/>
        <v>7</v>
      </c>
      <c r="AA25" s="11">
        <v>0</v>
      </c>
      <c r="AB25" s="11">
        <v>0</v>
      </c>
      <c r="AC25" s="11">
        <v>0</v>
      </c>
      <c r="AD25" s="11">
        <v>0</v>
      </c>
      <c r="AE25" s="11">
        <f t="shared" si="1"/>
        <v>0.42</v>
      </c>
      <c r="AF25" s="11">
        <f t="shared" si="2"/>
        <v>7.42</v>
      </c>
      <c r="AG25" t="s">
        <v>43</v>
      </c>
    </row>
    <row r="26" spans="1:33" ht="15" customHeight="1" x14ac:dyDescent="0.35">
      <c r="A26">
        <v>690929</v>
      </c>
      <c r="B26" t="s">
        <v>33</v>
      </c>
      <c r="C26" t="s">
        <v>34</v>
      </c>
      <c r="D26" s="6" t="s">
        <v>33</v>
      </c>
      <c r="E26" t="s">
        <v>142</v>
      </c>
      <c r="F26" t="s">
        <v>36</v>
      </c>
      <c r="G26" t="s">
        <v>37</v>
      </c>
      <c r="H26" t="s">
        <v>143</v>
      </c>
      <c r="I26" t="s">
        <v>39</v>
      </c>
      <c r="J26">
        <v>2</v>
      </c>
      <c r="K26" t="s">
        <v>40</v>
      </c>
      <c r="L26" t="s">
        <v>41</v>
      </c>
      <c r="M26" t="s">
        <v>42</v>
      </c>
      <c r="N26" s="7">
        <v>3</v>
      </c>
      <c r="O26" s="8">
        <v>45097.741423611114</v>
      </c>
      <c r="P26" s="9">
        <v>45098</v>
      </c>
      <c r="Q26" t="s">
        <v>36</v>
      </c>
      <c r="R26" t="s">
        <v>43</v>
      </c>
      <c r="S26" t="s">
        <v>44</v>
      </c>
      <c r="T26" t="s">
        <v>62</v>
      </c>
      <c r="U26" t="s">
        <v>144</v>
      </c>
      <c r="V26">
        <v>21030</v>
      </c>
      <c r="W26" t="s">
        <v>43</v>
      </c>
      <c r="X26" t="s">
        <v>145</v>
      </c>
      <c r="Y26" t="s">
        <v>48</v>
      </c>
      <c r="Z26" s="10">
        <f>IF(N26&lt;=1,7,7+0.8*ROUNDUP(N26-1,0))</f>
        <v>8.6</v>
      </c>
      <c r="AA26" s="11">
        <v>0</v>
      </c>
      <c r="AB26" s="11">
        <v>0</v>
      </c>
      <c r="AC26" s="11">
        <v>0</v>
      </c>
      <c r="AD26" s="11">
        <v>0</v>
      </c>
      <c r="AE26" s="11">
        <f t="shared" si="1"/>
        <v>0.51600000000000001</v>
      </c>
      <c r="AF26" s="11">
        <f t="shared" si="2"/>
        <v>9.1159999999999997</v>
      </c>
      <c r="AG26" t="s">
        <v>43</v>
      </c>
    </row>
    <row r="27" spans="1:33" ht="15" customHeight="1" x14ac:dyDescent="0.35">
      <c r="A27">
        <v>690929</v>
      </c>
      <c r="B27" t="s">
        <v>33</v>
      </c>
      <c r="C27" t="s">
        <v>34</v>
      </c>
      <c r="D27" s="6" t="s">
        <v>33</v>
      </c>
      <c r="E27" t="s">
        <v>146</v>
      </c>
      <c r="F27" t="s">
        <v>36</v>
      </c>
      <c r="G27" t="s">
        <v>37</v>
      </c>
      <c r="H27" t="s">
        <v>147</v>
      </c>
      <c r="I27" t="s">
        <v>39</v>
      </c>
      <c r="J27">
        <v>2</v>
      </c>
      <c r="K27" t="s">
        <v>40</v>
      </c>
      <c r="L27" t="s">
        <v>41</v>
      </c>
      <c r="M27" t="s">
        <v>42</v>
      </c>
      <c r="N27" s="7">
        <v>3</v>
      </c>
      <c r="O27" s="8">
        <v>45096.641898148147</v>
      </c>
      <c r="P27" s="9">
        <v>45098</v>
      </c>
      <c r="Q27" t="s">
        <v>36</v>
      </c>
      <c r="R27" t="s">
        <v>43</v>
      </c>
      <c r="S27" t="s">
        <v>44</v>
      </c>
      <c r="T27" t="s">
        <v>148</v>
      </c>
      <c r="U27" t="s">
        <v>149</v>
      </c>
      <c r="V27">
        <v>87020</v>
      </c>
      <c r="W27" t="s">
        <v>94</v>
      </c>
      <c r="X27" t="s">
        <v>150</v>
      </c>
      <c r="Y27" t="s">
        <v>48</v>
      </c>
      <c r="Z27" s="12">
        <f>IF(N27&lt;=1,13,IF(N27&lt;=2,23,IF(N27&lt;=3,35,IF(N27&lt;=4,43,IF(N27&lt;=5,53,IF(N27&lt;=6,63,IF(N27&lt;=7,71,IF(N27&lt;=8,79,IF(N27&lt;=9,87,IF(N27&lt;=10,95,IF(N27&lt;=11,105,IF(N27&lt;=12,114,IF(N27&lt;=13,119,IF(N27&lt;=14,127,IF(N27&lt;=15,135,IF(N27&lt;=16,143,IF(N27&lt;=17,153,IF(N27&lt;=18,163,IF(N27&lt;=19,171,IF(N27&lt;=20,185,IF(N27&lt;=21,193,IF(N27&lt;=22,201,IF(N27&lt;=23,210,IF(N27&lt;=24,220,IF(N27&lt;=25,230,IF(N27&lt;=26,240,IF(N27&lt;=27,250,IF(N27&lt;=28,260,IF(N27&lt;=29,270,IF(N27&lt;=30,280,280+10*ROUNDUP(N27-30,0)))))))))))))))))))))))))))))))</f>
        <v>35</v>
      </c>
      <c r="AA27" s="11">
        <v>0</v>
      </c>
      <c r="AB27" s="11">
        <v>0</v>
      </c>
      <c r="AC27" s="11">
        <v>0</v>
      </c>
      <c r="AD27" s="11">
        <v>0</v>
      </c>
      <c r="AE27" s="11">
        <f t="shared" si="1"/>
        <v>2.1</v>
      </c>
      <c r="AF27" s="11">
        <f t="shared" si="2"/>
        <v>37.1</v>
      </c>
      <c r="AG27" t="s">
        <v>94</v>
      </c>
    </row>
    <row r="28" spans="1:33" ht="15" customHeight="1" x14ac:dyDescent="0.35">
      <c r="A28">
        <v>690929</v>
      </c>
      <c r="B28" t="s">
        <v>33</v>
      </c>
      <c r="C28" t="s">
        <v>34</v>
      </c>
      <c r="D28" s="6" t="s">
        <v>33</v>
      </c>
      <c r="E28" t="s">
        <v>151</v>
      </c>
      <c r="F28" t="s">
        <v>36</v>
      </c>
      <c r="G28" t="s">
        <v>37</v>
      </c>
      <c r="H28" t="s">
        <v>152</v>
      </c>
      <c r="I28" t="s">
        <v>39</v>
      </c>
      <c r="J28">
        <v>2</v>
      </c>
      <c r="K28" t="s">
        <v>40</v>
      </c>
      <c r="L28" t="s">
        <v>41</v>
      </c>
      <c r="M28" t="s">
        <v>42</v>
      </c>
      <c r="N28" s="7">
        <v>9</v>
      </c>
      <c r="O28" s="8">
        <v>45097.396828703706</v>
      </c>
      <c r="P28" s="9">
        <v>45098</v>
      </c>
      <c r="Q28" t="s">
        <v>36</v>
      </c>
      <c r="R28" t="s">
        <v>43</v>
      </c>
      <c r="S28" t="s">
        <v>44</v>
      </c>
      <c r="T28" t="s">
        <v>45</v>
      </c>
      <c r="U28" t="s">
        <v>153</v>
      </c>
      <c r="V28">
        <v>40170</v>
      </c>
      <c r="W28" t="s">
        <v>43</v>
      </c>
      <c r="X28" t="s">
        <v>154</v>
      </c>
      <c r="Y28" t="s">
        <v>48</v>
      </c>
      <c r="Z28" s="10">
        <f t="shared" ref="Z28:Z50" si="5">IF(N28&lt;=1,7,7+0.8*ROUNDUP(N28-1,0))</f>
        <v>13.4</v>
      </c>
      <c r="AA28" s="11">
        <v>0</v>
      </c>
      <c r="AB28" s="11">
        <v>0</v>
      </c>
      <c r="AC28" s="11">
        <v>0</v>
      </c>
      <c r="AD28" s="11">
        <v>0</v>
      </c>
      <c r="AE28" s="11">
        <f t="shared" si="1"/>
        <v>0.80399999999999994</v>
      </c>
      <c r="AF28" s="11">
        <f t="shared" si="2"/>
        <v>14.204000000000001</v>
      </c>
      <c r="AG28" t="s">
        <v>43</v>
      </c>
    </row>
    <row r="29" spans="1:33" ht="15" customHeight="1" x14ac:dyDescent="0.35">
      <c r="A29">
        <v>690929</v>
      </c>
      <c r="B29" t="s">
        <v>33</v>
      </c>
      <c r="C29" t="s">
        <v>34</v>
      </c>
      <c r="D29" s="6" t="s">
        <v>33</v>
      </c>
      <c r="E29" t="s">
        <v>155</v>
      </c>
      <c r="F29" t="s">
        <v>36</v>
      </c>
      <c r="G29" t="s">
        <v>37</v>
      </c>
      <c r="H29" t="s">
        <v>156</v>
      </c>
      <c r="I29" t="s">
        <v>39</v>
      </c>
      <c r="J29">
        <v>2</v>
      </c>
      <c r="K29" t="s">
        <v>40</v>
      </c>
      <c r="L29" t="s">
        <v>41</v>
      </c>
      <c r="M29" t="s">
        <v>42</v>
      </c>
      <c r="N29" s="7">
        <v>1</v>
      </c>
      <c r="O29" s="8">
        <v>45097.732175925928</v>
      </c>
      <c r="P29" s="9">
        <v>45098</v>
      </c>
      <c r="Q29" t="s">
        <v>36</v>
      </c>
      <c r="R29" t="s">
        <v>43</v>
      </c>
      <c r="S29" t="s">
        <v>44</v>
      </c>
      <c r="T29" t="s">
        <v>157</v>
      </c>
      <c r="U29" t="s">
        <v>158</v>
      </c>
      <c r="V29">
        <v>17020</v>
      </c>
      <c r="W29" t="s">
        <v>43</v>
      </c>
      <c r="X29" t="s">
        <v>44</v>
      </c>
      <c r="Y29" t="s">
        <v>48</v>
      </c>
      <c r="Z29" s="10">
        <f t="shared" si="5"/>
        <v>7</v>
      </c>
      <c r="AA29" s="11">
        <v>0</v>
      </c>
      <c r="AB29" s="11">
        <v>0</v>
      </c>
      <c r="AC29" s="11">
        <v>0</v>
      </c>
      <c r="AD29" s="11">
        <v>0</v>
      </c>
      <c r="AE29" s="11">
        <f t="shared" si="1"/>
        <v>0.42</v>
      </c>
      <c r="AF29" s="11">
        <f t="shared" si="2"/>
        <v>7.42</v>
      </c>
      <c r="AG29" t="s">
        <v>43</v>
      </c>
    </row>
    <row r="30" spans="1:33" ht="15" customHeight="1" x14ac:dyDescent="0.35">
      <c r="A30">
        <v>690929</v>
      </c>
      <c r="B30" t="s">
        <v>33</v>
      </c>
      <c r="C30" t="s">
        <v>34</v>
      </c>
      <c r="D30" s="6" t="s">
        <v>33</v>
      </c>
      <c r="E30" t="s">
        <v>159</v>
      </c>
      <c r="F30" t="s">
        <v>36</v>
      </c>
      <c r="G30" t="s">
        <v>37</v>
      </c>
      <c r="H30" t="s">
        <v>160</v>
      </c>
      <c r="I30" t="s">
        <v>39</v>
      </c>
      <c r="J30">
        <v>2</v>
      </c>
      <c r="K30" t="s">
        <v>40</v>
      </c>
      <c r="L30" t="s">
        <v>41</v>
      </c>
      <c r="M30" t="s">
        <v>42</v>
      </c>
      <c r="N30" s="7">
        <v>1</v>
      </c>
      <c r="O30" s="8">
        <v>45097.724374999998</v>
      </c>
      <c r="P30" s="9">
        <v>45098</v>
      </c>
      <c r="Q30" t="s">
        <v>36</v>
      </c>
      <c r="R30" t="s">
        <v>43</v>
      </c>
      <c r="S30" t="s">
        <v>44</v>
      </c>
      <c r="T30" t="s">
        <v>62</v>
      </c>
      <c r="U30" t="s">
        <v>161</v>
      </c>
      <c r="V30">
        <v>21060</v>
      </c>
      <c r="W30" t="s">
        <v>43</v>
      </c>
      <c r="X30" t="s">
        <v>44</v>
      </c>
      <c r="Y30" t="s">
        <v>48</v>
      </c>
      <c r="Z30" s="10">
        <f t="shared" si="5"/>
        <v>7</v>
      </c>
      <c r="AA30" s="11">
        <v>0</v>
      </c>
      <c r="AB30" s="11">
        <v>0</v>
      </c>
      <c r="AC30" s="11">
        <v>0</v>
      </c>
      <c r="AD30" s="11">
        <v>0</v>
      </c>
      <c r="AE30" s="11">
        <f t="shared" si="1"/>
        <v>0.42</v>
      </c>
      <c r="AF30" s="11">
        <f t="shared" si="2"/>
        <v>7.42</v>
      </c>
      <c r="AG30" t="s">
        <v>43</v>
      </c>
    </row>
    <row r="31" spans="1:33" ht="15" customHeight="1" x14ac:dyDescent="0.35">
      <c r="A31">
        <v>690929</v>
      </c>
      <c r="B31" t="s">
        <v>33</v>
      </c>
      <c r="C31" t="s">
        <v>34</v>
      </c>
      <c r="D31" s="6" t="s">
        <v>33</v>
      </c>
      <c r="E31" t="s">
        <v>162</v>
      </c>
      <c r="F31" t="s">
        <v>36</v>
      </c>
      <c r="G31" t="s">
        <v>37</v>
      </c>
      <c r="H31" t="s">
        <v>163</v>
      </c>
      <c r="I31" t="s">
        <v>39</v>
      </c>
      <c r="J31">
        <v>2</v>
      </c>
      <c r="K31" t="s">
        <v>40</v>
      </c>
      <c r="L31" t="s">
        <v>41</v>
      </c>
      <c r="M31" t="s">
        <v>42</v>
      </c>
      <c r="N31" s="7">
        <v>1</v>
      </c>
      <c r="O31" s="8">
        <v>45095.709444444445</v>
      </c>
      <c r="P31" s="9">
        <v>45098</v>
      </c>
      <c r="Q31" t="s">
        <v>36</v>
      </c>
      <c r="R31" t="s">
        <v>43</v>
      </c>
      <c r="S31" t="s">
        <v>44</v>
      </c>
      <c r="T31" t="s">
        <v>101</v>
      </c>
      <c r="U31" t="s">
        <v>164</v>
      </c>
      <c r="V31">
        <v>7000</v>
      </c>
      <c r="W31" t="s">
        <v>43</v>
      </c>
      <c r="X31" t="s">
        <v>67</v>
      </c>
      <c r="Y31" t="s">
        <v>48</v>
      </c>
      <c r="Z31" s="10">
        <f t="shared" si="5"/>
        <v>7</v>
      </c>
      <c r="AA31" s="11">
        <v>0</v>
      </c>
      <c r="AB31" s="11">
        <v>0</v>
      </c>
      <c r="AC31" s="11">
        <v>0</v>
      </c>
      <c r="AD31" s="11">
        <v>0</v>
      </c>
      <c r="AE31" s="11">
        <f t="shared" si="1"/>
        <v>0.42</v>
      </c>
      <c r="AF31" s="11">
        <f t="shared" si="2"/>
        <v>7.42</v>
      </c>
      <c r="AG31" t="s">
        <v>43</v>
      </c>
    </row>
    <row r="32" spans="1:33" ht="15" customHeight="1" x14ac:dyDescent="0.35">
      <c r="A32">
        <v>690929</v>
      </c>
      <c r="B32" t="s">
        <v>33</v>
      </c>
      <c r="C32" t="s">
        <v>34</v>
      </c>
      <c r="D32" s="6" t="s">
        <v>33</v>
      </c>
      <c r="E32" t="s">
        <v>165</v>
      </c>
      <c r="F32" t="s">
        <v>36</v>
      </c>
      <c r="G32" t="s">
        <v>37</v>
      </c>
      <c r="H32" t="s">
        <v>166</v>
      </c>
      <c r="I32" t="s">
        <v>39</v>
      </c>
      <c r="J32">
        <v>2</v>
      </c>
      <c r="K32" t="s">
        <v>40</v>
      </c>
      <c r="L32" t="s">
        <v>41</v>
      </c>
      <c r="M32" t="s">
        <v>42</v>
      </c>
      <c r="N32" s="7">
        <v>7</v>
      </c>
      <c r="O32" s="8">
        <v>45096.409467592595</v>
      </c>
      <c r="P32" s="9">
        <v>45098</v>
      </c>
      <c r="Q32" t="s">
        <v>36</v>
      </c>
      <c r="R32" t="s">
        <v>43</v>
      </c>
      <c r="S32" t="s">
        <v>44</v>
      </c>
      <c r="T32" t="s">
        <v>167</v>
      </c>
      <c r="U32" t="s">
        <v>168</v>
      </c>
      <c r="V32">
        <v>12990</v>
      </c>
      <c r="W32" t="s">
        <v>43</v>
      </c>
      <c r="X32" t="s">
        <v>169</v>
      </c>
      <c r="Y32" t="s">
        <v>48</v>
      </c>
      <c r="Z32" s="10">
        <f t="shared" si="5"/>
        <v>11.8</v>
      </c>
      <c r="AA32" s="11">
        <v>0</v>
      </c>
      <c r="AB32" s="11">
        <v>0</v>
      </c>
      <c r="AC32" s="11">
        <v>0</v>
      </c>
      <c r="AD32" s="11">
        <v>0</v>
      </c>
      <c r="AE32" s="11">
        <f t="shared" si="1"/>
        <v>0.70799999999999996</v>
      </c>
      <c r="AF32" s="11">
        <f t="shared" si="2"/>
        <v>12.508000000000001</v>
      </c>
      <c r="AG32" t="s">
        <v>43</v>
      </c>
    </row>
    <row r="33" spans="1:33" ht="15" customHeight="1" x14ac:dyDescent="0.35">
      <c r="A33">
        <v>690929</v>
      </c>
      <c r="B33" t="s">
        <v>33</v>
      </c>
      <c r="C33" t="s">
        <v>34</v>
      </c>
      <c r="D33" s="6" t="s">
        <v>33</v>
      </c>
      <c r="E33" t="s">
        <v>170</v>
      </c>
      <c r="F33" t="s">
        <v>36</v>
      </c>
      <c r="G33" t="s">
        <v>37</v>
      </c>
      <c r="H33" t="s">
        <v>171</v>
      </c>
      <c r="I33" t="s">
        <v>39</v>
      </c>
      <c r="J33">
        <v>2</v>
      </c>
      <c r="K33" t="s">
        <v>40</v>
      </c>
      <c r="L33" t="s">
        <v>41</v>
      </c>
      <c r="M33" t="s">
        <v>42</v>
      </c>
      <c r="N33" s="7">
        <v>1</v>
      </c>
      <c r="O33" s="8">
        <v>45097.681203703702</v>
      </c>
      <c r="P33" s="9">
        <v>45098</v>
      </c>
      <c r="Q33" t="s">
        <v>36</v>
      </c>
      <c r="R33" t="s">
        <v>43</v>
      </c>
      <c r="S33" t="s">
        <v>44</v>
      </c>
      <c r="T33" t="s">
        <v>157</v>
      </c>
      <c r="U33" t="s">
        <v>172</v>
      </c>
      <c r="V33">
        <v>18500</v>
      </c>
      <c r="W33" t="s">
        <v>43</v>
      </c>
      <c r="X33" t="s">
        <v>44</v>
      </c>
      <c r="Y33" t="s">
        <v>48</v>
      </c>
      <c r="Z33" s="10">
        <f t="shared" si="5"/>
        <v>7</v>
      </c>
      <c r="AA33" s="11">
        <v>0</v>
      </c>
      <c r="AB33" s="11">
        <v>0</v>
      </c>
      <c r="AC33" s="11">
        <v>0</v>
      </c>
      <c r="AD33" s="11">
        <v>0</v>
      </c>
      <c r="AE33" s="11">
        <f t="shared" si="1"/>
        <v>0.42</v>
      </c>
      <c r="AF33" s="11">
        <f t="shared" si="2"/>
        <v>7.42</v>
      </c>
      <c r="AG33" t="s">
        <v>43</v>
      </c>
    </row>
    <row r="34" spans="1:33" ht="15" customHeight="1" x14ac:dyDescent="0.35">
      <c r="A34">
        <v>690929</v>
      </c>
      <c r="B34" t="s">
        <v>33</v>
      </c>
      <c r="C34" t="s">
        <v>34</v>
      </c>
      <c r="D34" s="6" t="s">
        <v>33</v>
      </c>
      <c r="E34" t="s">
        <v>173</v>
      </c>
      <c r="F34" t="s">
        <v>36</v>
      </c>
      <c r="G34" t="s">
        <v>37</v>
      </c>
      <c r="H34" t="s">
        <v>174</v>
      </c>
      <c r="I34" t="s">
        <v>39</v>
      </c>
      <c r="J34">
        <v>2</v>
      </c>
      <c r="K34" t="s">
        <v>40</v>
      </c>
      <c r="L34" t="s">
        <v>41</v>
      </c>
      <c r="M34" t="s">
        <v>42</v>
      </c>
      <c r="N34" s="7">
        <v>5</v>
      </c>
      <c r="O34" s="8">
        <v>45096.76090277778</v>
      </c>
      <c r="P34" s="9">
        <v>45098</v>
      </c>
      <c r="Q34" t="s">
        <v>36</v>
      </c>
      <c r="R34" t="s">
        <v>43</v>
      </c>
      <c r="S34" t="s">
        <v>44</v>
      </c>
      <c r="T34" t="s">
        <v>101</v>
      </c>
      <c r="U34" t="s">
        <v>175</v>
      </c>
      <c r="V34">
        <v>9410</v>
      </c>
      <c r="W34" t="s">
        <v>43</v>
      </c>
      <c r="X34" t="s">
        <v>176</v>
      </c>
      <c r="Y34" t="s">
        <v>48</v>
      </c>
      <c r="Z34" s="10">
        <f t="shared" si="5"/>
        <v>10.199999999999999</v>
      </c>
      <c r="AA34" s="11">
        <v>0</v>
      </c>
      <c r="AB34" s="11">
        <v>0</v>
      </c>
      <c r="AC34" s="11">
        <v>0</v>
      </c>
      <c r="AD34" s="11">
        <v>0</v>
      </c>
      <c r="AE34" s="11">
        <f t="shared" si="1"/>
        <v>0.61199999999999999</v>
      </c>
      <c r="AF34" s="11">
        <f t="shared" si="2"/>
        <v>10.811999999999999</v>
      </c>
      <c r="AG34" t="s">
        <v>43</v>
      </c>
    </row>
    <row r="35" spans="1:33" ht="15" customHeight="1" x14ac:dyDescent="0.35">
      <c r="A35">
        <v>690929</v>
      </c>
      <c r="B35" t="s">
        <v>33</v>
      </c>
      <c r="C35" t="s">
        <v>34</v>
      </c>
      <c r="D35" s="6" t="s">
        <v>33</v>
      </c>
      <c r="E35" t="s">
        <v>177</v>
      </c>
      <c r="F35" t="s">
        <v>36</v>
      </c>
      <c r="G35" t="s">
        <v>37</v>
      </c>
      <c r="H35" t="s">
        <v>178</v>
      </c>
      <c r="I35" t="s">
        <v>39</v>
      </c>
      <c r="J35">
        <v>2</v>
      </c>
      <c r="K35" t="s">
        <v>40</v>
      </c>
      <c r="L35" t="s">
        <v>41</v>
      </c>
      <c r="M35" t="s">
        <v>42</v>
      </c>
      <c r="N35" s="7">
        <v>13</v>
      </c>
      <c r="O35" s="8">
        <v>45097.746793981481</v>
      </c>
      <c r="P35" s="9">
        <v>45098</v>
      </c>
      <c r="Q35" t="s">
        <v>36</v>
      </c>
      <c r="R35" t="s">
        <v>43</v>
      </c>
      <c r="S35" t="s">
        <v>44</v>
      </c>
      <c r="T35" t="s">
        <v>74</v>
      </c>
      <c r="U35" t="s">
        <v>179</v>
      </c>
      <c r="V35">
        <v>54200</v>
      </c>
      <c r="W35" t="s">
        <v>43</v>
      </c>
      <c r="X35" t="s">
        <v>67</v>
      </c>
      <c r="Y35" t="s">
        <v>48</v>
      </c>
      <c r="Z35" s="10">
        <f t="shared" si="5"/>
        <v>16.600000000000001</v>
      </c>
      <c r="AA35" s="11">
        <v>0</v>
      </c>
      <c r="AB35" s="11">
        <v>0</v>
      </c>
      <c r="AC35" s="11">
        <v>0</v>
      </c>
      <c r="AD35" s="11">
        <v>0</v>
      </c>
      <c r="AE35" s="11">
        <f t="shared" si="1"/>
        <v>0.996</v>
      </c>
      <c r="AF35" s="11">
        <f t="shared" si="2"/>
        <v>17.596</v>
      </c>
      <c r="AG35" t="s">
        <v>43</v>
      </c>
    </row>
    <row r="36" spans="1:33" ht="15" customHeight="1" x14ac:dyDescent="0.35">
      <c r="A36">
        <v>690929</v>
      </c>
      <c r="B36" t="s">
        <v>33</v>
      </c>
      <c r="C36" t="s">
        <v>34</v>
      </c>
      <c r="D36" s="6" t="s">
        <v>33</v>
      </c>
      <c r="E36" t="s">
        <v>180</v>
      </c>
      <c r="F36" t="s">
        <v>36</v>
      </c>
      <c r="G36" t="s">
        <v>37</v>
      </c>
      <c r="H36" t="s">
        <v>181</v>
      </c>
      <c r="I36" t="s">
        <v>39</v>
      </c>
      <c r="J36">
        <v>2</v>
      </c>
      <c r="K36" t="s">
        <v>40</v>
      </c>
      <c r="L36" t="s">
        <v>41</v>
      </c>
      <c r="M36" t="s">
        <v>42</v>
      </c>
      <c r="N36" s="7">
        <v>1</v>
      </c>
      <c r="O36" s="8">
        <v>45097.716631944444</v>
      </c>
      <c r="P36" s="9">
        <v>45098</v>
      </c>
      <c r="Q36" t="s">
        <v>36</v>
      </c>
      <c r="R36" t="s">
        <v>43</v>
      </c>
      <c r="S36" t="s">
        <v>44</v>
      </c>
      <c r="T36" t="s">
        <v>157</v>
      </c>
      <c r="U36" t="s">
        <v>182</v>
      </c>
      <c r="V36">
        <v>18300</v>
      </c>
      <c r="W36" t="s">
        <v>43</v>
      </c>
      <c r="X36" t="s">
        <v>44</v>
      </c>
      <c r="Y36" t="s">
        <v>48</v>
      </c>
      <c r="Z36" s="10">
        <f t="shared" si="5"/>
        <v>7</v>
      </c>
      <c r="AA36" s="11">
        <v>0</v>
      </c>
      <c r="AB36" s="11">
        <v>0</v>
      </c>
      <c r="AC36" s="11">
        <v>0</v>
      </c>
      <c r="AD36" s="11">
        <v>0</v>
      </c>
      <c r="AE36" s="11">
        <f t="shared" si="1"/>
        <v>0.42</v>
      </c>
      <c r="AF36" s="11">
        <f t="shared" si="2"/>
        <v>7.42</v>
      </c>
      <c r="AG36" t="s">
        <v>43</v>
      </c>
    </row>
    <row r="37" spans="1:33" ht="15" customHeight="1" x14ac:dyDescent="0.35">
      <c r="A37">
        <v>690929</v>
      </c>
      <c r="B37" t="s">
        <v>33</v>
      </c>
      <c r="C37" t="s">
        <v>34</v>
      </c>
      <c r="D37" s="6" t="s">
        <v>33</v>
      </c>
      <c r="E37" t="s">
        <v>183</v>
      </c>
      <c r="F37" t="s">
        <v>36</v>
      </c>
      <c r="G37" t="s">
        <v>37</v>
      </c>
      <c r="H37" t="s">
        <v>184</v>
      </c>
      <c r="I37" t="s">
        <v>39</v>
      </c>
      <c r="J37">
        <v>2</v>
      </c>
      <c r="K37" t="s">
        <v>40</v>
      </c>
      <c r="L37" t="s">
        <v>41</v>
      </c>
      <c r="M37" t="s">
        <v>42</v>
      </c>
      <c r="N37" s="7">
        <v>1</v>
      </c>
      <c r="O37" s="8">
        <v>45097.67664351852</v>
      </c>
      <c r="P37" s="9">
        <v>45098</v>
      </c>
      <c r="Q37" t="s">
        <v>36</v>
      </c>
      <c r="R37" t="s">
        <v>43</v>
      </c>
      <c r="S37" t="s">
        <v>44</v>
      </c>
      <c r="T37" t="s">
        <v>74</v>
      </c>
      <c r="U37" t="s">
        <v>185</v>
      </c>
      <c r="V37">
        <v>53200</v>
      </c>
      <c r="W37" t="s">
        <v>43</v>
      </c>
      <c r="X37" t="s">
        <v>67</v>
      </c>
      <c r="Y37" t="s">
        <v>48</v>
      </c>
      <c r="Z37" s="10">
        <f t="shared" si="5"/>
        <v>7</v>
      </c>
      <c r="AA37" s="11">
        <v>0</v>
      </c>
      <c r="AB37" s="11">
        <v>0</v>
      </c>
      <c r="AC37" s="11">
        <v>0</v>
      </c>
      <c r="AD37" s="11">
        <v>0</v>
      </c>
      <c r="AE37" s="11">
        <f t="shared" si="1"/>
        <v>0.42</v>
      </c>
      <c r="AF37" s="11">
        <f t="shared" si="2"/>
        <v>7.42</v>
      </c>
      <c r="AG37" t="s">
        <v>43</v>
      </c>
    </row>
    <row r="38" spans="1:33" ht="15" customHeight="1" x14ac:dyDescent="0.35">
      <c r="A38">
        <v>690929</v>
      </c>
      <c r="B38" t="s">
        <v>33</v>
      </c>
      <c r="C38" t="s">
        <v>34</v>
      </c>
      <c r="D38" s="6" t="s">
        <v>33</v>
      </c>
      <c r="E38" t="s">
        <v>186</v>
      </c>
      <c r="F38" t="s">
        <v>36</v>
      </c>
      <c r="G38" t="s">
        <v>37</v>
      </c>
      <c r="H38" t="s">
        <v>187</v>
      </c>
      <c r="I38" t="s">
        <v>39</v>
      </c>
      <c r="J38">
        <v>2</v>
      </c>
      <c r="K38" t="s">
        <v>40</v>
      </c>
      <c r="L38" t="s">
        <v>41</v>
      </c>
      <c r="M38" t="s">
        <v>42</v>
      </c>
      <c r="N38" s="7">
        <v>1</v>
      </c>
      <c r="O38" s="8">
        <v>45096.615057870367</v>
      </c>
      <c r="P38" s="9">
        <v>45098</v>
      </c>
      <c r="Q38" t="s">
        <v>36</v>
      </c>
      <c r="R38" t="s">
        <v>43</v>
      </c>
      <c r="S38" t="s">
        <v>44</v>
      </c>
      <c r="T38" t="s">
        <v>128</v>
      </c>
      <c r="U38" t="s">
        <v>188</v>
      </c>
      <c r="V38">
        <v>86400</v>
      </c>
      <c r="W38" t="s">
        <v>43</v>
      </c>
      <c r="X38" t="s">
        <v>189</v>
      </c>
      <c r="Y38" t="s">
        <v>48</v>
      </c>
      <c r="Z38" s="10">
        <f t="shared" si="5"/>
        <v>7</v>
      </c>
      <c r="AA38" s="11">
        <v>0</v>
      </c>
      <c r="AB38" s="11">
        <v>0</v>
      </c>
      <c r="AC38" s="11">
        <v>0</v>
      </c>
      <c r="AD38" s="11">
        <v>0</v>
      </c>
      <c r="AE38" s="11">
        <f t="shared" si="1"/>
        <v>0.42</v>
      </c>
      <c r="AF38" s="11">
        <f t="shared" si="2"/>
        <v>7.42</v>
      </c>
      <c r="AG38" t="s">
        <v>43</v>
      </c>
    </row>
    <row r="39" spans="1:33" ht="15" customHeight="1" x14ac:dyDescent="0.35">
      <c r="A39">
        <v>690929</v>
      </c>
      <c r="B39" t="s">
        <v>33</v>
      </c>
      <c r="C39" t="s">
        <v>34</v>
      </c>
      <c r="D39" s="6" t="s">
        <v>33</v>
      </c>
      <c r="E39" t="s">
        <v>190</v>
      </c>
      <c r="F39" t="s">
        <v>36</v>
      </c>
      <c r="G39" t="s">
        <v>37</v>
      </c>
      <c r="H39" t="s">
        <v>191</v>
      </c>
      <c r="I39" t="s">
        <v>39</v>
      </c>
      <c r="J39">
        <v>2</v>
      </c>
      <c r="K39" t="s">
        <v>40</v>
      </c>
      <c r="L39" t="s">
        <v>41</v>
      </c>
      <c r="M39" t="s">
        <v>42</v>
      </c>
      <c r="N39" s="7">
        <v>2</v>
      </c>
      <c r="O39" s="8">
        <v>45097.730046296296</v>
      </c>
      <c r="P39" s="9">
        <v>45098</v>
      </c>
      <c r="Q39" t="s">
        <v>36</v>
      </c>
      <c r="R39" t="s">
        <v>43</v>
      </c>
      <c r="S39" t="s">
        <v>44</v>
      </c>
      <c r="T39" t="s">
        <v>45</v>
      </c>
      <c r="U39" t="s">
        <v>192</v>
      </c>
      <c r="V39">
        <v>42000</v>
      </c>
      <c r="W39" t="s">
        <v>43</v>
      </c>
      <c r="X39" t="s">
        <v>71</v>
      </c>
      <c r="Y39" t="s">
        <v>48</v>
      </c>
      <c r="Z39" s="10">
        <f t="shared" si="5"/>
        <v>7.8</v>
      </c>
      <c r="AA39" s="11">
        <v>0</v>
      </c>
      <c r="AB39" s="11">
        <v>0</v>
      </c>
      <c r="AC39" s="11">
        <v>0</v>
      </c>
      <c r="AD39" s="11">
        <v>0</v>
      </c>
      <c r="AE39" s="11">
        <f t="shared" si="1"/>
        <v>0.46799999999999997</v>
      </c>
      <c r="AF39" s="11">
        <f t="shared" si="2"/>
        <v>8.2680000000000007</v>
      </c>
      <c r="AG39" t="s">
        <v>43</v>
      </c>
    </row>
    <row r="40" spans="1:33" ht="15" customHeight="1" x14ac:dyDescent="0.35">
      <c r="A40">
        <v>690929</v>
      </c>
      <c r="B40" t="s">
        <v>33</v>
      </c>
      <c r="C40" t="s">
        <v>34</v>
      </c>
      <c r="D40" s="6" t="s">
        <v>33</v>
      </c>
      <c r="E40" t="s">
        <v>193</v>
      </c>
      <c r="F40" t="s">
        <v>36</v>
      </c>
      <c r="G40" t="s">
        <v>37</v>
      </c>
      <c r="H40" t="s">
        <v>194</v>
      </c>
      <c r="I40" t="s">
        <v>39</v>
      </c>
      <c r="J40">
        <v>2</v>
      </c>
      <c r="K40" t="s">
        <v>40</v>
      </c>
      <c r="L40" t="s">
        <v>41</v>
      </c>
      <c r="M40" t="s">
        <v>42</v>
      </c>
      <c r="N40" s="7">
        <v>1</v>
      </c>
      <c r="O40" s="8">
        <v>45095.748263888891</v>
      </c>
      <c r="P40" s="9">
        <v>45098</v>
      </c>
      <c r="Q40" t="s">
        <v>36</v>
      </c>
      <c r="R40" t="s">
        <v>43</v>
      </c>
      <c r="S40" t="s">
        <v>44</v>
      </c>
      <c r="T40" t="s">
        <v>128</v>
      </c>
      <c r="U40" t="s">
        <v>195</v>
      </c>
      <c r="V40">
        <v>86000</v>
      </c>
      <c r="W40" t="s">
        <v>43</v>
      </c>
      <c r="X40" t="s">
        <v>196</v>
      </c>
      <c r="Y40" t="s">
        <v>48</v>
      </c>
      <c r="Z40" s="10">
        <f t="shared" si="5"/>
        <v>7</v>
      </c>
      <c r="AA40" s="11">
        <v>0</v>
      </c>
      <c r="AB40" s="11">
        <v>0</v>
      </c>
      <c r="AC40" s="11">
        <v>0</v>
      </c>
      <c r="AD40" s="11">
        <v>0</v>
      </c>
      <c r="AE40" s="11">
        <f t="shared" si="1"/>
        <v>0.42</v>
      </c>
      <c r="AF40" s="11">
        <f t="shared" si="2"/>
        <v>7.42</v>
      </c>
      <c r="AG40" t="s">
        <v>43</v>
      </c>
    </row>
    <row r="41" spans="1:33" ht="15" customHeight="1" x14ac:dyDescent="0.35">
      <c r="A41">
        <v>690929</v>
      </c>
      <c r="B41" t="s">
        <v>33</v>
      </c>
      <c r="C41" t="s">
        <v>34</v>
      </c>
      <c r="D41" s="6" t="s">
        <v>33</v>
      </c>
      <c r="E41" t="s">
        <v>197</v>
      </c>
      <c r="F41" t="s">
        <v>36</v>
      </c>
      <c r="G41" t="s">
        <v>37</v>
      </c>
      <c r="H41" t="s">
        <v>198</v>
      </c>
      <c r="I41" t="s">
        <v>39</v>
      </c>
      <c r="J41">
        <v>2</v>
      </c>
      <c r="K41" t="s">
        <v>40</v>
      </c>
      <c r="L41" t="s">
        <v>41</v>
      </c>
      <c r="M41" t="s">
        <v>42</v>
      </c>
      <c r="N41" s="7">
        <v>1</v>
      </c>
      <c r="O41" s="8">
        <v>45093.685590277775</v>
      </c>
      <c r="P41" s="9">
        <v>45098</v>
      </c>
      <c r="Q41" t="s">
        <v>36</v>
      </c>
      <c r="R41" t="s">
        <v>43</v>
      </c>
      <c r="S41" t="s">
        <v>44</v>
      </c>
      <c r="T41" t="s">
        <v>106</v>
      </c>
      <c r="U41" t="s">
        <v>199</v>
      </c>
      <c r="V41">
        <v>25200</v>
      </c>
      <c r="W41" t="s">
        <v>43</v>
      </c>
      <c r="X41" t="s">
        <v>44</v>
      </c>
      <c r="Y41" t="s">
        <v>48</v>
      </c>
      <c r="Z41" s="10">
        <f t="shared" si="5"/>
        <v>7</v>
      </c>
      <c r="AA41" s="11">
        <v>0</v>
      </c>
      <c r="AB41" s="11">
        <v>0</v>
      </c>
      <c r="AC41" s="11">
        <v>0</v>
      </c>
      <c r="AD41" s="11">
        <v>0</v>
      </c>
      <c r="AE41" s="11">
        <f t="shared" si="1"/>
        <v>0.42</v>
      </c>
      <c r="AF41" s="11">
        <f t="shared" si="2"/>
        <v>7.42</v>
      </c>
      <c r="AG41" t="s">
        <v>43</v>
      </c>
    </row>
    <row r="42" spans="1:33" ht="15" customHeight="1" x14ac:dyDescent="0.35">
      <c r="A42">
        <v>690929</v>
      </c>
      <c r="B42" t="s">
        <v>33</v>
      </c>
      <c r="C42" t="s">
        <v>34</v>
      </c>
      <c r="D42" s="6" t="s">
        <v>33</v>
      </c>
      <c r="E42" t="s">
        <v>200</v>
      </c>
      <c r="F42" t="s">
        <v>36</v>
      </c>
      <c r="G42" t="s">
        <v>37</v>
      </c>
      <c r="H42" t="s">
        <v>201</v>
      </c>
      <c r="I42" t="s">
        <v>39</v>
      </c>
      <c r="J42">
        <v>2</v>
      </c>
      <c r="K42" t="s">
        <v>40</v>
      </c>
      <c r="L42" t="s">
        <v>41</v>
      </c>
      <c r="M42" t="s">
        <v>42</v>
      </c>
      <c r="N42" s="7">
        <v>1</v>
      </c>
      <c r="O42" s="8">
        <v>45097.7503125</v>
      </c>
      <c r="P42" s="9">
        <v>45099</v>
      </c>
      <c r="Q42" t="s">
        <v>36</v>
      </c>
      <c r="R42" t="s">
        <v>43</v>
      </c>
      <c r="S42" t="s">
        <v>44</v>
      </c>
      <c r="T42" t="s">
        <v>106</v>
      </c>
      <c r="U42" t="s">
        <v>202</v>
      </c>
      <c r="V42">
        <v>25350</v>
      </c>
      <c r="W42" t="s">
        <v>43</v>
      </c>
      <c r="X42" t="s">
        <v>44</v>
      </c>
      <c r="Y42" t="s">
        <v>48</v>
      </c>
      <c r="Z42" s="10">
        <f t="shared" si="5"/>
        <v>7</v>
      </c>
      <c r="AA42" s="11">
        <v>0</v>
      </c>
      <c r="AB42" s="11">
        <v>0</v>
      </c>
      <c r="AC42" s="11">
        <v>0</v>
      </c>
      <c r="AD42" s="11">
        <v>0</v>
      </c>
      <c r="AE42" s="11">
        <f t="shared" si="1"/>
        <v>0.42</v>
      </c>
      <c r="AF42" s="11">
        <f t="shared" si="2"/>
        <v>7.42</v>
      </c>
      <c r="AG42" t="s">
        <v>43</v>
      </c>
    </row>
    <row r="43" spans="1:33" ht="15" customHeight="1" x14ac:dyDescent="0.35">
      <c r="A43">
        <v>690929</v>
      </c>
      <c r="B43" t="s">
        <v>33</v>
      </c>
      <c r="C43" t="s">
        <v>34</v>
      </c>
      <c r="D43" s="6" t="s">
        <v>33</v>
      </c>
      <c r="E43" t="s">
        <v>203</v>
      </c>
      <c r="F43" t="s">
        <v>36</v>
      </c>
      <c r="G43" t="s">
        <v>37</v>
      </c>
      <c r="H43" t="s">
        <v>204</v>
      </c>
      <c r="I43" t="s">
        <v>39</v>
      </c>
      <c r="J43">
        <v>2</v>
      </c>
      <c r="K43" t="s">
        <v>40</v>
      </c>
      <c r="L43" t="s">
        <v>41</v>
      </c>
      <c r="M43" t="s">
        <v>42</v>
      </c>
      <c r="N43" s="7">
        <v>1</v>
      </c>
      <c r="O43" s="8">
        <v>45098.565474537034</v>
      </c>
      <c r="P43" s="9">
        <v>45099</v>
      </c>
      <c r="Q43" t="s">
        <v>36</v>
      </c>
      <c r="R43" t="s">
        <v>43</v>
      </c>
      <c r="S43" t="s">
        <v>44</v>
      </c>
      <c r="T43" t="s">
        <v>118</v>
      </c>
      <c r="U43" t="s">
        <v>205</v>
      </c>
      <c r="V43">
        <v>70200</v>
      </c>
      <c r="W43" t="s">
        <v>43</v>
      </c>
      <c r="X43" t="s">
        <v>206</v>
      </c>
      <c r="Y43" t="s">
        <v>48</v>
      </c>
      <c r="Z43" s="10">
        <f t="shared" si="5"/>
        <v>7</v>
      </c>
      <c r="AA43" s="11">
        <v>0</v>
      </c>
      <c r="AB43" s="11">
        <v>0</v>
      </c>
      <c r="AC43" s="11">
        <v>0</v>
      </c>
      <c r="AD43" s="11">
        <v>0</v>
      </c>
      <c r="AE43" s="11">
        <f t="shared" si="1"/>
        <v>0.42</v>
      </c>
      <c r="AF43" s="11">
        <f t="shared" si="2"/>
        <v>7.42</v>
      </c>
      <c r="AG43" t="s">
        <v>43</v>
      </c>
    </row>
    <row r="44" spans="1:33" ht="15" customHeight="1" x14ac:dyDescent="0.35">
      <c r="A44">
        <v>690929</v>
      </c>
      <c r="B44" t="s">
        <v>33</v>
      </c>
      <c r="C44" t="s">
        <v>34</v>
      </c>
      <c r="D44" s="6" t="s">
        <v>33</v>
      </c>
      <c r="E44" t="s">
        <v>207</v>
      </c>
      <c r="F44" t="s">
        <v>36</v>
      </c>
      <c r="G44" t="s">
        <v>37</v>
      </c>
      <c r="H44" t="s">
        <v>208</v>
      </c>
      <c r="I44" t="s">
        <v>39</v>
      </c>
      <c r="J44">
        <v>2</v>
      </c>
      <c r="K44" t="s">
        <v>40</v>
      </c>
      <c r="L44" t="s">
        <v>41</v>
      </c>
      <c r="M44" t="s">
        <v>42</v>
      </c>
      <c r="N44" s="7">
        <v>4</v>
      </c>
      <c r="O44" s="8">
        <v>45098.555810185186</v>
      </c>
      <c r="P44" s="9">
        <v>45099</v>
      </c>
      <c r="Q44" t="s">
        <v>36</v>
      </c>
      <c r="R44" t="s">
        <v>43</v>
      </c>
      <c r="S44" t="s">
        <v>44</v>
      </c>
      <c r="T44" t="s">
        <v>62</v>
      </c>
      <c r="U44" t="s">
        <v>209</v>
      </c>
      <c r="V44">
        <v>22000</v>
      </c>
      <c r="W44" t="s">
        <v>43</v>
      </c>
      <c r="X44" t="s">
        <v>210</v>
      </c>
      <c r="Y44" t="s">
        <v>48</v>
      </c>
      <c r="Z44" s="10">
        <f t="shared" si="5"/>
        <v>9.4</v>
      </c>
      <c r="AA44" s="11">
        <v>0</v>
      </c>
      <c r="AB44" s="11">
        <v>0</v>
      </c>
      <c r="AC44" s="11">
        <v>0</v>
      </c>
      <c r="AD44" s="11">
        <v>0</v>
      </c>
      <c r="AE44" s="11">
        <f t="shared" si="1"/>
        <v>0.56399999999999995</v>
      </c>
      <c r="AF44" s="11">
        <f t="shared" si="2"/>
        <v>9.9640000000000004</v>
      </c>
      <c r="AG44" t="s">
        <v>43</v>
      </c>
    </row>
    <row r="45" spans="1:33" ht="15" customHeight="1" x14ac:dyDescent="0.35">
      <c r="A45">
        <v>690929</v>
      </c>
      <c r="B45" t="s">
        <v>33</v>
      </c>
      <c r="C45" t="s">
        <v>34</v>
      </c>
      <c r="D45" s="6" t="s">
        <v>33</v>
      </c>
      <c r="E45" t="s">
        <v>211</v>
      </c>
      <c r="F45" t="s">
        <v>36</v>
      </c>
      <c r="G45" t="s">
        <v>37</v>
      </c>
      <c r="H45" t="s">
        <v>212</v>
      </c>
      <c r="I45" t="s">
        <v>39</v>
      </c>
      <c r="J45">
        <v>2</v>
      </c>
      <c r="K45" t="s">
        <v>40</v>
      </c>
      <c r="L45" t="s">
        <v>41</v>
      </c>
      <c r="M45" t="s">
        <v>42</v>
      </c>
      <c r="N45" s="7">
        <v>5</v>
      </c>
      <c r="O45" s="8">
        <v>45097.745578703703</v>
      </c>
      <c r="P45" s="9">
        <v>45099</v>
      </c>
      <c r="Q45" t="s">
        <v>36</v>
      </c>
      <c r="R45" t="s">
        <v>43</v>
      </c>
      <c r="S45" t="s">
        <v>44</v>
      </c>
      <c r="T45" t="s">
        <v>101</v>
      </c>
      <c r="U45" t="s">
        <v>213</v>
      </c>
      <c r="V45">
        <v>8000</v>
      </c>
      <c r="W45" t="s">
        <v>43</v>
      </c>
      <c r="X45" t="s">
        <v>214</v>
      </c>
      <c r="Y45" t="s">
        <v>48</v>
      </c>
      <c r="Z45" s="10">
        <f t="shared" si="5"/>
        <v>10.199999999999999</v>
      </c>
      <c r="AA45" s="11">
        <v>0</v>
      </c>
      <c r="AB45" s="11">
        <v>0</v>
      </c>
      <c r="AC45" s="11">
        <v>0</v>
      </c>
      <c r="AD45" s="11">
        <v>0</v>
      </c>
      <c r="AE45" s="11">
        <f t="shared" si="1"/>
        <v>0.61199999999999999</v>
      </c>
      <c r="AF45" s="11">
        <f t="shared" si="2"/>
        <v>10.811999999999999</v>
      </c>
      <c r="AG45" t="s">
        <v>43</v>
      </c>
    </row>
    <row r="46" spans="1:33" ht="15" customHeight="1" x14ac:dyDescent="0.35">
      <c r="A46">
        <v>690929</v>
      </c>
      <c r="B46" t="s">
        <v>33</v>
      </c>
      <c r="C46" t="s">
        <v>34</v>
      </c>
      <c r="D46" s="6" t="s">
        <v>33</v>
      </c>
      <c r="E46" t="s">
        <v>215</v>
      </c>
      <c r="F46" t="s">
        <v>36</v>
      </c>
      <c r="G46" t="s">
        <v>37</v>
      </c>
      <c r="H46" t="s">
        <v>216</v>
      </c>
      <c r="I46" t="s">
        <v>39</v>
      </c>
      <c r="J46">
        <v>2</v>
      </c>
      <c r="K46" t="s">
        <v>40</v>
      </c>
      <c r="L46" t="s">
        <v>41</v>
      </c>
      <c r="M46" t="s">
        <v>42</v>
      </c>
      <c r="N46" s="7">
        <v>7</v>
      </c>
      <c r="O46" s="8">
        <v>45098.557002314818</v>
      </c>
      <c r="P46" s="9">
        <v>45099</v>
      </c>
      <c r="Q46" t="s">
        <v>36</v>
      </c>
      <c r="R46" t="s">
        <v>43</v>
      </c>
      <c r="S46" t="s">
        <v>44</v>
      </c>
      <c r="T46" t="s">
        <v>62</v>
      </c>
      <c r="U46" t="s">
        <v>217</v>
      </c>
      <c r="V46">
        <v>24000</v>
      </c>
      <c r="W46" t="s">
        <v>43</v>
      </c>
      <c r="X46" t="s">
        <v>218</v>
      </c>
      <c r="Y46" t="s">
        <v>48</v>
      </c>
      <c r="Z46" s="10">
        <f t="shared" si="5"/>
        <v>11.8</v>
      </c>
      <c r="AA46" s="11">
        <v>0</v>
      </c>
      <c r="AB46" s="11">
        <v>0</v>
      </c>
      <c r="AC46" s="11">
        <v>0</v>
      </c>
      <c r="AD46" s="11">
        <v>0</v>
      </c>
      <c r="AE46" s="11">
        <f t="shared" si="1"/>
        <v>0.70799999999999996</v>
      </c>
      <c r="AF46" s="11">
        <f t="shared" si="2"/>
        <v>12.508000000000001</v>
      </c>
      <c r="AG46" t="s">
        <v>43</v>
      </c>
    </row>
    <row r="47" spans="1:33" ht="15" customHeight="1" x14ac:dyDescent="0.35">
      <c r="A47">
        <v>690929</v>
      </c>
      <c r="B47" t="s">
        <v>33</v>
      </c>
      <c r="C47" t="s">
        <v>34</v>
      </c>
      <c r="D47" s="6" t="s">
        <v>33</v>
      </c>
      <c r="E47" t="s">
        <v>219</v>
      </c>
      <c r="F47" t="s">
        <v>36</v>
      </c>
      <c r="G47" t="s">
        <v>37</v>
      </c>
      <c r="H47" t="s">
        <v>220</v>
      </c>
      <c r="I47" t="s">
        <v>39</v>
      </c>
      <c r="J47">
        <v>2</v>
      </c>
      <c r="K47" t="s">
        <v>40</v>
      </c>
      <c r="L47" t="s">
        <v>41</v>
      </c>
      <c r="M47" t="s">
        <v>42</v>
      </c>
      <c r="N47" s="7">
        <v>6</v>
      </c>
      <c r="O47" s="8">
        <v>45097.586493055554</v>
      </c>
      <c r="P47" s="9">
        <v>45099</v>
      </c>
      <c r="Q47" t="s">
        <v>36</v>
      </c>
      <c r="R47" t="s">
        <v>43</v>
      </c>
      <c r="S47" t="s">
        <v>44</v>
      </c>
      <c r="T47" t="s">
        <v>106</v>
      </c>
      <c r="U47" t="s">
        <v>221</v>
      </c>
      <c r="V47">
        <v>39100</v>
      </c>
      <c r="W47" t="s">
        <v>43</v>
      </c>
      <c r="X47" t="s">
        <v>222</v>
      </c>
      <c r="Y47" t="s">
        <v>48</v>
      </c>
      <c r="Z47" s="10">
        <f t="shared" si="5"/>
        <v>11</v>
      </c>
      <c r="AA47" s="11">
        <v>0</v>
      </c>
      <c r="AB47" s="11">
        <v>0</v>
      </c>
      <c r="AC47" s="11">
        <v>0</v>
      </c>
      <c r="AD47" s="11">
        <v>0</v>
      </c>
      <c r="AE47" s="11">
        <f t="shared" si="1"/>
        <v>0.65999999999999992</v>
      </c>
      <c r="AF47" s="11">
        <f t="shared" si="2"/>
        <v>11.66</v>
      </c>
      <c r="AG47" t="s">
        <v>43</v>
      </c>
    </row>
    <row r="48" spans="1:33" ht="15" customHeight="1" x14ac:dyDescent="0.35">
      <c r="A48">
        <v>690929</v>
      </c>
      <c r="B48" t="s">
        <v>33</v>
      </c>
      <c r="C48" t="s">
        <v>34</v>
      </c>
      <c r="D48" s="6" t="s">
        <v>33</v>
      </c>
      <c r="E48" t="s">
        <v>223</v>
      </c>
      <c r="F48" t="s">
        <v>36</v>
      </c>
      <c r="G48" t="s">
        <v>37</v>
      </c>
      <c r="H48" t="s">
        <v>224</v>
      </c>
      <c r="I48" t="s">
        <v>39</v>
      </c>
      <c r="J48">
        <v>2</v>
      </c>
      <c r="K48" t="s">
        <v>40</v>
      </c>
      <c r="L48" t="s">
        <v>41</v>
      </c>
      <c r="M48" t="s">
        <v>42</v>
      </c>
      <c r="N48" s="7">
        <v>3</v>
      </c>
      <c r="O48" s="8">
        <v>45097.636979166666</v>
      </c>
      <c r="P48" s="9">
        <v>45099</v>
      </c>
      <c r="Q48" t="s">
        <v>36</v>
      </c>
      <c r="R48" t="s">
        <v>43</v>
      </c>
      <c r="S48" t="s">
        <v>44</v>
      </c>
      <c r="T48" t="s">
        <v>128</v>
      </c>
      <c r="U48" t="s">
        <v>225</v>
      </c>
      <c r="V48">
        <v>83000</v>
      </c>
      <c r="W48" t="s">
        <v>43</v>
      </c>
      <c r="X48" t="s">
        <v>226</v>
      </c>
      <c r="Y48" t="s">
        <v>48</v>
      </c>
      <c r="Z48" s="10">
        <f t="shared" si="5"/>
        <v>8.6</v>
      </c>
      <c r="AA48" s="11">
        <v>0</v>
      </c>
      <c r="AB48" s="11">
        <v>0</v>
      </c>
      <c r="AC48" s="11">
        <v>0</v>
      </c>
      <c r="AD48" s="11">
        <v>0</v>
      </c>
      <c r="AE48" s="11">
        <f t="shared" si="1"/>
        <v>0.51600000000000001</v>
      </c>
      <c r="AF48" s="11">
        <f t="shared" si="2"/>
        <v>9.1159999999999997</v>
      </c>
      <c r="AG48" t="s">
        <v>43</v>
      </c>
    </row>
    <row r="49" spans="1:33" ht="15" customHeight="1" x14ac:dyDescent="0.35">
      <c r="A49">
        <v>690929</v>
      </c>
      <c r="B49" t="s">
        <v>33</v>
      </c>
      <c r="C49" t="s">
        <v>34</v>
      </c>
      <c r="D49" s="6" t="s">
        <v>33</v>
      </c>
      <c r="E49" t="s">
        <v>227</v>
      </c>
      <c r="F49" t="s">
        <v>36</v>
      </c>
      <c r="G49" t="s">
        <v>37</v>
      </c>
      <c r="H49" t="s">
        <v>228</v>
      </c>
      <c r="I49" t="s">
        <v>39</v>
      </c>
      <c r="J49">
        <v>2</v>
      </c>
      <c r="K49" t="s">
        <v>40</v>
      </c>
      <c r="L49" t="s">
        <v>41</v>
      </c>
      <c r="M49" t="s">
        <v>42</v>
      </c>
      <c r="N49" s="7">
        <v>1</v>
      </c>
      <c r="O49" s="8">
        <v>45098.670844907407</v>
      </c>
      <c r="P49" s="9">
        <v>45099</v>
      </c>
      <c r="Q49" t="s">
        <v>36</v>
      </c>
      <c r="R49" t="s">
        <v>43</v>
      </c>
      <c r="S49" t="s">
        <v>44</v>
      </c>
      <c r="T49" t="s">
        <v>45</v>
      </c>
      <c r="U49" t="s">
        <v>229</v>
      </c>
      <c r="V49">
        <v>68100</v>
      </c>
      <c r="W49" t="s">
        <v>43</v>
      </c>
      <c r="X49" t="s">
        <v>67</v>
      </c>
      <c r="Y49" t="s">
        <v>48</v>
      </c>
      <c r="Z49" s="10">
        <f t="shared" si="5"/>
        <v>7</v>
      </c>
      <c r="AA49" s="11">
        <v>0</v>
      </c>
      <c r="AB49" s="11">
        <v>0</v>
      </c>
      <c r="AC49" s="11">
        <v>0</v>
      </c>
      <c r="AD49" s="11">
        <v>0</v>
      </c>
      <c r="AE49" s="11">
        <f t="shared" si="1"/>
        <v>0.42</v>
      </c>
      <c r="AF49" s="11">
        <f t="shared" si="2"/>
        <v>7.42</v>
      </c>
      <c r="AG49" t="s">
        <v>43</v>
      </c>
    </row>
    <row r="50" spans="1:33" ht="15" customHeight="1" x14ac:dyDescent="0.35">
      <c r="A50">
        <v>690929</v>
      </c>
      <c r="B50" t="s">
        <v>33</v>
      </c>
      <c r="C50" t="s">
        <v>34</v>
      </c>
      <c r="D50" s="6" t="s">
        <v>33</v>
      </c>
      <c r="E50" t="s">
        <v>230</v>
      </c>
      <c r="F50" t="s">
        <v>36</v>
      </c>
      <c r="G50" t="s">
        <v>37</v>
      </c>
      <c r="H50" t="s">
        <v>231</v>
      </c>
      <c r="I50" t="s">
        <v>39</v>
      </c>
      <c r="J50">
        <v>2</v>
      </c>
      <c r="K50" t="s">
        <v>40</v>
      </c>
      <c r="L50" t="s">
        <v>41</v>
      </c>
      <c r="M50" t="s">
        <v>42</v>
      </c>
      <c r="N50" s="7">
        <v>1</v>
      </c>
      <c r="O50" s="8">
        <v>45098.592314814814</v>
      </c>
      <c r="P50" s="9">
        <v>45099</v>
      </c>
      <c r="Q50" t="s">
        <v>36</v>
      </c>
      <c r="R50" t="s">
        <v>43</v>
      </c>
      <c r="S50" t="s">
        <v>44</v>
      </c>
      <c r="T50" t="s">
        <v>106</v>
      </c>
      <c r="U50" t="s">
        <v>232</v>
      </c>
      <c r="V50">
        <v>26060</v>
      </c>
      <c r="W50" t="s">
        <v>43</v>
      </c>
      <c r="X50" t="s">
        <v>44</v>
      </c>
      <c r="Y50" t="s">
        <v>48</v>
      </c>
      <c r="Z50" s="10">
        <f t="shared" si="5"/>
        <v>7</v>
      </c>
      <c r="AA50" s="11">
        <v>0</v>
      </c>
      <c r="AB50" s="11">
        <v>0</v>
      </c>
      <c r="AC50" s="11">
        <v>0</v>
      </c>
      <c r="AD50" s="11">
        <v>0</v>
      </c>
      <c r="AE50" s="11">
        <f t="shared" si="1"/>
        <v>0.42</v>
      </c>
      <c r="AF50" s="11">
        <f t="shared" si="2"/>
        <v>7.42</v>
      </c>
      <c r="AG50" t="s">
        <v>43</v>
      </c>
    </row>
    <row r="51" spans="1:33" ht="15" customHeight="1" x14ac:dyDescent="0.35">
      <c r="A51">
        <v>690929</v>
      </c>
      <c r="B51" t="s">
        <v>33</v>
      </c>
      <c r="C51" t="s">
        <v>34</v>
      </c>
      <c r="D51" s="6" t="s">
        <v>33</v>
      </c>
      <c r="E51" t="s">
        <v>233</v>
      </c>
      <c r="F51" t="s">
        <v>36</v>
      </c>
      <c r="G51" t="s">
        <v>37</v>
      </c>
      <c r="H51" t="s">
        <v>234</v>
      </c>
      <c r="I51" t="s">
        <v>39</v>
      </c>
      <c r="J51">
        <v>2</v>
      </c>
      <c r="K51" t="s">
        <v>40</v>
      </c>
      <c r="L51" t="s">
        <v>41</v>
      </c>
      <c r="M51" t="s">
        <v>42</v>
      </c>
      <c r="N51" s="7">
        <v>1</v>
      </c>
      <c r="O51" s="8">
        <v>45097.483564814815</v>
      </c>
      <c r="P51" s="9">
        <v>45099</v>
      </c>
      <c r="Q51" t="s">
        <v>36</v>
      </c>
      <c r="R51" t="s">
        <v>43</v>
      </c>
      <c r="S51" t="s">
        <v>44</v>
      </c>
      <c r="T51" t="s">
        <v>167</v>
      </c>
      <c r="U51" t="s">
        <v>235</v>
      </c>
      <c r="V51">
        <v>11500</v>
      </c>
      <c r="W51" t="s">
        <v>43</v>
      </c>
      <c r="X51" t="s">
        <v>236</v>
      </c>
      <c r="Y51" t="s">
        <v>48</v>
      </c>
      <c r="Z51" s="10">
        <f>IF(N51&lt;=1,7,7+0.8*ROUNDUP(N51-1,0))</f>
        <v>7</v>
      </c>
      <c r="AA51" s="11">
        <v>0</v>
      </c>
      <c r="AB51" s="11">
        <v>0</v>
      </c>
      <c r="AC51" s="11">
        <v>0</v>
      </c>
      <c r="AD51" s="11">
        <v>0</v>
      </c>
      <c r="AE51" s="11">
        <f t="shared" si="1"/>
        <v>0.42</v>
      </c>
      <c r="AF51" s="11">
        <f t="shared" si="2"/>
        <v>7.42</v>
      </c>
      <c r="AG51" t="s">
        <v>43</v>
      </c>
    </row>
    <row r="52" spans="1:33" ht="15" customHeight="1" x14ac:dyDescent="0.35">
      <c r="A52">
        <v>690929</v>
      </c>
      <c r="B52" t="s">
        <v>33</v>
      </c>
      <c r="C52" t="s">
        <v>34</v>
      </c>
      <c r="D52" s="6" t="s">
        <v>33</v>
      </c>
      <c r="E52" t="s">
        <v>237</v>
      </c>
      <c r="F52" t="s">
        <v>36</v>
      </c>
      <c r="G52" t="s">
        <v>37</v>
      </c>
      <c r="H52" t="s">
        <v>238</v>
      </c>
      <c r="I52" t="s">
        <v>39</v>
      </c>
      <c r="J52">
        <v>2</v>
      </c>
      <c r="K52" t="s">
        <v>40</v>
      </c>
      <c r="L52" t="s">
        <v>41</v>
      </c>
      <c r="M52" t="s">
        <v>42</v>
      </c>
      <c r="N52" s="7">
        <v>2</v>
      </c>
      <c r="O52" s="8">
        <v>45098.640613425923</v>
      </c>
      <c r="P52" s="9">
        <v>45100</v>
      </c>
      <c r="Q52" t="s">
        <v>36</v>
      </c>
      <c r="R52" t="s">
        <v>43</v>
      </c>
      <c r="S52" t="s">
        <v>44</v>
      </c>
      <c r="T52" t="s">
        <v>148</v>
      </c>
      <c r="U52" t="s">
        <v>239</v>
      </c>
      <c r="V52">
        <v>87007</v>
      </c>
      <c r="W52" t="s">
        <v>94</v>
      </c>
      <c r="X52" t="s">
        <v>150</v>
      </c>
      <c r="Y52" t="s">
        <v>48</v>
      </c>
      <c r="Z52" s="12">
        <f>IF(N52&lt;=1,13,IF(N52&lt;=2,23,IF(N52&lt;=3,35,IF(N52&lt;=4,43,IF(N52&lt;=5,53,IF(N52&lt;=6,63,IF(N52&lt;=7,71,IF(N52&lt;=8,79,IF(N52&lt;=9,87,IF(N52&lt;=10,95,IF(N52&lt;=11,105,IF(N52&lt;=12,114,IF(N52&lt;=13,119,IF(N52&lt;=14,127,IF(N52&lt;=15,135,IF(N52&lt;=16,143,IF(N52&lt;=17,153,IF(N52&lt;=18,163,IF(N52&lt;=19,171,IF(N52&lt;=20,185,IF(N52&lt;=21,193,IF(N52&lt;=22,201,IF(N52&lt;=23,210,IF(N52&lt;=24,220,IF(N52&lt;=25,230,IF(N52&lt;=26,240,IF(N52&lt;=27,250,IF(N52&lt;=28,260,IF(N52&lt;=29,270,IF(N52&lt;=30,280,280+10*ROUNDUP(N52-30,0)))))))))))))))))))))))))))))))</f>
        <v>23</v>
      </c>
      <c r="AA52" s="11">
        <v>0</v>
      </c>
      <c r="AB52" s="11">
        <v>0</v>
      </c>
      <c r="AC52" s="11">
        <v>0</v>
      </c>
      <c r="AD52" s="11">
        <v>0</v>
      </c>
      <c r="AE52" s="11">
        <f t="shared" si="1"/>
        <v>1.38</v>
      </c>
      <c r="AF52" s="11">
        <f t="shared" si="2"/>
        <v>24.38</v>
      </c>
      <c r="AG52" t="s">
        <v>94</v>
      </c>
    </row>
    <row r="53" spans="1:33" ht="15" customHeight="1" x14ac:dyDescent="0.35">
      <c r="A53">
        <v>690929</v>
      </c>
      <c r="B53" t="s">
        <v>33</v>
      </c>
      <c r="C53" t="s">
        <v>34</v>
      </c>
      <c r="D53" s="6" t="s">
        <v>33</v>
      </c>
      <c r="E53" t="s">
        <v>240</v>
      </c>
      <c r="F53" t="s">
        <v>36</v>
      </c>
      <c r="G53" t="s">
        <v>37</v>
      </c>
      <c r="H53" t="s">
        <v>241</v>
      </c>
      <c r="I53" t="s">
        <v>39</v>
      </c>
      <c r="J53">
        <v>2</v>
      </c>
      <c r="K53" t="s">
        <v>40</v>
      </c>
      <c r="L53" t="s">
        <v>41</v>
      </c>
      <c r="M53" t="s">
        <v>42</v>
      </c>
      <c r="N53" s="7">
        <v>1</v>
      </c>
      <c r="O53" s="8">
        <v>45099.653368055559</v>
      </c>
      <c r="P53" s="9">
        <v>45100</v>
      </c>
      <c r="Q53" t="s">
        <v>36</v>
      </c>
      <c r="R53" t="s">
        <v>43</v>
      </c>
      <c r="S53" t="s">
        <v>44</v>
      </c>
      <c r="T53" t="s">
        <v>45</v>
      </c>
      <c r="U53" t="s">
        <v>242</v>
      </c>
      <c r="V53">
        <v>47100</v>
      </c>
      <c r="W53" t="s">
        <v>43</v>
      </c>
      <c r="X53" t="s">
        <v>243</v>
      </c>
      <c r="Y53" t="s">
        <v>48</v>
      </c>
      <c r="Z53" s="10">
        <f t="shared" ref="Z53:Z54" si="6">IF(N53&lt;=1,7,7+0.8*ROUNDUP(N53-1,0))</f>
        <v>7</v>
      </c>
      <c r="AA53" s="11">
        <v>0</v>
      </c>
      <c r="AB53" s="11">
        <v>0</v>
      </c>
      <c r="AC53" s="11">
        <v>0</v>
      </c>
      <c r="AD53" s="11">
        <v>0</v>
      </c>
      <c r="AE53" s="11">
        <f t="shared" si="1"/>
        <v>0.42</v>
      </c>
      <c r="AF53" s="11">
        <f t="shared" si="2"/>
        <v>7.42</v>
      </c>
      <c r="AG53" t="s">
        <v>43</v>
      </c>
    </row>
    <row r="54" spans="1:33" ht="15" customHeight="1" x14ac:dyDescent="0.35">
      <c r="A54">
        <v>690929</v>
      </c>
      <c r="B54" t="s">
        <v>33</v>
      </c>
      <c r="C54" t="s">
        <v>34</v>
      </c>
      <c r="D54" s="6" t="s">
        <v>33</v>
      </c>
      <c r="E54" t="s">
        <v>244</v>
      </c>
      <c r="F54" t="s">
        <v>36</v>
      </c>
      <c r="G54" t="s">
        <v>37</v>
      </c>
      <c r="H54" t="s">
        <v>245</v>
      </c>
      <c r="I54" t="s">
        <v>39</v>
      </c>
      <c r="J54">
        <v>2</v>
      </c>
      <c r="K54" t="s">
        <v>40</v>
      </c>
      <c r="L54" t="s">
        <v>41</v>
      </c>
      <c r="M54" t="s">
        <v>42</v>
      </c>
      <c r="N54" s="7">
        <v>1</v>
      </c>
      <c r="O54" s="8">
        <v>45099.622893518521</v>
      </c>
      <c r="P54" s="9">
        <v>45100</v>
      </c>
      <c r="Q54" t="s">
        <v>36</v>
      </c>
      <c r="R54" t="s">
        <v>43</v>
      </c>
      <c r="S54" t="s">
        <v>44</v>
      </c>
      <c r="T54" t="s">
        <v>62</v>
      </c>
      <c r="U54" t="s">
        <v>246</v>
      </c>
      <c r="V54">
        <v>20050</v>
      </c>
      <c r="W54" t="s">
        <v>43</v>
      </c>
      <c r="X54" t="s">
        <v>44</v>
      </c>
      <c r="Y54" t="s">
        <v>48</v>
      </c>
      <c r="Z54" s="10">
        <f t="shared" si="6"/>
        <v>7</v>
      </c>
      <c r="AA54" s="11">
        <v>0</v>
      </c>
      <c r="AB54" s="11">
        <v>0</v>
      </c>
      <c r="AC54" s="11">
        <v>0</v>
      </c>
      <c r="AD54" s="11">
        <v>0</v>
      </c>
      <c r="AE54" s="11">
        <f t="shared" si="1"/>
        <v>0.42</v>
      </c>
      <c r="AF54" s="11">
        <f t="shared" si="2"/>
        <v>7.42</v>
      </c>
      <c r="AG54" t="s">
        <v>43</v>
      </c>
    </row>
    <row r="55" spans="1:33" ht="15" customHeight="1" x14ac:dyDescent="0.35">
      <c r="A55">
        <v>690929</v>
      </c>
      <c r="B55" t="s">
        <v>33</v>
      </c>
      <c r="C55" t="s">
        <v>34</v>
      </c>
      <c r="D55" s="6" t="s">
        <v>33</v>
      </c>
      <c r="E55" t="s">
        <v>247</v>
      </c>
      <c r="F55" t="s">
        <v>36</v>
      </c>
      <c r="G55" t="s">
        <v>37</v>
      </c>
      <c r="H55" t="s">
        <v>238</v>
      </c>
      <c r="I55" t="s">
        <v>39</v>
      </c>
      <c r="J55">
        <v>2</v>
      </c>
      <c r="K55" t="s">
        <v>40</v>
      </c>
      <c r="L55" t="s">
        <v>41</v>
      </c>
      <c r="M55" t="s">
        <v>42</v>
      </c>
      <c r="N55" s="7">
        <v>2</v>
      </c>
      <c r="O55" s="8">
        <v>45098.639884259261</v>
      </c>
      <c r="P55" s="9">
        <v>45100</v>
      </c>
      <c r="Q55" t="s">
        <v>36</v>
      </c>
      <c r="R55" t="s">
        <v>43</v>
      </c>
      <c r="S55" t="s">
        <v>44</v>
      </c>
      <c r="T55" t="s">
        <v>148</v>
      </c>
      <c r="U55" t="s">
        <v>239</v>
      </c>
      <c r="V55">
        <v>87007</v>
      </c>
      <c r="W55" t="s">
        <v>94</v>
      </c>
      <c r="X55" t="s">
        <v>150</v>
      </c>
      <c r="Y55" t="s">
        <v>48</v>
      </c>
      <c r="Z55" s="12">
        <f>IF(N55&lt;=1,13,IF(N55&lt;=2,23,IF(N55&lt;=3,35,IF(N55&lt;=4,43,IF(N55&lt;=5,53,IF(N55&lt;=6,63,IF(N55&lt;=7,71,IF(N55&lt;=8,79,IF(N55&lt;=9,87,IF(N55&lt;=10,95,IF(N55&lt;=11,105,IF(N55&lt;=12,114,IF(N55&lt;=13,119,IF(N55&lt;=14,127,IF(N55&lt;=15,135,IF(N55&lt;=16,143,IF(N55&lt;=17,153,IF(N55&lt;=18,163,IF(N55&lt;=19,171,IF(N55&lt;=20,185,IF(N55&lt;=21,193,IF(N55&lt;=22,201,IF(N55&lt;=23,210,IF(N55&lt;=24,220,IF(N55&lt;=25,230,IF(N55&lt;=26,240,IF(N55&lt;=27,250,IF(N55&lt;=28,260,IF(N55&lt;=29,270,IF(N55&lt;=30,280,280+10*ROUNDUP(N55-30,0)))))))))))))))))))))))))))))))</f>
        <v>23</v>
      </c>
      <c r="AA55" s="11">
        <v>0</v>
      </c>
      <c r="AB55" s="11">
        <v>0</v>
      </c>
      <c r="AC55" s="11">
        <v>0</v>
      </c>
      <c r="AD55" s="11">
        <v>0</v>
      </c>
      <c r="AE55" s="11">
        <f t="shared" si="1"/>
        <v>1.38</v>
      </c>
      <c r="AF55" s="11">
        <f t="shared" si="2"/>
        <v>24.38</v>
      </c>
      <c r="AG55" t="s">
        <v>94</v>
      </c>
    </row>
    <row r="56" spans="1:33" ht="15" customHeight="1" x14ac:dyDescent="0.35">
      <c r="A56">
        <v>690929</v>
      </c>
      <c r="B56" t="s">
        <v>33</v>
      </c>
      <c r="C56" t="s">
        <v>34</v>
      </c>
      <c r="D56" s="6" t="s">
        <v>33</v>
      </c>
      <c r="E56" t="s">
        <v>248</v>
      </c>
      <c r="F56" t="s">
        <v>36</v>
      </c>
      <c r="G56" t="s">
        <v>37</v>
      </c>
      <c r="H56" t="s">
        <v>249</v>
      </c>
      <c r="I56" t="s">
        <v>39</v>
      </c>
      <c r="J56">
        <v>2</v>
      </c>
      <c r="K56" t="s">
        <v>40</v>
      </c>
      <c r="L56" t="s">
        <v>41</v>
      </c>
      <c r="M56" t="s">
        <v>42</v>
      </c>
      <c r="N56" s="7">
        <v>1</v>
      </c>
      <c r="O56" s="8">
        <v>45099.522407407407</v>
      </c>
      <c r="P56" s="9">
        <v>45100</v>
      </c>
      <c r="Q56" t="s">
        <v>36</v>
      </c>
      <c r="R56" t="s">
        <v>43</v>
      </c>
      <c r="S56" t="s">
        <v>44</v>
      </c>
      <c r="T56" t="s">
        <v>106</v>
      </c>
      <c r="U56" t="s">
        <v>250</v>
      </c>
      <c r="V56">
        <v>26300</v>
      </c>
      <c r="W56" t="s">
        <v>43</v>
      </c>
      <c r="X56" t="s">
        <v>44</v>
      </c>
      <c r="Y56" t="s">
        <v>48</v>
      </c>
      <c r="Z56" s="10">
        <f t="shared" ref="Z56:Z74" si="7">IF(N56&lt;=1,7,7+0.8*ROUNDUP(N56-1,0))</f>
        <v>7</v>
      </c>
      <c r="AA56" s="11">
        <v>0</v>
      </c>
      <c r="AB56" s="11">
        <v>0</v>
      </c>
      <c r="AC56" s="11">
        <v>0</v>
      </c>
      <c r="AD56" s="11">
        <v>0</v>
      </c>
      <c r="AE56" s="11">
        <f t="shared" si="1"/>
        <v>0.42</v>
      </c>
      <c r="AF56" s="11">
        <f t="shared" si="2"/>
        <v>7.42</v>
      </c>
      <c r="AG56" t="s">
        <v>43</v>
      </c>
    </row>
    <row r="57" spans="1:33" ht="15" customHeight="1" x14ac:dyDescent="0.35">
      <c r="A57">
        <v>690929</v>
      </c>
      <c r="B57" t="s">
        <v>33</v>
      </c>
      <c r="C57" t="s">
        <v>34</v>
      </c>
      <c r="D57" s="6" t="s">
        <v>33</v>
      </c>
      <c r="E57" t="s">
        <v>251</v>
      </c>
      <c r="F57" t="s">
        <v>36</v>
      </c>
      <c r="G57" t="s">
        <v>37</v>
      </c>
      <c r="H57" t="s">
        <v>252</v>
      </c>
      <c r="I57" t="s">
        <v>39</v>
      </c>
      <c r="J57">
        <v>2</v>
      </c>
      <c r="K57" t="s">
        <v>40</v>
      </c>
      <c r="L57" t="s">
        <v>41</v>
      </c>
      <c r="M57" t="s">
        <v>42</v>
      </c>
      <c r="N57" s="7">
        <v>1</v>
      </c>
      <c r="O57" s="8">
        <v>45099.523506944446</v>
      </c>
      <c r="P57" s="9">
        <v>45100</v>
      </c>
      <c r="Q57" t="s">
        <v>36</v>
      </c>
      <c r="R57" t="s">
        <v>43</v>
      </c>
      <c r="S57" t="s">
        <v>44</v>
      </c>
      <c r="T57" t="s">
        <v>45</v>
      </c>
      <c r="U57" t="s">
        <v>253</v>
      </c>
      <c r="V57">
        <v>68000</v>
      </c>
      <c r="W57" t="s">
        <v>43</v>
      </c>
      <c r="X57" t="s">
        <v>67</v>
      </c>
      <c r="Y57" t="s">
        <v>48</v>
      </c>
      <c r="Z57" s="10">
        <f t="shared" si="7"/>
        <v>7</v>
      </c>
      <c r="AA57" s="11">
        <v>0</v>
      </c>
      <c r="AB57" s="11">
        <v>0</v>
      </c>
      <c r="AC57" s="11">
        <v>0</v>
      </c>
      <c r="AD57" s="11">
        <v>0</v>
      </c>
      <c r="AE57" s="11">
        <f t="shared" si="1"/>
        <v>0.42</v>
      </c>
      <c r="AF57" s="11">
        <f t="shared" si="2"/>
        <v>7.42</v>
      </c>
      <c r="AG57" t="s">
        <v>43</v>
      </c>
    </row>
    <row r="58" spans="1:33" ht="15" customHeight="1" x14ac:dyDescent="0.35">
      <c r="A58">
        <v>690929</v>
      </c>
      <c r="B58" t="s">
        <v>33</v>
      </c>
      <c r="C58" t="s">
        <v>34</v>
      </c>
      <c r="D58" s="6" t="s">
        <v>33</v>
      </c>
      <c r="E58" t="s">
        <v>254</v>
      </c>
      <c r="F58" t="s">
        <v>36</v>
      </c>
      <c r="G58" t="s">
        <v>37</v>
      </c>
      <c r="H58" t="s">
        <v>255</v>
      </c>
      <c r="I58" t="s">
        <v>39</v>
      </c>
      <c r="J58">
        <v>2</v>
      </c>
      <c r="K58" t="s">
        <v>40</v>
      </c>
      <c r="L58" t="s">
        <v>41</v>
      </c>
      <c r="M58" t="s">
        <v>42</v>
      </c>
      <c r="N58" s="7">
        <v>1</v>
      </c>
      <c r="O58" s="8">
        <v>45098.731666666667</v>
      </c>
      <c r="P58" s="9">
        <v>45100</v>
      </c>
      <c r="Q58" t="s">
        <v>36</v>
      </c>
      <c r="R58" t="s">
        <v>43</v>
      </c>
      <c r="S58" t="s">
        <v>44</v>
      </c>
      <c r="T58" t="s">
        <v>157</v>
      </c>
      <c r="U58" t="s">
        <v>256</v>
      </c>
      <c r="V58">
        <v>16310</v>
      </c>
      <c r="W58" t="s">
        <v>43</v>
      </c>
      <c r="X58" t="s">
        <v>44</v>
      </c>
      <c r="Y58" t="s">
        <v>48</v>
      </c>
      <c r="Z58" s="10">
        <f t="shared" si="7"/>
        <v>7</v>
      </c>
      <c r="AA58" s="11">
        <v>0</v>
      </c>
      <c r="AB58" s="11">
        <v>0</v>
      </c>
      <c r="AC58" s="11">
        <v>0</v>
      </c>
      <c r="AD58" s="11">
        <v>0</v>
      </c>
      <c r="AE58" s="11">
        <f t="shared" si="1"/>
        <v>0.42</v>
      </c>
      <c r="AF58" s="11">
        <f t="shared" si="2"/>
        <v>7.42</v>
      </c>
      <c r="AG58" t="s">
        <v>43</v>
      </c>
    </row>
    <row r="59" spans="1:33" ht="15" customHeight="1" x14ac:dyDescent="0.35">
      <c r="A59">
        <v>690929</v>
      </c>
      <c r="B59" t="s">
        <v>33</v>
      </c>
      <c r="C59" t="s">
        <v>34</v>
      </c>
      <c r="D59" s="6" t="s">
        <v>33</v>
      </c>
      <c r="E59" t="s">
        <v>257</v>
      </c>
      <c r="F59" t="s">
        <v>36</v>
      </c>
      <c r="G59" t="s">
        <v>37</v>
      </c>
      <c r="H59" t="s">
        <v>258</v>
      </c>
      <c r="I59" t="s">
        <v>39</v>
      </c>
      <c r="J59">
        <v>2</v>
      </c>
      <c r="K59" t="s">
        <v>40</v>
      </c>
      <c r="L59" t="s">
        <v>41</v>
      </c>
      <c r="M59" t="s">
        <v>42</v>
      </c>
      <c r="N59" s="7">
        <v>1</v>
      </c>
      <c r="O59" s="8">
        <v>45098.482349537036</v>
      </c>
      <c r="P59" s="9">
        <v>45100</v>
      </c>
      <c r="Q59" t="s">
        <v>36</v>
      </c>
      <c r="R59" t="s">
        <v>43</v>
      </c>
      <c r="S59" t="s">
        <v>44</v>
      </c>
      <c r="T59" t="s">
        <v>133</v>
      </c>
      <c r="U59" t="s">
        <v>259</v>
      </c>
      <c r="V59">
        <v>75260</v>
      </c>
      <c r="W59" t="s">
        <v>43</v>
      </c>
      <c r="X59" t="s">
        <v>67</v>
      </c>
      <c r="Y59" t="s">
        <v>48</v>
      </c>
      <c r="Z59" s="10">
        <f t="shared" si="7"/>
        <v>7</v>
      </c>
      <c r="AA59" s="11">
        <v>0</v>
      </c>
      <c r="AB59" s="11">
        <v>0</v>
      </c>
      <c r="AC59" s="11">
        <v>0</v>
      </c>
      <c r="AD59" s="11">
        <v>0</v>
      </c>
      <c r="AE59" s="11">
        <f t="shared" si="1"/>
        <v>0.42</v>
      </c>
      <c r="AF59" s="11">
        <f t="shared" si="2"/>
        <v>7.42</v>
      </c>
      <c r="AG59" t="s">
        <v>43</v>
      </c>
    </row>
    <row r="60" spans="1:33" ht="15" customHeight="1" x14ac:dyDescent="0.35">
      <c r="A60">
        <v>690929</v>
      </c>
      <c r="B60" t="s">
        <v>33</v>
      </c>
      <c r="C60" t="s">
        <v>34</v>
      </c>
      <c r="D60" s="6" t="s">
        <v>33</v>
      </c>
      <c r="E60" t="s">
        <v>260</v>
      </c>
      <c r="F60" t="s">
        <v>36</v>
      </c>
      <c r="G60" t="s">
        <v>37</v>
      </c>
      <c r="H60" t="s">
        <v>261</v>
      </c>
      <c r="I60" t="s">
        <v>39</v>
      </c>
      <c r="J60">
        <v>2</v>
      </c>
      <c r="K60" t="s">
        <v>40</v>
      </c>
      <c r="L60" t="s">
        <v>41</v>
      </c>
      <c r="M60" t="s">
        <v>42</v>
      </c>
      <c r="N60" s="7">
        <v>5</v>
      </c>
      <c r="O60" s="8">
        <v>45099.462060185186</v>
      </c>
      <c r="P60" s="9">
        <v>45100</v>
      </c>
      <c r="Q60" t="s">
        <v>36</v>
      </c>
      <c r="R60" t="s">
        <v>43</v>
      </c>
      <c r="S60" t="s">
        <v>44</v>
      </c>
      <c r="T60" t="s">
        <v>74</v>
      </c>
      <c r="U60" t="s">
        <v>262</v>
      </c>
      <c r="V60">
        <v>53000</v>
      </c>
      <c r="W60" t="s">
        <v>43</v>
      </c>
      <c r="X60" t="s">
        <v>263</v>
      </c>
      <c r="Y60" t="s">
        <v>48</v>
      </c>
      <c r="Z60" s="10">
        <f t="shared" si="7"/>
        <v>10.199999999999999</v>
      </c>
      <c r="AA60" s="11">
        <v>0</v>
      </c>
      <c r="AB60" s="11">
        <v>0</v>
      </c>
      <c r="AC60" s="11">
        <v>0</v>
      </c>
      <c r="AD60" s="11">
        <v>0</v>
      </c>
      <c r="AE60" s="11">
        <f t="shared" si="1"/>
        <v>0.61199999999999999</v>
      </c>
      <c r="AF60" s="11">
        <f t="shared" si="2"/>
        <v>10.811999999999999</v>
      </c>
      <c r="AG60" t="s">
        <v>43</v>
      </c>
    </row>
    <row r="61" spans="1:33" ht="15" customHeight="1" x14ac:dyDescent="0.35">
      <c r="A61">
        <v>690929</v>
      </c>
      <c r="B61" t="s">
        <v>33</v>
      </c>
      <c r="C61" t="s">
        <v>34</v>
      </c>
      <c r="D61" s="6" t="s">
        <v>33</v>
      </c>
      <c r="E61" t="s">
        <v>264</v>
      </c>
      <c r="F61" t="s">
        <v>36</v>
      </c>
      <c r="G61" t="s">
        <v>37</v>
      </c>
      <c r="H61" t="s">
        <v>265</v>
      </c>
      <c r="I61" t="s">
        <v>39</v>
      </c>
      <c r="J61">
        <v>2</v>
      </c>
      <c r="K61" t="s">
        <v>40</v>
      </c>
      <c r="L61" t="s">
        <v>41</v>
      </c>
      <c r="M61" t="s">
        <v>42</v>
      </c>
      <c r="N61" s="7">
        <v>3</v>
      </c>
      <c r="O61" s="8">
        <v>45099.625868055555</v>
      </c>
      <c r="P61" s="9">
        <v>45100</v>
      </c>
      <c r="Q61" t="s">
        <v>36</v>
      </c>
      <c r="R61" t="s">
        <v>43</v>
      </c>
      <c r="S61" t="s">
        <v>44</v>
      </c>
      <c r="T61" t="s">
        <v>45</v>
      </c>
      <c r="U61" t="s">
        <v>266</v>
      </c>
      <c r="V61">
        <v>45300</v>
      </c>
      <c r="W61" t="s">
        <v>43</v>
      </c>
      <c r="X61" t="s">
        <v>267</v>
      </c>
      <c r="Y61" t="s">
        <v>48</v>
      </c>
      <c r="Z61" s="10">
        <f t="shared" si="7"/>
        <v>8.6</v>
      </c>
      <c r="AA61" s="11">
        <v>0</v>
      </c>
      <c r="AB61" s="11">
        <v>0</v>
      </c>
      <c r="AC61" s="11">
        <v>0</v>
      </c>
      <c r="AD61" s="11">
        <v>0</v>
      </c>
      <c r="AE61" s="11">
        <f t="shared" si="1"/>
        <v>0.51600000000000001</v>
      </c>
      <c r="AF61" s="11">
        <f t="shared" si="2"/>
        <v>9.1159999999999997</v>
      </c>
      <c r="AG61" t="s">
        <v>43</v>
      </c>
    </row>
    <row r="62" spans="1:33" ht="15" customHeight="1" x14ac:dyDescent="0.35">
      <c r="A62">
        <v>690929</v>
      </c>
      <c r="B62" t="s">
        <v>33</v>
      </c>
      <c r="C62" t="s">
        <v>34</v>
      </c>
      <c r="D62" s="6" t="s">
        <v>33</v>
      </c>
      <c r="E62" t="s">
        <v>268</v>
      </c>
      <c r="F62" t="s">
        <v>36</v>
      </c>
      <c r="G62" t="s">
        <v>37</v>
      </c>
      <c r="H62" t="s">
        <v>265</v>
      </c>
      <c r="I62" t="s">
        <v>39</v>
      </c>
      <c r="J62">
        <v>2</v>
      </c>
      <c r="K62" t="s">
        <v>40</v>
      </c>
      <c r="L62" t="s">
        <v>41</v>
      </c>
      <c r="M62" t="s">
        <v>42</v>
      </c>
      <c r="N62" s="7">
        <v>5</v>
      </c>
      <c r="O62" s="8">
        <v>45099.626527777778</v>
      </c>
      <c r="P62" s="9">
        <v>45100</v>
      </c>
      <c r="Q62" t="s">
        <v>36</v>
      </c>
      <c r="R62" t="s">
        <v>43</v>
      </c>
      <c r="S62" t="s">
        <v>44</v>
      </c>
      <c r="T62" t="s">
        <v>45</v>
      </c>
      <c r="U62" t="s">
        <v>266</v>
      </c>
      <c r="V62">
        <v>45300</v>
      </c>
      <c r="W62" t="s">
        <v>43</v>
      </c>
      <c r="X62" t="s">
        <v>267</v>
      </c>
      <c r="Y62" t="s">
        <v>48</v>
      </c>
      <c r="Z62" s="10">
        <f t="shared" si="7"/>
        <v>10.199999999999999</v>
      </c>
      <c r="AA62" s="11">
        <v>0</v>
      </c>
      <c r="AB62" s="11">
        <v>0</v>
      </c>
      <c r="AC62" s="11">
        <v>0</v>
      </c>
      <c r="AD62" s="11">
        <v>0</v>
      </c>
      <c r="AE62" s="11">
        <f t="shared" si="1"/>
        <v>0.61199999999999999</v>
      </c>
      <c r="AF62" s="11">
        <f t="shared" si="2"/>
        <v>10.811999999999999</v>
      </c>
      <c r="AG62" t="s">
        <v>43</v>
      </c>
    </row>
    <row r="63" spans="1:33" ht="15" customHeight="1" x14ac:dyDescent="0.35">
      <c r="A63">
        <v>690929</v>
      </c>
      <c r="B63" t="s">
        <v>33</v>
      </c>
      <c r="C63" t="s">
        <v>34</v>
      </c>
      <c r="D63" s="6" t="s">
        <v>33</v>
      </c>
      <c r="E63" t="s">
        <v>269</v>
      </c>
      <c r="F63" t="s">
        <v>36</v>
      </c>
      <c r="G63" t="s">
        <v>37</v>
      </c>
      <c r="H63" t="s">
        <v>270</v>
      </c>
      <c r="I63" t="s">
        <v>39</v>
      </c>
      <c r="J63">
        <v>2</v>
      </c>
      <c r="K63" t="s">
        <v>40</v>
      </c>
      <c r="L63" t="s">
        <v>41</v>
      </c>
      <c r="M63" t="s">
        <v>42</v>
      </c>
      <c r="N63" s="7">
        <v>1</v>
      </c>
      <c r="O63" s="8">
        <v>45099.656099537038</v>
      </c>
      <c r="P63" s="9">
        <v>45100</v>
      </c>
      <c r="Q63" t="s">
        <v>36</v>
      </c>
      <c r="R63" t="s">
        <v>43</v>
      </c>
      <c r="S63" t="s">
        <v>44</v>
      </c>
      <c r="T63" t="s">
        <v>45</v>
      </c>
      <c r="U63" t="s">
        <v>271</v>
      </c>
      <c r="V63">
        <v>63000</v>
      </c>
      <c r="W63" t="s">
        <v>43</v>
      </c>
      <c r="X63" t="s">
        <v>272</v>
      </c>
      <c r="Y63" t="s">
        <v>48</v>
      </c>
      <c r="Z63" s="10">
        <f t="shared" si="7"/>
        <v>7</v>
      </c>
      <c r="AA63" s="11">
        <v>0</v>
      </c>
      <c r="AB63" s="11">
        <v>0</v>
      </c>
      <c r="AC63" s="11">
        <v>0</v>
      </c>
      <c r="AD63" s="11">
        <v>0</v>
      </c>
      <c r="AE63" s="11">
        <f t="shared" si="1"/>
        <v>0.42</v>
      </c>
      <c r="AF63" s="11">
        <f t="shared" si="2"/>
        <v>7.42</v>
      </c>
      <c r="AG63" t="s">
        <v>43</v>
      </c>
    </row>
    <row r="64" spans="1:33" ht="15" customHeight="1" x14ac:dyDescent="0.35">
      <c r="A64">
        <v>690929</v>
      </c>
      <c r="B64" t="s">
        <v>33</v>
      </c>
      <c r="C64" t="s">
        <v>34</v>
      </c>
      <c r="D64" s="6" t="s">
        <v>33</v>
      </c>
      <c r="E64" t="s">
        <v>273</v>
      </c>
      <c r="F64" t="s">
        <v>36</v>
      </c>
      <c r="G64" t="s">
        <v>37</v>
      </c>
      <c r="H64" t="s">
        <v>274</v>
      </c>
      <c r="I64" t="s">
        <v>39</v>
      </c>
      <c r="J64">
        <v>2</v>
      </c>
      <c r="K64" t="s">
        <v>40</v>
      </c>
      <c r="L64" t="s">
        <v>41</v>
      </c>
      <c r="M64" t="s">
        <v>42</v>
      </c>
      <c r="N64" s="7">
        <v>1</v>
      </c>
      <c r="O64" s="8">
        <v>45099.667002314818</v>
      </c>
      <c r="P64" s="9">
        <v>45100</v>
      </c>
      <c r="Q64" t="s">
        <v>36</v>
      </c>
      <c r="R64" t="s">
        <v>43</v>
      </c>
      <c r="S64" t="s">
        <v>44</v>
      </c>
      <c r="T64" t="s">
        <v>157</v>
      </c>
      <c r="U64" t="s">
        <v>275</v>
      </c>
      <c r="V64">
        <v>18300</v>
      </c>
      <c r="W64" t="s">
        <v>43</v>
      </c>
      <c r="X64" t="s">
        <v>44</v>
      </c>
      <c r="Y64" t="s">
        <v>48</v>
      </c>
      <c r="Z64" s="10">
        <f t="shared" si="7"/>
        <v>7</v>
      </c>
      <c r="AA64" s="11">
        <v>0</v>
      </c>
      <c r="AB64" s="11">
        <v>0</v>
      </c>
      <c r="AC64" s="11">
        <v>0</v>
      </c>
      <c r="AD64" s="11">
        <v>0</v>
      </c>
      <c r="AE64" s="11">
        <f t="shared" si="1"/>
        <v>0.42</v>
      </c>
      <c r="AF64" s="11">
        <f t="shared" si="2"/>
        <v>7.42</v>
      </c>
      <c r="AG64" t="s">
        <v>43</v>
      </c>
    </row>
    <row r="65" spans="1:33" ht="15" customHeight="1" x14ac:dyDescent="0.35">
      <c r="A65">
        <v>690929</v>
      </c>
      <c r="B65" t="s">
        <v>33</v>
      </c>
      <c r="C65" t="s">
        <v>34</v>
      </c>
      <c r="D65" s="6" t="s">
        <v>33</v>
      </c>
      <c r="E65" t="s">
        <v>276</v>
      </c>
      <c r="F65" t="s">
        <v>36</v>
      </c>
      <c r="G65" t="s">
        <v>37</v>
      </c>
      <c r="H65" t="s">
        <v>61</v>
      </c>
      <c r="I65" t="s">
        <v>39</v>
      </c>
      <c r="J65">
        <v>2</v>
      </c>
      <c r="K65" t="s">
        <v>40</v>
      </c>
      <c r="L65" t="s">
        <v>41</v>
      </c>
      <c r="M65" t="s">
        <v>42</v>
      </c>
      <c r="N65" s="7">
        <v>1</v>
      </c>
      <c r="O65" s="8">
        <v>45099.468518518515</v>
      </c>
      <c r="P65" s="9">
        <v>45100</v>
      </c>
      <c r="Q65" t="s">
        <v>36</v>
      </c>
      <c r="R65" t="s">
        <v>43</v>
      </c>
      <c r="S65" t="s">
        <v>44</v>
      </c>
      <c r="T65" t="s">
        <v>62</v>
      </c>
      <c r="U65" t="s">
        <v>277</v>
      </c>
      <c r="V65">
        <v>22300</v>
      </c>
      <c r="W65" t="s">
        <v>43</v>
      </c>
      <c r="X65" t="s">
        <v>44</v>
      </c>
      <c r="Y65" t="s">
        <v>48</v>
      </c>
      <c r="Z65" s="10">
        <f t="shared" si="7"/>
        <v>7</v>
      </c>
      <c r="AA65" s="11">
        <v>0</v>
      </c>
      <c r="AB65" s="11">
        <v>0</v>
      </c>
      <c r="AC65" s="11">
        <v>0</v>
      </c>
      <c r="AD65" s="11">
        <v>0</v>
      </c>
      <c r="AE65" s="11">
        <f t="shared" si="1"/>
        <v>0.42</v>
      </c>
      <c r="AF65" s="11">
        <f t="shared" si="2"/>
        <v>7.42</v>
      </c>
      <c r="AG65" t="s">
        <v>43</v>
      </c>
    </row>
    <row r="66" spans="1:33" ht="15" customHeight="1" x14ac:dyDescent="0.35">
      <c r="A66">
        <v>690929</v>
      </c>
      <c r="B66" t="s">
        <v>33</v>
      </c>
      <c r="C66" t="s">
        <v>34</v>
      </c>
      <c r="D66" s="6" t="s">
        <v>33</v>
      </c>
      <c r="E66" t="s">
        <v>278</v>
      </c>
      <c r="F66" t="s">
        <v>36</v>
      </c>
      <c r="G66" t="s">
        <v>37</v>
      </c>
      <c r="H66" t="s">
        <v>279</v>
      </c>
      <c r="I66" t="s">
        <v>39</v>
      </c>
      <c r="J66">
        <v>2</v>
      </c>
      <c r="K66" t="s">
        <v>40</v>
      </c>
      <c r="L66" t="s">
        <v>41</v>
      </c>
      <c r="M66" t="s">
        <v>42</v>
      </c>
      <c r="N66" s="7">
        <v>1</v>
      </c>
      <c r="O66" s="8">
        <v>45100.392268518517</v>
      </c>
      <c r="P66" s="9">
        <v>45101</v>
      </c>
      <c r="Q66" t="s">
        <v>36</v>
      </c>
      <c r="R66" t="s">
        <v>43</v>
      </c>
      <c r="S66" t="s">
        <v>123</v>
      </c>
      <c r="T66" t="s">
        <v>45</v>
      </c>
      <c r="U66" t="s">
        <v>280</v>
      </c>
      <c r="V66">
        <v>43700</v>
      </c>
      <c r="W66" t="s">
        <v>43</v>
      </c>
      <c r="X66" t="s">
        <v>281</v>
      </c>
      <c r="Y66" t="s">
        <v>48</v>
      </c>
      <c r="Z66" s="10">
        <f t="shared" si="7"/>
        <v>7</v>
      </c>
      <c r="AA66" s="11">
        <v>0</v>
      </c>
      <c r="AB66" s="11">
        <v>0</v>
      </c>
      <c r="AC66" s="11">
        <v>0</v>
      </c>
      <c r="AD66" s="11">
        <v>0</v>
      </c>
      <c r="AE66" s="11">
        <f t="shared" ref="AE66:AE129" si="8">(Z66+AB66+AD66)*6%</f>
        <v>0.42</v>
      </c>
      <c r="AF66" s="11">
        <f t="shared" ref="AF66:AF129" si="9">Z66+AB66+AD66+AE66</f>
        <v>7.42</v>
      </c>
      <c r="AG66" t="s">
        <v>43</v>
      </c>
    </row>
    <row r="67" spans="1:33" ht="15" customHeight="1" x14ac:dyDescent="0.35">
      <c r="A67">
        <v>690929</v>
      </c>
      <c r="B67" t="s">
        <v>33</v>
      </c>
      <c r="C67" t="s">
        <v>34</v>
      </c>
      <c r="D67" s="6" t="s">
        <v>33</v>
      </c>
      <c r="E67" t="s">
        <v>282</v>
      </c>
      <c r="F67" t="s">
        <v>36</v>
      </c>
      <c r="G67" t="s">
        <v>37</v>
      </c>
      <c r="H67" t="s">
        <v>283</v>
      </c>
      <c r="I67" t="s">
        <v>39</v>
      </c>
      <c r="J67">
        <v>2</v>
      </c>
      <c r="K67" t="s">
        <v>40</v>
      </c>
      <c r="L67" t="s">
        <v>41</v>
      </c>
      <c r="M67" t="s">
        <v>42</v>
      </c>
      <c r="N67" s="7">
        <v>1</v>
      </c>
      <c r="O67" s="8">
        <v>45099.644548611112</v>
      </c>
      <c r="P67" s="9">
        <v>45101</v>
      </c>
      <c r="Q67" t="s">
        <v>36</v>
      </c>
      <c r="R67" t="s">
        <v>43</v>
      </c>
      <c r="S67" t="s">
        <v>44</v>
      </c>
      <c r="T67" t="s">
        <v>106</v>
      </c>
      <c r="U67" t="s">
        <v>284</v>
      </c>
      <c r="V67">
        <v>39000</v>
      </c>
      <c r="W67" t="s">
        <v>43</v>
      </c>
      <c r="X67" t="s">
        <v>67</v>
      </c>
      <c r="Y67" t="s">
        <v>48</v>
      </c>
      <c r="Z67" s="10">
        <f t="shared" si="7"/>
        <v>7</v>
      </c>
      <c r="AA67" s="11">
        <v>0</v>
      </c>
      <c r="AB67" s="11">
        <v>0</v>
      </c>
      <c r="AC67" s="11">
        <v>0</v>
      </c>
      <c r="AD67" s="11">
        <v>0</v>
      </c>
      <c r="AE67" s="11">
        <f t="shared" si="8"/>
        <v>0.42</v>
      </c>
      <c r="AF67" s="11">
        <f t="shared" si="9"/>
        <v>7.42</v>
      </c>
      <c r="AG67" t="s">
        <v>43</v>
      </c>
    </row>
    <row r="68" spans="1:33" ht="15" customHeight="1" x14ac:dyDescent="0.35">
      <c r="A68">
        <v>690929</v>
      </c>
      <c r="B68" t="s">
        <v>33</v>
      </c>
      <c r="C68" t="s">
        <v>34</v>
      </c>
      <c r="D68" s="6" t="s">
        <v>33</v>
      </c>
      <c r="E68" t="s">
        <v>285</v>
      </c>
      <c r="F68" t="s">
        <v>36</v>
      </c>
      <c r="G68" t="s">
        <v>37</v>
      </c>
      <c r="H68" t="s">
        <v>286</v>
      </c>
      <c r="I68" t="s">
        <v>39</v>
      </c>
      <c r="J68">
        <v>2</v>
      </c>
      <c r="K68" t="s">
        <v>40</v>
      </c>
      <c r="L68" t="s">
        <v>41</v>
      </c>
      <c r="M68" t="s">
        <v>42</v>
      </c>
      <c r="N68" s="7">
        <v>1</v>
      </c>
      <c r="O68" s="8">
        <v>45100.408564814818</v>
      </c>
      <c r="P68" s="9">
        <v>45101</v>
      </c>
      <c r="Q68" t="s">
        <v>36</v>
      </c>
      <c r="R68" t="s">
        <v>43</v>
      </c>
      <c r="S68" t="s">
        <v>123</v>
      </c>
      <c r="T68" t="s">
        <v>118</v>
      </c>
      <c r="U68" t="s">
        <v>287</v>
      </c>
      <c r="V68">
        <v>71200</v>
      </c>
      <c r="W68" t="s">
        <v>43</v>
      </c>
      <c r="X68" t="s">
        <v>288</v>
      </c>
      <c r="Y68" t="s">
        <v>48</v>
      </c>
      <c r="Z68" s="10">
        <f t="shared" si="7"/>
        <v>7</v>
      </c>
      <c r="AA68" s="11">
        <v>0</v>
      </c>
      <c r="AB68" s="11">
        <v>0</v>
      </c>
      <c r="AC68" s="11">
        <v>0</v>
      </c>
      <c r="AD68" s="11">
        <v>0</v>
      </c>
      <c r="AE68" s="11">
        <f t="shared" si="8"/>
        <v>0.42</v>
      </c>
      <c r="AF68" s="11">
        <f t="shared" si="9"/>
        <v>7.42</v>
      </c>
      <c r="AG68" t="s">
        <v>43</v>
      </c>
    </row>
    <row r="69" spans="1:33" ht="15" customHeight="1" x14ac:dyDescent="0.35">
      <c r="A69">
        <v>690929</v>
      </c>
      <c r="B69" t="s">
        <v>33</v>
      </c>
      <c r="C69" t="s">
        <v>34</v>
      </c>
      <c r="D69" s="6" t="s">
        <v>33</v>
      </c>
      <c r="E69" t="s">
        <v>289</v>
      </c>
      <c r="F69" t="s">
        <v>36</v>
      </c>
      <c r="G69" t="s">
        <v>37</v>
      </c>
      <c r="H69" t="s">
        <v>290</v>
      </c>
      <c r="I69" t="s">
        <v>39</v>
      </c>
      <c r="J69">
        <v>2</v>
      </c>
      <c r="K69" t="s">
        <v>40</v>
      </c>
      <c r="L69" t="s">
        <v>41</v>
      </c>
      <c r="M69" t="s">
        <v>42</v>
      </c>
      <c r="N69" s="7">
        <v>1</v>
      </c>
      <c r="O69" s="8">
        <v>45100.419305555559</v>
      </c>
      <c r="P69" s="9">
        <v>45101</v>
      </c>
      <c r="Q69" t="s">
        <v>36</v>
      </c>
      <c r="R69" t="s">
        <v>43</v>
      </c>
      <c r="S69" t="s">
        <v>123</v>
      </c>
      <c r="T69" t="s">
        <v>118</v>
      </c>
      <c r="U69" t="s">
        <v>291</v>
      </c>
      <c r="V69">
        <v>70400</v>
      </c>
      <c r="W69" t="s">
        <v>43</v>
      </c>
      <c r="X69" t="s">
        <v>292</v>
      </c>
      <c r="Y69" t="s">
        <v>48</v>
      </c>
      <c r="Z69" s="10">
        <f t="shared" si="7"/>
        <v>7</v>
      </c>
      <c r="AA69" s="11">
        <v>0</v>
      </c>
      <c r="AB69" s="11">
        <v>0</v>
      </c>
      <c r="AC69" s="11">
        <v>0</v>
      </c>
      <c r="AD69" s="11">
        <v>0</v>
      </c>
      <c r="AE69" s="11">
        <f t="shared" si="8"/>
        <v>0.42</v>
      </c>
      <c r="AF69" s="11">
        <f t="shared" si="9"/>
        <v>7.42</v>
      </c>
      <c r="AG69" t="s">
        <v>43</v>
      </c>
    </row>
    <row r="70" spans="1:33" ht="15" customHeight="1" x14ac:dyDescent="0.35">
      <c r="A70">
        <v>690929</v>
      </c>
      <c r="B70" t="s">
        <v>33</v>
      </c>
      <c r="C70" t="s">
        <v>34</v>
      </c>
      <c r="D70" s="6" t="s">
        <v>33</v>
      </c>
      <c r="E70" t="s">
        <v>293</v>
      </c>
      <c r="F70" t="s">
        <v>36</v>
      </c>
      <c r="G70" t="s">
        <v>37</v>
      </c>
      <c r="H70" t="s">
        <v>294</v>
      </c>
      <c r="I70" t="s">
        <v>39</v>
      </c>
      <c r="J70">
        <v>2</v>
      </c>
      <c r="K70" t="s">
        <v>40</v>
      </c>
      <c r="L70" t="s">
        <v>41</v>
      </c>
      <c r="M70" t="s">
        <v>42</v>
      </c>
      <c r="N70" s="7">
        <v>1</v>
      </c>
      <c r="O70" s="8">
        <v>45100.408564814818</v>
      </c>
      <c r="P70" s="9">
        <v>45101</v>
      </c>
      <c r="Q70" t="s">
        <v>36</v>
      </c>
      <c r="R70" t="s">
        <v>43</v>
      </c>
      <c r="S70" t="s">
        <v>123</v>
      </c>
      <c r="T70" t="s">
        <v>45</v>
      </c>
      <c r="U70" t="s">
        <v>295</v>
      </c>
      <c r="V70">
        <v>40000</v>
      </c>
      <c r="W70" t="s">
        <v>43</v>
      </c>
      <c r="X70" t="s">
        <v>296</v>
      </c>
      <c r="Y70" t="s">
        <v>48</v>
      </c>
      <c r="Z70" s="10">
        <f t="shared" si="7"/>
        <v>7</v>
      </c>
      <c r="AA70" s="11">
        <v>0</v>
      </c>
      <c r="AB70" s="11">
        <v>0</v>
      </c>
      <c r="AC70" s="11">
        <v>0</v>
      </c>
      <c r="AD70" s="11">
        <v>0</v>
      </c>
      <c r="AE70" s="11">
        <f t="shared" si="8"/>
        <v>0.42</v>
      </c>
      <c r="AF70" s="11">
        <f t="shared" si="9"/>
        <v>7.42</v>
      </c>
      <c r="AG70" t="s">
        <v>43</v>
      </c>
    </row>
    <row r="71" spans="1:33" ht="15" customHeight="1" x14ac:dyDescent="0.35">
      <c r="A71">
        <v>690929</v>
      </c>
      <c r="B71" t="s">
        <v>33</v>
      </c>
      <c r="C71" t="s">
        <v>34</v>
      </c>
      <c r="D71" s="6" t="s">
        <v>33</v>
      </c>
      <c r="E71" t="s">
        <v>297</v>
      </c>
      <c r="F71" t="s">
        <v>36</v>
      </c>
      <c r="G71" t="s">
        <v>37</v>
      </c>
      <c r="H71" t="s">
        <v>298</v>
      </c>
      <c r="I71" t="s">
        <v>39</v>
      </c>
      <c r="J71">
        <v>2</v>
      </c>
      <c r="K71" t="s">
        <v>40</v>
      </c>
      <c r="L71" t="s">
        <v>41</v>
      </c>
      <c r="M71" t="s">
        <v>42</v>
      </c>
      <c r="N71" s="7">
        <v>1</v>
      </c>
      <c r="O71" s="8">
        <v>45100.410902777781</v>
      </c>
      <c r="P71" s="9">
        <v>45101</v>
      </c>
      <c r="Q71" t="s">
        <v>36</v>
      </c>
      <c r="R71" t="s">
        <v>43</v>
      </c>
      <c r="S71" t="s">
        <v>123</v>
      </c>
      <c r="T71" t="s">
        <v>62</v>
      </c>
      <c r="U71" t="s">
        <v>299</v>
      </c>
      <c r="V71">
        <v>20050</v>
      </c>
      <c r="W71" t="s">
        <v>43</v>
      </c>
      <c r="X71" t="s">
        <v>123</v>
      </c>
      <c r="Y71" t="s">
        <v>48</v>
      </c>
      <c r="Z71" s="10">
        <f t="shared" si="7"/>
        <v>7</v>
      </c>
      <c r="AA71" s="11">
        <v>0</v>
      </c>
      <c r="AB71" s="11">
        <v>0</v>
      </c>
      <c r="AC71" s="11">
        <v>0</v>
      </c>
      <c r="AD71" s="11">
        <v>0</v>
      </c>
      <c r="AE71" s="11">
        <f t="shared" si="8"/>
        <v>0.42</v>
      </c>
      <c r="AF71" s="11">
        <f t="shared" si="9"/>
        <v>7.42</v>
      </c>
      <c r="AG71" t="s">
        <v>43</v>
      </c>
    </row>
    <row r="72" spans="1:33" ht="15" customHeight="1" x14ac:dyDescent="0.35">
      <c r="A72">
        <v>690929</v>
      </c>
      <c r="B72" t="s">
        <v>33</v>
      </c>
      <c r="C72" t="s">
        <v>34</v>
      </c>
      <c r="D72" s="6" t="s">
        <v>33</v>
      </c>
      <c r="E72" t="s">
        <v>300</v>
      </c>
      <c r="F72" t="s">
        <v>36</v>
      </c>
      <c r="G72" t="s">
        <v>37</v>
      </c>
      <c r="H72" t="s">
        <v>301</v>
      </c>
      <c r="I72" t="s">
        <v>39</v>
      </c>
      <c r="J72">
        <v>2</v>
      </c>
      <c r="K72" t="s">
        <v>40</v>
      </c>
      <c r="L72" t="s">
        <v>41</v>
      </c>
      <c r="M72" t="s">
        <v>42</v>
      </c>
      <c r="N72" s="7">
        <v>1</v>
      </c>
      <c r="O72" s="8">
        <v>45100.489027777781</v>
      </c>
      <c r="P72" s="9">
        <v>45102</v>
      </c>
      <c r="Q72" t="s">
        <v>36</v>
      </c>
      <c r="R72" t="s">
        <v>43</v>
      </c>
      <c r="S72" t="s">
        <v>44</v>
      </c>
      <c r="T72" t="s">
        <v>45</v>
      </c>
      <c r="U72" t="s">
        <v>302</v>
      </c>
      <c r="V72">
        <v>54200</v>
      </c>
      <c r="W72" t="s">
        <v>43</v>
      </c>
      <c r="X72" t="s">
        <v>303</v>
      </c>
      <c r="Y72" t="s">
        <v>48</v>
      </c>
      <c r="Z72" s="10">
        <f t="shared" si="7"/>
        <v>7</v>
      </c>
      <c r="AA72" s="11">
        <v>0</v>
      </c>
      <c r="AB72" s="11">
        <v>0</v>
      </c>
      <c r="AC72" s="11">
        <v>0</v>
      </c>
      <c r="AD72" s="11">
        <v>0</v>
      </c>
      <c r="AE72" s="11">
        <f t="shared" si="8"/>
        <v>0.42</v>
      </c>
      <c r="AF72" s="11">
        <f t="shared" si="9"/>
        <v>7.42</v>
      </c>
      <c r="AG72" t="s">
        <v>43</v>
      </c>
    </row>
    <row r="73" spans="1:33" ht="15" customHeight="1" x14ac:dyDescent="0.35">
      <c r="A73">
        <v>690929</v>
      </c>
      <c r="B73" t="s">
        <v>33</v>
      </c>
      <c r="C73" t="s">
        <v>34</v>
      </c>
      <c r="D73" s="6" t="s">
        <v>33</v>
      </c>
      <c r="E73" t="s">
        <v>304</v>
      </c>
      <c r="F73" t="s">
        <v>36</v>
      </c>
      <c r="G73" t="s">
        <v>37</v>
      </c>
      <c r="H73" t="s">
        <v>305</v>
      </c>
      <c r="I73" t="s">
        <v>39</v>
      </c>
      <c r="J73">
        <v>2</v>
      </c>
      <c r="K73" t="s">
        <v>40</v>
      </c>
      <c r="L73" t="s">
        <v>41</v>
      </c>
      <c r="M73" t="s">
        <v>42</v>
      </c>
      <c r="N73" s="7">
        <v>1</v>
      </c>
      <c r="O73" s="8">
        <v>45100.408564814818</v>
      </c>
      <c r="P73" s="9">
        <v>45102</v>
      </c>
      <c r="Q73" t="s">
        <v>36</v>
      </c>
      <c r="R73" t="s">
        <v>43</v>
      </c>
      <c r="S73" t="s">
        <v>123</v>
      </c>
      <c r="T73" t="s">
        <v>167</v>
      </c>
      <c r="U73" t="s">
        <v>306</v>
      </c>
      <c r="V73">
        <v>14000</v>
      </c>
      <c r="W73" t="s">
        <v>43</v>
      </c>
      <c r="X73" t="s">
        <v>67</v>
      </c>
      <c r="Y73" t="s">
        <v>48</v>
      </c>
      <c r="Z73" s="10">
        <f t="shared" si="7"/>
        <v>7</v>
      </c>
      <c r="AA73" s="11">
        <v>0</v>
      </c>
      <c r="AB73" s="11">
        <v>0</v>
      </c>
      <c r="AC73" s="11">
        <v>0</v>
      </c>
      <c r="AD73" s="11">
        <v>0</v>
      </c>
      <c r="AE73" s="11">
        <f t="shared" si="8"/>
        <v>0.42</v>
      </c>
      <c r="AF73" s="11">
        <f t="shared" si="9"/>
        <v>7.42</v>
      </c>
      <c r="AG73" t="s">
        <v>43</v>
      </c>
    </row>
    <row r="74" spans="1:33" ht="15" customHeight="1" x14ac:dyDescent="0.35">
      <c r="A74">
        <v>690929</v>
      </c>
      <c r="B74" t="s">
        <v>33</v>
      </c>
      <c r="C74" t="s">
        <v>34</v>
      </c>
      <c r="D74" s="6" t="s">
        <v>33</v>
      </c>
      <c r="E74" t="s">
        <v>307</v>
      </c>
      <c r="F74" t="s">
        <v>36</v>
      </c>
      <c r="G74" t="s">
        <v>37</v>
      </c>
      <c r="H74" t="s">
        <v>308</v>
      </c>
      <c r="I74" t="s">
        <v>39</v>
      </c>
      <c r="J74">
        <v>2</v>
      </c>
      <c r="K74" t="s">
        <v>40</v>
      </c>
      <c r="L74" t="s">
        <v>41</v>
      </c>
      <c r="M74" t="s">
        <v>42</v>
      </c>
      <c r="N74" s="7">
        <v>1</v>
      </c>
      <c r="O74" s="8">
        <v>45101.424629629626</v>
      </c>
      <c r="P74" s="9">
        <v>45102</v>
      </c>
      <c r="Q74" t="s">
        <v>36</v>
      </c>
      <c r="R74" t="s">
        <v>43</v>
      </c>
      <c r="S74" t="s">
        <v>44</v>
      </c>
      <c r="T74" t="s">
        <v>106</v>
      </c>
      <c r="U74" t="s">
        <v>309</v>
      </c>
      <c r="V74">
        <v>25150</v>
      </c>
      <c r="W74" t="s">
        <v>43</v>
      </c>
      <c r="X74" t="s">
        <v>44</v>
      </c>
      <c r="Y74" t="s">
        <v>48</v>
      </c>
      <c r="Z74" s="10">
        <f t="shared" si="7"/>
        <v>7</v>
      </c>
      <c r="AA74" s="11">
        <v>0</v>
      </c>
      <c r="AB74" s="11">
        <v>0</v>
      </c>
      <c r="AC74" s="11">
        <v>0</v>
      </c>
      <c r="AD74" s="11">
        <v>0</v>
      </c>
      <c r="AE74" s="11">
        <f t="shared" si="8"/>
        <v>0.42</v>
      </c>
      <c r="AF74" s="11">
        <f t="shared" si="9"/>
        <v>7.42</v>
      </c>
      <c r="AG74" t="s">
        <v>43</v>
      </c>
    </row>
    <row r="75" spans="1:33" ht="15" customHeight="1" x14ac:dyDescent="0.35">
      <c r="A75">
        <v>690929</v>
      </c>
      <c r="B75" t="s">
        <v>33</v>
      </c>
      <c r="C75" t="s">
        <v>34</v>
      </c>
      <c r="D75" s="6" t="s">
        <v>33</v>
      </c>
      <c r="E75" t="s">
        <v>310</v>
      </c>
      <c r="F75" t="s">
        <v>36</v>
      </c>
      <c r="G75" t="s">
        <v>37</v>
      </c>
      <c r="H75" t="s">
        <v>311</v>
      </c>
      <c r="I75" t="s">
        <v>39</v>
      </c>
      <c r="J75">
        <v>2</v>
      </c>
      <c r="K75" t="s">
        <v>40</v>
      </c>
      <c r="L75" t="s">
        <v>41</v>
      </c>
      <c r="M75" t="s">
        <v>42</v>
      </c>
      <c r="N75" s="7">
        <v>1</v>
      </c>
      <c r="O75" s="8">
        <v>45100.408564814818</v>
      </c>
      <c r="P75" s="9">
        <v>45102</v>
      </c>
      <c r="Q75" t="s">
        <v>36</v>
      </c>
      <c r="R75" t="s">
        <v>43</v>
      </c>
      <c r="S75" t="s">
        <v>123</v>
      </c>
      <c r="T75" t="s">
        <v>92</v>
      </c>
      <c r="U75" t="s">
        <v>312</v>
      </c>
      <c r="V75">
        <v>90700</v>
      </c>
      <c r="W75" t="s">
        <v>94</v>
      </c>
      <c r="X75" t="s">
        <v>313</v>
      </c>
      <c r="Y75" t="s">
        <v>48</v>
      </c>
      <c r="Z75" s="12">
        <f>IF(N75&lt;=1,13,IF(N75&lt;=2,23,IF(N75&lt;=3,35,IF(N75&lt;=4,43,IF(N75&lt;=5,53,IF(N75&lt;=6,63,IF(N75&lt;=7,71,IF(N75&lt;=8,79,IF(N75&lt;=9,87,IF(N75&lt;=10,95,IF(N75&lt;=11,105,IF(N75&lt;=12,114,IF(N75&lt;=13,119,IF(N75&lt;=14,127,IF(N75&lt;=15,135,IF(N75&lt;=16,143,IF(N75&lt;=17,153,IF(N75&lt;=18,163,IF(N75&lt;=19,171,IF(N75&lt;=20,185,IF(N75&lt;=21,193,IF(N75&lt;=22,201,IF(N75&lt;=23,210,IF(N75&lt;=24,220,IF(N75&lt;=25,230,IF(N75&lt;=26,240,IF(N75&lt;=27,250,IF(N75&lt;=28,260,IF(N75&lt;=29,270,IF(N75&lt;=30,280,280+10*ROUNDUP(N75-30,0)))))))))))))))))))))))))))))))</f>
        <v>13</v>
      </c>
      <c r="AA75" s="11">
        <v>0</v>
      </c>
      <c r="AB75" s="11">
        <v>0</v>
      </c>
      <c r="AC75" s="11">
        <v>0</v>
      </c>
      <c r="AD75" s="11">
        <v>0</v>
      </c>
      <c r="AE75" s="11">
        <f t="shared" si="8"/>
        <v>0.78</v>
      </c>
      <c r="AF75" s="11">
        <f t="shared" si="9"/>
        <v>13.78</v>
      </c>
      <c r="AG75" t="s">
        <v>94</v>
      </c>
    </row>
    <row r="76" spans="1:33" ht="15" customHeight="1" x14ac:dyDescent="0.35">
      <c r="A76">
        <v>690929</v>
      </c>
      <c r="B76" t="s">
        <v>33</v>
      </c>
      <c r="C76" t="s">
        <v>34</v>
      </c>
      <c r="D76" s="6" t="s">
        <v>33</v>
      </c>
      <c r="E76" t="s">
        <v>314</v>
      </c>
      <c r="F76" t="s">
        <v>36</v>
      </c>
      <c r="G76" t="s">
        <v>37</v>
      </c>
      <c r="H76" t="s">
        <v>315</v>
      </c>
      <c r="I76" t="s">
        <v>39</v>
      </c>
      <c r="J76">
        <v>2</v>
      </c>
      <c r="K76" t="s">
        <v>40</v>
      </c>
      <c r="L76" t="s">
        <v>41</v>
      </c>
      <c r="M76" t="s">
        <v>42</v>
      </c>
      <c r="N76" s="7">
        <v>7</v>
      </c>
      <c r="O76" s="8">
        <v>45101.398831018516</v>
      </c>
      <c r="P76" s="9">
        <v>45103</v>
      </c>
      <c r="Q76" t="s">
        <v>36</v>
      </c>
      <c r="R76" t="s">
        <v>43</v>
      </c>
      <c r="S76" t="s">
        <v>44</v>
      </c>
      <c r="T76" t="s">
        <v>316</v>
      </c>
      <c r="U76" t="s">
        <v>317</v>
      </c>
      <c r="V76">
        <v>2400</v>
      </c>
      <c r="W76" t="s">
        <v>43</v>
      </c>
      <c r="X76" t="s">
        <v>318</v>
      </c>
      <c r="Y76" t="s">
        <v>48</v>
      </c>
      <c r="Z76" s="10">
        <f t="shared" ref="Z76:Z79" si="10">IF(N76&lt;=1,7,7+0.8*ROUNDUP(N76-1,0))</f>
        <v>11.8</v>
      </c>
      <c r="AA76" s="11">
        <v>0</v>
      </c>
      <c r="AB76" s="11">
        <v>0</v>
      </c>
      <c r="AC76" s="11">
        <v>0</v>
      </c>
      <c r="AD76" s="11">
        <v>0</v>
      </c>
      <c r="AE76" s="11">
        <f t="shared" si="8"/>
        <v>0.70799999999999996</v>
      </c>
      <c r="AF76" s="11">
        <f t="shared" si="9"/>
        <v>12.508000000000001</v>
      </c>
      <c r="AG76" t="s">
        <v>43</v>
      </c>
    </row>
    <row r="77" spans="1:33" ht="15" customHeight="1" x14ac:dyDescent="0.35">
      <c r="A77">
        <v>690929</v>
      </c>
      <c r="B77" t="s">
        <v>33</v>
      </c>
      <c r="C77" t="s">
        <v>34</v>
      </c>
      <c r="D77" s="6" t="s">
        <v>33</v>
      </c>
      <c r="E77" t="s">
        <v>319</v>
      </c>
      <c r="F77" t="s">
        <v>36</v>
      </c>
      <c r="G77" t="s">
        <v>37</v>
      </c>
      <c r="H77" t="s">
        <v>320</v>
      </c>
      <c r="I77" t="s">
        <v>39</v>
      </c>
      <c r="J77">
        <v>2</v>
      </c>
      <c r="K77" t="s">
        <v>40</v>
      </c>
      <c r="L77" t="s">
        <v>41</v>
      </c>
      <c r="M77" t="s">
        <v>42</v>
      </c>
      <c r="N77" s="7">
        <v>1</v>
      </c>
      <c r="O77" s="8">
        <v>45101.646481481483</v>
      </c>
      <c r="P77" s="9">
        <v>45103</v>
      </c>
      <c r="Q77" t="s">
        <v>36</v>
      </c>
      <c r="R77" t="s">
        <v>43</v>
      </c>
      <c r="S77" t="s">
        <v>44</v>
      </c>
      <c r="T77" t="s">
        <v>45</v>
      </c>
      <c r="U77" t="s">
        <v>321</v>
      </c>
      <c r="V77">
        <v>41200</v>
      </c>
      <c r="W77" t="s">
        <v>43</v>
      </c>
      <c r="X77" t="s">
        <v>296</v>
      </c>
      <c r="Y77" t="s">
        <v>48</v>
      </c>
      <c r="Z77" s="10">
        <f t="shared" si="10"/>
        <v>7</v>
      </c>
      <c r="AA77" s="11">
        <v>0</v>
      </c>
      <c r="AB77" s="11">
        <v>0</v>
      </c>
      <c r="AC77" s="11">
        <v>0</v>
      </c>
      <c r="AD77" s="11">
        <v>0</v>
      </c>
      <c r="AE77" s="11">
        <f t="shared" si="8"/>
        <v>0.42</v>
      </c>
      <c r="AF77" s="11">
        <f t="shared" si="9"/>
        <v>7.42</v>
      </c>
      <c r="AG77" t="s">
        <v>43</v>
      </c>
    </row>
    <row r="78" spans="1:33" ht="15" customHeight="1" x14ac:dyDescent="0.35">
      <c r="A78">
        <v>690929</v>
      </c>
      <c r="B78" t="s">
        <v>33</v>
      </c>
      <c r="C78" t="s">
        <v>34</v>
      </c>
      <c r="D78" s="6" t="s">
        <v>33</v>
      </c>
      <c r="E78" t="s">
        <v>322</v>
      </c>
      <c r="F78" t="s">
        <v>36</v>
      </c>
      <c r="G78" t="s">
        <v>37</v>
      </c>
      <c r="H78" t="s">
        <v>323</v>
      </c>
      <c r="I78" t="s">
        <v>39</v>
      </c>
      <c r="J78">
        <v>2</v>
      </c>
      <c r="K78" t="s">
        <v>40</v>
      </c>
      <c r="L78" t="s">
        <v>41</v>
      </c>
      <c r="M78" t="s">
        <v>42</v>
      </c>
      <c r="N78" s="7">
        <v>1</v>
      </c>
      <c r="O78" s="8">
        <v>45102.597905092596</v>
      </c>
      <c r="P78" s="9">
        <v>45103</v>
      </c>
      <c r="Q78" t="s">
        <v>36</v>
      </c>
      <c r="R78" t="s">
        <v>43</v>
      </c>
      <c r="S78" t="s">
        <v>44</v>
      </c>
      <c r="T78" t="s">
        <v>74</v>
      </c>
      <c r="U78" t="s">
        <v>324</v>
      </c>
      <c r="V78">
        <v>57000</v>
      </c>
      <c r="W78" t="s">
        <v>43</v>
      </c>
      <c r="X78" t="s">
        <v>325</v>
      </c>
      <c r="Y78" t="s">
        <v>48</v>
      </c>
      <c r="Z78" s="10">
        <f t="shared" si="10"/>
        <v>7</v>
      </c>
      <c r="AA78" s="11">
        <v>0</v>
      </c>
      <c r="AB78" s="11">
        <v>0</v>
      </c>
      <c r="AC78" s="11">
        <v>0</v>
      </c>
      <c r="AD78" s="11">
        <v>0</v>
      </c>
      <c r="AE78" s="11">
        <f t="shared" si="8"/>
        <v>0.42</v>
      </c>
      <c r="AF78" s="11">
        <f t="shared" si="9"/>
        <v>7.42</v>
      </c>
      <c r="AG78" t="s">
        <v>43</v>
      </c>
    </row>
    <row r="79" spans="1:33" ht="15" customHeight="1" x14ac:dyDescent="0.35">
      <c r="A79">
        <v>690929</v>
      </c>
      <c r="B79" t="s">
        <v>33</v>
      </c>
      <c r="C79" t="s">
        <v>34</v>
      </c>
      <c r="D79" s="6" t="s">
        <v>33</v>
      </c>
      <c r="E79" t="s">
        <v>326</v>
      </c>
      <c r="F79" t="s">
        <v>36</v>
      </c>
      <c r="G79" t="s">
        <v>37</v>
      </c>
      <c r="H79" t="s">
        <v>327</v>
      </c>
      <c r="I79" t="s">
        <v>39</v>
      </c>
      <c r="J79">
        <v>2</v>
      </c>
      <c r="K79" t="s">
        <v>40</v>
      </c>
      <c r="L79" t="s">
        <v>41</v>
      </c>
      <c r="M79" t="s">
        <v>42</v>
      </c>
      <c r="N79" s="7">
        <v>1</v>
      </c>
      <c r="O79" s="8">
        <v>45099.734537037039</v>
      </c>
      <c r="P79" s="9">
        <v>45103</v>
      </c>
      <c r="Q79" t="s">
        <v>36</v>
      </c>
      <c r="R79" t="s">
        <v>43</v>
      </c>
      <c r="S79" t="s">
        <v>123</v>
      </c>
      <c r="T79" t="s">
        <v>74</v>
      </c>
      <c r="U79" t="s">
        <v>328</v>
      </c>
      <c r="V79">
        <v>50050</v>
      </c>
      <c r="W79" t="s">
        <v>43</v>
      </c>
      <c r="X79" t="s">
        <v>67</v>
      </c>
      <c r="Y79" t="s">
        <v>48</v>
      </c>
      <c r="Z79" s="10">
        <f t="shared" si="10"/>
        <v>7</v>
      </c>
      <c r="AA79" s="11">
        <v>0</v>
      </c>
      <c r="AB79" s="11">
        <v>0</v>
      </c>
      <c r="AC79" s="11">
        <v>0</v>
      </c>
      <c r="AD79" s="11">
        <v>0</v>
      </c>
      <c r="AE79" s="11">
        <f t="shared" si="8"/>
        <v>0.42</v>
      </c>
      <c r="AF79" s="11">
        <f t="shared" si="9"/>
        <v>7.42</v>
      </c>
      <c r="AG79" t="s">
        <v>43</v>
      </c>
    </row>
    <row r="80" spans="1:33" ht="15" customHeight="1" x14ac:dyDescent="0.35">
      <c r="A80">
        <v>690929</v>
      </c>
      <c r="B80" t="s">
        <v>33</v>
      </c>
      <c r="C80" t="s">
        <v>34</v>
      </c>
      <c r="D80" s="6" t="s">
        <v>33</v>
      </c>
      <c r="E80" t="s">
        <v>329</v>
      </c>
      <c r="F80" t="s">
        <v>36</v>
      </c>
      <c r="G80" t="s">
        <v>37</v>
      </c>
      <c r="H80" t="s">
        <v>330</v>
      </c>
      <c r="I80" t="s">
        <v>39</v>
      </c>
      <c r="J80">
        <v>2</v>
      </c>
      <c r="K80" t="s">
        <v>40</v>
      </c>
      <c r="L80" t="s">
        <v>41</v>
      </c>
      <c r="M80" t="s">
        <v>42</v>
      </c>
      <c r="N80" s="7">
        <v>1</v>
      </c>
      <c r="O80" s="8">
        <v>45102.668749999997</v>
      </c>
      <c r="P80" s="9">
        <v>45103</v>
      </c>
      <c r="Q80" t="s">
        <v>36</v>
      </c>
      <c r="R80" t="s">
        <v>43</v>
      </c>
      <c r="S80" t="s">
        <v>44</v>
      </c>
      <c r="T80" t="s">
        <v>106</v>
      </c>
      <c r="U80" t="s">
        <v>331</v>
      </c>
      <c r="V80">
        <v>27300</v>
      </c>
      <c r="W80" t="s">
        <v>43</v>
      </c>
      <c r="X80" t="s">
        <v>44</v>
      </c>
      <c r="Y80" t="s">
        <v>48</v>
      </c>
      <c r="Z80" s="10">
        <f>IF(N80&lt;=1,7,7+0.8*ROUNDUP(N80-1,0))</f>
        <v>7</v>
      </c>
      <c r="AA80" s="11">
        <v>0</v>
      </c>
      <c r="AB80" s="11">
        <v>0</v>
      </c>
      <c r="AC80" s="11">
        <v>0</v>
      </c>
      <c r="AD80" s="11">
        <v>0</v>
      </c>
      <c r="AE80" s="11">
        <f t="shared" si="8"/>
        <v>0.42</v>
      </c>
      <c r="AF80" s="11">
        <f t="shared" si="9"/>
        <v>7.42</v>
      </c>
      <c r="AG80" t="s">
        <v>43</v>
      </c>
    </row>
    <row r="81" spans="1:33" ht="15" customHeight="1" x14ac:dyDescent="0.35">
      <c r="A81">
        <v>690929</v>
      </c>
      <c r="B81" t="s">
        <v>33</v>
      </c>
      <c r="C81" t="s">
        <v>34</v>
      </c>
      <c r="D81" s="6" t="s">
        <v>33</v>
      </c>
      <c r="E81" t="s">
        <v>332</v>
      </c>
      <c r="F81" t="s">
        <v>36</v>
      </c>
      <c r="G81" t="s">
        <v>37</v>
      </c>
      <c r="H81" t="s">
        <v>333</v>
      </c>
      <c r="I81" t="s">
        <v>39</v>
      </c>
      <c r="J81">
        <v>2</v>
      </c>
      <c r="K81" t="s">
        <v>40</v>
      </c>
      <c r="L81" t="s">
        <v>41</v>
      </c>
      <c r="M81" t="s">
        <v>42</v>
      </c>
      <c r="N81" s="7">
        <v>1</v>
      </c>
      <c r="O81" s="8">
        <v>45101.743703703702</v>
      </c>
      <c r="P81" s="9">
        <v>45103</v>
      </c>
      <c r="Q81" t="s">
        <v>36</v>
      </c>
      <c r="R81" t="s">
        <v>43</v>
      </c>
      <c r="S81" t="s">
        <v>44</v>
      </c>
      <c r="T81" t="s">
        <v>316</v>
      </c>
      <c r="U81" t="s">
        <v>334</v>
      </c>
      <c r="V81">
        <v>1000</v>
      </c>
      <c r="W81" t="s">
        <v>43</v>
      </c>
      <c r="X81" t="s">
        <v>335</v>
      </c>
      <c r="Y81" t="s">
        <v>48</v>
      </c>
      <c r="Z81" s="10">
        <f>IF(N81&lt;=1,7,7+0.8*ROUNDUP(N81-1,0))</f>
        <v>7</v>
      </c>
      <c r="AA81" s="11">
        <v>0</v>
      </c>
      <c r="AB81" s="11">
        <v>0</v>
      </c>
      <c r="AC81" s="11">
        <v>0</v>
      </c>
      <c r="AD81" s="11">
        <v>0</v>
      </c>
      <c r="AE81" s="11">
        <f t="shared" si="8"/>
        <v>0.42</v>
      </c>
      <c r="AF81" s="11">
        <f t="shared" si="9"/>
        <v>7.42</v>
      </c>
      <c r="AG81" t="s">
        <v>43</v>
      </c>
    </row>
    <row r="82" spans="1:33" ht="15" customHeight="1" x14ac:dyDescent="0.35">
      <c r="A82">
        <v>690929</v>
      </c>
      <c r="B82" t="s">
        <v>33</v>
      </c>
      <c r="C82" t="s">
        <v>34</v>
      </c>
      <c r="D82" s="6" t="s">
        <v>33</v>
      </c>
      <c r="E82" t="s">
        <v>336</v>
      </c>
      <c r="F82" t="s">
        <v>36</v>
      </c>
      <c r="G82" t="s">
        <v>37</v>
      </c>
      <c r="H82" t="s">
        <v>337</v>
      </c>
      <c r="I82" t="s">
        <v>39</v>
      </c>
      <c r="J82">
        <v>2</v>
      </c>
      <c r="K82" t="s">
        <v>40</v>
      </c>
      <c r="L82" t="s">
        <v>41</v>
      </c>
      <c r="M82" t="s">
        <v>42</v>
      </c>
      <c r="N82" s="7">
        <v>1</v>
      </c>
      <c r="O82" s="8">
        <v>45101.743703703702</v>
      </c>
      <c r="P82" s="9">
        <v>45103</v>
      </c>
      <c r="Q82" t="s">
        <v>36</v>
      </c>
      <c r="R82" t="s">
        <v>43</v>
      </c>
      <c r="S82" t="s">
        <v>44</v>
      </c>
      <c r="T82" t="s">
        <v>124</v>
      </c>
      <c r="U82" t="s">
        <v>338</v>
      </c>
      <c r="V82">
        <v>31300</v>
      </c>
      <c r="W82" t="s">
        <v>43</v>
      </c>
      <c r="X82" t="s">
        <v>339</v>
      </c>
      <c r="Y82" t="s">
        <v>48</v>
      </c>
      <c r="Z82" s="10">
        <f t="shared" ref="Z82:Z92" si="11">IF(N82&lt;=1,7,7+0.8*ROUNDUP(N82-1,0))</f>
        <v>7</v>
      </c>
      <c r="AA82" s="11">
        <v>0</v>
      </c>
      <c r="AB82" s="11">
        <v>0</v>
      </c>
      <c r="AC82" s="11">
        <v>0</v>
      </c>
      <c r="AD82" s="11">
        <v>0</v>
      </c>
      <c r="AE82" s="11">
        <f t="shared" si="8"/>
        <v>0.42</v>
      </c>
      <c r="AF82" s="11">
        <f t="shared" si="9"/>
        <v>7.42</v>
      </c>
      <c r="AG82" t="s">
        <v>43</v>
      </c>
    </row>
    <row r="83" spans="1:33" ht="15" customHeight="1" x14ac:dyDescent="0.35">
      <c r="A83">
        <v>690929</v>
      </c>
      <c r="B83" t="s">
        <v>33</v>
      </c>
      <c r="C83" t="s">
        <v>34</v>
      </c>
      <c r="D83" s="6" t="s">
        <v>33</v>
      </c>
      <c r="E83" t="s">
        <v>340</v>
      </c>
      <c r="F83" t="s">
        <v>36</v>
      </c>
      <c r="G83" t="s">
        <v>37</v>
      </c>
      <c r="H83" t="s">
        <v>341</v>
      </c>
      <c r="I83" t="s">
        <v>39</v>
      </c>
      <c r="J83">
        <v>2</v>
      </c>
      <c r="K83" t="s">
        <v>40</v>
      </c>
      <c r="L83" t="s">
        <v>41</v>
      </c>
      <c r="M83" t="s">
        <v>42</v>
      </c>
      <c r="N83" s="7">
        <v>1</v>
      </c>
      <c r="O83" s="8">
        <v>45100.408564814818</v>
      </c>
      <c r="P83" s="9">
        <v>45103</v>
      </c>
      <c r="Q83" t="s">
        <v>36</v>
      </c>
      <c r="R83" t="s">
        <v>43</v>
      </c>
      <c r="S83" t="s">
        <v>123</v>
      </c>
      <c r="T83" t="s">
        <v>45</v>
      </c>
      <c r="U83" t="s">
        <v>342</v>
      </c>
      <c r="V83">
        <v>40300</v>
      </c>
      <c r="W83" t="s">
        <v>43</v>
      </c>
      <c r="X83" t="s">
        <v>343</v>
      </c>
      <c r="Y83" t="s">
        <v>48</v>
      </c>
      <c r="Z83" s="10">
        <f t="shared" si="11"/>
        <v>7</v>
      </c>
      <c r="AA83" s="11">
        <v>0</v>
      </c>
      <c r="AB83" s="11">
        <v>0</v>
      </c>
      <c r="AC83" s="11">
        <v>0</v>
      </c>
      <c r="AD83" s="11">
        <v>0</v>
      </c>
      <c r="AE83" s="11">
        <f t="shared" si="8"/>
        <v>0.42</v>
      </c>
      <c r="AF83" s="11">
        <f t="shared" si="9"/>
        <v>7.42</v>
      </c>
      <c r="AG83" t="s">
        <v>43</v>
      </c>
    </row>
    <row r="84" spans="1:33" ht="15" customHeight="1" x14ac:dyDescent="0.35">
      <c r="A84">
        <v>690929</v>
      </c>
      <c r="B84" t="s">
        <v>33</v>
      </c>
      <c r="C84" t="s">
        <v>34</v>
      </c>
      <c r="D84" s="6" t="s">
        <v>33</v>
      </c>
      <c r="E84" t="s">
        <v>344</v>
      </c>
      <c r="F84" t="s">
        <v>36</v>
      </c>
      <c r="G84" t="s">
        <v>37</v>
      </c>
      <c r="H84" t="s">
        <v>345</v>
      </c>
      <c r="I84" t="s">
        <v>39</v>
      </c>
      <c r="J84">
        <v>2</v>
      </c>
      <c r="K84" t="s">
        <v>40</v>
      </c>
      <c r="L84" t="s">
        <v>41</v>
      </c>
      <c r="M84" t="s">
        <v>42</v>
      </c>
      <c r="N84" s="7">
        <v>6</v>
      </c>
      <c r="O84" s="8">
        <v>45102.667268518519</v>
      </c>
      <c r="P84" s="9">
        <v>45103</v>
      </c>
      <c r="Q84" t="s">
        <v>36</v>
      </c>
      <c r="R84" t="s">
        <v>43</v>
      </c>
      <c r="S84" t="s">
        <v>44</v>
      </c>
      <c r="T84" t="s">
        <v>74</v>
      </c>
      <c r="U84" t="s">
        <v>346</v>
      </c>
      <c r="V84">
        <v>56000</v>
      </c>
      <c r="W84" t="s">
        <v>43</v>
      </c>
      <c r="X84" t="s">
        <v>325</v>
      </c>
      <c r="Y84" t="s">
        <v>48</v>
      </c>
      <c r="Z84" s="10">
        <f t="shared" si="11"/>
        <v>11</v>
      </c>
      <c r="AA84" s="11">
        <v>0</v>
      </c>
      <c r="AB84" s="11">
        <v>0</v>
      </c>
      <c r="AC84" s="11">
        <v>0</v>
      </c>
      <c r="AD84" s="11">
        <v>0</v>
      </c>
      <c r="AE84" s="11">
        <f t="shared" si="8"/>
        <v>0.65999999999999992</v>
      </c>
      <c r="AF84" s="11">
        <f t="shared" si="9"/>
        <v>11.66</v>
      </c>
      <c r="AG84" t="s">
        <v>43</v>
      </c>
    </row>
    <row r="85" spans="1:33" ht="15" customHeight="1" x14ac:dyDescent="0.35">
      <c r="A85">
        <v>690929</v>
      </c>
      <c r="B85" t="s">
        <v>33</v>
      </c>
      <c r="C85" t="s">
        <v>34</v>
      </c>
      <c r="D85" s="6" t="s">
        <v>33</v>
      </c>
      <c r="E85" t="s">
        <v>347</v>
      </c>
      <c r="F85" t="s">
        <v>36</v>
      </c>
      <c r="G85" t="s">
        <v>37</v>
      </c>
      <c r="H85" t="s">
        <v>348</v>
      </c>
      <c r="I85" t="s">
        <v>39</v>
      </c>
      <c r="J85">
        <v>2</v>
      </c>
      <c r="K85" t="s">
        <v>40</v>
      </c>
      <c r="L85" t="s">
        <v>41</v>
      </c>
      <c r="M85" t="s">
        <v>42</v>
      </c>
      <c r="N85" s="7">
        <v>1</v>
      </c>
      <c r="O85" s="8">
        <v>45102.599166666667</v>
      </c>
      <c r="P85" s="9">
        <v>45103</v>
      </c>
      <c r="Q85" t="s">
        <v>36</v>
      </c>
      <c r="R85" t="s">
        <v>43</v>
      </c>
      <c r="S85" t="s">
        <v>44</v>
      </c>
      <c r="T85" t="s">
        <v>62</v>
      </c>
      <c r="U85" t="s">
        <v>349</v>
      </c>
      <c r="V85">
        <v>22110</v>
      </c>
      <c r="W85" t="s">
        <v>43</v>
      </c>
      <c r="X85" t="s">
        <v>44</v>
      </c>
      <c r="Y85" t="s">
        <v>48</v>
      </c>
      <c r="Z85" s="10">
        <f t="shared" si="11"/>
        <v>7</v>
      </c>
      <c r="AA85" s="11">
        <v>0</v>
      </c>
      <c r="AB85" s="11">
        <v>0</v>
      </c>
      <c r="AC85" s="11">
        <v>0</v>
      </c>
      <c r="AD85" s="11">
        <v>0</v>
      </c>
      <c r="AE85" s="11">
        <f t="shared" si="8"/>
        <v>0.42</v>
      </c>
      <c r="AF85" s="11">
        <f t="shared" si="9"/>
        <v>7.42</v>
      </c>
      <c r="AG85" t="s">
        <v>43</v>
      </c>
    </row>
    <row r="86" spans="1:33" ht="15" customHeight="1" x14ac:dyDescent="0.35">
      <c r="A86">
        <v>690929</v>
      </c>
      <c r="B86" t="s">
        <v>33</v>
      </c>
      <c r="C86" t="s">
        <v>34</v>
      </c>
      <c r="D86" s="6" t="s">
        <v>33</v>
      </c>
      <c r="E86" t="s">
        <v>350</v>
      </c>
      <c r="F86" t="s">
        <v>36</v>
      </c>
      <c r="G86" t="s">
        <v>37</v>
      </c>
      <c r="H86" t="s">
        <v>351</v>
      </c>
      <c r="I86" t="s">
        <v>39</v>
      </c>
      <c r="J86">
        <v>2</v>
      </c>
      <c r="K86" t="s">
        <v>40</v>
      </c>
      <c r="L86" t="s">
        <v>41</v>
      </c>
      <c r="M86" t="s">
        <v>42</v>
      </c>
      <c r="N86" s="7">
        <v>3</v>
      </c>
      <c r="O86" s="8">
        <v>45101.512291666666</v>
      </c>
      <c r="P86" s="9">
        <v>45103</v>
      </c>
      <c r="Q86" t="s">
        <v>36</v>
      </c>
      <c r="R86" t="s">
        <v>43</v>
      </c>
      <c r="S86" t="s">
        <v>44</v>
      </c>
      <c r="T86" t="s">
        <v>45</v>
      </c>
      <c r="U86" t="s">
        <v>352</v>
      </c>
      <c r="V86">
        <v>53100</v>
      </c>
      <c r="W86" t="s">
        <v>43</v>
      </c>
      <c r="X86" t="s">
        <v>353</v>
      </c>
      <c r="Y86" t="s">
        <v>48</v>
      </c>
      <c r="Z86" s="10">
        <f t="shared" si="11"/>
        <v>8.6</v>
      </c>
      <c r="AA86" s="11">
        <v>0</v>
      </c>
      <c r="AB86" s="11">
        <v>0</v>
      </c>
      <c r="AC86" s="11">
        <v>0</v>
      </c>
      <c r="AD86" s="11">
        <v>0</v>
      </c>
      <c r="AE86" s="11">
        <f t="shared" si="8"/>
        <v>0.51600000000000001</v>
      </c>
      <c r="AF86" s="11">
        <f t="shared" si="9"/>
        <v>9.1159999999999997</v>
      </c>
      <c r="AG86" t="s">
        <v>43</v>
      </c>
    </row>
    <row r="87" spans="1:33" ht="15" customHeight="1" x14ac:dyDescent="0.35">
      <c r="A87">
        <v>690929</v>
      </c>
      <c r="B87" t="s">
        <v>33</v>
      </c>
      <c r="C87" t="s">
        <v>34</v>
      </c>
      <c r="D87" s="6" t="s">
        <v>33</v>
      </c>
      <c r="E87" t="s">
        <v>354</v>
      </c>
      <c r="F87" t="s">
        <v>36</v>
      </c>
      <c r="G87" t="s">
        <v>37</v>
      </c>
      <c r="H87" t="s">
        <v>355</v>
      </c>
      <c r="I87" t="s">
        <v>39</v>
      </c>
      <c r="J87">
        <v>2</v>
      </c>
      <c r="K87" t="s">
        <v>40</v>
      </c>
      <c r="L87" t="s">
        <v>41</v>
      </c>
      <c r="M87" t="s">
        <v>42</v>
      </c>
      <c r="N87" s="7">
        <v>1</v>
      </c>
      <c r="O87" s="8">
        <v>45101.508472222224</v>
      </c>
      <c r="P87" s="9">
        <v>45103</v>
      </c>
      <c r="Q87" t="s">
        <v>36</v>
      </c>
      <c r="R87" t="s">
        <v>43</v>
      </c>
      <c r="S87" t="s">
        <v>44</v>
      </c>
      <c r="T87" t="s">
        <v>128</v>
      </c>
      <c r="U87" t="s">
        <v>356</v>
      </c>
      <c r="V87">
        <v>81750</v>
      </c>
      <c r="W87" t="s">
        <v>43</v>
      </c>
      <c r="X87" t="s">
        <v>357</v>
      </c>
      <c r="Y87" t="s">
        <v>48</v>
      </c>
      <c r="Z87" s="10">
        <f t="shared" si="11"/>
        <v>7</v>
      </c>
      <c r="AA87" s="11">
        <v>0</v>
      </c>
      <c r="AB87" s="11">
        <v>0</v>
      </c>
      <c r="AC87" s="11">
        <v>0</v>
      </c>
      <c r="AD87" s="11">
        <v>0</v>
      </c>
      <c r="AE87" s="11">
        <f t="shared" si="8"/>
        <v>0.42</v>
      </c>
      <c r="AF87" s="11">
        <f t="shared" si="9"/>
        <v>7.42</v>
      </c>
      <c r="AG87" t="s">
        <v>43</v>
      </c>
    </row>
    <row r="88" spans="1:33" ht="15" customHeight="1" x14ac:dyDescent="0.35">
      <c r="A88">
        <v>690929</v>
      </c>
      <c r="B88" t="s">
        <v>33</v>
      </c>
      <c r="C88" t="s">
        <v>34</v>
      </c>
      <c r="D88" s="6" t="s">
        <v>33</v>
      </c>
      <c r="E88" t="s">
        <v>358</v>
      </c>
      <c r="F88" t="s">
        <v>36</v>
      </c>
      <c r="G88" t="s">
        <v>37</v>
      </c>
      <c r="H88" t="s">
        <v>359</v>
      </c>
      <c r="I88" t="s">
        <v>39</v>
      </c>
      <c r="J88">
        <v>2</v>
      </c>
      <c r="K88" t="s">
        <v>40</v>
      </c>
      <c r="L88" t="s">
        <v>41</v>
      </c>
      <c r="M88" t="s">
        <v>42</v>
      </c>
      <c r="N88" s="7">
        <v>2</v>
      </c>
      <c r="O88" s="8">
        <v>45102.541909722226</v>
      </c>
      <c r="P88" s="9">
        <v>45103</v>
      </c>
      <c r="Q88" t="s">
        <v>36</v>
      </c>
      <c r="R88" t="s">
        <v>43</v>
      </c>
      <c r="S88" t="s">
        <v>44</v>
      </c>
      <c r="T88" t="s">
        <v>45</v>
      </c>
      <c r="U88" t="s">
        <v>360</v>
      </c>
      <c r="V88">
        <v>47000</v>
      </c>
      <c r="W88" t="s">
        <v>43</v>
      </c>
      <c r="X88" t="s">
        <v>47</v>
      </c>
      <c r="Y88" t="s">
        <v>48</v>
      </c>
      <c r="Z88" s="10">
        <f t="shared" si="11"/>
        <v>7.8</v>
      </c>
      <c r="AA88" s="11">
        <v>0</v>
      </c>
      <c r="AB88" s="11">
        <v>0</v>
      </c>
      <c r="AC88" s="11">
        <v>0</v>
      </c>
      <c r="AD88" s="11">
        <v>0</v>
      </c>
      <c r="AE88" s="11">
        <f t="shared" si="8"/>
        <v>0.46799999999999997</v>
      </c>
      <c r="AF88" s="11">
        <f t="shared" si="9"/>
        <v>8.2680000000000007</v>
      </c>
      <c r="AG88" t="s">
        <v>43</v>
      </c>
    </row>
    <row r="89" spans="1:33" ht="15" customHeight="1" x14ac:dyDescent="0.35">
      <c r="A89">
        <v>690929</v>
      </c>
      <c r="B89" t="s">
        <v>33</v>
      </c>
      <c r="C89" t="s">
        <v>34</v>
      </c>
      <c r="D89" s="6" t="s">
        <v>33</v>
      </c>
      <c r="E89" t="s">
        <v>361</v>
      </c>
      <c r="F89" t="s">
        <v>36</v>
      </c>
      <c r="G89" t="s">
        <v>37</v>
      </c>
      <c r="H89" t="s">
        <v>362</v>
      </c>
      <c r="I89" t="s">
        <v>39</v>
      </c>
      <c r="J89">
        <v>2</v>
      </c>
      <c r="K89" t="s">
        <v>40</v>
      </c>
      <c r="L89" t="s">
        <v>41</v>
      </c>
      <c r="M89" t="s">
        <v>42</v>
      </c>
      <c r="N89" s="7">
        <v>1</v>
      </c>
      <c r="O89" s="8">
        <v>45101.743703703702</v>
      </c>
      <c r="P89" s="9">
        <v>45103</v>
      </c>
      <c r="Q89" t="s">
        <v>36</v>
      </c>
      <c r="R89" t="s">
        <v>43</v>
      </c>
      <c r="S89" t="s">
        <v>44</v>
      </c>
      <c r="T89" t="s">
        <v>45</v>
      </c>
      <c r="U89" t="s">
        <v>363</v>
      </c>
      <c r="V89">
        <v>43400</v>
      </c>
      <c r="W89" t="s">
        <v>43</v>
      </c>
      <c r="X89" t="s">
        <v>364</v>
      </c>
      <c r="Y89" t="s">
        <v>48</v>
      </c>
      <c r="Z89" s="10">
        <f t="shared" si="11"/>
        <v>7</v>
      </c>
      <c r="AA89" s="11">
        <v>0</v>
      </c>
      <c r="AB89" s="11">
        <v>0</v>
      </c>
      <c r="AC89" s="11">
        <v>0</v>
      </c>
      <c r="AD89" s="11">
        <v>0</v>
      </c>
      <c r="AE89" s="11">
        <f t="shared" si="8"/>
        <v>0.42</v>
      </c>
      <c r="AF89" s="11">
        <f t="shared" si="9"/>
        <v>7.42</v>
      </c>
      <c r="AG89" t="s">
        <v>43</v>
      </c>
    </row>
    <row r="90" spans="1:33" ht="15" customHeight="1" x14ac:dyDescent="0.35">
      <c r="A90">
        <v>690929</v>
      </c>
      <c r="B90" t="s">
        <v>33</v>
      </c>
      <c r="C90" t="s">
        <v>34</v>
      </c>
      <c r="D90" s="6" t="s">
        <v>33</v>
      </c>
      <c r="E90" t="s">
        <v>365</v>
      </c>
      <c r="F90" t="s">
        <v>36</v>
      </c>
      <c r="G90" t="s">
        <v>37</v>
      </c>
      <c r="H90" t="s">
        <v>366</v>
      </c>
      <c r="I90" t="s">
        <v>39</v>
      </c>
      <c r="J90">
        <v>2</v>
      </c>
      <c r="K90" t="s">
        <v>40</v>
      </c>
      <c r="L90" t="s">
        <v>41</v>
      </c>
      <c r="M90" t="s">
        <v>42</v>
      </c>
      <c r="N90" s="7">
        <v>1</v>
      </c>
      <c r="O90" s="8">
        <v>45102.636932870373</v>
      </c>
      <c r="P90" s="9">
        <v>45103</v>
      </c>
      <c r="Q90" t="s">
        <v>36</v>
      </c>
      <c r="R90" t="s">
        <v>43</v>
      </c>
      <c r="S90" t="s">
        <v>44</v>
      </c>
      <c r="T90" t="s">
        <v>74</v>
      </c>
      <c r="U90" t="s">
        <v>367</v>
      </c>
      <c r="V90">
        <v>51100</v>
      </c>
      <c r="W90" t="s">
        <v>43</v>
      </c>
      <c r="X90" t="s">
        <v>353</v>
      </c>
      <c r="Y90" t="s">
        <v>48</v>
      </c>
      <c r="Z90" s="10">
        <f t="shared" si="11"/>
        <v>7</v>
      </c>
      <c r="AA90" s="11">
        <v>0</v>
      </c>
      <c r="AB90" s="11">
        <v>0</v>
      </c>
      <c r="AC90" s="11">
        <v>0</v>
      </c>
      <c r="AD90" s="11">
        <v>0</v>
      </c>
      <c r="AE90" s="11">
        <f t="shared" si="8"/>
        <v>0.42</v>
      </c>
      <c r="AF90" s="11">
        <f t="shared" si="9"/>
        <v>7.42</v>
      </c>
      <c r="AG90" t="s">
        <v>43</v>
      </c>
    </row>
    <row r="91" spans="1:33" ht="15" customHeight="1" x14ac:dyDescent="0.35">
      <c r="A91">
        <v>690929</v>
      </c>
      <c r="B91" t="s">
        <v>33</v>
      </c>
      <c r="C91" t="s">
        <v>34</v>
      </c>
      <c r="D91" s="6" t="s">
        <v>33</v>
      </c>
      <c r="E91" t="s">
        <v>368</v>
      </c>
      <c r="F91" t="s">
        <v>36</v>
      </c>
      <c r="G91" t="s">
        <v>37</v>
      </c>
      <c r="H91" t="s">
        <v>369</v>
      </c>
      <c r="I91" t="s">
        <v>39</v>
      </c>
      <c r="J91">
        <v>2</v>
      </c>
      <c r="K91" t="s">
        <v>40</v>
      </c>
      <c r="L91" t="s">
        <v>41</v>
      </c>
      <c r="M91" t="s">
        <v>42</v>
      </c>
      <c r="N91" s="7">
        <v>2</v>
      </c>
      <c r="O91" s="8">
        <v>45102.493101851855</v>
      </c>
      <c r="P91" s="9">
        <v>45103</v>
      </c>
      <c r="Q91" t="s">
        <v>36</v>
      </c>
      <c r="R91" t="s">
        <v>43</v>
      </c>
      <c r="S91" t="s">
        <v>44</v>
      </c>
      <c r="T91" t="s">
        <v>106</v>
      </c>
      <c r="U91" t="s">
        <v>370</v>
      </c>
      <c r="V91">
        <v>69000</v>
      </c>
      <c r="W91" t="s">
        <v>43</v>
      </c>
      <c r="X91" t="s">
        <v>371</v>
      </c>
      <c r="Y91" t="s">
        <v>48</v>
      </c>
      <c r="Z91" s="10">
        <f t="shared" si="11"/>
        <v>7.8</v>
      </c>
      <c r="AA91" s="11">
        <v>0</v>
      </c>
      <c r="AB91" s="11">
        <v>0</v>
      </c>
      <c r="AC91" s="11">
        <v>0</v>
      </c>
      <c r="AD91" s="11">
        <v>0</v>
      </c>
      <c r="AE91" s="11">
        <f t="shared" si="8"/>
        <v>0.46799999999999997</v>
      </c>
      <c r="AF91" s="11">
        <f t="shared" si="9"/>
        <v>8.2680000000000007</v>
      </c>
      <c r="AG91" t="s">
        <v>43</v>
      </c>
    </row>
    <row r="92" spans="1:33" ht="15" customHeight="1" x14ac:dyDescent="0.35">
      <c r="A92">
        <v>690929</v>
      </c>
      <c r="B92" t="s">
        <v>33</v>
      </c>
      <c r="C92" t="s">
        <v>34</v>
      </c>
      <c r="D92" s="6" t="s">
        <v>33</v>
      </c>
      <c r="E92" t="s">
        <v>372</v>
      </c>
      <c r="F92" t="s">
        <v>36</v>
      </c>
      <c r="G92" t="s">
        <v>37</v>
      </c>
      <c r="H92" t="s">
        <v>373</v>
      </c>
      <c r="I92" t="s">
        <v>39</v>
      </c>
      <c r="J92">
        <v>2</v>
      </c>
      <c r="K92" t="s">
        <v>40</v>
      </c>
      <c r="L92" t="s">
        <v>41</v>
      </c>
      <c r="M92" t="s">
        <v>42</v>
      </c>
      <c r="N92" s="7">
        <v>1</v>
      </c>
      <c r="O92" s="8">
        <v>45101.508391203701</v>
      </c>
      <c r="P92" s="9">
        <v>45103</v>
      </c>
      <c r="Q92" t="s">
        <v>36</v>
      </c>
      <c r="R92" t="s">
        <v>43</v>
      </c>
      <c r="S92" t="s">
        <v>44</v>
      </c>
      <c r="T92" t="s">
        <v>74</v>
      </c>
      <c r="U92" t="s">
        <v>374</v>
      </c>
      <c r="V92">
        <v>54000</v>
      </c>
      <c r="W92" t="s">
        <v>43</v>
      </c>
      <c r="X92" t="s">
        <v>263</v>
      </c>
      <c r="Y92" t="s">
        <v>48</v>
      </c>
      <c r="Z92" s="10">
        <f t="shared" si="11"/>
        <v>7</v>
      </c>
      <c r="AA92" s="11">
        <v>0</v>
      </c>
      <c r="AB92" s="11">
        <v>0</v>
      </c>
      <c r="AC92" s="11">
        <v>0</v>
      </c>
      <c r="AD92" s="11">
        <v>0</v>
      </c>
      <c r="AE92" s="11">
        <f t="shared" si="8"/>
        <v>0.42</v>
      </c>
      <c r="AF92" s="11">
        <f t="shared" si="9"/>
        <v>7.42</v>
      </c>
      <c r="AG92" t="s">
        <v>43</v>
      </c>
    </row>
    <row r="93" spans="1:33" ht="15" customHeight="1" x14ac:dyDescent="0.35">
      <c r="A93">
        <v>690929</v>
      </c>
      <c r="B93" t="s">
        <v>33</v>
      </c>
      <c r="C93" t="s">
        <v>34</v>
      </c>
      <c r="D93" s="6" t="s">
        <v>33</v>
      </c>
      <c r="E93" t="s">
        <v>375</v>
      </c>
      <c r="F93" t="s">
        <v>36</v>
      </c>
      <c r="G93" t="s">
        <v>37</v>
      </c>
      <c r="H93" t="s">
        <v>376</v>
      </c>
      <c r="I93" t="s">
        <v>39</v>
      </c>
      <c r="J93">
        <v>2</v>
      </c>
      <c r="K93" t="s">
        <v>40</v>
      </c>
      <c r="L93" t="s">
        <v>41</v>
      </c>
      <c r="M93" t="s">
        <v>42</v>
      </c>
      <c r="N93" s="7">
        <v>4</v>
      </c>
      <c r="O93" s="8">
        <v>45102.692766203705</v>
      </c>
      <c r="P93" s="9">
        <v>45104</v>
      </c>
      <c r="Q93" t="s">
        <v>36</v>
      </c>
      <c r="R93" t="s">
        <v>43</v>
      </c>
      <c r="S93" t="s">
        <v>44</v>
      </c>
      <c r="T93" t="s">
        <v>101</v>
      </c>
      <c r="U93" t="s">
        <v>377</v>
      </c>
      <c r="V93">
        <v>9300</v>
      </c>
      <c r="W93" t="s">
        <v>43</v>
      </c>
      <c r="X93" t="s">
        <v>378</v>
      </c>
      <c r="Y93" t="s">
        <v>48</v>
      </c>
      <c r="Z93" s="10">
        <f>IF(N93&lt;=1,7,7+0.8*ROUNDUP(N93-1,0))</f>
        <v>9.4</v>
      </c>
      <c r="AA93" s="11">
        <v>0</v>
      </c>
      <c r="AB93" s="11">
        <v>0</v>
      </c>
      <c r="AC93" s="11">
        <v>0</v>
      </c>
      <c r="AD93" s="11">
        <v>0</v>
      </c>
      <c r="AE93" s="11">
        <f t="shared" si="8"/>
        <v>0.56399999999999995</v>
      </c>
      <c r="AF93" s="11">
        <f t="shared" si="9"/>
        <v>9.9640000000000004</v>
      </c>
      <c r="AG93" t="s">
        <v>43</v>
      </c>
    </row>
    <row r="94" spans="1:33" ht="15" customHeight="1" x14ac:dyDescent="0.35">
      <c r="A94">
        <v>690929</v>
      </c>
      <c r="B94" t="s">
        <v>33</v>
      </c>
      <c r="C94" t="s">
        <v>34</v>
      </c>
      <c r="D94" s="6" t="s">
        <v>33</v>
      </c>
      <c r="E94" t="s">
        <v>379</v>
      </c>
      <c r="F94" t="s">
        <v>36</v>
      </c>
      <c r="G94" t="s">
        <v>37</v>
      </c>
      <c r="H94" t="s">
        <v>380</v>
      </c>
      <c r="I94" t="s">
        <v>39</v>
      </c>
      <c r="J94">
        <v>2</v>
      </c>
      <c r="K94" t="s">
        <v>40</v>
      </c>
      <c r="L94" t="s">
        <v>41</v>
      </c>
      <c r="M94" t="s">
        <v>42</v>
      </c>
      <c r="N94" s="7">
        <v>1</v>
      </c>
      <c r="O94" s="8">
        <v>45103.54550925926</v>
      </c>
      <c r="P94" s="9">
        <v>45104</v>
      </c>
      <c r="Q94" t="s">
        <v>36</v>
      </c>
      <c r="R94" t="s">
        <v>43</v>
      </c>
      <c r="S94" t="s">
        <v>44</v>
      </c>
      <c r="T94" t="s">
        <v>45</v>
      </c>
      <c r="U94" t="s">
        <v>381</v>
      </c>
      <c r="V94">
        <v>40400</v>
      </c>
      <c r="W94" t="s">
        <v>43</v>
      </c>
      <c r="X94" t="s">
        <v>382</v>
      </c>
      <c r="Y94" t="s">
        <v>48</v>
      </c>
      <c r="Z94" s="10">
        <f t="shared" ref="Z94:Z108" si="12">IF(N94&lt;=1,7,7+0.8*ROUNDUP(N94-1,0))</f>
        <v>7</v>
      </c>
      <c r="AA94" s="11">
        <v>0</v>
      </c>
      <c r="AB94" s="11">
        <v>0</v>
      </c>
      <c r="AC94" s="11">
        <v>0</v>
      </c>
      <c r="AD94" s="11">
        <v>0</v>
      </c>
      <c r="AE94" s="11">
        <f t="shared" si="8"/>
        <v>0.42</v>
      </c>
      <c r="AF94" s="11">
        <f t="shared" si="9"/>
        <v>7.42</v>
      </c>
      <c r="AG94" t="s">
        <v>43</v>
      </c>
    </row>
    <row r="95" spans="1:33" ht="15" customHeight="1" x14ac:dyDescent="0.35">
      <c r="A95">
        <v>690929</v>
      </c>
      <c r="B95" t="s">
        <v>33</v>
      </c>
      <c r="C95" t="s">
        <v>34</v>
      </c>
      <c r="D95" s="6" t="s">
        <v>33</v>
      </c>
      <c r="E95" t="s">
        <v>383</v>
      </c>
      <c r="F95" t="s">
        <v>36</v>
      </c>
      <c r="G95" t="s">
        <v>37</v>
      </c>
      <c r="H95" t="s">
        <v>384</v>
      </c>
      <c r="I95" t="s">
        <v>39</v>
      </c>
      <c r="J95">
        <v>2</v>
      </c>
      <c r="K95" t="s">
        <v>40</v>
      </c>
      <c r="L95" t="s">
        <v>41</v>
      </c>
      <c r="M95" t="s">
        <v>42</v>
      </c>
      <c r="N95" s="7">
        <v>1</v>
      </c>
      <c r="O95" s="8">
        <v>45102.694872685184</v>
      </c>
      <c r="P95" s="9">
        <v>45104</v>
      </c>
      <c r="Q95" t="s">
        <v>36</v>
      </c>
      <c r="R95" t="s">
        <v>43</v>
      </c>
      <c r="S95" t="s">
        <v>67</v>
      </c>
      <c r="T95" t="s">
        <v>106</v>
      </c>
      <c r="U95" t="s">
        <v>385</v>
      </c>
      <c r="V95">
        <v>25150</v>
      </c>
      <c r="W95" t="s">
        <v>43</v>
      </c>
      <c r="X95" t="s">
        <v>386</v>
      </c>
      <c r="Y95" t="s">
        <v>48</v>
      </c>
      <c r="Z95" s="10">
        <f t="shared" si="12"/>
        <v>7</v>
      </c>
      <c r="AA95" s="11">
        <v>0</v>
      </c>
      <c r="AB95" s="11">
        <v>0</v>
      </c>
      <c r="AC95" s="11">
        <v>0</v>
      </c>
      <c r="AD95" s="11">
        <v>0</v>
      </c>
      <c r="AE95" s="11">
        <f t="shared" si="8"/>
        <v>0.42</v>
      </c>
      <c r="AF95" s="11">
        <f t="shared" si="9"/>
        <v>7.42</v>
      </c>
      <c r="AG95" t="s">
        <v>43</v>
      </c>
    </row>
    <row r="96" spans="1:33" ht="15" customHeight="1" x14ac:dyDescent="0.35">
      <c r="A96">
        <v>690929</v>
      </c>
      <c r="B96" t="s">
        <v>33</v>
      </c>
      <c r="C96" t="s">
        <v>34</v>
      </c>
      <c r="D96" s="6" t="s">
        <v>33</v>
      </c>
      <c r="E96" t="s">
        <v>387</v>
      </c>
      <c r="F96" t="s">
        <v>36</v>
      </c>
      <c r="G96" t="s">
        <v>37</v>
      </c>
      <c r="H96" t="s">
        <v>388</v>
      </c>
      <c r="I96" t="s">
        <v>39</v>
      </c>
      <c r="J96">
        <v>2</v>
      </c>
      <c r="K96" t="s">
        <v>40</v>
      </c>
      <c r="L96" t="s">
        <v>41</v>
      </c>
      <c r="M96" t="s">
        <v>42</v>
      </c>
      <c r="N96" s="7">
        <v>5</v>
      </c>
      <c r="O96" s="8">
        <v>45101.518425925926</v>
      </c>
      <c r="P96" s="9">
        <v>45104</v>
      </c>
      <c r="Q96" t="s">
        <v>36</v>
      </c>
      <c r="R96" t="s">
        <v>43</v>
      </c>
      <c r="S96" t="s">
        <v>44</v>
      </c>
      <c r="T96" t="s">
        <v>133</v>
      </c>
      <c r="U96" t="s">
        <v>389</v>
      </c>
      <c r="V96">
        <v>76450</v>
      </c>
      <c r="W96" t="s">
        <v>43</v>
      </c>
      <c r="X96" t="s">
        <v>390</v>
      </c>
      <c r="Y96" t="s">
        <v>48</v>
      </c>
      <c r="Z96" s="10">
        <f t="shared" si="12"/>
        <v>10.199999999999999</v>
      </c>
      <c r="AA96" s="11">
        <v>0</v>
      </c>
      <c r="AB96" s="11">
        <v>0</v>
      </c>
      <c r="AC96" s="11">
        <v>0</v>
      </c>
      <c r="AD96" s="11">
        <v>0</v>
      </c>
      <c r="AE96" s="11">
        <f t="shared" si="8"/>
        <v>0.61199999999999999</v>
      </c>
      <c r="AF96" s="11">
        <f t="shared" si="9"/>
        <v>10.811999999999999</v>
      </c>
      <c r="AG96" t="s">
        <v>43</v>
      </c>
    </row>
    <row r="97" spans="1:33" ht="15" customHeight="1" x14ac:dyDescent="0.35">
      <c r="A97">
        <v>690929</v>
      </c>
      <c r="B97" t="s">
        <v>33</v>
      </c>
      <c r="C97" t="s">
        <v>34</v>
      </c>
      <c r="D97" s="6" t="s">
        <v>33</v>
      </c>
      <c r="E97" t="s">
        <v>391</v>
      </c>
      <c r="F97" t="s">
        <v>36</v>
      </c>
      <c r="G97" t="s">
        <v>37</v>
      </c>
      <c r="H97" t="s">
        <v>392</v>
      </c>
      <c r="I97" t="s">
        <v>39</v>
      </c>
      <c r="J97">
        <v>2</v>
      </c>
      <c r="K97" t="s">
        <v>40</v>
      </c>
      <c r="L97" t="s">
        <v>41</v>
      </c>
      <c r="M97" t="s">
        <v>42</v>
      </c>
      <c r="N97" s="7">
        <v>1</v>
      </c>
      <c r="O97" s="8">
        <v>45103.54550925926</v>
      </c>
      <c r="P97" s="9">
        <v>45104</v>
      </c>
      <c r="Q97" t="s">
        <v>36</v>
      </c>
      <c r="R97" t="s">
        <v>43</v>
      </c>
      <c r="S97" t="s">
        <v>44</v>
      </c>
      <c r="T97" t="s">
        <v>45</v>
      </c>
      <c r="U97" t="s">
        <v>393</v>
      </c>
      <c r="V97">
        <v>48050</v>
      </c>
      <c r="W97" t="s">
        <v>43</v>
      </c>
      <c r="X97" t="s">
        <v>394</v>
      </c>
      <c r="Y97" t="s">
        <v>48</v>
      </c>
      <c r="Z97" s="10">
        <f t="shared" si="12"/>
        <v>7</v>
      </c>
      <c r="AA97" s="11">
        <v>0</v>
      </c>
      <c r="AB97" s="11">
        <v>0</v>
      </c>
      <c r="AC97" s="11">
        <v>0</v>
      </c>
      <c r="AD97" s="11">
        <v>0</v>
      </c>
      <c r="AE97" s="11">
        <f t="shared" si="8"/>
        <v>0.42</v>
      </c>
      <c r="AF97" s="11">
        <f t="shared" si="9"/>
        <v>7.42</v>
      </c>
      <c r="AG97" t="s">
        <v>43</v>
      </c>
    </row>
    <row r="98" spans="1:33" ht="15" customHeight="1" x14ac:dyDescent="0.35">
      <c r="A98">
        <v>690929</v>
      </c>
      <c r="B98" t="s">
        <v>33</v>
      </c>
      <c r="C98" t="s">
        <v>34</v>
      </c>
      <c r="D98" s="6" t="s">
        <v>33</v>
      </c>
      <c r="E98" t="s">
        <v>395</v>
      </c>
      <c r="F98" t="s">
        <v>36</v>
      </c>
      <c r="G98" t="s">
        <v>37</v>
      </c>
      <c r="H98" t="s">
        <v>396</v>
      </c>
      <c r="I98" t="s">
        <v>39</v>
      </c>
      <c r="J98">
        <v>2</v>
      </c>
      <c r="K98" t="s">
        <v>40</v>
      </c>
      <c r="L98" t="s">
        <v>41</v>
      </c>
      <c r="M98" t="s">
        <v>42</v>
      </c>
      <c r="N98" s="7">
        <v>1</v>
      </c>
      <c r="O98" s="8">
        <v>45103.42454861111</v>
      </c>
      <c r="P98" s="9">
        <v>45104</v>
      </c>
      <c r="Q98" t="s">
        <v>36</v>
      </c>
      <c r="R98" t="s">
        <v>43</v>
      </c>
      <c r="S98" t="s">
        <v>44</v>
      </c>
      <c r="T98" t="s">
        <v>45</v>
      </c>
      <c r="U98" t="s">
        <v>397</v>
      </c>
      <c r="V98">
        <v>43650</v>
      </c>
      <c r="W98" t="s">
        <v>43</v>
      </c>
      <c r="X98" t="s">
        <v>52</v>
      </c>
      <c r="Y98" t="s">
        <v>48</v>
      </c>
      <c r="Z98" s="10">
        <f t="shared" si="12"/>
        <v>7</v>
      </c>
      <c r="AA98" s="11">
        <v>0</v>
      </c>
      <c r="AB98" s="11">
        <v>0</v>
      </c>
      <c r="AC98" s="11">
        <v>0</v>
      </c>
      <c r="AD98" s="11">
        <v>0</v>
      </c>
      <c r="AE98" s="11">
        <f t="shared" si="8"/>
        <v>0.42</v>
      </c>
      <c r="AF98" s="11">
        <f t="shared" si="9"/>
        <v>7.42</v>
      </c>
      <c r="AG98" t="s">
        <v>43</v>
      </c>
    </row>
    <row r="99" spans="1:33" ht="15" customHeight="1" x14ac:dyDescent="0.35">
      <c r="A99">
        <v>690929</v>
      </c>
      <c r="B99" t="s">
        <v>33</v>
      </c>
      <c r="C99" t="s">
        <v>34</v>
      </c>
      <c r="D99" s="6" t="s">
        <v>33</v>
      </c>
      <c r="E99" t="s">
        <v>398</v>
      </c>
      <c r="F99" t="s">
        <v>36</v>
      </c>
      <c r="G99" t="s">
        <v>37</v>
      </c>
      <c r="H99" t="s">
        <v>399</v>
      </c>
      <c r="I99" t="s">
        <v>39</v>
      </c>
      <c r="J99">
        <v>2</v>
      </c>
      <c r="K99" t="s">
        <v>40</v>
      </c>
      <c r="L99" t="s">
        <v>41</v>
      </c>
      <c r="M99" t="s">
        <v>42</v>
      </c>
      <c r="N99" s="7">
        <v>1</v>
      </c>
      <c r="O99" s="8">
        <v>45102.694872685184</v>
      </c>
      <c r="P99" s="9">
        <v>45104</v>
      </c>
      <c r="Q99" t="s">
        <v>36</v>
      </c>
      <c r="R99" t="s">
        <v>43</v>
      </c>
      <c r="S99" t="s">
        <v>67</v>
      </c>
      <c r="T99" t="s">
        <v>106</v>
      </c>
      <c r="U99" t="s">
        <v>400</v>
      </c>
      <c r="V99">
        <v>27200</v>
      </c>
      <c r="W99" t="s">
        <v>43</v>
      </c>
      <c r="X99" t="s">
        <v>401</v>
      </c>
      <c r="Y99" t="s">
        <v>48</v>
      </c>
      <c r="Z99" s="10">
        <f t="shared" si="12"/>
        <v>7</v>
      </c>
      <c r="AA99" s="11">
        <v>0</v>
      </c>
      <c r="AB99" s="11">
        <v>0</v>
      </c>
      <c r="AC99" s="11">
        <v>0</v>
      </c>
      <c r="AD99" s="11">
        <v>0</v>
      </c>
      <c r="AE99" s="11">
        <f t="shared" si="8"/>
        <v>0.42</v>
      </c>
      <c r="AF99" s="11">
        <f t="shared" si="9"/>
        <v>7.42</v>
      </c>
      <c r="AG99" t="s">
        <v>43</v>
      </c>
    </row>
    <row r="100" spans="1:33" ht="15" customHeight="1" x14ac:dyDescent="0.35">
      <c r="A100">
        <v>690929</v>
      </c>
      <c r="B100" t="s">
        <v>33</v>
      </c>
      <c r="C100" t="s">
        <v>34</v>
      </c>
      <c r="D100" s="6" t="s">
        <v>33</v>
      </c>
      <c r="E100" t="s">
        <v>402</v>
      </c>
      <c r="F100" t="s">
        <v>36</v>
      </c>
      <c r="G100" t="s">
        <v>37</v>
      </c>
      <c r="H100" t="s">
        <v>403</v>
      </c>
      <c r="I100" t="s">
        <v>39</v>
      </c>
      <c r="J100">
        <v>2</v>
      </c>
      <c r="K100" t="s">
        <v>40</v>
      </c>
      <c r="L100" t="s">
        <v>41</v>
      </c>
      <c r="M100" t="s">
        <v>42</v>
      </c>
      <c r="N100" s="7">
        <v>1</v>
      </c>
      <c r="O100" s="8">
        <v>45102.715995370374</v>
      </c>
      <c r="P100" s="9">
        <v>45104</v>
      </c>
      <c r="Q100" t="s">
        <v>36</v>
      </c>
      <c r="R100" t="s">
        <v>43</v>
      </c>
      <c r="S100" t="s">
        <v>44</v>
      </c>
      <c r="T100" t="s">
        <v>106</v>
      </c>
      <c r="U100" t="s">
        <v>404</v>
      </c>
      <c r="V100">
        <v>39100</v>
      </c>
      <c r="W100" t="s">
        <v>43</v>
      </c>
      <c r="X100" t="s">
        <v>44</v>
      </c>
      <c r="Y100" t="s">
        <v>48</v>
      </c>
      <c r="Z100" s="10">
        <f t="shared" si="12"/>
        <v>7</v>
      </c>
      <c r="AA100" s="11">
        <v>0</v>
      </c>
      <c r="AB100" s="11">
        <v>0</v>
      </c>
      <c r="AC100" s="11">
        <v>0</v>
      </c>
      <c r="AD100" s="11">
        <v>0</v>
      </c>
      <c r="AE100" s="11">
        <f t="shared" si="8"/>
        <v>0.42</v>
      </c>
      <c r="AF100" s="11">
        <f t="shared" si="9"/>
        <v>7.42</v>
      </c>
      <c r="AG100" t="s">
        <v>43</v>
      </c>
    </row>
    <row r="101" spans="1:33" ht="15" customHeight="1" x14ac:dyDescent="0.35">
      <c r="A101">
        <v>690929</v>
      </c>
      <c r="B101" t="s">
        <v>33</v>
      </c>
      <c r="C101" t="s">
        <v>34</v>
      </c>
      <c r="D101" s="6" t="s">
        <v>33</v>
      </c>
      <c r="E101" t="s">
        <v>405</v>
      </c>
      <c r="F101" t="s">
        <v>36</v>
      </c>
      <c r="G101" t="s">
        <v>37</v>
      </c>
      <c r="H101" t="s">
        <v>406</v>
      </c>
      <c r="I101" t="s">
        <v>39</v>
      </c>
      <c r="J101">
        <v>2</v>
      </c>
      <c r="K101" t="s">
        <v>40</v>
      </c>
      <c r="L101" t="s">
        <v>41</v>
      </c>
      <c r="M101" t="s">
        <v>42</v>
      </c>
      <c r="N101" s="7">
        <v>1</v>
      </c>
      <c r="O101" s="8">
        <v>45102.764131944445</v>
      </c>
      <c r="P101" s="9">
        <v>45104</v>
      </c>
      <c r="Q101" t="s">
        <v>36</v>
      </c>
      <c r="R101" t="s">
        <v>43</v>
      </c>
      <c r="S101" t="s">
        <v>44</v>
      </c>
      <c r="T101" t="s">
        <v>62</v>
      </c>
      <c r="U101" t="s">
        <v>407</v>
      </c>
      <c r="V101">
        <v>24000</v>
      </c>
      <c r="W101" t="s">
        <v>43</v>
      </c>
      <c r="X101" t="s">
        <v>44</v>
      </c>
      <c r="Y101" t="s">
        <v>48</v>
      </c>
      <c r="Z101" s="10">
        <f t="shared" si="12"/>
        <v>7</v>
      </c>
      <c r="AA101" s="11">
        <v>0</v>
      </c>
      <c r="AB101" s="11">
        <v>0</v>
      </c>
      <c r="AC101" s="11">
        <v>0</v>
      </c>
      <c r="AD101" s="11">
        <v>0</v>
      </c>
      <c r="AE101" s="11">
        <f t="shared" si="8"/>
        <v>0.42</v>
      </c>
      <c r="AF101" s="11">
        <f t="shared" si="9"/>
        <v>7.42</v>
      </c>
      <c r="AG101" t="s">
        <v>43</v>
      </c>
    </row>
    <row r="102" spans="1:33" ht="15" customHeight="1" x14ac:dyDescent="0.35">
      <c r="A102">
        <v>690929</v>
      </c>
      <c r="B102" t="s">
        <v>33</v>
      </c>
      <c r="C102" t="s">
        <v>34</v>
      </c>
      <c r="D102" s="6" t="s">
        <v>33</v>
      </c>
      <c r="E102" t="s">
        <v>408</v>
      </c>
      <c r="F102" t="s">
        <v>36</v>
      </c>
      <c r="G102" t="s">
        <v>37</v>
      </c>
      <c r="H102" t="s">
        <v>409</v>
      </c>
      <c r="I102" t="s">
        <v>39</v>
      </c>
      <c r="J102">
        <v>2</v>
      </c>
      <c r="K102" t="s">
        <v>40</v>
      </c>
      <c r="L102" t="s">
        <v>41</v>
      </c>
      <c r="M102" t="s">
        <v>42</v>
      </c>
      <c r="N102" s="7">
        <v>1</v>
      </c>
      <c r="O102" s="8">
        <v>45103.42454861111</v>
      </c>
      <c r="P102" s="9">
        <v>45104</v>
      </c>
      <c r="Q102" t="s">
        <v>36</v>
      </c>
      <c r="R102" t="s">
        <v>43</v>
      </c>
      <c r="S102" t="s">
        <v>44</v>
      </c>
      <c r="T102" t="s">
        <v>74</v>
      </c>
      <c r="U102" t="s">
        <v>410</v>
      </c>
      <c r="V102">
        <v>54000</v>
      </c>
      <c r="W102" t="s">
        <v>43</v>
      </c>
      <c r="X102" t="s">
        <v>263</v>
      </c>
      <c r="Y102" t="s">
        <v>48</v>
      </c>
      <c r="Z102" s="10">
        <f t="shared" si="12"/>
        <v>7</v>
      </c>
      <c r="AA102" s="11">
        <v>0</v>
      </c>
      <c r="AB102" s="11">
        <v>0</v>
      </c>
      <c r="AC102" s="11">
        <v>0</v>
      </c>
      <c r="AD102" s="11">
        <v>0</v>
      </c>
      <c r="AE102" s="11">
        <f t="shared" si="8"/>
        <v>0.42</v>
      </c>
      <c r="AF102" s="11">
        <f t="shared" si="9"/>
        <v>7.42</v>
      </c>
      <c r="AG102" t="s">
        <v>43</v>
      </c>
    </row>
    <row r="103" spans="1:33" ht="15" customHeight="1" x14ac:dyDescent="0.35">
      <c r="A103">
        <v>690929</v>
      </c>
      <c r="B103" t="s">
        <v>33</v>
      </c>
      <c r="C103" t="s">
        <v>34</v>
      </c>
      <c r="D103" s="6" t="s">
        <v>33</v>
      </c>
      <c r="E103" t="s">
        <v>411</v>
      </c>
      <c r="F103" t="s">
        <v>36</v>
      </c>
      <c r="G103" t="s">
        <v>37</v>
      </c>
      <c r="H103" t="s">
        <v>412</v>
      </c>
      <c r="I103" t="s">
        <v>39</v>
      </c>
      <c r="J103">
        <v>2</v>
      </c>
      <c r="K103" t="s">
        <v>40</v>
      </c>
      <c r="L103" t="s">
        <v>41</v>
      </c>
      <c r="M103" t="s">
        <v>42</v>
      </c>
      <c r="N103" s="7">
        <v>1</v>
      </c>
      <c r="O103" s="8">
        <v>45103.639652777776</v>
      </c>
      <c r="P103" s="9">
        <v>45104</v>
      </c>
      <c r="Q103" t="s">
        <v>36</v>
      </c>
      <c r="R103" t="s">
        <v>43</v>
      </c>
      <c r="S103" t="s">
        <v>44</v>
      </c>
      <c r="T103" t="s">
        <v>45</v>
      </c>
      <c r="U103" t="s">
        <v>413</v>
      </c>
      <c r="V103">
        <v>68000</v>
      </c>
      <c r="W103" t="s">
        <v>43</v>
      </c>
      <c r="X103" t="s">
        <v>414</v>
      </c>
      <c r="Y103" t="s">
        <v>48</v>
      </c>
      <c r="Z103" s="10">
        <f t="shared" si="12"/>
        <v>7</v>
      </c>
      <c r="AA103" s="11">
        <v>0</v>
      </c>
      <c r="AB103" s="11">
        <v>0</v>
      </c>
      <c r="AC103" s="11">
        <v>0</v>
      </c>
      <c r="AD103" s="11">
        <v>0</v>
      </c>
      <c r="AE103" s="11">
        <f t="shared" si="8"/>
        <v>0.42</v>
      </c>
      <c r="AF103" s="11">
        <f t="shared" si="9"/>
        <v>7.42</v>
      </c>
      <c r="AG103" t="s">
        <v>43</v>
      </c>
    </row>
    <row r="104" spans="1:33" ht="15" customHeight="1" x14ac:dyDescent="0.35">
      <c r="A104">
        <v>690929</v>
      </c>
      <c r="B104" t="s">
        <v>33</v>
      </c>
      <c r="C104" t="s">
        <v>34</v>
      </c>
      <c r="D104" s="6" t="s">
        <v>33</v>
      </c>
      <c r="E104" t="s">
        <v>415</v>
      </c>
      <c r="F104" t="s">
        <v>36</v>
      </c>
      <c r="G104" t="s">
        <v>37</v>
      </c>
      <c r="H104" t="s">
        <v>416</v>
      </c>
      <c r="I104" t="s">
        <v>39</v>
      </c>
      <c r="J104">
        <v>2</v>
      </c>
      <c r="K104" t="s">
        <v>40</v>
      </c>
      <c r="L104" t="s">
        <v>41</v>
      </c>
      <c r="M104" t="s">
        <v>42</v>
      </c>
      <c r="N104" s="7">
        <v>8</v>
      </c>
      <c r="O104" s="8">
        <v>45102.731087962966</v>
      </c>
      <c r="P104" s="9">
        <v>45104</v>
      </c>
      <c r="Q104" t="s">
        <v>36</v>
      </c>
      <c r="R104" t="s">
        <v>43</v>
      </c>
      <c r="S104" t="s">
        <v>44</v>
      </c>
      <c r="T104" t="s">
        <v>45</v>
      </c>
      <c r="U104" t="s">
        <v>417</v>
      </c>
      <c r="V104">
        <v>45400</v>
      </c>
      <c r="W104" t="s">
        <v>43</v>
      </c>
      <c r="X104" t="s">
        <v>267</v>
      </c>
      <c r="Y104" t="s">
        <v>48</v>
      </c>
      <c r="Z104" s="10">
        <f t="shared" si="12"/>
        <v>12.600000000000001</v>
      </c>
      <c r="AA104" s="11">
        <v>0</v>
      </c>
      <c r="AB104" s="11">
        <v>0</v>
      </c>
      <c r="AC104" s="11">
        <v>0</v>
      </c>
      <c r="AD104" s="11">
        <v>0</v>
      </c>
      <c r="AE104" s="11">
        <f t="shared" si="8"/>
        <v>0.75600000000000001</v>
      </c>
      <c r="AF104" s="11">
        <f t="shared" si="9"/>
        <v>13.356000000000002</v>
      </c>
      <c r="AG104" t="s">
        <v>43</v>
      </c>
    </row>
    <row r="105" spans="1:33" ht="15" customHeight="1" x14ac:dyDescent="0.35">
      <c r="A105">
        <v>690929</v>
      </c>
      <c r="B105" t="s">
        <v>33</v>
      </c>
      <c r="C105" t="s">
        <v>34</v>
      </c>
      <c r="D105" s="6" t="s">
        <v>33</v>
      </c>
      <c r="E105" t="s">
        <v>418</v>
      </c>
      <c r="F105" t="s">
        <v>36</v>
      </c>
      <c r="G105" t="s">
        <v>37</v>
      </c>
      <c r="H105" t="s">
        <v>419</v>
      </c>
      <c r="I105" t="s">
        <v>39</v>
      </c>
      <c r="J105">
        <v>2</v>
      </c>
      <c r="K105" t="s">
        <v>40</v>
      </c>
      <c r="L105" t="s">
        <v>41</v>
      </c>
      <c r="M105" t="s">
        <v>42</v>
      </c>
      <c r="N105" s="7">
        <v>7</v>
      </c>
      <c r="O105" s="8">
        <v>45103.708993055552</v>
      </c>
      <c r="P105" s="9">
        <v>45104</v>
      </c>
      <c r="Q105" t="s">
        <v>36</v>
      </c>
      <c r="R105" t="s">
        <v>43</v>
      </c>
      <c r="S105" t="s">
        <v>44</v>
      </c>
      <c r="T105" t="s">
        <v>62</v>
      </c>
      <c r="U105" t="s">
        <v>420</v>
      </c>
      <c r="V105">
        <v>21700</v>
      </c>
      <c r="W105" t="s">
        <v>43</v>
      </c>
      <c r="X105" t="s">
        <v>421</v>
      </c>
      <c r="Y105" t="s">
        <v>48</v>
      </c>
      <c r="Z105" s="10">
        <f t="shared" si="12"/>
        <v>11.8</v>
      </c>
      <c r="AA105" s="11">
        <v>0</v>
      </c>
      <c r="AB105" s="11">
        <v>0</v>
      </c>
      <c r="AC105" s="11">
        <v>0</v>
      </c>
      <c r="AD105" s="11">
        <v>0</v>
      </c>
      <c r="AE105" s="11">
        <f t="shared" si="8"/>
        <v>0.70799999999999996</v>
      </c>
      <c r="AF105" s="11">
        <f t="shared" si="9"/>
        <v>12.508000000000001</v>
      </c>
      <c r="AG105" t="s">
        <v>43</v>
      </c>
    </row>
    <row r="106" spans="1:33" ht="15" customHeight="1" x14ac:dyDescent="0.35">
      <c r="A106">
        <v>690929</v>
      </c>
      <c r="B106" t="s">
        <v>33</v>
      </c>
      <c r="C106" t="s">
        <v>34</v>
      </c>
      <c r="D106" s="6" t="s">
        <v>33</v>
      </c>
      <c r="E106" t="s">
        <v>422</v>
      </c>
      <c r="F106" t="s">
        <v>36</v>
      </c>
      <c r="G106" t="s">
        <v>37</v>
      </c>
      <c r="H106" t="s">
        <v>423</v>
      </c>
      <c r="I106" t="s">
        <v>39</v>
      </c>
      <c r="J106">
        <v>2</v>
      </c>
      <c r="K106" t="s">
        <v>40</v>
      </c>
      <c r="L106" t="s">
        <v>41</v>
      </c>
      <c r="M106" t="s">
        <v>42</v>
      </c>
      <c r="N106" s="7">
        <v>1</v>
      </c>
      <c r="O106" s="8">
        <v>45102.515833333331</v>
      </c>
      <c r="P106" s="9">
        <v>45104</v>
      </c>
      <c r="Q106" t="s">
        <v>36</v>
      </c>
      <c r="R106" t="s">
        <v>43</v>
      </c>
      <c r="S106" t="s">
        <v>67</v>
      </c>
      <c r="T106" t="s">
        <v>124</v>
      </c>
      <c r="U106" t="s">
        <v>424</v>
      </c>
      <c r="V106">
        <v>34700</v>
      </c>
      <c r="W106" t="s">
        <v>43</v>
      </c>
      <c r="X106" t="s">
        <v>67</v>
      </c>
      <c r="Y106" t="s">
        <v>48</v>
      </c>
      <c r="Z106" s="10">
        <f t="shared" si="12"/>
        <v>7</v>
      </c>
      <c r="AA106" s="11">
        <v>0</v>
      </c>
      <c r="AB106" s="11">
        <v>0</v>
      </c>
      <c r="AC106" s="11">
        <v>0</v>
      </c>
      <c r="AD106" s="11">
        <v>0</v>
      </c>
      <c r="AE106" s="11">
        <f t="shared" si="8"/>
        <v>0.42</v>
      </c>
      <c r="AF106" s="11">
        <f t="shared" si="9"/>
        <v>7.42</v>
      </c>
      <c r="AG106" t="s">
        <v>43</v>
      </c>
    </row>
    <row r="107" spans="1:33" ht="15" customHeight="1" x14ac:dyDescent="0.35">
      <c r="A107">
        <v>690929</v>
      </c>
      <c r="B107" t="s">
        <v>33</v>
      </c>
      <c r="C107" t="s">
        <v>34</v>
      </c>
      <c r="D107" s="6" t="s">
        <v>33</v>
      </c>
      <c r="E107" t="s">
        <v>425</v>
      </c>
      <c r="F107" t="s">
        <v>36</v>
      </c>
      <c r="G107" t="s">
        <v>37</v>
      </c>
      <c r="H107" t="s">
        <v>426</v>
      </c>
      <c r="I107" t="s">
        <v>39</v>
      </c>
      <c r="J107">
        <v>2</v>
      </c>
      <c r="K107" t="s">
        <v>40</v>
      </c>
      <c r="L107" t="s">
        <v>41</v>
      </c>
      <c r="M107" t="s">
        <v>42</v>
      </c>
      <c r="N107" s="7">
        <v>1</v>
      </c>
      <c r="O107" s="8">
        <v>45102.762939814813</v>
      </c>
      <c r="P107" s="9">
        <v>45104</v>
      </c>
      <c r="Q107" t="s">
        <v>36</v>
      </c>
      <c r="R107" t="s">
        <v>43</v>
      </c>
      <c r="S107" t="s">
        <v>44</v>
      </c>
      <c r="T107" t="s">
        <v>157</v>
      </c>
      <c r="U107" t="s">
        <v>427</v>
      </c>
      <c r="V107">
        <v>16800</v>
      </c>
      <c r="W107" t="s">
        <v>43</v>
      </c>
      <c r="X107" t="s">
        <v>44</v>
      </c>
      <c r="Y107" t="s">
        <v>48</v>
      </c>
      <c r="Z107" s="10">
        <f t="shared" si="12"/>
        <v>7</v>
      </c>
      <c r="AA107" s="11">
        <v>0</v>
      </c>
      <c r="AB107" s="11">
        <v>0</v>
      </c>
      <c r="AC107" s="11">
        <v>0</v>
      </c>
      <c r="AD107" s="11">
        <v>0</v>
      </c>
      <c r="AE107" s="11">
        <f t="shared" si="8"/>
        <v>0.42</v>
      </c>
      <c r="AF107" s="11">
        <f t="shared" si="9"/>
        <v>7.42</v>
      </c>
      <c r="AG107" t="s">
        <v>43</v>
      </c>
    </row>
    <row r="108" spans="1:33" ht="15" customHeight="1" x14ac:dyDescent="0.35">
      <c r="A108">
        <v>690929</v>
      </c>
      <c r="B108" t="s">
        <v>33</v>
      </c>
      <c r="C108" t="s">
        <v>34</v>
      </c>
      <c r="D108" s="6" t="s">
        <v>33</v>
      </c>
      <c r="E108" t="s">
        <v>428</v>
      </c>
      <c r="F108" t="s">
        <v>36</v>
      </c>
      <c r="G108" t="s">
        <v>37</v>
      </c>
      <c r="H108" t="s">
        <v>429</v>
      </c>
      <c r="I108" t="s">
        <v>39</v>
      </c>
      <c r="J108">
        <v>2</v>
      </c>
      <c r="K108" t="s">
        <v>40</v>
      </c>
      <c r="L108" t="s">
        <v>41</v>
      </c>
      <c r="M108" t="s">
        <v>42</v>
      </c>
      <c r="N108" s="7">
        <v>2</v>
      </c>
      <c r="O108" s="8">
        <v>45101.455312500002</v>
      </c>
      <c r="P108" s="9">
        <v>45104</v>
      </c>
      <c r="Q108" t="s">
        <v>36</v>
      </c>
      <c r="R108" t="s">
        <v>43</v>
      </c>
      <c r="S108" t="s">
        <v>44</v>
      </c>
      <c r="T108" t="s">
        <v>101</v>
      </c>
      <c r="U108" t="s">
        <v>430</v>
      </c>
      <c r="V108">
        <v>8000</v>
      </c>
      <c r="W108" t="s">
        <v>43</v>
      </c>
      <c r="X108" t="s">
        <v>214</v>
      </c>
      <c r="Y108" t="s">
        <v>48</v>
      </c>
      <c r="Z108" s="10">
        <f t="shared" si="12"/>
        <v>7.8</v>
      </c>
      <c r="AA108" s="11">
        <v>0</v>
      </c>
      <c r="AB108" s="11">
        <v>0</v>
      </c>
      <c r="AC108" s="11">
        <v>0</v>
      </c>
      <c r="AD108" s="11">
        <v>0</v>
      </c>
      <c r="AE108" s="11">
        <f t="shared" si="8"/>
        <v>0.46799999999999997</v>
      </c>
      <c r="AF108" s="11">
        <f t="shared" si="9"/>
        <v>8.2680000000000007</v>
      </c>
      <c r="AG108" t="s">
        <v>43</v>
      </c>
    </row>
    <row r="109" spans="1:33" ht="15" customHeight="1" x14ac:dyDescent="0.35">
      <c r="A109">
        <v>690929</v>
      </c>
      <c r="B109" t="s">
        <v>33</v>
      </c>
      <c r="C109" t="s">
        <v>34</v>
      </c>
      <c r="D109" s="6" t="s">
        <v>33</v>
      </c>
      <c r="E109" t="s">
        <v>431</v>
      </c>
      <c r="F109" t="s">
        <v>36</v>
      </c>
      <c r="G109" t="s">
        <v>37</v>
      </c>
      <c r="H109" t="s">
        <v>432</v>
      </c>
      <c r="I109" t="s">
        <v>39</v>
      </c>
      <c r="J109">
        <v>2</v>
      </c>
      <c r="K109" t="s">
        <v>40</v>
      </c>
      <c r="L109" t="s">
        <v>41</v>
      </c>
      <c r="M109" t="s">
        <v>42</v>
      </c>
      <c r="N109" s="7">
        <v>1</v>
      </c>
      <c r="O109" s="8">
        <v>45073.715937499997</v>
      </c>
      <c r="P109" s="9">
        <v>45078</v>
      </c>
      <c r="Q109" t="s">
        <v>36</v>
      </c>
      <c r="R109" t="s">
        <v>43</v>
      </c>
      <c r="S109" t="s">
        <v>44</v>
      </c>
      <c r="T109" t="s">
        <v>92</v>
      </c>
      <c r="U109" t="s">
        <v>433</v>
      </c>
      <c r="V109">
        <v>89808</v>
      </c>
      <c r="W109" t="s">
        <v>94</v>
      </c>
      <c r="X109" t="s">
        <v>434</v>
      </c>
      <c r="Y109" t="s">
        <v>48</v>
      </c>
      <c r="Z109" s="12">
        <f>IF(N109&lt;=1,13,IF(N109&lt;=2,23,IF(N109&lt;=3,35,IF(N109&lt;=4,43,IF(N109&lt;=5,53,IF(N109&lt;=6,63,IF(N109&lt;=7,71,IF(N109&lt;=8,79,IF(N109&lt;=9,87,IF(N109&lt;=10,95,IF(N109&lt;=11,105,IF(N109&lt;=12,114,IF(N109&lt;=13,119,IF(N109&lt;=14,127,IF(N109&lt;=15,135,IF(N109&lt;=16,143,IF(N109&lt;=17,153,IF(N109&lt;=18,163,IF(N109&lt;=19,171,IF(N109&lt;=20,185,IF(N109&lt;=21,193,IF(N109&lt;=22,201,IF(N109&lt;=23,210,IF(N109&lt;=24,220,IF(N109&lt;=25,230,IF(N109&lt;=26,240,IF(N109&lt;=27,250,IF(N109&lt;=28,260,IF(N109&lt;=29,270,IF(N109&lt;=30,280,280+10*ROUNDUP(N109-30,0)))))))))))))))))))))))))))))))</f>
        <v>13</v>
      </c>
      <c r="AA109" s="11">
        <v>0</v>
      </c>
      <c r="AB109" s="11">
        <v>0</v>
      </c>
      <c r="AC109" s="11">
        <v>0</v>
      </c>
      <c r="AD109" s="11">
        <v>0</v>
      </c>
      <c r="AE109" s="11">
        <f t="shared" si="8"/>
        <v>0.78</v>
      </c>
      <c r="AF109" s="11">
        <f t="shared" si="9"/>
        <v>13.78</v>
      </c>
      <c r="AG109" t="s">
        <v>94</v>
      </c>
    </row>
    <row r="110" spans="1:33" ht="15" customHeight="1" x14ac:dyDescent="0.35">
      <c r="A110">
        <v>690929</v>
      </c>
      <c r="B110" t="s">
        <v>33</v>
      </c>
      <c r="C110" t="s">
        <v>34</v>
      </c>
      <c r="D110" s="6" t="s">
        <v>33</v>
      </c>
      <c r="E110" t="s">
        <v>435</v>
      </c>
      <c r="F110" t="s">
        <v>36</v>
      </c>
      <c r="G110" t="s">
        <v>37</v>
      </c>
      <c r="H110" t="s">
        <v>436</v>
      </c>
      <c r="I110" t="s">
        <v>39</v>
      </c>
      <c r="J110">
        <v>2</v>
      </c>
      <c r="K110" t="s">
        <v>40</v>
      </c>
      <c r="L110" t="s">
        <v>41</v>
      </c>
      <c r="M110" t="s">
        <v>42</v>
      </c>
      <c r="N110" s="7">
        <v>1</v>
      </c>
      <c r="O110" s="8">
        <v>45074.641006944446</v>
      </c>
      <c r="P110" s="9">
        <v>45078</v>
      </c>
      <c r="Q110" t="s">
        <v>36</v>
      </c>
      <c r="R110" t="s">
        <v>43</v>
      </c>
      <c r="S110" t="s">
        <v>44</v>
      </c>
      <c r="T110" t="s">
        <v>118</v>
      </c>
      <c r="U110" t="s">
        <v>437</v>
      </c>
      <c r="V110">
        <v>70400</v>
      </c>
      <c r="W110" t="s">
        <v>43</v>
      </c>
      <c r="X110" t="s">
        <v>206</v>
      </c>
      <c r="Y110" t="s">
        <v>48</v>
      </c>
      <c r="Z110" s="10">
        <f t="shared" ref="Z110:Z117" si="13">IF(N110&lt;=1,7,7+0.8*ROUNDUP(N110-1,0))</f>
        <v>7</v>
      </c>
      <c r="AA110" s="11">
        <v>0</v>
      </c>
      <c r="AB110" s="11">
        <v>0</v>
      </c>
      <c r="AC110" s="11">
        <v>0</v>
      </c>
      <c r="AD110" s="11">
        <v>0</v>
      </c>
      <c r="AE110" s="11">
        <f t="shared" si="8"/>
        <v>0.42</v>
      </c>
      <c r="AF110" s="11">
        <f t="shared" si="9"/>
        <v>7.42</v>
      </c>
      <c r="AG110" t="s">
        <v>43</v>
      </c>
    </row>
    <row r="111" spans="1:33" ht="15" customHeight="1" x14ac:dyDescent="0.35">
      <c r="A111">
        <v>690929</v>
      </c>
      <c r="B111" t="s">
        <v>33</v>
      </c>
      <c r="C111" t="s">
        <v>34</v>
      </c>
      <c r="D111" s="6" t="s">
        <v>33</v>
      </c>
      <c r="E111" t="s">
        <v>438</v>
      </c>
      <c r="F111" t="s">
        <v>36</v>
      </c>
      <c r="G111" t="s">
        <v>37</v>
      </c>
      <c r="H111" t="s">
        <v>439</v>
      </c>
      <c r="I111" t="s">
        <v>39</v>
      </c>
      <c r="J111">
        <v>2</v>
      </c>
      <c r="K111" t="s">
        <v>40</v>
      </c>
      <c r="L111" t="s">
        <v>41</v>
      </c>
      <c r="M111" t="s">
        <v>42</v>
      </c>
      <c r="N111" s="7">
        <v>1</v>
      </c>
      <c r="O111" s="8">
        <v>45076.736898148149</v>
      </c>
      <c r="P111" s="9">
        <v>45078</v>
      </c>
      <c r="Q111" t="s">
        <v>36</v>
      </c>
      <c r="R111" t="s">
        <v>43</v>
      </c>
      <c r="S111" t="s">
        <v>44</v>
      </c>
      <c r="T111" t="s">
        <v>62</v>
      </c>
      <c r="U111" t="s">
        <v>440</v>
      </c>
      <c r="V111">
        <v>22000</v>
      </c>
      <c r="W111" t="s">
        <v>43</v>
      </c>
      <c r="X111" t="s">
        <v>44</v>
      </c>
      <c r="Y111" t="s">
        <v>48</v>
      </c>
      <c r="Z111" s="10">
        <f t="shared" si="13"/>
        <v>7</v>
      </c>
      <c r="AA111" s="11">
        <v>0</v>
      </c>
      <c r="AB111" s="11">
        <v>0</v>
      </c>
      <c r="AC111" s="11">
        <v>0</v>
      </c>
      <c r="AD111" s="11">
        <v>0</v>
      </c>
      <c r="AE111" s="11">
        <f t="shared" si="8"/>
        <v>0.42</v>
      </c>
      <c r="AF111" s="11">
        <f t="shared" si="9"/>
        <v>7.42</v>
      </c>
      <c r="AG111" t="s">
        <v>43</v>
      </c>
    </row>
    <row r="112" spans="1:33" ht="15" customHeight="1" x14ac:dyDescent="0.35">
      <c r="A112">
        <v>690929</v>
      </c>
      <c r="B112" t="s">
        <v>33</v>
      </c>
      <c r="C112" t="s">
        <v>34</v>
      </c>
      <c r="D112" s="6" t="s">
        <v>33</v>
      </c>
      <c r="E112" t="s">
        <v>441</v>
      </c>
      <c r="F112" t="s">
        <v>36</v>
      </c>
      <c r="G112" t="s">
        <v>37</v>
      </c>
      <c r="H112" t="s">
        <v>442</v>
      </c>
      <c r="I112" t="s">
        <v>39</v>
      </c>
      <c r="J112">
        <v>2</v>
      </c>
      <c r="K112" t="s">
        <v>40</v>
      </c>
      <c r="L112" t="s">
        <v>41</v>
      </c>
      <c r="M112" t="s">
        <v>42</v>
      </c>
      <c r="N112" s="7">
        <v>3</v>
      </c>
      <c r="O112" s="8">
        <v>45077.524456018517</v>
      </c>
      <c r="P112" s="9">
        <v>45078</v>
      </c>
      <c r="Q112" t="s">
        <v>36</v>
      </c>
      <c r="R112" t="s">
        <v>43</v>
      </c>
      <c r="S112" t="s">
        <v>44</v>
      </c>
      <c r="T112" t="s">
        <v>45</v>
      </c>
      <c r="U112" t="s">
        <v>443</v>
      </c>
      <c r="V112">
        <v>68000</v>
      </c>
      <c r="W112" t="s">
        <v>43</v>
      </c>
      <c r="X112" t="s">
        <v>414</v>
      </c>
      <c r="Y112" t="s">
        <v>48</v>
      </c>
      <c r="Z112" s="10">
        <f t="shared" si="13"/>
        <v>8.6</v>
      </c>
      <c r="AA112" s="11">
        <v>0</v>
      </c>
      <c r="AB112" s="11">
        <v>0</v>
      </c>
      <c r="AC112" s="11">
        <v>0</v>
      </c>
      <c r="AD112" s="11">
        <v>0</v>
      </c>
      <c r="AE112" s="11">
        <f t="shared" si="8"/>
        <v>0.51600000000000001</v>
      </c>
      <c r="AF112" s="11">
        <f t="shared" si="9"/>
        <v>9.1159999999999997</v>
      </c>
      <c r="AG112" t="s">
        <v>43</v>
      </c>
    </row>
    <row r="113" spans="1:33" ht="15" customHeight="1" x14ac:dyDescent="0.35">
      <c r="A113">
        <v>690929</v>
      </c>
      <c r="B113" t="s">
        <v>33</v>
      </c>
      <c r="C113" t="s">
        <v>34</v>
      </c>
      <c r="D113" s="6" t="s">
        <v>33</v>
      </c>
      <c r="E113" t="s">
        <v>444</v>
      </c>
      <c r="F113" t="s">
        <v>36</v>
      </c>
      <c r="G113" t="s">
        <v>37</v>
      </c>
      <c r="H113" t="s">
        <v>445</v>
      </c>
      <c r="I113" t="s">
        <v>39</v>
      </c>
      <c r="J113">
        <v>2</v>
      </c>
      <c r="K113" t="s">
        <v>40</v>
      </c>
      <c r="L113" t="s">
        <v>41</v>
      </c>
      <c r="M113" t="s">
        <v>42</v>
      </c>
      <c r="N113" s="7">
        <v>3</v>
      </c>
      <c r="O113" s="8">
        <v>45076.530219907407</v>
      </c>
      <c r="P113" s="9">
        <v>45078</v>
      </c>
      <c r="Q113" t="s">
        <v>36</v>
      </c>
      <c r="R113" t="s">
        <v>43</v>
      </c>
      <c r="S113" t="s">
        <v>44</v>
      </c>
      <c r="T113" t="s">
        <v>316</v>
      </c>
      <c r="U113" t="s">
        <v>446</v>
      </c>
      <c r="V113">
        <v>2600</v>
      </c>
      <c r="W113" t="s">
        <v>43</v>
      </c>
      <c r="X113" t="s">
        <v>335</v>
      </c>
      <c r="Y113" t="s">
        <v>48</v>
      </c>
      <c r="Z113" s="10">
        <f t="shared" si="13"/>
        <v>8.6</v>
      </c>
      <c r="AA113" s="11">
        <v>0</v>
      </c>
      <c r="AB113" s="11">
        <v>0</v>
      </c>
      <c r="AC113" s="11">
        <v>0</v>
      </c>
      <c r="AD113" s="11">
        <v>0</v>
      </c>
      <c r="AE113" s="11">
        <f t="shared" si="8"/>
        <v>0.51600000000000001</v>
      </c>
      <c r="AF113" s="11">
        <f t="shared" si="9"/>
        <v>9.1159999999999997</v>
      </c>
      <c r="AG113" t="s">
        <v>43</v>
      </c>
    </row>
    <row r="114" spans="1:33" ht="15" customHeight="1" x14ac:dyDescent="0.35">
      <c r="A114">
        <v>690929</v>
      </c>
      <c r="B114" t="s">
        <v>33</v>
      </c>
      <c r="C114" t="s">
        <v>34</v>
      </c>
      <c r="D114" s="6" t="s">
        <v>33</v>
      </c>
      <c r="E114" t="s">
        <v>447</v>
      </c>
      <c r="F114" t="s">
        <v>36</v>
      </c>
      <c r="G114" t="s">
        <v>37</v>
      </c>
      <c r="H114" t="s">
        <v>448</v>
      </c>
      <c r="I114" t="s">
        <v>39</v>
      </c>
      <c r="J114">
        <v>2</v>
      </c>
      <c r="K114" t="s">
        <v>40</v>
      </c>
      <c r="L114" t="s">
        <v>41</v>
      </c>
      <c r="M114" t="s">
        <v>42</v>
      </c>
      <c r="N114" s="7">
        <v>1</v>
      </c>
      <c r="O114" s="8">
        <v>45077.613645833335</v>
      </c>
      <c r="P114" s="9">
        <v>45078</v>
      </c>
      <c r="Q114" t="s">
        <v>36</v>
      </c>
      <c r="R114" t="s">
        <v>43</v>
      </c>
      <c r="S114" t="s">
        <v>44</v>
      </c>
      <c r="T114" t="s">
        <v>45</v>
      </c>
      <c r="U114" t="s">
        <v>449</v>
      </c>
      <c r="V114">
        <v>68000</v>
      </c>
      <c r="W114" t="s">
        <v>43</v>
      </c>
      <c r="X114" t="s">
        <v>303</v>
      </c>
      <c r="Y114" t="s">
        <v>48</v>
      </c>
      <c r="Z114" s="10">
        <f t="shared" si="13"/>
        <v>7</v>
      </c>
      <c r="AA114" s="11">
        <v>0</v>
      </c>
      <c r="AB114" s="11">
        <v>0</v>
      </c>
      <c r="AC114" s="11">
        <v>0</v>
      </c>
      <c r="AD114" s="11">
        <v>0</v>
      </c>
      <c r="AE114" s="11">
        <f t="shared" si="8"/>
        <v>0.42</v>
      </c>
      <c r="AF114" s="11">
        <f t="shared" si="9"/>
        <v>7.42</v>
      </c>
      <c r="AG114" t="s">
        <v>43</v>
      </c>
    </row>
    <row r="115" spans="1:33" ht="15" customHeight="1" x14ac:dyDescent="0.35">
      <c r="A115">
        <v>690929</v>
      </c>
      <c r="B115" t="s">
        <v>33</v>
      </c>
      <c r="C115" t="s">
        <v>34</v>
      </c>
      <c r="D115" s="6" t="s">
        <v>33</v>
      </c>
      <c r="E115" t="s">
        <v>450</v>
      </c>
      <c r="F115" t="s">
        <v>36</v>
      </c>
      <c r="G115" t="s">
        <v>37</v>
      </c>
      <c r="H115" t="s">
        <v>451</v>
      </c>
      <c r="I115" t="s">
        <v>39</v>
      </c>
      <c r="J115">
        <v>2</v>
      </c>
      <c r="K115" t="s">
        <v>40</v>
      </c>
      <c r="L115" t="s">
        <v>41</v>
      </c>
      <c r="M115" t="s">
        <v>42</v>
      </c>
      <c r="N115" s="7">
        <v>1</v>
      </c>
      <c r="O115" s="8">
        <v>45074.713182870371</v>
      </c>
      <c r="P115" s="9">
        <v>45078</v>
      </c>
      <c r="Q115" t="s">
        <v>36</v>
      </c>
      <c r="R115" t="s">
        <v>43</v>
      </c>
      <c r="S115" t="s">
        <v>44</v>
      </c>
      <c r="T115" t="s">
        <v>128</v>
      </c>
      <c r="U115" t="s">
        <v>452</v>
      </c>
      <c r="V115">
        <v>81300</v>
      </c>
      <c r="W115" t="s">
        <v>43</v>
      </c>
      <c r="X115" t="s">
        <v>453</v>
      </c>
      <c r="Y115" t="s">
        <v>48</v>
      </c>
      <c r="Z115" s="10">
        <f t="shared" si="13"/>
        <v>7</v>
      </c>
      <c r="AA115" s="11">
        <v>0</v>
      </c>
      <c r="AB115" s="11">
        <v>0</v>
      </c>
      <c r="AC115" s="11">
        <v>0</v>
      </c>
      <c r="AD115" s="11">
        <v>0</v>
      </c>
      <c r="AE115" s="11">
        <f t="shared" si="8"/>
        <v>0.42</v>
      </c>
      <c r="AF115" s="11">
        <f t="shared" si="9"/>
        <v>7.42</v>
      </c>
      <c r="AG115" t="s">
        <v>43</v>
      </c>
    </row>
    <row r="116" spans="1:33" ht="15" customHeight="1" x14ac:dyDescent="0.35">
      <c r="A116">
        <v>690929</v>
      </c>
      <c r="B116" t="s">
        <v>33</v>
      </c>
      <c r="C116" t="s">
        <v>34</v>
      </c>
      <c r="D116" s="6" t="s">
        <v>33</v>
      </c>
      <c r="E116" t="s">
        <v>454</v>
      </c>
      <c r="F116" t="s">
        <v>36</v>
      </c>
      <c r="G116" t="s">
        <v>37</v>
      </c>
      <c r="H116" t="s">
        <v>455</v>
      </c>
      <c r="I116" t="s">
        <v>39</v>
      </c>
      <c r="J116">
        <v>2</v>
      </c>
      <c r="K116" t="s">
        <v>40</v>
      </c>
      <c r="L116" t="s">
        <v>41</v>
      </c>
      <c r="M116" t="s">
        <v>42</v>
      </c>
      <c r="N116" s="7">
        <v>1</v>
      </c>
      <c r="O116" s="8">
        <v>45076.71733796296</v>
      </c>
      <c r="P116" s="9">
        <v>45078</v>
      </c>
      <c r="Q116" t="s">
        <v>36</v>
      </c>
      <c r="R116" t="s">
        <v>43</v>
      </c>
      <c r="S116" t="s">
        <v>44</v>
      </c>
      <c r="T116" t="s">
        <v>45</v>
      </c>
      <c r="U116" t="s">
        <v>456</v>
      </c>
      <c r="V116">
        <v>68100</v>
      </c>
      <c r="W116" t="s">
        <v>43</v>
      </c>
      <c r="X116" t="s">
        <v>85</v>
      </c>
      <c r="Y116" t="s">
        <v>48</v>
      </c>
      <c r="Z116" s="10">
        <f t="shared" si="13"/>
        <v>7</v>
      </c>
      <c r="AA116" s="11">
        <v>0</v>
      </c>
      <c r="AB116" s="11">
        <v>0</v>
      </c>
      <c r="AC116" s="11">
        <v>0</v>
      </c>
      <c r="AD116" s="11">
        <v>0</v>
      </c>
      <c r="AE116" s="11">
        <f t="shared" si="8"/>
        <v>0.42</v>
      </c>
      <c r="AF116" s="11">
        <f t="shared" si="9"/>
        <v>7.42</v>
      </c>
      <c r="AG116" t="s">
        <v>43</v>
      </c>
    </row>
    <row r="117" spans="1:33" ht="15" customHeight="1" x14ac:dyDescent="0.35">
      <c r="A117">
        <v>690929</v>
      </c>
      <c r="B117" t="s">
        <v>33</v>
      </c>
      <c r="C117" t="s">
        <v>34</v>
      </c>
      <c r="D117" s="6" t="s">
        <v>33</v>
      </c>
      <c r="E117" t="s">
        <v>457</v>
      </c>
      <c r="F117" t="s">
        <v>36</v>
      </c>
      <c r="G117" t="s">
        <v>37</v>
      </c>
      <c r="H117" t="s">
        <v>458</v>
      </c>
      <c r="I117" t="s">
        <v>39</v>
      </c>
      <c r="J117">
        <v>2</v>
      </c>
      <c r="K117" t="s">
        <v>40</v>
      </c>
      <c r="L117" t="s">
        <v>41</v>
      </c>
      <c r="M117" t="s">
        <v>42</v>
      </c>
      <c r="N117" s="7">
        <v>7</v>
      </c>
      <c r="O117" s="8">
        <v>45076.735185185185</v>
      </c>
      <c r="P117" s="9">
        <v>45079</v>
      </c>
      <c r="Q117" t="s">
        <v>36</v>
      </c>
      <c r="R117" t="s">
        <v>43</v>
      </c>
      <c r="S117" t="s">
        <v>44</v>
      </c>
      <c r="T117" t="s">
        <v>128</v>
      </c>
      <c r="U117" t="s">
        <v>459</v>
      </c>
      <c r="V117">
        <v>81100</v>
      </c>
      <c r="W117" t="s">
        <v>43</v>
      </c>
      <c r="X117" t="s">
        <v>141</v>
      </c>
      <c r="Y117" t="s">
        <v>48</v>
      </c>
      <c r="Z117" s="10">
        <f t="shared" si="13"/>
        <v>11.8</v>
      </c>
      <c r="AA117" s="11">
        <v>0</v>
      </c>
      <c r="AB117" s="11">
        <v>0</v>
      </c>
      <c r="AC117" s="11">
        <v>0</v>
      </c>
      <c r="AD117" s="11">
        <v>0</v>
      </c>
      <c r="AE117" s="11">
        <f t="shared" si="8"/>
        <v>0.70799999999999996</v>
      </c>
      <c r="AF117" s="11">
        <f t="shared" si="9"/>
        <v>12.508000000000001</v>
      </c>
      <c r="AG117" t="s">
        <v>43</v>
      </c>
    </row>
    <row r="118" spans="1:33" ht="15" customHeight="1" x14ac:dyDescent="0.35">
      <c r="A118">
        <v>690929</v>
      </c>
      <c r="B118" t="s">
        <v>33</v>
      </c>
      <c r="C118" t="s">
        <v>34</v>
      </c>
      <c r="D118" s="6" t="s">
        <v>33</v>
      </c>
      <c r="E118" t="s">
        <v>460</v>
      </c>
      <c r="F118" t="s">
        <v>36</v>
      </c>
      <c r="G118" t="s">
        <v>37</v>
      </c>
      <c r="H118" t="s">
        <v>461</v>
      </c>
      <c r="I118" t="s">
        <v>39</v>
      </c>
      <c r="J118">
        <v>2</v>
      </c>
      <c r="K118" t="s">
        <v>40</v>
      </c>
      <c r="L118" t="s">
        <v>41</v>
      </c>
      <c r="M118" t="s">
        <v>42</v>
      </c>
      <c r="N118" s="7">
        <v>1</v>
      </c>
      <c r="O118" s="8">
        <v>45075.727152777778</v>
      </c>
      <c r="P118" s="9">
        <v>45079</v>
      </c>
      <c r="Q118" t="s">
        <v>36</v>
      </c>
      <c r="R118" t="s">
        <v>43</v>
      </c>
      <c r="S118" t="s">
        <v>44</v>
      </c>
      <c r="T118" t="s">
        <v>92</v>
      </c>
      <c r="U118" t="s">
        <v>462</v>
      </c>
      <c r="V118">
        <v>89857</v>
      </c>
      <c r="W118" t="s">
        <v>94</v>
      </c>
      <c r="X118" t="s">
        <v>463</v>
      </c>
      <c r="Y118" t="s">
        <v>48</v>
      </c>
      <c r="Z118" s="12">
        <f>IF(N118&lt;=1,13,IF(N118&lt;=2,23,IF(N118&lt;=3,35,IF(N118&lt;=4,43,IF(N118&lt;=5,53,IF(N118&lt;=6,63,IF(N118&lt;=7,71,IF(N118&lt;=8,79,IF(N118&lt;=9,87,IF(N118&lt;=10,95,IF(N118&lt;=11,105,IF(N118&lt;=12,114,IF(N118&lt;=13,119,IF(N118&lt;=14,127,IF(N118&lt;=15,135,IF(N118&lt;=16,143,IF(N118&lt;=17,153,IF(N118&lt;=18,163,IF(N118&lt;=19,171,IF(N118&lt;=20,185,IF(N118&lt;=21,193,IF(N118&lt;=22,201,IF(N118&lt;=23,210,IF(N118&lt;=24,220,IF(N118&lt;=25,230,IF(N118&lt;=26,240,IF(N118&lt;=27,250,IF(N118&lt;=28,260,IF(N118&lt;=29,270,IF(N118&lt;=30,280,280+10*ROUNDUP(N118-30,0)))))))))))))))))))))))))))))))</f>
        <v>13</v>
      </c>
      <c r="AA118" s="11">
        <v>0</v>
      </c>
      <c r="AB118" s="11">
        <v>0</v>
      </c>
      <c r="AC118" s="11">
        <v>0</v>
      </c>
      <c r="AD118" s="11">
        <v>0</v>
      </c>
      <c r="AE118" s="11">
        <f t="shared" si="8"/>
        <v>0.78</v>
      </c>
      <c r="AF118" s="11">
        <f t="shared" si="9"/>
        <v>13.78</v>
      </c>
      <c r="AG118" t="s">
        <v>94</v>
      </c>
    </row>
    <row r="119" spans="1:33" ht="15" customHeight="1" x14ac:dyDescent="0.35">
      <c r="A119">
        <v>690929</v>
      </c>
      <c r="B119" t="s">
        <v>33</v>
      </c>
      <c r="C119" t="s">
        <v>34</v>
      </c>
      <c r="D119" s="6" t="s">
        <v>33</v>
      </c>
      <c r="E119" t="s">
        <v>464</v>
      </c>
      <c r="F119" t="s">
        <v>36</v>
      </c>
      <c r="G119" t="s">
        <v>37</v>
      </c>
      <c r="H119" t="s">
        <v>465</v>
      </c>
      <c r="I119" t="s">
        <v>39</v>
      </c>
      <c r="J119">
        <v>2</v>
      </c>
      <c r="K119" t="s">
        <v>40</v>
      </c>
      <c r="L119" t="s">
        <v>41</v>
      </c>
      <c r="M119" t="s">
        <v>42</v>
      </c>
      <c r="N119" s="7">
        <v>1</v>
      </c>
      <c r="O119" s="8">
        <v>45075.72824074074</v>
      </c>
      <c r="P119" s="9">
        <v>45079</v>
      </c>
      <c r="Q119" t="s">
        <v>36</v>
      </c>
      <c r="R119" t="s">
        <v>43</v>
      </c>
      <c r="S119" t="s">
        <v>44</v>
      </c>
      <c r="T119" t="s">
        <v>92</v>
      </c>
      <c r="U119" t="s">
        <v>466</v>
      </c>
      <c r="V119">
        <v>89050</v>
      </c>
      <c r="W119" t="s">
        <v>94</v>
      </c>
      <c r="X119" t="s">
        <v>467</v>
      </c>
      <c r="Y119" t="s">
        <v>48</v>
      </c>
      <c r="Z119" s="12">
        <f>IF(N119&lt;=1,13,IF(N119&lt;=2,23,IF(N119&lt;=3,35,IF(N119&lt;=4,43,IF(N119&lt;=5,53,IF(N119&lt;=6,63,IF(N119&lt;=7,71,IF(N119&lt;=8,79,IF(N119&lt;=9,87,IF(N119&lt;=10,95,IF(N119&lt;=11,105,IF(N119&lt;=12,114,IF(N119&lt;=13,119,IF(N119&lt;=14,127,IF(N119&lt;=15,135,IF(N119&lt;=16,143,IF(N119&lt;=17,153,IF(N119&lt;=18,163,IF(N119&lt;=19,171,IF(N119&lt;=20,185,IF(N119&lt;=21,193,IF(N119&lt;=22,201,IF(N119&lt;=23,210,IF(N119&lt;=24,220,IF(N119&lt;=25,230,IF(N119&lt;=26,240,IF(N119&lt;=27,250,IF(N119&lt;=28,260,IF(N119&lt;=29,270,IF(N119&lt;=30,280,280+10*ROUNDUP(N119-30,0)))))))))))))))))))))))))))))))</f>
        <v>13</v>
      </c>
      <c r="AA119" s="11">
        <v>0</v>
      </c>
      <c r="AB119" s="11">
        <v>0</v>
      </c>
      <c r="AC119" s="11">
        <v>0</v>
      </c>
      <c r="AD119" s="11">
        <v>0</v>
      </c>
      <c r="AE119" s="11">
        <f t="shared" si="8"/>
        <v>0.78</v>
      </c>
      <c r="AF119" s="11">
        <f t="shared" si="9"/>
        <v>13.78</v>
      </c>
      <c r="AG119" t="s">
        <v>94</v>
      </c>
    </row>
    <row r="120" spans="1:33" ht="15" customHeight="1" x14ac:dyDescent="0.35">
      <c r="A120">
        <v>690929</v>
      </c>
      <c r="B120" t="s">
        <v>33</v>
      </c>
      <c r="C120" t="s">
        <v>34</v>
      </c>
      <c r="D120" s="6" t="s">
        <v>33</v>
      </c>
      <c r="E120" t="s">
        <v>468</v>
      </c>
      <c r="F120" t="s">
        <v>36</v>
      </c>
      <c r="G120" t="s">
        <v>37</v>
      </c>
      <c r="H120" t="s">
        <v>469</v>
      </c>
      <c r="I120" t="s">
        <v>39</v>
      </c>
      <c r="J120">
        <v>2</v>
      </c>
      <c r="K120" t="s">
        <v>40</v>
      </c>
      <c r="L120" t="s">
        <v>41</v>
      </c>
      <c r="M120" t="s">
        <v>42</v>
      </c>
      <c r="N120" s="7">
        <v>1</v>
      </c>
      <c r="O120" s="8">
        <v>45078.657326388886</v>
      </c>
      <c r="P120" s="9">
        <v>45079</v>
      </c>
      <c r="Q120" t="s">
        <v>36</v>
      </c>
      <c r="R120" t="s">
        <v>43</v>
      </c>
      <c r="S120" t="s">
        <v>44</v>
      </c>
      <c r="T120" t="s">
        <v>74</v>
      </c>
      <c r="U120" t="s">
        <v>470</v>
      </c>
      <c r="V120">
        <v>47300</v>
      </c>
      <c r="W120" t="s">
        <v>43</v>
      </c>
      <c r="X120" t="s">
        <v>67</v>
      </c>
      <c r="Y120" t="s">
        <v>48</v>
      </c>
      <c r="Z120" s="10">
        <f t="shared" ref="Z120:Z138" si="14">IF(N120&lt;=1,7,7+0.8*ROUNDUP(N120-1,0))</f>
        <v>7</v>
      </c>
      <c r="AA120" s="11">
        <v>0</v>
      </c>
      <c r="AB120" s="11">
        <v>0</v>
      </c>
      <c r="AC120" s="11">
        <v>0</v>
      </c>
      <c r="AD120" s="11">
        <v>0</v>
      </c>
      <c r="AE120" s="11">
        <f t="shared" si="8"/>
        <v>0.42</v>
      </c>
      <c r="AF120" s="11">
        <f t="shared" si="9"/>
        <v>7.42</v>
      </c>
      <c r="AG120" t="s">
        <v>43</v>
      </c>
    </row>
    <row r="121" spans="1:33" ht="15" customHeight="1" x14ac:dyDescent="0.35">
      <c r="A121">
        <v>690929</v>
      </c>
      <c r="B121" t="s">
        <v>33</v>
      </c>
      <c r="C121" t="s">
        <v>34</v>
      </c>
      <c r="D121" s="6" t="s">
        <v>33</v>
      </c>
      <c r="E121" t="s">
        <v>471</v>
      </c>
      <c r="F121" t="s">
        <v>36</v>
      </c>
      <c r="G121" t="s">
        <v>37</v>
      </c>
      <c r="H121" t="s">
        <v>472</v>
      </c>
      <c r="I121" t="s">
        <v>39</v>
      </c>
      <c r="J121">
        <v>2</v>
      </c>
      <c r="K121" t="s">
        <v>40</v>
      </c>
      <c r="L121" t="s">
        <v>41</v>
      </c>
      <c r="M121" t="s">
        <v>42</v>
      </c>
      <c r="N121" s="7">
        <v>1</v>
      </c>
      <c r="O121" s="8">
        <v>45078.40761574074</v>
      </c>
      <c r="P121" s="9">
        <v>45079</v>
      </c>
      <c r="Q121" t="s">
        <v>36</v>
      </c>
      <c r="R121" t="s">
        <v>43</v>
      </c>
      <c r="S121" t="s">
        <v>44</v>
      </c>
      <c r="T121" t="s">
        <v>74</v>
      </c>
      <c r="U121" t="s">
        <v>473</v>
      </c>
      <c r="V121">
        <v>55200</v>
      </c>
      <c r="W121" t="s">
        <v>43</v>
      </c>
      <c r="X121" t="s">
        <v>474</v>
      </c>
      <c r="Y121" t="s">
        <v>48</v>
      </c>
      <c r="Z121" s="10">
        <f t="shared" si="14"/>
        <v>7</v>
      </c>
      <c r="AA121" s="11">
        <v>0</v>
      </c>
      <c r="AB121" s="11">
        <v>0</v>
      </c>
      <c r="AC121" s="11">
        <v>0</v>
      </c>
      <c r="AD121" s="11">
        <v>0</v>
      </c>
      <c r="AE121" s="11">
        <f t="shared" si="8"/>
        <v>0.42</v>
      </c>
      <c r="AF121" s="11">
        <f t="shared" si="9"/>
        <v>7.42</v>
      </c>
      <c r="AG121" t="s">
        <v>43</v>
      </c>
    </row>
    <row r="122" spans="1:33" ht="15" customHeight="1" x14ac:dyDescent="0.35">
      <c r="A122">
        <v>690929</v>
      </c>
      <c r="B122" t="s">
        <v>33</v>
      </c>
      <c r="C122" t="s">
        <v>34</v>
      </c>
      <c r="D122" s="6" t="s">
        <v>33</v>
      </c>
      <c r="E122" t="s">
        <v>475</v>
      </c>
      <c r="F122" t="s">
        <v>36</v>
      </c>
      <c r="G122" t="s">
        <v>37</v>
      </c>
      <c r="H122" t="s">
        <v>458</v>
      </c>
      <c r="I122" t="s">
        <v>39</v>
      </c>
      <c r="J122">
        <v>2</v>
      </c>
      <c r="K122" t="s">
        <v>40</v>
      </c>
      <c r="L122" t="s">
        <v>41</v>
      </c>
      <c r="M122" t="s">
        <v>42</v>
      </c>
      <c r="N122" s="7">
        <v>7</v>
      </c>
      <c r="O122" s="8">
        <v>45076.735185185185</v>
      </c>
      <c r="P122" s="9">
        <v>45079</v>
      </c>
      <c r="Q122" t="s">
        <v>36</v>
      </c>
      <c r="R122" t="s">
        <v>43</v>
      </c>
      <c r="S122" t="s">
        <v>44</v>
      </c>
      <c r="T122" t="s">
        <v>128</v>
      </c>
      <c r="U122" t="s">
        <v>459</v>
      </c>
      <c r="V122">
        <v>81100</v>
      </c>
      <c r="W122" t="s">
        <v>43</v>
      </c>
      <c r="X122" t="s">
        <v>141</v>
      </c>
      <c r="Y122" t="s">
        <v>48</v>
      </c>
      <c r="Z122" s="10">
        <f t="shared" si="14"/>
        <v>11.8</v>
      </c>
      <c r="AA122" s="11">
        <v>0</v>
      </c>
      <c r="AB122" s="11">
        <v>0</v>
      </c>
      <c r="AC122" s="11">
        <v>0</v>
      </c>
      <c r="AD122" s="11">
        <v>0</v>
      </c>
      <c r="AE122" s="11">
        <f t="shared" si="8"/>
        <v>0.70799999999999996</v>
      </c>
      <c r="AF122" s="11">
        <f t="shared" si="9"/>
        <v>12.508000000000001</v>
      </c>
      <c r="AG122" t="s">
        <v>43</v>
      </c>
    </row>
    <row r="123" spans="1:33" ht="15" customHeight="1" x14ac:dyDescent="0.35">
      <c r="A123">
        <v>690929</v>
      </c>
      <c r="B123" t="s">
        <v>33</v>
      </c>
      <c r="C123" t="s">
        <v>34</v>
      </c>
      <c r="D123" s="6" t="s">
        <v>33</v>
      </c>
      <c r="E123" t="s">
        <v>476</v>
      </c>
      <c r="F123" t="s">
        <v>36</v>
      </c>
      <c r="G123" t="s">
        <v>37</v>
      </c>
      <c r="H123" t="s">
        <v>458</v>
      </c>
      <c r="I123" t="s">
        <v>39</v>
      </c>
      <c r="J123">
        <v>2</v>
      </c>
      <c r="K123" t="s">
        <v>40</v>
      </c>
      <c r="L123" t="s">
        <v>41</v>
      </c>
      <c r="M123" t="s">
        <v>42</v>
      </c>
      <c r="N123" s="7">
        <v>7</v>
      </c>
      <c r="O123" s="8">
        <v>45076.735185185185</v>
      </c>
      <c r="P123" s="9">
        <v>45079</v>
      </c>
      <c r="Q123" t="s">
        <v>36</v>
      </c>
      <c r="R123" t="s">
        <v>43</v>
      </c>
      <c r="S123" t="s">
        <v>44</v>
      </c>
      <c r="T123" t="s">
        <v>128</v>
      </c>
      <c r="U123" t="s">
        <v>459</v>
      </c>
      <c r="V123">
        <v>81100</v>
      </c>
      <c r="W123" t="s">
        <v>43</v>
      </c>
      <c r="X123" t="s">
        <v>141</v>
      </c>
      <c r="Y123" t="s">
        <v>48</v>
      </c>
      <c r="Z123" s="10">
        <f t="shared" si="14"/>
        <v>11.8</v>
      </c>
      <c r="AA123" s="11">
        <v>0</v>
      </c>
      <c r="AB123" s="11">
        <v>0</v>
      </c>
      <c r="AC123" s="11">
        <v>0</v>
      </c>
      <c r="AD123" s="11">
        <v>0</v>
      </c>
      <c r="AE123" s="11">
        <f t="shared" si="8"/>
        <v>0.70799999999999996</v>
      </c>
      <c r="AF123" s="11">
        <f t="shared" si="9"/>
        <v>12.508000000000001</v>
      </c>
      <c r="AG123" t="s">
        <v>43</v>
      </c>
    </row>
    <row r="124" spans="1:33" ht="15" customHeight="1" x14ac:dyDescent="0.35">
      <c r="A124">
        <v>690929</v>
      </c>
      <c r="B124" t="s">
        <v>33</v>
      </c>
      <c r="C124" t="s">
        <v>34</v>
      </c>
      <c r="D124" s="6" t="s">
        <v>33</v>
      </c>
      <c r="E124" t="s">
        <v>477</v>
      </c>
      <c r="F124" t="s">
        <v>36</v>
      </c>
      <c r="G124" t="s">
        <v>37</v>
      </c>
      <c r="H124" t="s">
        <v>478</v>
      </c>
      <c r="I124" t="s">
        <v>39</v>
      </c>
      <c r="J124">
        <v>2</v>
      </c>
      <c r="K124" t="s">
        <v>40</v>
      </c>
      <c r="L124" t="s">
        <v>41</v>
      </c>
      <c r="M124" t="s">
        <v>42</v>
      </c>
      <c r="N124" s="7">
        <v>1</v>
      </c>
      <c r="O124" s="8">
        <v>45077.500706018516</v>
      </c>
      <c r="P124" s="9">
        <v>45079</v>
      </c>
      <c r="Q124" t="s">
        <v>36</v>
      </c>
      <c r="R124" t="s">
        <v>43</v>
      </c>
      <c r="S124" t="s">
        <v>44</v>
      </c>
      <c r="T124" t="s">
        <v>133</v>
      </c>
      <c r="U124" t="s">
        <v>479</v>
      </c>
      <c r="V124">
        <v>76450</v>
      </c>
      <c r="W124" t="s">
        <v>43</v>
      </c>
      <c r="X124" t="s">
        <v>67</v>
      </c>
      <c r="Y124" t="s">
        <v>48</v>
      </c>
      <c r="Z124" s="10">
        <f t="shared" si="14"/>
        <v>7</v>
      </c>
      <c r="AA124" s="11">
        <v>0</v>
      </c>
      <c r="AB124" s="11">
        <v>0</v>
      </c>
      <c r="AC124" s="11">
        <v>0</v>
      </c>
      <c r="AD124" s="11">
        <v>0</v>
      </c>
      <c r="AE124" s="11">
        <f t="shared" si="8"/>
        <v>0.42</v>
      </c>
      <c r="AF124" s="11">
        <f t="shared" si="9"/>
        <v>7.42</v>
      </c>
      <c r="AG124" t="s">
        <v>43</v>
      </c>
    </row>
    <row r="125" spans="1:33" ht="15" customHeight="1" x14ac:dyDescent="0.35">
      <c r="A125">
        <v>690929</v>
      </c>
      <c r="B125" t="s">
        <v>33</v>
      </c>
      <c r="C125" t="s">
        <v>34</v>
      </c>
      <c r="D125" s="6" t="s">
        <v>33</v>
      </c>
      <c r="E125" t="s">
        <v>480</v>
      </c>
      <c r="F125" t="s">
        <v>36</v>
      </c>
      <c r="G125" t="s">
        <v>37</v>
      </c>
      <c r="H125" t="s">
        <v>458</v>
      </c>
      <c r="I125" t="s">
        <v>39</v>
      </c>
      <c r="J125">
        <v>2</v>
      </c>
      <c r="K125" t="s">
        <v>40</v>
      </c>
      <c r="L125" t="s">
        <v>41</v>
      </c>
      <c r="M125" t="s">
        <v>42</v>
      </c>
      <c r="N125" s="7">
        <v>8</v>
      </c>
      <c r="O125" s="8">
        <v>45076.735185185185</v>
      </c>
      <c r="P125" s="9">
        <v>45079</v>
      </c>
      <c r="Q125" t="s">
        <v>36</v>
      </c>
      <c r="R125" t="s">
        <v>43</v>
      </c>
      <c r="S125" t="s">
        <v>44</v>
      </c>
      <c r="T125" t="s">
        <v>128</v>
      </c>
      <c r="U125" t="s">
        <v>459</v>
      </c>
      <c r="V125">
        <v>81100</v>
      </c>
      <c r="W125" t="s">
        <v>43</v>
      </c>
      <c r="X125" t="s">
        <v>141</v>
      </c>
      <c r="Y125" t="s">
        <v>48</v>
      </c>
      <c r="Z125" s="10">
        <f t="shared" si="14"/>
        <v>12.600000000000001</v>
      </c>
      <c r="AA125" s="11">
        <v>0</v>
      </c>
      <c r="AB125" s="11">
        <v>0</v>
      </c>
      <c r="AC125" s="11">
        <v>0</v>
      </c>
      <c r="AD125" s="11">
        <v>0</v>
      </c>
      <c r="AE125" s="11">
        <f t="shared" si="8"/>
        <v>0.75600000000000001</v>
      </c>
      <c r="AF125" s="11">
        <f t="shared" si="9"/>
        <v>13.356000000000002</v>
      </c>
      <c r="AG125" t="s">
        <v>43</v>
      </c>
    </row>
    <row r="126" spans="1:33" ht="15" customHeight="1" x14ac:dyDescent="0.35">
      <c r="A126">
        <v>690929</v>
      </c>
      <c r="B126" t="s">
        <v>33</v>
      </c>
      <c r="C126" t="s">
        <v>34</v>
      </c>
      <c r="D126" s="6" t="s">
        <v>33</v>
      </c>
      <c r="E126" t="s">
        <v>481</v>
      </c>
      <c r="F126" t="s">
        <v>36</v>
      </c>
      <c r="G126" t="s">
        <v>37</v>
      </c>
      <c r="H126" t="s">
        <v>458</v>
      </c>
      <c r="I126" t="s">
        <v>39</v>
      </c>
      <c r="J126">
        <v>2</v>
      </c>
      <c r="K126" t="s">
        <v>40</v>
      </c>
      <c r="L126" t="s">
        <v>41</v>
      </c>
      <c r="M126" t="s">
        <v>42</v>
      </c>
      <c r="N126" s="7">
        <v>7</v>
      </c>
      <c r="O126" s="8">
        <v>45076.735185185185</v>
      </c>
      <c r="P126" s="9">
        <v>45079</v>
      </c>
      <c r="Q126" t="s">
        <v>36</v>
      </c>
      <c r="R126" t="s">
        <v>43</v>
      </c>
      <c r="S126" t="s">
        <v>44</v>
      </c>
      <c r="T126" t="s">
        <v>128</v>
      </c>
      <c r="U126" t="s">
        <v>459</v>
      </c>
      <c r="V126">
        <v>81100</v>
      </c>
      <c r="W126" t="s">
        <v>43</v>
      </c>
      <c r="X126" t="s">
        <v>141</v>
      </c>
      <c r="Y126" t="s">
        <v>48</v>
      </c>
      <c r="Z126" s="10">
        <f t="shared" si="14"/>
        <v>11.8</v>
      </c>
      <c r="AA126" s="11">
        <v>0</v>
      </c>
      <c r="AB126" s="11">
        <v>0</v>
      </c>
      <c r="AC126" s="11">
        <v>0</v>
      </c>
      <c r="AD126" s="11">
        <v>0</v>
      </c>
      <c r="AE126" s="11">
        <f t="shared" si="8"/>
        <v>0.70799999999999996</v>
      </c>
      <c r="AF126" s="11">
        <f t="shared" si="9"/>
        <v>12.508000000000001</v>
      </c>
      <c r="AG126" t="s">
        <v>43</v>
      </c>
    </row>
    <row r="127" spans="1:33" ht="15" customHeight="1" x14ac:dyDescent="0.35">
      <c r="A127">
        <v>690929</v>
      </c>
      <c r="B127" t="s">
        <v>33</v>
      </c>
      <c r="C127" t="s">
        <v>34</v>
      </c>
      <c r="D127" s="6" t="s">
        <v>33</v>
      </c>
      <c r="E127" t="s">
        <v>482</v>
      </c>
      <c r="F127" t="s">
        <v>36</v>
      </c>
      <c r="G127" t="s">
        <v>37</v>
      </c>
      <c r="H127" t="s">
        <v>483</v>
      </c>
      <c r="I127" t="s">
        <v>39</v>
      </c>
      <c r="J127">
        <v>2</v>
      </c>
      <c r="K127" t="s">
        <v>40</v>
      </c>
      <c r="L127" t="s">
        <v>41</v>
      </c>
      <c r="M127" t="s">
        <v>42</v>
      </c>
      <c r="N127" s="7">
        <v>1</v>
      </c>
      <c r="O127" s="8">
        <v>45078.675486111111</v>
      </c>
      <c r="P127" s="9">
        <v>45079</v>
      </c>
      <c r="Q127" t="s">
        <v>36</v>
      </c>
      <c r="R127" t="s">
        <v>43</v>
      </c>
      <c r="S127" t="s">
        <v>44</v>
      </c>
      <c r="T127" t="s">
        <v>45</v>
      </c>
      <c r="U127" t="s">
        <v>484</v>
      </c>
      <c r="V127">
        <v>68100</v>
      </c>
      <c r="W127" t="s">
        <v>43</v>
      </c>
      <c r="X127" t="s">
        <v>67</v>
      </c>
      <c r="Y127" t="s">
        <v>48</v>
      </c>
      <c r="Z127" s="10">
        <f t="shared" si="14"/>
        <v>7</v>
      </c>
      <c r="AA127" s="11">
        <v>0</v>
      </c>
      <c r="AB127" s="11">
        <v>0</v>
      </c>
      <c r="AC127" s="11">
        <v>0</v>
      </c>
      <c r="AD127" s="11">
        <v>0</v>
      </c>
      <c r="AE127" s="11">
        <f t="shared" si="8"/>
        <v>0.42</v>
      </c>
      <c r="AF127" s="11">
        <f t="shared" si="9"/>
        <v>7.42</v>
      </c>
      <c r="AG127" t="s">
        <v>43</v>
      </c>
    </row>
    <row r="128" spans="1:33" ht="15" customHeight="1" x14ac:dyDescent="0.35">
      <c r="A128">
        <v>690929</v>
      </c>
      <c r="B128" t="s">
        <v>33</v>
      </c>
      <c r="C128" t="s">
        <v>34</v>
      </c>
      <c r="D128" s="6" t="s">
        <v>33</v>
      </c>
      <c r="E128" t="s">
        <v>485</v>
      </c>
      <c r="F128" t="s">
        <v>36</v>
      </c>
      <c r="G128" t="s">
        <v>37</v>
      </c>
      <c r="H128" t="s">
        <v>486</v>
      </c>
      <c r="I128" t="s">
        <v>39</v>
      </c>
      <c r="J128">
        <v>2</v>
      </c>
      <c r="K128" t="s">
        <v>40</v>
      </c>
      <c r="L128" t="s">
        <v>41</v>
      </c>
      <c r="M128" t="s">
        <v>42</v>
      </c>
      <c r="N128" s="7">
        <v>1</v>
      </c>
      <c r="O128" s="8">
        <v>45077.527997685182</v>
      </c>
      <c r="P128" s="9">
        <v>45079</v>
      </c>
      <c r="Q128" t="s">
        <v>36</v>
      </c>
      <c r="R128" t="s">
        <v>43</v>
      </c>
      <c r="S128" t="s">
        <v>44</v>
      </c>
      <c r="T128" t="s">
        <v>167</v>
      </c>
      <c r="U128" t="s">
        <v>487</v>
      </c>
      <c r="V128">
        <v>11950</v>
      </c>
      <c r="W128" t="s">
        <v>43</v>
      </c>
      <c r="X128" t="s">
        <v>488</v>
      </c>
      <c r="Y128" t="s">
        <v>48</v>
      </c>
      <c r="Z128" s="10">
        <f t="shared" si="14"/>
        <v>7</v>
      </c>
      <c r="AA128" s="11">
        <v>0</v>
      </c>
      <c r="AB128" s="11">
        <v>0</v>
      </c>
      <c r="AC128" s="11">
        <v>0</v>
      </c>
      <c r="AD128" s="11">
        <v>0</v>
      </c>
      <c r="AE128" s="11">
        <f t="shared" si="8"/>
        <v>0.42</v>
      </c>
      <c r="AF128" s="11">
        <f t="shared" si="9"/>
        <v>7.42</v>
      </c>
      <c r="AG128" t="s">
        <v>43</v>
      </c>
    </row>
    <row r="129" spans="1:33" ht="15" customHeight="1" x14ac:dyDescent="0.35">
      <c r="A129">
        <v>690929</v>
      </c>
      <c r="B129" t="s">
        <v>33</v>
      </c>
      <c r="C129" t="s">
        <v>34</v>
      </c>
      <c r="D129" s="6" t="s">
        <v>33</v>
      </c>
      <c r="E129" t="s">
        <v>489</v>
      </c>
      <c r="F129" t="s">
        <v>36</v>
      </c>
      <c r="G129" t="s">
        <v>37</v>
      </c>
      <c r="H129" t="s">
        <v>490</v>
      </c>
      <c r="I129" t="s">
        <v>39</v>
      </c>
      <c r="J129">
        <v>2</v>
      </c>
      <c r="K129" t="s">
        <v>40</v>
      </c>
      <c r="L129" t="s">
        <v>41</v>
      </c>
      <c r="M129" t="s">
        <v>42</v>
      </c>
      <c r="N129" s="7">
        <v>1</v>
      </c>
      <c r="O129" s="8">
        <v>45076.708634259259</v>
      </c>
      <c r="P129" s="9">
        <v>45079</v>
      </c>
      <c r="Q129" t="s">
        <v>36</v>
      </c>
      <c r="R129" t="s">
        <v>43</v>
      </c>
      <c r="S129" t="s">
        <v>44</v>
      </c>
      <c r="T129" t="s">
        <v>316</v>
      </c>
      <c r="U129" t="s">
        <v>491</v>
      </c>
      <c r="V129">
        <v>2500</v>
      </c>
      <c r="W129" t="s">
        <v>43</v>
      </c>
      <c r="X129" t="s">
        <v>318</v>
      </c>
      <c r="Y129" t="s">
        <v>48</v>
      </c>
      <c r="Z129" s="10">
        <f t="shared" si="14"/>
        <v>7</v>
      </c>
      <c r="AA129" s="11">
        <v>0</v>
      </c>
      <c r="AB129" s="11">
        <v>0</v>
      </c>
      <c r="AC129" s="11">
        <v>0</v>
      </c>
      <c r="AD129" s="11">
        <v>0</v>
      </c>
      <c r="AE129" s="11">
        <f t="shared" si="8"/>
        <v>0.42</v>
      </c>
      <c r="AF129" s="11">
        <f t="shared" si="9"/>
        <v>7.42</v>
      </c>
      <c r="AG129" t="s">
        <v>43</v>
      </c>
    </row>
    <row r="130" spans="1:33" ht="15" customHeight="1" x14ac:dyDescent="0.35">
      <c r="A130">
        <v>690929</v>
      </c>
      <c r="B130" t="s">
        <v>33</v>
      </c>
      <c r="C130" t="s">
        <v>34</v>
      </c>
      <c r="D130" s="6" t="s">
        <v>33</v>
      </c>
      <c r="E130" t="s">
        <v>492</v>
      </c>
      <c r="F130" t="s">
        <v>36</v>
      </c>
      <c r="G130" t="s">
        <v>37</v>
      </c>
      <c r="H130" t="s">
        <v>493</v>
      </c>
      <c r="I130" t="s">
        <v>39</v>
      </c>
      <c r="J130">
        <v>2</v>
      </c>
      <c r="K130" t="s">
        <v>40</v>
      </c>
      <c r="L130" t="s">
        <v>41</v>
      </c>
      <c r="M130" t="s">
        <v>42</v>
      </c>
      <c r="N130" s="7">
        <v>3</v>
      </c>
      <c r="O130" s="8">
        <v>45078.645173611112</v>
      </c>
      <c r="P130" s="9">
        <v>45079</v>
      </c>
      <c r="Q130" t="s">
        <v>36</v>
      </c>
      <c r="R130" t="s">
        <v>43</v>
      </c>
      <c r="S130" t="s">
        <v>44</v>
      </c>
      <c r="T130" t="s">
        <v>62</v>
      </c>
      <c r="U130" t="s">
        <v>494</v>
      </c>
      <c r="V130">
        <v>21020</v>
      </c>
      <c r="W130" t="s">
        <v>43</v>
      </c>
      <c r="X130" t="s">
        <v>145</v>
      </c>
      <c r="Y130" t="s">
        <v>48</v>
      </c>
      <c r="Z130" s="10">
        <f t="shared" si="14"/>
        <v>8.6</v>
      </c>
      <c r="AA130" s="11">
        <v>0</v>
      </c>
      <c r="AB130" s="11">
        <v>0</v>
      </c>
      <c r="AC130" s="11">
        <v>0</v>
      </c>
      <c r="AD130" s="11">
        <v>0</v>
      </c>
      <c r="AE130" s="11">
        <f t="shared" ref="AE130:AE193" si="15">(Z130+AB130+AD130)*6%</f>
        <v>0.51600000000000001</v>
      </c>
      <c r="AF130" s="11">
        <f t="shared" ref="AF130:AF193" si="16">Z130+AB130+AD130+AE130</f>
        <v>9.1159999999999997</v>
      </c>
      <c r="AG130" t="s">
        <v>43</v>
      </c>
    </row>
    <row r="131" spans="1:33" ht="15" customHeight="1" x14ac:dyDescent="0.35">
      <c r="A131">
        <v>690929</v>
      </c>
      <c r="B131" t="s">
        <v>33</v>
      </c>
      <c r="C131" t="s">
        <v>34</v>
      </c>
      <c r="D131" s="6" t="s">
        <v>33</v>
      </c>
      <c r="E131" t="s">
        <v>495</v>
      </c>
      <c r="F131" t="s">
        <v>36</v>
      </c>
      <c r="G131" t="s">
        <v>37</v>
      </c>
      <c r="H131" t="s">
        <v>496</v>
      </c>
      <c r="I131" t="s">
        <v>39</v>
      </c>
      <c r="J131">
        <v>2</v>
      </c>
      <c r="K131" t="s">
        <v>40</v>
      </c>
      <c r="L131" t="s">
        <v>41</v>
      </c>
      <c r="M131" t="s">
        <v>42</v>
      </c>
      <c r="N131" s="7">
        <v>1</v>
      </c>
      <c r="O131" s="8">
        <v>45076.708634259259</v>
      </c>
      <c r="P131" s="9">
        <v>45079</v>
      </c>
      <c r="Q131" t="s">
        <v>36</v>
      </c>
      <c r="R131" t="s">
        <v>43</v>
      </c>
      <c r="S131" t="s">
        <v>44</v>
      </c>
      <c r="T131" t="s">
        <v>167</v>
      </c>
      <c r="U131" t="s">
        <v>497</v>
      </c>
      <c r="V131">
        <v>14000</v>
      </c>
      <c r="W131" t="s">
        <v>43</v>
      </c>
      <c r="X131" t="s">
        <v>67</v>
      </c>
      <c r="Y131" t="s">
        <v>48</v>
      </c>
      <c r="Z131" s="10">
        <f t="shared" si="14"/>
        <v>7</v>
      </c>
      <c r="AA131" s="11">
        <v>0</v>
      </c>
      <c r="AB131" s="11">
        <v>0</v>
      </c>
      <c r="AC131" s="11">
        <v>0</v>
      </c>
      <c r="AD131" s="11">
        <v>0</v>
      </c>
      <c r="AE131" s="11">
        <f t="shared" si="15"/>
        <v>0.42</v>
      </c>
      <c r="AF131" s="11">
        <f t="shared" si="16"/>
        <v>7.42</v>
      </c>
      <c r="AG131" t="s">
        <v>43</v>
      </c>
    </row>
    <row r="132" spans="1:33" ht="15" customHeight="1" x14ac:dyDescent="0.35">
      <c r="A132">
        <v>690929</v>
      </c>
      <c r="B132" t="s">
        <v>33</v>
      </c>
      <c r="C132" t="s">
        <v>34</v>
      </c>
      <c r="D132" s="6" t="s">
        <v>33</v>
      </c>
      <c r="E132" t="s">
        <v>498</v>
      </c>
      <c r="F132" t="s">
        <v>36</v>
      </c>
      <c r="G132" t="s">
        <v>37</v>
      </c>
      <c r="H132" t="s">
        <v>61</v>
      </c>
      <c r="I132" t="s">
        <v>39</v>
      </c>
      <c r="J132">
        <v>2</v>
      </c>
      <c r="K132" t="s">
        <v>40</v>
      </c>
      <c r="L132" t="s">
        <v>41</v>
      </c>
      <c r="M132" t="s">
        <v>42</v>
      </c>
      <c r="N132" s="7">
        <v>1</v>
      </c>
      <c r="O132" s="8">
        <v>45078.457881944443</v>
      </c>
      <c r="P132" s="9">
        <v>45079</v>
      </c>
      <c r="Q132" t="s">
        <v>36</v>
      </c>
      <c r="R132" t="s">
        <v>43</v>
      </c>
      <c r="S132" t="s">
        <v>44</v>
      </c>
      <c r="T132" t="s">
        <v>62</v>
      </c>
      <c r="U132" t="s">
        <v>63</v>
      </c>
      <c r="V132">
        <v>22300</v>
      </c>
      <c r="W132" t="s">
        <v>43</v>
      </c>
      <c r="X132" t="s">
        <v>44</v>
      </c>
      <c r="Y132" t="s">
        <v>48</v>
      </c>
      <c r="Z132" s="10">
        <f t="shared" si="14"/>
        <v>7</v>
      </c>
      <c r="AA132" s="11">
        <v>0</v>
      </c>
      <c r="AB132" s="11">
        <v>0</v>
      </c>
      <c r="AC132" s="11">
        <v>0</v>
      </c>
      <c r="AD132" s="11">
        <v>0</v>
      </c>
      <c r="AE132" s="11">
        <f t="shared" si="15"/>
        <v>0.42</v>
      </c>
      <c r="AF132" s="11">
        <f t="shared" si="16"/>
        <v>7.42</v>
      </c>
      <c r="AG132" t="s">
        <v>43</v>
      </c>
    </row>
    <row r="133" spans="1:33" ht="15" customHeight="1" x14ac:dyDescent="0.35">
      <c r="A133">
        <v>690929</v>
      </c>
      <c r="B133" t="s">
        <v>33</v>
      </c>
      <c r="C133" t="s">
        <v>34</v>
      </c>
      <c r="D133" s="6" t="s">
        <v>33</v>
      </c>
      <c r="E133" t="s">
        <v>499</v>
      </c>
      <c r="F133" t="s">
        <v>36</v>
      </c>
      <c r="G133" t="s">
        <v>37</v>
      </c>
      <c r="H133" t="s">
        <v>500</v>
      </c>
      <c r="I133" t="s">
        <v>39</v>
      </c>
      <c r="J133">
        <v>2</v>
      </c>
      <c r="K133" t="s">
        <v>40</v>
      </c>
      <c r="L133" t="s">
        <v>41</v>
      </c>
      <c r="M133" t="s">
        <v>42</v>
      </c>
      <c r="N133" s="7">
        <v>1</v>
      </c>
      <c r="O133" s="8">
        <v>45076.708634259259</v>
      </c>
      <c r="P133" s="9">
        <v>45079</v>
      </c>
      <c r="Q133" t="s">
        <v>36</v>
      </c>
      <c r="R133" t="s">
        <v>43</v>
      </c>
      <c r="S133" t="s">
        <v>44</v>
      </c>
      <c r="T133" t="s">
        <v>128</v>
      </c>
      <c r="U133" t="s">
        <v>501</v>
      </c>
      <c r="V133">
        <v>85300</v>
      </c>
      <c r="W133" t="s">
        <v>43</v>
      </c>
      <c r="X133" t="s">
        <v>502</v>
      </c>
      <c r="Y133" t="s">
        <v>48</v>
      </c>
      <c r="Z133" s="10">
        <f t="shared" si="14"/>
        <v>7</v>
      </c>
      <c r="AA133" s="11">
        <v>0</v>
      </c>
      <c r="AB133" s="11">
        <v>0</v>
      </c>
      <c r="AC133" s="11">
        <v>0</v>
      </c>
      <c r="AD133" s="11">
        <v>0</v>
      </c>
      <c r="AE133" s="11">
        <f t="shared" si="15"/>
        <v>0.42</v>
      </c>
      <c r="AF133" s="11">
        <f t="shared" si="16"/>
        <v>7.42</v>
      </c>
      <c r="AG133" t="s">
        <v>43</v>
      </c>
    </row>
    <row r="134" spans="1:33" ht="15" customHeight="1" x14ac:dyDescent="0.35">
      <c r="A134">
        <v>690929</v>
      </c>
      <c r="B134" t="s">
        <v>33</v>
      </c>
      <c r="C134" t="s">
        <v>34</v>
      </c>
      <c r="D134" s="6" t="s">
        <v>33</v>
      </c>
      <c r="E134" t="s">
        <v>503</v>
      </c>
      <c r="F134" t="s">
        <v>36</v>
      </c>
      <c r="G134" t="s">
        <v>37</v>
      </c>
      <c r="H134" t="s">
        <v>504</v>
      </c>
      <c r="I134" t="s">
        <v>39</v>
      </c>
      <c r="J134">
        <v>2</v>
      </c>
      <c r="K134" t="s">
        <v>40</v>
      </c>
      <c r="L134" t="s">
        <v>41</v>
      </c>
      <c r="M134" t="s">
        <v>42</v>
      </c>
      <c r="N134" s="7">
        <v>2.1</v>
      </c>
      <c r="O134" s="8">
        <v>45078.744803240741</v>
      </c>
      <c r="P134" s="9">
        <v>45080</v>
      </c>
      <c r="Q134" t="s">
        <v>36</v>
      </c>
      <c r="R134" t="s">
        <v>43</v>
      </c>
      <c r="S134" t="s">
        <v>123</v>
      </c>
      <c r="T134" t="s">
        <v>45</v>
      </c>
      <c r="U134" t="s">
        <v>505</v>
      </c>
      <c r="V134">
        <v>43000</v>
      </c>
      <c r="W134" t="s">
        <v>43</v>
      </c>
      <c r="X134" t="s">
        <v>52</v>
      </c>
      <c r="Y134" t="s">
        <v>48</v>
      </c>
      <c r="Z134" s="10">
        <f t="shared" si="14"/>
        <v>8.6</v>
      </c>
      <c r="AA134" s="11">
        <v>0</v>
      </c>
      <c r="AB134" s="11">
        <v>0</v>
      </c>
      <c r="AC134" s="11">
        <v>0</v>
      </c>
      <c r="AD134" s="11">
        <v>0</v>
      </c>
      <c r="AE134" s="11">
        <f t="shared" si="15"/>
        <v>0.51600000000000001</v>
      </c>
      <c r="AF134" s="11">
        <f t="shared" si="16"/>
        <v>9.1159999999999997</v>
      </c>
      <c r="AG134" t="s">
        <v>43</v>
      </c>
    </row>
    <row r="135" spans="1:33" ht="15" customHeight="1" x14ac:dyDescent="0.35">
      <c r="A135">
        <v>690929</v>
      </c>
      <c r="B135" t="s">
        <v>33</v>
      </c>
      <c r="C135" t="s">
        <v>34</v>
      </c>
      <c r="D135" s="6" t="s">
        <v>33</v>
      </c>
      <c r="E135" t="s">
        <v>506</v>
      </c>
      <c r="F135" t="s">
        <v>36</v>
      </c>
      <c r="G135" t="s">
        <v>37</v>
      </c>
      <c r="H135" t="s">
        <v>507</v>
      </c>
      <c r="I135" t="s">
        <v>39</v>
      </c>
      <c r="J135">
        <v>2</v>
      </c>
      <c r="K135" t="s">
        <v>40</v>
      </c>
      <c r="L135" t="s">
        <v>41</v>
      </c>
      <c r="M135" t="s">
        <v>42</v>
      </c>
      <c r="N135" s="7">
        <v>1</v>
      </c>
      <c r="O135" s="8">
        <v>45078.70208333333</v>
      </c>
      <c r="P135" s="9">
        <v>45080</v>
      </c>
      <c r="Q135" t="s">
        <v>36</v>
      </c>
      <c r="R135" t="s">
        <v>43</v>
      </c>
      <c r="S135" t="s">
        <v>44</v>
      </c>
      <c r="T135" t="s">
        <v>128</v>
      </c>
      <c r="U135" t="s">
        <v>508</v>
      </c>
      <c r="V135">
        <v>81700</v>
      </c>
      <c r="W135" t="s">
        <v>43</v>
      </c>
      <c r="X135" t="s">
        <v>509</v>
      </c>
      <c r="Y135" t="s">
        <v>48</v>
      </c>
      <c r="Z135" s="10">
        <f t="shared" si="14"/>
        <v>7</v>
      </c>
      <c r="AA135" s="11">
        <v>0</v>
      </c>
      <c r="AB135" s="11">
        <v>0</v>
      </c>
      <c r="AC135" s="11">
        <v>0</v>
      </c>
      <c r="AD135" s="11">
        <v>0</v>
      </c>
      <c r="AE135" s="11">
        <f t="shared" si="15"/>
        <v>0.42</v>
      </c>
      <c r="AF135" s="11">
        <f t="shared" si="16"/>
        <v>7.42</v>
      </c>
      <c r="AG135" t="s">
        <v>43</v>
      </c>
    </row>
    <row r="136" spans="1:33" ht="15" customHeight="1" x14ac:dyDescent="0.35">
      <c r="A136">
        <v>690929</v>
      </c>
      <c r="B136" t="s">
        <v>33</v>
      </c>
      <c r="C136" t="s">
        <v>34</v>
      </c>
      <c r="D136" s="6" t="s">
        <v>33</v>
      </c>
      <c r="E136" t="s">
        <v>510</v>
      </c>
      <c r="F136" t="s">
        <v>36</v>
      </c>
      <c r="G136" t="s">
        <v>37</v>
      </c>
      <c r="H136" t="s">
        <v>511</v>
      </c>
      <c r="I136" t="s">
        <v>39</v>
      </c>
      <c r="J136">
        <v>2</v>
      </c>
      <c r="K136" t="s">
        <v>40</v>
      </c>
      <c r="L136" t="s">
        <v>41</v>
      </c>
      <c r="M136" t="s">
        <v>42</v>
      </c>
      <c r="N136" s="7">
        <v>1</v>
      </c>
      <c r="O136" s="8">
        <v>45078.446550925924</v>
      </c>
      <c r="P136" s="9">
        <v>45080</v>
      </c>
      <c r="Q136" t="s">
        <v>36</v>
      </c>
      <c r="R136" t="s">
        <v>43</v>
      </c>
      <c r="S136" t="s">
        <v>44</v>
      </c>
      <c r="T136" t="s">
        <v>118</v>
      </c>
      <c r="U136" t="s">
        <v>512</v>
      </c>
      <c r="V136">
        <v>71200</v>
      </c>
      <c r="W136" t="s">
        <v>43</v>
      </c>
      <c r="X136" t="s">
        <v>288</v>
      </c>
      <c r="Y136" t="s">
        <v>48</v>
      </c>
      <c r="Z136" s="10">
        <f t="shared" si="14"/>
        <v>7</v>
      </c>
      <c r="AA136" s="11">
        <v>0</v>
      </c>
      <c r="AB136" s="11">
        <v>0</v>
      </c>
      <c r="AC136" s="11">
        <v>0</v>
      </c>
      <c r="AD136" s="11">
        <v>0</v>
      </c>
      <c r="AE136" s="11">
        <f t="shared" si="15"/>
        <v>0.42</v>
      </c>
      <c r="AF136" s="11">
        <f t="shared" si="16"/>
        <v>7.42</v>
      </c>
      <c r="AG136" t="s">
        <v>43</v>
      </c>
    </row>
    <row r="137" spans="1:33" ht="15" customHeight="1" x14ac:dyDescent="0.35">
      <c r="A137">
        <v>690929</v>
      </c>
      <c r="B137" t="s">
        <v>33</v>
      </c>
      <c r="C137" t="s">
        <v>34</v>
      </c>
      <c r="D137" s="6" t="s">
        <v>33</v>
      </c>
      <c r="E137" t="s">
        <v>513</v>
      </c>
      <c r="F137" t="s">
        <v>36</v>
      </c>
      <c r="G137" t="s">
        <v>37</v>
      </c>
      <c r="H137" t="s">
        <v>514</v>
      </c>
      <c r="I137" t="s">
        <v>39</v>
      </c>
      <c r="J137">
        <v>2</v>
      </c>
      <c r="K137" t="s">
        <v>40</v>
      </c>
      <c r="L137" t="s">
        <v>41</v>
      </c>
      <c r="M137" t="s">
        <v>42</v>
      </c>
      <c r="N137" s="7">
        <v>1</v>
      </c>
      <c r="O137" s="8">
        <v>45080.623379629629</v>
      </c>
      <c r="P137" s="9">
        <v>45081</v>
      </c>
      <c r="Q137" t="s">
        <v>36</v>
      </c>
      <c r="R137" t="s">
        <v>43</v>
      </c>
      <c r="S137" t="s">
        <v>44</v>
      </c>
      <c r="T137" t="s">
        <v>62</v>
      </c>
      <c r="U137" t="s">
        <v>515</v>
      </c>
      <c r="V137">
        <v>21080</v>
      </c>
      <c r="W137" t="s">
        <v>43</v>
      </c>
      <c r="X137" t="s">
        <v>44</v>
      </c>
      <c r="Y137" t="s">
        <v>48</v>
      </c>
      <c r="Z137" s="10">
        <f t="shared" si="14"/>
        <v>7</v>
      </c>
      <c r="AA137" s="11">
        <v>0</v>
      </c>
      <c r="AB137" s="11">
        <v>0</v>
      </c>
      <c r="AC137" s="11">
        <v>0</v>
      </c>
      <c r="AD137" s="11">
        <v>0</v>
      </c>
      <c r="AE137" s="11">
        <f t="shared" si="15"/>
        <v>0.42</v>
      </c>
      <c r="AF137" s="11">
        <f t="shared" si="16"/>
        <v>7.42</v>
      </c>
      <c r="AG137" t="s">
        <v>43</v>
      </c>
    </row>
    <row r="138" spans="1:33" ht="15" customHeight="1" x14ac:dyDescent="0.35">
      <c r="A138">
        <v>690929</v>
      </c>
      <c r="B138" t="s">
        <v>33</v>
      </c>
      <c r="C138" t="s">
        <v>34</v>
      </c>
      <c r="D138" s="6" t="s">
        <v>33</v>
      </c>
      <c r="E138" t="s">
        <v>516</v>
      </c>
      <c r="F138" t="s">
        <v>36</v>
      </c>
      <c r="G138" t="s">
        <v>37</v>
      </c>
      <c r="H138" t="s">
        <v>517</v>
      </c>
      <c r="I138" t="s">
        <v>39</v>
      </c>
      <c r="J138">
        <v>2</v>
      </c>
      <c r="K138" t="s">
        <v>40</v>
      </c>
      <c r="L138" t="s">
        <v>41</v>
      </c>
      <c r="M138" t="s">
        <v>42</v>
      </c>
      <c r="N138" s="7">
        <v>1</v>
      </c>
      <c r="O138" s="8">
        <v>45080.608969907407</v>
      </c>
      <c r="P138" s="9">
        <v>45081</v>
      </c>
      <c r="Q138" t="s">
        <v>36</v>
      </c>
      <c r="R138" t="s">
        <v>43</v>
      </c>
      <c r="S138" t="s">
        <v>44</v>
      </c>
      <c r="T138" t="s">
        <v>106</v>
      </c>
      <c r="U138" t="s">
        <v>518</v>
      </c>
      <c r="V138">
        <v>28740</v>
      </c>
      <c r="W138" t="s">
        <v>43</v>
      </c>
      <c r="X138" t="s">
        <v>44</v>
      </c>
      <c r="Y138" t="s">
        <v>48</v>
      </c>
      <c r="Z138" s="10">
        <f t="shared" si="14"/>
        <v>7</v>
      </c>
      <c r="AA138" s="11">
        <v>0</v>
      </c>
      <c r="AB138" s="11">
        <v>0</v>
      </c>
      <c r="AC138" s="11">
        <v>0</v>
      </c>
      <c r="AD138" s="11">
        <v>0</v>
      </c>
      <c r="AE138" s="11">
        <f t="shared" si="15"/>
        <v>0.42</v>
      </c>
      <c r="AF138" s="11">
        <f t="shared" si="16"/>
        <v>7.42</v>
      </c>
      <c r="AG138" t="s">
        <v>43</v>
      </c>
    </row>
    <row r="139" spans="1:33" ht="15" customHeight="1" x14ac:dyDescent="0.35">
      <c r="A139">
        <v>690929</v>
      </c>
      <c r="B139" t="s">
        <v>33</v>
      </c>
      <c r="C139" t="s">
        <v>34</v>
      </c>
      <c r="D139" s="6" t="s">
        <v>33</v>
      </c>
      <c r="E139" t="s">
        <v>519</v>
      </c>
      <c r="F139" t="s">
        <v>36</v>
      </c>
      <c r="G139" t="s">
        <v>37</v>
      </c>
      <c r="H139" t="s">
        <v>520</v>
      </c>
      <c r="I139" t="s">
        <v>39</v>
      </c>
      <c r="J139">
        <v>2</v>
      </c>
      <c r="K139" t="s">
        <v>40</v>
      </c>
      <c r="L139" t="s">
        <v>41</v>
      </c>
      <c r="M139" t="s">
        <v>42</v>
      </c>
      <c r="N139" s="7">
        <v>1</v>
      </c>
      <c r="O139" s="8">
        <v>45076.6640625</v>
      </c>
      <c r="P139" s="9">
        <v>45081</v>
      </c>
      <c r="Q139" t="s">
        <v>36</v>
      </c>
      <c r="R139" t="s">
        <v>43</v>
      </c>
      <c r="S139" t="s">
        <v>44</v>
      </c>
      <c r="T139" t="s">
        <v>521</v>
      </c>
      <c r="U139" t="s">
        <v>522</v>
      </c>
      <c r="V139">
        <v>93677</v>
      </c>
      <c r="W139" t="s">
        <v>94</v>
      </c>
      <c r="X139" t="s">
        <v>523</v>
      </c>
      <c r="Y139" t="s">
        <v>48</v>
      </c>
      <c r="Z139" s="12">
        <f>IF(N139&lt;=1,13,IF(N139&lt;=2,23,IF(N139&lt;=3,35,IF(N139&lt;=4,43,IF(N139&lt;=5,53,IF(N139&lt;=6,63,IF(N139&lt;=7,71,IF(N139&lt;=8,79,IF(N139&lt;=9,87,IF(N139&lt;=10,95,IF(N139&lt;=11,105,IF(N139&lt;=12,114,IF(N139&lt;=13,119,IF(N139&lt;=14,127,IF(N139&lt;=15,135,IF(N139&lt;=16,143,IF(N139&lt;=17,153,IF(N139&lt;=18,163,IF(N139&lt;=19,171,IF(N139&lt;=20,185,IF(N139&lt;=21,193,IF(N139&lt;=22,201,IF(N139&lt;=23,210,IF(N139&lt;=24,220,IF(N139&lt;=25,230,IF(N139&lt;=26,240,IF(N139&lt;=27,250,IF(N139&lt;=28,260,IF(N139&lt;=29,270,IF(N139&lt;=30,280,280+10*ROUNDUP(N139-30,0)))))))))))))))))))))))))))))))</f>
        <v>13</v>
      </c>
      <c r="AA139" s="11">
        <v>0</v>
      </c>
      <c r="AB139" s="11">
        <v>0</v>
      </c>
      <c r="AC139" s="11">
        <v>0</v>
      </c>
      <c r="AD139" s="11">
        <v>0</v>
      </c>
      <c r="AE139" s="11">
        <f t="shared" si="15"/>
        <v>0.78</v>
      </c>
      <c r="AF139" s="11">
        <f t="shared" si="16"/>
        <v>13.78</v>
      </c>
      <c r="AG139" t="s">
        <v>94</v>
      </c>
    </row>
    <row r="140" spans="1:33" ht="15" customHeight="1" x14ac:dyDescent="0.35">
      <c r="A140">
        <v>690929</v>
      </c>
      <c r="B140" t="s">
        <v>33</v>
      </c>
      <c r="C140" t="s">
        <v>34</v>
      </c>
      <c r="D140" s="6" t="s">
        <v>33</v>
      </c>
      <c r="E140" t="s">
        <v>524</v>
      </c>
      <c r="F140" t="s">
        <v>36</v>
      </c>
      <c r="G140" t="s">
        <v>37</v>
      </c>
      <c r="H140" t="s">
        <v>525</v>
      </c>
      <c r="I140" t="s">
        <v>39</v>
      </c>
      <c r="J140">
        <v>2</v>
      </c>
      <c r="K140" t="s">
        <v>40</v>
      </c>
      <c r="L140" t="s">
        <v>41</v>
      </c>
      <c r="M140" t="s">
        <v>42</v>
      </c>
      <c r="N140" s="7">
        <v>3</v>
      </c>
      <c r="O140" s="8">
        <v>45080.673495370371</v>
      </c>
      <c r="P140" s="9">
        <v>45081</v>
      </c>
      <c r="Q140" t="s">
        <v>36</v>
      </c>
      <c r="R140" t="s">
        <v>43</v>
      </c>
      <c r="S140" t="s">
        <v>44</v>
      </c>
      <c r="T140" t="s">
        <v>45</v>
      </c>
      <c r="U140" t="s">
        <v>526</v>
      </c>
      <c r="V140">
        <v>42000</v>
      </c>
      <c r="W140" t="s">
        <v>43</v>
      </c>
      <c r="X140" t="s">
        <v>527</v>
      </c>
      <c r="Y140" t="s">
        <v>48</v>
      </c>
      <c r="Z140" s="10">
        <f t="shared" ref="Z140:Z166" si="17">IF(N140&lt;=1,7,7+0.8*ROUNDUP(N140-1,0))</f>
        <v>8.6</v>
      </c>
      <c r="AA140" s="11">
        <v>0</v>
      </c>
      <c r="AB140" s="11">
        <v>0</v>
      </c>
      <c r="AC140" s="11">
        <v>0</v>
      </c>
      <c r="AD140" s="11">
        <v>0</v>
      </c>
      <c r="AE140" s="11">
        <f t="shared" si="15"/>
        <v>0.51600000000000001</v>
      </c>
      <c r="AF140" s="11">
        <f t="shared" si="16"/>
        <v>9.1159999999999997</v>
      </c>
      <c r="AG140" t="s">
        <v>43</v>
      </c>
    </row>
    <row r="141" spans="1:33" ht="15" customHeight="1" x14ac:dyDescent="0.35">
      <c r="A141">
        <v>690929</v>
      </c>
      <c r="B141" t="s">
        <v>33</v>
      </c>
      <c r="C141" t="s">
        <v>34</v>
      </c>
      <c r="D141" s="6" t="s">
        <v>33</v>
      </c>
      <c r="E141" t="s">
        <v>528</v>
      </c>
      <c r="F141" t="s">
        <v>36</v>
      </c>
      <c r="G141" t="s">
        <v>37</v>
      </c>
      <c r="H141" t="s">
        <v>529</v>
      </c>
      <c r="I141" t="s">
        <v>39</v>
      </c>
      <c r="J141">
        <v>2</v>
      </c>
      <c r="K141" t="s">
        <v>40</v>
      </c>
      <c r="L141" t="s">
        <v>41</v>
      </c>
      <c r="M141" t="s">
        <v>42</v>
      </c>
      <c r="N141" s="7">
        <v>1</v>
      </c>
      <c r="O141" s="8">
        <v>45078.711238425924</v>
      </c>
      <c r="P141" s="9">
        <v>45081</v>
      </c>
      <c r="Q141" t="s">
        <v>36</v>
      </c>
      <c r="R141" t="s">
        <v>43</v>
      </c>
      <c r="S141" t="s">
        <v>44</v>
      </c>
      <c r="T141" t="s">
        <v>106</v>
      </c>
      <c r="U141" t="s">
        <v>530</v>
      </c>
      <c r="V141">
        <v>28000</v>
      </c>
      <c r="W141" t="s">
        <v>43</v>
      </c>
      <c r="X141" t="s">
        <v>44</v>
      </c>
      <c r="Y141" t="s">
        <v>48</v>
      </c>
      <c r="Z141" s="10">
        <f t="shared" si="17"/>
        <v>7</v>
      </c>
      <c r="AA141" s="11">
        <v>0</v>
      </c>
      <c r="AB141" s="11">
        <v>0</v>
      </c>
      <c r="AC141" s="11">
        <v>0</v>
      </c>
      <c r="AD141" s="11">
        <v>0</v>
      </c>
      <c r="AE141" s="11">
        <f t="shared" si="15"/>
        <v>0.42</v>
      </c>
      <c r="AF141" s="11">
        <f t="shared" si="16"/>
        <v>7.42</v>
      </c>
      <c r="AG141" t="s">
        <v>43</v>
      </c>
    </row>
    <row r="142" spans="1:33" ht="15" customHeight="1" x14ac:dyDescent="0.35">
      <c r="A142">
        <v>690929</v>
      </c>
      <c r="B142" t="s">
        <v>33</v>
      </c>
      <c r="C142" t="s">
        <v>34</v>
      </c>
      <c r="D142" s="6" t="s">
        <v>33</v>
      </c>
      <c r="E142" t="s">
        <v>531</v>
      </c>
      <c r="F142" t="s">
        <v>36</v>
      </c>
      <c r="G142" t="s">
        <v>37</v>
      </c>
      <c r="H142" t="s">
        <v>532</v>
      </c>
      <c r="I142" t="s">
        <v>39</v>
      </c>
      <c r="J142">
        <v>2</v>
      </c>
      <c r="K142" t="s">
        <v>40</v>
      </c>
      <c r="L142" t="s">
        <v>41</v>
      </c>
      <c r="M142" t="s">
        <v>42</v>
      </c>
      <c r="N142" s="7">
        <v>1</v>
      </c>
      <c r="O142" s="8">
        <v>45080.692303240743</v>
      </c>
      <c r="P142" s="9">
        <v>45081</v>
      </c>
      <c r="Q142" t="s">
        <v>36</v>
      </c>
      <c r="R142" t="s">
        <v>43</v>
      </c>
      <c r="S142" t="s">
        <v>44</v>
      </c>
      <c r="T142" t="s">
        <v>157</v>
      </c>
      <c r="U142" t="s">
        <v>533</v>
      </c>
      <c r="V142">
        <v>18500</v>
      </c>
      <c r="W142" t="s">
        <v>43</v>
      </c>
      <c r="X142" t="s">
        <v>44</v>
      </c>
      <c r="Y142" t="s">
        <v>48</v>
      </c>
      <c r="Z142" s="10">
        <f t="shared" si="17"/>
        <v>7</v>
      </c>
      <c r="AA142" s="11">
        <v>0</v>
      </c>
      <c r="AB142" s="11">
        <v>0</v>
      </c>
      <c r="AC142" s="11">
        <v>0</v>
      </c>
      <c r="AD142" s="11">
        <v>0</v>
      </c>
      <c r="AE142" s="11">
        <f t="shared" si="15"/>
        <v>0.42</v>
      </c>
      <c r="AF142" s="11">
        <f t="shared" si="16"/>
        <v>7.42</v>
      </c>
      <c r="AG142" t="s">
        <v>43</v>
      </c>
    </row>
    <row r="143" spans="1:33" ht="15" customHeight="1" x14ac:dyDescent="0.35">
      <c r="A143">
        <v>690929</v>
      </c>
      <c r="B143" t="s">
        <v>33</v>
      </c>
      <c r="C143" t="s">
        <v>34</v>
      </c>
      <c r="D143" s="6" t="s">
        <v>33</v>
      </c>
      <c r="E143" t="s">
        <v>534</v>
      </c>
      <c r="F143" t="s">
        <v>36</v>
      </c>
      <c r="G143" t="s">
        <v>37</v>
      </c>
      <c r="H143" t="s">
        <v>535</v>
      </c>
      <c r="I143" t="s">
        <v>39</v>
      </c>
      <c r="J143">
        <v>2</v>
      </c>
      <c r="K143" t="s">
        <v>40</v>
      </c>
      <c r="L143" t="s">
        <v>41</v>
      </c>
      <c r="M143" t="s">
        <v>42</v>
      </c>
      <c r="N143" s="7">
        <v>2</v>
      </c>
      <c r="O143" s="8">
        <v>45080.676782407405</v>
      </c>
      <c r="P143" s="9">
        <v>45083</v>
      </c>
      <c r="Q143" t="s">
        <v>36</v>
      </c>
      <c r="R143" t="s">
        <v>43</v>
      </c>
      <c r="S143" t="s">
        <v>44</v>
      </c>
      <c r="T143" t="s">
        <v>128</v>
      </c>
      <c r="U143" t="s">
        <v>536</v>
      </c>
      <c r="V143">
        <v>81100</v>
      </c>
      <c r="W143" t="s">
        <v>43</v>
      </c>
      <c r="X143" t="s">
        <v>141</v>
      </c>
      <c r="Y143" t="s">
        <v>48</v>
      </c>
      <c r="Z143" s="10">
        <f t="shared" si="17"/>
        <v>7.8</v>
      </c>
      <c r="AA143" s="11">
        <v>0</v>
      </c>
      <c r="AB143" s="11">
        <v>0</v>
      </c>
      <c r="AC143" s="11">
        <v>0</v>
      </c>
      <c r="AD143" s="11">
        <v>0</v>
      </c>
      <c r="AE143" s="11">
        <f t="shared" si="15"/>
        <v>0.46799999999999997</v>
      </c>
      <c r="AF143" s="11">
        <f t="shared" si="16"/>
        <v>8.2680000000000007</v>
      </c>
      <c r="AG143" t="s">
        <v>43</v>
      </c>
    </row>
    <row r="144" spans="1:33" ht="15" customHeight="1" x14ac:dyDescent="0.35">
      <c r="A144">
        <v>690929</v>
      </c>
      <c r="B144" t="s">
        <v>33</v>
      </c>
      <c r="C144" t="s">
        <v>34</v>
      </c>
      <c r="D144" s="6" t="s">
        <v>33</v>
      </c>
      <c r="E144" t="s">
        <v>537</v>
      </c>
      <c r="F144" t="s">
        <v>36</v>
      </c>
      <c r="G144" t="s">
        <v>37</v>
      </c>
      <c r="H144" t="s">
        <v>538</v>
      </c>
      <c r="I144" t="s">
        <v>39</v>
      </c>
      <c r="J144">
        <v>2</v>
      </c>
      <c r="K144" t="s">
        <v>40</v>
      </c>
      <c r="L144" t="s">
        <v>41</v>
      </c>
      <c r="M144" t="s">
        <v>42</v>
      </c>
      <c r="N144" s="7">
        <v>3</v>
      </c>
      <c r="O144" s="8">
        <v>45080.651747685188</v>
      </c>
      <c r="P144" s="9">
        <v>45083</v>
      </c>
      <c r="Q144" t="s">
        <v>36</v>
      </c>
      <c r="R144" t="s">
        <v>43</v>
      </c>
      <c r="S144" t="s">
        <v>44</v>
      </c>
      <c r="T144" t="s">
        <v>128</v>
      </c>
      <c r="U144" t="s">
        <v>539</v>
      </c>
      <c r="V144">
        <v>83600</v>
      </c>
      <c r="W144" t="s">
        <v>43</v>
      </c>
      <c r="X144" t="s">
        <v>226</v>
      </c>
      <c r="Y144" t="s">
        <v>48</v>
      </c>
      <c r="Z144" s="10">
        <f t="shared" si="17"/>
        <v>8.6</v>
      </c>
      <c r="AA144" s="11">
        <v>0</v>
      </c>
      <c r="AB144" s="11">
        <v>0</v>
      </c>
      <c r="AC144" s="11">
        <v>0</v>
      </c>
      <c r="AD144" s="11">
        <v>0</v>
      </c>
      <c r="AE144" s="11">
        <f t="shared" si="15"/>
        <v>0.51600000000000001</v>
      </c>
      <c r="AF144" s="11">
        <f t="shared" si="16"/>
        <v>9.1159999999999997</v>
      </c>
      <c r="AG144" t="s">
        <v>43</v>
      </c>
    </row>
    <row r="145" spans="1:33" ht="15" customHeight="1" x14ac:dyDescent="0.35">
      <c r="A145">
        <v>690929</v>
      </c>
      <c r="B145" t="s">
        <v>33</v>
      </c>
      <c r="C145" t="s">
        <v>34</v>
      </c>
      <c r="D145" s="6" t="s">
        <v>33</v>
      </c>
      <c r="E145" t="s">
        <v>540</v>
      </c>
      <c r="F145" t="s">
        <v>36</v>
      </c>
      <c r="G145" t="s">
        <v>37</v>
      </c>
      <c r="H145" t="s">
        <v>541</v>
      </c>
      <c r="I145" t="s">
        <v>39</v>
      </c>
      <c r="J145">
        <v>2</v>
      </c>
      <c r="K145" t="s">
        <v>40</v>
      </c>
      <c r="L145" t="s">
        <v>41</v>
      </c>
      <c r="M145" t="s">
        <v>42</v>
      </c>
      <c r="N145" s="7">
        <v>1</v>
      </c>
      <c r="O145" s="8">
        <v>45081.651053240741</v>
      </c>
      <c r="P145" s="9">
        <v>45083</v>
      </c>
      <c r="Q145" t="s">
        <v>36</v>
      </c>
      <c r="R145" t="s">
        <v>43</v>
      </c>
      <c r="S145" t="s">
        <v>44</v>
      </c>
      <c r="T145" t="s">
        <v>74</v>
      </c>
      <c r="U145" t="s">
        <v>542</v>
      </c>
      <c r="V145">
        <v>51100</v>
      </c>
      <c r="W145" t="s">
        <v>43</v>
      </c>
      <c r="X145" t="s">
        <v>543</v>
      </c>
      <c r="Y145" t="s">
        <v>48</v>
      </c>
      <c r="Z145" s="10">
        <f t="shared" si="17"/>
        <v>7</v>
      </c>
      <c r="AA145" s="11">
        <v>0</v>
      </c>
      <c r="AB145" s="11">
        <v>0</v>
      </c>
      <c r="AC145" s="11">
        <v>0</v>
      </c>
      <c r="AD145" s="11">
        <v>0</v>
      </c>
      <c r="AE145" s="11">
        <f t="shared" si="15"/>
        <v>0.42</v>
      </c>
      <c r="AF145" s="11">
        <f t="shared" si="16"/>
        <v>7.42</v>
      </c>
      <c r="AG145" t="s">
        <v>43</v>
      </c>
    </row>
    <row r="146" spans="1:33" ht="15" customHeight="1" x14ac:dyDescent="0.35">
      <c r="A146">
        <v>690929</v>
      </c>
      <c r="B146" t="s">
        <v>33</v>
      </c>
      <c r="C146" t="s">
        <v>34</v>
      </c>
      <c r="D146" s="6" t="s">
        <v>33</v>
      </c>
      <c r="E146" t="s">
        <v>544</v>
      </c>
      <c r="F146" t="s">
        <v>36</v>
      </c>
      <c r="G146" t="s">
        <v>37</v>
      </c>
      <c r="H146" t="s">
        <v>545</v>
      </c>
      <c r="I146" t="s">
        <v>39</v>
      </c>
      <c r="J146">
        <v>2</v>
      </c>
      <c r="K146" t="s">
        <v>40</v>
      </c>
      <c r="L146" t="s">
        <v>41</v>
      </c>
      <c r="M146" t="s">
        <v>42</v>
      </c>
      <c r="N146" s="7">
        <v>1</v>
      </c>
      <c r="O146" s="8">
        <v>45081.685555555552</v>
      </c>
      <c r="P146" s="9">
        <v>45083</v>
      </c>
      <c r="Q146" t="s">
        <v>36</v>
      </c>
      <c r="R146" t="s">
        <v>43</v>
      </c>
      <c r="S146" t="s">
        <v>44</v>
      </c>
      <c r="T146" t="s">
        <v>316</v>
      </c>
      <c r="U146" t="s">
        <v>546</v>
      </c>
      <c r="V146">
        <v>2400</v>
      </c>
      <c r="W146" t="s">
        <v>43</v>
      </c>
      <c r="X146" t="s">
        <v>335</v>
      </c>
      <c r="Y146" t="s">
        <v>48</v>
      </c>
      <c r="Z146" s="10">
        <f t="shared" si="17"/>
        <v>7</v>
      </c>
      <c r="AA146" s="11">
        <v>0</v>
      </c>
      <c r="AB146" s="11">
        <v>0</v>
      </c>
      <c r="AC146" s="11">
        <v>0</v>
      </c>
      <c r="AD146" s="11">
        <v>0</v>
      </c>
      <c r="AE146" s="11">
        <f t="shared" si="15"/>
        <v>0.42</v>
      </c>
      <c r="AF146" s="11">
        <f t="shared" si="16"/>
        <v>7.42</v>
      </c>
      <c r="AG146" t="s">
        <v>43</v>
      </c>
    </row>
    <row r="147" spans="1:33" ht="15" customHeight="1" x14ac:dyDescent="0.35">
      <c r="A147">
        <v>690929</v>
      </c>
      <c r="B147" t="s">
        <v>33</v>
      </c>
      <c r="C147" t="s">
        <v>34</v>
      </c>
      <c r="D147" s="6" t="s">
        <v>33</v>
      </c>
      <c r="E147" t="s">
        <v>547</v>
      </c>
      <c r="F147" t="s">
        <v>36</v>
      </c>
      <c r="G147" t="s">
        <v>37</v>
      </c>
      <c r="H147" t="s">
        <v>548</v>
      </c>
      <c r="I147" t="s">
        <v>39</v>
      </c>
      <c r="J147">
        <v>2</v>
      </c>
      <c r="K147" t="s">
        <v>40</v>
      </c>
      <c r="L147" t="s">
        <v>41</v>
      </c>
      <c r="M147" t="s">
        <v>42</v>
      </c>
      <c r="N147" s="7">
        <v>1</v>
      </c>
      <c r="O147" s="8">
        <v>45081.644571759258</v>
      </c>
      <c r="P147" s="9">
        <v>45083</v>
      </c>
      <c r="Q147" t="s">
        <v>36</v>
      </c>
      <c r="R147" t="s">
        <v>43</v>
      </c>
      <c r="S147" t="s">
        <v>44</v>
      </c>
      <c r="T147" t="s">
        <v>133</v>
      </c>
      <c r="U147" t="s">
        <v>549</v>
      </c>
      <c r="V147">
        <v>77300</v>
      </c>
      <c r="W147" t="s">
        <v>43</v>
      </c>
      <c r="X147" t="s">
        <v>67</v>
      </c>
      <c r="Y147" t="s">
        <v>48</v>
      </c>
      <c r="Z147" s="10">
        <f t="shared" si="17"/>
        <v>7</v>
      </c>
      <c r="AA147" s="11">
        <v>0</v>
      </c>
      <c r="AB147" s="11">
        <v>0</v>
      </c>
      <c r="AC147" s="11">
        <v>0</v>
      </c>
      <c r="AD147" s="11">
        <v>0</v>
      </c>
      <c r="AE147" s="11">
        <f t="shared" si="15"/>
        <v>0.42</v>
      </c>
      <c r="AF147" s="11">
        <f t="shared" si="16"/>
        <v>7.42</v>
      </c>
      <c r="AG147" t="s">
        <v>43</v>
      </c>
    </row>
    <row r="148" spans="1:33" ht="15" customHeight="1" x14ac:dyDescent="0.35">
      <c r="A148">
        <v>690929</v>
      </c>
      <c r="B148" t="s">
        <v>33</v>
      </c>
      <c r="C148" t="s">
        <v>34</v>
      </c>
      <c r="D148" s="6" t="s">
        <v>33</v>
      </c>
      <c r="E148" t="s">
        <v>550</v>
      </c>
      <c r="F148" t="s">
        <v>36</v>
      </c>
      <c r="G148" t="s">
        <v>37</v>
      </c>
      <c r="H148" t="s">
        <v>551</v>
      </c>
      <c r="I148" t="s">
        <v>39</v>
      </c>
      <c r="J148">
        <v>2</v>
      </c>
      <c r="K148" t="s">
        <v>40</v>
      </c>
      <c r="L148" t="s">
        <v>41</v>
      </c>
      <c r="M148" t="s">
        <v>42</v>
      </c>
      <c r="N148" s="7">
        <v>1</v>
      </c>
      <c r="O148" s="8">
        <v>45081.453333333331</v>
      </c>
      <c r="P148" s="9">
        <v>45083</v>
      </c>
      <c r="Q148" t="s">
        <v>36</v>
      </c>
      <c r="R148" t="s">
        <v>43</v>
      </c>
      <c r="S148" t="s">
        <v>44</v>
      </c>
      <c r="T148" t="s">
        <v>157</v>
      </c>
      <c r="U148" t="s">
        <v>552</v>
      </c>
      <c r="V148">
        <v>18500</v>
      </c>
      <c r="W148" t="s">
        <v>43</v>
      </c>
      <c r="X148" t="s">
        <v>44</v>
      </c>
      <c r="Y148" t="s">
        <v>48</v>
      </c>
      <c r="Z148" s="10">
        <f t="shared" si="17"/>
        <v>7</v>
      </c>
      <c r="AA148" s="11">
        <v>0</v>
      </c>
      <c r="AB148" s="11">
        <v>0</v>
      </c>
      <c r="AC148" s="11">
        <v>0</v>
      </c>
      <c r="AD148" s="11">
        <v>0</v>
      </c>
      <c r="AE148" s="11">
        <f t="shared" si="15"/>
        <v>0.42</v>
      </c>
      <c r="AF148" s="11">
        <f t="shared" si="16"/>
        <v>7.42</v>
      </c>
      <c r="AG148" t="s">
        <v>43</v>
      </c>
    </row>
    <row r="149" spans="1:33" ht="15" customHeight="1" x14ac:dyDescent="0.35">
      <c r="A149">
        <v>690929</v>
      </c>
      <c r="B149" t="s">
        <v>33</v>
      </c>
      <c r="C149" t="s">
        <v>34</v>
      </c>
      <c r="D149" s="6" t="s">
        <v>33</v>
      </c>
      <c r="E149" t="s">
        <v>553</v>
      </c>
      <c r="F149" t="s">
        <v>36</v>
      </c>
      <c r="G149" t="s">
        <v>37</v>
      </c>
      <c r="H149" t="s">
        <v>212</v>
      </c>
      <c r="I149" t="s">
        <v>39</v>
      </c>
      <c r="J149">
        <v>2</v>
      </c>
      <c r="K149" t="s">
        <v>40</v>
      </c>
      <c r="L149" t="s">
        <v>41</v>
      </c>
      <c r="M149" t="s">
        <v>42</v>
      </c>
      <c r="N149" s="7">
        <v>3</v>
      </c>
      <c r="O149" s="8">
        <v>45080.672199074077</v>
      </c>
      <c r="P149" s="9">
        <v>45083</v>
      </c>
      <c r="Q149" t="s">
        <v>36</v>
      </c>
      <c r="R149" t="s">
        <v>43</v>
      </c>
      <c r="S149" t="s">
        <v>44</v>
      </c>
      <c r="T149" t="s">
        <v>101</v>
      </c>
      <c r="U149" t="s">
        <v>554</v>
      </c>
      <c r="V149">
        <v>8000</v>
      </c>
      <c r="W149" t="s">
        <v>43</v>
      </c>
      <c r="X149" t="s">
        <v>214</v>
      </c>
      <c r="Y149" t="s">
        <v>48</v>
      </c>
      <c r="Z149" s="10">
        <f t="shared" si="17"/>
        <v>8.6</v>
      </c>
      <c r="AA149" s="11">
        <v>0</v>
      </c>
      <c r="AB149" s="11">
        <v>0</v>
      </c>
      <c r="AC149" s="11">
        <v>0</v>
      </c>
      <c r="AD149" s="11">
        <v>0</v>
      </c>
      <c r="AE149" s="11">
        <f t="shared" si="15"/>
        <v>0.51600000000000001</v>
      </c>
      <c r="AF149" s="11">
        <f t="shared" si="16"/>
        <v>9.1159999999999997</v>
      </c>
      <c r="AG149" t="s">
        <v>43</v>
      </c>
    </row>
    <row r="150" spans="1:33" ht="15" customHeight="1" x14ac:dyDescent="0.35">
      <c r="A150">
        <v>690929</v>
      </c>
      <c r="B150" t="s">
        <v>33</v>
      </c>
      <c r="C150" t="s">
        <v>34</v>
      </c>
      <c r="D150" s="6" t="s">
        <v>33</v>
      </c>
      <c r="E150" t="s">
        <v>555</v>
      </c>
      <c r="F150" t="s">
        <v>36</v>
      </c>
      <c r="G150" t="s">
        <v>37</v>
      </c>
      <c r="H150" t="s">
        <v>556</v>
      </c>
      <c r="I150" t="s">
        <v>39</v>
      </c>
      <c r="J150">
        <v>2</v>
      </c>
      <c r="K150" t="s">
        <v>40</v>
      </c>
      <c r="L150" t="s">
        <v>41</v>
      </c>
      <c r="M150" t="s">
        <v>42</v>
      </c>
      <c r="N150" s="7">
        <v>1</v>
      </c>
      <c r="O150" s="8">
        <v>45080.651747685188</v>
      </c>
      <c r="P150" s="9">
        <v>45083</v>
      </c>
      <c r="Q150" t="s">
        <v>36</v>
      </c>
      <c r="R150" t="s">
        <v>43</v>
      </c>
      <c r="S150" t="s">
        <v>44</v>
      </c>
      <c r="T150" t="s">
        <v>128</v>
      </c>
      <c r="U150" t="s">
        <v>557</v>
      </c>
      <c r="V150">
        <v>86400</v>
      </c>
      <c r="W150" t="s">
        <v>43</v>
      </c>
      <c r="X150" t="s">
        <v>67</v>
      </c>
      <c r="Y150" t="s">
        <v>48</v>
      </c>
      <c r="Z150" s="10">
        <f t="shared" si="17"/>
        <v>7</v>
      </c>
      <c r="AA150" s="11">
        <v>0</v>
      </c>
      <c r="AB150" s="11">
        <v>0</v>
      </c>
      <c r="AC150" s="11">
        <v>0</v>
      </c>
      <c r="AD150" s="11">
        <v>0</v>
      </c>
      <c r="AE150" s="11">
        <f t="shared" si="15"/>
        <v>0.42</v>
      </c>
      <c r="AF150" s="11">
        <f t="shared" si="16"/>
        <v>7.42</v>
      </c>
      <c r="AG150" t="s">
        <v>43</v>
      </c>
    </row>
    <row r="151" spans="1:33" ht="15" customHeight="1" x14ac:dyDescent="0.35">
      <c r="A151">
        <v>690929</v>
      </c>
      <c r="B151" t="s">
        <v>33</v>
      </c>
      <c r="C151" t="s">
        <v>34</v>
      </c>
      <c r="D151" s="6" t="s">
        <v>33</v>
      </c>
      <c r="E151" t="s">
        <v>558</v>
      </c>
      <c r="F151" t="s">
        <v>36</v>
      </c>
      <c r="G151" t="s">
        <v>37</v>
      </c>
      <c r="H151" t="s">
        <v>241</v>
      </c>
      <c r="I151" t="s">
        <v>39</v>
      </c>
      <c r="J151">
        <v>2</v>
      </c>
      <c r="K151" t="s">
        <v>40</v>
      </c>
      <c r="L151" t="s">
        <v>41</v>
      </c>
      <c r="M151" t="s">
        <v>42</v>
      </c>
      <c r="N151" s="7">
        <v>1</v>
      </c>
      <c r="O151" s="8">
        <v>45081.643217592595</v>
      </c>
      <c r="P151" s="9">
        <v>45083</v>
      </c>
      <c r="Q151" t="s">
        <v>36</v>
      </c>
      <c r="R151" t="s">
        <v>43</v>
      </c>
      <c r="S151" t="s">
        <v>44</v>
      </c>
      <c r="T151" t="s">
        <v>45</v>
      </c>
      <c r="U151" t="s">
        <v>242</v>
      </c>
      <c r="V151">
        <v>47100</v>
      </c>
      <c r="W151" t="s">
        <v>43</v>
      </c>
      <c r="X151" t="s">
        <v>67</v>
      </c>
      <c r="Y151" t="s">
        <v>48</v>
      </c>
      <c r="Z151" s="10">
        <f t="shared" si="17"/>
        <v>7</v>
      </c>
      <c r="AA151" s="11">
        <v>0</v>
      </c>
      <c r="AB151" s="11">
        <v>0</v>
      </c>
      <c r="AC151" s="11">
        <v>0</v>
      </c>
      <c r="AD151" s="11">
        <v>0</v>
      </c>
      <c r="AE151" s="11">
        <f t="shared" si="15"/>
        <v>0.42</v>
      </c>
      <c r="AF151" s="11">
        <f t="shared" si="16"/>
        <v>7.42</v>
      </c>
      <c r="AG151" t="s">
        <v>43</v>
      </c>
    </row>
    <row r="152" spans="1:33" ht="15" customHeight="1" x14ac:dyDescent="0.35">
      <c r="A152">
        <v>690929</v>
      </c>
      <c r="B152" t="s">
        <v>33</v>
      </c>
      <c r="C152" t="s">
        <v>34</v>
      </c>
      <c r="D152" s="6" t="s">
        <v>33</v>
      </c>
      <c r="E152" t="s">
        <v>559</v>
      </c>
      <c r="F152" t="s">
        <v>36</v>
      </c>
      <c r="G152" t="s">
        <v>37</v>
      </c>
      <c r="H152" t="s">
        <v>560</v>
      </c>
      <c r="I152" t="s">
        <v>39</v>
      </c>
      <c r="J152">
        <v>2</v>
      </c>
      <c r="K152" t="s">
        <v>40</v>
      </c>
      <c r="L152" t="s">
        <v>41</v>
      </c>
      <c r="M152" t="s">
        <v>42</v>
      </c>
      <c r="N152" s="7">
        <v>2</v>
      </c>
      <c r="O152" s="8">
        <v>45080.600787037038</v>
      </c>
      <c r="P152" s="9">
        <v>45083</v>
      </c>
      <c r="Q152" t="s">
        <v>36</v>
      </c>
      <c r="R152" t="s">
        <v>43</v>
      </c>
      <c r="S152" t="s">
        <v>44</v>
      </c>
      <c r="T152" t="s">
        <v>45</v>
      </c>
      <c r="U152" t="s">
        <v>561</v>
      </c>
      <c r="V152">
        <v>68000</v>
      </c>
      <c r="W152" t="s">
        <v>43</v>
      </c>
      <c r="X152" t="s">
        <v>67</v>
      </c>
      <c r="Y152" t="s">
        <v>48</v>
      </c>
      <c r="Z152" s="10">
        <f t="shared" si="17"/>
        <v>7.8</v>
      </c>
      <c r="AA152" s="11">
        <v>0</v>
      </c>
      <c r="AB152" s="11">
        <v>0</v>
      </c>
      <c r="AC152" s="11">
        <v>0</v>
      </c>
      <c r="AD152" s="11">
        <v>0</v>
      </c>
      <c r="AE152" s="11">
        <f t="shared" si="15"/>
        <v>0.46799999999999997</v>
      </c>
      <c r="AF152" s="11">
        <f t="shared" si="16"/>
        <v>8.2680000000000007</v>
      </c>
      <c r="AG152" t="s">
        <v>43</v>
      </c>
    </row>
    <row r="153" spans="1:33" ht="15" customHeight="1" x14ac:dyDescent="0.35">
      <c r="A153">
        <v>690929</v>
      </c>
      <c r="B153" t="s">
        <v>33</v>
      </c>
      <c r="C153" t="s">
        <v>34</v>
      </c>
      <c r="D153" s="6" t="s">
        <v>33</v>
      </c>
      <c r="E153" t="s">
        <v>562</v>
      </c>
      <c r="F153" t="s">
        <v>36</v>
      </c>
      <c r="G153" t="s">
        <v>37</v>
      </c>
      <c r="H153" t="s">
        <v>563</v>
      </c>
      <c r="I153" t="s">
        <v>39</v>
      </c>
      <c r="J153">
        <v>2</v>
      </c>
      <c r="K153" t="s">
        <v>40</v>
      </c>
      <c r="L153" t="s">
        <v>41</v>
      </c>
      <c r="M153" t="s">
        <v>42</v>
      </c>
      <c r="N153" s="7">
        <v>1</v>
      </c>
      <c r="O153" s="8">
        <v>45080.607407407406</v>
      </c>
      <c r="P153" s="9">
        <v>45083</v>
      </c>
      <c r="Q153" t="s">
        <v>36</v>
      </c>
      <c r="R153" t="s">
        <v>43</v>
      </c>
      <c r="S153" t="s">
        <v>44</v>
      </c>
      <c r="T153" t="s">
        <v>45</v>
      </c>
      <c r="U153" t="s">
        <v>564</v>
      </c>
      <c r="V153">
        <v>43800</v>
      </c>
      <c r="W153" t="s">
        <v>43</v>
      </c>
      <c r="X153" t="s">
        <v>67</v>
      </c>
      <c r="Y153" t="s">
        <v>48</v>
      </c>
      <c r="Z153" s="10">
        <f t="shared" si="17"/>
        <v>7</v>
      </c>
      <c r="AA153" s="11">
        <v>0</v>
      </c>
      <c r="AB153" s="11">
        <v>0</v>
      </c>
      <c r="AC153" s="11">
        <v>0</v>
      </c>
      <c r="AD153" s="11">
        <v>0</v>
      </c>
      <c r="AE153" s="11">
        <f t="shared" si="15"/>
        <v>0.42</v>
      </c>
      <c r="AF153" s="11">
        <f t="shared" si="16"/>
        <v>7.42</v>
      </c>
      <c r="AG153" t="s">
        <v>43</v>
      </c>
    </row>
    <row r="154" spans="1:33" ht="15" customHeight="1" x14ac:dyDescent="0.35">
      <c r="A154">
        <v>690929</v>
      </c>
      <c r="B154" t="s">
        <v>33</v>
      </c>
      <c r="C154" t="s">
        <v>34</v>
      </c>
      <c r="D154" s="6" t="s">
        <v>33</v>
      </c>
      <c r="E154" t="s">
        <v>565</v>
      </c>
      <c r="F154" t="s">
        <v>36</v>
      </c>
      <c r="G154" t="s">
        <v>37</v>
      </c>
      <c r="H154" t="s">
        <v>566</v>
      </c>
      <c r="I154" t="s">
        <v>39</v>
      </c>
      <c r="J154">
        <v>2</v>
      </c>
      <c r="K154" t="s">
        <v>40</v>
      </c>
      <c r="L154" t="s">
        <v>41</v>
      </c>
      <c r="M154" t="s">
        <v>42</v>
      </c>
      <c r="N154" s="7">
        <v>3</v>
      </c>
      <c r="O154" s="8">
        <v>45080.674849537034</v>
      </c>
      <c r="P154" s="9">
        <v>45083</v>
      </c>
      <c r="Q154" t="s">
        <v>36</v>
      </c>
      <c r="R154" t="s">
        <v>43</v>
      </c>
      <c r="S154" t="s">
        <v>44</v>
      </c>
      <c r="T154" t="s">
        <v>45</v>
      </c>
      <c r="U154" t="s">
        <v>567</v>
      </c>
      <c r="V154">
        <v>48300</v>
      </c>
      <c r="W154" t="s">
        <v>43</v>
      </c>
      <c r="X154" t="s">
        <v>568</v>
      </c>
      <c r="Y154" t="s">
        <v>48</v>
      </c>
      <c r="Z154" s="10">
        <f t="shared" si="17"/>
        <v>8.6</v>
      </c>
      <c r="AA154" s="11">
        <v>0</v>
      </c>
      <c r="AB154" s="11">
        <v>0</v>
      </c>
      <c r="AC154" s="11">
        <v>0</v>
      </c>
      <c r="AD154" s="11">
        <v>0</v>
      </c>
      <c r="AE154" s="11">
        <f t="shared" si="15"/>
        <v>0.51600000000000001</v>
      </c>
      <c r="AF154" s="11">
        <f t="shared" si="16"/>
        <v>9.1159999999999997</v>
      </c>
      <c r="AG154" t="s">
        <v>43</v>
      </c>
    </row>
    <row r="155" spans="1:33" ht="15" customHeight="1" x14ac:dyDescent="0.35">
      <c r="A155">
        <v>690929</v>
      </c>
      <c r="B155" t="s">
        <v>33</v>
      </c>
      <c r="C155" t="s">
        <v>34</v>
      </c>
      <c r="D155" s="6" t="s">
        <v>33</v>
      </c>
      <c r="E155" t="s">
        <v>569</v>
      </c>
      <c r="F155" t="s">
        <v>36</v>
      </c>
      <c r="G155" t="s">
        <v>37</v>
      </c>
      <c r="H155" t="s">
        <v>570</v>
      </c>
      <c r="I155" t="s">
        <v>39</v>
      </c>
      <c r="J155">
        <v>2</v>
      </c>
      <c r="K155" t="s">
        <v>40</v>
      </c>
      <c r="L155" t="s">
        <v>41</v>
      </c>
      <c r="M155" t="s">
        <v>42</v>
      </c>
      <c r="N155" s="7">
        <v>1</v>
      </c>
      <c r="O155" s="8">
        <v>45080.606041666666</v>
      </c>
      <c r="P155" s="9">
        <v>45083</v>
      </c>
      <c r="Q155" t="s">
        <v>36</v>
      </c>
      <c r="R155" t="s">
        <v>43</v>
      </c>
      <c r="S155" t="s">
        <v>44</v>
      </c>
      <c r="T155" t="s">
        <v>118</v>
      </c>
      <c r="U155" t="s">
        <v>571</v>
      </c>
      <c r="V155">
        <v>71050</v>
      </c>
      <c r="W155" t="s">
        <v>43</v>
      </c>
      <c r="X155" t="s">
        <v>67</v>
      </c>
      <c r="Y155" t="s">
        <v>48</v>
      </c>
      <c r="Z155" s="10">
        <f t="shared" si="17"/>
        <v>7</v>
      </c>
      <c r="AA155" s="11">
        <v>0</v>
      </c>
      <c r="AB155" s="11">
        <v>0</v>
      </c>
      <c r="AC155" s="11">
        <v>0</v>
      </c>
      <c r="AD155" s="11">
        <v>0</v>
      </c>
      <c r="AE155" s="11">
        <f t="shared" si="15"/>
        <v>0.42</v>
      </c>
      <c r="AF155" s="11">
        <f t="shared" si="16"/>
        <v>7.42</v>
      </c>
      <c r="AG155" t="s">
        <v>43</v>
      </c>
    </row>
    <row r="156" spans="1:33" ht="15" customHeight="1" x14ac:dyDescent="0.35">
      <c r="A156">
        <v>690929</v>
      </c>
      <c r="B156" t="s">
        <v>33</v>
      </c>
      <c r="C156" t="s">
        <v>34</v>
      </c>
      <c r="D156" s="6" t="s">
        <v>33</v>
      </c>
      <c r="E156" t="s">
        <v>572</v>
      </c>
      <c r="F156" t="s">
        <v>36</v>
      </c>
      <c r="G156" t="s">
        <v>37</v>
      </c>
      <c r="H156" t="s">
        <v>573</v>
      </c>
      <c r="I156" t="s">
        <v>39</v>
      </c>
      <c r="J156">
        <v>2</v>
      </c>
      <c r="K156" t="s">
        <v>40</v>
      </c>
      <c r="L156" t="s">
        <v>41</v>
      </c>
      <c r="M156" t="s">
        <v>42</v>
      </c>
      <c r="N156" s="7">
        <v>5</v>
      </c>
      <c r="O156" s="8">
        <v>45080.658935185187</v>
      </c>
      <c r="P156" s="9">
        <v>45083</v>
      </c>
      <c r="Q156" t="s">
        <v>36</v>
      </c>
      <c r="R156" t="s">
        <v>43</v>
      </c>
      <c r="S156" t="s">
        <v>44</v>
      </c>
      <c r="T156" t="s">
        <v>45</v>
      </c>
      <c r="U156" t="s">
        <v>574</v>
      </c>
      <c r="V156">
        <v>52100</v>
      </c>
      <c r="W156" t="s">
        <v>43</v>
      </c>
      <c r="X156" t="s">
        <v>85</v>
      </c>
      <c r="Y156" t="s">
        <v>48</v>
      </c>
      <c r="Z156" s="10">
        <f t="shared" si="17"/>
        <v>10.199999999999999</v>
      </c>
      <c r="AA156" s="11">
        <v>0</v>
      </c>
      <c r="AB156" s="11">
        <v>0</v>
      </c>
      <c r="AC156" s="11">
        <v>0</v>
      </c>
      <c r="AD156" s="11">
        <v>0</v>
      </c>
      <c r="AE156" s="11">
        <f t="shared" si="15"/>
        <v>0.61199999999999999</v>
      </c>
      <c r="AF156" s="11">
        <f t="shared" si="16"/>
        <v>10.811999999999999</v>
      </c>
      <c r="AG156" t="s">
        <v>43</v>
      </c>
    </row>
    <row r="157" spans="1:33" ht="15" customHeight="1" x14ac:dyDescent="0.35">
      <c r="A157">
        <v>690929</v>
      </c>
      <c r="B157" t="s">
        <v>33</v>
      </c>
      <c r="C157" t="s">
        <v>34</v>
      </c>
      <c r="D157" s="6" t="s">
        <v>33</v>
      </c>
      <c r="E157" t="s">
        <v>575</v>
      </c>
      <c r="F157" t="s">
        <v>36</v>
      </c>
      <c r="G157" t="s">
        <v>37</v>
      </c>
      <c r="H157" t="s">
        <v>576</v>
      </c>
      <c r="I157" t="s">
        <v>39</v>
      </c>
      <c r="J157">
        <v>2</v>
      </c>
      <c r="K157" t="s">
        <v>40</v>
      </c>
      <c r="L157" t="s">
        <v>41</v>
      </c>
      <c r="M157" t="s">
        <v>42</v>
      </c>
      <c r="N157" s="7">
        <v>3</v>
      </c>
      <c r="O157" s="8">
        <v>45080.679652777777</v>
      </c>
      <c r="P157" s="9">
        <v>45083</v>
      </c>
      <c r="Q157" t="s">
        <v>36</v>
      </c>
      <c r="R157" t="s">
        <v>43</v>
      </c>
      <c r="S157" t="s">
        <v>44</v>
      </c>
      <c r="T157" t="s">
        <v>128</v>
      </c>
      <c r="U157" t="s">
        <v>577</v>
      </c>
      <c r="V157">
        <v>81800</v>
      </c>
      <c r="W157" t="s">
        <v>43</v>
      </c>
      <c r="X157" t="s">
        <v>578</v>
      </c>
      <c r="Y157" t="s">
        <v>48</v>
      </c>
      <c r="Z157" s="10">
        <f t="shared" si="17"/>
        <v>8.6</v>
      </c>
      <c r="AA157" s="11">
        <v>0</v>
      </c>
      <c r="AB157" s="11">
        <v>0</v>
      </c>
      <c r="AC157" s="11">
        <v>0</v>
      </c>
      <c r="AD157" s="11">
        <v>0</v>
      </c>
      <c r="AE157" s="11">
        <f t="shared" si="15"/>
        <v>0.51600000000000001</v>
      </c>
      <c r="AF157" s="11">
        <f t="shared" si="16"/>
        <v>9.1159999999999997</v>
      </c>
      <c r="AG157" t="s">
        <v>43</v>
      </c>
    </row>
    <row r="158" spans="1:33" ht="15" customHeight="1" x14ac:dyDescent="0.35">
      <c r="A158">
        <v>690929</v>
      </c>
      <c r="B158" t="s">
        <v>33</v>
      </c>
      <c r="C158" t="s">
        <v>34</v>
      </c>
      <c r="D158" s="6" t="s">
        <v>33</v>
      </c>
      <c r="E158" t="s">
        <v>579</v>
      </c>
      <c r="F158" t="s">
        <v>36</v>
      </c>
      <c r="G158" t="s">
        <v>37</v>
      </c>
      <c r="H158" t="s">
        <v>580</v>
      </c>
      <c r="I158" t="s">
        <v>39</v>
      </c>
      <c r="J158">
        <v>2</v>
      </c>
      <c r="K158" t="s">
        <v>40</v>
      </c>
      <c r="L158" t="s">
        <v>41</v>
      </c>
      <c r="M158" t="s">
        <v>42</v>
      </c>
      <c r="N158" s="7">
        <v>6</v>
      </c>
      <c r="O158" s="8">
        <v>45080.670532407406</v>
      </c>
      <c r="P158" s="9">
        <v>45083</v>
      </c>
      <c r="Q158" t="s">
        <v>36</v>
      </c>
      <c r="R158" t="s">
        <v>43</v>
      </c>
      <c r="S158" t="s">
        <v>44</v>
      </c>
      <c r="T158" t="s">
        <v>128</v>
      </c>
      <c r="U158" t="s">
        <v>581</v>
      </c>
      <c r="V158">
        <v>81800</v>
      </c>
      <c r="W158" t="s">
        <v>43</v>
      </c>
      <c r="X158" t="s">
        <v>578</v>
      </c>
      <c r="Y158" t="s">
        <v>48</v>
      </c>
      <c r="Z158" s="10">
        <f t="shared" si="17"/>
        <v>11</v>
      </c>
      <c r="AA158" s="11">
        <v>0</v>
      </c>
      <c r="AB158" s="11">
        <v>0</v>
      </c>
      <c r="AC158" s="11">
        <v>0</v>
      </c>
      <c r="AD158" s="11">
        <v>0</v>
      </c>
      <c r="AE158" s="11">
        <f t="shared" si="15"/>
        <v>0.65999999999999992</v>
      </c>
      <c r="AF158" s="11">
        <f t="shared" si="16"/>
        <v>11.66</v>
      </c>
      <c r="AG158" t="s">
        <v>43</v>
      </c>
    </row>
    <row r="159" spans="1:33" ht="15" customHeight="1" x14ac:dyDescent="0.35">
      <c r="A159">
        <v>690929</v>
      </c>
      <c r="B159" t="s">
        <v>33</v>
      </c>
      <c r="C159" t="s">
        <v>34</v>
      </c>
      <c r="D159" s="6" t="s">
        <v>33</v>
      </c>
      <c r="E159" t="s">
        <v>582</v>
      </c>
      <c r="F159" t="s">
        <v>36</v>
      </c>
      <c r="G159" t="s">
        <v>37</v>
      </c>
      <c r="H159" t="s">
        <v>583</v>
      </c>
      <c r="I159" t="s">
        <v>39</v>
      </c>
      <c r="J159">
        <v>2</v>
      </c>
      <c r="K159" t="s">
        <v>40</v>
      </c>
      <c r="L159" t="s">
        <v>41</v>
      </c>
      <c r="M159" t="s">
        <v>42</v>
      </c>
      <c r="N159" s="7">
        <v>1</v>
      </c>
      <c r="O159" s="8">
        <v>45080.604942129627</v>
      </c>
      <c r="P159" s="9">
        <v>45083</v>
      </c>
      <c r="Q159" t="s">
        <v>36</v>
      </c>
      <c r="R159" t="s">
        <v>43</v>
      </c>
      <c r="S159" t="s">
        <v>44</v>
      </c>
      <c r="T159" t="s">
        <v>101</v>
      </c>
      <c r="U159" t="s">
        <v>584</v>
      </c>
      <c r="V159">
        <v>8000</v>
      </c>
      <c r="W159" t="s">
        <v>43</v>
      </c>
      <c r="X159" t="s">
        <v>67</v>
      </c>
      <c r="Y159" t="s">
        <v>48</v>
      </c>
      <c r="Z159" s="10">
        <f t="shared" si="17"/>
        <v>7</v>
      </c>
      <c r="AA159" s="11">
        <v>0</v>
      </c>
      <c r="AB159" s="11">
        <v>0</v>
      </c>
      <c r="AC159" s="11">
        <v>0</v>
      </c>
      <c r="AD159" s="11">
        <v>0</v>
      </c>
      <c r="AE159" s="11">
        <f t="shared" si="15"/>
        <v>0.42</v>
      </c>
      <c r="AF159" s="11">
        <f t="shared" si="16"/>
        <v>7.42</v>
      </c>
      <c r="AG159" t="s">
        <v>43</v>
      </c>
    </row>
    <row r="160" spans="1:33" ht="15" customHeight="1" x14ac:dyDescent="0.35">
      <c r="A160">
        <v>690929</v>
      </c>
      <c r="B160" t="s">
        <v>33</v>
      </c>
      <c r="C160" t="s">
        <v>34</v>
      </c>
      <c r="D160" s="6" t="s">
        <v>33</v>
      </c>
      <c r="E160" t="s">
        <v>585</v>
      </c>
      <c r="F160" t="s">
        <v>36</v>
      </c>
      <c r="G160" t="s">
        <v>37</v>
      </c>
      <c r="H160" t="s">
        <v>573</v>
      </c>
      <c r="I160" t="s">
        <v>39</v>
      </c>
      <c r="J160">
        <v>2</v>
      </c>
      <c r="K160" t="s">
        <v>40</v>
      </c>
      <c r="L160" t="s">
        <v>41</v>
      </c>
      <c r="M160" t="s">
        <v>42</v>
      </c>
      <c r="N160" s="7">
        <v>5</v>
      </c>
      <c r="O160" s="8">
        <v>45080.658935185187</v>
      </c>
      <c r="P160" s="9">
        <v>45083</v>
      </c>
      <c r="Q160" t="s">
        <v>36</v>
      </c>
      <c r="R160" t="s">
        <v>43</v>
      </c>
      <c r="S160" t="s">
        <v>44</v>
      </c>
      <c r="T160" t="s">
        <v>45</v>
      </c>
      <c r="U160" t="s">
        <v>586</v>
      </c>
      <c r="V160">
        <v>52100</v>
      </c>
      <c r="W160" t="s">
        <v>43</v>
      </c>
      <c r="X160" t="s">
        <v>85</v>
      </c>
      <c r="Y160" t="s">
        <v>48</v>
      </c>
      <c r="Z160" s="10">
        <f t="shared" si="17"/>
        <v>10.199999999999999</v>
      </c>
      <c r="AA160" s="11">
        <v>0</v>
      </c>
      <c r="AB160" s="11">
        <v>0</v>
      </c>
      <c r="AC160" s="11">
        <v>0</v>
      </c>
      <c r="AD160" s="11">
        <v>0</v>
      </c>
      <c r="AE160" s="11">
        <f t="shared" si="15"/>
        <v>0.61199999999999999</v>
      </c>
      <c r="AF160" s="11">
        <f t="shared" si="16"/>
        <v>10.811999999999999</v>
      </c>
      <c r="AG160" t="s">
        <v>43</v>
      </c>
    </row>
    <row r="161" spans="1:33" ht="15" customHeight="1" x14ac:dyDescent="0.35">
      <c r="A161">
        <v>690929</v>
      </c>
      <c r="B161" t="s">
        <v>33</v>
      </c>
      <c r="C161" t="s">
        <v>34</v>
      </c>
      <c r="D161" s="6" t="s">
        <v>33</v>
      </c>
      <c r="E161" t="s">
        <v>587</v>
      </c>
      <c r="F161" t="s">
        <v>36</v>
      </c>
      <c r="G161" t="s">
        <v>37</v>
      </c>
      <c r="H161" t="s">
        <v>588</v>
      </c>
      <c r="I161" t="s">
        <v>39</v>
      </c>
      <c r="J161">
        <v>2</v>
      </c>
      <c r="K161" t="s">
        <v>40</v>
      </c>
      <c r="L161" t="s">
        <v>41</v>
      </c>
      <c r="M161" t="s">
        <v>42</v>
      </c>
      <c r="N161" s="7">
        <v>1</v>
      </c>
      <c r="O161" s="8">
        <v>45081.539039351854</v>
      </c>
      <c r="P161" s="9">
        <v>45083</v>
      </c>
      <c r="Q161" t="s">
        <v>36</v>
      </c>
      <c r="R161" t="s">
        <v>43</v>
      </c>
      <c r="S161" t="s">
        <v>44</v>
      </c>
      <c r="T161" t="s">
        <v>45</v>
      </c>
      <c r="U161" t="s">
        <v>589</v>
      </c>
      <c r="V161">
        <v>43000</v>
      </c>
      <c r="W161" t="s">
        <v>43</v>
      </c>
      <c r="X161" t="s">
        <v>67</v>
      </c>
      <c r="Y161" t="s">
        <v>48</v>
      </c>
      <c r="Z161" s="10">
        <f t="shared" si="17"/>
        <v>7</v>
      </c>
      <c r="AA161" s="11">
        <v>0</v>
      </c>
      <c r="AB161" s="11">
        <v>0</v>
      </c>
      <c r="AC161" s="11">
        <v>0</v>
      </c>
      <c r="AD161" s="11">
        <v>0</v>
      </c>
      <c r="AE161" s="11">
        <f t="shared" si="15"/>
        <v>0.42</v>
      </c>
      <c r="AF161" s="11">
        <f t="shared" si="16"/>
        <v>7.42</v>
      </c>
      <c r="AG161" t="s">
        <v>43</v>
      </c>
    </row>
    <row r="162" spans="1:33" ht="15" customHeight="1" x14ac:dyDescent="0.35">
      <c r="A162">
        <v>690929</v>
      </c>
      <c r="B162" t="s">
        <v>33</v>
      </c>
      <c r="C162" t="s">
        <v>34</v>
      </c>
      <c r="D162" s="6" t="s">
        <v>33</v>
      </c>
      <c r="E162" t="s">
        <v>590</v>
      </c>
      <c r="F162" t="s">
        <v>36</v>
      </c>
      <c r="G162" t="s">
        <v>37</v>
      </c>
      <c r="H162" t="s">
        <v>591</v>
      </c>
      <c r="I162" t="s">
        <v>39</v>
      </c>
      <c r="J162">
        <v>2</v>
      </c>
      <c r="K162" t="s">
        <v>40</v>
      </c>
      <c r="L162" t="s">
        <v>41</v>
      </c>
      <c r="M162" t="s">
        <v>42</v>
      </c>
      <c r="N162" s="7">
        <v>1</v>
      </c>
      <c r="O162" s="8">
        <v>45080.61010416667</v>
      </c>
      <c r="P162" s="9">
        <v>45083</v>
      </c>
      <c r="Q162" t="s">
        <v>36</v>
      </c>
      <c r="R162" t="s">
        <v>43</v>
      </c>
      <c r="S162" t="s">
        <v>44</v>
      </c>
      <c r="T162" t="s">
        <v>45</v>
      </c>
      <c r="U162" t="s">
        <v>592</v>
      </c>
      <c r="V162">
        <v>42700</v>
      </c>
      <c r="W162" t="s">
        <v>43</v>
      </c>
      <c r="X162" t="s">
        <v>67</v>
      </c>
      <c r="Y162" t="s">
        <v>48</v>
      </c>
      <c r="Z162" s="10">
        <f t="shared" si="17"/>
        <v>7</v>
      </c>
      <c r="AA162" s="11">
        <v>0</v>
      </c>
      <c r="AB162" s="11">
        <v>0</v>
      </c>
      <c r="AC162" s="11">
        <v>0</v>
      </c>
      <c r="AD162" s="11">
        <v>0</v>
      </c>
      <c r="AE162" s="11">
        <f t="shared" si="15"/>
        <v>0.42</v>
      </c>
      <c r="AF162" s="11">
        <f t="shared" si="16"/>
        <v>7.42</v>
      </c>
      <c r="AG162" t="s">
        <v>43</v>
      </c>
    </row>
    <row r="163" spans="1:33" ht="15" customHeight="1" x14ac:dyDescent="0.35">
      <c r="A163">
        <v>690929</v>
      </c>
      <c r="B163" t="s">
        <v>33</v>
      </c>
      <c r="C163" t="s">
        <v>34</v>
      </c>
      <c r="D163" s="6" t="s">
        <v>33</v>
      </c>
      <c r="E163" t="s">
        <v>593</v>
      </c>
      <c r="F163" t="s">
        <v>36</v>
      </c>
      <c r="G163" t="s">
        <v>37</v>
      </c>
      <c r="H163" t="s">
        <v>594</v>
      </c>
      <c r="I163" t="s">
        <v>39</v>
      </c>
      <c r="J163">
        <v>2</v>
      </c>
      <c r="K163" t="s">
        <v>40</v>
      </c>
      <c r="L163" t="s">
        <v>41</v>
      </c>
      <c r="M163" t="s">
        <v>42</v>
      </c>
      <c r="N163" s="7">
        <v>1</v>
      </c>
      <c r="O163" s="8">
        <v>45080.725347222222</v>
      </c>
      <c r="P163" s="9">
        <v>45083</v>
      </c>
      <c r="Q163" t="s">
        <v>36</v>
      </c>
      <c r="R163" t="s">
        <v>43</v>
      </c>
      <c r="S163" t="s">
        <v>44</v>
      </c>
      <c r="T163" t="s">
        <v>45</v>
      </c>
      <c r="U163" t="s">
        <v>595</v>
      </c>
      <c r="V163">
        <v>45200</v>
      </c>
      <c r="W163" t="s">
        <v>43</v>
      </c>
      <c r="X163" t="s">
        <v>267</v>
      </c>
      <c r="Y163" t="s">
        <v>48</v>
      </c>
      <c r="Z163" s="10">
        <f t="shared" si="17"/>
        <v>7</v>
      </c>
      <c r="AA163" s="11">
        <v>0</v>
      </c>
      <c r="AB163" s="11">
        <v>0</v>
      </c>
      <c r="AC163" s="11">
        <v>0</v>
      </c>
      <c r="AD163" s="11">
        <v>0</v>
      </c>
      <c r="AE163" s="11">
        <f t="shared" si="15"/>
        <v>0.42</v>
      </c>
      <c r="AF163" s="11">
        <f t="shared" si="16"/>
        <v>7.42</v>
      </c>
      <c r="AG163" t="s">
        <v>43</v>
      </c>
    </row>
    <row r="164" spans="1:33" ht="15" customHeight="1" x14ac:dyDescent="0.35">
      <c r="A164">
        <v>690929</v>
      </c>
      <c r="B164" t="s">
        <v>33</v>
      </c>
      <c r="C164" t="s">
        <v>34</v>
      </c>
      <c r="D164" s="6" t="s">
        <v>33</v>
      </c>
      <c r="E164" t="s">
        <v>596</v>
      </c>
      <c r="F164" t="s">
        <v>36</v>
      </c>
      <c r="G164" t="s">
        <v>37</v>
      </c>
      <c r="H164" t="s">
        <v>597</v>
      </c>
      <c r="I164" t="s">
        <v>39</v>
      </c>
      <c r="J164">
        <v>2</v>
      </c>
      <c r="K164" t="s">
        <v>40</v>
      </c>
      <c r="L164" t="s">
        <v>41</v>
      </c>
      <c r="M164" t="s">
        <v>42</v>
      </c>
      <c r="N164" s="7">
        <v>1</v>
      </c>
      <c r="O164" s="8">
        <v>45080.726354166669</v>
      </c>
      <c r="P164" s="9">
        <v>45083</v>
      </c>
      <c r="Q164" t="s">
        <v>36</v>
      </c>
      <c r="R164" t="s">
        <v>43</v>
      </c>
      <c r="S164" t="s">
        <v>44</v>
      </c>
      <c r="T164" t="s">
        <v>45</v>
      </c>
      <c r="U164" t="s">
        <v>598</v>
      </c>
      <c r="V164">
        <v>43650</v>
      </c>
      <c r="W164" t="s">
        <v>43</v>
      </c>
      <c r="X164" t="s">
        <v>80</v>
      </c>
      <c r="Y164" t="s">
        <v>48</v>
      </c>
      <c r="Z164" s="10">
        <f t="shared" si="17"/>
        <v>7</v>
      </c>
      <c r="AA164" s="11">
        <v>0</v>
      </c>
      <c r="AB164" s="11">
        <v>0</v>
      </c>
      <c r="AC164" s="11">
        <v>0</v>
      </c>
      <c r="AD164" s="11">
        <v>0</v>
      </c>
      <c r="AE164" s="11">
        <f t="shared" si="15"/>
        <v>0.42</v>
      </c>
      <c r="AF164" s="11">
        <f t="shared" si="16"/>
        <v>7.42</v>
      </c>
      <c r="AG164" t="s">
        <v>43</v>
      </c>
    </row>
    <row r="165" spans="1:33" ht="15" customHeight="1" x14ac:dyDescent="0.35">
      <c r="A165">
        <v>690929</v>
      </c>
      <c r="B165" t="s">
        <v>33</v>
      </c>
      <c r="C165" t="s">
        <v>34</v>
      </c>
      <c r="D165" s="6" t="s">
        <v>33</v>
      </c>
      <c r="E165" t="s">
        <v>599</v>
      </c>
      <c r="F165" t="s">
        <v>36</v>
      </c>
      <c r="G165" t="s">
        <v>37</v>
      </c>
      <c r="H165" t="s">
        <v>600</v>
      </c>
      <c r="I165" t="s">
        <v>39</v>
      </c>
      <c r="J165">
        <v>2</v>
      </c>
      <c r="K165" t="s">
        <v>40</v>
      </c>
      <c r="L165" t="s">
        <v>41</v>
      </c>
      <c r="M165" t="s">
        <v>42</v>
      </c>
      <c r="N165" s="7">
        <v>1</v>
      </c>
      <c r="O165" s="8">
        <v>45080.722870370373</v>
      </c>
      <c r="P165" s="9">
        <v>45083</v>
      </c>
      <c r="Q165" t="s">
        <v>36</v>
      </c>
      <c r="R165" t="s">
        <v>43</v>
      </c>
      <c r="S165" t="s">
        <v>44</v>
      </c>
      <c r="T165" t="s">
        <v>45</v>
      </c>
      <c r="U165" t="s">
        <v>601</v>
      </c>
      <c r="V165">
        <v>40150</v>
      </c>
      <c r="W165" t="s">
        <v>43</v>
      </c>
      <c r="X165" t="s">
        <v>602</v>
      </c>
      <c r="Y165" t="s">
        <v>48</v>
      </c>
      <c r="Z165" s="10">
        <f t="shared" si="17"/>
        <v>7</v>
      </c>
      <c r="AA165" s="11">
        <v>0</v>
      </c>
      <c r="AB165" s="11">
        <v>0</v>
      </c>
      <c r="AC165" s="11">
        <v>0</v>
      </c>
      <c r="AD165" s="11">
        <v>0</v>
      </c>
      <c r="AE165" s="11">
        <f t="shared" si="15"/>
        <v>0.42</v>
      </c>
      <c r="AF165" s="11">
        <f t="shared" si="16"/>
        <v>7.42</v>
      </c>
      <c r="AG165" t="s">
        <v>43</v>
      </c>
    </row>
    <row r="166" spans="1:33" ht="15" customHeight="1" x14ac:dyDescent="0.35">
      <c r="A166">
        <v>690929</v>
      </c>
      <c r="B166" t="s">
        <v>33</v>
      </c>
      <c r="C166" t="s">
        <v>34</v>
      </c>
      <c r="D166" s="6" t="s">
        <v>33</v>
      </c>
      <c r="E166" t="s">
        <v>603</v>
      </c>
      <c r="F166" t="s">
        <v>36</v>
      </c>
      <c r="G166" t="s">
        <v>37</v>
      </c>
      <c r="H166" t="s">
        <v>604</v>
      </c>
      <c r="I166" t="s">
        <v>39</v>
      </c>
      <c r="J166">
        <v>2</v>
      </c>
      <c r="K166" t="s">
        <v>40</v>
      </c>
      <c r="L166" t="s">
        <v>41</v>
      </c>
      <c r="M166" t="s">
        <v>42</v>
      </c>
      <c r="N166" s="7">
        <v>1</v>
      </c>
      <c r="O166" s="8">
        <v>45081.694016203706</v>
      </c>
      <c r="P166" s="9">
        <v>45083</v>
      </c>
      <c r="Q166" t="s">
        <v>36</v>
      </c>
      <c r="R166" t="s">
        <v>43</v>
      </c>
      <c r="S166" t="s">
        <v>44</v>
      </c>
      <c r="T166" t="s">
        <v>157</v>
      </c>
      <c r="U166" t="s">
        <v>605</v>
      </c>
      <c r="V166">
        <v>17600</v>
      </c>
      <c r="W166" t="s">
        <v>43</v>
      </c>
      <c r="X166" t="s">
        <v>44</v>
      </c>
      <c r="Y166" t="s">
        <v>48</v>
      </c>
      <c r="Z166" s="10">
        <f t="shared" si="17"/>
        <v>7</v>
      </c>
      <c r="AA166" s="11">
        <v>0</v>
      </c>
      <c r="AB166" s="11">
        <v>0</v>
      </c>
      <c r="AC166" s="11">
        <v>0</v>
      </c>
      <c r="AD166" s="11">
        <v>0</v>
      </c>
      <c r="AE166" s="11">
        <f t="shared" si="15"/>
        <v>0.42</v>
      </c>
      <c r="AF166" s="11">
        <f t="shared" si="16"/>
        <v>7.42</v>
      </c>
      <c r="AG166" t="s">
        <v>43</v>
      </c>
    </row>
    <row r="167" spans="1:33" ht="15" customHeight="1" x14ac:dyDescent="0.35">
      <c r="A167">
        <v>690929</v>
      </c>
      <c r="B167" t="s">
        <v>33</v>
      </c>
      <c r="C167" t="s">
        <v>34</v>
      </c>
      <c r="D167" s="6" t="s">
        <v>33</v>
      </c>
      <c r="E167" t="s">
        <v>606</v>
      </c>
      <c r="F167" t="s">
        <v>36</v>
      </c>
      <c r="G167" t="s">
        <v>37</v>
      </c>
      <c r="H167" t="s">
        <v>432</v>
      </c>
      <c r="I167" t="s">
        <v>39</v>
      </c>
      <c r="J167">
        <v>2</v>
      </c>
      <c r="K167" t="s">
        <v>40</v>
      </c>
      <c r="L167" t="s">
        <v>41</v>
      </c>
      <c r="M167" t="s">
        <v>42</v>
      </c>
      <c r="N167" s="7">
        <v>1</v>
      </c>
      <c r="O167" s="8">
        <v>45080.753368055557</v>
      </c>
      <c r="P167" s="9">
        <v>45084</v>
      </c>
      <c r="Q167" t="s">
        <v>36</v>
      </c>
      <c r="R167" t="s">
        <v>43</v>
      </c>
      <c r="S167" t="s">
        <v>44</v>
      </c>
      <c r="T167" t="s">
        <v>92</v>
      </c>
      <c r="U167" t="s">
        <v>433</v>
      </c>
      <c r="V167">
        <v>89808</v>
      </c>
      <c r="W167" t="s">
        <v>94</v>
      </c>
      <c r="X167" t="s">
        <v>67</v>
      </c>
      <c r="Y167" t="s">
        <v>48</v>
      </c>
      <c r="Z167" s="12">
        <f>IF(N167&lt;=1,13,IF(N167&lt;=2,23,IF(N167&lt;=3,35,IF(N167&lt;=4,43,IF(N167&lt;=5,53,IF(N167&lt;=6,63,IF(N167&lt;=7,71,IF(N167&lt;=8,79,IF(N167&lt;=9,87,IF(N167&lt;=10,95,IF(N167&lt;=11,105,IF(N167&lt;=12,114,IF(N167&lt;=13,119,IF(N167&lt;=14,127,IF(N167&lt;=15,135,IF(N167&lt;=16,143,IF(N167&lt;=17,153,IF(N167&lt;=18,163,IF(N167&lt;=19,171,IF(N167&lt;=20,185,IF(N167&lt;=21,193,IF(N167&lt;=22,201,IF(N167&lt;=23,210,IF(N167&lt;=24,220,IF(N167&lt;=25,230,IF(N167&lt;=26,240,IF(N167&lt;=27,250,IF(N167&lt;=28,260,IF(N167&lt;=29,270,IF(N167&lt;=30,280,280+10*ROUNDUP(N167-30,0)))))))))))))))))))))))))))))))</f>
        <v>13</v>
      </c>
      <c r="AA167" s="11">
        <v>0</v>
      </c>
      <c r="AB167" s="11">
        <v>0</v>
      </c>
      <c r="AC167" s="11">
        <v>0</v>
      </c>
      <c r="AD167" s="11">
        <v>0</v>
      </c>
      <c r="AE167" s="11">
        <f t="shared" si="15"/>
        <v>0.78</v>
      </c>
      <c r="AF167" s="11">
        <f t="shared" si="16"/>
        <v>13.78</v>
      </c>
      <c r="AG167" t="s">
        <v>94</v>
      </c>
    </row>
    <row r="168" spans="1:33" ht="15" customHeight="1" x14ac:dyDescent="0.35">
      <c r="A168">
        <v>690929</v>
      </c>
      <c r="B168" t="s">
        <v>33</v>
      </c>
      <c r="C168" t="s">
        <v>34</v>
      </c>
      <c r="D168" s="6" t="s">
        <v>33</v>
      </c>
      <c r="E168" t="s">
        <v>607</v>
      </c>
      <c r="F168" t="s">
        <v>36</v>
      </c>
      <c r="G168" t="s">
        <v>37</v>
      </c>
      <c r="H168" t="s">
        <v>608</v>
      </c>
      <c r="I168" t="s">
        <v>39</v>
      </c>
      <c r="J168">
        <v>2</v>
      </c>
      <c r="K168" t="s">
        <v>40</v>
      </c>
      <c r="L168" t="s">
        <v>41</v>
      </c>
      <c r="M168" t="s">
        <v>42</v>
      </c>
      <c r="N168" s="7">
        <v>1</v>
      </c>
      <c r="O168" s="8">
        <v>45080.761307870373</v>
      </c>
      <c r="P168" s="9">
        <v>45084</v>
      </c>
      <c r="Q168" t="s">
        <v>36</v>
      </c>
      <c r="R168" t="s">
        <v>43</v>
      </c>
      <c r="S168" t="s">
        <v>44</v>
      </c>
      <c r="T168" t="s">
        <v>92</v>
      </c>
      <c r="U168" t="s">
        <v>609</v>
      </c>
      <c r="V168">
        <v>89808</v>
      </c>
      <c r="W168" t="s">
        <v>94</v>
      </c>
      <c r="X168" t="s">
        <v>434</v>
      </c>
      <c r="Y168" t="s">
        <v>48</v>
      </c>
      <c r="Z168" s="12">
        <f>IF(N168&lt;=1,13,IF(N168&lt;=2,23,IF(N168&lt;=3,35,IF(N168&lt;=4,43,IF(N168&lt;=5,53,IF(N168&lt;=6,63,IF(N168&lt;=7,71,IF(N168&lt;=8,79,IF(N168&lt;=9,87,IF(N168&lt;=10,95,IF(N168&lt;=11,105,IF(N168&lt;=12,114,IF(N168&lt;=13,119,IF(N168&lt;=14,127,IF(N168&lt;=15,135,IF(N168&lt;=16,143,IF(N168&lt;=17,153,IF(N168&lt;=18,163,IF(N168&lt;=19,171,IF(N168&lt;=20,185,IF(N168&lt;=21,193,IF(N168&lt;=22,201,IF(N168&lt;=23,210,IF(N168&lt;=24,220,IF(N168&lt;=25,230,IF(N168&lt;=26,240,IF(N168&lt;=27,250,IF(N168&lt;=28,260,IF(N168&lt;=29,270,IF(N168&lt;=30,280,280+10*ROUNDUP(N168-30,0)))))))))))))))))))))))))))))))</f>
        <v>13</v>
      </c>
      <c r="AA168" s="11">
        <v>0</v>
      </c>
      <c r="AB168" s="11">
        <v>0</v>
      </c>
      <c r="AC168" s="11">
        <v>0</v>
      </c>
      <c r="AD168" s="11">
        <v>0</v>
      </c>
      <c r="AE168" s="11">
        <f t="shared" si="15"/>
        <v>0.78</v>
      </c>
      <c r="AF168" s="11">
        <f t="shared" si="16"/>
        <v>13.78</v>
      </c>
      <c r="AG168" t="s">
        <v>94</v>
      </c>
    </row>
    <row r="169" spans="1:33" ht="15" customHeight="1" x14ac:dyDescent="0.35">
      <c r="A169">
        <v>690929</v>
      </c>
      <c r="B169" t="s">
        <v>33</v>
      </c>
      <c r="C169" t="s">
        <v>34</v>
      </c>
      <c r="D169" s="6" t="s">
        <v>33</v>
      </c>
      <c r="E169" t="s">
        <v>610</v>
      </c>
      <c r="F169" t="s">
        <v>36</v>
      </c>
      <c r="G169" t="s">
        <v>37</v>
      </c>
      <c r="H169" t="s">
        <v>611</v>
      </c>
      <c r="I169" t="s">
        <v>39</v>
      </c>
      <c r="J169">
        <v>2</v>
      </c>
      <c r="K169" t="s">
        <v>40</v>
      </c>
      <c r="L169" t="s">
        <v>41</v>
      </c>
      <c r="M169" t="s">
        <v>42</v>
      </c>
      <c r="N169" s="7">
        <v>1</v>
      </c>
      <c r="O169" s="8">
        <v>45080.762233796297</v>
      </c>
      <c r="P169" s="9">
        <v>45084</v>
      </c>
      <c r="Q169" t="s">
        <v>36</v>
      </c>
      <c r="R169" t="s">
        <v>43</v>
      </c>
      <c r="S169" t="s">
        <v>44</v>
      </c>
      <c r="T169" t="s">
        <v>92</v>
      </c>
      <c r="U169" t="s">
        <v>609</v>
      </c>
      <c r="V169">
        <v>89808</v>
      </c>
      <c r="W169" t="s">
        <v>94</v>
      </c>
      <c r="X169" t="s">
        <v>434</v>
      </c>
      <c r="Y169" t="s">
        <v>48</v>
      </c>
      <c r="Z169" s="12">
        <f>IF(N169&lt;=1,13,IF(N169&lt;=2,23,IF(N169&lt;=3,35,IF(N169&lt;=4,43,IF(N169&lt;=5,53,IF(N169&lt;=6,63,IF(N169&lt;=7,71,IF(N169&lt;=8,79,IF(N169&lt;=9,87,IF(N169&lt;=10,95,IF(N169&lt;=11,105,IF(N169&lt;=12,114,IF(N169&lt;=13,119,IF(N169&lt;=14,127,IF(N169&lt;=15,135,IF(N169&lt;=16,143,IF(N169&lt;=17,153,IF(N169&lt;=18,163,IF(N169&lt;=19,171,IF(N169&lt;=20,185,IF(N169&lt;=21,193,IF(N169&lt;=22,201,IF(N169&lt;=23,210,IF(N169&lt;=24,220,IF(N169&lt;=25,230,IF(N169&lt;=26,240,IF(N169&lt;=27,250,IF(N169&lt;=28,260,IF(N169&lt;=29,270,IF(N169&lt;=30,280,280+10*ROUNDUP(N169-30,0)))))))))))))))))))))))))))))))</f>
        <v>13</v>
      </c>
      <c r="AA169" s="11">
        <v>0</v>
      </c>
      <c r="AB169" s="11">
        <v>0</v>
      </c>
      <c r="AC169" s="11">
        <v>0</v>
      </c>
      <c r="AD169" s="11">
        <v>0</v>
      </c>
      <c r="AE169" s="11">
        <f t="shared" si="15"/>
        <v>0.78</v>
      </c>
      <c r="AF169" s="11">
        <f t="shared" si="16"/>
        <v>13.78</v>
      </c>
      <c r="AG169" t="s">
        <v>94</v>
      </c>
    </row>
    <row r="170" spans="1:33" ht="15" customHeight="1" x14ac:dyDescent="0.35">
      <c r="A170">
        <v>690929</v>
      </c>
      <c r="B170" t="s">
        <v>33</v>
      </c>
      <c r="C170" t="s">
        <v>34</v>
      </c>
      <c r="D170" s="6" t="s">
        <v>33</v>
      </c>
      <c r="E170" t="s">
        <v>612</v>
      </c>
      <c r="F170" t="s">
        <v>36</v>
      </c>
      <c r="G170" t="s">
        <v>37</v>
      </c>
      <c r="H170" t="s">
        <v>613</v>
      </c>
      <c r="I170" t="s">
        <v>39</v>
      </c>
      <c r="J170">
        <v>2</v>
      </c>
      <c r="K170" t="s">
        <v>40</v>
      </c>
      <c r="L170" t="s">
        <v>41</v>
      </c>
      <c r="M170" t="s">
        <v>42</v>
      </c>
      <c r="N170" s="7">
        <v>1</v>
      </c>
      <c r="O170" s="8">
        <v>45083.693495370368</v>
      </c>
      <c r="P170" s="9">
        <v>45084</v>
      </c>
      <c r="Q170" t="s">
        <v>36</v>
      </c>
      <c r="R170" t="s">
        <v>43</v>
      </c>
      <c r="S170" t="s">
        <v>44</v>
      </c>
      <c r="T170" t="s">
        <v>74</v>
      </c>
      <c r="U170" t="s">
        <v>614</v>
      </c>
      <c r="V170">
        <v>58200</v>
      </c>
      <c r="W170" t="s">
        <v>43</v>
      </c>
      <c r="X170" t="s">
        <v>615</v>
      </c>
      <c r="Y170" t="s">
        <v>48</v>
      </c>
      <c r="Z170" s="10">
        <f t="shared" ref="Z170:Z171" si="18">IF(N170&lt;=1,7,7+0.8*ROUNDUP(N170-1,0))</f>
        <v>7</v>
      </c>
      <c r="AA170" s="11">
        <v>0</v>
      </c>
      <c r="AB170" s="11">
        <v>0</v>
      </c>
      <c r="AC170" s="11">
        <v>0</v>
      </c>
      <c r="AD170" s="11">
        <v>0</v>
      </c>
      <c r="AE170" s="11">
        <f t="shared" si="15"/>
        <v>0.42</v>
      </c>
      <c r="AF170" s="11">
        <f t="shared" si="16"/>
        <v>7.42</v>
      </c>
      <c r="AG170" t="s">
        <v>43</v>
      </c>
    </row>
    <row r="171" spans="1:33" ht="15" customHeight="1" x14ac:dyDescent="0.35">
      <c r="A171">
        <v>690929</v>
      </c>
      <c r="B171" t="s">
        <v>33</v>
      </c>
      <c r="C171" t="s">
        <v>34</v>
      </c>
      <c r="D171" s="6" t="s">
        <v>33</v>
      </c>
      <c r="E171" t="s">
        <v>616</v>
      </c>
      <c r="F171" t="s">
        <v>36</v>
      </c>
      <c r="G171" t="s">
        <v>37</v>
      </c>
      <c r="H171" t="s">
        <v>617</v>
      </c>
      <c r="I171" t="s">
        <v>39</v>
      </c>
      <c r="J171">
        <v>2</v>
      </c>
      <c r="K171" t="s">
        <v>40</v>
      </c>
      <c r="L171" t="s">
        <v>41</v>
      </c>
      <c r="M171" t="s">
        <v>42</v>
      </c>
      <c r="N171" s="7">
        <v>1</v>
      </c>
      <c r="O171" s="8">
        <v>45083.570150462961</v>
      </c>
      <c r="P171" s="9">
        <v>45084</v>
      </c>
      <c r="Q171" t="s">
        <v>36</v>
      </c>
      <c r="R171" t="s">
        <v>43</v>
      </c>
      <c r="S171" t="s">
        <v>44</v>
      </c>
      <c r="T171" t="s">
        <v>157</v>
      </c>
      <c r="U171" t="s">
        <v>618</v>
      </c>
      <c r="V171">
        <v>18300</v>
      </c>
      <c r="W171" t="s">
        <v>43</v>
      </c>
      <c r="X171" t="s">
        <v>123</v>
      </c>
      <c r="Y171" t="s">
        <v>48</v>
      </c>
      <c r="Z171" s="10">
        <f t="shared" si="18"/>
        <v>7</v>
      </c>
      <c r="AA171" s="11">
        <v>0</v>
      </c>
      <c r="AB171" s="11">
        <v>0</v>
      </c>
      <c r="AC171" s="11">
        <v>0</v>
      </c>
      <c r="AD171" s="11">
        <v>0</v>
      </c>
      <c r="AE171" s="11">
        <f t="shared" si="15"/>
        <v>0.42</v>
      </c>
      <c r="AF171" s="11">
        <f t="shared" si="16"/>
        <v>7.42</v>
      </c>
      <c r="AG171" t="s">
        <v>43</v>
      </c>
    </row>
    <row r="172" spans="1:33" ht="15" customHeight="1" x14ac:dyDescent="0.35">
      <c r="A172">
        <v>690929</v>
      </c>
      <c r="B172" t="s">
        <v>33</v>
      </c>
      <c r="C172" t="s">
        <v>34</v>
      </c>
      <c r="D172" s="6" t="s">
        <v>33</v>
      </c>
      <c r="E172" t="s">
        <v>619</v>
      </c>
      <c r="F172" t="s">
        <v>36</v>
      </c>
      <c r="G172" t="s">
        <v>37</v>
      </c>
      <c r="H172" t="s">
        <v>620</v>
      </c>
      <c r="I172" t="s">
        <v>39</v>
      </c>
      <c r="J172">
        <v>2</v>
      </c>
      <c r="K172" t="s">
        <v>40</v>
      </c>
      <c r="L172" t="s">
        <v>41</v>
      </c>
      <c r="M172" t="s">
        <v>42</v>
      </c>
      <c r="N172" s="7">
        <v>3</v>
      </c>
      <c r="O172" s="8">
        <v>45080.754930555559</v>
      </c>
      <c r="P172" s="9">
        <v>45084</v>
      </c>
      <c r="Q172" t="s">
        <v>36</v>
      </c>
      <c r="R172" t="s">
        <v>43</v>
      </c>
      <c r="S172" t="s">
        <v>44</v>
      </c>
      <c r="T172" t="s">
        <v>92</v>
      </c>
      <c r="U172" t="s">
        <v>621</v>
      </c>
      <c r="V172">
        <v>91308</v>
      </c>
      <c r="W172" t="s">
        <v>94</v>
      </c>
      <c r="X172" t="s">
        <v>622</v>
      </c>
      <c r="Y172" t="s">
        <v>48</v>
      </c>
      <c r="Z172" s="12">
        <f>IF(N172&lt;=1,13,IF(N172&lt;=2,23,IF(N172&lt;=3,35,IF(N172&lt;=4,43,IF(N172&lt;=5,53,IF(N172&lt;=6,63,IF(N172&lt;=7,71,IF(N172&lt;=8,79,IF(N172&lt;=9,87,IF(N172&lt;=10,95,IF(N172&lt;=11,105,IF(N172&lt;=12,114,IF(N172&lt;=13,119,IF(N172&lt;=14,127,IF(N172&lt;=15,135,IF(N172&lt;=16,143,IF(N172&lt;=17,153,IF(N172&lt;=18,163,IF(N172&lt;=19,171,IF(N172&lt;=20,185,IF(N172&lt;=21,193,IF(N172&lt;=22,201,IF(N172&lt;=23,210,IF(N172&lt;=24,220,IF(N172&lt;=25,230,IF(N172&lt;=26,240,IF(N172&lt;=27,250,IF(N172&lt;=28,260,IF(N172&lt;=29,270,IF(N172&lt;=30,280,280+10*ROUNDUP(N172-30,0)))))))))))))))))))))))))))))))</f>
        <v>35</v>
      </c>
      <c r="AA172" s="11">
        <v>0</v>
      </c>
      <c r="AB172" s="11">
        <v>0</v>
      </c>
      <c r="AC172" s="11">
        <v>0</v>
      </c>
      <c r="AD172" s="11">
        <v>0</v>
      </c>
      <c r="AE172" s="11">
        <f t="shared" si="15"/>
        <v>2.1</v>
      </c>
      <c r="AF172" s="11">
        <f t="shared" si="16"/>
        <v>37.1</v>
      </c>
      <c r="AG172" t="s">
        <v>94</v>
      </c>
    </row>
    <row r="173" spans="1:33" ht="15" customHeight="1" x14ac:dyDescent="0.35">
      <c r="A173">
        <v>690929</v>
      </c>
      <c r="B173" t="s">
        <v>33</v>
      </c>
      <c r="C173" t="s">
        <v>34</v>
      </c>
      <c r="D173" s="6" t="s">
        <v>33</v>
      </c>
      <c r="E173" t="s">
        <v>623</v>
      </c>
      <c r="F173" t="s">
        <v>36</v>
      </c>
      <c r="G173" t="s">
        <v>37</v>
      </c>
      <c r="H173" t="s">
        <v>624</v>
      </c>
      <c r="I173" t="s">
        <v>39</v>
      </c>
      <c r="J173">
        <v>2</v>
      </c>
      <c r="K173" t="s">
        <v>40</v>
      </c>
      <c r="L173" t="s">
        <v>41</v>
      </c>
      <c r="M173" t="s">
        <v>42</v>
      </c>
      <c r="N173" s="7">
        <v>1</v>
      </c>
      <c r="O173" s="8">
        <v>45083.728472222225</v>
      </c>
      <c r="P173" s="9">
        <v>45084</v>
      </c>
      <c r="Q173" t="s">
        <v>36</v>
      </c>
      <c r="R173" t="s">
        <v>43</v>
      </c>
      <c r="S173" t="s">
        <v>44</v>
      </c>
      <c r="T173" t="s">
        <v>45</v>
      </c>
      <c r="U173" t="s">
        <v>625</v>
      </c>
      <c r="V173">
        <v>40000</v>
      </c>
      <c r="W173" t="s">
        <v>43</v>
      </c>
      <c r="X173" t="s">
        <v>343</v>
      </c>
      <c r="Y173" t="s">
        <v>48</v>
      </c>
      <c r="Z173" s="10">
        <f t="shared" ref="Z173:Z174" si="19">IF(N173&lt;=1,7,7+0.8*ROUNDUP(N173-1,0))</f>
        <v>7</v>
      </c>
      <c r="AA173" s="11">
        <v>0</v>
      </c>
      <c r="AB173" s="11">
        <v>0</v>
      </c>
      <c r="AC173" s="11">
        <v>0</v>
      </c>
      <c r="AD173" s="11">
        <v>0</v>
      </c>
      <c r="AE173" s="11">
        <f t="shared" si="15"/>
        <v>0.42</v>
      </c>
      <c r="AF173" s="11">
        <f t="shared" si="16"/>
        <v>7.42</v>
      </c>
      <c r="AG173" t="s">
        <v>43</v>
      </c>
    </row>
    <row r="174" spans="1:33" ht="15" customHeight="1" x14ac:dyDescent="0.35">
      <c r="A174">
        <v>690929</v>
      </c>
      <c r="B174" t="s">
        <v>33</v>
      </c>
      <c r="C174" t="s">
        <v>34</v>
      </c>
      <c r="D174" s="6" t="s">
        <v>33</v>
      </c>
      <c r="E174" t="s">
        <v>626</v>
      </c>
      <c r="F174" t="s">
        <v>36</v>
      </c>
      <c r="G174" t="s">
        <v>37</v>
      </c>
      <c r="H174" t="s">
        <v>627</v>
      </c>
      <c r="I174" t="s">
        <v>39</v>
      </c>
      <c r="J174">
        <v>2</v>
      </c>
      <c r="K174" t="s">
        <v>40</v>
      </c>
      <c r="L174" t="s">
        <v>41</v>
      </c>
      <c r="M174" t="s">
        <v>42</v>
      </c>
      <c r="N174" s="7">
        <v>1</v>
      </c>
      <c r="O174" s="8">
        <v>45083.700787037036</v>
      </c>
      <c r="P174" s="9">
        <v>45084</v>
      </c>
      <c r="Q174" t="s">
        <v>36</v>
      </c>
      <c r="R174" t="s">
        <v>43</v>
      </c>
      <c r="S174" t="s">
        <v>44</v>
      </c>
      <c r="T174" t="s">
        <v>74</v>
      </c>
      <c r="U174" t="s">
        <v>628</v>
      </c>
      <c r="V174">
        <v>57000</v>
      </c>
      <c r="W174" t="s">
        <v>43</v>
      </c>
      <c r="X174" t="s">
        <v>325</v>
      </c>
      <c r="Y174" t="s">
        <v>48</v>
      </c>
      <c r="Z174" s="10">
        <f t="shared" si="19"/>
        <v>7</v>
      </c>
      <c r="AA174" s="11">
        <v>0</v>
      </c>
      <c r="AB174" s="11">
        <v>0</v>
      </c>
      <c r="AC174" s="11">
        <v>0</v>
      </c>
      <c r="AD174" s="11">
        <v>0</v>
      </c>
      <c r="AE174" s="11">
        <f t="shared" si="15"/>
        <v>0.42</v>
      </c>
      <c r="AF174" s="11">
        <f t="shared" si="16"/>
        <v>7.42</v>
      </c>
      <c r="AG174" t="s">
        <v>43</v>
      </c>
    </row>
    <row r="175" spans="1:33" ht="15" customHeight="1" x14ac:dyDescent="0.35">
      <c r="A175">
        <v>690929</v>
      </c>
      <c r="B175" t="s">
        <v>33</v>
      </c>
      <c r="C175" t="s">
        <v>34</v>
      </c>
      <c r="D175" s="6" t="s">
        <v>33</v>
      </c>
      <c r="E175" t="s">
        <v>629</v>
      </c>
      <c r="F175" t="s">
        <v>36</v>
      </c>
      <c r="G175" t="s">
        <v>37</v>
      </c>
      <c r="H175" t="s">
        <v>630</v>
      </c>
      <c r="I175" t="s">
        <v>39</v>
      </c>
      <c r="J175">
        <v>2</v>
      </c>
      <c r="K175" t="s">
        <v>40</v>
      </c>
      <c r="L175" t="s">
        <v>41</v>
      </c>
      <c r="M175" t="s">
        <v>42</v>
      </c>
      <c r="N175" s="7">
        <v>2</v>
      </c>
      <c r="O175" s="8">
        <v>45078.697546296295</v>
      </c>
      <c r="P175" s="9">
        <v>45084</v>
      </c>
      <c r="Q175" t="s">
        <v>36</v>
      </c>
      <c r="R175" t="s">
        <v>43</v>
      </c>
      <c r="S175" t="s">
        <v>44</v>
      </c>
      <c r="T175" t="s">
        <v>92</v>
      </c>
      <c r="U175" t="s">
        <v>631</v>
      </c>
      <c r="V175">
        <v>89600</v>
      </c>
      <c r="W175" t="s">
        <v>94</v>
      </c>
      <c r="X175" t="s">
        <v>67</v>
      </c>
      <c r="Y175" t="s">
        <v>48</v>
      </c>
      <c r="Z175" s="12">
        <f>IF(N175&lt;=1,13,IF(N175&lt;=2,23,IF(N175&lt;=3,35,IF(N175&lt;=4,43,IF(N175&lt;=5,53,IF(N175&lt;=6,63,IF(N175&lt;=7,71,IF(N175&lt;=8,79,IF(N175&lt;=9,87,IF(N175&lt;=10,95,IF(N175&lt;=11,105,IF(N175&lt;=12,114,IF(N175&lt;=13,119,IF(N175&lt;=14,127,IF(N175&lt;=15,135,IF(N175&lt;=16,143,IF(N175&lt;=17,153,IF(N175&lt;=18,163,IF(N175&lt;=19,171,IF(N175&lt;=20,185,IF(N175&lt;=21,193,IF(N175&lt;=22,201,IF(N175&lt;=23,210,IF(N175&lt;=24,220,IF(N175&lt;=25,230,IF(N175&lt;=26,240,IF(N175&lt;=27,250,IF(N175&lt;=28,260,IF(N175&lt;=29,270,IF(N175&lt;=30,280,280+10*ROUNDUP(N175-30,0)))))))))))))))))))))))))))))))</f>
        <v>23</v>
      </c>
      <c r="AA175" s="11">
        <v>0</v>
      </c>
      <c r="AB175" s="11">
        <v>0</v>
      </c>
      <c r="AC175" s="11">
        <v>0</v>
      </c>
      <c r="AD175" s="11">
        <v>0</v>
      </c>
      <c r="AE175" s="11">
        <f t="shared" si="15"/>
        <v>1.38</v>
      </c>
      <c r="AF175" s="11">
        <f t="shared" si="16"/>
        <v>24.38</v>
      </c>
      <c r="AG175" t="s">
        <v>94</v>
      </c>
    </row>
    <row r="176" spans="1:33" ht="15" customHeight="1" x14ac:dyDescent="0.35">
      <c r="A176">
        <v>690929</v>
      </c>
      <c r="B176" t="s">
        <v>33</v>
      </c>
      <c r="C176" t="s">
        <v>34</v>
      </c>
      <c r="D176" s="6" t="s">
        <v>33</v>
      </c>
      <c r="E176" t="s">
        <v>632</v>
      </c>
      <c r="F176" t="s">
        <v>36</v>
      </c>
      <c r="G176" t="s">
        <v>37</v>
      </c>
      <c r="H176" t="s">
        <v>633</v>
      </c>
      <c r="I176" t="s">
        <v>39</v>
      </c>
      <c r="J176">
        <v>2</v>
      </c>
      <c r="K176" t="s">
        <v>40</v>
      </c>
      <c r="L176" t="s">
        <v>41</v>
      </c>
      <c r="M176" t="s">
        <v>42</v>
      </c>
      <c r="N176" s="7">
        <v>1</v>
      </c>
      <c r="O176" s="8">
        <v>45083.503923611112</v>
      </c>
      <c r="P176" s="9">
        <v>45084</v>
      </c>
      <c r="Q176" t="s">
        <v>36</v>
      </c>
      <c r="R176" t="s">
        <v>43</v>
      </c>
      <c r="S176" t="s">
        <v>44</v>
      </c>
      <c r="T176" t="s">
        <v>106</v>
      </c>
      <c r="U176" t="s">
        <v>634</v>
      </c>
      <c r="V176">
        <v>28400</v>
      </c>
      <c r="W176" t="s">
        <v>43</v>
      </c>
      <c r="X176" t="s">
        <v>108</v>
      </c>
      <c r="Y176" t="s">
        <v>48</v>
      </c>
      <c r="Z176" s="10">
        <f t="shared" ref="Z176:Z193" si="20">IF(N176&lt;=1,7,7+0.8*ROUNDUP(N176-1,0))</f>
        <v>7</v>
      </c>
      <c r="AA176" s="11">
        <v>0</v>
      </c>
      <c r="AB176" s="11">
        <v>0</v>
      </c>
      <c r="AC176" s="11">
        <v>0</v>
      </c>
      <c r="AD176" s="11">
        <v>0</v>
      </c>
      <c r="AE176" s="11">
        <f t="shared" si="15"/>
        <v>0.42</v>
      </c>
      <c r="AF176" s="11">
        <f t="shared" si="16"/>
        <v>7.42</v>
      </c>
      <c r="AG176" t="s">
        <v>43</v>
      </c>
    </row>
    <row r="177" spans="1:33" ht="15" customHeight="1" x14ac:dyDescent="0.35">
      <c r="A177">
        <v>690929</v>
      </c>
      <c r="B177" t="s">
        <v>33</v>
      </c>
      <c r="C177" t="s">
        <v>34</v>
      </c>
      <c r="D177" s="6" t="s">
        <v>33</v>
      </c>
      <c r="E177" t="s">
        <v>635</v>
      </c>
      <c r="F177" t="s">
        <v>36</v>
      </c>
      <c r="G177" t="s">
        <v>37</v>
      </c>
      <c r="H177" t="s">
        <v>636</v>
      </c>
      <c r="I177" t="s">
        <v>39</v>
      </c>
      <c r="J177">
        <v>2</v>
      </c>
      <c r="K177" t="s">
        <v>40</v>
      </c>
      <c r="L177" t="s">
        <v>41</v>
      </c>
      <c r="M177" t="s">
        <v>42</v>
      </c>
      <c r="N177" s="7">
        <v>1</v>
      </c>
      <c r="O177" s="8">
        <v>45083.745879629627</v>
      </c>
      <c r="P177" s="9">
        <v>45084</v>
      </c>
      <c r="Q177" t="s">
        <v>36</v>
      </c>
      <c r="R177" t="s">
        <v>43</v>
      </c>
      <c r="S177" t="s">
        <v>44</v>
      </c>
      <c r="T177" t="s">
        <v>157</v>
      </c>
      <c r="U177" t="s">
        <v>637</v>
      </c>
      <c r="V177">
        <v>16150</v>
      </c>
      <c r="W177" t="s">
        <v>43</v>
      </c>
      <c r="X177" t="s">
        <v>123</v>
      </c>
      <c r="Y177" t="s">
        <v>48</v>
      </c>
      <c r="Z177" s="10">
        <f t="shared" si="20"/>
        <v>7</v>
      </c>
      <c r="AA177" s="11">
        <v>0</v>
      </c>
      <c r="AB177" s="11">
        <v>0</v>
      </c>
      <c r="AC177" s="11">
        <v>0</v>
      </c>
      <c r="AD177" s="11">
        <v>0</v>
      </c>
      <c r="AE177" s="11">
        <f t="shared" si="15"/>
        <v>0.42</v>
      </c>
      <c r="AF177" s="11">
        <f t="shared" si="16"/>
        <v>7.42</v>
      </c>
      <c r="AG177" t="s">
        <v>43</v>
      </c>
    </row>
    <row r="178" spans="1:33" ht="15" customHeight="1" x14ac:dyDescent="0.35">
      <c r="A178">
        <v>690929</v>
      </c>
      <c r="B178" t="s">
        <v>33</v>
      </c>
      <c r="C178" t="s">
        <v>34</v>
      </c>
      <c r="D178" s="6" t="s">
        <v>33</v>
      </c>
      <c r="E178" t="s">
        <v>638</v>
      </c>
      <c r="F178" t="s">
        <v>36</v>
      </c>
      <c r="G178" t="s">
        <v>37</v>
      </c>
      <c r="H178" t="s">
        <v>639</v>
      </c>
      <c r="I178" t="s">
        <v>39</v>
      </c>
      <c r="J178">
        <v>2</v>
      </c>
      <c r="K178" t="s">
        <v>40</v>
      </c>
      <c r="L178" t="s">
        <v>41</v>
      </c>
      <c r="M178" t="s">
        <v>42</v>
      </c>
      <c r="N178" s="7">
        <v>1</v>
      </c>
      <c r="O178" s="8">
        <v>45083.45412037037</v>
      </c>
      <c r="P178" s="9">
        <v>45084</v>
      </c>
      <c r="Q178" t="s">
        <v>36</v>
      </c>
      <c r="R178" t="s">
        <v>43</v>
      </c>
      <c r="S178" t="s">
        <v>44</v>
      </c>
      <c r="T178" t="s">
        <v>106</v>
      </c>
      <c r="U178" t="s">
        <v>640</v>
      </c>
      <c r="V178">
        <v>27000</v>
      </c>
      <c r="W178" t="s">
        <v>43</v>
      </c>
      <c r="X178" t="s">
        <v>108</v>
      </c>
      <c r="Y178" t="s">
        <v>48</v>
      </c>
      <c r="Z178" s="10">
        <f t="shared" si="20"/>
        <v>7</v>
      </c>
      <c r="AA178" s="11">
        <v>0</v>
      </c>
      <c r="AB178" s="11">
        <v>0</v>
      </c>
      <c r="AC178" s="11">
        <v>0</v>
      </c>
      <c r="AD178" s="11">
        <v>0</v>
      </c>
      <c r="AE178" s="11">
        <f t="shared" si="15"/>
        <v>0.42</v>
      </c>
      <c r="AF178" s="11">
        <f t="shared" si="16"/>
        <v>7.42</v>
      </c>
      <c r="AG178" t="s">
        <v>43</v>
      </c>
    </row>
    <row r="179" spans="1:33" ht="15" customHeight="1" x14ac:dyDescent="0.35">
      <c r="A179">
        <v>690929</v>
      </c>
      <c r="B179" t="s">
        <v>33</v>
      </c>
      <c r="C179" t="s">
        <v>34</v>
      </c>
      <c r="D179" s="6" t="s">
        <v>33</v>
      </c>
      <c r="E179" t="s">
        <v>641</v>
      </c>
      <c r="F179" t="s">
        <v>36</v>
      </c>
      <c r="G179" t="s">
        <v>37</v>
      </c>
      <c r="H179" t="s">
        <v>642</v>
      </c>
      <c r="I179" t="s">
        <v>39</v>
      </c>
      <c r="J179">
        <v>2</v>
      </c>
      <c r="K179" t="s">
        <v>40</v>
      </c>
      <c r="L179" t="s">
        <v>41</v>
      </c>
      <c r="M179" t="s">
        <v>42</v>
      </c>
      <c r="N179" s="7">
        <v>1</v>
      </c>
      <c r="O179" s="8">
        <v>45083.68540509259</v>
      </c>
      <c r="P179" s="9">
        <v>45084</v>
      </c>
      <c r="Q179" t="s">
        <v>36</v>
      </c>
      <c r="R179" t="s">
        <v>43</v>
      </c>
      <c r="S179" t="s">
        <v>44</v>
      </c>
      <c r="T179" t="s">
        <v>45</v>
      </c>
      <c r="U179" t="s">
        <v>643</v>
      </c>
      <c r="V179">
        <v>62300</v>
      </c>
      <c r="W179" t="s">
        <v>43</v>
      </c>
      <c r="X179" t="s">
        <v>272</v>
      </c>
      <c r="Y179" t="s">
        <v>48</v>
      </c>
      <c r="Z179" s="10">
        <f t="shared" si="20"/>
        <v>7</v>
      </c>
      <c r="AA179" s="11">
        <v>0</v>
      </c>
      <c r="AB179" s="11">
        <v>0</v>
      </c>
      <c r="AC179" s="11">
        <v>0</v>
      </c>
      <c r="AD179" s="11">
        <v>0</v>
      </c>
      <c r="AE179" s="11">
        <f t="shared" si="15"/>
        <v>0.42</v>
      </c>
      <c r="AF179" s="11">
        <f t="shared" si="16"/>
        <v>7.42</v>
      </c>
      <c r="AG179" t="s">
        <v>43</v>
      </c>
    </row>
    <row r="180" spans="1:33" ht="15" customHeight="1" x14ac:dyDescent="0.35">
      <c r="A180">
        <v>690929</v>
      </c>
      <c r="B180" t="s">
        <v>33</v>
      </c>
      <c r="C180" t="s">
        <v>34</v>
      </c>
      <c r="D180" s="6" t="s">
        <v>33</v>
      </c>
      <c r="E180" t="s">
        <v>644</v>
      </c>
      <c r="F180" t="s">
        <v>36</v>
      </c>
      <c r="G180" t="s">
        <v>37</v>
      </c>
      <c r="H180" t="s">
        <v>645</v>
      </c>
      <c r="I180" t="s">
        <v>39</v>
      </c>
      <c r="J180">
        <v>2</v>
      </c>
      <c r="K180" t="s">
        <v>40</v>
      </c>
      <c r="L180" t="s">
        <v>41</v>
      </c>
      <c r="M180" t="s">
        <v>42</v>
      </c>
      <c r="N180" s="7">
        <v>1</v>
      </c>
      <c r="O180" s="8">
        <v>45084.671354166669</v>
      </c>
      <c r="P180" s="9">
        <v>45085</v>
      </c>
      <c r="Q180" t="s">
        <v>36</v>
      </c>
      <c r="R180" t="s">
        <v>43</v>
      </c>
      <c r="S180" t="s">
        <v>44</v>
      </c>
      <c r="T180" t="s">
        <v>106</v>
      </c>
      <c r="U180" t="s">
        <v>646</v>
      </c>
      <c r="V180">
        <v>26100</v>
      </c>
      <c r="W180" t="s">
        <v>43</v>
      </c>
      <c r="X180" t="s">
        <v>647</v>
      </c>
      <c r="Y180" t="s">
        <v>48</v>
      </c>
      <c r="Z180" s="10">
        <f t="shared" si="20"/>
        <v>7</v>
      </c>
      <c r="AA180" s="11">
        <v>0</v>
      </c>
      <c r="AB180" s="11">
        <v>0</v>
      </c>
      <c r="AC180" s="11">
        <v>0</v>
      </c>
      <c r="AD180" s="11">
        <v>0</v>
      </c>
      <c r="AE180" s="11">
        <f t="shared" si="15"/>
        <v>0.42</v>
      </c>
      <c r="AF180" s="11">
        <f t="shared" si="16"/>
        <v>7.42</v>
      </c>
      <c r="AG180" t="s">
        <v>43</v>
      </c>
    </row>
    <row r="181" spans="1:33" ht="15" customHeight="1" x14ac:dyDescent="0.35">
      <c r="A181">
        <v>690929</v>
      </c>
      <c r="B181" t="s">
        <v>33</v>
      </c>
      <c r="C181" t="s">
        <v>34</v>
      </c>
      <c r="D181" s="6" t="s">
        <v>33</v>
      </c>
      <c r="E181" t="s">
        <v>648</v>
      </c>
      <c r="F181" t="s">
        <v>36</v>
      </c>
      <c r="G181" t="s">
        <v>37</v>
      </c>
      <c r="H181" t="s">
        <v>649</v>
      </c>
      <c r="I181" t="s">
        <v>39</v>
      </c>
      <c r="J181">
        <v>2</v>
      </c>
      <c r="K181" t="s">
        <v>40</v>
      </c>
      <c r="L181" t="s">
        <v>41</v>
      </c>
      <c r="M181" t="s">
        <v>42</v>
      </c>
      <c r="N181" s="7">
        <v>1</v>
      </c>
      <c r="O181" s="8">
        <v>45081.750578703701</v>
      </c>
      <c r="P181" s="9">
        <v>45085</v>
      </c>
      <c r="Q181" t="s">
        <v>36</v>
      </c>
      <c r="R181" t="s">
        <v>43</v>
      </c>
      <c r="S181" t="s">
        <v>44</v>
      </c>
      <c r="T181" t="s">
        <v>128</v>
      </c>
      <c r="U181" t="s">
        <v>650</v>
      </c>
      <c r="V181">
        <v>86400</v>
      </c>
      <c r="W181" t="s">
        <v>43</v>
      </c>
      <c r="X181" t="s">
        <v>67</v>
      </c>
      <c r="Y181" t="s">
        <v>48</v>
      </c>
      <c r="Z181" s="10">
        <f t="shared" si="20"/>
        <v>7</v>
      </c>
      <c r="AA181" s="11">
        <v>0</v>
      </c>
      <c r="AB181" s="11">
        <v>0</v>
      </c>
      <c r="AC181" s="11">
        <v>0</v>
      </c>
      <c r="AD181" s="11">
        <v>0</v>
      </c>
      <c r="AE181" s="11">
        <f t="shared" si="15"/>
        <v>0.42</v>
      </c>
      <c r="AF181" s="11">
        <f t="shared" si="16"/>
        <v>7.42</v>
      </c>
      <c r="AG181" t="s">
        <v>43</v>
      </c>
    </row>
    <row r="182" spans="1:33" ht="15" customHeight="1" x14ac:dyDescent="0.35">
      <c r="A182">
        <v>690929</v>
      </c>
      <c r="B182" t="s">
        <v>33</v>
      </c>
      <c r="C182" t="s">
        <v>34</v>
      </c>
      <c r="D182" s="6" t="s">
        <v>33</v>
      </c>
      <c r="E182" t="s">
        <v>651</v>
      </c>
      <c r="F182" t="s">
        <v>36</v>
      </c>
      <c r="G182" t="s">
        <v>37</v>
      </c>
      <c r="H182" t="s">
        <v>652</v>
      </c>
      <c r="I182" t="s">
        <v>39</v>
      </c>
      <c r="J182">
        <v>2</v>
      </c>
      <c r="K182" t="s">
        <v>40</v>
      </c>
      <c r="L182" t="s">
        <v>41</v>
      </c>
      <c r="M182" t="s">
        <v>42</v>
      </c>
      <c r="N182" s="7">
        <v>1</v>
      </c>
      <c r="O182" s="8">
        <v>45078.740752314814</v>
      </c>
      <c r="P182" s="9">
        <v>45085</v>
      </c>
      <c r="Q182" t="s">
        <v>36</v>
      </c>
      <c r="R182" t="s">
        <v>43</v>
      </c>
      <c r="S182" t="s">
        <v>123</v>
      </c>
      <c r="T182" t="s">
        <v>36</v>
      </c>
      <c r="U182" t="s">
        <v>653</v>
      </c>
      <c r="V182">
        <v>25000</v>
      </c>
      <c r="W182" t="s">
        <v>654</v>
      </c>
      <c r="X182" t="s">
        <v>123</v>
      </c>
      <c r="Y182" t="s">
        <v>48</v>
      </c>
      <c r="Z182" s="10">
        <f t="shared" si="20"/>
        <v>7</v>
      </c>
      <c r="AA182" s="11">
        <v>0</v>
      </c>
      <c r="AB182" s="11">
        <v>0</v>
      </c>
      <c r="AC182" s="11">
        <v>0</v>
      </c>
      <c r="AD182" s="11">
        <v>0</v>
      </c>
      <c r="AE182" s="11">
        <f t="shared" si="15"/>
        <v>0.42</v>
      </c>
      <c r="AF182" s="11">
        <f t="shared" si="16"/>
        <v>7.42</v>
      </c>
      <c r="AG182" t="s">
        <v>43</v>
      </c>
    </row>
    <row r="183" spans="1:33" ht="15" customHeight="1" x14ac:dyDescent="0.35">
      <c r="A183">
        <v>690929</v>
      </c>
      <c r="B183" t="s">
        <v>33</v>
      </c>
      <c r="C183" t="s">
        <v>34</v>
      </c>
      <c r="D183" s="6" t="s">
        <v>33</v>
      </c>
      <c r="E183" t="s">
        <v>655</v>
      </c>
      <c r="F183" t="s">
        <v>36</v>
      </c>
      <c r="G183" t="s">
        <v>37</v>
      </c>
      <c r="H183" t="s">
        <v>656</v>
      </c>
      <c r="I183" t="s">
        <v>39</v>
      </c>
      <c r="J183">
        <v>2</v>
      </c>
      <c r="K183" t="s">
        <v>40</v>
      </c>
      <c r="L183" t="s">
        <v>41</v>
      </c>
      <c r="M183" t="s">
        <v>42</v>
      </c>
      <c r="N183" s="7">
        <v>5</v>
      </c>
      <c r="O183" s="8">
        <v>45083.596134259256</v>
      </c>
      <c r="P183" s="9">
        <v>45085</v>
      </c>
      <c r="Q183" t="s">
        <v>36</v>
      </c>
      <c r="R183" t="s">
        <v>43</v>
      </c>
      <c r="S183" t="s">
        <v>44</v>
      </c>
      <c r="T183" t="s">
        <v>124</v>
      </c>
      <c r="U183" t="s">
        <v>657</v>
      </c>
      <c r="V183">
        <v>33400</v>
      </c>
      <c r="W183" t="s">
        <v>43</v>
      </c>
      <c r="X183" t="s">
        <v>658</v>
      </c>
      <c r="Y183" t="s">
        <v>48</v>
      </c>
      <c r="Z183" s="10">
        <f t="shared" si="20"/>
        <v>10.199999999999999</v>
      </c>
      <c r="AA183" s="11">
        <v>0</v>
      </c>
      <c r="AB183" s="11">
        <v>0</v>
      </c>
      <c r="AC183" s="11">
        <v>0</v>
      </c>
      <c r="AD183" s="11">
        <v>0</v>
      </c>
      <c r="AE183" s="11">
        <f t="shared" si="15"/>
        <v>0.61199999999999999</v>
      </c>
      <c r="AF183" s="11">
        <f t="shared" si="16"/>
        <v>10.811999999999999</v>
      </c>
      <c r="AG183" t="s">
        <v>43</v>
      </c>
    </row>
    <row r="184" spans="1:33" ht="15" customHeight="1" x14ac:dyDescent="0.35">
      <c r="A184">
        <v>690929</v>
      </c>
      <c r="B184" t="s">
        <v>33</v>
      </c>
      <c r="C184" t="s">
        <v>34</v>
      </c>
      <c r="D184" s="6" t="s">
        <v>33</v>
      </c>
      <c r="E184" t="s">
        <v>659</v>
      </c>
      <c r="F184" t="s">
        <v>36</v>
      </c>
      <c r="G184" t="s">
        <v>37</v>
      </c>
      <c r="H184" t="s">
        <v>656</v>
      </c>
      <c r="I184" t="s">
        <v>39</v>
      </c>
      <c r="J184">
        <v>2</v>
      </c>
      <c r="K184" t="s">
        <v>40</v>
      </c>
      <c r="L184" t="s">
        <v>41</v>
      </c>
      <c r="M184" t="s">
        <v>42</v>
      </c>
      <c r="N184" s="7">
        <v>3</v>
      </c>
      <c r="O184" s="8">
        <v>45083.595405092594</v>
      </c>
      <c r="P184" s="9">
        <v>45085</v>
      </c>
      <c r="Q184" t="s">
        <v>36</v>
      </c>
      <c r="R184" t="s">
        <v>43</v>
      </c>
      <c r="S184" t="s">
        <v>44</v>
      </c>
      <c r="T184" t="s">
        <v>124</v>
      </c>
      <c r="U184" t="s">
        <v>657</v>
      </c>
      <c r="V184">
        <v>33400</v>
      </c>
      <c r="W184" t="s">
        <v>43</v>
      </c>
      <c r="X184" t="s">
        <v>658</v>
      </c>
      <c r="Y184" t="s">
        <v>48</v>
      </c>
      <c r="Z184" s="10">
        <f t="shared" si="20"/>
        <v>8.6</v>
      </c>
      <c r="AA184" s="11">
        <v>0</v>
      </c>
      <c r="AB184" s="11">
        <v>0</v>
      </c>
      <c r="AC184" s="11">
        <v>0</v>
      </c>
      <c r="AD184" s="11">
        <v>0</v>
      </c>
      <c r="AE184" s="11">
        <f t="shared" si="15"/>
        <v>0.51600000000000001</v>
      </c>
      <c r="AF184" s="11">
        <f t="shared" si="16"/>
        <v>9.1159999999999997</v>
      </c>
      <c r="AG184" t="s">
        <v>43</v>
      </c>
    </row>
    <row r="185" spans="1:33" ht="15" customHeight="1" x14ac:dyDescent="0.35">
      <c r="A185">
        <v>690929</v>
      </c>
      <c r="B185" t="s">
        <v>33</v>
      </c>
      <c r="C185" t="s">
        <v>34</v>
      </c>
      <c r="D185" s="6" t="s">
        <v>33</v>
      </c>
      <c r="E185" t="s">
        <v>660</v>
      </c>
      <c r="F185" t="s">
        <v>36</v>
      </c>
      <c r="G185" t="s">
        <v>37</v>
      </c>
      <c r="H185" t="s">
        <v>661</v>
      </c>
      <c r="I185" t="s">
        <v>39</v>
      </c>
      <c r="J185">
        <v>2</v>
      </c>
      <c r="K185" t="s">
        <v>40</v>
      </c>
      <c r="L185" t="s">
        <v>41</v>
      </c>
      <c r="M185" t="s">
        <v>42</v>
      </c>
      <c r="N185" s="7">
        <v>1</v>
      </c>
      <c r="O185" s="8">
        <v>45084.673032407409</v>
      </c>
      <c r="P185" s="9">
        <v>45085</v>
      </c>
      <c r="Q185" t="s">
        <v>36</v>
      </c>
      <c r="R185" t="s">
        <v>43</v>
      </c>
      <c r="S185" t="s">
        <v>44</v>
      </c>
      <c r="T185" t="s">
        <v>106</v>
      </c>
      <c r="U185" t="s">
        <v>662</v>
      </c>
      <c r="V185">
        <v>27650</v>
      </c>
      <c r="W185" t="s">
        <v>43</v>
      </c>
      <c r="X185" t="s">
        <v>44</v>
      </c>
      <c r="Y185" t="s">
        <v>48</v>
      </c>
      <c r="Z185" s="10">
        <f t="shared" si="20"/>
        <v>7</v>
      </c>
      <c r="AA185" s="11">
        <v>0</v>
      </c>
      <c r="AB185" s="11">
        <v>0</v>
      </c>
      <c r="AC185" s="11">
        <v>0</v>
      </c>
      <c r="AD185" s="11">
        <v>0</v>
      </c>
      <c r="AE185" s="11">
        <f t="shared" si="15"/>
        <v>0.42</v>
      </c>
      <c r="AF185" s="11">
        <f t="shared" si="16"/>
        <v>7.42</v>
      </c>
      <c r="AG185" t="s">
        <v>43</v>
      </c>
    </row>
    <row r="186" spans="1:33" ht="15" customHeight="1" x14ac:dyDescent="0.35">
      <c r="A186">
        <v>690929</v>
      </c>
      <c r="B186" t="s">
        <v>33</v>
      </c>
      <c r="C186" t="s">
        <v>34</v>
      </c>
      <c r="D186" s="6" t="s">
        <v>33</v>
      </c>
      <c r="E186" t="s">
        <v>663</v>
      </c>
      <c r="F186" t="s">
        <v>36</v>
      </c>
      <c r="G186" t="s">
        <v>37</v>
      </c>
      <c r="H186" t="s">
        <v>194</v>
      </c>
      <c r="I186" t="s">
        <v>39</v>
      </c>
      <c r="J186">
        <v>2</v>
      </c>
      <c r="K186" t="s">
        <v>40</v>
      </c>
      <c r="L186" t="s">
        <v>41</v>
      </c>
      <c r="M186" t="s">
        <v>42</v>
      </c>
      <c r="N186" s="7">
        <v>2</v>
      </c>
      <c r="O186" s="8">
        <v>45084.677037037036</v>
      </c>
      <c r="P186" s="9">
        <v>45086</v>
      </c>
      <c r="Q186" t="s">
        <v>36</v>
      </c>
      <c r="R186" t="s">
        <v>43</v>
      </c>
      <c r="S186" t="s">
        <v>44</v>
      </c>
      <c r="T186" t="s">
        <v>128</v>
      </c>
      <c r="U186" t="s">
        <v>664</v>
      </c>
      <c r="V186">
        <v>86000</v>
      </c>
      <c r="W186" t="s">
        <v>43</v>
      </c>
      <c r="X186" t="s">
        <v>196</v>
      </c>
      <c r="Y186" t="s">
        <v>48</v>
      </c>
      <c r="Z186" s="10">
        <f t="shared" si="20"/>
        <v>7.8</v>
      </c>
      <c r="AA186" s="11">
        <v>0</v>
      </c>
      <c r="AB186" s="11">
        <v>0</v>
      </c>
      <c r="AC186" s="11">
        <v>0</v>
      </c>
      <c r="AD186" s="11">
        <v>0</v>
      </c>
      <c r="AE186" s="11">
        <f t="shared" si="15"/>
        <v>0.46799999999999997</v>
      </c>
      <c r="AF186" s="11">
        <f t="shared" si="16"/>
        <v>8.2680000000000007</v>
      </c>
      <c r="AG186" t="s">
        <v>43</v>
      </c>
    </row>
    <row r="187" spans="1:33" ht="15" customHeight="1" x14ac:dyDescent="0.35">
      <c r="A187">
        <v>690929</v>
      </c>
      <c r="B187" t="s">
        <v>33</v>
      </c>
      <c r="C187" t="s">
        <v>34</v>
      </c>
      <c r="D187" s="6" t="s">
        <v>33</v>
      </c>
      <c r="E187" t="s">
        <v>665</v>
      </c>
      <c r="F187" t="s">
        <v>36</v>
      </c>
      <c r="G187" t="s">
        <v>37</v>
      </c>
      <c r="H187" t="s">
        <v>666</v>
      </c>
      <c r="I187" t="s">
        <v>39</v>
      </c>
      <c r="J187">
        <v>2</v>
      </c>
      <c r="K187" t="s">
        <v>40</v>
      </c>
      <c r="L187" t="s">
        <v>41</v>
      </c>
      <c r="M187" t="s">
        <v>42</v>
      </c>
      <c r="N187" s="7">
        <v>1</v>
      </c>
      <c r="O187" s="8">
        <v>45084.467719907407</v>
      </c>
      <c r="P187" s="9">
        <v>45086</v>
      </c>
      <c r="Q187" t="s">
        <v>36</v>
      </c>
      <c r="R187" t="s">
        <v>43</v>
      </c>
      <c r="S187" t="s">
        <v>44</v>
      </c>
      <c r="T187" t="s">
        <v>124</v>
      </c>
      <c r="U187" t="s">
        <v>667</v>
      </c>
      <c r="V187">
        <v>35500</v>
      </c>
      <c r="W187" t="s">
        <v>43</v>
      </c>
      <c r="X187" t="s">
        <v>668</v>
      </c>
      <c r="Y187" t="s">
        <v>48</v>
      </c>
      <c r="Z187" s="10">
        <f t="shared" si="20"/>
        <v>7</v>
      </c>
      <c r="AA187" s="11">
        <v>0</v>
      </c>
      <c r="AB187" s="11">
        <v>0</v>
      </c>
      <c r="AC187" s="11">
        <v>0</v>
      </c>
      <c r="AD187" s="11">
        <v>0</v>
      </c>
      <c r="AE187" s="11">
        <f t="shared" si="15"/>
        <v>0.42</v>
      </c>
      <c r="AF187" s="11">
        <f t="shared" si="16"/>
        <v>7.42</v>
      </c>
      <c r="AG187" t="s">
        <v>43</v>
      </c>
    </row>
    <row r="188" spans="1:33" ht="15" customHeight="1" x14ac:dyDescent="0.35">
      <c r="A188">
        <v>690929</v>
      </c>
      <c r="B188" t="s">
        <v>33</v>
      </c>
      <c r="C188" t="s">
        <v>34</v>
      </c>
      <c r="D188" s="6" t="s">
        <v>33</v>
      </c>
      <c r="E188" t="s">
        <v>669</v>
      </c>
      <c r="F188" t="s">
        <v>36</v>
      </c>
      <c r="G188" t="s">
        <v>37</v>
      </c>
      <c r="H188" t="s">
        <v>670</v>
      </c>
      <c r="I188" t="s">
        <v>39</v>
      </c>
      <c r="J188">
        <v>2</v>
      </c>
      <c r="K188" t="s">
        <v>40</v>
      </c>
      <c r="L188" t="s">
        <v>41</v>
      </c>
      <c r="M188" t="s">
        <v>42</v>
      </c>
      <c r="N188" s="7">
        <v>2</v>
      </c>
      <c r="O188" s="8">
        <v>45084.526516203703</v>
      </c>
      <c r="P188" s="9">
        <v>45086</v>
      </c>
      <c r="Q188" t="s">
        <v>36</v>
      </c>
      <c r="R188" t="s">
        <v>43</v>
      </c>
      <c r="S188" t="s">
        <v>44</v>
      </c>
      <c r="T188" t="s">
        <v>45</v>
      </c>
      <c r="U188" t="s">
        <v>671</v>
      </c>
      <c r="V188">
        <v>47810</v>
      </c>
      <c r="W188" t="s">
        <v>43</v>
      </c>
      <c r="X188" t="s">
        <v>602</v>
      </c>
      <c r="Y188" t="s">
        <v>48</v>
      </c>
      <c r="Z188" s="10">
        <f t="shared" si="20"/>
        <v>7.8</v>
      </c>
      <c r="AA188" s="11">
        <v>0</v>
      </c>
      <c r="AB188" s="11">
        <v>0</v>
      </c>
      <c r="AC188" s="11">
        <v>0</v>
      </c>
      <c r="AD188" s="11">
        <v>0</v>
      </c>
      <c r="AE188" s="11">
        <f t="shared" si="15"/>
        <v>0.46799999999999997</v>
      </c>
      <c r="AF188" s="11">
        <f t="shared" si="16"/>
        <v>8.2680000000000007</v>
      </c>
      <c r="AG188" t="s">
        <v>43</v>
      </c>
    </row>
    <row r="189" spans="1:33" ht="15" customHeight="1" x14ac:dyDescent="0.35">
      <c r="A189">
        <v>690929</v>
      </c>
      <c r="B189" t="s">
        <v>33</v>
      </c>
      <c r="C189" t="s">
        <v>34</v>
      </c>
      <c r="D189" s="6" t="s">
        <v>33</v>
      </c>
      <c r="E189" t="s">
        <v>672</v>
      </c>
      <c r="F189" t="s">
        <v>36</v>
      </c>
      <c r="G189" t="s">
        <v>37</v>
      </c>
      <c r="H189" t="s">
        <v>673</v>
      </c>
      <c r="I189" t="s">
        <v>39</v>
      </c>
      <c r="J189">
        <v>2</v>
      </c>
      <c r="K189" t="s">
        <v>40</v>
      </c>
      <c r="L189" t="s">
        <v>41</v>
      </c>
      <c r="M189" t="s">
        <v>42</v>
      </c>
      <c r="N189" s="7">
        <v>4</v>
      </c>
      <c r="O189" s="8">
        <v>45084.73940972222</v>
      </c>
      <c r="P189" s="9">
        <v>45086</v>
      </c>
      <c r="Q189" t="s">
        <v>36</v>
      </c>
      <c r="R189" t="s">
        <v>43</v>
      </c>
      <c r="S189" t="s">
        <v>44</v>
      </c>
      <c r="T189" t="s">
        <v>124</v>
      </c>
      <c r="U189" t="s">
        <v>674</v>
      </c>
      <c r="V189">
        <v>35000</v>
      </c>
      <c r="W189" t="s">
        <v>43</v>
      </c>
      <c r="X189" t="s">
        <v>668</v>
      </c>
      <c r="Y189" t="s">
        <v>48</v>
      </c>
      <c r="Z189" s="10">
        <f t="shared" si="20"/>
        <v>9.4</v>
      </c>
      <c r="AA189" s="11">
        <v>0</v>
      </c>
      <c r="AB189" s="11">
        <v>0</v>
      </c>
      <c r="AC189" s="11">
        <v>0</v>
      </c>
      <c r="AD189" s="11">
        <v>0</v>
      </c>
      <c r="AE189" s="11">
        <f t="shared" si="15"/>
        <v>0.56399999999999995</v>
      </c>
      <c r="AF189" s="11">
        <f t="shared" si="16"/>
        <v>9.9640000000000004</v>
      </c>
      <c r="AG189" t="s">
        <v>43</v>
      </c>
    </row>
    <row r="190" spans="1:33" ht="15" customHeight="1" x14ac:dyDescent="0.35">
      <c r="A190">
        <v>690929</v>
      </c>
      <c r="B190" t="s">
        <v>33</v>
      </c>
      <c r="C190" t="s">
        <v>34</v>
      </c>
      <c r="D190" s="6" t="s">
        <v>33</v>
      </c>
      <c r="E190" t="s">
        <v>675</v>
      </c>
      <c r="F190" t="s">
        <v>36</v>
      </c>
      <c r="G190" t="s">
        <v>37</v>
      </c>
      <c r="H190" t="s">
        <v>676</v>
      </c>
      <c r="I190" t="s">
        <v>39</v>
      </c>
      <c r="J190">
        <v>2</v>
      </c>
      <c r="K190" t="s">
        <v>40</v>
      </c>
      <c r="L190" t="s">
        <v>41</v>
      </c>
      <c r="M190" t="s">
        <v>42</v>
      </c>
      <c r="N190" s="7">
        <v>1</v>
      </c>
      <c r="O190" s="8">
        <v>45084.641331018516</v>
      </c>
      <c r="P190" s="9">
        <v>45086</v>
      </c>
      <c r="Q190" t="s">
        <v>36</v>
      </c>
      <c r="R190" t="s">
        <v>43</v>
      </c>
      <c r="S190" t="s">
        <v>44</v>
      </c>
      <c r="T190" t="s">
        <v>45</v>
      </c>
      <c r="U190" t="s">
        <v>677</v>
      </c>
      <c r="V190">
        <v>43700</v>
      </c>
      <c r="W190" t="s">
        <v>43</v>
      </c>
      <c r="X190" t="s">
        <v>281</v>
      </c>
      <c r="Y190" t="s">
        <v>48</v>
      </c>
      <c r="Z190" s="10">
        <f t="shared" si="20"/>
        <v>7</v>
      </c>
      <c r="AA190" s="11">
        <v>0</v>
      </c>
      <c r="AB190" s="11">
        <v>0</v>
      </c>
      <c r="AC190" s="11">
        <v>0</v>
      </c>
      <c r="AD190" s="11">
        <v>0</v>
      </c>
      <c r="AE190" s="11">
        <f t="shared" si="15"/>
        <v>0.42</v>
      </c>
      <c r="AF190" s="11">
        <f t="shared" si="16"/>
        <v>7.42</v>
      </c>
      <c r="AG190" t="s">
        <v>43</v>
      </c>
    </row>
    <row r="191" spans="1:33" ht="15" customHeight="1" x14ac:dyDescent="0.35">
      <c r="A191">
        <v>690929</v>
      </c>
      <c r="B191" t="s">
        <v>33</v>
      </c>
      <c r="C191" t="s">
        <v>34</v>
      </c>
      <c r="D191" s="6" t="s">
        <v>33</v>
      </c>
      <c r="E191" t="s">
        <v>678</v>
      </c>
      <c r="F191" t="s">
        <v>36</v>
      </c>
      <c r="G191" t="s">
        <v>37</v>
      </c>
      <c r="H191" t="s">
        <v>679</v>
      </c>
      <c r="I191" t="s">
        <v>39</v>
      </c>
      <c r="J191">
        <v>2</v>
      </c>
      <c r="K191" t="s">
        <v>40</v>
      </c>
      <c r="L191" t="s">
        <v>41</v>
      </c>
      <c r="M191" t="s">
        <v>42</v>
      </c>
      <c r="N191" s="7">
        <v>1</v>
      </c>
      <c r="O191" s="8">
        <v>45085.569467592592</v>
      </c>
      <c r="P191" s="9">
        <v>45086</v>
      </c>
      <c r="Q191" t="s">
        <v>36</v>
      </c>
      <c r="R191" t="s">
        <v>43</v>
      </c>
      <c r="S191" t="s">
        <v>44</v>
      </c>
      <c r="T191" t="s">
        <v>45</v>
      </c>
      <c r="U191" t="s">
        <v>680</v>
      </c>
      <c r="V191">
        <v>44300</v>
      </c>
      <c r="W191" t="s">
        <v>43</v>
      </c>
      <c r="X191" t="s">
        <v>67</v>
      </c>
      <c r="Y191" t="s">
        <v>48</v>
      </c>
      <c r="Z191" s="10">
        <f t="shared" si="20"/>
        <v>7</v>
      </c>
      <c r="AA191" s="11">
        <v>0</v>
      </c>
      <c r="AB191" s="11">
        <v>0</v>
      </c>
      <c r="AC191" s="11">
        <v>0</v>
      </c>
      <c r="AD191" s="11">
        <v>0</v>
      </c>
      <c r="AE191" s="11">
        <f t="shared" si="15"/>
        <v>0.42</v>
      </c>
      <c r="AF191" s="11">
        <f t="shared" si="16"/>
        <v>7.42</v>
      </c>
      <c r="AG191" t="s">
        <v>43</v>
      </c>
    </row>
    <row r="192" spans="1:33" ht="15" customHeight="1" x14ac:dyDescent="0.35">
      <c r="A192">
        <v>690929</v>
      </c>
      <c r="B192" t="s">
        <v>33</v>
      </c>
      <c r="C192" t="s">
        <v>34</v>
      </c>
      <c r="D192" s="6" t="s">
        <v>33</v>
      </c>
      <c r="E192" t="s">
        <v>681</v>
      </c>
      <c r="F192" t="s">
        <v>36</v>
      </c>
      <c r="G192" t="s">
        <v>37</v>
      </c>
      <c r="H192" t="s">
        <v>682</v>
      </c>
      <c r="I192" t="s">
        <v>39</v>
      </c>
      <c r="J192">
        <v>2</v>
      </c>
      <c r="K192" t="s">
        <v>40</v>
      </c>
      <c r="L192" t="s">
        <v>41</v>
      </c>
      <c r="M192" t="s">
        <v>42</v>
      </c>
      <c r="N192" s="7">
        <v>1</v>
      </c>
      <c r="O192" s="8">
        <v>45085.753506944442</v>
      </c>
      <c r="P192" s="9">
        <v>45086</v>
      </c>
      <c r="Q192" t="s">
        <v>36</v>
      </c>
      <c r="R192" t="s">
        <v>43</v>
      </c>
      <c r="S192" t="s">
        <v>44</v>
      </c>
      <c r="T192" t="s">
        <v>157</v>
      </c>
      <c r="U192" t="s">
        <v>683</v>
      </c>
      <c r="V192">
        <v>18500</v>
      </c>
      <c r="W192" t="s">
        <v>43</v>
      </c>
      <c r="X192" t="s">
        <v>44</v>
      </c>
      <c r="Y192" t="s">
        <v>48</v>
      </c>
      <c r="Z192" s="10">
        <f t="shared" si="20"/>
        <v>7</v>
      </c>
      <c r="AA192" s="11">
        <v>0</v>
      </c>
      <c r="AB192" s="11">
        <v>0</v>
      </c>
      <c r="AC192" s="11">
        <v>0</v>
      </c>
      <c r="AD192" s="11">
        <v>0</v>
      </c>
      <c r="AE192" s="11">
        <f t="shared" si="15"/>
        <v>0.42</v>
      </c>
      <c r="AF192" s="11">
        <f t="shared" si="16"/>
        <v>7.42</v>
      </c>
      <c r="AG192" t="s">
        <v>43</v>
      </c>
    </row>
    <row r="193" spans="1:33" ht="15" customHeight="1" x14ac:dyDescent="0.35">
      <c r="A193">
        <v>690929</v>
      </c>
      <c r="B193" t="s">
        <v>33</v>
      </c>
      <c r="C193" t="s">
        <v>34</v>
      </c>
      <c r="D193" s="6" t="s">
        <v>33</v>
      </c>
      <c r="E193" t="s">
        <v>684</v>
      </c>
      <c r="F193" t="s">
        <v>36</v>
      </c>
      <c r="G193" t="s">
        <v>37</v>
      </c>
      <c r="H193" t="s">
        <v>685</v>
      </c>
      <c r="I193" t="s">
        <v>39</v>
      </c>
      <c r="J193">
        <v>2</v>
      </c>
      <c r="K193" t="s">
        <v>40</v>
      </c>
      <c r="L193" t="s">
        <v>41</v>
      </c>
      <c r="M193" t="s">
        <v>42</v>
      </c>
      <c r="N193" s="7">
        <v>3</v>
      </c>
      <c r="O193" s="8">
        <v>45084.73940972222</v>
      </c>
      <c r="P193" s="9">
        <v>45086</v>
      </c>
      <c r="Q193" t="s">
        <v>36</v>
      </c>
      <c r="R193" t="s">
        <v>43</v>
      </c>
      <c r="S193" t="s">
        <v>44</v>
      </c>
      <c r="T193" t="s">
        <v>45</v>
      </c>
      <c r="U193" t="s">
        <v>686</v>
      </c>
      <c r="V193">
        <v>68000</v>
      </c>
      <c r="W193" t="s">
        <v>43</v>
      </c>
      <c r="X193" t="s">
        <v>303</v>
      </c>
      <c r="Y193" t="s">
        <v>48</v>
      </c>
      <c r="Z193" s="10">
        <f t="shared" si="20"/>
        <v>8.6</v>
      </c>
      <c r="AA193" s="11">
        <v>0</v>
      </c>
      <c r="AB193" s="11">
        <v>0</v>
      </c>
      <c r="AC193" s="11">
        <v>0</v>
      </c>
      <c r="AD193" s="11">
        <v>0</v>
      </c>
      <c r="AE193" s="11">
        <f t="shared" si="15"/>
        <v>0.51600000000000001</v>
      </c>
      <c r="AF193" s="11">
        <f t="shared" si="16"/>
        <v>9.1159999999999997</v>
      </c>
      <c r="AG193" t="s">
        <v>43</v>
      </c>
    </row>
    <row r="194" spans="1:33" ht="15" customHeight="1" x14ac:dyDescent="0.35">
      <c r="A194">
        <v>690929</v>
      </c>
      <c r="B194" t="s">
        <v>33</v>
      </c>
      <c r="C194" t="s">
        <v>34</v>
      </c>
      <c r="D194" s="6" t="s">
        <v>33</v>
      </c>
      <c r="E194" t="s">
        <v>687</v>
      </c>
      <c r="F194" t="s">
        <v>36</v>
      </c>
      <c r="G194" t="s">
        <v>37</v>
      </c>
      <c r="H194" t="s">
        <v>688</v>
      </c>
      <c r="I194" t="s">
        <v>39</v>
      </c>
      <c r="J194">
        <v>2</v>
      </c>
      <c r="K194" t="s">
        <v>40</v>
      </c>
      <c r="L194" t="s">
        <v>41</v>
      </c>
      <c r="M194" t="s">
        <v>42</v>
      </c>
      <c r="N194" s="7">
        <v>8</v>
      </c>
      <c r="O194" s="8">
        <v>45084.66847222222</v>
      </c>
      <c r="P194" s="9">
        <v>45087</v>
      </c>
      <c r="Q194" t="s">
        <v>36</v>
      </c>
      <c r="R194" t="s">
        <v>43</v>
      </c>
      <c r="S194" t="s">
        <v>44</v>
      </c>
      <c r="T194" t="s">
        <v>92</v>
      </c>
      <c r="U194" t="s">
        <v>689</v>
      </c>
      <c r="V194">
        <v>91207</v>
      </c>
      <c r="W194" t="s">
        <v>94</v>
      </c>
      <c r="X194" t="s">
        <v>690</v>
      </c>
      <c r="Y194" t="s">
        <v>48</v>
      </c>
      <c r="Z194" s="12">
        <f>IF(N194&lt;=1,13,IF(N194&lt;=2,23,IF(N194&lt;=3,35,IF(N194&lt;=4,43,IF(N194&lt;=5,53,IF(N194&lt;=6,63,IF(N194&lt;=7,71,IF(N194&lt;=8,79,IF(N194&lt;=9,87,IF(N194&lt;=10,95,IF(N194&lt;=11,105,IF(N194&lt;=12,114,IF(N194&lt;=13,119,IF(N194&lt;=14,127,IF(N194&lt;=15,135,IF(N194&lt;=16,143,IF(N194&lt;=17,153,IF(N194&lt;=18,163,IF(N194&lt;=19,171,IF(N194&lt;=20,185,IF(N194&lt;=21,193,IF(N194&lt;=22,201,IF(N194&lt;=23,210,IF(N194&lt;=24,220,IF(N194&lt;=25,230,IF(N194&lt;=26,240,IF(N194&lt;=27,250,IF(N194&lt;=28,260,IF(N194&lt;=29,270,IF(N194&lt;=30,280,280+10*ROUNDUP(N194-30,0)))))))))))))))))))))))))))))))</f>
        <v>79</v>
      </c>
      <c r="AA194" s="11">
        <v>0</v>
      </c>
      <c r="AB194" s="11">
        <v>0</v>
      </c>
      <c r="AC194" s="11">
        <v>0</v>
      </c>
      <c r="AD194" s="11">
        <v>0</v>
      </c>
      <c r="AE194" s="11">
        <f t="shared" ref="AE194:AE257" si="21">(Z194+AB194+AD194)*6%</f>
        <v>4.74</v>
      </c>
      <c r="AF194" s="11">
        <f t="shared" ref="AF194:AF257" si="22">Z194+AB194+AD194+AE194</f>
        <v>83.74</v>
      </c>
      <c r="AG194" t="s">
        <v>94</v>
      </c>
    </row>
    <row r="195" spans="1:33" ht="15" customHeight="1" x14ac:dyDescent="0.35">
      <c r="A195">
        <v>690929</v>
      </c>
      <c r="B195" t="s">
        <v>33</v>
      </c>
      <c r="C195" t="s">
        <v>34</v>
      </c>
      <c r="D195" s="6" t="s">
        <v>33</v>
      </c>
      <c r="E195" t="s">
        <v>691</v>
      </c>
      <c r="F195" t="s">
        <v>36</v>
      </c>
      <c r="G195" t="s">
        <v>37</v>
      </c>
      <c r="H195" t="s">
        <v>692</v>
      </c>
      <c r="I195" t="s">
        <v>39</v>
      </c>
      <c r="J195">
        <v>2</v>
      </c>
      <c r="K195" t="s">
        <v>40</v>
      </c>
      <c r="L195" t="s">
        <v>41</v>
      </c>
      <c r="M195" t="s">
        <v>42</v>
      </c>
      <c r="N195" s="7">
        <v>1</v>
      </c>
      <c r="O195" s="8">
        <v>45085.406712962962</v>
      </c>
      <c r="P195" s="9">
        <v>45087</v>
      </c>
      <c r="Q195" t="s">
        <v>36</v>
      </c>
      <c r="R195" t="s">
        <v>43</v>
      </c>
      <c r="S195" t="s">
        <v>44</v>
      </c>
      <c r="T195" t="s">
        <v>45</v>
      </c>
      <c r="U195" t="s">
        <v>693</v>
      </c>
      <c r="V195">
        <v>45300</v>
      </c>
      <c r="W195" t="s">
        <v>43</v>
      </c>
      <c r="X195" t="s">
        <v>67</v>
      </c>
      <c r="Y195" t="s">
        <v>48</v>
      </c>
      <c r="Z195" s="10">
        <f t="shared" ref="Z195:Z209" si="23">IF(N195&lt;=1,7,7+0.8*ROUNDUP(N195-1,0))</f>
        <v>7</v>
      </c>
      <c r="AA195" s="11">
        <v>0</v>
      </c>
      <c r="AB195" s="11">
        <v>0</v>
      </c>
      <c r="AC195" s="11">
        <v>0</v>
      </c>
      <c r="AD195" s="11">
        <v>0</v>
      </c>
      <c r="AE195" s="11">
        <f t="shared" si="21"/>
        <v>0.42</v>
      </c>
      <c r="AF195" s="11">
        <f t="shared" si="22"/>
        <v>7.42</v>
      </c>
      <c r="AG195" t="s">
        <v>43</v>
      </c>
    </row>
    <row r="196" spans="1:33" ht="15" customHeight="1" x14ac:dyDescent="0.35">
      <c r="A196">
        <v>690929</v>
      </c>
      <c r="B196" t="s">
        <v>33</v>
      </c>
      <c r="C196" t="s">
        <v>34</v>
      </c>
      <c r="D196" s="6" t="s">
        <v>33</v>
      </c>
      <c r="E196" t="s">
        <v>694</v>
      </c>
      <c r="F196" t="s">
        <v>36</v>
      </c>
      <c r="G196" t="s">
        <v>37</v>
      </c>
      <c r="H196" t="s">
        <v>695</v>
      </c>
      <c r="I196" t="s">
        <v>39</v>
      </c>
      <c r="J196">
        <v>2</v>
      </c>
      <c r="K196" t="s">
        <v>40</v>
      </c>
      <c r="L196" t="s">
        <v>41</v>
      </c>
      <c r="M196" t="s">
        <v>42</v>
      </c>
      <c r="N196" s="7">
        <v>1</v>
      </c>
      <c r="O196" s="8">
        <v>45086.428437499999</v>
      </c>
      <c r="P196" s="9">
        <v>45087</v>
      </c>
      <c r="Q196" t="s">
        <v>36</v>
      </c>
      <c r="R196" t="s">
        <v>43</v>
      </c>
      <c r="S196" t="s">
        <v>123</v>
      </c>
      <c r="T196" t="s">
        <v>45</v>
      </c>
      <c r="U196" t="s">
        <v>696</v>
      </c>
      <c r="V196">
        <v>47830</v>
      </c>
      <c r="W196" t="s">
        <v>43</v>
      </c>
      <c r="X196" t="s">
        <v>115</v>
      </c>
      <c r="Y196" t="s">
        <v>48</v>
      </c>
      <c r="Z196" s="10">
        <f t="shared" si="23"/>
        <v>7</v>
      </c>
      <c r="AA196" s="11">
        <v>0</v>
      </c>
      <c r="AB196" s="11">
        <v>0</v>
      </c>
      <c r="AC196" s="11">
        <v>0</v>
      </c>
      <c r="AD196" s="11">
        <v>0</v>
      </c>
      <c r="AE196" s="11">
        <f t="shared" si="21"/>
        <v>0.42</v>
      </c>
      <c r="AF196" s="11">
        <f t="shared" si="22"/>
        <v>7.42</v>
      </c>
      <c r="AG196" t="s">
        <v>43</v>
      </c>
    </row>
    <row r="197" spans="1:33" ht="15" customHeight="1" x14ac:dyDescent="0.35">
      <c r="A197">
        <v>690929</v>
      </c>
      <c r="B197" t="s">
        <v>33</v>
      </c>
      <c r="C197" t="s">
        <v>34</v>
      </c>
      <c r="D197" s="6" t="s">
        <v>33</v>
      </c>
      <c r="E197" t="s">
        <v>697</v>
      </c>
      <c r="F197" t="s">
        <v>36</v>
      </c>
      <c r="G197" t="s">
        <v>37</v>
      </c>
      <c r="H197" t="s">
        <v>698</v>
      </c>
      <c r="I197" t="s">
        <v>39</v>
      </c>
      <c r="J197">
        <v>2</v>
      </c>
      <c r="K197" t="s">
        <v>40</v>
      </c>
      <c r="L197" t="s">
        <v>41</v>
      </c>
      <c r="M197" t="s">
        <v>42</v>
      </c>
      <c r="N197" s="7">
        <v>1</v>
      </c>
      <c r="O197" s="8">
        <v>45087.687048611115</v>
      </c>
      <c r="P197" s="9">
        <v>45088</v>
      </c>
      <c r="Q197" t="s">
        <v>36</v>
      </c>
      <c r="R197" t="s">
        <v>43</v>
      </c>
      <c r="S197" t="s">
        <v>44</v>
      </c>
      <c r="T197" t="s">
        <v>157</v>
      </c>
      <c r="U197" t="s">
        <v>699</v>
      </c>
      <c r="V197">
        <v>16800</v>
      </c>
      <c r="W197" t="s">
        <v>43</v>
      </c>
      <c r="X197" t="s">
        <v>44</v>
      </c>
      <c r="Y197" t="s">
        <v>48</v>
      </c>
      <c r="Z197" s="10">
        <f t="shared" si="23"/>
        <v>7</v>
      </c>
      <c r="AA197" s="11">
        <v>0</v>
      </c>
      <c r="AB197" s="11">
        <v>0</v>
      </c>
      <c r="AC197" s="11">
        <v>0</v>
      </c>
      <c r="AD197" s="11">
        <v>0</v>
      </c>
      <c r="AE197" s="11">
        <f t="shared" si="21"/>
        <v>0.42</v>
      </c>
      <c r="AF197" s="11">
        <f t="shared" si="22"/>
        <v>7.42</v>
      </c>
      <c r="AG197" t="s">
        <v>43</v>
      </c>
    </row>
    <row r="198" spans="1:33" ht="15" customHeight="1" x14ac:dyDescent="0.35">
      <c r="A198">
        <v>690929</v>
      </c>
      <c r="B198" t="s">
        <v>33</v>
      </c>
      <c r="C198" t="s">
        <v>34</v>
      </c>
      <c r="D198" s="6" t="s">
        <v>33</v>
      </c>
      <c r="E198" t="s">
        <v>700</v>
      </c>
      <c r="F198" t="s">
        <v>36</v>
      </c>
      <c r="G198" t="s">
        <v>37</v>
      </c>
      <c r="H198" t="s">
        <v>701</v>
      </c>
      <c r="I198" t="s">
        <v>39</v>
      </c>
      <c r="J198">
        <v>2</v>
      </c>
      <c r="K198" t="s">
        <v>40</v>
      </c>
      <c r="L198" t="s">
        <v>41</v>
      </c>
      <c r="M198" t="s">
        <v>42</v>
      </c>
      <c r="N198" s="7">
        <v>1</v>
      </c>
      <c r="O198" s="8">
        <v>45087.607546296298</v>
      </c>
      <c r="P198" s="9">
        <v>45088</v>
      </c>
      <c r="Q198" t="s">
        <v>36</v>
      </c>
      <c r="R198" t="s">
        <v>43</v>
      </c>
      <c r="S198" t="s">
        <v>44</v>
      </c>
      <c r="T198" t="s">
        <v>45</v>
      </c>
      <c r="U198" t="s">
        <v>702</v>
      </c>
      <c r="V198">
        <v>47000</v>
      </c>
      <c r="W198" t="s">
        <v>43</v>
      </c>
      <c r="X198" t="s">
        <v>394</v>
      </c>
      <c r="Y198" t="s">
        <v>48</v>
      </c>
      <c r="Z198" s="10">
        <f t="shared" si="23"/>
        <v>7</v>
      </c>
      <c r="AA198" s="11">
        <v>0</v>
      </c>
      <c r="AB198" s="11">
        <v>0</v>
      </c>
      <c r="AC198" s="11">
        <v>0</v>
      </c>
      <c r="AD198" s="11">
        <v>0</v>
      </c>
      <c r="AE198" s="11">
        <f t="shared" si="21"/>
        <v>0.42</v>
      </c>
      <c r="AF198" s="11">
        <f t="shared" si="22"/>
        <v>7.42</v>
      </c>
      <c r="AG198" t="s">
        <v>43</v>
      </c>
    </row>
    <row r="199" spans="1:33" ht="15" customHeight="1" x14ac:dyDescent="0.35">
      <c r="A199">
        <v>690929</v>
      </c>
      <c r="B199" t="s">
        <v>33</v>
      </c>
      <c r="C199" t="s">
        <v>34</v>
      </c>
      <c r="D199" s="6" t="s">
        <v>33</v>
      </c>
      <c r="E199" t="s">
        <v>703</v>
      </c>
      <c r="F199" t="s">
        <v>36</v>
      </c>
      <c r="G199" t="s">
        <v>37</v>
      </c>
      <c r="H199" t="s">
        <v>704</v>
      </c>
      <c r="I199" t="s">
        <v>39</v>
      </c>
      <c r="J199">
        <v>2</v>
      </c>
      <c r="K199" t="s">
        <v>40</v>
      </c>
      <c r="L199" t="s">
        <v>41</v>
      </c>
      <c r="M199" t="s">
        <v>42</v>
      </c>
      <c r="N199" s="7">
        <v>1</v>
      </c>
      <c r="O199" s="8">
        <v>45087.607546296298</v>
      </c>
      <c r="P199" s="9">
        <v>45088</v>
      </c>
      <c r="Q199" t="s">
        <v>36</v>
      </c>
      <c r="R199" t="s">
        <v>43</v>
      </c>
      <c r="S199" t="s">
        <v>44</v>
      </c>
      <c r="T199" t="s">
        <v>106</v>
      </c>
      <c r="U199" t="s">
        <v>705</v>
      </c>
      <c r="V199">
        <v>26060</v>
      </c>
      <c r="W199" t="s">
        <v>43</v>
      </c>
      <c r="X199" t="s">
        <v>44</v>
      </c>
      <c r="Y199" t="s">
        <v>48</v>
      </c>
      <c r="Z199" s="10">
        <f t="shared" si="23"/>
        <v>7</v>
      </c>
      <c r="AA199" s="11">
        <v>0</v>
      </c>
      <c r="AB199" s="11">
        <v>0</v>
      </c>
      <c r="AC199" s="11">
        <v>0</v>
      </c>
      <c r="AD199" s="11">
        <v>0</v>
      </c>
      <c r="AE199" s="11">
        <f t="shared" si="21"/>
        <v>0.42</v>
      </c>
      <c r="AF199" s="11">
        <f t="shared" si="22"/>
        <v>7.42</v>
      </c>
      <c r="AG199" t="s">
        <v>43</v>
      </c>
    </row>
    <row r="200" spans="1:33" ht="15" customHeight="1" x14ac:dyDescent="0.35">
      <c r="A200">
        <v>690929</v>
      </c>
      <c r="B200" t="s">
        <v>33</v>
      </c>
      <c r="C200" t="s">
        <v>34</v>
      </c>
      <c r="D200" s="6" t="s">
        <v>33</v>
      </c>
      <c r="E200" t="s">
        <v>706</v>
      </c>
      <c r="F200" t="s">
        <v>36</v>
      </c>
      <c r="G200" t="s">
        <v>37</v>
      </c>
      <c r="H200" t="s">
        <v>707</v>
      </c>
      <c r="I200" t="s">
        <v>39</v>
      </c>
      <c r="J200">
        <v>2</v>
      </c>
      <c r="K200" t="s">
        <v>40</v>
      </c>
      <c r="L200" t="s">
        <v>41</v>
      </c>
      <c r="M200" t="s">
        <v>42</v>
      </c>
      <c r="N200" s="7">
        <v>1</v>
      </c>
      <c r="O200" s="8">
        <v>45087.462372685186</v>
      </c>
      <c r="P200" s="9">
        <v>45088</v>
      </c>
      <c r="Q200" t="s">
        <v>36</v>
      </c>
      <c r="R200" t="s">
        <v>43</v>
      </c>
      <c r="S200" t="s">
        <v>44</v>
      </c>
      <c r="T200" t="s">
        <v>62</v>
      </c>
      <c r="U200" t="s">
        <v>708</v>
      </c>
      <c r="V200">
        <v>24100</v>
      </c>
      <c r="W200" t="s">
        <v>43</v>
      </c>
      <c r="X200" t="s">
        <v>44</v>
      </c>
      <c r="Y200" t="s">
        <v>48</v>
      </c>
      <c r="Z200" s="10">
        <f t="shared" si="23"/>
        <v>7</v>
      </c>
      <c r="AA200" s="11">
        <v>0</v>
      </c>
      <c r="AB200" s="11">
        <v>0</v>
      </c>
      <c r="AC200" s="11">
        <v>0</v>
      </c>
      <c r="AD200" s="11">
        <v>0</v>
      </c>
      <c r="AE200" s="11">
        <f t="shared" si="21"/>
        <v>0.42</v>
      </c>
      <c r="AF200" s="11">
        <f t="shared" si="22"/>
        <v>7.42</v>
      </c>
      <c r="AG200" t="s">
        <v>43</v>
      </c>
    </row>
    <row r="201" spans="1:33" ht="15" customHeight="1" x14ac:dyDescent="0.35">
      <c r="A201">
        <v>690929</v>
      </c>
      <c r="B201" t="s">
        <v>33</v>
      </c>
      <c r="C201" t="s">
        <v>34</v>
      </c>
      <c r="D201" s="6" t="s">
        <v>33</v>
      </c>
      <c r="E201" t="s">
        <v>709</v>
      </c>
      <c r="F201" t="s">
        <v>36</v>
      </c>
      <c r="G201" t="s">
        <v>37</v>
      </c>
      <c r="H201" t="s">
        <v>710</v>
      </c>
      <c r="I201" t="s">
        <v>39</v>
      </c>
      <c r="J201">
        <v>2</v>
      </c>
      <c r="K201" t="s">
        <v>40</v>
      </c>
      <c r="L201" t="s">
        <v>41</v>
      </c>
      <c r="M201" t="s">
        <v>42</v>
      </c>
      <c r="N201" s="7">
        <v>1</v>
      </c>
      <c r="O201" s="8">
        <v>45085.505833333336</v>
      </c>
      <c r="P201" s="9">
        <v>45088</v>
      </c>
      <c r="Q201" t="s">
        <v>36</v>
      </c>
      <c r="R201" t="s">
        <v>43</v>
      </c>
      <c r="S201" t="s">
        <v>44</v>
      </c>
      <c r="T201" t="s">
        <v>157</v>
      </c>
      <c r="U201" t="s">
        <v>711</v>
      </c>
      <c r="V201">
        <v>17700</v>
      </c>
      <c r="W201" t="s">
        <v>43</v>
      </c>
      <c r="X201" t="s">
        <v>44</v>
      </c>
      <c r="Y201" t="s">
        <v>48</v>
      </c>
      <c r="Z201" s="10">
        <f t="shared" si="23"/>
        <v>7</v>
      </c>
      <c r="AA201" s="11">
        <v>0</v>
      </c>
      <c r="AB201" s="11">
        <v>0</v>
      </c>
      <c r="AC201" s="11">
        <v>0</v>
      </c>
      <c r="AD201" s="11">
        <v>0</v>
      </c>
      <c r="AE201" s="11">
        <f t="shared" si="21"/>
        <v>0.42</v>
      </c>
      <c r="AF201" s="11">
        <f t="shared" si="22"/>
        <v>7.42</v>
      </c>
      <c r="AG201" t="s">
        <v>43</v>
      </c>
    </row>
    <row r="202" spans="1:33" ht="15" customHeight="1" x14ac:dyDescent="0.35">
      <c r="A202">
        <v>690929</v>
      </c>
      <c r="B202" t="s">
        <v>33</v>
      </c>
      <c r="C202" t="s">
        <v>34</v>
      </c>
      <c r="D202" s="6" t="s">
        <v>33</v>
      </c>
      <c r="E202" t="s">
        <v>712</v>
      </c>
      <c r="F202" t="s">
        <v>36</v>
      </c>
      <c r="G202" t="s">
        <v>37</v>
      </c>
      <c r="H202" t="s">
        <v>713</v>
      </c>
      <c r="I202" t="s">
        <v>39</v>
      </c>
      <c r="J202">
        <v>2</v>
      </c>
      <c r="K202" t="s">
        <v>40</v>
      </c>
      <c r="L202" t="s">
        <v>41</v>
      </c>
      <c r="M202" t="s">
        <v>42</v>
      </c>
      <c r="N202" s="7">
        <v>2</v>
      </c>
      <c r="O202" s="8">
        <v>45084.73940972222</v>
      </c>
      <c r="P202" s="9">
        <v>45088</v>
      </c>
      <c r="Q202" t="s">
        <v>36</v>
      </c>
      <c r="R202" t="s">
        <v>43</v>
      </c>
      <c r="S202" t="s">
        <v>44</v>
      </c>
      <c r="T202" t="s">
        <v>101</v>
      </c>
      <c r="U202" t="s">
        <v>714</v>
      </c>
      <c r="V202">
        <v>7000</v>
      </c>
      <c r="W202" t="s">
        <v>43</v>
      </c>
      <c r="X202" t="s">
        <v>715</v>
      </c>
      <c r="Y202" t="s">
        <v>48</v>
      </c>
      <c r="Z202" s="10">
        <f t="shared" si="23"/>
        <v>7.8</v>
      </c>
      <c r="AA202" s="11">
        <v>0</v>
      </c>
      <c r="AB202" s="11">
        <v>0</v>
      </c>
      <c r="AC202" s="11">
        <v>0</v>
      </c>
      <c r="AD202" s="11">
        <v>0</v>
      </c>
      <c r="AE202" s="11">
        <f t="shared" si="21"/>
        <v>0.46799999999999997</v>
      </c>
      <c r="AF202" s="11">
        <f t="shared" si="22"/>
        <v>8.2680000000000007</v>
      </c>
      <c r="AG202" t="s">
        <v>43</v>
      </c>
    </row>
    <row r="203" spans="1:33" ht="15" customHeight="1" x14ac:dyDescent="0.35">
      <c r="A203">
        <v>690929</v>
      </c>
      <c r="B203" t="s">
        <v>33</v>
      </c>
      <c r="C203" t="s">
        <v>34</v>
      </c>
      <c r="D203" s="6" t="s">
        <v>33</v>
      </c>
      <c r="E203" t="s">
        <v>716</v>
      </c>
      <c r="F203" t="s">
        <v>36</v>
      </c>
      <c r="G203" t="s">
        <v>37</v>
      </c>
      <c r="H203" t="s">
        <v>717</v>
      </c>
      <c r="I203" t="s">
        <v>39</v>
      </c>
      <c r="J203">
        <v>2</v>
      </c>
      <c r="K203" t="s">
        <v>40</v>
      </c>
      <c r="L203" t="s">
        <v>41</v>
      </c>
      <c r="M203" t="s">
        <v>42</v>
      </c>
      <c r="N203" s="7">
        <v>6</v>
      </c>
      <c r="O203" s="8">
        <v>45087.50105324074</v>
      </c>
      <c r="P203" s="9">
        <v>45088</v>
      </c>
      <c r="Q203" t="s">
        <v>36</v>
      </c>
      <c r="R203" t="s">
        <v>43</v>
      </c>
      <c r="S203" t="s">
        <v>44</v>
      </c>
      <c r="T203" t="s">
        <v>74</v>
      </c>
      <c r="U203" t="s">
        <v>718</v>
      </c>
      <c r="V203">
        <v>56100</v>
      </c>
      <c r="W203" t="s">
        <v>43</v>
      </c>
      <c r="X203" t="s">
        <v>474</v>
      </c>
      <c r="Y203" t="s">
        <v>48</v>
      </c>
      <c r="Z203" s="10">
        <f t="shared" si="23"/>
        <v>11</v>
      </c>
      <c r="AA203" s="11">
        <v>0</v>
      </c>
      <c r="AB203" s="11">
        <v>0</v>
      </c>
      <c r="AC203" s="11">
        <v>0</v>
      </c>
      <c r="AD203" s="11">
        <v>0</v>
      </c>
      <c r="AE203" s="11">
        <f t="shared" si="21"/>
        <v>0.65999999999999992</v>
      </c>
      <c r="AF203" s="11">
        <f t="shared" si="22"/>
        <v>11.66</v>
      </c>
      <c r="AG203" t="s">
        <v>43</v>
      </c>
    </row>
    <row r="204" spans="1:33" ht="15" customHeight="1" x14ac:dyDescent="0.35">
      <c r="A204">
        <v>690929</v>
      </c>
      <c r="B204" t="s">
        <v>33</v>
      </c>
      <c r="C204" t="s">
        <v>34</v>
      </c>
      <c r="D204" s="6" t="s">
        <v>33</v>
      </c>
      <c r="E204" t="s">
        <v>719</v>
      </c>
      <c r="F204" t="s">
        <v>36</v>
      </c>
      <c r="G204" t="s">
        <v>37</v>
      </c>
      <c r="H204" t="s">
        <v>720</v>
      </c>
      <c r="I204" t="s">
        <v>39</v>
      </c>
      <c r="J204">
        <v>2</v>
      </c>
      <c r="K204" t="s">
        <v>40</v>
      </c>
      <c r="L204" t="s">
        <v>41</v>
      </c>
      <c r="M204" t="s">
        <v>42</v>
      </c>
      <c r="N204" s="7">
        <v>3</v>
      </c>
      <c r="O204" s="8">
        <v>45087.708182870374</v>
      </c>
      <c r="P204" s="9">
        <v>45089</v>
      </c>
      <c r="Q204" t="s">
        <v>36</v>
      </c>
      <c r="R204" t="s">
        <v>43</v>
      </c>
      <c r="S204" t="s">
        <v>44</v>
      </c>
      <c r="T204" t="s">
        <v>106</v>
      </c>
      <c r="U204" t="s">
        <v>721</v>
      </c>
      <c r="V204">
        <v>39000</v>
      </c>
      <c r="W204" t="s">
        <v>43</v>
      </c>
      <c r="X204" t="s">
        <v>222</v>
      </c>
      <c r="Y204" t="s">
        <v>48</v>
      </c>
      <c r="Z204" s="10">
        <f t="shared" si="23"/>
        <v>8.6</v>
      </c>
      <c r="AA204" s="11">
        <v>0</v>
      </c>
      <c r="AB204" s="11">
        <v>0</v>
      </c>
      <c r="AC204" s="11">
        <v>0</v>
      </c>
      <c r="AD204" s="11">
        <v>0</v>
      </c>
      <c r="AE204" s="11">
        <f t="shared" si="21"/>
        <v>0.51600000000000001</v>
      </c>
      <c r="AF204" s="11">
        <f t="shared" si="22"/>
        <v>9.1159999999999997</v>
      </c>
      <c r="AG204" t="s">
        <v>43</v>
      </c>
    </row>
    <row r="205" spans="1:33" ht="15" customHeight="1" x14ac:dyDescent="0.35">
      <c r="A205">
        <v>690929</v>
      </c>
      <c r="B205" t="s">
        <v>33</v>
      </c>
      <c r="C205" t="s">
        <v>34</v>
      </c>
      <c r="D205" s="6" t="s">
        <v>33</v>
      </c>
      <c r="E205" t="s">
        <v>722</v>
      </c>
      <c r="F205" t="s">
        <v>36</v>
      </c>
      <c r="G205" t="s">
        <v>37</v>
      </c>
      <c r="H205" t="s">
        <v>723</v>
      </c>
      <c r="I205" t="s">
        <v>39</v>
      </c>
      <c r="J205">
        <v>2</v>
      </c>
      <c r="K205" t="s">
        <v>40</v>
      </c>
      <c r="L205" t="s">
        <v>41</v>
      </c>
      <c r="M205" t="s">
        <v>42</v>
      </c>
      <c r="N205" s="7">
        <v>1</v>
      </c>
      <c r="O205" s="8">
        <v>45088.687245370369</v>
      </c>
      <c r="P205" s="9">
        <v>45089</v>
      </c>
      <c r="Q205" t="s">
        <v>36</v>
      </c>
      <c r="R205" t="s">
        <v>43</v>
      </c>
      <c r="S205" t="s">
        <v>44</v>
      </c>
      <c r="T205" t="s">
        <v>45</v>
      </c>
      <c r="U205" t="s">
        <v>724</v>
      </c>
      <c r="V205">
        <v>43000</v>
      </c>
      <c r="W205" t="s">
        <v>43</v>
      </c>
      <c r="X205" t="s">
        <v>67</v>
      </c>
      <c r="Y205" t="s">
        <v>48</v>
      </c>
      <c r="Z205" s="10">
        <f t="shared" si="23"/>
        <v>7</v>
      </c>
      <c r="AA205" s="11">
        <v>0</v>
      </c>
      <c r="AB205" s="11">
        <v>0</v>
      </c>
      <c r="AC205" s="11">
        <v>0</v>
      </c>
      <c r="AD205" s="11">
        <v>0</v>
      </c>
      <c r="AE205" s="11">
        <f t="shared" si="21"/>
        <v>0.42</v>
      </c>
      <c r="AF205" s="11">
        <f t="shared" si="22"/>
        <v>7.42</v>
      </c>
      <c r="AG205" t="s">
        <v>43</v>
      </c>
    </row>
    <row r="206" spans="1:33" ht="15" customHeight="1" x14ac:dyDescent="0.35">
      <c r="A206">
        <v>690929</v>
      </c>
      <c r="B206" t="s">
        <v>33</v>
      </c>
      <c r="C206" t="s">
        <v>34</v>
      </c>
      <c r="D206" s="6" t="s">
        <v>33</v>
      </c>
      <c r="E206" t="s">
        <v>725</v>
      </c>
      <c r="F206" t="s">
        <v>36</v>
      </c>
      <c r="G206" t="s">
        <v>37</v>
      </c>
      <c r="H206" t="s">
        <v>726</v>
      </c>
      <c r="I206" t="s">
        <v>39</v>
      </c>
      <c r="J206">
        <v>2</v>
      </c>
      <c r="K206" t="s">
        <v>40</v>
      </c>
      <c r="L206" t="s">
        <v>41</v>
      </c>
      <c r="M206" t="s">
        <v>42</v>
      </c>
      <c r="N206" s="7">
        <v>1</v>
      </c>
      <c r="O206" s="8">
        <v>45088.649837962963</v>
      </c>
      <c r="P206" s="9">
        <v>45089</v>
      </c>
      <c r="Q206" t="s">
        <v>36</v>
      </c>
      <c r="R206" t="s">
        <v>43</v>
      </c>
      <c r="S206" t="s">
        <v>44</v>
      </c>
      <c r="T206" t="s">
        <v>62</v>
      </c>
      <c r="U206" t="s">
        <v>727</v>
      </c>
      <c r="V206">
        <v>21300</v>
      </c>
      <c r="W206" t="s">
        <v>43</v>
      </c>
      <c r="X206" t="s">
        <v>728</v>
      </c>
      <c r="Y206" t="s">
        <v>48</v>
      </c>
      <c r="Z206" s="10">
        <f t="shared" si="23"/>
        <v>7</v>
      </c>
      <c r="AA206" s="11">
        <v>0</v>
      </c>
      <c r="AB206" s="11">
        <v>0</v>
      </c>
      <c r="AC206" s="11">
        <v>0</v>
      </c>
      <c r="AD206" s="11">
        <v>0</v>
      </c>
      <c r="AE206" s="11">
        <f t="shared" si="21"/>
        <v>0.42</v>
      </c>
      <c r="AF206" s="11">
        <f t="shared" si="22"/>
        <v>7.42</v>
      </c>
      <c r="AG206" t="s">
        <v>43</v>
      </c>
    </row>
    <row r="207" spans="1:33" ht="15" customHeight="1" x14ac:dyDescent="0.35">
      <c r="A207">
        <v>690929</v>
      </c>
      <c r="B207" t="s">
        <v>33</v>
      </c>
      <c r="C207" t="s">
        <v>34</v>
      </c>
      <c r="D207" s="6" t="s">
        <v>33</v>
      </c>
      <c r="E207" t="s">
        <v>729</v>
      </c>
      <c r="F207" t="s">
        <v>36</v>
      </c>
      <c r="G207" t="s">
        <v>37</v>
      </c>
      <c r="H207" t="s">
        <v>730</v>
      </c>
      <c r="I207" t="s">
        <v>39</v>
      </c>
      <c r="J207">
        <v>2</v>
      </c>
      <c r="K207" t="s">
        <v>40</v>
      </c>
      <c r="L207" t="s">
        <v>41</v>
      </c>
      <c r="M207" t="s">
        <v>42</v>
      </c>
      <c r="N207" s="7">
        <v>13</v>
      </c>
      <c r="O207" s="8">
        <v>45087.748680555553</v>
      </c>
      <c r="P207" s="9">
        <v>45089</v>
      </c>
      <c r="Q207" t="s">
        <v>36</v>
      </c>
      <c r="R207" t="s">
        <v>43</v>
      </c>
      <c r="S207" t="s">
        <v>44</v>
      </c>
      <c r="T207" t="s">
        <v>101</v>
      </c>
      <c r="U207" t="s">
        <v>731</v>
      </c>
      <c r="V207">
        <v>8000</v>
      </c>
      <c r="W207" t="s">
        <v>43</v>
      </c>
      <c r="X207" t="s">
        <v>214</v>
      </c>
      <c r="Y207" t="s">
        <v>48</v>
      </c>
      <c r="Z207" s="10">
        <f t="shared" si="23"/>
        <v>16.600000000000001</v>
      </c>
      <c r="AA207" s="11">
        <v>0</v>
      </c>
      <c r="AB207" s="11">
        <v>0</v>
      </c>
      <c r="AC207" s="11">
        <v>0</v>
      </c>
      <c r="AD207" s="11">
        <v>0</v>
      </c>
      <c r="AE207" s="11">
        <f t="shared" si="21"/>
        <v>0.996</v>
      </c>
      <c r="AF207" s="11">
        <f t="shared" si="22"/>
        <v>17.596</v>
      </c>
      <c r="AG207" t="s">
        <v>43</v>
      </c>
    </row>
    <row r="208" spans="1:33" ht="15" customHeight="1" x14ac:dyDescent="0.35">
      <c r="A208">
        <v>690929</v>
      </c>
      <c r="B208" t="s">
        <v>33</v>
      </c>
      <c r="C208" t="s">
        <v>34</v>
      </c>
      <c r="D208" s="6" t="s">
        <v>33</v>
      </c>
      <c r="E208" t="s">
        <v>732</v>
      </c>
      <c r="F208" t="s">
        <v>36</v>
      </c>
      <c r="G208" t="s">
        <v>37</v>
      </c>
      <c r="H208" t="s">
        <v>733</v>
      </c>
      <c r="I208" t="s">
        <v>39</v>
      </c>
      <c r="J208">
        <v>2</v>
      </c>
      <c r="K208" t="s">
        <v>40</v>
      </c>
      <c r="L208" t="s">
        <v>41</v>
      </c>
      <c r="M208" t="s">
        <v>42</v>
      </c>
      <c r="N208" s="7">
        <v>1</v>
      </c>
      <c r="O208" s="8">
        <v>45087.607546296298</v>
      </c>
      <c r="P208" s="9">
        <v>45089</v>
      </c>
      <c r="Q208" t="s">
        <v>36</v>
      </c>
      <c r="R208" t="s">
        <v>43</v>
      </c>
      <c r="S208" t="s">
        <v>44</v>
      </c>
      <c r="T208" t="s">
        <v>124</v>
      </c>
      <c r="U208" t="s">
        <v>734</v>
      </c>
      <c r="V208">
        <v>32610</v>
      </c>
      <c r="W208" t="s">
        <v>43</v>
      </c>
      <c r="X208" t="s">
        <v>735</v>
      </c>
      <c r="Y208" t="s">
        <v>48</v>
      </c>
      <c r="Z208" s="10">
        <f t="shared" si="23"/>
        <v>7</v>
      </c>
      <c r="AA208" s="11">
        <v>0</v>
      </c>
      <c r="AB208" s="11">
        <v>0</v>
      </c>
      <c r="AC208" s="11">
        <v>0</v>
      </c>
      <c r="AD208" s="11">
        <v>0</v>
      </c>
      <c r="AE208" s="11">
        <f t="shared" si="21"/>
        <v>0.42</v>
      </c>
      <c r="AF208" s="11">
        <f t="shared" si="22"/>
        <v>7.42</v>
      </c>
      <c r="AG208" t="s">
        <v>43</v>
      </c>
    </row>
    <row r="209" spans="1:33" ht="15" customHeight="1" x14ac:dyDescent="0.35">
      <c r="A209">
        <v>690929</v>
      </c>
      <c r="B209" t="s">
        <v>33</v>
      </c>
      <c r="C209" t="s">
        <v>34</v>
      </c>
      <c r="D209" s="6" t="s">
        <v>33</v>
      </c>
      <c r="E209" t="s">
        <v>736</v>
      </c>
      <c r="F209" t="s">
        <v>36</v>
      </c>
      <c r="G209" t="s">
        <v>37</v>
      </c>
      <c r="H209" t="s">
        <v>737</v>
      </c>
      <c r="I209" t="s">
        <v>39</v>
      </c>
      <c r="J209">
        <v>2</v>
      </c>
      <c r="K209" t="s">
        <v>40</v>
      </c>
      <c r="L209" t="s">
        <v>41</v>
      </c>
      <c r="M209" t="s">
        <v>42</v>
      </c>
      <c r="N209" s="7">
        <v>1</v>
      </c>
      <c r="O209" s="8">
        <v>45088.546087962961</v>
      </c>
      <c r="P209" s="9">
        <v>45089</v>
      </c>
      <c r="Q209" t="s">
        <v>36</v>
      </c>
      <c r="R209" t="s">
        <v>43</v>
      </c>
      <c r="S209" t="s">
        <v>44</v>
      </c>
      <c r="T209" t="s">
        <v>62</v>
      </c>
      <c r="U209" t="s">
        <v>738</v>
      </c>
      <c r="V209">
        <v>21100</v>
      </c>
      <c r="W209" t="s">
        <v>43</v>
      </c>
      <c r="X209" t="s">
        <v>44</v>
      </c>
      <c r="Y209" t="s">
        <v>48</v>
      </c>
      <c r="Z209" s="10">
        <f t="shared" si="23"/>
        <v>7</v>
      </c>
      <c r="AA209" s="11">
        <v>0</v>
      </c>
      <c r="AB209" s="11">
        <v>0</v>
      </c>
      <c r="AC209" s="11">
        <v>0</v>
      </c>
      <c r="AD209" s="11">
        <v>0</v>
      </c>
      <c r="AE209" s="11">
        <f t="shared" si="21"/>
        <v>0.42</v>
      </c>
      <c r="AF209" s="11">
        <f t="shared" si="22"/>
        <v>7.42</v>
      </c>
      <c r="AG209" t="s">
        <v>43</v>
      </c>
    </row>
    <row r="210" spans="1:33" ht="15" customHeight="1" x14ac:dyDescent="0.35">
      <c r="A210">
        <v>690929</v>
      </c>
      <c r="B210" t="s">
        <v>33</v>
      </c>
      <c r="C210" t="s">
        <v>34</v>
      </c>
      <c r="D210" s="6" t="s">
        <v>33</v>
      </c>
      <c r="E210" t="s">
        <v>739</v>
      </c>
      <c r="F210" t="s">
        <v>36</v>
      </c>
      <c r="G210" t="s">
        <v>37</v>
      </c>
      <c r="H210" t="s">
        <v>740</v>
      </c>
      <c r="I210" t="s">
        <v>39</v>
      </c>
      <c r="J210">
        <v>2</v>
      </c>
      <c r="K210" t="s">
        <v>40</v>
      </c>
      <c r="L210" t="s">
        <v>41</v>
      </c>
      <c r="M210" t="s">
        <v>42</v>
      </c>
      <c r="N210" s="7">
        <v>1</v>
      </c>
      <c r="O210" s="8">
        <v>45087.607546296298</v>
      </c>
      <c r="P210" s="9">
        <v>45089</v>
      </c>
      <c r="Q210" t="s">
        <v>36</v>
      </c>
      <c r="R210" t="s">
        <v>43</v>
      </c>
      <c r="S210" t="s">
        <v>44</v>
      </c>
      <c r="T210" t="s">
        <v>106</v>
      </c>
      <c r="U210" t="s">
        <v>741</v>
      </c>
      <c r="V210">
        <v>28000</v>
      </c>
      <c r="W210" t="s">
        <v>43</v>
      </c>
      <c r="X210" t="s">
        <v>44</v>
      </c>
      <c r="Y210" t="s">
        <v>48</v>
      </c>
      <c r="Z210" s="10">
        <f>IF(N210&lt;=1,7,7+0.8*ROUNDUP(N210-1,0))</f>
        <v>7</v>
      </c>
      <c r="AA210" s="11">
        <v>0</v>
      </c>
      <c r="AB210" s="11">
        <v>0</v>
      </c>
      <c r="AC210" s="11">
        <v>0</v>
      </c>
      <c r="AD210" s="11">
        <v>0</v>
      </c>
      <c r="AE210" s="11">
        <f t="shared" si="21"/>
        <v>0.42</v>
      </c>
      <c r="AF210" s="11">
        <f t="shared" si="22"/>
        <v>7.42</v>
      </c>
      <c r="AG210" t="s">
        <v>43</v>
      </c>
    </row>
    <row r="211" spans="1:33" ht="15" customHeight="1" x14ac:dyDescent="0.35">
      <c r="A211">
        <v>690929</v>
      </c>
      <c r="B211" t="s">
        <v>33</v>
      </c>
      <c r="C211" t="s">
        <v>34</v>
      </c>
      <c r="D211" s="6" t="s">
        <v>33</v>
      </c>
      <c r="E211" t="s">
        <v>742</v>
      </c>
      <c r="F211" t="s">
        <v>36</v>
      </c>
      <c r="G211" t="s">
        <v>37</v>
      </c>
      <c r="H211" t="s">
        <v>743</v>
      </c>
      <c r="I211" t="s">
        <v>39</v>
      </c>
      <c r="J211">
        <v>2</v>
      </c>
      <c r="K211" t="s">
        <v>40</v>
      </c>
      <c r="L211" t="s">
        <v>41</v>
      </c>
      <c r="M211" t="s">
        <v>42</v>
      </c>
      <c r="N211" s="7">
        <v>1</v>
      </c>
      <c r="O211" s="8">
        <v>45087.676157407404</v>
      </c>
      <c r="P211" s="9">
        <v>45089</v>
      </c>
      <c r="Q211" t="s">
        <v>36</v>
      </c>
      <c r="R211" t="s">
        <v>43</v>
      </c>
      <c r="S211" t="s">
        <v>44</v>
      </c>
      <c r="T211" t="s">
        <v>124</v>
      </c>
      <c r="U211" t="s">
        <v>744</v>
      </c>
      <c r="V211">
        <v>34700</v>
      </c>
      <c r="W211" t="s">
        <v>43</v>
      </c>
      <c r="X211" t="s">
        <v>67</v>
      </c>
      <c r="Y211" t="s">
        <v>48</v>
      </c>
      <c r="Z211" s="10">
        <f t="shared" ref="Z211:Z222" si="24">IF(N211&lt;=1,7,7+0.8*ROUNDUP(N211-1,0))</f>
        <v>7</v>
      </c>
      <c r="AA211" s="11">
        <v>0</v>
      </c>
      <c r="AB211" s="11">
        <v>0</v>
      </c>
      <c r="AC211" s="11">
        <v>0</v>
      </c>
      <c r="AD211" s="11">
        <v>0</v>
      </c>
      <c r="AE211" s="11">
        <f t="shared" si="21"/>
        <v>0.42</v>
      </c>
      <c r="AF211" s="11">
        <f t="shared" si="22"/>
        <v>7.42</v>
      </c>
      <c r="AG211" t="s">
        <v>43</v>
      </c>
    </row>
    <row r="212" spans="1:33" ht="15" customHeight="1" x14ac:dyDescent="0.35">
      <c r="A212">
        <v>690929</v>
      </c>
      <c r="B212" t="s">
        <v>33</v>
      </c>
      <c r="C212" t="s">
        <v>34</v>
      </c>
      <c r="D212" s="6" t="s">
        <v>33</v>
      </c>
      <c r="E212" t="s">
        <v>745</v>
      </c>
      <c r="F212" t="s">
        <v>36</v>
      </c>
      <c r="G212" t="s">
        <v>37</v>
      </c>
      <c r="H212" t="s">
        <v>746</v>
      </c>
      <c r="I212" t="s">
        <v>39</v>
      </c>
      <c r="J212">
        <v>2</v>
      </c>
      <c r="K212" t="s">
        <v>40</v>
      </c>
      <c r="L212" t="s">
        <v>41</v>
      </c>
      <c r="M212" t="s">
        <v>42</v>
      </c>
      <c r="N212" s="7">
        <v>1</v>
      </c>
      <c r="O212" s="8">
        <v>45087.607546296298</v>
      </c>
      <c r="P212" s="9">
        <v>45089</v>
      </c>
      <c r="Q212" t="s">
        <v>36</v>
      </c>
      <c r="R212" t="s">
        <v>43</v>
      </c>
      <c r="S212" t="s">
        <v>44</v>
      </c>
      <c r="T212" t="s">
        <v>45</v>
      </c>
      <c r="U212" t="s">
        <v>747</v>
      </c>
      <c r="V212">
        <v>52100</v>
      </c>
      <c r="W212" t="s">
        <v>43</v>
      </c>
      <c r="X212" t="s">
        <v>85</v>
      </c>
      <c r="Y212" t="s">
        <v>48</v>
      </c>
      <c r="Z212" s="10">
        <f t="shared" si="24"/>
        <v>7</v>
      </c>
      <c r="AA212" s="11">
        <v>0</v>
      </c>
      <c r="AB212" s="11">
        <v>0</v>
      </c>
      <c r="AC212" s="11">
        <v>0</v>
      </c>
      <c r="AD212" s="11">
        <v>0</v>
      </c>
      <c r="AE212" s="11">
        <f t="shared" si="21"/>
        <v>0.42</v>
      </c>
      <c r="AF212" s="11">
        <f t="shared" si="22"/>
        <v>7.42</v>
      </c>
      <c r="AG212" t="s">
        <v>43</v>
      </c>
    </row>
    <row r="213" spans="1:33" ht="15" customHeight="1" x14ac:dyDescent="0.35">
      <c r="A213">
        <v>690929</v>
      </c>
      <c r="B213" t="s">
        <v>33</v>
      </c>
      <c r="C213" t="s">
        <v>34</v>
      </c>
      <c r="D213" s="6" t="s">
        <v>33</v>
      </c>
      <c r="E213" t="s">
        <v>748</v>
      </c>
      <c r="F213" t="s">
        <v>36</v>
      </c>
      <c r="G213" t="s">
        <v>37</v>
      </c>
      <c r="H213" t="s">
        <v>749</v>
      </c>
      <c r="I213" t="s">
        <v>39</v>
      </c>
      <c r="J213">
        <v>2</v>
      </c>
      <c r="K213" t="s">
        <v>40</v>
      </c>
      <c r="L213" t="s">
        <v>41</v>
      </c>
      <c r="M213" t="s">
        <v>42</v>
      </c>
      <c r="N213" s="7">
        <v>1</v>
      </c>
      <c r="O213" s="8">
        <v>45087.686006944445</v>
      </c>
      <c r="P213" s="9">
        <v>45089</v>
      </c>
      <c r="Q213" t="s">
        <v>36</v>
      </c>
      <c r="R213" t="s">
        <v>43</v>
      </c>
      <c r="S213" t="s">
        <v>44</v>
      </c>
      <c r="T213" t="s">
        <v>45</v>
      </c>
      <c r="U213" t="s">
        <v>750</v>
      </c>
      <c r="V213">
        <v>40300</v>
      </c>
      <c r="W213" t="s">
        <v>43</v>
      </c>
      <c r="X213" t="s">
        <v>67</v>
      </c>
      <c r="Y213" t="s">
        <v>48</v>
      </c>
      <c r="Z213" s="10">
        <f t="shared" si="24"/>
        <v>7</v>
      </c>
      <c r="AA213" s="11">
        <v>0</v>
      </c>
      <c r="AB213" s="11">
        <v>0</v>
      </c>
      <c r="AC213" s="11">
        <v>0</v>
      </c>
      <c r="AD213" s="11">
        <v>0</v>
      </c>
      <c r="AE213" s="11">
        <f t="shared" si="21"/>
        <v>0.42</v>
      </c>
      <c r="AF213" s="11">
        <f t="shared" si="22"/>
        <v>7.42</v>
      </c>
      <c r="AG213" t="s">
        <v>43</v>
      </c>
    </row>
    <row r="214" spans="1:33" ht="15" customHeight="1" x14ac:dyDescent="0.35">
      <c r="A214">
        <v>690929</v>
      </c>
      <c r="B214" t="s">
        <v>33</v>
      </c>
      <c r="C214" t="s">
        <v>34</v>
      </c>
      <c r="D214" s="6" t="s">
        <v>33</v>
      </c>
      <c r="E214" t="s">
        <v>751</v>
      </c>
      <c r="F214" t="s">
        <v>36</v>
      </c>
      <c r="G214" t="s">
        <v>37</v>
      </c>
      <c r="H214" t="s">
        <v>752</v>
      </c>
      <c r="I214" t="s">
        <v>39</v>
      </c>
      <c r="J214">
        <v>2</v>
      </c>
      <c r="K214" t="s">
        <v>40</v>
      </c>
      <c r="L214" t="s">
        <v>41</v>
      </c>
      <c r="M214" t="s">
        <v>42</v>
      </c>
      <c r="N214" s="7">
        <v>1</v>
      </c>
      <c r="O214" s="8">
        <v>45085.429629629631</v>
      </c>
      <c r="P214" s="9">
        <v>45089</v>
      </c>
      <c r="Q214" t="s">
        <v>36</v>
      </c>
      <c r="R214" t="s">
        <v>43</v>
      </c>
      <c r="S214" t="s">
        <v>44</v>
      </c>
      <c r="T214" t="s">
        <v>74</v>
      </c>
      <c r="U214" t="s">
        <v>753</v>
      </c>
      <c r="V214">
        <v>50400</v>
      </c>
      <c r="W214" t="s">
        <v>43</v>
      </c>
      <c r="X214" t="s">
        <v>67</v>
      </c>
      <c r="Y214" t="s">
        <v>48</v>
      </c>
      <c r="Z214" s="10">
        <f t="shared" si="24"/>
        <v>7</v>
      </c>
      <c r="AA214" s="11">
        <v>0</v>
      </c>
      <c r="AB214" s="11">
        <v>0</v>
      </c>
      <c r="AC214" s="11">
        <v>0</v>
      </c>
      <c r="AD214" s="11">
        <v>0</v>
      </c>
      <c r="AE214" s="11">
        <f t="shared" si="21"/>
        <v>0.42</v>
      </c>
      <c r="AF214" s="11">
        <f t="shared" si="22"/>
        <v>7.42</v>
      </c>
      <c r="AG214" t="s">
        <v>43</v>
      </c>
    </row>
    <row r="215" spans="1:33" ht="15" customHeight="1" x14ac:dyDescent="0.35">
      <c r="A215">
        <v>690929</v>
      </c>
      <c r="B215" t="s">
        <v>33</v>
      </c>
      <c r="C215" t="s">
        <v>34</v>
      </c>
      <c r="D215" s="6" t="s">
        <v>33</v>
      </c>
      <c r="E215" t="s">
        <v>754</v>
      </c>
      <c r="F215" t="s">
        <v>36</v>
      </c>
      <c r="G215" t="s">
        <v>37</v>
      </c>
      <c r="H215" t="s">
        <v>755</v>
      </c>
      <c r="I215" t="s">
        <v>39</v>
      </c>
      <c r="J215">
        <v>2</v>
      </c>
      <c r="K215" t="s">
        <v>40</v>
      </c>
      <c r="L215" t="s">
        <v>41</v>
      </c>
      <c r="M215" t="s">
        <v>42</v>
      </c>
      <c r="N215" s="7">
        <v>1</v>
      </c>
      <c r="O215" s="8">
        <v>45087.499513888892</v>
      </c>
      <c r="P215" s="9">
        <v>45089</v>
      </c>
      <c r="Q215" t="s">
        <v>36</v>
      </c>
      <c r="R215" t="s">
        <v>43</v>
      </c>
      <c r="S215" t="s">
        <v>44</v>
      </c>
      <c r="T215" t="s">
        <v>45</v>
      </c>
      <c r="U215" t="s">
        <v>756</v>
      </c>
      <c r="V215">
        <v>43000</v>
      </c>
      <c r="W215" t="s">
        <v>43</v>
      </c>
      <c r="X215" t="s">
        <v>67</v>
      </c>
      <c r="Y215" t="s">
        <v>48</v>
      </c>
      <c r="Z215" s="10">
        <f t="shared" si="24"/>
        <v>7</v>
      </c>
      <c r="AA215" s="11">
        <v>0</v>
      </c>
      <c r="AB215" s="11">
        <v>0</v>
      </c>
      <c r="AC215" s="11">
        <v>0</v>
      </c>
      <c r="AD215" s="11">
        <v>0</v>
      </c>
      <c r="AE215" s="11">
        <f t="shared" si="21"/>
        <v>0.42</v>
      </c>
      <c r="AF215" s="11">
        <f t="shared" si="22"/>
        <v>7.42</v>
      </c>
      <c r="AG215" t="s">
        <v>43</v>
      </c>
    </row>
    <row r="216" spans="1:33" ht="15" customHeight="1" x14ac:dyDescent="0.35">
      <c r="A216">
        <v>690929</v>
      </c>
      <c r="B216" t="s">
        <v>33</v>
      </c>
      <c r="C216" t="s">
        <v>34</v>
      </c>
      <c r="D216" s="6" t="s">
        <v>33</v>
      </c>
      <c r="E216" t="s">
        <v>757</v>
      </c>
      <c r="F216" t="s">
        <v>36</v>
      </c>
      <c r="G216" t="s">
        <v>37</v>
      </c>
      <c r="H216" t="s">
        <v>758</v>
      </c>
      <c r="I216" t="s">
        <v>39</v>
      </c>
      <c r="J216">
        <v>2</v>
      </c>
      <c r="K216" t="s">
        <v>40</v>
      </c>
      <c r="L216" t="s">
        <v>41</v>
      </c>
      <c r="M216" t="s">
        <v>42</v>
      </c>
      <c r="N216" s="7">
        <v>1</v>
      </c>
      <c r="O216" s="8">
        <v>45087.607546296298</v>
      </c>
      <c r="P216" s="9">
        <v>45089</v>
      </c>
      <c r="Q216" t="s">
        <v>36</v>
      </c>
      <c r="R216" t="s">
        <v>43</v>
      </c>
      <c r="S216" t="s">
        <v>44</v>
      </c>
      <c r="T216" t="s">
        <v>45</v>
      </c>
      <c r="U216" t="s">
        <v>759</v>
      </c>
      <c r="V216">
        <v>41300</v>
      </c>
      <c r="W216" t="s">
        <v>43</v>
      </c>
      <c r="X216" t="s">
        <v>296</v>
      </c>
      <c r="Y216" t="s">
        <v>48</v>
      </c>
      <c r="Z216" s="10">
        <f t="shared" si="24"/>
        <v>7</v>
      </c>
      <c r="AA216" s="11">
        <v>0</v>
      </c>
      <c r="AB216" s="11">
        <v>0</v>
      </c>
      <c r="AC216" s="11">
        <v>0</v>
      </c>
      <c r="AD216" s="11">
        <v>0</v>
      </c>
      <c r="AE216" s="11">
        <f t="shared" si="21"/>
        <v>0.42</v>
      </c>
      <c r="AF216" s="11">
        <f t="shared" si="22"/>
        <v>7.42</v>
      </c>
      <c r="AG216" t="s">
        <v>43</v>
      </c>
    </row>
    <row r="217" spans="1:33" ht="15" customHeight="1" x14ac:dyDescent="0.35">
      <c r="A217">
        <v>690929</v>
      </c>
      <c r="B217" t="s">
        <v>33</v>
      </c>
      <c r="C217" t="s">
        <v>34</v>
      </c>
      <c r="D217" s="6" t="s">
        <v>33</v>
      </c>
      <c r="E217" t="s">
        <v>760</v>
      </c>
      <c r="F217" t="s">
        <v>36</v>
      </c>
      <c r="G217" t="s">
        <v>37</v>
      </c>
      <c r="H217" t="s">
        <v>761</v>
      </c>
      <c r="I217" t="s">
        <v>39</v>
      </c>
      <c r="J217">
        <v>2</v>
      </c>
      <c r="K217" t="s">
        <v>40</v>
      </c>
      <c r="L217" t="s">
        <v>41</v>
      </c>
      <c r="M217" t="s">
        <v>42</v>
      </c>
      <c r="N217" s="7">
        <v>1</v>
      </c>
      <c r="O217" s="8">
        <v>45087.708182870374</v>
      </c>
      <c r="P217" s="9">
        <v>45089</v>
      </c>
      <c r="Q217" t="s">
        <v>36</v>
      </c>
      <c r="R217" t="s">
        <v>43</v>
      </c>
      <c r="S217" t="s">
        <v>44</v>
      </c>
      <c r="T217" t="s">
        <v>167</v>
      </c>
      <c r="U217" t="s">
        <v>762</v>
      </c>
      <c r="V217">
        <v>11000</v>
      </c>
      <c r="W217" t="s">
        <v>43</v>
      </c>
      <c r="X217" t="s">
        <v>488</v>
      </c>
      <c r="Y217" t="s">
        <v>48</v>
      </c>
      <c r="Z217" s="10">
        <f t="shared" si="24"/>
        <v>7</v>
      </c>
      <c r="AA217" s="11">
        <v>0</v>
      </c>
      <c r="AB217" s="11">
        <v>0</v>
      </c>
      <c r="AC217" s="11">
        <v>0</v>
      </c>
      <c r="AD217" s="11">
        <v>0</v>
      </c>
      <c r="AE217" s="11">
        <f t="shared" si="21"/>
        <v>0.42</v>
      </c>
      <c r="AF217" s="11">
        <f t="shared" si="22"/>
        <v>7.42</v>
      </c>
      <c r="AG217" t="s">
        <v>43</v>
      </c>
    </row>
    <row r="218" spans="1:33" ht="15" customHeight="1" x14ac:dyDescent="0.35">
      <c r="A218">
        <v>690929</v>
      </c>
      <c r="B218" t="s">
        <v>33</v>
      </c>
      <c r="C218" t="s">
        <v>34</v>
      </c>
      <c r="D218" s="6" t="s">
        <v>33</v>
      </c>
      <c r="E218" t="s">
        <v>763</v>
      </c>
      <c r="F218" t="s">
        <v>36</v>
      </c>
      <c r="G218" t="s">
        <v>37</v>
      </c>
      <c r="H218" t="s">
        <v>764</v>
      </c>
      <c r="I218" t="s">
        <v>39</v>
      </c>
      <c r="J218">
        <v>2</v>
      </c>
      <c r="K218" t="s">
        <v>40</v>
      </c>
      <c r="L218" t="s">
        <v>41</v>
      </c>
      <c r="M218" t="s">
        <v>42</v>
      </c>
      <c r="N218" s="7">
        <v>3</v>
      </c>
      <c r="O218" s="8">
        <v>45084.756793981483</v>
      </c>
      <c r="P218" s="9">
        <v>45089</v>
      </c>
      <c r="Q218" t="s">
        <v>36</v>
      </c>
      <c r="R218" t="s">
        <v>43</v>
      </c>
      <c r="S218" t="s">
        <v>44</v>
      </c>
      <c r="T218" t="s">
        <v>45</v>
      </c>
      <c r="U218" t="s">
        <v>765</v>
      </c>
      <c r="V218">
        <v>43000</v>
      </c>
      <c r="W218" t="s">
        <v>43</v>
      </c>
      <c r="X218" t="s">
        <v>766</v>
      </c>
      <c r="Y218" t="s">
        <v>48</v>
      </c>
      <c r="Z218" s="10">
        <f t="shared" si="24"/>
        <v>8.6</v>
      </c>
      <c r="AA218" s="11">
        <v>0</v>
      </c>
      <c r="AB218" s="11">
        <v>0</v>
      </c>
      <c r="AC218" s="11">
        <v>0</v>
      </c>
      <c r="AD218" s="11">
        <v>0</v>
      </c>
      <c r="AE218" s="11">
        <f t="shared" si="21"/>
        <v>0.51600000000000001</v>
      </c>
      <c r="AF218" s="11">
        <f t="shared" si="22"/>
        <v>9.1159999999999997</v>
      </c>
      <c r="AG218" t="s">
        <v>43</v>
      </c>
    </row>
    <row r="219" spans="1:33" ht="15" customHeight="1" x14ac:dyDescent="0.35">
      <c r="A219">
        <v>690929</v>
      </c>
      <c r="B219" t="s">
        <v>33</v>
      </c>
      <c r="C219" t="s">
        <v>34</v>
      </c>
      <c r="D219" s="6" t="s">
        <v>33</v>
      </c>
      <c r="E219" t="s">
        <v>767</v>
      </c>
      <c r="F219" t="s">
        <v>36</v>
      </c>
      <c r="G219" t="s">
        <v>37</v>
      </c>
      <c r="H219" t="s">
        <v>768</v>
      </c>
      <c r="I219" t="s">
        <v>39</v>
      </c>
      <c r="J219">
        <v>2</v>
      </c>
      <c r="K219" t="s">
        <v>40</v>
      </c>
      <c r="L219" t="s">
        <v>41</v>
      </c>
      <c r="M219" t="s">
        <v>42</v>
      </c>
      <c r="N219" s="7">
        <v>1</v>
      </c>
      <c r="O219" s="8">
        <v>45088.687245370369</v>
      </c>
      <c r="P219" s="9">
        <v>45089</v>
      </c>
      <c r="Q219" t="s">
        <v>36</v>
      </c>
      <c r="R219" t="s">
        <v>43</v>
      </c>
      <c r="S219" t="s">
        <v>44</v>
      </c>
      <c r="T219" t="s">
        <v>45</v>
      </c>
      <c r="U219" t="s">
        <v>769</v>
      </c>
      <c r="V219">
        <v>41000</v>
      </c>
      <c r="W219" t="s">
        <v>43</v>
      </c>
      <c r="X219" t="s">
        <v>67</v>
      </c>
      <c r="Y219" t="s">
        <v>48</v>
      </c>
      <c r="Z219" s="10">
        <f t="shared" si="24"/>
        <v>7</v>
      </c>
      <c r="AA219" s="11">
        <v>0</v>
      </c>
      <c r="AB219" s="11">
        <v>0</v>
      </c>
      <c r="AC219" s="11">
        <v>0</v>
      </c>
      <c r="AD219" s="11">
        <v>0</v>
      </c>
      <c r="AE219" s="11">
        <f t="shared" si="21"/>
        <v>0.42</v>
      </c>
      <c r="AF219" s="11">
        <f t="shared" si="22"/>
        <v>7.42</v>
      </c>
      <c r="AG219" t="s">
        <v>43</v>
      </c>
    </row>
    <row r="220" spans="1:33" ht="15" customHeight="1" x14ac:dyDescent="0.35">
      <c r="A220">
        <v>690929</v>
      </c>
      <c r="B220" t="s">
        <v>33</v>
      </c>
      <c r="C220" t="s">
        <v>34</v>
      </c>
      <c r="D220" s="6" t="s">
        <v>33</v>
      </c>
      <c r="E220" t="s">
        <v>770</v>
      </c>
      <c r="F220" t="s">
        <v>36</v>
      </c>
      <c r="G220" t="s">
        <v>37</v>
      </c>
      <c r="H220" t="s">
        <v>771</v>
      </c>
      <c r="I220" t="s">
        <v>39</v>
      </c>
      <c r="J220">
        <v>2</v>
      </c>
      <c r="K220" t="s">
        <v>40</v>
      </c>
      <c r="L220" t="s">
        <v>41</v>
      </c>
      <c r="M220" t="s">
        <v>42</v>
      </c>
      <c r="N220" s="7">
        <v>1</v>
      </c>
      <c r="O220" s="8">
        <v>45088.651863425926</v>
      </c>
      <c r="P220" s="9">
        <v>45089</v>
      </c>
      <c r="Q220" t="s">
        <v>36</v>
      </c>
      <c r="R220" t="s">
        <v>43</v>
      </c>
      <c r="S220" t="s">
        <v>44</v>
      </c>
      <c r="T220" t="s">
        <v>157</v>
      </c>
      <c r="U220" t="s">
        <v>772</v>
      </c>
      <c r="V220">
        <v>17610</v>
      </c>
      <c r="W220" t="s">
        <v>43</v>
      </c>
      <c r="X220" t="s">
        <v>123</v>
      </c>
      <c r="Y220" t="s">
        <v>48</v>
      </c>
      <c r="Z220" s="10">
        <f t="shared" si="24"/>
        <v>7</v>
      </c>
      <c r="AA220" s="11">
        <v>0</v>
      </c>
      <c r="AB220" s="11">
        <v>0</v>
      </c>
      <c r="AC220" s="11">
        <v>0</v>
      </c>
      <c r="AD220" s="11">
        <v>0</v>
      </c>
      <c r="AE220" s="11">
        <f t="shared" si="21"/>
        <v>0.42</v>
      </c>
      <c r="AF220" s="11">
        <f t="shared" si="22"/>
        <v>7.42</v>
      </c>
      <c r="AG220" t="s">
        <v>43</v>
      </c>
    </row>
    <row r="221" spans="1:33" ht="15" customHeight="1" x14ac:dyDescent="0.35">
      <c r="A221">
        <v>690929</v>
      </c>
      <c r="B221" t="s">
        <v>33</v>
      </c>
      <c r="C221" t="s">
        <v>34</v>
      </c>
      <c r="D221" s="6" t="s">
        <v>33</v>
      </c>
      <c r="E221" t="s">
        <v>773</v>
      </c>
      <c r="F221" t="s">
        <v>36</v>
      </c>
      <c r="G221" t="s">
        <v>37</v>
      </c>
      <c r="H221" t="s">
        <v>774</v>
      </c>
      <c r="I221" t="s">
        <v>39</v>
      </c>
      <c r="J221">
        <v>2</v>
      </c>
      <c r="K221" t="s">
        <v>40</v>
      </c>
      <c r="L221" t="s">
        <v>41</v>
      </c>
      <c r="M221" t="s">
        <v>42</v>
      </c>
      <c r="N221" s="7">
        <v>13</v>
      </c>
      <c r="O221" s="8">
        <v>45087.7503125</v>
      </c>
      <c r="P221" s="9">
        <v>45089</v>
      </c>
      <c r="Q221" t="s">
        <v>36</v>
      </c>
      <c r="R221" t="s">
        <v>43</v>
      </c>
      <c r="S221" t="s">
        <v>44</v>
      </c>
      <c r="T221" t="s">
        <v>118</v>
      </c>
      <c r="U221" t="s">
        <v>775</v>
      </c>
      <c r="V221">
        <v>71800</v>
      </c>
      <c r="W221" t="s">
        <v>43</v>
      </c>
      <c r="X221" t="s">
        <v>120</v>
      </c>
      <c r="Y221" t="s">
        <v>48</v>
      </c>
      <c r="Z221" s="10">
        <f t="shared" si="24"/>
        <v>16.600000000000001</v>
      </c>
      <c r="AA221" s="11">
        <v>0</v>
      </c>
      <c r="AB221" s="11">
        <v>0</v>
      </c>
      <c r="AC221" s="11">
        <v>0</v>
      </c>
      <c r="AD221" s="11">
        <v>0</v>
      </c>
      <c r="AE221" s="11">
        <f t="shared" si="21"/>
        <v>0.996</v>
      </c>
      <c r="AF221" s="11">
        <f t="shared" si="22"/>
        <v>17.596</v>
      </c>
      <c r="AG221" t="s">
        <v>43</v>
      </c>
    </row>
    <row r="222" spans="1:33" ht="15" customHeight="1" x14ac:dyDescent="0.35">
      <c r="A222">
        <v>690929</v>
      </c>
      <c r="B222" t="s">
        <v>33</v>
      </c>
      <c r="C222" t="s">
        <v>34</v>
      </c>
      <c r="D222" s="6" t="s">
        <v>33</v>
      </c>
      <c r="E222" t="s">
        <v>776</v>
      </c>
      <c r="F222" t="s">
        <v>36</v>
      </c>
      <c r="G222" t="s">
        <v>37</v>
      </c>
      <c r="H222" t="s">
        <v>777</v>
      </c>
      <c r="I222" t="s">
        <v>39</v>
      </c>
      <c r="J222">
        <v>2</v>
      </c>
      <c r="K222" t="s">
        <v>40</v>
      </c>
      <c r="L222" t="s">
        <v>41</v>
      </c>
      <c r="M222" t="s">
        <v>42</v>
      </c>
      <c r="N222" s="7">
        <v>1</v>
      </c>
      <c r="O222" s="8">
        <v>45088.529907407406</v>
      </c>
      <c r="P222" s="9">
        <v>45089</v>
      </c>
      <c r="Q222" t="s">
        <v>36</v>
      </c>
      <c r="R222" t="s">
        <v>43</v>
      </c>
      <c r="S222" t="s">
        <v>44</v>
      </c>
      <c r="T222" t="s">
        <v>157</v>
      </c>
      <c r="U222" t="s">
        <v>778</v>
      </c>
      <c r="V222">
        <v>17000</v>
      </c>
      <c r="W222" t="s">
        <v>43</v>
      </c>
      <c r="X222" t="s">
        <v>44</v>
      </c>
      <c r="Y222" t="s">
        <v>48</v>
      </c>
      <c r="Z222" s="10">
        <f t="shared" si="24"/>
        <v>7</v>
      </c>
      <c r="AA222" s="11">
        <v>0</v>
      </c>
      <c r="AB222" s="11">
        <v>0</v>
      </c>
      <c r="AC222" s="11">
        <v>0</v>
      </c>
      <c r="AD222" s="11">
        <v>0</v>
      </c>
      <c r="AE222" s="11">
        <f t="shared" si="21"/>
        <v>0.42</v>
      </c>
      <c r="AF222" s="11">
        <f t="shared" si="22"/>
        <v>7.42</v>
      </c>
      <c r="AG222" t="s">
        <v>43</v>
      </c>
    </row>
    <row r="223" spans="1:33" ht="15" customHeight="1" x14ac:dyDescent="0.35">
      <c r="A223">
        <v>690929</v>
      </c>
      <c r="B223" t="s">
        <v>33</v>
      </c>
      <c r="C223" t="s">
        <v>34</v>
      </c>
      <c r="D223" s="6" t="s">
        <v>33</v>
      </c>
      <c r="E223" t="s">
        <v>779</v>
      </c>
      <c r="F223" t="s">
        <v>36</v>
      </c>
      <c r="G223" t="s">
        <v>37</v>
      </c>
      <c r="H223" t="s">
        <v>780</v>
      </c>
      <c r="I223" t="s">
        <v>39</v>
      </c>
      <c r="J223">
        <v>2</v>
      </c>
      <c r="K223" t="s">
        <v>40</v>
      </c>
      <c r="L223" t="s">
        <v>41</v>
      </c>
      <c r="M223" t="s">
        <v>42</v>
      </c>
      <c r="N223" s="7">
        <v>13</v>
      </c>
      <c r="O223" s="8">
        <v>45087.748680555553</v>
      </c>
      <c r="P223" s="9">
        <v>45089</v>
      </c>
      <c r="Q223" t="s">
        <v>36</v>
      </c>
      <c r="R223" t="s">
        <v>43</v>
      </c>
      <c r="S223" t="s">
        <v>44</v>
      </c>
      <c r="T223" t="s">
        <v>118</v>
      </c>
      <c r="U223" t="s">
        <v>781</v>
      </c>
      <c r="V223">
        <v>71800</v>
      </c>
      <c r="W223" t="s">
        <v>43</v>
      </c>
      <c r="X223" t="s">
        <v>120</v>
      </c>
      <c r="Y223" t="s">
        <v>48</v>
      </c>
      <c r="Z223" s="10">
        <f>IF(N223&lt;=1,7,7+0.8*ROUNDUP(N223-1,0))</f>
        <v>16.600000000000001</v>
      </c>
      <c r="AA223" s="11">
        <v>0</v>
      </c>
      <c r="AB223" s="11">
        <v>0</v>
      </c>
      <c r="AC223" s="11">
        <v>0</v>
      </c>
      <c r="AD223" s="11">
        <v>0</v>
      </c>
      <c r="AE223" s="11">
        <f t="shared" si="21"/>
        <v>0.996</v>
      </c>
      <c r="AF223" s="11">
        <f t="shared" si="22"/>
        <v>17.596</v>
      </c>
      <c r="AG223" t="s">
        <v>43</v>
      </c>
    </row>
    <row r="224" spans="1:33" ht="15" customHeight="1" x14ac:dyDescent="0.35">
      <c r="A224">
        <v>690929</v>
      </c>
      <c r="B224" t="s">
        <v>33</v>
      </c>
      <c r="C224" t="s">
        <v>34</v>
      </c>
      <c r="D224" s="6" t="s">
        <v>33</v>
      </c>
      <c r="E224" t="s">
        <v>782</v>
      </c>
      <c r="F224" t="s">
        <v>36</v>
      </c>
      <c r="G224" t="s">
        <v>37</v>
      </c>
      <c r="H224" t="s">
        <v>783</v>
      </c>
      <c r="I224" t="s">
        <v>39</v>
      </c>
      <c r="J224">
        <v>2</v>
      </c>
      <c r="K224" t="s">
        <v>40</v>
      </c>
      <c r="L224" t="s">
        <v>41</v>
      </c>
      <c r="M224" t="s">
        <v>42</v>
      </c>
      <c r="N224" s="7">
        <v>3</v>
      </c>
      <c r="O224" s="8">
        <v>45087.439247685186</v>
      </c>
      <c r="P224" s="9">
        <v>45090</v>
      </c>
      <c r="Q224" t="s">
        <v>36</v>
      </c>
      <c r="R224" t="s">
        <v>43</v>
      </c>
      <c r="S224" t="s">
        <v>44</v>
      </c>
      <c r="T224" t="s">
        <v>92</v>
      </c>
      <c r="U224" t="s">
        <v>784</v>
      </c>
      <c r="V224">
        <v>89000</v>
      </c>
      <c r="W224" t="s">
        <v>94</v>
      </c>
      <c r="X224" t="s">
        <v>785</v>
      </c>
      <c r="Y224" t="s">
        <v>48</v>
      </c>
      <c r="Z224" s="12">
        <f>IF(N224&lt;=1,13,IF(N224&lt;=2,23,IF(N224&lt;=3,35,IF(N224&lt;=4,43,IF(N224&lt;=5,53,IF(N224&lt;=6,63,IF(N224&lt;=7,71,IF(N224&lt;=8,79,IF(N224&lt;=9,87,IF(N224&lt;=10,95,IF(N224&lt;=11,105,IF(N224&lt;=12,114,IF(N224&lt;=13,119,IF(N224&lt;=14,127,IF(N224&lt;=15,135,IF(N224&lt;=16,143,IF(N224&lt;=17,153,IF(N224&lt;=18,163,IF(N224&lt;=19,171,IF(N224&lt;=20,185,IF(N224&lt;=21,193,IF(N224&lt;=22,201,IF(N224&lt;=23,210,IF(N224&lt;=24,220,IF(N224&lt;=25,230,IF(N224&lt;=26,240,IF(N224&lt;=27,250,IF(N224&lt;=28,260,IF(N224&lt;=29,270,IF(N224&lt;=30,280,280+10*ROUNDUP(N224-30,0)))))))))))))))))))))))))))))))</f>
        <v>35</v>
      </c>
      <c r="AA224" s="11">
        <v>0</v>
      </c>
      <c r="AB224" s="11">
        <v>0</v>
      </c>
      <c r="AC224" s="11">
        <v>0</v>
      </c>
      <c r="AD224" s="11">
        <v>0</v>
      </c>
      <c r="AE224" s="11">
        <f t="shared" si="21"/>
        <v>2.1</v>
      </c>
      <c r="AF224" s="11">
        <f t="shared" si="22"/>
        <v>37.1</v>
      </c>
      <c r="AG224" t="s">
        <v>94</v>
      </c>
    </row>
    <row r="225" spans="1:33" ht="15" customHeight="1" x14ac:dyDescent="0.35">
      <c r="A225">
        <v>690929</v>
      </c>
      <c r="B225" t="s">
        <v>33</v>
      </c>
      <c r="C225" t="s">
        <v>34</v>
      </c>
      <c r="D225" s="6" t="s">
        <v>33</v>
      </c>
      <c r="E225" t="s">
        <v>786</v>
      </c>
      <c r="F225" t="s">
        <v>36</v>
      </c>
      <c r="G225" t="s">
        <v>37</v>
      </c>
      <c r="H225" t="s">
        <v>787</v>
      </c>
      <c r="I225" t="s">
        <v>39</v>
      </c>
      <c r="J225">
        <v>2</v>
      </c>
      <c r="K225" t="s">
        <v>40</v>
      </c>
      <c r="L225" t="s">
        <v>41</v>
      </c>
      <c r="M225" t="s">
        <v>42</v>
      </c>
      <c r="N225" s="7">
        <v>17</v>
      </c>
      <c r="O225" s="8">
        <v>45084.699224537035</v>
      </c>
      <c r="P225" s="9">
        <v>45090</v>
      </c>
      <c r="Q225" t="s">
        <v>36</v>
      </c>
      <c r="R225" t="s">
        <v>43</v>
      </c>
      <c r="S225" t="s">
        <v>44</v>
      </c>
      <c r="T225" t="s">
        <v>521</v>
      </c>
      <c r="U225" t="s">
        <v>788</v>
      </c>
      <c r="V225">
        <v>96000</v>
      </c>
      <c r="W225" t="s">
        <v>94</v>
      </c>
      <c r="X225" t="s">
        <v>67</v>
      </c>
      <c r="Y225" t="s">
        <v>48</v>
      </c>
      <c r="Z225" s="12">
        <f>IF(N225&lt;=1,13,IF(N225&lt;=2,23,IF(N225&lt;=3,35,IF(N225&lt;=4,43,IF(N225&lt;=5,53,IF(N225&lt;=6,63,IF(N225&lt;=7,71,IF(N225&lt;=8,79,IF(N225&lt;=9,87,IF(N225&lt;=10,95,IF(N225&lt;=11,105,IF(N225&lt;=12,114,IF(N225&lt;=13,119,IF(N225&lt;=14,127,IF(N225&lt;=15,135,IF(N225&lt;=16,143,IF(N225&lt;=17,153,IF(N225&lt;=18,163,IF(N225&lt;=19,171,IF(N225&lt;=20,185,IF(N225&lt;=21,193,IF(N225&lt;=22,201,IF(N225&lt;=23,210,IF(N225&lt;=24,220,IF(N225&lt;=25,230,IF(N225&lt;=26,240,IF(N225&lt;=27,250,IF(N225&lt;=28,260,IF(N225&lt;=29,270,IF(N225&lt;=30,280,280+10*ROUNDUP(N225-30,0)))))))))))))))))))))))))))))))</f>
        <v>153</v>
      </c>
      <c r="AA225" s="11">
        <v>0</v>
      </c>
      <c r="AB225" s="11">
        <v>0</v>
      </c>
      <c r="AC225" s="11">
        <v>0</v>
      </c>
      <c r="AD225" s="11">
        <v>0</v>
      </c>
      <c r="AE225" s="11">
        <f t="shared" si="21"/>
        <v>9.18</v>
      </c>
      <c r="AF225" s="11">
        <f t="shared" si="22"/>
        <v>162.18</v>
      </c>
      <c r="AG225" t="s">
        <v>94</v>
      </c>
    </row>
    <row r="226" spans="1:33" ht="15" customHeight="1" x14ac:dyDescent="0.35">
      <c r="A226">
        <v>690929</v>
      </c>
      <c r="B226" t="s">
        <v>33</v>
      </c>
      <c r="C226" t="s">
        <v>34</v>
      </c>
      <c r="D226" s="6" t="s">
        <v>33</v>
      </c>
      <c r="E226" t="s">
        <v>789</v>
      </c>
      <c r="F226" t="s">
        <v>36</v>
      </c>
      <c r="G226" t="s">
        <v>37</v>
      </c>
      <c r="H226" t="s">
        <v>790</v>
      </c>
      <c r="I226" t="s">
        <v>39</v>
      </c>
      <c r="J226">
        <v>2</v>
      </c>
      <c r="K226" t="s">
        <v>40</v>
      </c>
      <c r="L226" t="s">
        <v>41</v>
      </c>
      <c r="M226" t="s">
        <v>42</v>
      </c>
      <c r="N226" s="7">
        <v>3</v>
      </c>
      <c r="O226" s="8">
        <v>45088.730092592596</v>
      </c>
      <c r="P226" s="9">
        <v>45090</v>
      </c>
      <c r="Q226" t="s">
        <v>36</v>
      </c>
      <c r="R226" t="s">
        <v>43</v>
      </c>
      <c r="S226" t="s">
        <v>44</v>
      </c>
      <c r="T226" t="s">
        <v>118</v>
      </c>
      <c r="U226" t="s">
        <v>791</v>
      </c>
      <c r="V226">
        <v>70450</v>
      </c>
      <c r="W226" t="s">
        <v>43</v>
      </c>
      <c r="X226" t="s">
        <v>292</v>
      </c>
      <c r="Y226" t="s">
        <v>48</v>
      </c>
      <c r="Z226" s="10">
        <f t="shared" ref="Z226:Z236" si="25">IF(N226&lt;=1,7,7+0.8*ROUNDUP(N226-1,0))</f>
        <v>8.6</v>
      </c>
      <c r="AA226" s="11">
        <v>0</v>
      </c>
      <c r="AB226" s="11">
        <v>0</v>
      </c>
      <c r="AC226" s="11">
        <v>0</v>
      </c>
      <c r="AD226" s="11">
        <v>0</v>
      </c>
      <c r="AE226" s="11">
        <f t="shared" si="21"/>
        <v>0.51600000000000001</v>
      </c>
      <c r="AF226" s="11">
        <f t="shared" si="22"/>
        <v>9.1159999999999997</v>
      </c>
      <c r="AG226" t="s">
        <v>43</v>
      </c>
    </row>
    <row r="227" spans="1:33" ht="15" customHeight="1" x14ac:dyDescent="0.35">
      <c r="A227">
        <v>690929</v>
      </c>
      <c r="B227" t="s">
        <v>33</v>
      </c>
      <c r="C227" t="s">
        <v>34</v>
      </c>
      <c r="D227" s="6" t="s">
        <v>33</v>
      </c>
      <c r="E227" t="s">
        <v>792</v>
      </c>
      <c r="F227" t="s">
        <v>36</v>
      </c>
      <c r="G227" t="s">
        <v>37</v>
      </c>
      <c r="H227" t="s">
        <v>793</v>
      </c>
      <c r="I227" t="s">
        <v>39</v>
      </c>
      <c r="J227">
        <v>2</v>
      </c>
      <c r="K227" t="s">
        <v>40</v>
      </c>
      <c r="L227" t="s">
        <v>41</v>
      </c>
      <c r="M227" t="s">
        <v>42</v>
      </c>
      <c r="N227" s="7">
        <v>1</v>
      </c>
      <c r="O227" s="8">
        <v>45088.627395833333</v>
      </c>
      <c r="P227" s="9">
        <v>45090</v>
      </c>
      <c r="Q227" t="s">
        <v>36</v>
      </c>
      <c r="R227" t="s">
        <v>43</v>
      </c>
      <c r="S227" t="s">
        <v>44</v>
      </c>
      <c r="T227" t="s">
        <v>124</v>
      </c>
      <c r="U227" t="s">
        <v>794</v>
      </c>
      <c r="V227">
        <v>30020</v>
      </c>
      <c r="W227" t="s">
        <v>43</v>
      </c>
      <c r="X227" t="s">
        <v>67</v>
      </c>
      <c r="Y227" t="s">
        <v>48</v>
      </c>
      <c r="Z227" s="10">
        <f t="shared" si="25"/>
        <v>7</v>
      </c>
      <c r="AA227" s="11">
        <v>0</v>
      </c>
      <c r="AB227" s="11">
        <v>0</v>
      </c>
      <c r="AC227" s="11">
        <v>0</v>
      </c>
      <c r="AD227" s="11">
        <v>0</v>
      </c>
      <c r="AE227" s="11">
        <f t="shared" si="21"/>
        <v>0.42</v>
      </c>
      <c r="AF227" s="11">
        <f t="shared" si="22"/>
        <v>7.42</v>
      </c>
      <c r="AG227" t="s">
        <v>43</v>
      </c>
    </row>
    <row r="228" spans="1:33" ht="15" customHeight="1" x14ac:dyDescent="0.35">
      <c r="A228">
        <v>690929</v>
      </c>
      <c r="B228" t="s">
        <v>33</v>
      </c>
      <c r="C228" t="s">
        <v>34</v>
      </c>
      <c r="D228" s="6" t="s">
        <v>33</v>
      </c>
      <c r="E228" t="s">
        <v>795</v>
      </c>
      <c r="F228" t="s">
        <v>36</v>
      </c>
      <c r="G228" t="s">
        <v>37</v>
      </c>
      <c r="H228" t="s">
        <v>796</v>
      </c>
      <c r="I228" t="s">
        <v>39</v>
      </c>
      <c r="J228">
        <v>2</v>
      </c>
      <c r="K228" t="s">
        <v>40</v>
      </c>
      <c r="L228" t="s">
        <v>41</v>
      </c>
      <c r="M228" t="s">
        <v>42</v>
      </c>
      <c r="N228" s="7">
        <v>1</v>
      </c>
      <c r="O228" s="8">
        <v>45089.525150462963</v>
      </c>
      <c r="P228" s="9">
        <v>45090</v>
      </c>
      <c r="Q228" t="s">
        <v>36</v>
      </c>
      <c r="R228" t="s">
        <v>43</v>
      </c>
      <c r="S228" t="s">
        <v>44</v>
      </c>
      <c r="T228" t="s">
        <v>62</v>
      </c>
      <c r="U228" t="s">
        <v>797</v>
      </c>
      <c r="V228">
        <v>24000</v>
      </c>
      <c r="W228" t="s">
        <v>43</v>
      </c>
      <c r="X228" t="s">
        <v>44</v>
      </c>
      <c r="Y228" t="s">
        <v>48</v>
      </c>
      <c r="Z228" s="10">
        <f t="shared" si="25"/>
        <v>7</v>
      </c>
      <c r="AA228" s="11">
        <v>0</v>
      </c>
      <c r="AB228" s="11">
        <v>0</v>
      </c>
      <c r="AC228" s="11">
        <v>0</v>
      </c>
      <c r="AD228" s="11">
        <v>0</v>
      </c>
      <c r="AE228" s="11">
        <f t="shared" si="21"/>
        <v>0.42</v>
      </c>
      <c r="AF228" s="11">
        <f t="shared" si="22"/>
        <v>7.42</v>
      </c>
      <c r="AG228" t="s">
        <v>43</v>
      </c>
    </row>
    <row r="229" spans="1:33" ht="15" customHeight="1" x14ac:dyDescent="0.35">
      <c r="A229">
        <v>690929</v>
      </c>
      <c r="B229" t="s">
        <v>33</v>
      </c>
      <c r="C229" t="s">
        <v>34</v>
      </c>
      <c r="D229" s="6" t="s">
        <v>33</v>
      </c>
      <c r="E229" t="s">
        <v>798</v>
      </c>
      <c r="F229" t="s">
        <v>36</v>
      </c>
      <c r="G229" t="s">
        <v>37</v>
      </c>
      <c r="H229" t="s">
        <v>799</v>
      </c>
      <c r="I229" t="s">
        <v>39</v>
      </c>
      <c r="J229">
        <v>2</v>
      </c>
      <c r="K229" t="s">
        <v>40</v>
      </c>
      <c r="L229" t="s">
        <v>41</v>
      </c>
      <c r="M229" t="s">
        <v>42</v>
      </c>
      <c r="N229" s="7">
        <v>1</v>
      </c>
      <c r="O229" s="8">
        <v>45089.425902777781</v>
      </c>
      <c r="P229" s="9">
        <v>45090</v>
      </c>
      <c r="Q229" t="s">
        <v>36</v>
      </c>
      <c r="R229" t="s">
        <v>43</v>
      </c>
      <c r="S229" t="s">
        <v>44</v>
      </c>
      <c r="T229" t="s">
        <v>62</v>
      </c>
      <c r="U229" t="s">
        <v>800</v>
      </c>
      <c r="V229">
        <v>21610</v>
      </c>
      <c r="W229" t="s">
        <v>43</v>
      </c>
      <c r="X229" t="s">
        <v>44</v>
      </c>
      <c r="Y229" t="s">
        <v>48</v>
      </c>
      <c r="Z229" s="10">
        <f t="shared" si="25"/>
        <v>7</v>
      </c>
      <c r="AA229" s="11">
        <v>0</v>
      </c>
      <c r="AB229" s="11">
        <v>0</v>
      </c>
      <c r="AC229" s="11">
        <v>0</v>
      </c>
      <c r="AD229" s="11">
        <v>0</v>
      </c>
      <c r="AE229" s="11">
        <f t="shared" si="21"/>
        <v>0.42</v>
      </c>
      <c r="AF229" s="11">
        <f t="shared" si="22"/>
        <v>7.42</v>
      </c>
      <c r="AG229" t="s">
        <v>43</v>
      </c>
    </row>
    <row r="230" spans="1:33" ht="15" customHeight="1" x14ac:dyDescent="0.35">
      <c r="A230">
        <v>690929</v>
      </c>
      <c r="B230" t="s">
        <v>33</v>
      </c>
      <c r="C230" t="s">
        <v>34</v>
      </c>
      <c r="D230" s="6" t="s">
        <v>33</v>
      </c>
      <c r="E230" t="s">
        <v>801</v>
      </c>
      <c r="F230" t="s">
        <v>36</v>
      </c>
      <c r="G230" t="s">
        <v>37</v>
      </c>
      <c r="H230" t="s">
        <v>802</v>
      </c>
      <c r="I230" t="s">
        <v>39</v>
      </c>
      <c r="J230">
        <v>2</v>
      </c>
      <c r="K230" t="s">
        <v>40</v>
      </c>
      <c r="L230" t="s">
        <v>41</v>
      </c>
      <c r="M230" t="s">
        <v>42</v>
      </c>
      <c r="N230" s="7">
        <v>2</v>
      </c>
      <c r="O230" s="8">
        <v>45089.446701388886</v>
      </c>
      <c r="P230" s="9">
        <v>45090</v>
      </c>
      <c r="Q230" t="s">
        <v>36</v>
      </c>
      <c r="R230" t="s">
        <v>43</v>
      </c>
      <c r="S230" t="s">
        <v>44</v>
      </c>
      <c r="T230" t="s">
        <v>62</v>
      </c>
      <c r="U230" t="s">
        <v>803</v>
      </c>
      <c r="V230">
        <v>22100</v>
      </c>
      <c r="W230" t="s">
        <v>43</v>
      </c>
      <c r="X230" t="s">
        <v>44</v>
      </c>
      <c r="Y230" t="s">
        <v>48</v>
      </c>
      <c r="Z230" s="10">
        <f t="shared" si="25"/>
        <v>7.8</v>
      </c>
      <c r="AA230" s="11">
        <v>0</v>
      </c>
      <c r="AB230" s="11">
        <v>0</v>
      </c>
      <c r="AC230" s="11">
        <v>0</v>
      </c>
      <c r="AD230" s="11">
        <v>0</v>
      </c>
      <c r="AE230" s="11">
        <f t="shared" si="21"/>
        <v>0.46799999999999997</v>
      </c>
      <c r="AF230" s="11">
        <f t="shared" si="22"/>
        <v>8.2680000000000007</v>
      </c>
      <c r="AG230" t="s">
        <v>43</v>
      </c>
    </row>
    <row r="231" spans="1:33" ht="15" customHeight="1" x14ac:dyDescent="0.35">
      <c r="A231">
        <v>690929</v>
      </c>
      <c r="B231" t="s">
        <v>33</v>
      </c>
      <c r="C231" t="s">
        <v>34</v>
      </c>
      <c r="D231" s="6" t="s">
        <v>33</v>
      </c>
      <c r="E231" t="s">
        <v>804</v>
      </c>
      <c r="F231" t="s">
        <v>36</v>
      </c>
      <c r="G231" t="s">
        <v>37</v>
      </c>
      <c r="H231" t="s">
        <v>241</v>
      </c>
      <c r="I231" t="s">
        <v>39</v>
      </c>
      <c r="J231">
        <v>2</v>
      </c>
      <c r="K231" t="s">
        <v>40</v>
      </c>
      <c r="L231" t="s">
        <v>41</v>
      </c>
      <c r="M231" t="s">
        <v>42</v>
      </c>
      <c r="N231" s="7">
        <v>1</v>
      </c>
      <c r="O231" s="8">
        <v>45089.570891203701</v>
      </c>
      <c r="P231" s="9">
        <v>45090</v>
      </c>
      <c r="Q231" t="s">
        <v>36</v>
      </c>
      <c r="R231" t="s">
        <v>43</v>
      </c>
      <c r="S231" t="s">
        <v>44</v>
      </c>
      <c r="T231" t="s">
        <v>45</v>
      </c>
      <c r="U231" t="s">
        <v>242</v>
      </c>
      <c r="V231">
        <v>47100</v>
      </c>
      <c r="W231" t="s">
        <v>43</v>
      </c>
      <c r="X231" t="s">
        <v>67</v>
      </c>
      <c r="Y231" t="s">
        <v>48</v>
      </c>
      <c r="Z231" s="10">
        <f t="shared" si="25"/>
        <v>7</v>
      </c>
      <c r="AA231" s="11">
        <v>0</v>
      </c>
      <c r="AB231" s="11">
        <v>0</v>
      </c>
      <c r="AC231" s="11">
        <v>0</v>
      </c>
      <c r="AD231" s="11">
        <v>0</v>
      </c>
      <c r="AE231" s="11">
        <f t="shared" si="21"/>
        <v>0.42</v>
      </c>
      <c r="AF231" s="11">
        <f t="shared" si="22"/>
        <v>7.42</v>
      </c>
      <c r="AG231" t="s">
        <v>43</v>
      </c>
    </row>
    <row r="232" spans="1:33" ht="15" customHeight="1" x14ac:dyDescent="0.35">
      <c r="A232">
        <v>690929</v>
      </c>
      <c r="B232" t="s">
        <v>33</v>
      </c>
      <c r="C232" t="s">
        <v>34</v>
      </c>
      <c r="D232" s="6" t="s">
        <v>33</v>
      </c>
      <c r="E232" t="s">
        <v>805</v>
      </c>
      <c r="F232" t="s">
        <v>36</v>
      </c>
      <c r="G232" t="s">
        <v>37</v>
      </c>
      <c r="H232" t="s">
        <v>806</v>
      </c>
      <c r="I232" t="s">
        <v>39</v>
      </c>
      <c r="J232">
        <v>2</v>
      </c>
      <c r="K232" t="s">
        <v>40</v>
      </c>
      <c r="L232" t="s">
        <v>41</v>
      </c>
      <c r="M232" t="s">
        <v>42</v>
      </c>
      <c r="N232" s="7">
        <v>1</v>
      </c>
      <c r="O232" s="8">
        <v>45089.525150462963</v>
      </c>
      <c r="P232" s="9">
        <v>45090</v>
      </c>
      <c r="Q232" t="s">
        <v>36</v>
      </c>
      <c r="R232" t="s">
        <v>43</v>
      </c>
      <c r="S232" t="s">
        <v>44</v>
      </c>
      <c r="T232" t="s">
        <v>45</v>
      </c>
      <c r="U232" t="s">
        <v>807</v>
      </c>
      <c r="V232">
        <v>43300</v>
      </c>
      <c r="W232" t="s">
        <v>43</v>
      </c>
      <c r="X232" t="s">
        <v>364</v>
      </c>
      <c r="Y232" t="s">
        <v>48</v>
      </c>
      <c r="Z232" s="10">
        <f t="shared" si="25"/>
        <v>7</v>
      </c>
      <c r="AA232" s="11">
        <v>0</v>
      </c>
      <c r="AB232" s="11">
        <v>0</v>
      </c>
      <c r="AC232" s="11">
        <v>0</v>
      </c>
      <c r="AD232" s="11">
        <v>0</v>
      </c>
      <c r="AE232" s="11">
        <f t="shared" si="21"/>
        <v>0.42</v>
      </c>
      <c r="AF232" s="11">
        <f t="shared" si="22"/>
        <v>7.42</v>
      </c>
      <c r="AG232" t="s">
        <v>43</v>
      </c>
    </row>
    <row r="233" spans="1:33" ht="15" customHeight="1" x14ac:dyDescent="0.35">
      <c r="A233">
        <v>690929</v>
      </c>
      <c r="B233" t="s">
        <v>33</v>
      </c>
      <c r="C233" t="s">
        <v>34</v>
      </c>
      <c r="D233" s="6" t="s">
        <v>33</v>
      </c>
      <c r="E233" t="s">
        <v>808</v>
      </c>
      <c r="F233" t="s">
        <v>36</v>
      </c>
      <c r="G233" t="s">
        <v>37</v>
      </c>
      <c r="H233" t="s">
        <v>809</v>
      </c>
      <c r="I233" t="s">
        <v>39</v>
      </c>
      <c r="J233">
        <v>2</v>
      </c>
      <c r="K233" t="s">
        <v>40</v>
      </c>
      <c r="L233" t="s">
        <v>41</v>
      </c>
      <c r="M233" t="s">
        <v>42</v>
      </c>
      <c r="N233" s="7">
        <v>1</v>
      </c>
      <c r="O233" s="8">
        <v>45089.446701388886</v>
      </c>
      <c r="P233" s="9">
        <v>45090</v>
      </c>
      <c r="Q233" t="s">
        <v>36</v>
      </c>
      <c r="R233" t="s">
        <v>43</v>
      </c>
      <c r="S233" t="s">
        <v>44</v>
      </c>
      <c r="T233" t="s">
        <v>62</v>
      </c>
      <c r="U233" t="s">
        <v>810</v>
      </c>
      <c r="V233">
        <v>21610</v>
      </c>
      <c r="W233" t="s">
        <v>43</v>
      </c>
      <c r="X233" t="s">
        <v>44</v>
      </c>
      <c r="Y233" t="s">
        <v>48</v>
      </c>
      <c r="Z233" s="10">
        <f t="shared" si="25"/>
        <v>7</v>
      </c>
      <c r="AA233" s="11">
        <v>0</v>
      </c>
      <c r="AB233" s="11">
        <v>0</v>
      </c>
      <c r="AC233" s="11">
        <v>0</v>
      </c>
      <c r="AD233" s="11">
        <v>0</v>
      </c>
      <c r="AE233" s="11">
        <f t="shared" si="21"/>
        <v>0.42</v>
      </c>
      <c r="AF233" s="11">
        <f t="shared" si="22"/>
        <v>7.42</v>
      </c>
      <c r="AG233" t="s">
        <v>43</v>
      </c>
    </row>
    <row r="234" spans="1:33" ht="15" customHeight="1" x14ac:dyDescent="0.35">
      <c r="A234">
        <v>690929</v>
      </c>
      <c r="B234" t="s">
        <v>33</v>
      </c>
      <c r="C234" t="s">
        <v>34</v>
      </c>
      <c r="D234" s="6" t="s">
        <v>33</v>
      </c>
      <c r="E234" t="s">
        <v>811</v>
      </c>
      <c r="F234" t="s">
        <v>36</v>
      </c>
      <c r="G234" t="s">
        <v>37</v>
      </c>
      <c r="H234" t="s">
        <v>812</v>
      </c>
      <c r="I234" t="s">
        <v>39</v>
      </c>
      <c r="J234">
        <v>2</v>
      </c>
      <c r="K234" t="s">
        <v>40</v>
      </c>
      <c r="L234" t="s">
        <v>41</v>
      </c>
      <c r="M234" t="s">
        <v>42</v>
      </c>
      <c r="N234" s="7">
        <v>3</v>
      </c>
      <c r="O234" s="8">
        <v>45088.626354166663</v>
      </c>
      <c r="P234" s="9">
        <v>45090</v>
      </c>
      <c r="Q234" t="s">
        <v>36</v>
      </c>
      <c r="R234" t="s">
        <v>43</v>
      </c>
      <c r="S234" t="s">
        <v>44</v>
      </c>
      <c r="T234" t="s">
        <v>124</v>
      </c>
      <c r="U234" t="s">
        <v>813</v>
      </c>
      <c r="V234">
        <v>36800</v>
      </c>
      <c r="W234" t="s">
        <v>43</v>
      </c>
      <c r="X234" t="s">
        <v>814</v>
      </c>
      <c r="Y234" t="s">
        <v>48</v>
      </c>
      <c r="Z234" s="10">
        <f t="shared" si="25"/>
        <v>8.6</v>
      </c>
      <c r="AA234" s="11">
        <v>0</v>
      </c>
      <c r="AB234" s="11">
        <v>0</v>
      </c>
      <c r="AC234" s="11">
        <v>0</v>
      </c>
      <c r="AD234" s="11">
        <v>0</v>
      </c>
      <c r="AE234" s="11">
        <f t="shared" si="21"/>
        <v>0.51600000000000001</v>
      </c>
      <c r="AF234" s="11">
        <f t="shared" si="22"/>
        <v>9.1159999999999997</v>
      </c>
      <c r="AG234" t="s">
        <v>43</v>
      </c>
    </row>
    <row r="235" spans="1:33" ht="15" customHeight="1" x14ac:dyDescent="0.35">
      <c r="A235">
        <v>690929</v>
      </c>
      <c r="B235" t="s">
        <v>33</v>
      </c>
      <c r="C235" t="s">
        <v>34</v>
      </c>
      <c r="D235" s="6" t="s">
        <v>33</v>
      </c>
      <c r="E235" t="s">
        <v>815</v>
      </c>
      <c r="F235" t="s">
        <v>36</v>
      </c>
      <c r="G235" t="s">
        <v>37</v>
      </c>
      <c r="H235" t="s">
        <v>816</v>
      </c>
      <c r="I235" t="s">
        <v>39</v>
      </c>
      <c r="J235">
        <v>2</v>
      </c>
      <c r="K235" t="s">
        <v>40</v>
      </c>
      <c r="L235" t="s">
        <v>41</v>
      </c>
      <c r="M235" t="s">
        <v>42</v>
      </c>
      <c r="N235" s="7">
        <v>1</v>
      </c>
      <c r="O235" s="8">
        <v>45087.607546296298</v>
      </c>
      <c r="P235" s="9">
        <v>45090</v>
      </c>
      <c r="Q235" t="s">
        <v>36</v>
      </c>
      <c r="R235" t="s">
        <v>43</v>
      </c>
      <c r="S235" t="s">
        <v>44</v>
      </c>
      <c r="T235" t="s">
        <v>45</v>
      </c>
      <c r="U235" t="s">
        <v>817</v>
      </c>
      <c r="V235">
        <v>43200</v>
      </c>
      <c r="W235" t="s">
        <v>43</v>
      </c>
      <c r="X235" t="s">
        <v>80</v>
      </c>
      <c r="Y235" t="s">
        <v>48</v>
      </c>
      <c r="Z235" s="10">
        <f t="shared" si="25"/>
        <v>7</v>
      </c>
      <c r="AA235" s="11">
        <v>0</v>
      </c>
      <c r="AB235" s="11">
        <v>0</v>
      </c>
      <c r="AC235" s="11">
        <v>0</v>
      </c>
      <c r="AD235" s="11">
        <v>0</v>
      </c>
      <c r="AE235" s="11">
        <f t="shared" si="21"/>
        <v>0.42</v>
      </c>
      <c r="AF235" s="11">
        <f t="shared" si="22"/>
        <v>7.42</v>
      </c>
      <c r="AG235" t="s">
        <v>43</v>
      </c>
    </row>
    <row r="236" spans="1:33" ht="15" customHeight="1" x14ac:dyDescent="0.35">
      <c r="A236">
        <v>690929</v>
      </c>
      <c r="B236" t="s">
        <v>33</v>
      </c>
      <c r="C236" t="s">
        <v>34</v>
      </c>
      <c r="D236" s="6" t="s">
        <v>33</v>
      </c>
      <c r="E236" t="s">
        <v>818</v>
      </c>
      <c r="F236" t="s">
        <v>36</v>
      </c>
      <c r="G236" t="s">
        <v>37</v>
      </c>
      <c r="H236" t="s">
        <v>819</v>
      </c>
      <c r="I236" t="s">
        <v>39</v>
      </c>
      <c r="J236">
        <v>2</v>
      </c>
      <c r="K236" t="s">
        <v>40</v>
      </c>
      <c r="L236" t="s">
        <v>41</v>
      </c>
      <c r="M236" t="s">
        <v>42</v>
      </c>
      <c r="N236" s="7">
        <v>20</v>
      </c>
      <c r="O236" s="8">
        <v>45087.783634259256</v>
      </c>
      <c r="P236" s="9">
        <v>45090</v>
      </c>
      <c r="Q236" t="s">
        <v>36</v>
      </c>
      <c r="R236" t="s">
        <v>43</v>
      </c>
      <c r="S236" t="s">
        <v>44</v>
      </c>
      <c r="T236" t="s">
        <v>128</v>
      </c>
      <c r="U236" t="s">
        <v>820</v>
      </c>
      <c r="V236">
        <v>81800</v>
      </c>
      <c r="W236" t="s">
        <v>43</v>
      </c>
      <c r="X236" t="s">
        <v>578</v>
      </c>
      <c r="Y236" t="s">
        <v>48</v>
      </c>
      <c r="Z236" s="10">
        <f t="shared" si="25"/>
        <v>22.200000000000003</v>
      </c>
      <c r="AA236" s="11">
        <v>0</v>
      </c>
      <c r="AB236" s="11">
        <v>0</v>
      </c>
      <c r="AC236" s="11">
        <v>0</v>
      </c>
      <c r="AD236" s="11">
        <v>0</v>
      </c>
      <c r="AE236" s="11">
        <f t="shared" si="21"/>
        <v>1.3320000000000001</v>
      </c>
      <c r="AF236" s="11">
        <f t="shared" si="22"/>
        <v>23.532000000000004</v>
      </c>
      <c r="AG236" t="s">
        <v>43</v>
      </c>
    </row>
    <row r="237" spans="1:33" ht="15" customHeight="1" x14ac:dyDescent="0.35">
      <c r="A237">
        <v>690929</v>
      </c>
      <c r="B237" t="s">
        <v>33</v>
      </c>
      <c r="C237" t="s">
        <v>34</v>
      </c>
      <c r="D237" s="6" t="s">
        <v>33</v>
      </c>
      <c r="E237" t="s">
        <v>821</v>
      </c>
      <c r="F237" t="s">
        <v>36</v>
      </c>
      <c r="G237" t="s">
        <v>37</v>
      </c>
      <c r="H237" t="s">
        <v>822</v>
      </c>
      <c r="I237" t="s">
        <v>39</v>
      </c>
      <c r="J237">
        <v>2</v>
      </c>
      <c r="K237" t="s">
        <v>40</v>
      </c>
      <c r="L237" t="s">
        <v>41</v>
      </c>
      <c r="M237" t="s">
        <v>42</v>
      </c>
      <c r="N237" s="7">
        <v>1</v>
      </c>
      <c r="O237" s="8">
        <v>45087.600763888891</v>
      </c>
      <c r="P237" s="9">
        <v>45090</v>
      </c>
      <c r="Q237" t="s">
        <v>36</v>
      </c>
      <c r="R237" t="s">
        <v>43</v>
      </c>
      <c r="S237" t="s">
        <v>44</v>
      </c>
      <c r="T237" t="s">
        <v>521</v>
      </c>
      <c r="U237" t="s">
        <v>823</v>
      </c>
      <c r="V237">
        <v>93050</v>
      </c>
      <c r="W237" t="s">
        <v>94</v>
      </c>
      <c r="X237" t="s">
        <v>824</v>
      </c>
      <c r="Y237" t="s">
        <v>48</v>
      </c>
      <c r="Z237" s="12">
        <f>IF(N237&lt;=1,13,IF(N237&lt;=2,23,IF(N237&lt;=3,35,IF(N237&lt;=4,43,IF(N237&lt;=5,53,IF(N237&lt;=6,63,IF(N237&lt;=7,71,IF(N237&lt;=8,79,IF(N237&lt;=9,87,IF(N237&lt;=10,95,IF(N237&lt;=11,105,IF(N237&lt;=12,114,IF(N237&lt;=13,119,IF(N237&lt;=14,127,IF(N237&lt;=15,135,IF(N237&lt;=16,143,IF(N237&lt;=17,153,IF(N237&lt;=18,163,IF(N237&lt;=19,171,IF(N237&lt;=20,185,IF(N237&lt;=21,193,IF(N237&lt;=22,201,IF(N237&lt;=23,210,IF(N237&lt;=24,220,IF(N237&lt;=25,230,IF(N237&lt;=26,240,IF(N237&lt;=27,250,IF(N237&lt;=28,260,IF(N237&lt;=29,270,IF(N237&lt;=30,280,280+10*ROUNDUP(N237-30,0)))))))))))))))))))))))))))))))</f>
        <v>13</v>
      </c>
      <c r="AA237" s="11">
        <v>0</v>
      </c>
      <c r="AB237" s="11">
        <v>0</v>
      </c>
      <c r="AC237" s="11">
        <v>0</v>
      </c>
      <c r="AD237" s="11">
        <v>0</v>
      </c>
      <c r="AE237" s="11">
        <f t="shared" si="21"/>
        <v>0.78</v>
      </c>
      <c r="AF237" s="11">
        <f t="shared" si="22"/>
        <v>13.78</v>
      </c>
      <c r="AG237" t="s">
        <v>94</v>
      </c>
    </row>
    <row r="238" spans="1:33" ht="15" customHeight="1" x14ac:dyDescent="0.35">
      <c r="A238">
        <v>690929</v>
      </c>
      <c r="B238" t="s">
        <v>33</v>
      </c>
      <c r="C238" t="s">
        <v>34</v>
      </c>
      <c r="D238" s="6" t="s">
        <v>33</v>
      </c>
      <c r="E238" t="s">
        <v>825</v>
      </c>
      <c r="F238" t="s">
        <v>36</v>
      </c>
      <c r="G238" t="s">
        <v>37</v>
      </c>
      <c r="H238" t="s">
        <v>826</v>
      </c>
      <c r="I238" t="s">
        <v>39</v>
      </c>
      <c r="J238">
        <v>2</v>
      </c>
      <c r="K238" t="s">
        <v>40</v>
      </c>
      <c r="L238" t="s">
        <v>41</v>
      </c>
      <c r="M238" t="s">
        <v>42</v>
      </c>
      <c r="N238" s="7">
        <v>1</v>
      </c>
      <c r="O238" s="8">
        <v>45089.525150462963</v>
      </c>
      <c r="P238" s="9">
        <v>45091</v>
      </c>
      <c r="Q238" t="s">
        <v>36</v>
      </c>
      <c r="R238" t="s">
        <v>43</v>
      </c>
      <c r="S238" t="s">
        <v>44</v>
      </c>
      <c r="T238" t="s">
        <v>133</v>
      </c>
      <c r="U238" t="s">
        <v>827</v>
      </c>
      <c r="V238">
        <v>75200</v>
      </c>
      <c r="W238" t="s">
        <v>43</v>
      </c>
      <c r="X238" t="s">
        <v>390</v>
      </c>
      <c r="Y238" t="s">
        <v>48</v>
      </c>
      <c r="Z238" s="10">
        <f t="shared" ref="Z238:Z249" si="26">IF(N238&lt;=1,7,7+0.8*ROUNDUP(N238-1,0))</f>
        <v>7</v>
      </c>
      <c r="AA238" s="11">
        <v>0</v>
      </c>
      <c r="AB238" s="11">
        <v>0</v>
      </c>
      <c r="AC238" s="11">
        <v>0</v>
      </c>
      <c r="AD238" s="11">
        <v>0</v>
      </c>
      <c r="AE238" s="11">
        <f t="shared" si="21"/>
        <v>0.42</v>
      </c>
      <c r="AF238" s="11">
        <f t="shared" si="22"/>
        <v>7.42</v>
      </c>
      <c r="AG238" t="s">
        <v>43</v>
      </c>
    </row>
    <row r="239" spans="1:33" ht="15" customHeight="1" x14ac:dyDescent="0.35">
      <c r="A239">
        <v>690929</v>
      </c>
      <c r="B239" t="s">
        <v>33</v>
      </c>
      <c r="C239" t="s">
        <v>34</v>
      </c>
      <c r="D239" s="6" t="s">
        <v>33</v>
      </c>
      <c r="E239" t="s">
        <v>828</v>
      </c>
      <c r="F239" t="s">
        <v>36</v>
      </c>
      <c r="G239" t="s">
        <v>37</v>
      </c>
      <c r="H239" t="s">
        <v>829</v>
      </c>
      <c r="I239" t="s">
        <v>39</v>
      </c>
      <c r="J239">
        <v>2</v>
      </c>
      <c r="K239" t="s">
        <v>40</v>
      </c>
      <c r="L239" t="s">
        <v>41</v>
      </c>
      <c r="M239" t="s">
        <v>42</v>
      </c>
      <c r="N239" s="7">
        <v>1</v>
      </c>
      <c r="O239" s="8">
        <v>45090.578553240739</v>
      </c>
      <c r="P239" s="9">
        <v>45091</v>
      </c>
      <c r="Q239" t="s">
        <v>36</v>
      </c>
      <c r="R239" t="s">
        <v>43</v>
      </c>
      <c r="S239" t="s">
        <v>44</v>
      </c>
      <c r="T239" t="s">
        <v>118</v>
      </c>
      <c r="U239" t="s">
        <v>830</v>
      </c>
      <c r="V239">
        <v>70400</v>
      </c>
      <c r="W239" t="s">
        <v>43</v>
      </c>
      <c r="X239" t="s">
        <v>292</v>
      </c>
      <c r="Y239" t="s">
        <v>48</v>
      </c>
      <c r="Z239" s="10">
        <f t="shared" si="26"/>
        <v>7</v>
      </c>
      <c r="AA239" s="11">
        <v>0</v>
      </c>
      <c r="AB239" s="11">
        <v>0</v>
      </c>
      <c r="AC239" s="11">
        <v>0</v>
      </c>
      <c r="AD239" s="11">
        <v>0</v>
      </c>
      <c r="AE239" s="11">
        <f t="shared" si="21"/>
        <v>0.42</v>
      </c>
      <c r="AF239" s="11">
        <f t="shared" si="22"/>
        <v>7.42</v>
      </c>
      <c r="AG239" t="s">
        <v>43</v>
      </c>
    </row>
    <row r="240" spans="1:33" ht="15" customHeight="1" x14ac:dyDescent="0.35">
      <c r="A240">
        <v>690929</v>
      </c>
      <c r="B240" t="s">
        <v>33</v>
      </c>
      <c r="C240" t="s">
        <v>34</v>
      </c>
      <c r="D240" s="6" t="s">
        <v>33</v>
      </c>
      <c r="E240" t="s">
        <v>831</v>
      </c>
      <c r="F240" t="s">
        <v>36</v>
      </c>
      <c r="G240" t="s">
        <v>37</v>
      </c>
      <c r="H240" t="s">
        <v>832</v>
      </c>
      <c r="I240" t="s">
        <v>39</v>
      </c>
      <c r="J240">
        <v>2</v>
      </c>
      <c r="K240" t="s">
        <v>40</v>
      </c>
      <c r="L240" t="s">
        <v>41</v>
      </c>
      <c r="M240" t="s">
        <v>42</v>
      </c>
      <c r="N240" s="7">
        <v>1</v>
      </c>
      <c r="O240" s="8">
        <v>45090.712546296294</v>
      </c>
      <c r="P240" s="9">
        <v>45091</v>
      </c>
      <c r="Q240" t="s">
        <v>36</v>
      </c>
      <c r="R240" t="s">
        <v>43</v>
      </c>
      <c r="S240" t="s">
        <v>44</v>
      </c>
      <c r="T240" t="s">
        <v>45</v>
      </c>
      <c r="U240" t="s">
        <v>833</v>
      </c>
      <c r="V240">
        <v>43000</v>
      </c>
      <c r="W240" t="s">
        <v>43</v>
      </c>
      <c r="X240" t="s">
        <v>80</v>
      </c>
      <c r="Y240" t="s">
        <v>48</v>
      </c>
      <c r="Z240" s="10">
        <f t="shared" si="26"/>
        <v>7</v>
      </c>
      <c r="AA240" s="11">
        <v>0</v>
      </c>
      <c r="AB240" s="11">
        <v>0</v>
      </c>
      <c r="AC240" s="11">
        <v>0</v>
      </c>
      <c r="AD240" s="11">
        <v>0</v>
      </c>
      <c r="AE240" s="11">
        <f t="shared" si="21"/>
        <v>0.42</v>
      </c>
      <c r="AF240" s="11">
        <f t="shared" si="22"/>
        <v>7.42</v>
      </c>
      <c r="AG240" t="s">
        <v>43</v>
      </c>
    </row>
    <row r="241" spans="1:33" ht="15" customHeight="1" x14ac:dyDescent="0.35">
      <c r="A241">
        <v>690929</v>
      </c>
      <c r="B241" t="s">
        <v>33</v>
      </c>
      <c r="C241" t="s">
        <v>34</v>
      </c>
      <c r="D241" s="6" t="s">
        <v>33</v>
      </c>
      <c r="E241" t="s">
        <v>834</v>
      </c>
      <c r="F241" t="s">
        <v>36</v>
      </c>
      <c r="G241" t="s">
        <v>37</v>
      </c>
      <c r="H241" t="s">
        <v>835</v>
      </c>
      <c r="I241" t="s">
        <v>39</v>
      </c>
      <c r="J241">
        <v>2</v>
      </c>
      <c r="K241" t="s">
        <v>40</v>
      </c>
      <c r="L241" t="s">
        <v>41</v>
      </c>
      <c r="M241" t="s">
        <v>42</v>
      </c>
      <c r="N241" s="7">
        <v>4</v>
      </c>
      <c r="O241" s="8">
        <v>45090.660196759258</v>
      </c>
      <c r="P241" s="9">
        <v>45091</v>
      </c>
      <c r="Q241" t="s">
        <v>36</v>
      </c>
      <c r="R241" t="s">
        <v>43</v>
      </c>
      <c r="S241" t="s">
        <v>44</v>
      </c>
      <c r="T241" t="s">
        <v>106</v>
      </c>
      <c r="U241" t="s">
        <v>836</v>
      </c>
      <c r="V241">
        <v>25000</v>
      </c>
      <c r="W241" t="s">
        <v>43</v>
      </c>
      <c r="X241" t="s">
        <v>386</v>
      </c>
      <c r="Y241" t="s">
        <v>48</v>
      </c>
      <c r="Z241" s="10">
        <f t="shared" si="26"/>
        <v>9.4</v>
      </c>
      <c r="AA241" s="11">
        <v>0</v>
      </c>
      <c r="AB241" s="11">
        <v>0</v>
      </c>
      <c r="AC241" s="11">
        <v>0</v>
      </c>
      <c r="AD241" s="11">
        <v>0</v>
      </c>
      <c r="AE241" s="11">
        <f t="shared" si="21"/>
        <v>0.56399999999999995</v>
      </c>
      <c r="AF241" s="11">
        <f t="shared" si="22"/>
        <v>9.9640000000000004</v>
      </c>
      <c r="AG241" t="s">
        <v>43</v>
      </c>
    </row>
    <row r="242" spans="1:33" ht="15" customHeight="1" x14ac:dyDescent="0.35">
      <c r="A242">
        <v>690929</v>
      </c>
      <c r="B242" t="s">
        <v>33</v>
      </c>
      <c r="C242" t="s">
        <v>34</v>
      </c>
      <c r="D242" s="6" t="s">
        <v>33</v>
      </c>
      <c r="E242" t="s">
        <v>837</v>
      </c>
      <c r="F242" t="s">
        <v>36</v>
      </c>
      <c r="G242" t="s">
        <v>37</v>
      </c>
      <c r="H242" t="s">
        <v>838</v>
      </c>
      <c r="I242" t="s">
        <v>39</v>
      </c>
      <c r="J242">
        <v>2</v>
      </c>
      <c r="K242" t="s">
        <v>40</v>
      </c>
      <c r="L242" t="s">
        <v>41</v>
      </c>
      <c r="M242" t="s">
        <v>42</v>
      </c>
      <c r="N242" s="7">
        <v>5</v>
      </c>
      <c r="O242" s="8">
        <v>45090.615891203706</v>
      </c>
      <c r="P242" s="9">
        <v>45091</v>
      </c>
      <c r="Q242" t="s">
        <v>36</v>
      </c>
      <c r="R242" t="s">
        <v>43</v>
      </c>
      <c r="S242" t="s">
        <v>44</v>
      </c>
      <c r="T242" t="s">
        <v>106</v>
      </c>
      <c r="U242" t="s">
        <v>839</v>
      </c>
      <c r="V242">
        <v>26090</v>
      </c>
      <c r="W242" t="s">
        <v>43</v>
      </c>
      <c r="X242" t="s">
        <v>386</v>
      </c>
      <c r="Y242" t="s">
        <v>48</v>
      </c>
      <c r="Z242" s="10">
        <f t="shared" si="26"/>
        <v>10.199999999999999</v>
      </c>
      <c r="AA242" s="11">
        <v>0</v>
      </c>
      <c r="AB242" s="11">
        <v>0</v>
      </c>
      <c r="AC242" s="11">
        <v>0</v>
      </c>
      <c r="AD242" s="11">
        <v>0</v>
      </c>
      <c r="AE242" s="11">
        <f t="shared" si="21"/>
        <v>0.61199999999999999</v>
      </c>
      <c r="AF242" s="11">
        <f t="shared" si="22"/>
        <v>10.811999999999999</v>
      </c>
      <c r="AG242" t="s">
        <v>43</v>
      </c>
    </row>
    <row r="243" spans="1:33" ht="15" customHeight="1" x14ac:dyDescent="0.35">
      <c r="A243">
        <v>690929</v>
      </c>
      <c r="B243" t="s">
        <v>33</v>
      </c>
      <c r="C243" t="s">
        <v>34</v>
      </c>
      <c r="D243" s="6" t="s">
        <v>33</v>
      </c>
      <c r="E243" t="s">
        <v>840</v>
      </c>
      <c r="F243" t="s">
        <v>36</v>
      </c>
      <c r="G243" t="s">
        <v>37</v>
      </c>
      <c r="H243" t="s">
        <v>841</v>
      </c>
      <c r="I243" t="s">
        <v>39</v>
      </c>
      <c r="J243">
        <v>2</v>
      </c>
      <c r="K243" t="s">
        <v>40</v>
      </c>
      <c r="L243" t="s">
        <v>41</v>
      </c>
      <c r="M243" t="s">
        <v>42</v>
      </c>
      <c r="N243" s="7">
        <v>1</v>
      </c>
      <c r="O243" s="8">
        <v>45090.617314814815</v>
      </c>
      <c r="P243" s="9">
        <v>45091</v>
      </c>
      <c r="Q243" t="s">
        <v>36</v>
      </c>
      <c r="R243" t="s">
        <v>43</v>
      </c>
      <c r="S243" t="s">
        <v>44</v>
      </c>
      <c r="T243" t="s">
        <v>45</v>
      </c>
      <c r="U243" t="s">
        <v>842</v>
      </c>
      <c r="V243">
        <v>42200</v>
      </c>
      <c r="W243" t="s">
        <v>43</v>
      </c>
      <c r="X243" t="s">
        <v>843</v>
      </c>
      <c r="Y243" t="s">
        <v>48</v>
      </c>
      <c r="Z243" s="10">
        <f t="shared" si="26"/>
        <v>7</v>
      </c>
      <c r="AA243" s="11">
        <v>0</v>
      </c>
      <c r="AB243" s="11">
        <v>0</v>
      </c>
      <c r="AC243" s="11">
        <v>0</v>
      </c>
      <c r="AD243" s="11">
        <v>0</v>
      </c>
      <c r="AE243" s="11">
        <f t="shared" si="21"/>
        <v>0.42</v>
      </c>
      <c r="AF243" s="11">
        <f t="shared" si="22"/>
        <v>7.42</v>
      </c>
      <c r="AG243" t="s">
        <v>43</v>
      </c>
    </row>
    <row r="244" spans="1:33" ht="15" customHeight="1" x14ac:dyDescent="0.35">
      <c r="A244">
        <v>690929</v>
      </c>
      <c r="B244" t="s">
        <v>33</v>
      </c>
      <c r="C244" t="s">
        <v>34</v>
      </c>
      <c r="D244" s="6" t="s">
        <v>33</v>
      </c>
      <c r="E244" t="s">
        <v>844</v>
      </c>
      <c r="F244" t="s">
        <v>36</v>
      </c>
      <c r="G244" t="s">
        <v>37</v>
      </c>
      <c r="H244" t="s">
        <v>220</v>
      </c>
      <c r="I244" t="s">
        <v>39</v>
      </c>
      <c r="J244">
        <v>2</v>
      </c>
      <c r="K244" t="s">
        <v>40</v>
      </c>
      <c r="L244" t="s">
        <v>41</v>
      </c>
      <c r="M244" t="s">
        <v>42</v>
      </c>
      <c r="N244" s="7">
        <v>3</v>
      </c>
      <c r="O244" s="8">
        <v>45089.715081018519</v>
      </c>
      <c r="P244" s="9">
        <v>45091</v>
      </c>
      <c r="Q244" t="s">
        <v>36</v>
      </c>
      <c r="R244" t="s">
        <v>43</v>
      </c>
      <c r="S244" t="s">
        <v>44</v>
      </c>
      <c r="T244" t="s">
        <v>106</v>
      </c>
      <c r="U244" t="s">
        <v>221</v>
      </c>
      <c r="V244">
        <v>39100</v>
      </c>
      <c r="W244" t="s">
        <v>43</v>
      </c>
      <c r="X244" t="s">
        <v>67</v>
      </c>
      <c r="Y244" t="s">
        <v>48</v>
      </c>
      <c r="Z244" s="10">
        <f t="shared" si="26"/>
        <v>8.6</v>
      </c>
      <c r="AA244" s="11">
        <v>0</v>
      </c>
      <c r="AB244" s="11">
        <v>0</v>
      </c>
      <c r="AC244" s="11">
        <v>0</v>
      </c>
      <c r="AD244" s="11">
        <v>0</v>
      </c>
      <c r="AE244" s="11">
        <f t="shared" si="21"/>
        <v>0.51600000000000001</v>
      </c>
      <c r="AF244" s="11">
        <f t="shared" si="22"/>
        <v>9.1159999999999997</v>
      </c>
      <c r="AG244" t="s">
        <v>43</v>
      </c>
    </row>
    <row r="245" spans="1:33" ht="15" customHeight="1" x14ac:dyDescent="0.35">
      <c r="A245">
        <v>690929</v>
      </c>
      <c r="B245" t="s">
        <v>33</v>
      </c>
      <c r="C245" t="s">
        <v>34</v>
      </c>
      <c r="D245" s="6" t="s">
        <v>33</v>
      </c>
      <c r="E245" t="s">
        <v>845</v>
      </c>
      <c r="F245" t="s">
        <v>36</v>
      </c>
      <c r="G245" t="s">
        <v>37</v>
      </c>
      <c r="H245" t="s">
        <v>846</v>
      </c>
      <c r="I245" t="s">
        <v>39</v>
      </c>
      <c r="J245">
        <v>2</v>
      </c>
      <c r="K245" t="s">
        <v>40</v>
      </c>
      <c r="L245" t="s">
        <v>41</v>
      </c>
      <c r="M245" t="s">
        <v>42</v>
      </c>
      <c r="N245" s="7">
        <v>2</v>
      </c>
      <c r="O245" s="8">
        <v>45090.613692129627</v>
      </c>
      <c r="P245" s="9">
        <v>45091</v>
      </c>
      <c r="Q245" t="s">
        <v>36</v>
      </c>
      <c r="R245" t="s">
        <v>43</v>
      </c>
      <c r="S245" t="s">
        <v>44</v>
      </c>
      <c r="T245" t="s">
        <v>45</v>
      </c>
      <c r="U245" t="s">
        <v>847</v>
      </c>
      <c r="V245">
        <v>47130</v>
      </c>
      <c r="W245" t="s">
        <v>43</v>
      </c>
      <c r="X245" t="s">
        <v>272</v>
      </c>
      <c r="Y245" t="s">
        <v>48</v>
      </c>
      <c r="Z245" s="10">
        <f t="shared" si="26"/>
        <v>7.8</v>
      </c>
      <c r="AA245" s="11">
        <v>0</v>
      </c>
      <c r="AB245" s="11">
        <v>0</v>
      </c>
      <c r="AC245" s="11">
        <v>0</v>
      </c>
      <c r="AD245" s="11">
        <v>0</v>
      </c>
      <c r="AE245" s="11">
        <f t="shared" si="21"/>
        <v>0.46799999999999997</v>
      </c>
      <c r="AF245" s="11">
        <f t="shared" si="22"/>
        <v>8.2680000000000007</v>
      </c>
      <c r="AG245" t="s">
        <v>43</v>
      </c>
    </row>
    <row r="246" spans="1:33" ht="15" customHeight="1" x14ac:dyDescent="0.35">
      <c r="A246">
        <v>690929</v>
      </c>
      <c r="B246" t="s">
        <v>33</v>
      </c>
      <c r="C246" t="s">
        <v>34</v>
      </c>
      <c r="D246" s="6" t="s">
        <v>33</v>
      </c>
      <c r="E246" t="s">
        <v>848</v>
      </c>
      <c r="F246" t="s">
        <v>36</v>
      </c>
      <c r="G246" t="s">
        <v>37</v>
      </c>
      <c r="H246" t="s">
        <v>849</v>
      </c>
      <c r="I246" t="s">
        <v>39</v>
      </c>
      <c r="J246">
        <v>2</v>
      </c>
      <c r="K246" t="s">
        <v>40</v>
      </c>
      <c r="L246" t="s">
        <v>41</v>
      </c>
      <c r="M246" t="s">
        <v>42</v>
      </c>
      <c r="N246" s="7">
        <v>1</v>
      </c>
      <c r="O246" s="8">
        <v>45090.544733796298</v>
      </c>
      <c r="P246" s="9">
        <v>45091</v>
      </c>
      <c r="Q246" t="s">
        <v>36</v>
      </c>
      <c r="R246" t="s">
        <v>43</v>
      </c>
      <c r="S246" t="s">
        <v>44</v>
      </c>
      <c r="T246" t="s">
        <v>157</v>
      </c>
      <c r="U246" t="s">
        <v>850</v>
      </c>
      <c r="V246">
        <v>16390</v>
      </c>
      <c r="W246" t="s">
        <v>43</v>
      </c>
      <c r="X246" t="s">
        <v>44</v>
      </c>
      <c r="Y246" t="s">
        <v>48</v>
      </c>
      <c r="Z246" s="10">
        <f t="shared" si="26"/>
        <v>7</v>
      </c>
      <c r="AA246" s="11">
        <v>0</v>
      </c>
      <c r="AB246" s="11">
        <v>0</v>
      </c>
      <c r="AC246" s="11">
        <v>0</v>
      </c>
      <c r="AD246" s="11">
        <v>0</v>
      </c>
      <c r="AE246" s="11">
        <f t="shared" si="21"/>
        <v>0.42</v>
      </c>
      <c r="AF246" s="11">
        <f t="shared" si="22"/>
        <v>7.42</v>
      </c>
      <c r="AG246" t="s">
        <v>43</v>
      </c>
    </row>
    <row r="247" spans="1:33" ht="15" customHeight="1" x14ac:dyDescent="0.35">
      <c r="A247">
        <v>690929</v>
      </c>
      <c r="B247" t="s">
        <v>33</v>
      </c>
      <c r="C247" t="s">
        <v>34</v>
      </c>
      <c r="D247" s="6" t="s">
        <v>33</v>
      </c>
      <c r="E247" t="s">
        <v>851</v>
      </c>
      <c r="F247" t="s">
        <v>36</v>
      </c>
      <c r="G247" t="s">
        <v>37</v>
      </c>
      <c r="H247" t="s">
        <v>852</v>
      </c>
      <c r="I247" t="s">
        <v>39</v>
      </c>
      <c r="J247">
        <v>2</v>
      </c>
      <c r="K247" t="s">
        <v>40</v>
      </c>
      <c r="L247" t="s">
        <v>41</v>
      </c>
      <c r="M247" t="s">
        <v>42</v>
      </c>
      <c r="N247" s="7">
        <v>1</v>
      </c>
      <c r="O247" s="8">
        <v>45090.601458333331</v>
      </c>
      <c r="P247" s="9">
        <v>45091</v>
      </c>
      <c r="Q247" t="s">
        <v>36</v>
      </c>
      <c r="R247" t="s">
        <v>43</v>
      </c>
      <c r="S247" t="s">
        <v>44</v>
      </c>
      <c r="T247" t="s">
        <v>45</v>
      </c>
      <c r="U247" t="s">
        <v>853</v>
      </c>
      <c r="V247">
        <v>45500</v>
      </c>
      <c r="W247" t="s">
        <v>43</v>
      </c>
      <c r="X247" t="s">
        <v>854</v>
      </c>
      <c r="Y247" t="s">
        <v>48</v>
      </c>
      <c r="Z247" s="10">
        <f t="shared" si="26"/>
        <v>7</v>
      </c>
      <c r="AA247" s="11">
        <v>0</v>
      </c>
      <c r="AB247" s="11">
        <v>0</v>
      </c>
      <c r="AC247" s="11">
        <v>0</v>
      </c>
      <c r="AD247" s="11">
        <v>0</v>
      </c>
      <c r="AE247" s="11">
        <f t="shared" si="21"/>
        <v>0.42</v>
      </c>
      <c r="AF247" s="11">
        <f t="shared" si="22"/>
        <v>7.42</v>
      </c>
      <c r="AG247" t="s">
        <v>43</v>
      </c>
    </row>
    <row r="248" spans="1:33" ht="15" customHeight="1" x14ac:dyDescent="0.35">
      <c r="A248">
        <v>690929</v>
      </c>
      <c r="B248" t="s">
        <v>33</v>
      </c>
      <c r="C248" t="s">
        <v>34</v>
      </c>
      <c r="D248" s="6" t="s">
        <v>33</v>
      </c>
      <c r="E248" t="s">
        <v>855</v>
      </c>
      <c r="F248" t="s">
        <v>36</v>
      </c>
      <c r="G248" t="s">
        <v>37</v>
      </c>
      <c r="H248" t="s">
        <v>856</v>
      </c>
      <c r="I248" t="s">
        <v>39</v>
      </c>
      <c r="J248">
        <v>2</v>
      </c>
      <c r="K248" t="s">
        <v>40</v>
      </c>
      <c r="L248" t="s">
        <v>41</v>
      </c>
      <c r="M248" t="s">
        <v>42</v>
      </c>
      <c r="N248" s="7">
        <v>1</v>
      </c>
      <c r="O248" s="8">
        <v>45090.641759259262</v>
      </c>
      <c r="P248" s="9">
        <v>45091</v>
      </c>
      <c r="Q248" t="s">
        <v>36</v>
      </c>
      <c r="R248" t="s">
        <v>43</v>
      </c>
      <c r="S248" t="s">
        <v>44</v>
      </c>
      <c r="T248" t="s">
        <v>157</v>
      </c>
      <c r="U248" t="s">
        <v>857</v>
      </c>
      <c r="V248">
        <v>18300</v>
      </c>
      <c r="W248" t="s">
        <v>43</v>
      </c>
      <c r="X248" t="s">
        <v>44</v>
      </c>
      <c r="Y248" t="s">
        <v>48</v>
      </c>
      <c r="Z248" s="10">
        <f t="shared" si="26"/>
        <v>7</v>
      </c>
      <c r="AA248" s="11">
        <v>0</v>
      </c>
      <c r="AB248" s="11">
        <v>0</v>
      </c>
      <c r="AC248" s="11">
        <v>0</v>
      </c>
      <c r="AD248" s="11">
        <v>0</v>
      </c>
      <c r="AE248" s="11">
        <f t="shared" si="21"/>
        <v>0.42</v>
      </c>
      <c r="AF248" s="11">
        <f t="shared" si="22"/>
        <v>7.42</v>
      </c>
      <c r="AG248" t="s">
        <v>43</v>
      </c>
    </row>
    <row r="249" spans="1:33" ht="15" customHeight="1" x14ac:dyDescent="0.35">
      <c r="A249">
        <v>690929</v>
      </c>
      <c r="B249" t="s">
        <v>33</v>
      </c>
      <c r="C249" t="s">
        <v>34</v>
      </c>
      <c r="D249" s="6" t="s">
        <v>33</v>
      </c>
      <c r="E249" t="s">
        <v>858</v>
      </c>
      <c r="F249" t="s">
        <v>36</v>
      </c>
      <c r="G249" t="s">
        <v>37</v>
      </c>
      <c r="H249" t="s">
        <v>859</v>
      </c>
      <c r="I249" t="s">
        <v>39</v>
      </c>
      <c r="J249">
        <v>2</v>
      </c>
      <c r="K249" t="s">
        <v>40</v>
      </c>
      <c r="L249" t="s">
        <v>41</v>
      </c>
      <c r="M249" t="s">
        <v>42</v>
      </c>
      <c r="N249" s="7">
        <v>1</v>
      </c>
      <c r="O249" s="8">
        <v>45089.72315972222</v>
      </c>
      <c r="P249" s="9">
        <v>45091</v>
      </c>
      <c r="Q249" t="s">
        <v>36</v>
      </c>
      <c r="R249" t="s">
        <v>43</v>
      </c>
      <c r="S249" t="s">
        <v>44</v>
      </c>
      <c r="T249" t="s">
        <v>128</v>
      </c>
      <c r="U249" t="s">
        <v>860</v>
      </c>
      <c r="V249">
        <v>81100</v>
      </c>
      <c r="W249" t="s">
        <v>43</v>
      </c>
      <c r="X249" t="s">
        <v>141</v>
      </c>
      <c r="Y249" t="s">
        <v>48</v>
      </c>
      <c r="Z249" s="10">
        <f t="shared" si="26"/>
        <v>7</v>
      </c>
      <c r="AA249" s="11">
        <v>0</v>
      </c>
      <c r="AB249" s="11">
        <v>0</v>
      </c>
      <c r="AC249" s="11">
        <v>0</v>
      </c>
      <c r="AD249" s="11">
        <v>0</v>
      </c>
      <c r="AE249" s="11">
        <f t="shared" si="21"/>
        <v>0.42</v>
      </c>
      <c r="AF249" s="11">
        <f t="shared" si="22"/>
        <v>7.42</v>
      </c>
      <c r="AG249" t="s">
        <v>43</v>
      </c>
    </row>
    <row r="250" spans="1:33" ht="15" customHeight="1" x14ac:dyDescent="0.35">
      <c r="A250">
        <v>690929</v>
      </c>
      <c r="B250" t="s">
        <v>33</v>
      </c>
      <c r="C250" t="s">
        <v>34</v>
      </c>
      <c r="D250" s="6" t="s">
        <v>33</v>
      </c>
      <c r="E250" t="s">
        <v>861</v>
      </c>
      <c r="F250" t="s">
        <v>36</v>
      </c>
      <c r="G250" t="s">
        <v>37</v>
      </c>
      <c r="H250" t="s">
        <v>862</v>
      </c>
      <c r="I250" t="s">
        <v>39</v>
      </c>
      <c r="J250">
        <v>2</v>
      </c>
      <c r="K250" t="s">
        <v>40</v>
      </c>
      <c r="L250" t="s">
        <v>41</v>
      </c>
      <c r="M250" t="s">
        <v>42</v>
      </c>
      <c r="N250" s="7">
        <v>11</v>
      </c>
      <c r="O250" s="8">
        <v>45090.612060185187</v>
      </c>
      <c r="P250" s="9">
        <v>45092</v>
      </c>
      <c r="Q250" t="s">
        <v>36</v>
      </c>
      <c r="R250" t="s">
        <v>43</v>
      </c>
      <c r="S250" t="s">
        <v>44</v>
      </c>
      <c r="T250" t="s">
        <v>92</v>
      </c>
      <c r="U250" t="s">
        <v>863</v>
      </c>
      <c r="V250">
        <v>91207</v>
      </c>
      <c r="W250" t="s">
        <v>94</v>
      </c>
      <c r="X250" t="s">
        <v>690</v>
      </c>
      <c r="Y250" t="s">
        <v>48</v>
      </c>
      <c r="Z250" s="12">
        <f>IF(N250&lt;=1,13,IF(N250&lt;=2,23,IF(N250&lt;=3,35,IF(N250&lt;=4,43,IF(N250&lt;=5,53,IF(N250&lt;=6,63,IF(N250&lt;=7,71,IF(N250&lt;=8,79,IF(N250&lt;=9,87,IF(N250&lt;=10,95,IF(N250&lt;=11,105,IF(N250&lt;=12,114,IF(N250&lt;=13,119,IF(N250&lt;=14,127,IF(N250&lt;=15,135,IF(N250&lt;=16,143,IF(N250&lt;=17,153,IF(N250&lt;=18,163,IF(N250&lt;=19,171,IF(N250&lt;=20,185,IF(N250&lt;=21,193,IF(N250&lt;=22,201,IF(N250&lt;=23,210,IF(N250&lt;=24,220,IF(N250&lt;=25,230,IF(N250&lt;=26,240,IF(N250&lt;=27,250,IF(N250&lt;=28,260,IF(N250&lt;=29,270,IF(N250&lt;=30,280,280+10*ROUNDUP(N250-30,0)))))))))))))))))))))))))))))))</f>
        <v>105</v>
      </c>
      <c r="AA250" s="11">
        <v>0</v>
      </c>
      <c r="AB250" s="11">
        <v>0</v>
      </c>
      <c r="AC250" s="11">
        <v>0</v>
      </c>
      <c r="AD250" s="11">
        <v>0</v>
      </c>
      <c r="AE250" s="11">
        <f t="shared" si="21"/>
        <v>6.3</v>
      </c>
      <c r="AF250" s="11">
        <f t="shared" si="22"/>
        <v>111.3</v>
      </c>
      <c r="AG250" t="s">
        <v>94</v>
      </c>
    </row>
    <row r="251" spans="1:33" ht="15" customHeight="1" x14ac:dyDescent="0.35">
      <c r="A251">
        <v>690929</v>
      </c>
      <c r="B251" t="s">
        <v>33</v>
      </c>
      <c r="C251" t="s">
        <v>34</v>
      </c>
      <c r="D251" s="6" t="s">
        <v>33</v>
      </c>
      <c r="E251" t="s">
        <v>864</v>
      </c>
      <c r="F251" t="s">
        <v>36</v>
      </c>
      <c r="G251" t="s">
        <v>37</v>
      </c>
      <c r="H251" t="s">
        <v>865</v>
      </c>
      <c r="I251" t="s">
        <v>39</v>
      </c>
      <c r="J251">
        <v>2</v>
      </c>
      <c r="K251" t="s">
        <v>40</v>
      </c>
      <c r="L251" t="s">
        <v>41</v>
      </c>
      <c r="M251" t="s">
        <v>42</v>
      </c>
      <c r="N251" s="7">
        <v>1</v>
      </c>
      <c r="O251" s="8">
        <v>45090.708784722221</v>
      </c>
      <c r="P251" s="9">
        <v>45092</v>
      </c>
      <c r="Q251" t="s">
        <v>36</v>
      </c>
      <c r="R251" t="s">
        <v>43</v>
      </c>
      <c r="S251" t="s">
        <v>44</v>
      </c>
      <c r="T251" t="s">
        <v>92</v>
      </c>
      <c r="U251" t="s">
        <v>866</v>
      </c>
      <c r="V251">
        <v>89808</v>
      </c>
      <c r="W251" t="s">
        <v>94</v>
      </c>
      <c r="X251" t="s">
        <v>434</v>
      </c>
      <c r="Y251" t="s">
        <v>48</v>
      </c>
      <c r="Z251" s="12">
        <f>IF(N251&lt;=1,13,IF(N251&lt;=2,23,IF(N251&lt;=3,35,IF(N251&lt;=4,43,IF(N251&lt;=5,53,IF(N251&lt;=6,63,IF(N251&lt;=7,71,IF(N251&lt;=8,79,IF(N251&lt;=9,87,IF(N251&lt;=10,95,IF(N251&lt;=11,105,IF(N251&lt;=12,114,IF(N251&lt;=13,119,IF(N251&lt;=14,127,IF(N251&lt;=15,135,IF(N251&lt;=16,143,IF(N251&lt;=17,153,IF(N251&lt;=18,163,IF(N251&lt;=19,171,IF(N251&lt;=20,185,IF(N251&lt;=21,193,IF(N251&lt;=22,201,IF(N251&lt;=23,210,IF(N251&lt;=24,220,IF(N251&lt;=25,230,IF(N251&lt;=26,240,IF(N251&lt;=27,250,IF(N251&lt;=28,260,IF(N251&lt;=29,270,IF(N251&lt;=30,280,280+10*ROUNDUP(N251-30,0)))))))))))))))))))))))))))))))</f>
        <v>13</v>
      </c>
      <c r="AA251" s="11">
        <v>0</v>
      </c>
      <c r="AB251" s="11">
        <v>0</v>
      </c>
      <c r="AC251" s="11">
        <v>0</v>
      </c>
      <c r="AD251" s="11">
        <v>0</v>
      </c>
      <c r="AE251" s="11">
        <f t="shared" si="21"/>
        <v>0.78</v>
      </c>
      <c r="AF251" s="11">
        <f t="shared" si="22"/>
        <v>13.78</v>
      </c>
      <c r="AG251" t="s">
        <v>94</v>
      </c>
    </row>
    <row r="252" spans="1:33" ht="15" customHeight="1" x14ac:dyDescent="0.35">
      <c r="A252">
        <v>690929</v>
      </c>
      <c r="B252" t="s">
        <v>33</v>
      </c>
      <c r="C252" t="s">
        <v>34</v>
      </c>
      <c r="D252" s="6" t="s">
        <v>33</v>
      </c>
      <c r="E252" t="s">
        <v>867</v>
      </c>
      <c r="F252" t="s">
        <v>36</v>
      </c>
      <c r="G252" t="s">
        <v>37</v>
      </c>
      <c r="H252" t="s">
        <v>432</v>
      </c>
      <c r="I252" t="s">
        <v>39</v>
      </c>
      <c r="J252">
        <v>2</v>
      </c>
      <c r="K252" t="s">
        <v>40</v>
      </c>
      <c r="L252" t="s">
        <v>41</v>
      </c>
      <c r="M252" t="s">
        <v>42</v>
      </c>
      <c r="N252" s="7">
        <v>1</v>
      </c>
      <c r="O252" s="8">
        <v>45090.708680555559</v>
      </c>
      <c r="P252" s="9">
        <v>45092</v>
      </c>
      <c r="Q252" t="s">
        <v>36</v>
      </c>
      <c r="R252" t="s">
        <v>43</v>
      </c>
      <c r="S252" t="s">
        <v>44</v>
      </c>
      <c r="T252" t="s">
        <v>92</v>
      </c>
      <c r="U252" t="s">
        <v>433</v>
      </c>
      <c r="V252">
        <v>89808</v>
      </c>
      <c r="W252" t="s">
        <v>94</v>
      </c>
      <c r="X252" t="s">
        <v>434</v>
      </c>
      <c r="Y252" t="s">
        <v>48</v>
      </c>
      <c r="Z252" s="12">
        <f>IF(N252&lt;=1,13,IF(N252&lt;=2,23,IF(N252&lt;=3,35,IF(N252&lt;=4,43,IF(N252&lt;=5,53,IF(N252&lt;=6,63,IF(N252&lt;=7,71,IF(N252&lt;=8,79,IF(N252&lt;=9,87,IF(N252&lt;=10,95,IF(N252&lt;=11,105,IF(N252&lt;=12,114,IF(N252&lt;=13,119,IF(N252&lt;=14,127,IF(N252&lt;=15,135,IF(N252&lt;=16,143,IF(N252&lt;=17,153,IF(N252&lt;=18,163,IF(N252&lt;=19,171,IF(N252&lt;=20,185,IF(N252&lt;=21,193,IF(N252&lt;=22,201,IF(N252&lt;=23,210,IF(N252&lt;=24,220,IF(N252&lt;=25,230,IF(N252&lt;=26,240,IF(N252&lt;=27,250,IF(N252&lt;=28,260,IF(N252&lt;=29,270,IF(N252&lt;=30,280,280+10*ROUNDUP(N252-30,0)))))))))))))))))))))))))))))))</f>
        <v>13</v>
      </c>
      <c r="AA252" s="11">
        <v>0</v>
      </c>
      <c r="AB252" s="11">
        <v>0</v>
      </c>
      <c r="AC252" s="11">
        <v>0</v>
      </c>
      <c r="AD252" s="11">
        <v>0</v>
      </c>
      <c r="AE252" s="11">
        <f t="shared" si="21"/>
        <v>0.78</v>
      </c>
      <c r="AF252" s="11">
        <f t="shared" si="22"/>
        <v>13.78</v>
      </c>
      <c r="AG252" t="s">
        <v>94</v>
      </c>
    </row>
    <row r="253" spans="1:33" ht="15" customHeight="1" x14ac:dyDescent="0.35">
      <c r="A253">
        <v>690929</v>
      </c>
      <c r="B253" t="s">
        <v>33</v>
      </c>
      <c r="C253" t="s">
        <v>34</v>
      </c>
      <c r="D253" s="6" t="s">
        <v>33</v>
      </c>
      <c r="E253" t="s">
        <v>868</v>
      </c>
      <c r="F253" t="s">
        <v>36</v>
      </c>
      <c r="G253" t="s">
        <v>37</v>
      </c>
      <c r="H253" t="s">
        <v>869</v>
      </c>
      <c r="I253" t="s">
        <v>39</v>
      </c>
      <c r="J253">
        <v>2</v>
      </c>
      <c r="K253" t="s">
        <v>40</v>
      </c>
      <c r="L253" t="s">
        <v>41</v>
      </c>
      <c r="M253" t="s">
        <v>42</v>
      </c>
      <c r="N253" s="7">
        <v>1</v>
      </c>
      <c r="O253" s="8">
        <v>45089.767962962964</v>
      </c>
      <c r="P253" s="9">
        <v>45092</v>
      </c>
      <c r="Q253" t="s">
        <v>36</v>
      </c>
      <c r="R253" t="s">
        <v>43</v>
      </c>
      <c r="S253" t="s">
        <v>44</v>
      </c>
      <c r="T253" t="s">
        <v>128</v>
      </c>
      <c r="U253" t="s">
        <v>870</v>
      </c>
      <c r="V253">
        <v>86800</v>
      </c>
      <c r="W253" t="s">
        <v>43</v>
      </c>
      <c r="X253" t="s">
        <v>871</v>
      </c>
      <c r="Y253" t="s">
        <v>48</v>
      </c>
      <c r="Z253" s="10">
        <f t="shared" ref="Z253:Z255" si="27">IF(N253&lt;=1,7,7+0.8*ROUNDUP(N253-1,0))</f>
        <v>7</v>
      </c>
      <c r="AA253" s="11">
        <v>0</v>
      </c>
      <c r="AB253" s="11">
        <v>0</v>
      </c>
      <c r="AC253" s="11">
        <v>0</v>
      </c>
      <c r="AD253" s="11">
        <v>0</v>
      </c>
      <c r="AE253" s="11">
        <f t="shared" si="21"/>
        <v>0.42</v>
      </c>
      <c r="AF253" s="11">
        <f t="shared" si="22"/>
        <v>7.42</v>
      </c>
      <c r="AG253" t="s">
        <v>43</v>
      </c>
    </row>
    <row r="254" spans="1:33" ht="15" customHeight="1" x14ac:dyDescent="0.35">
      <c r="A254">
        <v>690929</v>
      </c>
      <c r="B254" t="s">
        <v>33</v>
      </c>
      <c r="C254" t="s">
        <v>34</v>
      </c>
      <c r="D254" s="6" t="s">
        <v>33</v>
      </c>
      <c r="E254" t="s">
        <v>872</v>
      </c>
      <c r="F254" t="s">
        <v>36</v>
      </c>
      <c r="G254" t="s">
        <v>37</v>
      </c>
      <c r="H254" t="s">
        <v>873</v>
      </c>
      <c r="I254" t="s">
        <v>39</v>
      </c>
      <c r="J254">
        <v>2</v>
      </c>
      <c r="K254" t="s">
        <v>40</v>
      </c>
      <c r="L254" t="s">
        <v>41</v>
      </c>
      <c r="M254" t="s">
        <v>42</v>
      </c>
      <c r="N254" s="7">
        <v>3</v>
      </c>
      <c r="O254" s="8">
        <v>45091.670335648145</v>
      </c>
      <c r="P254" s="9">
        <v>45092</v>
      </c>
      <c r="Q254" t="s">
        <v>36</v>
      </c>
      <c r="R254" t="s">
        <v>43</v>
      </c>
      <c r="S254" t="s">
        <v>44</v>
      </c>
      <c r="T254" t="s">
        <v>45</v>
      </c>
      <c r="U254" t="s">
        <v>874</v>
      </c>
      <c r="V254">
        <v>42300</v>
      </c>
      <c r="W254" t="s">
        <v>43</v>
      </c>
      <c r="X254" t="s">
        <v>67</v>
      </c>
      <c r="Y254" t="s">
        <v>48</v>
      </c>
      <c r="Z254" s="10">
        <f t="shared" si="27"/>
        <v>8.6</v>
      </c>
      <c r="AA254" s="11">
        <v>0</v>
      </c>
      <c r="AB254" s="11">
        <v>0</v>
      </c>
      <c r="AC254" s="11">
        <v>0</v>
      </c>
      <c r="AD254" s="11">
        <v>0</v>
      </c>
      <c r="AE254" s="11">
        <f t="shared" si="21"/>
        <v>0.51600000000000001</v>
      </c>
      <c r="AF254" s="11">
        <f t="shared" si="22"/>
        <v>9.1159999999999997</v>
      </c>
      <c r="AG254" t="s">
        <v>43</v>
      </c>
    </row>
    <row r="255" spans="1:33" ht="15" customHeight="1" x14ac:dyDescent="0.35">
      <c r="A255">
        <v>690929</v>
      </c>
      <c r="B255" t="s">
        <v>33</v>
      </c>
      <c r="C255" t="s">
        <v>34</v>
      </c>
      <c r="D255" s="6" t="s">
        <v>33</v>
      </c>
      <c r="E255" t="s">
        <v>875</v>
      </c>
      <c r="F255" t="s">
        <v>36</v>
      </c>
      <c r="G255" t="s">
        <v>37</v>
      </c>
      <c r="H255" t="s">
        <v>876</v>
      </c>
      <c r="I255" t="s">
        <v>39</v>
      </c>
      <c r="J255">
        <v>2</v>
      </c>
      <c r="K255" t="s">
        <v>40</v>
      </c>
      <c r="L255" t="s">
        <v>41</v>
      </c>
      <c r="M255" t="s">
        <v>42</v>
      </c>
      <c r="N255" s="7">
        <v>8</v>
      </c>
      <c r="O255" s="8">
        <v>45091.69734953704</v>
      </c>
      <c r="P255" s="9">
        <v>45092</v>
      </c>
      <c r="Q255" t="s">
        <v>36</v>
      </c>
      <c r="R255" t="s">
        <v>43</v>
      </c>
      <c r="S255" t="s">
        <v>44</v>
      </c>
      <c r="T255" t="s">
        <v>45</v>
      </c>
      <c r="U255" t="s">
        <v>877</v>
      </c>
      <c r="V255">
        <v>40200</v>
      </c>
      <c r="W255" t="s">
        <v>43</v>
      </c>
      <c r="X255" t="s">
        <v>296</v>
      </c>
      <c r="Y255" t="s">
        <v>48</v>
      </c>
      <c r="Z255" s="10">
        <f t="shared" si="27"/>
        <v>12.600000000000001</v>
      </c>
      <c r="AA255" s="11">
        <v>0</v>
      </c>
      <c r="AB255" s="11">
        <v>0</v>
      </c>
      <c r="AC255" s="11">
        <v>0</v>
      </c>
      <c r="AD255" s="11">
        <v>0</v>
      </c>
      <c r="AE255" s="11">
        <f t="shared" si="21"/>
        <v>0.75600000000000001</v>
      </c>
      <c r="AF255" s="11">
        <f t="shared" si="22"/>
        <v>13.356000000000002</v>
      </c>
      <c r="AG255" t="s">
        <v>43</v>
      </c>
    </row>
    <row r="256" spans="1:33" ht="15" customHeight="1" x14ac:dyDescent="0.35">
      <c r="A256">
        <v>690929</v>
      </c>
      <c r="B256" t="s">
        <v>33</v>
      </c>
      <c r="C256" t="s">
        <v>34</v>
      </c>
      <c r="D256" s="6" t="s">
        <v>33</v>
      </c>
      <c r="E256" t="s">
        <v>878</v>
      </c>
      <c r="F256" t="s">
        <v>36</v>
      </c>
      <c r="G256" t="s">
        <v>37</v>
      </c>
      <c r="H256" t="s">
        <v>879</v>
      </c>
      <c r="I256" t="s">
        <v>39</v>
      </c>
      <c r="J256">
        <v>2</v>
      </c>
      <c r="K256" t="s">
        <v>40</v>
      </c>
      <c r="L256" t="s">
        <v>41</v>
      </c>
      <c r="M256" t="s">
        <v>42</v>
      </c>
      <c r="N256" s="7">
        <v>2</v>
      </c>
      <c r="O256" s="8">
        <v>45089.424490740741</v>
      </c>
      <c r="P256" s="9">
        <v>45092</v>
      </c>
      <c r="Q256" t="s">
        <v>36</v>
      </c>
      <c r="R256" t="s">
        <v>43</v>
      </c>
      <c r="S256" t="s">
        <v>44</v>
      </c>
      <c r="T256" t="s">
        <v>521</v>
      </c>
      <c r="U256" t="s">
        <v>880</v>
      </c>
      <c r="V256">
        <v>96000</v>
      </c>
      <c r="W256" t="s">
        <v>94</v>
      </c>
      <c r="X256" t="s">
        <v>881</v>
      </c>
      <c r="Y256" t="s">
        <v>48</v>
      </c>
      <c r="Z256" s="12">
        <f>IF(N256&lt;=1,13,IF(N256&lt;=2,23,IF(N256&lt;=3,35,IF(N256&lt;=4,43,IF(N256&lt;=5,53,IF(N256&lt;=6,63,IF(N256&lt;=7,71,IF(N256&lt;=8,79,IF(N256&lt;=9,87,IF(N256&lt;=10,95,IF(N256&lt;=11,105,IF(N256&lt;=12,114,IF(N256&lt;=13,119,IF(N256&lt;=14,127,IF(N256&lt;=15,135,IF(N256&lt;=16,143,IF(N256&lt;=17,153,IF(N256&lt;=18,163,IF(N256&lt;=19,171,IF(N256&lt;=20,185,IF(N256&lt;=21,193,IF(N256&lt;=22,201,IF(N256&lt;=23,210,IF(N256&lt;=24,220,IF(N256&lt;=25,230,IF(N256&lt;=26,240,IF(N256&lt;=27,250,IF(N256&lt;=28,260,IF(N256&lt;=29,270,IF(N256&lt;=30,280,280+10*ROUNDUP(N256-30,0)))))))))))))))))))))))))))))))</f>
        <v>23</v>
      </c>
      <c r="AA256" s="11">
        <v>0</v>
      </c>
      <c r="AB256" s="11">
        <v>0</v>
      </c>
      <c r="AC256" s="11">
        <v>0</v>
      </c>
      <c r="AD256" s="11">
        <v>0</v>
      </c>
      <c r="AE256" s="11">
        <f t="shared" si="21"/>
        <v>1.38</v>
      </c>
      <c r="AF256" s="11">
        <f t="shared" si="22"/>
        <v>24.38</v>
      </c>
      <c r="AG256" t="s">
        <v>94</v>
      </c>
    </row>
    <row r="257" spans="1:33" ht="15" customHeight="1" x14ac:dyDescent="0.35">
      <c r="A257">
        <v>690929</v>
      </c>
      <c r="B257" t="s">
        <v>33</v>
      </c>
      <c r="C257" t="s">
        <v>34</v>
      </c>
      <c r="D257" s="6" t="s">
        <v>33</v>
      </c>
      <c r="E257" t="s">
        <v>882</v>
      </c>
      <c r="F257" t="s">
        <v>36</v>
      </c>
      <c r="G257" t="s">
        <v>37</v>
      </c>
      <c r="H257" t="s">
        <v>883</v>
      </c>
      <c r="I257" t="s">
        <v>39</v>
      </c>
      <c r="J257">
        <v>2</v>
      </c>
      <c r="K257" t="s">
        <v>40</v>
      </c>
      <c r="L257" t="s">
        <v>41</v>
      </c>
      <c r="M257" t="s">
        <v>42</v>
      </c>
      <c r="N257" s="7">
        <v>1</v>
      </c>
      <c r="O257" s="8">
        <v>45091.623217592591</v>
      </c>
      <c r="P257" s="9">
        <v>45092</v>
      </c>
      <c r="Q257" t="s">
        <v>36</v>
      </c>
      <c r="R257" t="s">
        <v>43</v>
      </c>
      <c r="S257" t="s">
        <v>44</v>
      </c>
      <c r="T257" t="s">
        <v>45</v>
      </c>
      <c r="U257" t="s">
        <v>884</v>
      </c>
      <c r="V257">
        <v>43000</v>
      </c>
      <c r="W257" t="s">
        <v>43</v>
      </c>
      <c r="X257" t="s">
        <v>52</v>
      </c>
      <c r="Y257" t="s">
        <v>48</v>
      </c>
      <c r="Z257" s="10">
        <f t="shared" ref="Z257:Z277" si="28">IF(N257&lt;=1,7,7+0.8*ROUNDUP(N257-1,0))</f>
        <v>7</v>
      </c>
      <c r="AA257" s="11">
        <v>0</v>
      </c>
      <c r="AB257" s="11">
        <v>0</v>
      </c>
      <c r="AC257" s="11">
        <v>0</v>
      </c>
      <c r="AD257" s="11">
        <v>0</v>
      </c>
      <c r="AE257" s="11">
        <f t="shared" si="21"/>
        <v>0.42</v>
      </c>
      <c r="AF257" s="11">
        <f t="shared" si="22"/>
        <v>7.42</v>
      </c>
      <c r="AG257" t="s">
        <v>43</v>
      </c>
    </row>
    <row r="258" spans="1:33" ht="15" customHeight="1" x14ac:dyDescent="0.35">
      <c r="A258">
        <v>690929</v>
      </c>
      <c r="B258" t="s">
        <v>33</v>
      </c>
      <c r="C258" t="s">
        <v>34</v>
      </c>
      <c r="D258" s="6" t="s">
        <v>33</v>
      </c>
      <c r="E258" t="s">
        <v>885</v>
      </c>
      <c r="F258" t="s">
        <v>36</v>
      </c>
      <c r="G258" t="s">
        <v>37</v>
      </c>
      <c r="H258" t="s">
        <v>886</v>
      </c>
      <c r="I258" t="s">
        <v>39</v>
      </c>
      <c r="J258">
        <v>2</v>
      </c>
      <c r="K258" t="s">
        <v>40</v>
      </c>
      <c r="L258" t="s">
        <v>41</v>
      </c>
      <c r="M258" t="s">
        <v>42</v>
      </c>
      <c r="N258" s="7">
        <v>1</v>
      </c>
      <c r="O258" s="8">
        <v>45091.532777777778</v>
      </c>
      <c r="P258" s="9">
        <v>45092</v>
      </c>
      <c r="Q258" t="s">
        <v>36</v>
      </c>
      <c r="R258" t="s">
        <v>43</v>
      </c>
      <c r="S258" t="s">
        <v>44</v>
      </c>
      <c r="T258" t="s">
        <v>157</v>
      </c>
      <c r="U258" t="s">
        <v>887</v>
      </c>
      <c r="V258">
        <v>16040</v>
      </c>
      <c r="W258" t="s">
        <v>43</v>
      </c>
      <c r="X258" t="s">
        <v>44</v>
      </c>
      <c r="Y258" t="s">
        <v>48</v>
      </c>
      <c r="Z258" s="10">
        <f t="shared" si="28"/>
        <v>7</v>
      </c>
      <c r="AA258" s="11">
        <v>0</v>
      </c>
      <c r="AB258" s="11">
        <v>0</v>
      </c>
      <c r="AC258" s="11">
        <v>0</v>
      </c>
      <c r="AD258" s="11">
        <v>0</v>
      </c>
      <c r="AE258" s="11">
        <f t="shared" ref="AE258:AE295" si="29">(Z258+AB258+AD258)*6%</f>
        <v>0.42</v>
      </c>
      <c r="AF258" s="11">
        <f t="shared" ref="AF258:AF295" si="30">Z258+AB258+AD258+AE258</f>
        <v>7.42</v>
      </c>
      <c r="AG258" t="s">
        <v>43</v>
      </c>
    </row>
    <row r="259" spans="1:33" ht="15" customHeight="1" x14ac:dyDescent="0.35">
      <c r="A259">
        <v>690929</v>
      </c>
      <c r="B259" t="s">
        <v>33</v>
      </c>
      <c r="C259" t="s">
        <v>34</v>
      </c>
      <c r="D259" s="6" t="s">
        <v>33</v>
      </c>
      <c r="E259" t="s">
        <v>888</v>
      </c>
      <c r="F259" t="s">
        <v>36</v>
      </c>
      <c r="G259" t="s">
        <v>37</v>
      </c>
      <c r="H259" t="s">
        <v>889</v>
      </c>
      <c r="I259" t="s">
        <v>39</v>
      </c>
      <c r="J259">
        <v>2</v>
      </c>
      <c r="K259" t="s">
        <v>40</v>
      </c>
      <c r="L259" t="s">
        <v>41</v>
      </c>
      <c r="M259" t="s">
        <v>42</v>
      </c>
      <c r="N259" s="7">
        <v>2</v>
      </c>
      <c r="O259" s="8">
        <v>45091.70076388889</v>
      </c>
      <c r="P259" s="9">
        <v>45092</v>
      </c>
      <c r="Q259" t="s">
        <v>36</v>
      </c>
      <c r="R259" t="s">
        <v>43</v>
      </c>
      <c r="S259" t="s">
        <v>44</v>
      </c>
      <c r="T259" t="s">
        <v>45</v>
      </c>
      <c r="U259" t="s">
        <v>890</v>
      </c>
      <c r="V259">
        <v>43500</v>
      </c>
      <c r="W259" t="s">
        <v>43</v>
      </c>
      <c r="X259" t="s">
        <v>281</v>
      </c>
      <c r="Y259" t="s">
        <v>48</v>
      </c>
      <c r="Z259" s="10">
        <f t="shared" si="28"/>
        <v>7.8</v>
      </c>
      <c r="AA259" s="11">
        <v>0</v>
      </c>
      <c r="AB259" s="11">
        <v>0</v>
      </c>
      <c r="AC259" s="11">
        <v>0</v>
      </c>
      <c r="AD259" s="11">
        <v>0</v>
      </c>
      <c r="AE259" s="11">
        <f t="shared" si="29"/>
        <v>0.46799999999999997</v>
      </c>
      <c r="AF259" s="11">
        <f t="shared" si="30"/>
        <v>8.2680000000000007</v>
      </c>
      <c r="AG259" t="s">
        <v>43</v>
      </c>
    </row>
    <row r="260" spans="1:33" ht="15" customHeight="1" x14ac:dyDescent="0.35">
      <c r="A260">
        <v>690929</v>
      </c>
      <c r="B260" t="s">
        <v>33</v>
      </c>
      <c r="C260" t="s">
        <v>34</v>
      </c>
      <c r="D260" s="6" t="s">
        <v>33</v>
      </c>
      <c r="E260" t="s">
        <v>891</v>
      </c>
      <c r="F260" t="s">
        <v>36</v>
      </c>
      <c r="G260" t="s">
        <v>37</v>
      </c>
      <c r="H260" t="s">
        <v>892</v>
      </c>
      <c r="I260" t="s">
        <v>39</v>
      </c>
      <c r="J260">
        <v>2</v>
      </c>
      <c r="K260" t="s">
        <v>40</v>
      </c>
      <c r="L260" t="s">
        <v>41</v>
      </c>
      <c r="M260" t="s">
        <v>42</v>
      </c>
      <c r="N260" s="7">
        <v>5</v>
      </c>
      <c r="O260" s="8">
        <v>45091.665578703702</v>
      </c>
      <c r="P260" s="9">
        <v>45093</v>
      </c>
      <c r="Q260" t="s">
        <v>36</v>
      </c>
      <c r="R260" t="s">
        <v>43</v>
      </c>
      <c r="S260" t="s">
        <v>44</v>
      </c>
      <c r="T260" t="s">
        <v>124</v>
      </c>
      <c r="U260" t="s">
        <v>893</v>
      </c>
      <c r="V260">
        <v>31200</v>
      </c>
      <c r="W260" t="s">
        <v>43</v>
      </c>
      <c r="X260" t="s">
        <v>894</v>
      </c>
      <c r="Y260" t="s">
        <v>48</v>
      </c>
      <c r="Z260" s="10">
        <f t="shared" si="28"/>
        <v>10.199999999999999</v>
      </c>
      <c r="AA260" s="11">
        <v>0</v>
      </c>
      <c r="AB260" s="11">
        <v>0</v>
      </c>
      <c r="AC260" s="11">
        <v>0</v>
      </c>
      <c r="AD260" s="11">
        <v>0</v>
      </c>
      <c r="AE260" s="11">
        <f t="shared" si="29"/>
        <v>0.61199999999999999</v>
      </c>
      <c r="AF260" s="11">
        <f t="shared" si="30"/>
        <v>10.811999999999999</v>
      </c>
      <c r="AG260" t="s">
        <v>43</v>
      </c>
    </row>
    <row r="261" spans="1:33" ht="15" customHeight="1" x14ac:dyDescent="0.35">
      <c r="A261">
        <v>690929</v>
      </c>
      <c r="B261" t="s">
        <v>33</v>
      </c>
      <c r="C261" t="s">
        <v>34</v>
      </c>
      <c r="D261" s="6" t="s">
        <v>33</v>
      </c>
      <c r="E261" t="s">
        <v>895</v>
      </c>
      <c r="F261" t="s">
        <v>36</v>
      </c>
      <c r="G261" t="s">
        <v>37</v>
      </c>
      <c r="H261" t="s">
        <v>896</v>
      </c>
      <c r="I261" t="s">
        <v>39</v>
      </c>
      <c r="J261">
        <v>2</v>
      </c>
      <c r="K261" t="s">
        <v>40</v>
      </c>
      <c r="L261" t="s">
        <v>41</v>
      </c>
      <c r="M261" t="s">
        <v>42</v>
      </c>
      <c r="N261" s="7">
        <v>2</v>
      </c>
      <c r="O261" s="8">
        <v>45091.774201388886</v>
      </c>
      <c r="P261" s="9">
        <v>45093</v>
      </c>
      <c r="Q261" t="s">
        <v>36</v>
      </c>
      <c r="R261" t="s">
        <v>43</v>
      </c>
      <c r="S261" t="s">
        <v>44</v>
      </c>
      <c r="T261" t="s">
        <v>62</v>
      </c>
      <c r="U261" t="s">
        <v>897</v>
      </c>
      <c r="V261">
        <v>22300</v>
      </c>
      <c r="W261" t="s">
        <v>43</v>
      </c>
      <c r="X261" t="s">
        <v>210</v>
      </c>
      <c r="Y261" t="s">
        <v>48</v>
      </c>
      <c r="Z261" s="10">
        <f t="shared" si="28"/>
        <v>7.8</v>
      </c>
      <c r="AA261" s="11">
        <v>0</v>
      </c>
      <c r="AB261" s="11">
        <v>0</v>
      </c>
      <c r="AC261" s="11">
        <v>0</v>
      </c>
      <c r="AD261" s="11">
        <v>0</v>
      </c>
      <c r="AE261" s="11">
        <f t="shared" si="29"/>
        <v>0.46799999999999997</v>
      </c>
      <c r="AF261" s="11">
        <f t="shared" si="30"/>
        <v>8.2680000000000007</v>
      </c>
      <c r="AG261" t="s">
        <v>43</v>
      </c>
    </row>
    <row r="262" spans="1:33" ht="15" customHeight="1" x14ac:dyDescent="0.35">
      <c r="A262">
        <v>690929</v>
      </c>
      <c r="B262" t="s">
        <v>33</v>
      </c>
      <c r="C262" t="s">
        <v>34</v>
      </c>
      <c r="D262" s="6" t="s">
        <v>33</v>
      </c>
      <c r="E262" t="s">
        <v>898</v>
      </c>
      <c r="F262" t="s">
        <v>36</v>
      </c>
      <c r="G262" t="s">
        <v>37</v>
      </c>
      <c r="H262" t="s">
        <v>899</v>
      </c>
      <c r="I262" t="s">
        <v>39</v>
      </c>
      <c r="J262">
        <v>2</v>
      </c>
      <c r="K262" t="s">
        <v>40</v>
      </c>
      <c r="L262" t="s">
        <v>41</v>
      </c>
      <c r="M262" t="s">
        <v>42</v>
      </c>
      <c r="N262" s="7">
        <v>1</v>
      </c>
      <c r="O262" s="8">
        <v>45091.70076388889</v>
      </c>
      <c r="P262" s="9">
        <v>45093</v>
      </c>
      <c r="Q262" t="s">
        <v>36</v>
      </c>
      <c r="R262" t="s">
        <v>43</v>
      </c>
      <c r="S262" t="s">
        <v>44</v>
      </c>
      <c r="T262" t="s">
        <v>118</v>
      </c>
      <c r="U262" t="s">
        <v>900</v>
      </c>
      <c r="V262">
        <v>71700</v>
      </c>
      <c r="W262" t="s">
        <v>43</v>
      </c>
      <c r="X262" t="s">
        <v>120</v>
      </c>
      <c r="Y262" t="s">
        <v>48</v>
      </c>
      <c r="Z262" s="10">
        <f t="shared" si="28"/>
        <v>7</v>
      </c>
      <c r="AA262" s="11">
        <v>0</v>
      </c>
      <c r="AB262" s="11">
        <v>0</v>
      </c>
      <c r="AC262" s="11">
        <v>0</v>
      </c>
      <c r="AD262" s="11">
        <v>0</v>
      </c>
      <c r="AE262" s="11">
        <f t="shared" si="29"/>
        <v>0.42</v>
      </c>
      <c r="AF262" s="11">
        <f t="shared" si="30"/>
        <v>7.42</v>
      </c>
      <c r="AG262" t="s">
        <v>43</v>
      </c>
    </row>
    <row r="263" spans="1:33" ht="15" customHeight="1" x14ac:dyDescent="0.35">
      <c r="A263">
        <v>690929</v>
      </c>
      <c r="B263" t="s">
        <v>33</v>
      </c>
      <c r="C263" t="s">
        <v>34</v>
      </c>
      <c r="D263" s="6" t="s">
        <v>33</v>
      </c>
      <c r="E263" t="s">
        <v>901</v>
      </c>
      <c r="F263" t="s">
        <v>36</v>
      </c>
      <c r="G263" t="s">
        <v>37</v>
      </c>
      <c r="H263" t="s">
        <v>902</v>
      </c>
      <c r="I263" t="s">
        <v>39</v>
      </c>
      <c r="J263">
        <v>2</v>
      </c>
      <c r="K263" t="s">
        <v>40</v>
      </c>
      <c r="L263" t="s">
        <v>41</v>
      </c>
      <c r="M263" t="s">
        <v>42</v>
      </c>
      <c r="N263" s="7">
        <v>1</v>
      </c>
      <c r="O263" s="8">
        <v>45092.419918981483</v>
      </c>
      <c r="P263" s="9">
        <v>45093</v>
      </c>
      <c r="Q263" t="s">
        <v>36</v>
      </c>
      <c r="R263" t="s">
        <v>43</v>
      </c>
      <c r="S263" t="s">
        <v>44</v>
      </c>
      <c r="T263" t="s">
        <v>45</v>
      </c>
      <c r="U263" t="s">
        <v>903</v>
      </c>
      <c r="V263">
        <v>42200</v>
      </c>
      <c r="W263" t="s">
        <v>43</v>
      </c>
      <c r="X263" t="s">
        <v>904</v>
      </c>
      <c r="Y263" t="s">
        <v>48</v>
      </c>
      <c r="Z263" s="10">
        <f t="shared" si="28"/>
        <v>7</v>
      </c>
      <c r="AA263" s="11">
        <v>0</v>
      </c>
      <c r="AB263" s="11">
        <v>0</v>
      </c>
      <c r="AC263" s="11">
        <v>0</v>
      </c>
      <c r="AD263" s="11">
        <v>0</v>
      </c>
      <c r="AE263" s="11">
        <f t="shared" si="29"/>
        <v>0.42</v>
      </c>
      <c r="AF263" s="11">
        <f t="shared" si="30"/>
        <v>7.42</v>
      </c>
      <c r="AG263" t="s">
        <v>43</v>
      </c>
    </row>
    <row r="264" spans="1:33" ht="15" customHeight="1" x14ac:dyDescent="0.35">
      <c r="A264">
        <v>690929</v>
      </c>
      <c r="B264" t="s">
        <v>33</v>
      </c>
      <c r="C264" t="s">
        <v>34</v>
      </c>
      <c r="D264" s="6" t="s">
        <v>33</v>
      </c>
      <c r="E264" t="s">
        <v>905</v>
      </c>
      <c r="F264" t="s">
        <v>36</v>
      </c>
      <c r="G264" t="s">
        <v>37</v>
      </c>
      <c r="H264" t="s">
        <v>906</v>
      </c>
      <c r="I264" t="s">
        <v>39</v>
      </c>
      <c r="J264">
        <v>2</v>
      </c>
      <c r="K264" t="s">
        <v>40</v>
      </c>
      <c r="L264" t="s">
        <v>41</v>
      </c>
      <c r="M264" t="s">
        <v>42</v>
      </c>
      <c r="N264" s="7">
        <v>1</v>
      </c>
      <c r="O264" s="8">
        <v>45091.598599537036</v>
      </c>
      <c r="P264" s="9">
        <v>45093</v>
      </c>
      <c r="Q264" t="s">
        <v>36</v>
      </c>
      <c r="R264" t="s">
        <v>43</v>
      </c>
      <c r="S264" t="s">
        <v>44</v>
      </c>
      <c r="T264" t="s">
        <v>128</v>
      </c>
      <c r="U264" t="s">
        <v>907</v>
      </c>
      <c r="V264">
        <v>84710</v>
      </c>
      <c r="W264" t="s">
        <v>43</v>
      </c>
      <c r="X264" t="s">
        <v>908</v>
      </c>
      <c r="Y264" t="s">
        <v>48</v>
      </c>
      <c r="Z264" s="10">
        <f t="shared" si="28"/>
        <v>7</v>
      </c>
      <c r="AA264" s="11">
        <v>0</v>
      </c>
      <c r="AB264" s="11">
        <v>0</v>
      </c>
      <c r="AC264" s="11">
        <v>0</v>
      </c>
      <c r="AD264" s="11">
        <v>0</v>
      </c>
      <c r="AE264" s="11">
        <f t="shared" si="29"/>
        <v>0.42</v>
      </c>
      <c r="AF264" s="11">
        <f t="shared" si="30"/>
        <v>7.42</v>
      </c>
      <c r="AG264" t="s">
        <v>43</v>
      </c>
    </row>
    <row r="265" spans="1:33" ht="15" customHeight="1" x14ac:dyDescent="0.35">
      <c r="A265">
        <v>690929</v>
      </c>
      <c r="B265" t="s">
        <v>33</v>
      </c>
      <c r="C265" t="s">
        <v>34</v>
      </c>
      <c r="D265" s="6" t="s">
        <v>33</v>
      </c>
      <c r="E265" t="s">
        <v>909</v>
      </c>
      <c r="F265" t="s">
        <v>36</v>
      </c>
      <c r="G265" t="s">
        <v>37</v>
      </c>
      <c r="H265" t="s">
        <v>910</v>
      </c>
      <c r="I265" t="s">
        <v>39</v>
      </c>
      <c r="J265">
        <v>2</v>
      </c>
      <c r="K265" t="s">
        <v>40</v>
      </c>
      <c r="L265" t="s">
        <v>41</v>
      </c>
      <c r="M265" t="s">
        <v>42</v>
      </c>
      <c r="N265" s="7">
        <v>1</v>
      </c>
      <c r="O265" s="8">
        <v>45092.710266203707</v>
      </c>
      <c r="P265" s="9">
        <v>45093</v>
      </c>
      <c r="Q265" t="s">
        <v>36</v>
      </c>
      <c r="R265" t="s">
        <v>43</v>
      </c>
      <c r="S265" t="s">
        <v>44</v>
      </c>
      <c r="T265" t="s">
        <v>62</v>
      </c>
      <c r="U265" t="s">
        <v>911</v>
      </c>
      <c r="V265">
        <v>21400</v>
      </c>
      <c r="W265" t="s">
        <v>43</v>
      </c>
      <c r="X265" t="s">
        <v>912</v>
      </c>
      <c r="Y265" t="s">
        <v>48</v>
      </c>
      <c r="Z265" s="10">
        <f t="shared" si="28"/>
        <v>7</v>
      </c>
      <c r="AA265" s="11">
        <v>0</v>
      </c>
      <c r="AB265" s="11">
        <v>0</v>
      </c>
      <c r="AC265" s="11">
        <v>0</v>
      </c>
      <c r="AD265" s="11">
        <v>0</v>
      </c>
      <c r="AE265" s="11">
        <f t="shared" si="29"/>
        <v>0.42</v>
      </c>
      <c r="AF265" s="11">
        <f t="shared" si="30"/>
        <v>7.42</v>
      </c>
      <c r="AG265" t="s">
        <v>43</v>
      </c>
    </row>
    <row r="266" spans="1:33" ht="15" customHeight="1" x14ac:dyDescent="0.35">
      <c r="A266">
        <v>690929</v>
      </c>
      <c r="B266" t="s">
        <v>33</v>
      </c>
      <c r="C266" t="s">
        <v>34</v>
      </c>
      <c r="D266" s="6" t="s">
        <v>33</v>
      </c>
      <c r="E266" t="s">
        <v>913</v>
      </c>
      <c r="F266" t="s">
        <v>36</v>
      </c>
      <c r="G266" t="s">
        <v>37</v>
      </c>
      <c r="H266" t="s">
        <v>914</v>
      </c>
      <c r="I266" t="s">
        <v>39</v>
      </c>
      <c r="J266">
        <v>2</v>
      </c>
      <c r="K266" t="s">
        <v>40</v>
      </c>
      <c r="L266" t="s">
        <v>41</v>
      </c>
      <c r="M266" t="s">
        <v>42</v>
      </c>
      <c r="N266" s="7">
        <v>4</v>
      </c>
      <c r="O266" s="8">
        <v>45092.639768518522</v>
      </c>
      <c r="P266" s="9">
        <v>45093</v>
      </c>
      <c r="Q266" t="s">
        <v>36</v>
      </c>
      <c r="R266" t="s">
        <v>43</v>
      </c>
      <c r="S266" t="s">
        <v>44</v>
      </c>
      <c r="T266" t="s">
        <v>45</v>
      </c>
      <c r="U266" t="s">
        <v>915</v>
      </c>
      <c r="V266">
        <v>43900</v>
      </c>
      <c r="W266" t="s">
        <v>43</v>
      </c>
      <c r="X266" t="s">
        <v>916</v>
      </c>
      <c r="Y266" t="s">
        <v>48</v>
      </c>
      <c r="Z266" s="10">
        <f t="shared" si="28"/>
        <v>9.4</v>
      </c>
      <c r="AA266" s="11">
        <v>0</v>
      </c>
      <c r="AB266" s="11">
        <v>0</v>
      </c>
      <c r="AC266" s="11">
        <v>0</v>
      </c>
      <c r="AD266" s="11">
        <v>0</v>
      </c>
      <c r="AE266" s="11">
        <f t="shared" si="29"/>
        <v>0.56399999999999995</v>
      </c>
      <c r="AF266" s="11">
        <f t="shared" si="30"/>
        <v>9.9640000000000004</v>
      </c>
      <c r="AG266" t="s">
        <v>43</v>
      </c>
    </row>
    <row r="267" spans="1:33" ht="15" customHeight="1" x14ac:dyDescent="0.35">
      <c r="A267">
        <v>690929</v>
      </c>
      <c r="B267" t="s">
        <v>33</v>
      </c>
      <c r="C267" t="s">
        <v>34</v>
      </c>
      <c r="D267" s="6" t="s">
        <v>33</v>
      </c>
      <c r="E267" t="s">
        <v>917</v>
      </c>
      <c r="F267" t="s">
        <v>36</v>
      </c>
      <c r="G267" t="s">
        <v>37</v>
      </c>
      <c r="H267" t="s">
        <v>918</v>
      </c>
      <c r="I267" t="s">
        <v>39</v>
      </c>
      <c r="J267">
        <v>2</v>
      </c>
      <c r="K267" t="s">
        <v>40</v>
      </c>
      <c r="L267" t="s">
        <v>41</v>
      </c>
      <c r="M267" t="s">
        <v>42</v>
      </c>
      <c r="N267" s="7">
        <v>4</v>
      </c>
      <c r="O267" s="8">
        <v>45092.70584490741</v>
      </c>
      <c r="P267" s="9">
        <v>45093</v>
      </c>
      <c r="Q267" t="s">
        <v>36</v>
      </c>
      <c r="R267" t="s">
        <v>43</v>
      </c>
      <c r="S267" t="s">
        <v>44</v>
      </c>
      <c r="T267" t="s">
        <v>45</v>
      </c>
      <c r="U267" t="s">
        <v>919</v>
      </c>
      <c r="V267">
        <v>43000</v>
      </c>
      <c r="W267" t="s">
        <v>43</v>
      </c>
      <c r="X267" t="s">
        <v>272</v>
      </c>
      <c r="Y267" t="s">
        <v>48</v>
      </c>
      <c r="Z267" s="10">
        <f t="shared" si="28"/>
        <v>9.4</v>
      </c>
      <c r="AA267" s="11">
        <v>0</v>
      </c>
      <c r="AB267" s="11">
        <v>0</v>
      </c>
      <c r="AC267" s="11">
        <v>0</v>
      </c>
      <c r="AD267" s="11">
        <v>0</v>
      </c>
      <c r="AE267" s="11">
        <f t="shared" si="29"/>
        <v>0.56399999999999995</v>
      </c>
      <c r="AF267" s="11">
        <f t="shared" si="30"/>
        <v>9.9640000000000004</v>
      </c>
      <c r="AG267" t="s">
        <v>43</v>
      </c>
    </row>
    <row r="268" spans="1:33" ht="15" customHeight="1" x14ac:dyDescent="0.35">
      <c r="A268">
        <v>690929</v>
      </c>
      <c r="B268" t="s">
        <v>33</v>
      </c>
      <c r="C268" t="s">
        <v>34</v>
      </c>
      <c r="D268" s="6" t="s">
        <v>33</v>
      </c>
      <c r="E268" t="s">
        <v>920</v>
      </c>
      <c r="F268" t="s">
        <v>36</v>
      </c>
      <c r="G268" t="s">
        <v>37</v>
      </c>
      <c r="H268" t="s">
        <v>918</v>
      </c>
      <c r="I268" t="s">
        <v>39</v>
      </c>
      <c r="J268">
        <v>2</v>
      </c>
      <c r="K268" t="s">
        <v>40</v>
      </c>
      <c r="L268" t="s">
        <v>41</v>
      </c>
      <c r="M268" t="s">
        <v>42</v>
      </c>
      <c r="N268" s="7">
        <v>2</v>
      </c>
      <c r="O268" s="8">
        <v>45092.70584490741</v>
      </c>
      <c r="P268" s="9">
        <v>45093</v>
      </c>
      <c r="Q268" t="s">
        <v>36</v>
      </c>
      <c r="R268" t="s">
        <v>43</v>
      </c>
      <c r="S268" t="s">
        <v>44</v>
      </c>
      <c r="T268" t="s">
        <v>45</v>
      </c>
      <c r="U268" t="s">
        <v>919</v>
      </c>
      <c r="V268">
        <v>43000</v>
      </c>
      <c r="W268" t="s">
        <v>43</v>
      </c>
      <c r="X268" t="s">
        <v>272</v>
      </c>
      <c r="Y268" t="s">
        <v>48</v>
      </c>
      <c r="Z268" s="10">
        <f t="shared" si="28"/>
        <v>7.8</v>
      </c>
      <c r="AA268" s="11">
        <v>0</v>
      </c>
      <c r="AB268" s="11">
        <v>0</v>
      </c>
      <c r="AC268" s="11">
        <v>0</v>
      </c>
      <c r="AD268" s="11">
        <v>0</v>
      </c>
      <c r="AE268" s="11">
        <f t="shared" si="29"/>
        <v>0.46799999999999997</v>
      </c>
      <c r="AF268" s="11">
        <f t="shared" si="30"/>
        <v>8.2680000000000007</v>
      </c>
      <c r="AG268" t="s">
        <v>43</v>
      </c>
    </row>
    <row r="269" spans="1:33" ht="15" customHeight="1" x14ac:dyDescent="0.35">
      <c r="A269">
        <v>690929</v>
      </c>
      <c r="B269" t="s">
        <v>33</v>
      </c>
      <c r="C269" t="s">
        <v>34</v>
      </c>
      <c r="D269" s="6" t="s">
        <v>33</v>
      </c>
      <c r="E269" t="s">
        <v>921</v>
      </c>
      <c r="F269" t="s">
        <v>36</v>
      </c>
      <c r="G269" t="s">
        <v>37</v>
      </c>
      <c r="H269" t="s">
        <v>922</v>
      </c>
      <c r="I269" t="s">
        <v>39</v>
      </c>
      <c r="J269">
        <v>2</v>
      </c>
      <c r="K269" t="s">
        <v>40</v>
      </c>
      <c r="L269" t="s">
        <v>41</v>
      </c>
      <c r="M269" t="s">
        <v>42</v>
      </c>
      <c r="N269" s="7">
        <v>1</v>
      </c>
      <c r="O269" s="8">
        <v>45091.665578703702</v>
      </c>
      <c r="P269" s="9">
        <v>45093</v>
      </c>
      <c r="Q269" t="s">
        <v>36</v>
      </c>
      <c r="R269" t="s">
        <v>43</v>
      </c>
      <c r="S269" t="s">
        <v>44</v>
      </c>
      <c r="T269" t="s">
        <v>128</v>
      </c>
      <c r="U269" t="s">
        <v>923</v>
      </c>
      <c r="V269">
        <v>81700</v>
      </c>
      <c r="W269" t="s">
        <v>43</v>
      </c>
      <c r="X269" t="s">
        <v>67</v>
      </c>
      <c r="Y269" t="s">
        <v>48</v>
      </c>
      <c r="Z269" s="10">
        <f t="shared" si="28"/>
        <v>7</v>
      </c>
      <c r="AA269" s="11">
        <v>0</v>
      </c>
      <c r="AB269" s="11">
        <v>0</v>
      </c>
      <c r="AC269" s="11">
        <v>0</v>
      </c>
      <c r="AD269" s="11">
        <v>0</v>
      </c>
      <c r="AE269" s="11">
        <f t="shared" si="29"/>
        <v>0.42</v>
      </c>
      <c r="AF269" s="11">
        <f t="shared" si="30"/>
        <v>7.42</v>
      </c>
      <c r="AG269" t="s">
        <v>43</v>
      </c>
    </row>
    <row r="270" spans="1:33" ht="15" customHeight="1" x14ac:dyDescent="0.35">
      <c r="A270">
        <v>690929</v>
      </c>
      <c r="B270" t="s">
        <v>33</v>
      </c>
      <c r="C270" t="s">
        <v>34</v>
      </c>
      <c r="D270" s="6" t="s">
        <v>33</v>
      </c>
      <c r="E270" t="s">
        <v>924</v>
      </c>
      <c r="F270" t="s">
        <v>36</v>
      </c>
      <c r="G270" t="s">
        <v>37</v>
      </c>
      <c r="H270" t="s">
        <v>925</v>
      </c>
      <c r="I270" t="s">
        <v>39</v>
      </c>
      <c r="J270">
        <v>2</v>
      </c>
      <c r="K270" t="s">
        <v>40</v>
      </c>
      <c r="L270" t="s">
        <v>41</v>
      </c>
      <c r="M270" t="s">
        <v>42</v>
      </c>
      <c r="N270" s="7">
        <v>1</v>
      </c>
      <c r="O270" s="8">
        <v>45091.49013888889</v>
      </c>
      <c r="P270" s="9">
        <v>45093</v>
      </c>
      <c r="Q270" t="s">
        <v>36</v>
      </c>
      <c r="R270" t="s">
        <v>43</v>
      </c>
      <c r="S270" t="s">
        <v>44</v>
      </c>
      <c r="T270" t="s">
        <v>101</v>
      </c>
      <c r="U270" t="s">
        <v>926</v>
      </c>
      <c r="V270">
        <v>6050</v>
      </c>
      <c r="W270" t="s">
        <v>43</v>
      </c>
      <c r="X270" t="s">
        <v>927</v>
      </c>
      <c r="Y270" t="s">
        <v>48</v>
      </c>
      <c r="Z270" s="10">
        <f t="shared" si="28"/>
        <v>7</v>
      </c>
      <c r="AA270" s="11">
        <v>0</v>
      </c>
      <c r="AB270" s="11">
        <v>0</v>
      </c>
      <c r="AC270" s="11">
        <v>0</v>
      </c>
      <c r="AD270" s="11">
        <v>0</v>
      </c>
      <c r="AE270" s="11">
        <f t="shared" si="29"/>
        <v>0.42</v>
      </c>
      <c r="AF270" s="11">
        <f t="shared" si="30"/>
        <v>7.42</v>
      </c>
      <c r="AG270" t="s">
        <v>43</v>
      </c>
    </row>
    <row r="271" spans="1:33" ht="15" customHeight="1" x14ac:dyDescent="0.35">
      <c r="A271">
        <v>690929</v>
      </c>
      <c r="B271" t="s">
        <v>33</v>
      </c>
      <c r="C271" t="s">
        <v>34</v>
      </c>
      <c r="D271" s="6" t="s">
        <v>33</v>
      </c>
      <c r="E271" t="s">
        <v>928</v>
      </c>
      <c r="F271" t="s">
        <v>36</v>
      </c>
      <c r="G271" t="s">
        <v>37</v>
      </c>
      <c r="H271" t="s">
        <v>929</v>
      </c>
      <c r="I271" t="s">
        <v>39</v>
      </c>
      <c r="J271">
        <v>2</v>
      </c>
      <c r="K271" t="s">
        <v>40</v>
      </c>
      <c r="L271" t="s">
        <v>41</v>
      </c>
      <c r="M271" t="s">
        <v>42</v>
      </c>
      <c r="N271" s="7">
        <v>1</v>
      </c>
      <c r="O271" s="8">
        <v>45091.70076388889</v>
      </c>
      <c r="P271" s="9">
        <v>45093</v>
      </c>
      <c r="Q271" t="s">
        <v>36</v>
      </c>
      <c r="R271" t="s">
        <v>43</v>
      </c>
      <c r="S271" t="s">
        <v>44</v>
      </c>
      <c r="T271" t="s">
        <v>128</v>
      </c>
      <c r="U271" t="s">
        <v>930</v>
      </c>
      <c r="V271">
        <v>79250</v>
      </c>
      <c r="W271" t="s">
        <v>43</v>
      </c>
      <c r="X271" t="s">
        <v>931</v>
      </c>
      <c r="Y271" t="s">
        <v>48</v>
      </c>
      <c r="Z271" s="10">
        <f t="shared" si="28"/>
        <v>7</v>
      </c>
      <c r="AA271" s="11">
        <v>0</v>
      </c>
      <c r="AB271" s="11">
        <v>0</v>
      </c>
      <c r="AC271" s="11">
        <v>0</v>
      </c>
      <c r="AD271" s="11">
        <v>0</v>
      </c>
      <c r="AE271" s="11">
        <f t="shared" si="29"/>
        <v>0.42</v>
      </c>
      <c r="AF271" s="11">
        <f t="shared" si="30"/>
        <v>7.42</v>
      </c>
      <c r="AG271" t="s">
        <v>43</v>
      </c>
    </row>
    <row r="272" spans="1:33" ht="15" customHeight="1" x14ac:dyDescent="0.35">
      <c r="A272">
        <v>690929</v>
      </c>
      <c r="B272" t="s">
        <v>33</v>
      </c>
      <c r="C272" t="s">
        <v>34</v>
      </c>
      <c r="D272" s="6" t="s">
        <v>33</v>
      </c>
      <c r="E272" t="s">
        <v>932</v>
      </c>
      <c r="F272" t="s">
        <v>36</v>
      </c>
      <c r="G272" t="s">
        <v>37</v>
      </c>
      <c r="H272" t="s">
        <v>933</v>
      </c>
      <c r="I272" t="s">
        <v>39</v>
      </c>
      <c r="J272">
        <v>2</v>
      </c>
      <c r="K272" t="s">
        <v>40</v>
      </c>
      <c r="L272" t="s">
        <v>41</v>
      </c>
      <c r="M272" t="s">
        <v>42</v>
      </c>
      <c r="N272" s="7">
        <v>1</v>
      </c>
      <c r="O272" s="8">
        <v>45092.710266203707</v>
      </c>
      <c r="P272" s="9">
        <v>45093</v>
      </c>
      <c r="Q272" t="s">
        <v>36</v>
      </c>
      <c r="R272" t="s">
        <v>43</v>
      </c>
      <c r="S272" t="s">
        <v>44</v>
      </c>
      <c r="T272" t="s">
        <v>118</v>
      </c>
      <c r="U272" t="s">
        <v>934</v>
      </c>
      <c r="V272">
        <v>71200</v>
      </c>
      <c r="W272" t="s">
        <v>43</v>
      </c>
      <c r="X272" t="s">
        <v>288</v>
      </c>
      <c r="Y272" t="s">
        <v>48</v>
      </c>
      <c r="Z272" s="10">
        <f t="shared" si="28"/>
        <v>7</v>
      </c>
      <c r="AA272" s="11">
        <v>0</v>
      </c>
      <c r="AB272" s="11">
        <v>0</v>
      </c>
      <c r="AC272" s="11">
        <v>0</v>
      </c>
      <c r="AD272" s="11">
        <v>0</v>
      </c>
      <c r="AE272" s="11">
        <f t="shared" si="29"/>
        <v>0.42</v>
      </c>
      <c r="AF272" s="11">
        <f t="shared" si="30"/>
        <v>7.42</v>
      </c>
      <c r="AG272" t="s">
        <v>43</v>
      </c>
    </row>
    <row r="273" spans="1:33" ht="15" customHeight="1" x14ac:dyDescent="0.35">
      <c r="A273">
        <v>690929</v>
      </c>
      <c r="B273" t="s">
        <v>33</v>
      </c>
      <c r="C273" t="s">
        <v>34</v>
      </c>
      <c r="D273" s="6" t="s">
        <v>33</v>
      </c>
      <c r="E273" t="s">
        <v>935</v>
      </c>
      <c r="F273" t="s">
        <v>36</v>
      </c>
      <c r="G273" t="s">
        <v>37</v>
      </c>
      <c r="H273" t="s">
        <v>936</v>
      </c>
      <c r="I273" t="s">
        <v>39</v>
      </c>
      <c r="J273">
        <v>2</v>
      </c>
      <c r="K273" t="s">
        <v>40</v>
      </c>
      <c r="L273" t="s">
        <v>41</v>
      </c>
      <c r="M273" t="s">
        <v>42</v>
      </c>
      <c r="N273" s="7">
        <v>1</v>
      </c>
      <c r="O273" s="8">
        <v>45092.70584490741</v>
      </c>
      <c r="P273" s="9">
        <v>45094</v>
      </c>
      <c r="Q273" t="s">
        <v>36</v>
      </c>
      <c r="R273" t="s">
        <v>43</v>
      </c>
      <c r="S273" t="s">
        <v>44</v>
      </c>
      <c r="T273" t="s">
        <v>124</v>
      </c>
      <c r="U273" t="s">
        <v>937</v>
      </c>
      <c r="V273">
        <v>30020</v>
      </c>
      <c r="W273" t="s">
        <v>43</v>
      </c>
      <c r="X273" t="s">
        <v>67</v>
      </c>
      <c r="Y273" t="s">
        <v>48</v>
      </c>
      <c r="Z273" s="10">
        <f t="shared" si="28"/>
        <v>7</v>
      </c>
      <c r="AA273" s="11">
        <v>0</v>
      </c>
      <c r="AB273" s="11">
        <v>0</v>
      </c>
      <c r="AC273" s="11">
        <v>0</v>
      </c>
      <c r="AD273" s="11">
        <v>0</v>
      </c>
      <c r="AE273" s="11">
        <f t="shared" si="29"/>
        <v>0.42</v>
      </c>
      <c r="AF273" s="11">
        <f t="shared" si="30"/>
        <v>7.42</v>
      </c>
      <c r="AG273" t="s">
        <v>43</v>
      </c>
    </row>
    <row r="274" spans="1:33" ht="15" customHeight="1" x14ac:dyDescent="0.35">
      <c r="A274">
        <v>690929</v>
      </c>
      <c r="B274" t="s">
        <v>33</v>
      </c>
      <c r="C274" t="s">
        <v>34</v>
      </c>
      <c r="D274" s="6" t="s">
        <v>33</v>
      </c>
      <c r="E274" t="s">
        <v>938</v>
      </c>
      <c r="F274" t="s">
        <v>36</v>
      </c>
      <c r="G274" t="s">
        <v>37</v>
      </c>
      <c r="H274" t="s">
        <v>939</v>
      </c>
      <c r="I274" t="s">
        <v>39</v>
      </c>
      <c r="J274">
        <v>2</v>
      </c>
      <c r="K274" t="s">
        <v>40</v>
      </c>
      <c r="L274" t="s">
        <v>41</v>
      </c>
      <c r="M274" t="s">
        <v>42</v>
      </c>
      <c r="N274" s="7">
        <v>1</v>
      </c>
      <c r="O274" s="8">
        <v>45092.762337962966</v>
      </c>
      <c r="P274" s="9">
        <v>45094</v>
      </c>
      <c r="Q274" t="s">
        <v>36</v>
      </c>
      <c r="R274" t="s">
        <v>43</v>
      </c>
      <c r="S274" t="s">
        <v>123</v>
      </c>
      <c r="T274" t="s">
        <v>157</v>
      </c>
      <c r="U274" t="s">
        <v>940</v>
      </c>
      <c r="V274">
        <v>17000</v>
      </c>
      <c r="W274" t="s">
        <v>43</v>
      </c>
      <c r="X274" t="s">
        <v>123</v>
      </c>
      <c r="Y274" t="s">
        <v>48</v>
      </c>
      <c r="Z274" s="10">
        <f t="shared" si="28"/>
        <v>7</v>
      </c>
      <c r="AA274" s="11">
        <v>0</v>
      </c>
      <c r="AB274" s="11">
        <v>0</v>
      </c>
      <c r="AC274" s="11">
        <v>0</v>
      </c>
      <c r="AD274" s="11">
        <v>0</v>
      </c>
      <c r="AE274" s="11">
        <f t="shared" si="29"/>
        <v>0.42</v>
      </c>
      <c r="AF274" s="11">
        <f t="shared" si="30"/>
        <v>7.42</v>
      </c>
      <c r="AG274" t="s">
        <v>43</v>
      </c>
    </row>
    <row r="275" spans="1:33" ht="15" customHeight="1" x14ac:dyDescent="0.35">
      <c r="A275">
        <v>690929</v>
      </c>
      <c r="B275" t="s">
        <v>33</v>
      </c>
      <c r="C275" t="s">
        <v>34</v>
      </c>
      <c r="D275" s="6" t="s">
        <v>33</v>
      </c>
      <c r="E275" t="s">
        <v>941</v>
      </c>
      <c r="F275" t="s">
        <v>36</v>
      </c>
      <c r="G275" t="s">
        <v>37</v>
      </c>
      <c r="H275" t="s">
        <v>942</v>
      </c>
      <c r="I275" t="s">
        <v>39</v>
      </c>
      <c r="J275">
        <v>2</v>
      </c>
      <c r="K275" t="s">
        <v>40</v>
      </c>
      <c r="L275" t="s">
        <v>41</v>
      </c>
      <c r="M275" t="s">
        <v>42</v>
      </c>
      <c r="N275" s="7">
        <v>1</v>
      </c>
      <c r="O275" s="8">
        <v>45092.70584490741</v>
      </c>
      <c r="P275" s="9">
        <v>45094</v>
      </c>
      <c r="Q275" t="s">
        <v>36</v>
      </c>
      <c r="R275" t="s">
        <v>43</v>
      </c>
      <c r="S275" t="s">
        <v>44</v>
      </c>
      <c r="T275" t="s">
        <v>101</v>
      </c>
      <c r="U275" t="s">
        <v>943</v>
      </c>
      <c r="V275">
        <v>6400</v>
      </c>
      <c r="W275" t="s">
        <v>43</v>
      </c>
      <c r="X275" t="s">
        <v>67</v>
      </c>
      <c r="Y275" t="s">
        <v>48</v>
      </c>
      <c r="Z275" s="10">
        <f t="shared" si="28"/>
        <v>7</v>
      </c>
      <c r="AA275" s="11">
        <v>0</v>
      </c>
      <c r="AB275" s="11">
        <v>0</v>
      </c>
      <c r="AC275" s="11">
        <v>0</v>
      </c>
      <c r="AD275" s="11">
        <v>0</v>
      </c>
      <c r="AE275" s="11">
        <f t="shared" si="29"/>
        <v>0.42</v>
      </c>
      <c r="AF275" s="11">
        <f t="shared" si="30"/>
        <v>7.42</v>
      </c>
      <c r="AG275" t="s">
        <v>43</v>
      </c>
    </row>
    <row r="276" spans="1:33" ht="15" customHeight="1" x14ac:dyDescent="0.35">
      <c r="A276">
        <v>690929</v>
      </c>
      <c r="B276" t="s">
        <v>33</v>
      </c>
      <c r="C276" t="s">
        <v>34</v>
      </c>
      <c r="D276" s="6" t="s">
        <v>33</v>
      </c>
      <c r="E276" t="s">
        <v>944</v>
      </c>
      <c r="F276" t="s">
        <v>36</v>
      </c>
      <c r="G276" t="s">
        <v>37</v>
      </c>
      <c r="H276" t="s">
        <v>945</v>
      </c>
      <c r="I276" t="s">
        <v>39</v>
      </c>
      <c r="J276">
        <v>2</v>
      </c>
      <c r="K276" t="s">
        <v>40</v>
      </c>
      <c r="L276" t="s">
        <v>41</v>
      </c>
      <c r="M276" t="s">
        <v>42</v>
      </c>
      <c r="N276" s="7">
        <v>1</v>
      </c>
      <c r="O276" s="8">
        <v>45092.728078703702</v>
      </c>
      <c r="P276" s="9">
        <v>45094</v>
      </c>
      <c r="Q276" t="s">
        <v>36</v>
      </c>
      <c r="R276" t="s">
        <v>43</v>
      </c>
      <c r="S276" t="s">
        <v>123</v>
      </c>
      <c r="T276" t="s">
        <v>118</v>
      </c>
      <c r="U276" t="s">
        <v>946</v>
      </c>
      <c r="V276">
        <v>70300</v>
      </c>
      <c r="W276" t="s">
        <v>43</v>
      </c>
      <c r="X276" t="s">
        <v>67</v>
      </c>
      <c r="Y276" t="s">
        <v>48</v>
      </c>
      <c r="Z276" s="10">
        <f t="shared" si="28"/>
        <v>7</v>
      </c>
      <c r="AA276" s="11">
        <v>0</v>
      </c>
      <c r="AB276" s="11">
        <v>0</v>
      </c>
      <c r="AC276" s="11">
        <v>0</v>
      </c>
      <c r="AD276" s="11">
        <v>0</v>
      </c>
      <c r="AE276" s="11">
        <f t="shared" si="29"/>
        <v>0.42</v>
      </c>
      <c r="AF276" s="11">
        <f t="shared" si="30"/>
        <v>7.42</v>
      </c>
      <c r="AG276" t="s">
        <v>43</v>
      </c>
    </row>
    <row r="277" spans="1:33" ht="15" customHeight="1" x14ac:dyDescent="0.35">
      <c r="A277">
        <v>690929</v>
      </c>
      <c r="B277" t="s">
        <v>33</v>
      </c>
      <c r="C277" t="s">
        <v>34</v>
      </c>
      <c r="D277" s="6" t="s">
        <v>33</v>
      </c>
      <c r="E277" t="s">
        <v>947</v>
      </c>
      <c r="F277" t="s">
        <v>36</v>
      </c>
      <c r="G277" t="s">
        <v>37</v>
      </c>
      <c r="H277" t="s">
        <v>948</v>
      </c>
      <c r="I277" t="s">
        <v>39</v>
      </c>
      <c r="J277">
        <v>2</v>
      </c>
      <c r="K277" t="s">
        <v>40</v>
      </c>
      <c r="L277" t="s">
        <v>41</v>
      </c>
      <c r="M277" t="s">
        <v>42</v>
      </c>
      <c r="N277" s="7">
        <v>1</v>
      </c>
      <c r="O277" s="8">
        <v>45092.70584490741</v>
      </c>
      <c r="P277" s="9">
        <v>45094</v>
      </c>
      <c r="Q277" t="s">
        <v>36</v>
      </c>
      <c r="R277" t="s">
        <v>43</v>
      </c>
      <c r="S277" t="s">
        <v>44</v>
      </c>
      <c r="T277" t="s">
        <v>101</v>
      </c>
      <c r="U277" t="s">
        <v>949</v>
      </c>
      <c r="V277">
        <v>8000</v>
      </c>
      <c r="W277" t="s">
        <v>43</v>
      </c>
      <c r="X277" t="s">
        <v>67</v>
      </c>
      <c r="Y277" t="s">
        <v>48</v>
      </c>
      <c r="Z277" s="10">
        <f t="shared" si="28"/>
        <v>7</v>
      </c>
      <c r="AA277" s="11">
        <v>0</v>
      </c>
      <c r="AB277" s="11">
        <v>0</v>
      </c>
      <c r="AC277" s="11">
        <v>0</v>
      </c>
      <c r="AD277" s="11">
        <v>0</v>
      </c>
      <c r="AE277" s="11">
        <f t="shared" si="29"/>
        <v>0.42</v>
      </c>
      <c r="AF277" s="11">
        <f t="shared" si="30"/>
        <v>7.42</v>
      </c>
      <c r="AG277" t="s">
        <v>43</v>
      </c>
    </row>
    <row r="278" spans="1:33" ht="15" customHeight="1" x14ac:dyDescent="0.35">
      <c r="A278">
        <v>690929</v>
      </c>
      <c r="B278" t="s">
        <v>33</v>
      </c>
      <c r="C278" t="s">
        <v>34</v>
      </c>
      <c r="D278" s="6" t="s">
        <v>33</v>
      </c>
      <c r="E278" t="s">
        <v>950</v>
      </c>
      <c r="F278" t="s">
        <v>36</v>
      </c>
      <c r="G278" t="s">
        <v>37</v>
      </c>
      <c r="H278" t="s">
        <v>951</v>
      </c>
      <c r="I278" t="s">
        <v>39</v>
      </c>
      <c r="J278">
        <v>2</v>
      </c>
      <c r="K278" t="s">
        <v>40</v>
      </c>
      <c r="L278" t="s">
        <v>41</v>
      </c>
      <c r="M278" t="s">
        <v>42</v>
      </c>
      <c r="N278" s="7">
        <v>1</v>
      </c>
      <c r="O278" s="8">
        <v>45092.755578703705</v>
      </c>
      <c r="P278" s="9">
        <v>45095</v>
      </c>
      <c r="Q278" t="s">
        <v>36</v>
      </c>
      <c r="R278" t="s">
        <v>43</v>
      </c>
      <c r="S278" t="s">
        <v>123</v>
      </c>
      <c r="T278" t="s">
        <v>521</v>
      </c>
      <c r="U278" t="s">
        <v>952</v>
      </c>
      <c r="V278">
        <v>97000</v>
      </c>
      <c r="W278" t="s">
        <v>94</v>
      </c>
      <c r="X278" t="s">
        <v>67</v>
      </c>
      <c r="Y278" t="s">
        <v>48</v>
      </c>
      <c r="Z278" s="12">
        <f>IF(N278&lt;=1,13,IF(N278&lt;=2,23,IF(N278&lt;=3,35,IF(N278&lt;=4,43,IF(N278&lt;=5,53,IF(N278&lt;=6,63,IF(N278&lt;=7,71,IF(N278&lt;=8,79,IF(N278&lt;=9,87,IF(N278&lt;=10,95,IF(N278&lt;=11,105,IF(N278&lt;=12,114,IF(N278&lt;=13,119,IF(N278&lt;=14,127,IF(N278&lt;=15,135,IF(N278&lt;=16,143,IF(N278&lt;=17,153,IF(N278&lt;=18,163,IF(N278&lt;=19,171,IF(N278&lt;=20,185,IF(N278&lt;=21,193,IF(N278&lt;=22,201,IF(N278&lt;=23,210,IF(N278&lt;=24,220,IF(N278&lt;=25,230,IF(N278&lt;=26,240,IF(N278&lt;=27,250,IF(N278&lt;=28,260,IF(N278&lt;=29,270,IF(N278&lt;=30,280,280+10*ROUNDUP(N278-30,0)))))))))))))))))))))))))))))))</f>
        <v>13</v>
      </c>
      <c r="AA278" s="11">
        <v>0</v>
      </c>
      <c r="AB278" s="11">
        <v>0</v>
      </c>
      <c r="AC278" s="11">
        <v>0</v>
      </c>
      <c r="AD278" s="11">
        <v>0</v>
      </c>
      <c r="AE278" s="11">
        <f t="shared" si="29"/>
        <v>0.78</v>
      </c>
      <c r="AF278" s="11">
        <f t="shared" si="30"/>
        <v>13.78</v>
      </c>
      <c r="AG278" t="s">
        <v>94</v>
      </c>
    </row>
    <row r="279" spans="1:33" ht="15" customHeight="1" x14ac:dyDescent="0.35">
      <c r="A279">
        <v>690929</v>
      </c>
      <c r="B279" t="s">
        <v>33</v>
      </c>
      <c r="C279" t="s">
        <v>34</v>
      </c>
      <c r="D279" s="6" t="s">
        <v>33</v>
      </c>
      <c r="E279" t="s">
        <v>953</v>
      </c>
      <c r="F279" t="s">
        <v>36</v>
      </c>
      <c r="G279" t="s">
        <v>37</v>
      </c>
      <c r="H279" t="s">
        <v>954</v>
      </c>
      <c r="I279" t="s">
        <v>39</v>
      </c>
      <c r="J279">
        <v>2</v>
      </c>
      <c r="K279" t="s">
        <v>40</v>
      </c>
      <c r="L279" t="s">
        <v>41</v>
      </c>
      <c r="M279" t="s">
        <v>42</v>
      </c>
      <c r="N279" s="7">
        <v>2</v>
      </c>
      <c r="O279" s="8">
        <v>45092.70584490741</v>
      </c>
      <c r="P279" s="9">
        <v>45095</v>
      </c>
      <c r="Q279" t="s">
        <v>36</v>
      </c>
      <c r="R279" t="s">
        <v>43</v>
      </c>
      <c r="S279" t="s">
        <v>44</v>
      </c>
      <c r="T279" t="s">
        <v>167</v>
      </c>
      <c r="U279" t="s">
        <v>955</v>
      </c>
      <c r="V279">
        <v>13500</v>
      </c>
      <c r="W279" t="s">
        <v>43</v>
      </c>
      <c r="X279" t="s">
        <v>956</v>
      </c>
      <c r="Y279" t="s">
        <v>48</v>
      </c>
      <c r="Z279" s="10">
        <f t="shared" ref="Z279:Z295" si="31">IF(N279&lt;=1,7,7+0.8*ROUNDUP(N279-1,0))</f>
        <v>7.8</v>
      </c>
      <c r="AA279" s="11">
        <v>0</v>
      </c>
      <c r="AB279" s="11">
        <v>0</v>
      </c>
      <c r="AC279" s="11">
        <v>0</v>
      </c>
      <c r="AD279" s="11">
        <v>0</v>
      </c>
      <c r="AE279" s="11">
        <f t="shared" si="29"/>
        <v>0.46799999999999997</v>
      </c>
      <c r="AF279" s="11">
        <f t="shared" si="30"/>
        <v>8.2680000000000007</v>
      </c>
      <c r="AG279" t="s">
        <v>43</v>
      </c>
    </row>
    <row r="280" spans="1:33" ht="15" customHeight="1" x14ac:dyDescent="0.35">
      <c r="A280">
        <v>690929</v>
      </c>
      <c r="B280" t="s">
        <v>33</v>
      </c>
      <c r="C280" t="s">
        <v>34</v>
      </c>
      <c r="D280" s="6" t="s">
        <v>33</v>
      </c>
      <c r="E280" t="s">
        <v>957</v>
      </c>
      <c r="G280" t="s">
        <v>37</v>
      </c>
      <c r="H280" t="s">
        <v>38</v>
      </c>
      <c r="I280" t="s">
        <v>39</v>
      </c>
      <c r="J280">
        <v>2</v>
      </c>
      <c r="K280" t="s">
        <v>40</v>
      </c>
      <c r="L280" t="s">
        <v>41</v>
      </c>
      <c r="M280" t="s">
        <v>42</v>
      </c>
      <c r="N280" s="7">
        <v>3</v>
      </c>
      <c r="O280" s="8">
        <v>45104.679444444446</v>
      </c>
      <c r="P280" s="9">
        <v>45105</v>
      </c>
      <c r="R280" t="s">
        <v>43</v>
      </c>
      <c r="S280" t="s">
        <v>44</v>
      </c>
      <c r="T280" t="s">
        <v>45</v>
      </c>
      <c r="U280" t="s">
        <v>46</v>
      </c>
      <c r="V280">
        <v>42300</v>
      </c>
      <c r="W280" t="s">
        <v>43</v>
      </c>
      <c r="X280" t="s">
        <v>47</v>
      </c>
      <c r="Y280" t="s">
        <v>48</v>
      </c>
      <c r="Z280" s="10">
        <f t="shared" si="31"/>
        <v>8.6</v>
      </c>
      <c r="AA280" s="11">
        <v>0</v>
      </c>
      <c r="AB280" s="11">
        <v>0</v>
      </c>
      <c r="AC280" s="11">
        <v>0</v>
      </c>
      <c r="AD280" s="11">
        <v>0</v>
      </c>
      <c r="AE280" s="11">
        <f t="shared" si="29"/>
        <v>0.51600000000000001</v>
      </c>
      <c r="AF280" s="11">
        <f t="shared" si="30"/>
        <v>9.1159999999999997</v>
      </c>
      <c r="AG280" t="s">
        <v>43</v>
      </c>
    </row>
    <row r="281" spans="1:33" ht="15" customHeight="1" x14ac:dyDescent="0.35">
      <c r="A281">
        <v>690929</v>
      </c>
      <c r="B281" t="s">
        <v>33</v>
      </c>
      <c r="C281" t="s">
        <v>34</v>
      </c>
      <c r="D281" s="6" t="s">
        <v>33</v>
      </c>
      <c r="E281" t="s">
        <v>958</v>
      </c>
      <c r="G281" t="s">
        <v>37</v>
      </c>
      <c r="H281" t="s">
        <v>959</v>
      </c>
      <c r="I281" t="s">
        <v>39</v>
      </c>
      <c r="J281">
        <v>2</v>
      </c>
      <c r="K281" t="s">
        <v>40</v>
      </c>
      <c r="L281" t="s">
        <v>41</v>
      </c>
      <c r="M281" t="s">
        <v>42</v>
      </c>
      <c r="N281" s="7">
        <v>1</v>
      </c>
      <c r="O281" s="8">
        <v>45104.728530092594</v>
      </c>
      <c r="P281" s="9">
        <v>45105</v>
      </c>
      <c r="R281" t="s">
        <v>43</v>
      </c>
      <c r="S281" t="s">
        <v>44</v>
      </c>
      <c r="T281" t="s">
        <v>45</v>
      </c>
      <c r="U281" t="s">
        <v>960</v>
      </c>
      <c r="V281">
        <v>68000</v>
      </c>
      <c r="W281" t="s">
        <v>43</v>
      </c>
      <c r="X281" t="s">
        <v>67</v>
      </c>
      <c r="Y281" t="s">
        <v>48</v>
      </c>
      <c r="Z281" s="10">
        <f t="shared" si="31"/>
        <v>7</v>
      </c>
      <c r="AA281" s="11">
        <v>0</v>
      </c>
      <c r="AB281" s="11">
        <v>0</v>
      </c>
      <c r="AC281" s="11">
        <v>0</v>
      </c>
      <c r="AD281" s="11">
        <v>0</v>
      </c>
      <c r="AE281" s="11">
        <f t="shared" si="29"/>
        <v>0.42</v>
      </c>
      <c r="AF281" s="11">
        <f t="shared" si="30"/>
        <v>7.42</v>
      </c>
      <c r="AG281" t="s">
        <v>43</v>
      </c>
    </row>
    <row r="282" spans="1:33" ht="15" customHeight="1" x14ac:dyDescent="0.35">
      <c r="A282">
        <v>690929</v>
      </c>
      <c r="B282" t="s">
        <v>33</v>
      </c>
      <c r="C282" t="s">
        <v>34</v>
      </c>
      <c r="D282" s="6" t="s">
        <v>33</v>
      </c>
      <c r="E282" t="s">
        <v>961</v>
      </c>
      <c r="G282" t="s">
        <v>37</v>
      </c>
      <c r="H282" t="s">
        <v>962</v>
      </c>
      <c r="I282" t="s">
        <v>39</v>
      </c>
      <c r="J282">
        <v>2</v>
      </c>
      <c r="K282" t="s">
        <v>40</v>
      </c>
      <c r="L282" t="s">
        <v>41</v>
      </c>
      <c r="M282" t="s">
        <v>42</v>
      </c>
      <c r="N282" s="7">
        <v>4</v>
      </c>
      <c r="O282" s="8">
        <v>45103.54550925926</v>
      </c>
      <c r="P282" s="9">
        <v>45105</v>
      </c>
      <c r="R282" t="s">
        <v>43</v>
      </c>
      <c r="S282" t="s">
        <v>44</v>
      </c>
      <c r="T282" t="s">
        <v>124</v>
      </c>
      <c r="U282" t="s">
        <v>963</v>
      </c>
      <c r="V282">
        <v>36800</v>
      </c>
      <c r="W282" t="s">
        <v>43</v>
      </c>
      <c r="X282" t="s">
        <v>964</v>
      </c>
      <c r="Y282" t="s">
        <v>48</v>
      </c>
      <c r="Z282" s="10">
        <f t="shared" si="31"/>
        <v>9.4</v>
      </c>
      <c r="AA282" s="11">
        <v>0</v>
      </c>
      <c r="AB282" s="11">
        <v>0</v>
      </c>
      <c r="AC282" s="11">
        <v>0</v>
      </c>
      <c r="AD282" s="11">
        <v>0</v>
      </c>
      <c r="AE282" s="11">
        <f t="shared" si="29"/>
        <v>0.56399999999999995</v>
      </c>
      <c r="AF282" s="11">
        <f t="shared" si="30"/>
        <v>9.9640000000000004</v>
      </c>
      <c r="AG282" t="s">
        <v>43</v>
      </c>
    </row>
    <row r="283" spans="1:33" ht="15" customHeight="1" x14ac:dyDescent="0.35">
      <c r="A283">
        <v>690929</v>
      </c>
      <c r="B283" t="s">
        <v>33</v>
      </c>
      <c r="C283" t="s">
        <v>34</v>
      </c>
      <c r="D283" s="6" t="s">
        <v>33</v>
      </c>
      <c r="E283" t="s">
        <v>965</v>
      </c>
      <c r="G283" t="s">
        <v>37</v>
      </c>
      <c r="H283" t="s">
        <v>966</v>
      </c>
      <c r="I283" t="s">
        <v>39</v>
      </c>
      <c r="J283">
        <v>2</v>
      </c>
      <c r="K283" t="s">
        <v>40</v>
      </c>
      <c r="L283" t="s">
        <v>41</v>
      </c>
      <c r="M283" t="s">
        <v>42</v>
      </c>
      <c r="N283" s="7">
        <v>1</v>
      </c>
      <c r="O283" s="8">
        <v>45104.727685185186</v>
      </c>
      <c r="P283" s="9">
        <v>45105</v>
      </c>
      <c r="R283" t="s">
        <v>43</v>
      </c>
      <c r="S283" t="s">
        <v>44</v>
      </c>
      <c r="T283" t="s">
        <v>74</v>
      </c>
      <c r="U283" t="s">
        <v>967</v>
      </c>
      <c r="V283">
        <v>58200</v>
      </c>
      <c r="W283" t="s">
        <v>43</v>
      </c>
      <c r="X283" t="s">
        <v>615</v>
      </c>
      <c r="Y283" t="s">
        <v>48</v>
      </c>
      <c r="Z283" s="10">
        <f t="shared" si="31"/>
        <v>7</v>
      </c>
      <c r="AA283" s="11">
        <v>0</v>
      </c>
      <c r="AB283" s="11">
        <v>0</v>
      </c>
      <c r="AC283" s="11">
        <v>0</v>
      </c>
      <c r="AD283" s="11">
        <v>0</v>
      </c>
      <c r="AE283" s="11">
        <f t="shared" si="29"/>
        <v>0.42</v>
      </c>
      <c r="AF283" s="11">
        <f t="shared" si="30"/>
        <v>7.42</v>
      </c>
      <c r="AG283" t="s">
        <v>43</v>
      </c>
    </row>
    <row r="284" spans="1:33" ht="15" customHeight="1" x14ac:dyDescent="0.35">
      <c r="A284">
        <v>690929</v>
      </c>
      <c r="B284" t="s">
        <v>33</v>
      </c>
      <c r="C284" t="s">
        <v>34</v>
      </c>
      <c r="D284" s="6" t="s">
        <v>33</v>
      </c>
      <c r="E284" t="s">
        <v>968</v>
      </c>
      <c r="G284" t="s">
        <v>37</v>
      </c>
      <c r="H284" t="s">
        <v>969</v>
      </c>
      <c r="I284" t="s">
        <v>39</v>
      </c>
      <c r="J284">
        <v>2</v>
      </c>
      <c r="K284" t="s">
        <v>40</v>
      </c>
      <c r="L284" t="s">
        <v>41</v>
      </c>
      <c r="M284" t="s">
        <v>42</v>
      </c>
      <c r="N284" s="7">
        <v>6</v>
      </c>
      <c r="O284" s="8">
        <v>45103.45621527778</v>
      </c>
      <c r="P284" s="9">
        <v>45105</v>
      </c>
      <c r="R284" t="s">
        <v>43</v>
      </c>
      <c r="S284" t="s">
        <v>44</v>
      </c>
      <c r="T284" t="s">
        <v>118</v>
      </c>
      <c r="U284" t="s">
        <v>970</v>
      </c>
      <c r="V284">
        <v>71800</v>
      </c>
      <c r="W284" t="s">
        <v>43</v>
      </c>
      <c r="X284" t="s">
        <v>67</v>
      </c>
      <c r="Y284" t="s">
        <v>48</v>
      </c>
      <c r="Z284" s="10">
        <f t="shared" si="31"/>
        <v>11</v>
      </c>
      <c r="AA284" s="11">
        <v>0</v>
      </c>
      <c r="AB284" s="11">
        <v>0</v>
      </c>
      <c r="AC284" s="11">
        <v>0</v>
      </c>
      <c r="AD284" s="11">
        <v>0</v>
      </c>
      <c r="AE284" s="11">
        <f t="shared" si="29"/>
        <v>0.65999999999999992</v>
      </c>
      <c r="AF284" s="11">
        <f t="shared" si="30"/>
        <v>11.66</v>
      </c>
      <c r="AG284" t="s">
        <v>43</v>
      </c>
    </row>
    <row r="285" spans="1:33" ht="15" customHeight="1" x14ac:dyDescent="0.35">
      <c r="A285">
        <v>690929</v>
      </c>
      <c r="B285" t="s">
        <v>33</v>
      </c>
      <c r="C285" t="s">
        <v>34</v>
      </c>
      <c r="D285" s="6" t="s">
        <v>33</v>
      </c>
      <c r="E285" t="s">
        <v>971</v>
      </c>
      <c r="G285" t="s">
        <v>37</v>
      </c>
      <c r="H285" t="s">
        <v>972</v>
      </c>
      <c r="I285" t="s">
        <v>39</v>
      </c>
      <c r="J285">
        <v>2</v>
      </c>
      <c r="K285" t="s">
        <v>40</v>
      </c>
      <c r="L285" t="s">
        <v>41</v>
      </c>
      <c r="M285" t="s">
        <v>42</v>
      </c>
      <c r="N285" s="7">
        <v>1</v>
      </c>
      <c r="O285" s="8">
        <v>45103.424560185187</v>
      </c>
      <c r="P285" s="9">
        <v>45105</v>
      </c>
      <c r="R285" t="s">
        <v>43</v>
      </c>
      <c r="S285" t="s">
        <v>44</v>
      </c>
      <c r="T285" t="s">
        <v>128</v>
      </c>
      <c r="U285" t="s">
        <v>973</v>
      </c>
      <c r="V285">
        <v>81200</v>
      </c>
      <c r="W285" t="s">
        <v>43</v>
      </c>
      <c r="X285" t="s">
        <v>974</v>
      </c>
      <c r="Y285" t="s">
        <v>48</v>
      </c>
      <c r="Z285" s="10">
        <f t="shared" si="31"/>
        <v>7</v>
      </c>
      <c r="AA285" s="11">
        <v>0</v>
      </c>
      <c r="AB285" s="11">
        <v>0</v>
      </c>
      <c r="AC285" s="11">
        <v>0</v>
      </c>
      <c r="AD285" s="11">
        <v>0</v>
      </c>
      <c r="AE285" s="11">
        <f t="shared" si="29"/>
        <v>0.42</v>
      </c>
      <c r="AF285" s="11">
        <f t="shared" si="30"/>
        <v>7.42</v>
      </c>
      <c r="AG285" t="s">
        <v>43</v>
      </c>
    </row>
    <row r="286" spans="1:33" ht="15" customHeight="1" x14ac:dyDescent="0.35">
      <c r="A286">
        <v>690929</v>
      </c>
      <c r="B286" t="s">
        <v>33</v>
      </c>
      <c r="C286" t="s">
        <v>34</v>
      </c>
      <c r="D286" s="6" t="s">
        <v>33</v>
      </c>
      <c r="E286" t="s">
        <v>975</v>
      </c>
      <c r="G286" t="s">
        <v>37</v>
      </c>
      <c r="H286" t="s">
        <v>976</v>
      </c>
      <c r="I286" t="s">
        <v>39</v>
      </c>
      <c r="J286">
        <v>2</v>
      </c>
      <c r="K286" t="s">
        <v>40</v>
      </c>
      <c r="L286" t="s">
        <v>41</v>
      </c>
      <c r="M286" t="s">
        <v>42</v>
      </c>
      <c r="N286" s="7">
        <v>1</v>
      </c>
      <c r="O286" s="8">
        <v>45104.588101851848</v>
      </c>
      <c r="P286" s="9">
        <v>45105</v>
      </c>
      <c r="R286" t="s">
        <v>43</v>
      </c>
      <c r="S286" t="s">
        <v>44</v>
      </c>
      <c r="T286" t="s">
        <v>45</v>
      </c>
      <c r="U286" t="s">
        <v>977</v>
      </c>
      <c r="V286">
        <v>43000</v>
      </c>
      <c r="W286" t="s">
        <v>43</v>
      </c>
      <c r="X286" t="s">
        <v>52</v>
      </c>
      <c r="Y286" t="s">
        <v>48</v>
      </c>
      <c r="Z286" s="10">
        <f t="shared" si="31"/>
        <v>7</v>
      </c>
      <c r="AA286" s="11">
        <v>0</v>
      </c>
      <c r="AB286" s="11">
        <v>0</v>
      </c>
      <c r="AC286" s="11">
        <v>0</v>
      </c>
      <c r="AD286" s="11">
        <v>0</v>
      </c>
      <c r="AE286" s="11">
        <f t="shared" si="29"/>
        <v>0.42</v>
      </c>
      <c r="AF286" s="11">
        <f t="shared" si="30"/>
        <v>7.42</v>
      </c>
      <c r="AG286" t="s">
        <v>43</v>
      </c>
    </row>
    <row r="287" spans="1:33" ht="15" customHeight="1" x14ac:dyDescent="0.35">
      <c r="A287">
        <v>690929</v>
      </c>
      <c r="B287" t="s">
        <v>33</v>
      </c>
      <c r="C287" t="s">
        <v>34</v>
      </c>
      <c r="D287" s="6" t="s">
        <v>33</v>
      </c>
      <c r="E287" t="s">
        <v>978</v>
      </c>
      <c r="G287" t="s">
        <v>37</v>
      </c>
      <c r="H287" t="s">
        <v>979</v>
      </c>
      <c r="I287" t="s">
        <v>39</v>
      </c>
      <c r="J287">
        <v>2</v>
      </c>
      <c r="K287" t="s">
        <v>40</v>
      </c>
      <c r="L287" t="s">
        <v>41</v>
      </c>
      <c r="M287" t="s">
        <v>42</v>
      </c>
      <c r="N287" s="7">
        <v>3</v>
      </c>
      <c r="O287" s="8">
        <v>45104.55982638889</v>
      </c>
      <c r="P287" s="9">
        <v>45105</v>
      </c>
      <c r="R287" t="s">
        <v>43</v>
      </c>
      <c r="S287" t="s">
        <v>44</v>
      </c>
      <c r="T287" t="s">
        <v>62</v>
      </c>
      <c r="U287" t="s">
        <v>980</v>
      </c>
      <c r="V287">
        <v>24060</v>
      </c>
      <c r="W287" t="s">
        <v>43</v>
      </c>
      <c r="X287" t="s">
        <v>218</v>
      </c>
      <c r="Y287" t="s">
        <v>48</v>
      </c>
      <c r="Z287" s="10">
        <f t="shared" si="31"/>
        <v>8.6</v>
      </c>
      <c r="AA287" s="11">
        <v>0</v>
      </c>
      <c r="AB287" s="11">
        <v>0</v>
      </c>
      <c r="AC287" s="11">
        <v>0</v>
      </c>
      <c r="AD287" s="11">
        <v>0</v>
      </c>
      <c r="AE287" s="11">
        <f t="shared" si="29"/>
        <v>0.51600000000000001</v>
      </c>
      <c r="AF287" s="11">
        <f t="shared" si="30"/>
        <v>9.1159999999999997</v>
      </c>
      <c r="AG287" t="s">
        <v>43</v>
      </c>
    </row>
    <row r="288" spans="1:33" ht="15" customHeight="1" x14ac:dyDescent="0.35">
      <c r="A288">
        <v>690929</v>
      </c>
      <c r="B288" t="s">
        <v>33</v>
      </c>
      <c r="C288" t="s">
        <v>34</v>
      </c>
      <c r="D288" s="6" t="s">
        <v>33</v>
      </c>
      <c r="E288" t="s">
        <v>981</v>
      </c>
      <c r="G288" t="s">
        <v>37</v>
      </c>
      <c r="H288" t="s">
        <v>982</v>
      </c>
      <c r="I288" t="s">
        <v>39</v>
      </c>
      <c r="J288">
        <v>2</v>
      </c>
      <c r="K288" t="s">
        <v>40</v>
      </c>
      <c r="L288" t="s">
        <v>41</v>
      </c>
      <c r="M288" t="s">
        <v>42</v>
      </c>
      <c r="N288" s="7">
        <v>1</v>
      </c>
      <c r="O288" s="8">
        <v>45104.55982638889</v>
      </c>
      <c r="P288" s="9">
        <v>45105</v>
      </c>
      <c r="R288" t="s">
        <v>43</v>
      </c>
      <c r="S288" t="s">
        <v>44</v>
      </c>
      <c r="T288" t="s">
        <v>62</v>
      </c>
      <c r="U288" t="s">
        <v>983</v>
      </c>
      <c r="V288">
        <v>22200</v>
      </c>
      <c r="W288" t="s">
        <v>43</v>
      </c>
      <c r="X288" t="s">
        <v>210</v>
      </c>
      <c r="Y288" t="s">
        <v>48</v>
      </c>
      <c r="Z288" s="10">
        <f t="shared" si="31"/>
        <v>7</v>
      </c>
      <c r="AA288" s="11">
        <v>0</v>
      </c>
      <c r="AB288" s="11">
        <v>0</v>
      </c>
      <c r="AC288" s="11">
        <v>0</v>
      </c>
      <c r="AD288" s="11">
        <v>0</v>
      </c>
      <c r="AE288" s="11">
        <f t="shared" si="29"/>
        <v>0.42</v>
      </c>
      <c r="AF288" s="11">
        <f t="shared" si="30"/>
        <v>7.42</v>
      </c>
      <c r="AG288" t="s">
        <v>43</v>
      </c>
    </row>
    <row r="289" spans="1:33" ht="15" customHeight="1" x14ac:dyDescent="0.35">
      <c r="A289">
        <v>690929</v>
      </c>
      <c r="B289" t="s">
        <v>33</v>
      </c>
      <c r="C289" t="s">
        <v>34</v>
      </c>
      <c r="D289" s="6" t="s">
        <v>33</v>
      </c>
      <c r="E289" t="s">
        <v>984</v>
      </c>
      <c r="G289" t="s">
        <v>37</v>
      </c>
      <c r="H289" t="s">
        <v>985</v>
      </c>
      <c r="I289" t="s">
        <v>39</v>
      </c>
      <c r="J289">
        <v>2</v>
      </c>
      <c r="K289" t="s">
        <v>40</v>
      </c>
      <c r="L289" t="s">
        <v>41</v>
      </c>
      <c r="M289" t="s">
        <v>42</v>
      </c>
      <c r="N289" s="7">
        <v>1</v>
      </c>
      <c r="O289" s="8">
        <v>45103.500648148147</v>
      </c>
      <c r="P289" s="9">
        <v>45105</v>
      </c>
      <c r="R289" t="s">
        <v>43</v>
      </c>
      <c r="S289" t="s">
        <v>44</v>
      </c>
      <c r="T289" t="s">
        <v>101</v>
      </c>
      <c r="U289" t="s">
        <v>986</v>
      </c>
      <c r="V289">
        <v>6050</v>
      </c>
      <c r="W289" t="s">
        <v>43</v>
      </c>
      <c r="X289" t="s">
        <v>927</v>
      </c>
      <c r="Y289" t="s">
        <v>48</v>
      </c>
      <c r="Z289" s="10">
        <f t="shared" si="31"/>
        <v>7</v>
      </c>
      <c r="AA289" s="11">
        <v>0</v>
      </c>
      <c r="AB289" s="11">
        <v>0</v>
      </c>
      <c r="AC289" s="11">
        <v>0</v>
      </c>
      <c r="AD289" s="11">
        <v>0</v>
      </c>
      <c r="AE289" s="11">
        <f t="shared" si="29"/>
        <v>0.42</v>
      </c>
      <c r="AF289" s="11">
        <f t="shared" si="30"/>
        <v>7.42</v>
      </c>
      <c r="AG289" t="s">
        <v>43</v>
      </c>
    </row>
    <row r="290" spans="1:33" ht="15" customHeight="1" x14ac:dyDescent="0.35">
      <c r="A290">
        <v>690929</v>
      </c>
      <c r="B290" t="s">
        <v>33</v>
      </c>
      <c r="C290" t="s">
        <v>34</v>
      </c>
      <c r="D290" s="6" t="s">
        <v>33</v>
      </c>
      <c r="E290" t="s">
        <v>987</v>
      </c>
      <c r="G290" t="s">
        <v>37</v>
      </c>
      <c r="H290" t="s">
        <v>988</v>
      </c>
      <c r="I290" t="s">
        <v>39</v>
      </c>
      <c r="J290">
        <v>2</v>
      </c>
      <c r="K290" t="s">
        <v>40</v>
      </c>
      <c r="L290" t="s">
        <v>41</v>
      </c>
      <c r="M290" t="s">
        <v>42</v>
      </c>
      <c r="N290" s="7">
        <v>1</v>
      </c>
      <c r="O290" s="8">
        <v>45104.720138888886</v>
      </c>
      <c r="P290" s="9">
        <v>45105</v>
      </c>
      <c r="R290" t="s">
        <v>43</v>
      </c>
      <c r="S290" t="s">
        <v>44</v>
      </c>
      <c r="T290" t="s">
        <v>45</v>
      </c>
      <c r="U290" t="s">
        <v>989</v>
      </c>
      <c r="V290">
        <v>53100</v>
      </c>
      <c r="W290" t="s">
        <v>43</v>
      </c>
      <c r="X290" t="s">
        <v>353</v>
      </c>
      <c r="Y290" t="s">
        <v>48</v>
      </c>
      <c r="Z290" s="10">
        <f t="shared" si="31"/>
        <v>7</v>
      </c>
      <c r="AA290" s="11">
        <v>0</v>
      </c>
      <c r="AB290" s="11">
        <v>0</v>
      </c>
      <c r="AC290" s="11">
        <v>0</v>
      </c>
      <c r="AD290" s="11">
        <v>0</v>
      </c>
      <c r="AE290" s="11">
        <f t="shared" si="29"/>
        <v>0.42</v>
      </c>
      <c r="AF290" s="11">
        <f t="shared" si="30"/>
        <v>7.42</v>
      </c>
      <c r="AG290" t="s">
        <v>43</v>
      </c>
    </row>
    <row r="291" spans="1:33" ht="15" customHeight="1" x14ac:dyDescent="0.35">
      <c r="A291">
        <v>690929</v>
      </c>
      <c r="B291" t="s">
        <v>33</v>
      </c>
      <c r="C291" t="s">
        <v>34</v>
      </c>
      <c r="D291" s="6" t="s">
        <v>33</v>
      </c>
      <c r="E291" t="s">
        <v>990</v>
      </c>
      <c r="G291" t="s">
        <v>37</v>
      </c>
      <c r="H291" t="s">
        <v>991</v>
      </c>
      <c r="I291" t="s">
        <v>39</v>
      </c>
      <c r="J291">
        <v>2</v>
      </c>
      <c r="K291" t="s">
        <v>40</v>
      </c>
      <c r="L291" t="s">
        <v>41</v>
      </c>
      <c r="M291" t="s">
        <v>42</v>
      </c>
      <c r="N291" s="7">
        <v>3</v>
      </c>
      <c r="O291" s="8">
        <v>45104.55982638889</v>
      </c>
      <c r="P291" s="9">
        <v>45105</v>
      </c>
      <c r="R291" t="s">
        <v>43</v>
      </c>
      <c r="S291" t="s">
        <v>44</v>
      </c>
      <c r="T291" t="s">
        <v>45</v>
      </c>
      <c r="U291" t="s">
        <v>992</v>
      </c>
      <c r="V291">
        <v>53100</v>
      </c>
      <c r="W291" t="s">
        <v>43</v>
      </c>
      <c r="X291" t="s">
        <v>353</v>
      </c>
      <c r="Y291" t="s">
        <v>48</v>
      </c>
      <c r="Z291" s="10">
        <f t="shared" si="31"/>
        <v>8.6</v>
      </c>
      <c r="AA291" s="11">
        <v>0</v>
      </c>
      <c r="AB291" s="11">
        <v>0</v>
      </c>
      <c r="AC291" s="11">
        <v>0</v>
      </c>
      <c r="AD291" s="11">
        <v>0</v>
      </c>
      <c r="AE291" s="11">
        <f t="shared" si="29"/>
        <v>0.51600000000000001</v>
      </c>
      <c r="AF291" s="11">
        <f t="shared" si="30"/>
        <v>9.1159999999999997</v>
      </c>
      <c r="AG291" t="s">
        <v>43</v>
      </c>
    </row>
    <row r="292" spans="1:33" ht="15" customHeight="1" x14ac:dyDescent="0.35">
      <c r="A292">
        <v>690929</v>
      </c>
      <c r="B292" t="s">
        <v>33</v>
      </c>
      <c r="C292" t="s">
        <v>34</v>
      </c>
      <c r="D292" s="6" t="s">
        <v>33</v>
      </c>
      <c r="E292" t="s">
        <v>993</v>
      </c>
      <c r="G292" t="s">
        <v>37</v>
      </c>
      <c r="H292" t="s">
        <v>994</v>
      </c>
      <c r="I292" t="s">
        <v>39</v>
      </c>
      <c r="J292">
        <v>2</v>
      </c>
      <c r="K292" t="s">
        <v>40</v>
      </c>
      <c r="L292" t="s">
        <v>41</v>
      </c>
      <c r="M292" t="s">
        <v>42</v>
      </c>
      <c r="N292" s="7">
        <v>2</v>
      </c>
      <c r="O292" s="8">
        <v>45103.45621527778</v>
      </c>
      <c r="P292" s="9">
        <v>45107</v>
      </c>
      <c r="R292" t="s">
        <v>43</v>
      </c>
      <c r="S292" t="s">
        <v>44</v>
      </c>
      <c r="T292" t="s">
        <v>128</v>
      </c>
      <c r="U292" t="s">
        <v>995</v>
      </c>
      <c r="V292">
        <v>81300</v>
      </c>
      <c r="W292" t="s">
        <v>43</v>
      </c>
      <c r="X292" t="s">
        <v>931</v>
      </c>
      <c r="Y292" t="s">
        <v>48</v>
      </c>
      <c r="Z292" s="10">
        <f t="shared" si="31"/>
        <v>7.8</v>
      </c>
      <c r="AA292" s="11">
        <v>0</v>
      </c>
      <c r="AB292" s="11">
        <v>0</v>
      </c>
      <c r="AC292" s="11">
        <v>0</v>
      </c>
      <c r="AD292" s="11">
        <v>0</v>
      </c>
      <c r="AE292" s="11">
        <f t="shared" si="29"/>
        <v>0.46799999999999997</v>
      </c>
      <c r="AF292" s="11">
        <f t="shared" si="30"/>
        <v>8.2680000000000007</v>
      </c>
      <c r="AG292" t="s">
        <v>43</v>
      </c>
    </row>
    <row r="293" spans="1:33" ht="15" customHeight="1" x14ac:dyDescent="0.35">
      <c r="A293">
        <v>690929</v>
      </c>
      <c r="B293" t="s">
        <v>33</v>
      </c>
      <c r="C293" t="s">
        <v>34</v>
      </c>
      <c r="D293" s="6" t="s">
        <v>33</v>
      </c>
      <c r="E293" t="s">
        <v>996</v>
      </c>
      <c r="G293" t="s">
        <v>37</v>
      </c>
      <c r="H293" t="s">
        <v>740</v>
      </c>
      <c r="I293" t="s">
        <v>39</v>
      </c>
      <c r="J293">
        <v>2</v>
      </c>
      <c r="K293" t="s">
        <v>40</v>
      </c>
      <c r="L293" t="s">
        <v>41</v>
      </c>
      <c r="M293" t="s">
        <v>42</v>
      </c>
      <c r="N293" s="7">
        <v>1</v>
      </c>
      <c r="O293" s="8">
        <v>45105.547372685185</v>
      </c>
      <c r="P293" s="9">
        <v>45107</v>
      </c>
      <c r="R293" t="s">
        <v>43</v>
      </c>
      <c r="S293" t="s">
        <v>44</v>
      </c>
      <c r="T293" t="s">
        <v>106</v>
      </c>
      <c r="U293" t="s">
        <v>997</v>
      </c>
      <c r="V293">
        <v>28000</v>
      </c>
      <c r="W293" t="s">
        <v>43</v>
      </c>
      <c r="X293" t="s">
        <v>44</v>
      </c>
      <c r="Y293" t="s">
        <v>48</v>
      </c>
      <c r="Z293" s="10">
        <f t="shared" si="31"/>
        <v>7</v>
      </c>
      <c r="AA293" s="11">
        <v>0</v>
      </c>
      <c r="AB293" s="11">
        <v>0</v>
      </c>
      <c r="AC293" s="11">
        <v>0</v>
      </c>
      <c r="AD293" s="11">
        <v>0</v>
      </c>
      <c r="AE293" s="11">
        <f t="shared" si="29"/>
        <v>0.42</v>
      </c>
      <c r="AF293" s="11">
        <f t="shared" si="30"/>
        <v>7.42</v>
      </c>
      <c r="AG293" t="s">
        <v>43</v>
      </c>
    </row>
    <row r="294" spans="1:33" ht="15" customHeight="1" x14ac:dyDescent="0.35">
      <c r="A294">
        <v>690929</v>
      </c>
      <c r="B294" t="s">
        <v>33</v>
      </c>
      <c r="C294" t="s">
        <v>34</v>
      </c>
      <c r="D294" s="6" t="s">
        <v>33</v>
      </c>
      <c r="E294" t="s">
        <v>998</v>
      </c>
      <c r="G294" t="s">
        <v>37</v>
      </c>
      <c r="H294" t="s">
        <v>999</v>
      </c>
      <c r="I294" t="s">
        <v>39</v>
      </c>
      <c r="J294">
        <v>2</v>
      </c>
      <c r="K294" t="s">
        <v>40</v>
      </c>
      <c r="L294" t="s">
        <v>41</v>
      </c>
      <c r="M294" t="s">
        <v>42</v>
      </c>
      <c r="N294" s="7">
        <v>16</v>
      </c>
      <c r="O294" s="8">
        <v>45105.595370370371</v>
      </c>
      <c r="P294" s="9">
        <v>45107</v>
      </c>
      <c r="R294" t="s">
        <v>43</v>
      </c>
      <c r="S294" t="s">
        <v>44</v>
      </c>
      <c r="T294" t="s">
        <v>62</v>
      </c>
      <c r="U294" t="s">
        <v>1000</v>
      </c>
      <c r="V294">
        <v>21100</v>
      </c>
      <c r="W294" t="s">
        <v>43</v>
      </c>
      <c r="X294" t="s">
        <v>912</v>
      </c>
      <c r="Y294" t="s">
        <v>48</v>
      </c>
      <c r="Z294" s="10">
        <f t="shared" si="31"/>
        <v>19</v>
      </c>
      <c r="AA294" s="11">
        <v>0</v>
      </c>
      <c r="AB294" s="11">
        <v>0</v>
      </c>
      <c r="AC294" s="11">
        <v>0</v>
      </c>
      <c r="AD294" s="11">
        <v>0</v>
      </c>
      <c r="AE294" s="11">
        <f t="shared" si="29"/>
        <v>1.1399999999999999</v>
      </c>
      <c r="AF294" s="11">
        <f t="shared" si="30"/>
        <v>20.14</v>
      </c>
      <c r="AG294" t="s">
        <v>43</v>
      </c>
    </row>
    <row r="295" spans="1:33" ht="15" customHeight="1" x14ac:dyDescent="0.35">
      <c r="A295">
        <v>690929</v>
      </c>
      <c r="B295" t="s">
        <v>33</v>
      </c>
      <c r="C295" t="s">
        <v>34</v>
      </c>
      <c r="D295" s="6" t="s">
        <v>33</v>
      </c>
      <c r="E295" t="s">
        <v>1001</v>
      </c>
      <c r="G295" t="s">
        <v>37</v>
      </c>
      <c r="H295" t="s">
        <v>1002</v>
      </c>
      <c r="I295" t="s">
        <v>39</v>
      </c>
      <c r="J295">
        <v>2</v>
      </c>
      <c r="K295" t="s">
        <v>40</v>
      </c>
      <c r="L295" t="s">
        <v>41</v>
      </c>
      <c r="M295" t="s">
        <v>42</v>
      </c>
      <c r="N295" s="7">
        <v>1</v>
      </c>
      <c r="O295" s="8">
        <v>45105.451643518521</v>
      </c>
      <c r="P295" s="9">
        <v>45107</v>
      </c>
      <c r="R295" t="s">
        <v>43</v>
      </c>
      <c r="S295" t="s">
        <v>44</v>
      </c>
      <c r="T295" t="s">
        <v>45</v>
      </c>
      <c r="U295" t="s">
        <v>1003</v>
      </c>
      <c r="V295">
        <v>47810</v>
      </c>
      <c r="W295" t="s">
        <v>43</v>
      </c>
      <c r="X295" t="s">
        <v>602</v>
      </c>
      <c r="Y295" t="s">
        <v>48</v>
      </c>
      <c r="Z295" s="10">
        <f t="shared" si="31"/>
        <v>7</v>
      </c>
      <c r="AA295" s="11">
        <v>0</v>
      </c>
      <c r="AB295" s="11">
        <v>0</v>
      </c>
      <c r="AC295" s="11">
        <v>0</v>
      </c>
      <c r="AD295" s="11">
        <v>0</v>
      </c>
      <c r="AE295" s="11">
        <f t="shared" si="29"/>
        <v>0.42</v>
      </c>
      <c r="AF295" s="11">
        <f t="shared" si="30"/>
        <v>7.42</v>
      </c>
      <c r="AG295" t="s">
        <v>43</v>
      </c>
    </row>
    <row r="297" spans="1:33" x14ac:dyDescent="0.35">
      <c r="Z297" s="13">
        <f>SUM(Z2:Z295)</f>
        <v>2910.7999999999988</v>
      </c>
      <c r="AA297" s="13">
        <f>SUM(AA2:AA295)</f>
        <v>0</v>
      </c>
      <c r="AB297" s="13">
        <f>SUM(AB2:AB295)</f>
        <v>0</v>
      </c>
      <c r="AC297" s="13">
        <f>SUM(AC2:AC295)</f>
        <v>0</v>
      </c>
      <c r="AD297" s="13">
        <f>SUM(AD2:AD295)</f>
        <v>0</v>
      </c>
      <c r="AE297" s="13">
        <f>SUM(AE2:AE295)</f>
        <v>174.64799999999954</v>
      </c>
      <c r="AF297" s="13">
        <f>SUM(AF2:AF295)</f>
        <v>3085.4480000000071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NinjaVan</dc:creator>
  <cp:lastModifiedBy>NinjaVan</cp:lastModifiedBy>
  <dcterms:created xsi:type="dcterms:W3CDTF">2023-07-04T04:57:19Z</dcterms:created>
  <dcterms:modified xsi:type="dcterms:W3CDTF">2023-07-04T04:57:20Z</dcterms:modified>
</cp:coreProperties>
</file>