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Mar'23\Billing\ASN\Split file\Walk-in\"/>
    </mc:Choice>
  </mc:AlternateContent>
  <xr:revisionPtr revIDLastSave="0" documentId="8_{975AD32B-2FF9-4382-9230-BA29FF409CB0}" xr6:coauthVersionLast="47" xr6:coauthVersionMax="47" xr10:uidLastSave="{00000000-0000-0000-0000-000000000000}"/>
  <bookViews>
    <workbookView xWindow="28680" yWindow="480" windowWidth="29040" windowHeight="15840" xr2:uid="{5876712B-C438-47F5-91B6-31D338436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3" i="1" l="1"/>
  <c r="AC353" i="1"/>
  <c r="AB353" i="1"/>
  <c r="AA353" i="1"/>
  <c r="Z351" i="1"/>
  <c r="Z350" i="1"/>
  <c r="Z349" i="1"/>
  <c r="Z348" i="1"/>
  <c r="AE348" i="1" s="1"/>
  <c r="AF348" i="1" s="1"/>
  <c r="Z347" i="1"/>
  <c r="AE347" i="1" s="1"/>
  <c r="Z346" i="1"/>
  <c r="AE346" i="1" s="1"/>
  <c r="Z345" i="1"/>
  <c r="AE345" i="1" s="1"/>
  <c r="AF345" i="1" s="1"/>
  <c r="Z344" i="1"/>
  <c r="Z343" i="1"/>
  <c r="Z342" i="1"/>
  <c r="Z341" i="1"/>
  <c r="AE341" i="1" s="1"/>
  <c r="AF341" i="1" s="1"/>
  <c r="Z340" i="1"/>
  <c r="AE340" i="1" s="1"/>
  <c r="AF340" i="1" s="1"/>
  <c r="Z339" i="1"/>
  <c r="AE339" i="1" s="1"/>
  <c r="Z338" i="1"/>
  <c r="AE338" i="1" s="1"/>
  <c r="Z337" i="1"/>
  <c r="AE337" i="1" s="1"/>
  <c r="AF337" i="1" s="1"/>
  <c r="Z336" i="1"/>
  <c r="AE336" i="1" s="1"/>
  <c r="AF336" i="1" s="1"/>
  <c r="Z335" i="1"/>
  <c r="Z334" i="1"/>
  <c r="Z333" i="1"/>
  <c r="AE333" i="1" s="1"/>
  <c r="AF333" i="1" s="1"/>
  <c r="Z332" i="1"/>
  <c r="AE332" i="1" s="1"/>
  <c r="AF332" i="1" s="1"/>
  <c r="Z331" i="1"/>
  <c r="AE331" i="1" s="1"/>
  <c r="AF331" i="1" s="1"/>
  <c r="Z330" i="1"/>
  <c r="AE330" i="1" s="1"/>
  <c r="Z329" i="1"/>
  <c r="AE329" i="1" s="1"/>
  <c r="AF329" i="1" s="1"/>
  <c r="Z328" i="1"/>
  <c r="AE328" i="1" s="1"/>
  <c r="AF328" i="1" s="1"/>
  <c r="Z327" i="1"/>
  <c r="Z326" i="1"/>
  <c r="Z325" i="1"/>
  <c r="AE325" i="1" s="1"/>
  <c r="AF325" i="1" s="1"/>
  <c r="Z324" i="1"/>
  <c r="AE324" i="1" s="1"/>
  <c r="AF324" i="1" s="1"/>
  <c r="Z323" i="1"/>
  <c r="AE323" i="1" s="1"/>
  <c r="AF323" i="1" s="1"/>
  <c r="Z322" i="1"/>
  <c r="AE322" i="1" s="1"/>
  <c r="Z321" i="1"/>
  <c r="AE321" i="1" s="1"/>
  <c r="AF321" i="1" s="1"/>
  <c r="Z320" i="1"/>
  <c r="AE320" i="1" s="1"/>
  <c r="AF320" i="1" s="1"/>
  <c r="Z319" i="1"/>
  <c r="Z318" i="1"/>
  <c r="Z317" i="1"/>
  <c r="AE317" i="1" s="1"/>
  <c r="AF317" i="1" s="1"/>
  <c r="Z316" i="1"/>
  <c r="AE316" i="1" s="1"/>
  <c r="AF316" i="1" s="1"/>
  <c r="Z315" i="1"/>
  <c r="AE315" i="1" s="1"/>
  <c r="AF315" i="1" s="1"/>
  <c r="Z314" i="1"/>
  <c r="AE314" i="1" s="1"/>
  <c r="Z313" i="1"/>
  <c r="AE313" i="1" s="1"/>
  <c r="AF313" i="1" s="1"/>
  <c r="Z312" i="1"/>
  <c r="AE312" i="1" s="1"/>
  <c r="AF312" i="1" s="1"/>
  <c r="Z311" i="1"/>
  <c r="Z310" i="1"/>
  <c r="Z309" i="1"/>
  <c r="AE309" i="1" s="1"/>
  <c r="AF309" i="1" s="1"/>
  <c r="Z308" i="1"/>
  <c r="AE308" i="1" s="1"/>
  <c r="AF308" i="1" s="1"/>
  <c r="Z307" i="1"/>
  <c r="AE307" i="1" s="1"/>
  <c r="Z306" i="1"/>
  <c r="AE306" i="1" s="1"/>
  <c r="Z305" i="1"/>
  <c r="AE305" i="1" s="1"/>
  <c r="AF305" i="1" s="1"/>
  <c r="Z304" i="1"/>
  <c r="AE304" i="1" s="1"/>
  <c r="AF304" i="1" s="1"/>
  <c r="Z303" i="1"/>
  <c r="Z302" i="1"/>
  <c r="Z301" i="1"/>
  <c r="AE301" i="1" s="1"/>
  <c r="AF301" i="1" s="1"/>
  <c r="Z300" i="1"/>
  <c r="AE300" i="1" s="1"/>
  <c r="AF300" i="1" s="1"/>
  <c r="Z299" i="1"/>
  <c r="AE299" i="1" s="1"/>
  <c r="Z298" i="1"/>
  <c r="AE298" i="1" s="1"/>
  <c r="Z297" i="1"/>
  <c r="AE297" i="1" s="1"/>
  <c r="AF297" i="1" s="1"/>
  <c r="Z296" i="1"/>
  <c r="AE296" i="1" s="1"/>
  <c r="AF296" i="1" s="1"/>
  <c r="Z295" i="1"/>
  <c r="Z294" i="1"/>
  <c r="Z293" i="1"/>
  <c r="AE293" i="1" s="1"/>
  <c r="AF293" i="1" s="1"/>
  <c r="Z292" i="1"/>
  <c r="AE292" i="1" s="1"/>
  <c r="AF292" i="1" s="1"/>
  <c r="Z291" i="1"/>
  <c r="Z290" i="1"/>
  <c r="AE290" i="1" s="1"/>
  <c r="Z289" i="1"/>
  <c r="AE289" i="1" s="1"/>
  <c r="AF289" i="1" s="1"/>
  <c r="Z288" i="1"/>
  <c r="AE288" i="1" s="1"/>
  <c r="AF288" i="1" s="1"/>
  <c r="Z287" i="1"/>
  <c r="Z286" i="1"/>
  <c r="Z285" i="1"/>
  <c r="AE285" i="1" s="1"/>
  <c r="AF285" i="1" s="1"/>
  <c r="Z284" i="1"/>
  <c r="AE284" i="1" s="1"/>
  <c r="AF284" i="1" s="1"/>
  <c r="Z283" i="1"/>
  <c r="AE283" i="1" s="1"/>
  <c r="AF283" i="1" s="1"/>
  <c r="Z282" i="1"/>
  <c r="AE282" i="1" s="1"/>
  <c r="Z281" i="1"/>
  <c r="AE281" i="1" s="1"/>
  <c r="AF281" i="1" s="1"/>
  <c r="Z280" i="1"/>
  <c r="AE280" i="1" s="1"/>
  <c r="AF280" i="1" s="1"/>
  <c r="Z279" i="1"/>
  <c r="Z278" i="1"/>
  <c r="Z277" i="1"/>
  <c r="AE277" i="1" s="1"/>
  <c r="AF277" i="1" s="1"/>
  <c r="Z276" i="1"/>
  <c r="AE276" i="1" s="1"/>
  <c r="AF276" i="1" s="1"/>
  <c r="Z275" i="1"/>
  <c r="AE275" i="1" s="1"/>
  <c r="AF275" i="1" s="1"/>
  <c r="Z274" i="1"/>
  <c r="AE274" i="1" s="1"/>
  <c r="Z273" i="1"/>
  <c r="AE273" i="1" s="1"/>
  <c r="AF273" i="1" s="1"/>
  <c r="Z272" i="1"/>
  <c r="AE272" i="1" s="1"/>
  <c r="AF272" i="1" s="1"/>
  <c r="Z271" i="1"/>
  <c r="Z270" i="1"/>
  <c r="Z269" i="1"/>
  <c r="AE269" i="1" s="1"/>
  <c r="AF269" i="1" s="1"/>
  <c r="Z268" i="1"/>
  <c r="AE268" i="1" s="1"/>
  <c r="AF268" i="1" s="1"/>
  <c r="Z267" i="1"/>
  <c r="AE267" i="1" s="1"/>
  <c r="AF267" i="1" s="1"/>
  <c r="Z266" i="1"/>
  <c r="AE266" i="1" s="1"/>
  <c r="Z265" i="1"/>
  <c r="AE265" i="1" s="1"/>
  <c r="AF265" i="1" s="1"/>
  <c r="Z264" i="1"/>
  <c r="AE264" i="1" s="1"/>
  <c r="AF264" i="1" s="1"/>
  <c r="Z263" i="1"/>
  <c r="Z262" i="1"/>
  <c r="Z261" i="1"/>
  <c r="AE261" i="1" s="1"/>
  <c r="AF261" i="1" s="1"/>
  <c r="Z260" i="1"/>
  <c r="AE260" i="1" s="1"/>
  <c r="AF260" i="1" s="1"/>
  <c r="Z259" i="1"/>
  <c r="AE259" i="1" s="1"/>
  <c r="AF259" i="1" s="1"/>
  <c r="Z258" i="1"/>
  <c r="AE258" i="1" s="1"/>
  <c r="Z257" i="1"/>
  <c r="AE257" i="1" s="1"/>
  <c r="AF257" i="1" s="1"/>
  <c r="Z256" i="1"/>
  <c r="AE256" i="1" s="1"/>
  <c r="AF256" i="1" s="1"/>
  <c r="Z255" i="1"/>
  <c r="Z254" i="1"/>
  <c r="Z253" i="1"/>
  <c r="AE253" i="1" s="1"/>
  <c r="AF253" i="1" s="1"/>
  <c r="Z252" i="1"/>
  <c r="AE252" i="1" s="1"/>
  <c r="AF252" i="1" s="1"/>
  <c r="Z251" i="1"/>
  <c r="AE251" i="1" s="1"/>
  <c r="AF251" i="1" s="1"/>
  <c r="Z250" i="1"/>
  <c r="AE250" i="1" s="1"/>
  <c r="Z249" i="1"/>
  <c r="AE249" i="1" s="1"/>
  <c r="AF249" i="1" s="1"/>
  <c r="Z248" i="1"/>
  <c r="AE248" i="1" s="1"/>
  <c r="AF248" i="1" s="1"/>
  <c r="Z247" i="1"/>
  <c r="Z246" i="1"/>
  <c r="Z245" i="1"/>
  <c r="AE245" i="1" s="1"/>
  <c r="AF245" i="1" s="1"/>
  <c r="Z244" i="1"/>
  <c r="AE244" i="1" s="1"/>
  <c r="AF244" i="1" s="1"/>
  <c r="Z243" i="1"/>
  <c r="AE243" i="1" s="1"/>
  <c r="AF243" i="1" s="1"/>
  <c r="Z242" i="1"/>
  <c r="AE242" i="1" s="1"/>
  <c r="Z241" i="1"/>
  <c r="AE241" i="1" s="1"/>
  <c r="AF241" i="1" s="1"/>
  <c r="Z240" i="1"/>
  <c r="AE240" i="1" s="1"/>
  <c r="AF240" i="1" s="1"/>
  <c r="Z239" i="1"/>
  <c r="Z238" i="1"/>
  <c r="Z237" i="1"/>
  <c r="AE237" i="1" s="1"/>
  <c r="AF237" i="1" s="1"/>
  <c r="Z236" i="1"/>
  <c r="AE236" i="1" s="1"/>
  <c r="AF236" i="1" s="1"/>
  <c r="Z235" i="1"/>
  <c r="AE235" i="1" s="1"/>
  <c r="AF235" i="1" s="1"/>
  <c r="Z234" i="1"/>
  <c r="AE234" i="1" s="1"/>
  <c r="Z233" i="1"/>
  <c r="AE233" i="1" s="1"/>
  <c r="AF233" i="1" s="1"/>
  <c r="Z232" i="1"/>
  <c r="Z231" i="1"/>
  <c r="Z230" i="1"/>
  <c r="Z229" i="1"/>
  <c r="AE229" i="1" s="1"/>
  <c r="AF229" i="1" s="1"/>
  <c r="Z228" i="1"/>
  <c r="AE228" i="1" s="1"/>
  <c r="AF228" i="1" s="1"/>
  <c r="Z227" i="1"/>
  <c r="AE227" i="1" s="1"/>
  <c r="AF227" i="1" s="1"/>
  <c r="Z226" i="1"/>
  <c r="AE226" i="1" s="1"/>
  <c r="Z225" i="1"/>
  <c r="AE225" i="1" s="1"/>
  <c r="AF225" i="1" s="1"/>
  <c r="Z224" i="1"/>
  <c r="Z223" i="1"/>
  <c r="Z222" i="1"/>
  <c r="Z221" i="1"/>
  <c r="AE221" i="1" s="1"/>
  <c r="AF221" i="1" s="1"/>
  <c r="Z220" i="1"/>
  <c r="AE220" i="1" s="1"/>
  <c r="AF220" i="1" s="1"/>
  <c r="Z219" i="1"/>
  <c r="AE219" i="1" s="1"/>
  <c r="AF219" i="1" s="1"/>
  <c r="Z218" i="1"/>
  <c r="AE218" i="1" s="1"/>
  <c r="Z217" i="1"/>
  <c r="AE217" i="1" s="1"/>
  <c r="AF217" i="1" s="1"/>
  <c r="Z216" i="1"/>
  <c r="Z215" i="1"/>
  <c r="Z214" i="1"/>
  <c r="Z213" i="1"/>
  <c r="AE213" i="1" s="1"/>
  <c r="AF213" i="1" s="1"/>
  <c r="Z212" i="1"/>
  <c r="AE212" i="1" s="1"/>
  <c r="AF212" i="1" s="1"/>
  <c r="Z211" i="1"/>
  <c r="AE211" i="1" s="1"/>
  <c r="AF211" i="1" s="1"/>
  <c r="Z210" i="1"/>
  <c r="AE210" i="1" s="1"/>
  <c r="Z209" i="1"/>
  <c r="AE209" i="1" s="1"/>
  <c r="AF209" i="1" s="1"/>
  <c r="Z208" i="1"/>
  <c r="Z207" i="1"/>
  <c r="Z206" i="1"/>
  <c r="Z205" i="1"/>
  <c r="AE205" i="1" s="1"/>
  <c r="AF205" i="1" s="1"/>
  <c r="Z204" i="1"/>
  <c r="AE204" i="1" s="1"/>
  <c r="AF204" i="1" s="1"/>
  <c r="Z203" i="1"/>
  <c r="AE203" i="1" s="1"/>
  <c r="AF203" i="1" s="1"/>
  <c r="Z202" i="1"/>
  <c r="AE202" i="1" s="1"/>
  <c r="Z201" i="1"/>
  <c r="AE201" i="1" s="1"/>
  <c r="AF201" i="1" s="1"/>
  <c r="Z200" i="1"/>
  <c r="Z199" i="1"/>
  <c r="Z198" i="1"/>
  <c r="Z197" i="1"/>
  <c r="AE197" i="1" s="1"/>
  <c r="AF197" i="1" s="1"/>
  <c r="Z196" i="1"/>
  <c r="AE196" i="1" s="1"/>
  <c r="AF196" i="1" s="1"/>
  <c r="Z195" i="1"/>
  <c r="AE195" i="1" s="1"/>
  <c r="AF195" i="1" s="1"/>
  <c r="Z194" i="1"/>
  <c r="AE194" i="1" s="1"/>
  <c r="Z193" i="1"/>
  <c r="AE193" i="1" s="1"/>
  <c r="AF193" i="1" s="1"/>
  <c r="Z192" i="1"/>
  <c r="Z191" i="1"/>
  <c r="Z190" i="1"/>
  <c r="Z189" i="1"/>
  <c r="AE189" i="1" s="1"/>
  <c r="AF189" i="1" s="1"/>
  <c r="Z188" i="1"/>
  <c r="AE188" i="1" s="1"/>
  <c r="AF188" i="1" s="1"/>
  <c r="Z187" i="1"/>
  <c r="AE187" i="1" s="1"/>
  <c r="AF187" i="1" s="1"/>
  <c r="Z186" i="1"/>
  <c r="AE186" i="1" s="1"/>
  <c r="Z185" i="1"/>
  <c r="AE185" i="1" s="1"/>
  <c r="AF185" i="1" s="1"/>
  <c r="Z184" i="1"/>
  <c r="Z183" i="1"/>
  <c r="Z182" i="1"/>
  <c r="Z181" i="1"/>
  <c r="AE181" i="1" s="1"/>
  <c r="AF181" i="1" s="1"/>
  <c r="Z180" i="1"/>
  <c r="AE180" i="1" s="1"/>
  <c r="AF180" i="1" s="1"/>
  <c r="Z179" i="1"/>
  <c r="AE179" i="1" s="1"/>
  <c r="AF179" i="1" s="1"/>
  <c r="Z178" i="1"/>
  <c r="AE178" i="1" s="1"/>
  <c r="Z177" i="1"/>
  <c r="AE177" i="1" s="1"/>
  <c r="AF177" i="1" s="1"/>
  <c r="Z176" i="1"/>
  <c r="Z175" i="1"/>
  <c r="Z174" i="1"/>
  <c r="Z173" i="1"/>
  <c r="AE173" i="1" s="1"/>
  <c r="AF173" i="1" s="1"/>
  <c r="Z172" i="1"/>
  <c r="AE172" i="1" s="1"/>
  <c r="AF172" i="1" s="1"/>
  <c r="Z171" i="1"/>
  <c r="AE171" i="1" s="1"/>
  <c r="AF171" i="1" s="1"/>
  <c r="Z170" i="1"/>
  <c r="AE170" i="1" s="1"/>
  <c r="Z169" i="1"/>
  <c r="AE169" i="1" s="1"/>
  <c r="AF169" i="1" s="1"/>
  <c r="Z168" i="1"/>
  <c r="Z167" i="1"/>
  <c r="Z166" i="1"/>
  <c r="Z165" i="1"/>
  <c r="AE165" i="1" s="1"/>
  <c r="AF165" i="1" s="1"/>
  <c r="Z164" i="1"/>
  <c r="AE164" i="1" s="1"/>
  <c r="AF164" i="1" s="1"/>
  <c r="Z163" i="1"/>
  <c r="AE163" i="1" s="1"/>
  <c r="AF163" i="1" s="1"/>
  <c r="Z162" i="1"/>
  <c r="AE162" i="1" s="1"/>
  <c r="Z161" i="1"/>
  <c r="AE161" i="1" s="1"/>
  <c r="Z160" i="1"/>
  <c r="Z159" i="1"/>
  <c r="AE159" i="1" s="1"/>
  <c r="Z158" i="1"/>
  <c r="Z157" i="1"/>
  <c r="AE157" i="1" s="1"/>
  <c r="AF157" i="1" s="1"/>
  <c r="Z156" i="1"/>
  <c r="Z155" i="1"/>
  <c r="AE155" i="1" s="1"/>
  <c r="AF155" i="1" s="1"/>
  <c r="Z154" i="1"/>
  <c r="Z153" i="1"/>
  <c r="AE153" i="1" s="1"/>
  <c r="AF153" i="1" s="1"/>
  <c r="Z152" i="1"/>
  <c r="Z151" i="1"/>
  <c r="Z150" i="1"/>
  <c r="AE150" i="1" s="1"/>
  <c r="Z149" i="1"/>
  <c r="AE149" i="1" s="1"/>
  <c r="AF149" i="1" s="1"/>
  <c r="Z148" i="1"/>
  <c r="Z147" i="1"/>
  <c r="Z146" i="1"/>
  <c r="Z145" i="1"/>
  <c r="AE145" i="1" s="1"/>
  <c r="AF145" i="1" s="1"/>
  <c r="Z144" i="1"/>
  <c r="Z143" i="1"/>
  <c r="Z142" i="1"/>
  <c r="AE142" i="1" s="1"/>
  <c r="Z141" i="1"/>
  <c r="AE141" i="1" s="1"/>
  <c r="AF141" i="1" s="1"/>
  <c r="Z140" i="1"/>
  <c r="Z139" i="1"/>
  <c r="AE139" i="1" s="1"/>
  <c r="AF139" i="1" s="1"/>
  <c r="Z138" i="1"/>
  <c r="Z137" i="1"/>
  <c r="AE137" i="1" s="1"/>
  <c r="AF137" i="1" s="1"/>
  <c r="Z136" i="1"/>
  <c r="Z135" i="1"/>
  <c r="AE135" i="1" s="1"/>
  <c r="Z134" i="1"/>
  <c r="AE134" i="1" s="1"/>
  <c r="Z133" i="1"/>
  <c r="AE133" i="1" s="1"/>
  <c r="AF133" i="1" s="1"/>
  <c r="Z132" i="1"/>
  <c r="AE132" i="1" s="1"/>
  <c r="AF132" i="1" s="1"/>
  <c r="Z131" i="1"/>
  <c r="AE131" i="1" s="1"/>
  <c r="AF131" i="1" s="1"/>
  <c r="Z130" i="1"/>
  <c r="Z129" i="1"/>
  <c r="AE129" i="1" s="1"/>
  <c r="AF129" i="1" s="1"/>
  <c r="Z128" i="1"/>
  <c r="Z127" i="1"/>
  <c r="AE127" i="1" s="1"/>
  <c r="Z126" i="1"/>
  <c r="Z125" i="1"/>
  <c r="AE125" i="1" s="1"/>
  <c r="AF125" i="1" s="1"/>
  <c r="Z124" i="1"/>
  <c r="Z123" i="1"/>
  <c r="AE123" i="1" s="1"/>
  <c r="AF123" i="1" s="1"/>
  <c r="Z122" i="1"/>
  <c r="Z121" i="1"/>
  <c r="AE121" i="1" s="1"/>
  <c r="AF121" i="1" s="1"/>
  <c r="Z120" i="1"/>
  <c r="Z119" i="1"/>
  <c r="AE119" i="1" s="1"/>
  <c r="Z118" i="1"/>
  <c r="AE118" i="1" s="1"/>
  <c r="Z117" i="1"/>
  <c r="AE117" i="1" s="1"/>
  <c r="AF117" i="1" s="1"/>
  <c r="Z116" i="1"/>
  <c r="Z115" i="1"/>
  <c r="AE115" i="1" s="1"/>
  <c r="Z114" i="1"/>
  <c r="Z113" i="1"/>
  <c r="AE113" i="1" s="1"/>
  <c r="AF113" i="1" s="1"/>
  <c r="Z112" i="1"/>
  <c r="Z111" i="1"/>
  <c r="AE111" i="1" s="1"/>
  <c r="Z110" i="1"/>
  <c r="AE110" i="1" s="1"/>
  <c r="Z109" i="1"/>
  <c r="AE109" i="1" s="1"/>
  <c r="AF109" i="1" s="1"/>
  <c r="Z108" i="1"/>
  <c r="AE108" i="1" s="1"/>
  <c r="AF108" i="1" s="1"/>
  <c r="Z107" i="1"/>
  <c r="AE107" i="1" s="1"/>
  <c r="AF107" i="1" s="1"/>
  <c r="Z106" i="1"/>
  <c r="Z105" i="1"/>
  <c r="AE105" i="1" s="1"/>
  <c r="AF105" i="1" s="1"/>
  <c r="Z104" i="1"/>
  <c r="Z103" i="1"/>
  <c r="AE103" i="1" s="1"/>
  <c r="Z102" i="1"/>
  <c r="AE102" i="1" s="1"/>
  <c r="Z101" i="1"/>
  <c r="AE101" i="1" s="1"/>
  <c r="AF101" i="1" s="1"/>
  <c r="Z100" i="1"/>
  <c r="Z99" i="1"/>
  <c r="Z98" i="1"/>
  <c r="Z97" i="1"/>
  <c r="AE97" i="1" s="1"/>
  <c r="AF97" i="1" s="1"/>
  <c r="Z96" i="1"/>
  <c r="Z95" i="1"/>
  <c r="AE95" i="1" s="1"/>
  <c r="Z94" i="1"/>
  <c r="Z93" i="1"/>
  <c r="AE93" i="1" s="1"/>
  <c r="AF93" i="1" s="1"/>
  <c r="Z92" i="1"/>
  <c r="Z91" i="1"/>
  <c r="Z90" i="1"/>
  <c r="Z89" i="1"/>
  <c r="AE89" i="1" s="1"/>
  <c r="AF89" i="1" s="1"/>
  <c r="Z88" i="1"/>
  <c r="Z87" i="1"/>
  <c r="AE87" i="1" s="1"/>
  <c r="Z86" i="1"/>
  <c r="AE86" i="1" s="1"/>
  <c r="Z85" i="1"/>
  <c r="AE85" i="1" s="1"/>
  <c r="AF85" i="1" s="1"/>
  <c r="Z84" i="1"/>
  <c r="AE84" i="1" s="1"/>
  <c r="AF84" i="1" s="1"/>
  <c r="Z83" i="1"/>
  <c r="AE83" i="1" s="1"/>
  <c r="AF83" i="1" s="1"/>
  <c r="Z82" i="1"/>
  <c r="Z81" i="1"/>
  <c r="AE81" i="1" s="1"/>
  <c r="AF81" i="1" s="1"/>
  <c r="Z80" i="1"/>
  <c r="Z79" i="1"/>
  <c r="AE79" i="1" s="1"/>
  <c r="Z78" i="1"/>
  <c r="Z77" i="1"/>
  <c r="AE77" i="1" s="1"/>
  <c r="AF77" i="1" s="1"/>
  <c r="Z76" i="1"/>
  <c r="AE76" i="1" s="1"/>
  <c r="Z75" i="1"/>
  <c r="Z74" i="1"/>
  <c r="Z73" i="1"/>
  <c r="AE73" i="1" s="1"/>
  <c r="AF73" i="1" s="1"/>
  <c r="Z72" i="1"/>
  <c r="Z71" i="1"/>
  <c r="Z70" i="1"/>
  <c r="AE70" i="1" s="1"/>
  <c r="Z69" i="1"/>
  <c r="AE69" i="1" s="1"/>
  <c r="AF69" i="1" s="1"/>
  <c r="Z68" i="1"/>
  <c r="Z67" i="1"/>
  <c r="AE67" i="1" s="1"/>
  <c r="AF67" i="1" s="1"/>
  <c r="Z66" i="1"/>
  <c r="Z65" i="1"/>
  <c r="AE65" i="1" s="1"/>
  <c r="Z64" i="1"/>
  <c r="AE64" i="1" s="1"/>
  <c r="Z63" i="1"/>
  <c r="AE63" i="1" s="1"/>
  <c r="Z62" i="1"/>
  <c r="AE62" i="1" s="1"/>
  <c r="Z61" i="1"/>
  <c r="AE61" i="1" s="1"/>
  <c r="AF61" i="1" s="1"/>
  <c r="Z60" i="1"/>
  <c r="AE60" i="1" s="1"/>
  <c r="AF60" i="1" s="1"/>
  <c r="Z59" i="1"/>
  <c r="Z58" i="1"/>
  <c r="AE58" i="1" s="1"/>
  <c r="Z57" i="1"/>
  <c r="AE57" i="1" s="1"/>
  <c r="Z56" i="1"/>
  <c r="AE56" i="1" s="1"/>
  <c r="Z55" i="1"/>
  <c r="AE55" i="1" s="1"/>
  <c r="Z54" i="1"/>
  <c r="AE54" i="1" s="1"/>
  <c r="Z53" i="1"/>
  <c r="AE53" i="1" s="1"/>
  <c r="AF53" i="1" s="1"/>
  <c r="Z52" i="1"/>
  <c r="AE52" i="1" s="1"/>
  <c r="AF52" i="1" s="1"/>
  <c r="Z51" i="1"/>
  <c r="AE51" i="1" s="1"/>
  <c r="AF51" i="1" s="1"/>
  <c r="Z50" i="1"/>
  <c r="AE50" i="1" s="1"/>
  <c r="Z49" i="1"/>
  <c r="AE49" i="1" s="1"/>
  <c r="Z48" i="1"/>
  <c r="AE48" i="1" s="1"/>
  <c r="Z47" i="1"/>
  <c r="AE47" i="1" s="1"/>
  <c r="Z46" i="1"/>
  <c r="Z45" i="1"/>
  <c r="AE45" i="1" s="1"/>
  <c r="AF45" i="1" s="1"/>
  <c r="Z44" i="1"/>
  <c r="AE44" i="1" s="1"/>
  <c r="AF44" i="1" s="1"/>
  <c r="Z43" i="1"/>
  <c r="AE43" i="1" s="1"/>
  <c r="Z42" i="1"/>
  <c r="AE42" i="1" s="1"/>
  <c r="Z41" i="1"/>
  <c r="AE41" i="1" s="1"/>
  <c r="Z40" i="1"/>
  <c r="AE40" i="1" s="1"/>
  <c r="AF40" i="1" s="1"/>
  <c r="Z39" i="1"/>
  <c r="AE39" i="1" s="1"/>
  <c r="Z38" i="1"/>
  <c r="AE38" i="1" s="1"/>
  <c r="Z37" i="1"/>
  <c r="Z36" i="1"/>
  <c r="Z35" i="1"/>
  <c r="AE35" i="1" s="1"/>
  <c r="AF35" i="1" s="1"/>
  <c r="Z34" i="1"/>
  <c r="AE34" i="1" s="1"/>
  <c r="Z33" i="1"/>
  <c r="AE33" i="1" s="1"/>
  <c r="Z32" i="1"/>
  <c r="Z31" i="1"/>
  <c r="AE31" i="1" s="1"/>
  <c r="Z30" i="1"/>
  <c r="Z29" i="1"/>
  <c r="AE29" i="1" s="1"/>
  <c r="AF29" i="1" s="1"/>
  <c r="Z28" i="1"/>
  <c r="AE28" i="1" s="1"/>
  <c r="AF28" i="1" s="1"/>
  <c r="Z27" i="1"/>
  <c r="AE27" i="1" s="1"/>
  <c r="Z26" i="1"/>
  <c r="AE26" i="1" s="1"/>
  <c r="Z25" i="1"/>
  <c r="AE25" i="1" s="1"/>
  <c r="Z24" i="1"/>
  <c r="AE24" i="1" s="1"/>
  <c r="AF24" i="1" s="1"/>
  <c r="Z23" i="1"/>
  <c r="Z22" i="1"/>
  <c r="AE22" i="1" s="1"/>
  <c r="Z21" i="1"/>
  <c r="AE21" i="1" s="1"/>
  <c r="Z20" i="1"/>
  <c r="Z19" i="1"/>
  <c r="AE19" i="1" s="1"/>
  <c r="AF19" i="1" s="1"/>
  <c r="Z18" i="1"/>
  <c r="AE18" i="1" s="1"/>
  <c r="Z17" i="1"/>
  <c r="AE17" i="1" s="1"/>
  <c r="Z16" i="1"/>
  <c r="Z15" i="1"/>
  <c r="AE15" i="1" s="1"/>
  <c r="Z14" i="1"/>
  <c r="Z13" i="1"/>
  <c r="AE13" i="1" s="1"/>
  <c r="Z12" i="1"/>
  <c r="AE12" i="1" s="1"/>
  <c r="AF12" i="1" s="1"/>
  <c r="Z11" i="1"/>
  <c r="AE11" i="1" s="1"/>
  <c r="Z10" i="1"/>
  <c r="AE10" i="1" s="1"/>
  <c r="AF10" i="1" s="1"/>
  <c r="Z9" i="1"/>
  <c r="AE9" i="1" s="1"/>
  <c r="AF9" i="1" s="1"/>
  <c r="Z8" i="1"/>
  <c r="Z7" i="1"/>
  <c r="AE7" i="1" s="1"/>
  <c r="AF7" i="1" s="1"/>
  <c r="Z6" i="1"/>
  <c r="AE6" i="1" s="1"/>
  <c r="AF6" i="1" s="1"/>
  <c r="Z5" i="1"/>
  <c r="AE5" i="1" s="1"/>
  <c r="Z4" i="1"/>
  <c r="AE4" i="1" s="1"/>
  <c r="AF4" i="1" s="1"/>
  <c r="Z3" i="1"/>
  <c r="Z2" i="1"/>
  <c r="AE2" i="1" s="1"/>
  <c r="AF2" i="1" s="1"/>
  <c r="AF18" i="1" l="1"/>
  <c r="AF26" i="1"/>
  <c r="AF17" i="1"/>
  <c r="AF34" i="1"/>
  <c r="AE156" i="1"/>
  <c r="AF156" i="1" s="1"/>
  <c r="AF161" i="1"/>
  <c r="AF140" i="1"/>
  <c r="Z353" i="1"/>
  <c r="AF42" i="1"/>
  <c r="AE92" i="1"/>
  <c r="AF92" i="1" s="1"/>
  <c r="AE99" i="1"/>
  <c r="AF99" i="1" s="1"/>
  <c r="AE140" i="1"/>
  <c r="AE147" i="1"/>
  <c r="AF147" i="1" s="1"/>
  <c r="AF21" i="1"/>
  <c r="AE37" i="1"/>
  <c r="AF37" i="1" s="1"/>
  <c r="AE68" i="1"/>
  <c r="AF68" i="1" s="1"/>
  <c r="AF76" i="1"/>
  <c r="AE124" i="1"/>
  <c r="AF124" i="1" s="1"/>
  <c r="AF33" i="1"/>
  <c r="AF115" i="1"/>
  <c r="AE148" i="1"/>
  <c r="AF148" i="1" s="1"/>
  <c r="AF27" i="1"/>
  <c r="AF48" i="1"/>
  <c r="AF58" i="1"/>
  <c r="AF102" i="1"/>
  <c r="AF347" i="1"/>
  <c r="AF11" i="1"/>
  <c r="AE32" i="1"/>
  <c r="AF32" i="1" s="1"/>
  <c r="AE36" i="1"/>
  <c r="AF36" i="1" s="1"/>
  <c r="AE59" i="1"/>
  <c r="AF59" i="1" s="1"/>
  <c r="AF86" i="1"/>
  <c r="AE91" i="1"/>
  <c r="AF91" i="1" s="1"/>
  <c r="AE94" i="1"/>
  <c r="AF94" i="1" s="1"/>
  <c r="AE116" i="1"/>
  <c r="AF116" i="1" s="1"/>
  <c r="AF134" i="1"/>
  <c r="AE291" i="1"/>
  <c r="AF291" i="1" s="1"/>
  <c r="AE3" i="1"/>
  <c r="AF3" i="1" s="1"/>
  <c r="AE16" i="1"/>
  <c r="AF16" i="1" s="1"/>
  <c r="AE20" i="1"/>
  <c r="AF20" i="1" s="1"/>
  <c r="AE75" i="1"/>
  <c r="AF75" i="1" s="1"/>
  <c r="AE78" i="1"/>
  <c r="AF78" i="1" s="1"/>
  <c r="AE100" i="1"/>
  <c r="AF100" i="1" s="1"/>
  <c r="AF299" i="1"/>
  <c r="AF339" i="1"/>
  <c r="AE344" i="1"/>
  <c r="AF344" i="1" s="1"/>
  <c r="AF150" i="1"/>
  <c r="AF13" i="1"/>
  <c r="AF43" i="1"/>
  <c r="AF118" i="1"/>
  <c r="AE126" i="1"/>
  <c r="AF126" i="1" s="1"/>
  <c r="AF5" i="1"/>
  <c r="AF110" i="1"/>
  <c r="AF142" i="1"/>
  <c r="AF307" i="1"/>
  <c r="AE8" i="1"/>
  <c r="AF8" i="1" s="1"/>
  <c r="AE23" i="1"/>
  <c r="AF23" i="1" s="1"/>
  <c r="AF49" i="1"/>
  <c r="AF56" i="1"/>
  <c r="AF79" i="1"/>
  <c r="AF87" i="1"/>
  <c r="AF95" i="1"/>
  <c r="AF103" i="1"/>
  <c r="AF111" i="1"/>
  <c r="AF119" i="1"/>
  <c r="AF127" i="1"/>
  <c r="AF63" i="1"/>
  <c r="AE71" i="1"/>
  <c r="AF71" i="1" s="1"/>
  <c r="AE146" i="1"/>
  <c r="AF146" i="1" s="1"/>
  <c r="AE154" i="1"/>
  <c r="AF154" i="1" s="1"/>
  <c r="AF39" i="1"/>
  <c r="AE167" i="1"/>
  <c r="AF167" i="1" s="1"/>
  <c r="AE14" i="1"/>
  <c r="AF14" i="1" s="1"/>
  <c r="AE30" i="1"/>
  <c r="AF30" i="1" s="1"/>
  <c r="AE46" i="1"/>
  <c r="AF46" i="1" s="1"/>
  <c r="AF50" i="1"/>
  <c r="AF57" i="1"/>
  <c r="AF64" i="1"/>
  <c r="AF159" i="1"/>
  <c r="AF15" i="1"/>
  <c r="AF31" i="1"/>
  <c r="AF47" i="1"/>
  <c r="AF54" i="1"/>
  <c r="AE138" i="1"/>
  <c r="AF138" i="1" s="1"/>
  <c r="AE175" i="1"/>
  <c r="AF175" i="1" s="1"/>
  <c r="AF65" i="1"/>
  <c r="AF22" i="1"/>
  <c r="AF25" i="1"/>
  <c r="AF38" i="1"/>
  <c r="AF41" i="1"/>
  <c r="AF55" i="1"/>
  <c r="AF62" i="1"/>
  <c r="AE66" i="1"/>
  <c r="AF66" i="1" s="1"/>
  <c r="AE74" i="1"/>
  <c r="AF74" i="1" s="1"/>
  <c r="AE82" i="1"/>
  <c r="AF82" i="1" s="1"/>
  <c r="AE90" i="1"/>
  <c r="AF90" i="1" s="1"/>
  <c r="AE98" i="1"/>
  <c r="AF98" i="1" s="1"/>
  <c r="AE106" i="1"/>
  <c r="AF106" i="1" s="1"/>
  <c r="AE114" i="1"/>
  <c r="AF114" i="1" s="1"/>
  <c r="AE122" i="1"/>
  <c r="AF122" i="1" s="1"/>
  <c r="AE130" i="1"/>
  <c r="AF130" i="1" s="1"/>
  <c r="AE143" i="1"/>
  <c r="AF143" i="1" s="1"/>
  <c r="AE151" i="1"/>
  <c r="AF151" i="1" s="1"/>
  <c r="AF70" i="1"/>
  <c r="AF135" i="1"/>
  <c r="AF162" i="1"/>
  <c r="AF170" i="1"/>
  <c r="AF178" i="1"/>
  <c r="AF186" i="1"/>
  <c r="AF194" i="1"/>
  <c r="AF202" i="1"/>
  <c r="AF210" i="1"/>
  <c r="AF218" i="1"/>
  <c r="AF226" i="1"/>
  <c r="AF234" i="1"/>
  <c r="AF242" i="1"/>
  <c r="AF250" i="1"/>
  <c r="AF258" i="1"/>
  <c r="AF266" i="1"/>
  <c r="AF274" i="1"/>
  <c r="AF282" i="1"/>
  <c r="AF290" i="1"/>
  <c r="AF298" i="1"/>
  <c r="AF306" i="1"/>
  <c r="AF314" i="1"/>
  <c r="AF322" i="1"/>
  <c r="AF330" i="1"/>
  <c r="AF338" i="1"/>
  <c r="AF346" i="1"/>
  <c r="AE349" i="1"/>
  <c r="AF349" i="1" s="1"/>
  <c r="AE72" i="1"/>
  <c r="AF72" i="1" s="1"/>
  <c r="AE80" i="1"/>
  <c r="AF80" i="1" s="1"/>
  <c r="AE88" i="1"/>
  <c r="AF88" i="1" s="1"/>
  <c r="AE96" i="1"/>
  <c r="AF96" i="1" s="1"/>
  <c r="AE104" i="1"/>
  <c r="AF104" i="1" s="1"/>
  <c r="AE112" i="1"/>
  <c r="AF112" i="1" s="1"/>
  <c r="AE120" i="1"/>
  <c r="AF120" i="1" s="1"/>
  <c r="AE128" i="1"/>
  <c r="AF128" i="1" s="1"/>
  <c r="AE136" i="1"/>
  <c r="AF136" i="1" s="1"/>
  <c r="AE144" i="1"/>
  <c r="AF144" i="1" s="1"/>
  <c r="AE152" i="1"/>
  <c r="AF152" i="1" s="1"/>
  <c r="AE160" i="1"/>
  <c r="AF160" i="1" s="1"/>
  <c r="AE168" i="1"/>
  <c r="AF168" i="1" s="1"/>
  <c r="AE176" i="1"/>
  <c r="AF176" i="1" s="1"/>
  <c r="AE184" i="1"/>
  <c r="AF184" i="1" s="1"/>
  <c r="AE192" i="1"/>
  <c r="AF192" i="1" s="1"/>
  <c r="AE200" i="1"/>
  <c r="AF200" i="1" s="1"/>
  <c r="AE208" i="1"/>
  <c r="AF208" i="1" s="1"/>
  <c r="AE216" i="1"/>
  <c r="AF216" i="1" s="1"/>
  <c r="AE224" i="1"/>
  <c r="AF224" i="1" s="1"/>
  <c r="AE232" i="1"/>
  <c r="AF232" i="1" s="1"/>
  <c r="AE158" i="1"/>
  <c r="AF158" i="1" s="1"/>
  <c r="AE166" i="1"/>
  <c r="AF166" i="1" s="1"/>
  <c r="AE174" i="1"/>
  <c r="AF174" i="1" s="1"/>
  <c r="AE182" i="1"/>
  <c r="AF182" i="1" s="1"/>
  <c r="AE190" i="1"/>
  <c r="AF190" i="1" s="1"/>
  <c r="AE198" i="1"/>
  <c r="AF198" i="1" s="1"/>
  <c r="AE206" i="1"/>
  <c r="AF206" i="1" s="1"/>
  <c r="AE214" i="1"/>
  <c r="AF214" i="1" s="1"/>
  <c r="AE222" i="1"/>
  <c r="AF222" i="1" s="1"/>
  <c r="AE230" i="1"/>
  <c r="AF230" i="1" s="1"/>
  <c r="AE238" i="1"/>
  <c r="AF238" i="1" s="1"/>
  <c r="AE246" i="1"/>
  <c r="AF246" i="1" s="1"/>
  <c r="AE254" i="1"/>
  <c r="AF254" i="1" s="1"/>
  <c r="AE262" i="1"/>
  <c r="AF262" i="1" s="1"/>
  <c r="AE270" i="1"/>
  <c r="AF270" i="1" s="1"/>
  <c r="AE278" i="1"/>
  <c r="AF278" i="1" s="1"/>
  <c r="AE286" i="1"/>
  <c r="AF286" i="1" s="1"/>
  <c r="AE294" i="1"/>
  <c r="AF294" i="1" s="1"/>
  <c r="AE302" i="1"/>
  <c r="AF302" i="1" s="1"/>
  <c r="AE310" i="1"/>
  <c r="AF310" i="1" s="1"/>
  <c r="AE318" i="1"/>
  <c r="AF318" i="1" s="1"/>
  <c r="AE326" i="1"/>
  <c r="AF326" i="1" s="1"/>
  <c r="AE334" i="1"/>
  <c r="AF334" i="1" s="1"/>
  <c r="AE342" i="1"/>
  <c r="AF342" i="1" s="1"/>
  <c r="AE350" i="1"/>
  <c r="AF350" i="1" s="1"/>
  <c r="AE183" i="1"/>
  <c r="AF183" i="1" s="1"/>
  <c r="AE191" i="1"/>
  <c r="AF191" i="1" s="1"/>
  <c r="AE199" i="1"/>
  <c r="AF199" i="1" s="1"/>
  <c r="AE207" i="1"/>
  <c r="AF207" i="1" s="1"/>
  <c r="AE215" i="1"/>
  <c r="AF215" i="1" s="1"/>
  <c r="AE223" i="1"/>
  <c r="AF223" i="1" s="1"/>
  <c r="AE231" i="1"/>
  <c r="AF231" i="1" s="1"/>
  <c r="AE239" i="1"/>
  <c r="AF239" i="1" s="1"/>
  <c r="AE247" i="1"/>
  <c r="AF247" i="1" s="1"/>
  <c r="AE255" i="1"/>
  <c r="AF255" i="1" s="1"/>
  <c r="AE263" i="1"/>
  <c r="AF263" i="1" s="1"/>
  <c r="AE271" i="1"/>
  <c r="AF271" i="1" s="1"/>
  <c r="AE279" i="1"/>
  <c r="AF279" i="1" s="1"/>
  <c r="AE287" i="1"/>
  <c r="AF287" i="1" s="1"/>
  <c r="AE295" i="1"/>
  <c r="AF295" i="1" s="1"/>
  <c r="AE303" i="1"/>
  <c r="AF303" i="1" s="1"/>
  <c r="AE311" i="1"/>
  <c r="AF311" i="1" s="1"/>
  <c r="AE319" i="1"/>
  <c r="AF319" i="1" s="1"/>
  <c r="AE327" i="1"/>
  <c r="AF327" i="1" s="1"/>
  <c r="AE335" i="1"/>
  <c r="AF335" i="1" s="1"/>
  <c r="AE343" i="1"/>
  <c r="AF343" i="1" s="1"/>
  <c r="AE351" i="1"/>
  <c r="AF351" i="1" s="1"/>
  <c r="AF353" i="1" l="1"/>
  <c r="AE353" i="1"/>
</calcChain>
</file>

<file path=xl/sharedStrings.xml><?xml version="1.0" encoding="utf-8"?>
<sst xmlns="http://schemas.openxmlformats.org/spreadsheetml/2006/main" count="7033" uniqueCount="1134">
  <si>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</si>
  <si>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</si>
  <si>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</si>
  <si>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</si>
  <si>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</si>
  <si>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</si>
  <si>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</si>
  <si>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</si>
  <si>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</si>
  <si>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</si>
  <si>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</si>
  <si>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</si>
  <si>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</si>
  <si>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</si>
  <si>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</si>
  <si>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</si>
  <si>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</si>
  <si>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</si>
  <si>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</si>
  <si>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</si>
  <si>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</si>
  <si>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</si>
  <si>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</si>
  <si>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</si>
  <si>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</si>
  <si>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</si>
  <si>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</si>
  <si>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</si>
  <si>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</si>
  <si>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</si>
  <si>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</si>
  <si>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</si>
  <si>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</si>
  <si>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</si>
  <si>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</si>
  <si>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NVMY34535000004591</t>
  </si>
  <si>
    <t/>
  </si>
  <si>
    <t>Completed</t>
  </si>
  <si>
    <t>ZULJANI SAPARI</t>
  </si>
  <si>
    <t>DELIVERY_THREE_DAYS_ANYTIME</t>
  </si>
  <si>
    <t>Parcel</t>
  </si>
  <si>
    <t>STANDARD</t>
  </si>
  <si>
    <t>SMALL</t>
  </si>
  <si>
    <t>WMSIA</t>
  </si>
  <si>
    <t>KBR1-KBR1</t>
  </si>
  <si>
    <t>Sabah</t>
  </si>
  <si>
    <t>HDW LEVEL 3 HOSPITAL QUEEN ELIZABETH HEIGH DEPENDECY WARD LEVEL 3 88586 KOTA KINABALU SABAH   Sabah my 88586</t>
  </si>
  <si>
    <t>EMSIA</t>
  </si>
  <si>
    <t>15-INM-107</t>
  </si>
  <si>
    <t>AHMAD RETAIL</t>
  </si>
  <si>
    <t>NVMY34535000004603</t>
  </si>
  <si>
    <t>TROMAC INTERTRADE SDN BHD</t>
  </si>
  <si>
    <t>Selangor</t>
  </si>
  <si>
    <t>NO 1 JALAN SR 3/7 TAMAN SERDANG RAYA SECTION 3 43300 SERI KEMBANGAN SELANGOR   Selangor my 43300</t>
  </si>
  <si>
    <t>12-SRD-94</t>
  </si>
  <si>
    <t>NVMY34535000004599</t>
  </si>
  <si>
    <t>EKIN</t>
  </si>
  <si>
    <t>58 B JALAN SP 4/19 BANDAR SAUJANA PUTRA 42610 JENJARUM SELANGOR   Selangor my 42610</t>
  </si>
  <si>
    <t>14-RBY-116</t>
  </si>
  <si>
    <t>NVMY34535000004570</t>
  </si>
  <si>
    <t>AMERAH BT UMAR</t>
  </si>
  <si>
    <t>ALBINAH TRADING WISMA RAMAI-RAMAI JALAN BUNGA RAYA BANDAR WILAYAH 91100 LAHAD DATU SABAH   Sabah my 91100</t>
  </si>
  <si>
    <t>MM-MM</t>
  </si>
  <si>
    <t>NVMY34535000004594</t>
  </si>
  <si>
    <t>Sharil Bin Ibrahim</t>
  </si>
  <si>
    <t>Pahang</t>
  </si>
  <si>
    <t>No 457 Felda Keratong 2, 26900 Bandar Tun Abdul Razak, Pahang    Pahang my 26900</t>
  </si>
  <si>
    <t>6-MSH-41</t>
  </si>
  <si>
    <t>NVMY34535000004601</t>
  </si>
  <si>
    <t>HISYAM BIN JAAFAR</t>
  </si>
  <si>
    <t>NO. 17 LORONG EMBUN JAYA 9, TAMAN EMBUN JAYA 27000 JERANTUT PAHANG (01159681323)   Pahang my 27000</t>
  </si>
  <si>
    <t>6A-JER-38</t>
  </si>
  <si>
    <t>NVMY34535000004608</t>
  </si>
  <si>
    <t>AKAK LONG</t>
  </si>
  <si>
    <t>KEL-KEL</t>
  </si>
  <si>
    <t>31-2B MEDAN BUKIT INDAH 2 AMPANG 68000 SELANGOR   Selangor my 68000</t>
  </si>
  <si>
    <t>10A-AMP-71</t>
  </si>
  <si>
    <t>NVMY34535000004613</t>
  </si>
  <si>
    <t>NUR AZIRA ADAM</t>
  </si>
  <si>
    <t>Kelantan</t>
  </si>
  <si>
    <t>NO B508 JALAN BANGOL PERUMAHAN MURAH 17500 TANAH MERAH KELANTAN   Kelantan my 17500</t>
  </si>
  <si>
    <t>1A-MAC-3</t>
  </si>
  <si>
    <t>NVMY34535000004614</t>
  </si>
  <si>
    <t>AZLINAYIE</t>
  </si>
  <si>
    <t>LOT 2437 KAMPUNG SIMPANGAN 16200 TUMPAT KELANTAN   Kelantan my 16200</t>
  </si>
  <si>
    <t>NVMY34535000004595</t>
  </si>
  <si>
    <t>Melissa Natasha Bt Mohammad Nassir</t>
  </si>
  <si>
    <t>Km35, Kampung Cherana Puteh 78000 Alor Gajah Melaka (tembok batu purple grey)  Melaka  Melaka my 78000</t>
  </si>
  <si>
    <t>RESOLUTION ERROR : (2.99347000, 100.84966300)</t>
  </si>
  <si>
    <t>9A-AGH-64</t>
  </si>
  <si>
    <t>NVMY34535000004589</t>
  </si>
  <si>
    <t>AZILA ADAM</t>
  </si>
  <si>
    <t>Terengganu</t>
  </si>
  <si>
    <t>PT 61266 TAMAN KOPERASI PERDANA, JALAN KP10, 24000 KEMAMAN TERENGGANU   Terengganu my 24000</t>
  </si>
  <si>
    <t>NVMY34535000004612</t>
  </si>
  <si>
    <t>SITTI ROHAYU AB RAHMAN</t>
  </si>
  <si>
    <t>KAMPUNG SUNGAI KEPA KAWASAN INDUSTRI 18800 GUA MUSANG KELANTAN   Kelantan my 18800</t>
  </si>
  <si>
    <t>NVMY34535000004585</t>
  </si>
  <si>
    <t>ALIN MK</t>
  </si>
  <si>
    <t>Negeri Sembilan</t>
  </si>
  <si>
    <t>NO 35, JALAN SIANTAN 2, TAMAN SERI PAROI 70400 SEREMBAN, NEGERI SEMBILAN  Negeri Sembilan  Negeri Sembilan my 70400</t>
  </si>
  <si>
    <t>9-SWG-60</t>
  </si>
  <si>
    <t>NVMY34535000004600</t>
  </si>
  <si>
    <t>MOHAMAD RAZALI BIN ABD MAJID</t>
  </si>
  <si>
    <t>Johor</t>
  </si>
  <si>
    <t>DH 966 JALAN BUNGA TERATAI 2 TAMAN BUNGA TERATAI PEKAN NENAS 81500 JOHOR   Johor my 81500</t>
  </si>
  <si>
    <t>4A-PTN-21</t>
  </si>
  <si>
    <t>NVMY34535000004611</t>
  </si>
  <si>
    <t>HANIS FATIHA MAT ISA</t>
  </si>
  <si>
    <t>NO 20 JALAN 2 TAMAN DDESA SRI MELOR 1 KAMPUNG SUNGAI MERAB LUAR 43000 KLANG SELANGOR   Selangor my 43000</t>
  </si>
  <si>
    <t>12A-BGI-91</t>
  </si>
  <si>
    <t>NVMY34535000004605</t>
  </si>
  <si>
    <t>ZANA ABD RASHID</t>
  </si>
  <si>
    <t>323 JALAN BUNGA RAMPAI 81400 SENAI KULAI JOHOR   Johor my 81400</t>
  </si>
  <si>
    <t>4-SEN-181</t>
  </si>
  <si>
    <t>NVMY34535000004604</t>
  </si>
  <si>
    <t>LOUSPORT</t>
  </si>
  <si>
    <t>520 JALAN SJ 9/1 TAMAN SEREMBAN JAYA 70450 SEREMBAN NEGERI SMEBILAN   Negeri Sembilan my 70450</t>
  </si>
  <si>
    <t>NVMY34535000004617</t>
  </si>
  <si>
    <t>ROSMARIA ISMAIL</t>
  </si>
  <si>
    <t>ARAS 1, UNIT INSPEKTORAT PKD BACHOK 16300 KELANTAN   Kelantan  my 16300</t>
  </si>
  <si>
    <t>NVMY34535000004615</t>
  </si>
  <si>
    <t>ROZAIHAN</t>
  </si>
  <si>
    <t>1-6-7 PANGSAPURI SRI PERMATA JALAN SSAAS 9/6 SEKSYEN 9, 40100 SHAH ALAM SELANGOR   Selangor my 40100</t>
  </si>
  <si>
    <t>10A-SHA-70</t>
  </si>
  <si>
    <t>NVMY34535000004622</t>
  </si>
  <si>
    <t>CHE KAMARUZAMAN B ABD RAHMAN</t>
  </si>
  <si>
    <t>PT 68 TAMAN SRI EMBON TENDONG 17030 PASIR MAS KELANTAN   Kelantan my 17030</t>
  </si>
  <si>
    <t>NVMY34535000004616</t>
  </si>
  <si>
    <t>HARTINI BT MOHAMED NUDDIN</t>
  </si>
  <si>
    <t>DEPAN SEKOLAH KEBANGSAAN KG KERILLA 18400 TEMANGAN KELANTAN   Kelantan my 18400</t>
  </si>
  <si>
    <t>NVMY34535000004623</t>
  </si>
  <si>
    <t>MOHD NOR AMIRUL BIN MOHAMED</t>
  </si>
  <si>
    <t>B-10-3 OAKLEAF PARK CONDOMINIUM, PERSIARAN BUKIT JAYA, TAMAN BUKIT JAYA, BUKIT ANTARABANGSA 68000 AMPANG SELANGOR   Selangor my 68000</t>
  </si>
  <si>
    <t>10-MLT-74</t>
  </si>
  <si>
    <t>NVMY34535000004620</t>
  </si>
  <si>
    <t>MOHAMMAD HANIF SOBRI</t>
  </si>
  <si>
    <t>Perak</t>
  </si>
  <si>
    <t>SK GUNONG SEMANGGOL 34400 SEMANGGOL PERAK   Perak my 34400</t>
  </si>
  <si>
    <t>8A-BAG-50</t>
  </si>
  <si>
    <t>NVMY34535000004618</t>
  </si>
  <si>
    <t>TENGKU JENY</t>
  </si>
  <si>
    <t>A-3-16 PANGSAPURI SAFIRA PERSIARAN S2 E1 SEKSYEN E SEREMBAN 2, 70300 SEREMBAN NEGERI SEMBILA  , Negeri Sembilan Negeri Sembilan MY 70300</t>
  </si>
  <si>
    <t>9-SBN-145</t>
  </si>
  <si>
    <t>NVMY34535000004597</t>
  </si>
  <si>
    <t>Lau Kok Kuan</t>
  </si>
  <si>
    <t>Ka Ka Trading PLT, WDT 146, MDKNK 2331, Bangunan Kunak Plaza, 91207 Kunak, Sabah   Sabah my 91207</t>
  </si>
  <si>
    <t>NVMY34535000004619</t>
  </si>
  <si>
    <t>KHALIL</t>
  </si>
  <si>
    <t>Kedah</t>
  </si>
  <si>
    <t>NO 48 TAMAN TG MAHERAN 06000 JITRA KEDAH   Kedah my 06000</t>
  </si>
  <si>
    <t>3A-JIT-13</t>
  </si>
  <si>
    <t>NVMY34535000004621</t>
  </si>
  <si>
    <t>NINJA STORE</t>
  </si>
  <si>
    <t>3A JALAN KLUANG PERDANA 1 TAMAN KLUANG PERDANA OTHERS 86000 JOHOR   Johor my 86000</t>
  </si>
  <si>
    <t>7-KLU-43</t>
  </si>
  <si>
    <t>NVMY34535000004627</t>
  </si>
  <si>
    <t>TLE SURVEY SDN &amp; BHD</t>
  </si>
  <si>
    <t>NO 19-1 JALAN TPS 1/5 TAMAN PELANGI SEMENYIH 43500 SEMENYIH SELANGOR   Selangor my 43500</t>
  </si>
  <si>
    <t>NVMY34535000004609</t>
  </si>
  <si>
    <t>AINI BAHRUDDIN</t>
  </si>
  <si>
    <t>AFFAN FURNITURE LOT 5 BLOK D LORONG 4 GRULIND FLOOR BANDAR MINGO PHASE 89808 BEAUFORT SABAH   Sabah my 89808</t>
  </si>
  <si>
    <t>15-BFT-155</t>
  </si>
  <si>
    <t>NVMY34535000004610</t>
  </si>
  <si>
    <t>NORASIMAH NORDIN</t>
  </si>
  <si>
    <t>D/A SAIMAN GANI KLINIK PERGIGIAN BEAUFORT PETI SURAT 1152 89808 BEAUFORT SABAH   Sabah my 89808</t>
  </si>
  <si>
    <t>NVMY34535000004633</t>
  </si>
  <si>
    <t>ROSMAWATI BT MUHAMAD</t>
  </si>
  <si>
    <t>NO 10 JALAN 2/3 TAMAN KESEDAR PUTRA 18300 GUA MUSANG KELANTAN   Kelantan my 18300</t>
  </si>
  <si>
    <t>NVMY34535000004625</t>
  </si>
  <si>
    <t>UMMI SYAHIDAH BINTI MANAF</t>
  </si>
  <si>
    <t>BANGUNAN B12, FAKULTI ALAM BINA DAN UKUR, UNIVERSITI TEKNOLOGI MALAYSIA 81310 JOHOR BAHRU, JOHOR   Johor my 81310</t>
  </si>
  <si>
    <t>NVMY34535000004626</t>
  </si>
  <si>
    <t>NVMY34535000004631</t>
  </si>
  <si>
    <t>NUR DIANA SHAARI</t>
  </si>
  <si>
    <t>CBG FECLRA SG TIAS DLM SG SAM 18000 KUALA KRAI KELANTAN   Kelantan my 18000</t>
  </si>
  <si>
    <t>NVMY34535000004635</t>
  </si>
  <si>
    <t>WAN JUNAIDAH WAN AB RAHMAN</t>
  </si>
  <si>
    <t>Kuala Lumpur</t>
  </si>
  <si>
    <t>11-2-1 KELUMPUK KEMUNTING B, JLN 30/56 SETIAWANGSA 54200 KUALA LUMPUR   Kuala Lumpur my 54200</t>
  </si>
  <si>
    <t>NVMY34535000004624</t>
  </si>
  <si>
    <t>NVMY34535000004628</t>
  </si>
  <si>
    <t>SITI ZUBAIDAH BT MUSTAPHA</t>
  </si>
  <si>
    <t>Melaka</t>
  </si>
  <si>
    <t>NO 14 JALA SI 40/2 TAMAN SAUJANA INDAH 75450 BUKIT KATIL MELAKA   Melaka my 75450</t>
  </si>
  <si>
    <t>NVMY34535000004632</t>
  </si>
  <si>
    <t>WAN HAZIM MUIZ WAN AZIZ</t>
  </si>
  <si>
    <t>RSC 1 GENTING HIGHLAND, 69000 GENTING HIGHLAND PAHANG   Pahang my 69000</t>
  </si>
  <si>
    <t>10-GEN-76</t>
  </si>
  <si>
    <t>NVMY34535000004629</t>
  </si>
  <si>
    <t>ALI BIN AHMAD</t>
  </si>
  <si>
    <t>42 KG BARU SUNGAI KEMBAL DALAM 09300 KUALA KETIL KEDAH   Kedah my 09300</t>
  </si>
  <si>
    <t>3A-BAL-16</t>
  </si>
  <si>
    <t>NVMY34535000004636</t>
  </si>
  <si>
    <t>NOOR AZLINA BINTI IBRAHIM</t>
  </si>
  <si>
    <t>NO 2-722, BLOK 2 JALAN MATAHARI U5/117 SEKSYEN U5, 40150 SHAH ALAM SELANGOR   Selangor my 40150</t>
  </si>
  <si>
    <t>10A-SZB-69</t>
  </si>
  <si>
    <t>NVMY34535000004650</t>
  </si>
  <si>
    <t>ALWINA EDWARD</t>
  </si>
  <si>
    <t>KIMS MART 7 &amp; 9 JALAN SOLARIS 2, SOLARIS MONT KIARA 50480 KUALA LUMPUR   Kuala Lumpur my 50480</t>
  </si>
  <si>
    <t>12A-SEG-92</t>
  </si>
  <si>
    <t>NVMY34535000004645</t>
  </si>
  <si>
    <t>EDRINA AZLAN</t>
  </si>
  <si>
    <t>26-G JALAN KAJANG PERDANA 9, TAMAN KAJANG PERDANA 43000 KAJANG SELANGOR   Selangor my 43000</t>
  </si>
  <si>
    <t>14-BMC-120</t>
  </si>
  <si>
    <t>NVMY34535000004638</t>
  </si>
  <si>
    <t>MOHAMAD RIDHWAN BIN MOHD ROSLI</t>
  </si>
  <si>
    <t>C-3-13A, APPT MAWAR, TAMAN BUNGA RAYA 48300 RAWANG SELANGOR   Selangor my 48300</t>
  </si>
  <si>
    <t>NVMY34535000004637</t>
  </si>
  <si>
    <t>NORWATIE BINTI ABU BAKAR</t>
  </si>
  <si>
    <t>NO 36, JLN PI 15/5, BANDAR PUTERA INDAH, TONGKANG PECHAH 83010 BT PAHAT JOHOR   Johor my 83010</t>
  </si>
  <si>
    <t>NVMY34535000004640</t>
  </si>
  <si>
    <t>SAIFUL ADLI</t>
  </si>
  <si>
    <t>S.T GARAGE A-673 KG TELAGA DAING, SEBERANG TAKIR 21300 KUALA NERUS TERENGGANU   Terengganu my 21300</t>
  </si>
  <si>
    <t>2-GBK-8</t>
  </si>
  <si>
    <t>NVMY34535000004607</t>
  </si>
  <si>
    <t>SITI ILANEE BT KIPILI</t>
  </si>
  <si>
    <t>Sarawak</t>
  </si>
  <si>
    <t>SEK KEB DATO MOHD MUSA 94300 SAMARAHAN SARAWAK   Sarawak my 94300</t>
  </si>
  <si>
    <t>NVMY34535000004630</t>
  </si>
  <si>
    <t>NORHASLIZAH SARABANI</t>
  </si>
  <si>
    <t>PETI SURAT 971 89808 BEAUFORT SABAH   Sabah my 89808</t>
  </si>
  <si>
    <t>NVMY34535000004606</t>
  </si>
  <si>
    <t>NVMY34535000004634</t>
  </si>
  <si>
    <t>SITI RAHMATIA</t>
  </si>
  <si>
    <t>2-514 JLN MATAHARI U5/117 SEKSYEN U5, 40150 SHAH ALAM SELANGOR  Selangor  Selangor my 40150</t>
  </si>
  <si>
    <t>NVMY34535000004639</t>
  </si>
  <si>
    <t>MUHAMAD SUHAIMI BIN MOHD SAAD</t>
  </si>
  <si>
    <t>NO 1247 LORONG RIA 11/6 TAMAN RIA 09400 PADANG SERAI KEDAH   Kedah my 09400</t>
  </si>
  <si>
    <t>5-KLM-27</t>
  </si>
  <si>
    <t>NVMY34535000004651</t>
  </si>
  <si>
    <t>NORLEHA BINTI HARUN</t>
  </si>
  <si>
    <t>MOKYTECH ENGINEERING (KL) SDN BHD NO 11 &amp; 13 JALAN UTAMA 1/7 TAMAN PERINDUSTRIAN PUCHONG UTAMA 47100 PUCHONG SELANGOR   Selangor my 47100</t>
  </si>
  <si>
    <t>11A-PUC-80</t>
  </si>
  <si>
    <t>NVMY34535000004652</t>
  </si>
  <si>
    <t>AMINNAIM BIN MAHUSSIN</t>
  </si>
  <si>
    <t>PEJABAT FELDA KERTEH 2 23100 PAKA TERENGGANU   Terengganu my 23100</t>
  </si>
  <si>
    <t>NVMY34535000004644</t>
  </si>
  <si>
    <t>QPHARMACY</t>
  </si>
  <si>
    <t>888 JLN SEKERAT, OFF JLN PUTRA, ALOR SETAR 05150 KEDAH   Kedah my 05150</t>
  </si>
  <si>
    <t>3A-AOR-14</t>
  </si>
  <si>
    <t>NVMY34535000004647</t>
  </si>
  <si>
    <t>LAILATUL ZAFIRAH BINTI MOHD ZAKI</t>
  </si>
  <si>
    <t>NO 310 KUARTERS GURU SMKA, 35800 SLIM RIVER, PERAK   Perak my 35800</t>
  </si>
  <si>
    <t>8-SLM-56</t>
  </si>
  <si>
    <t>NVMY34535000004659</t>
  </si>
  <si>
    <t>CHOIZES CONCEPT STORE SDN BHD</t>
  </si>
  <si>
    <t>UNIT NO D6-3A-17 BANGUNAN PERDAGANGAN D6, SENTUL RAYA, 801 JLN SENTUL 51100 KUALA LUMPUR   Kuala Lumpur my 51100</t>
  </si>
  <si>
    <t>NVMY34535000004643</t>
  </si>
  <si>
    <t>MR TAMILARASU NYANASAGRAN</t>
  </si>
  <si>
    <t>47 JALAN BUKIT KEMPAS 1/7 TAMAN BUKIT KEMPAS 81200 JOHOR BAHRU   Johor my 81200</t>
  </si>
  <si>
    <t>4A-KEM-22</t>
  </si>
  <si>
    <t>NVMY34535000004657</t>
  </si>
  <si>
    <t>NOR DIANA</t>
  </si>
  <si>
    <t>LOT 1226 B-6 KG MASJID SEGAMUT DALAM KUALA LUMPUR 51200 KUALA LUMPUR   Kuala Lumpur my 51200</t>
  </si>
  <si>
    <t>NVMY34535000004646</t>
  </si>
  <si>
    <t>NIK KAMARUZAMAN B NIK MUSTAPHA</t>
  </si>
  <si>
    <t>163 JALAN PERMATA 3 TAMAN PERMATA 53300 KUALA LUMPUR   Kuala Lumpur my 53300</t>
  </si>
  <si>
    <t>NVMY34535000004660</t>
  </si>
  <si>
    <t>LOT NO L1L11 LEVEL 1 DEPARTURE PUBLIC CONCOURSE LAPANGAN TERBANG SULTAN MAHMUD 21300 KUALA NERUS TERENGGANU   Terengganu my 21300</t>
  </si>
  <si>
    <t>NVMY34535000004656</t>
  </si>
  <si>
    <t>JEFF MOTOR SPORT</t>
  </si>
  <si>
    <t>JEFF MOTORSPORT (JMS) OFF JALAN MERU 42200 KLANG SELANGOR   Selangor my 42200</t>
  </si>
  <si>
    <t>12A-MRU-90</t>
  </si>
  <si>
    <t>NVMY34535000004642</t>
  </si>
  <si>
    <t>JASTIKA MOHD NASIR</t>
  </si>
  <si>
    <t>NO 92 KAMPUNG BELAHAN TAMPOK 83100 RENGIT, BATU PAHAT JOHOR   Johor my 83100</t>
  </si>
  <si>
    <t>NVMY34535000004658</t>
  </si>
  <si>
    <t>BTK INTEGRATED TRANSPORT SDN BHD (ATTN : MISS SIEW)</t>
  </si>
  <si>
    <t>LOT 1303 &amp; 1070 JALAN KUALA KANGSAR 34700 SIMPANG PERAK   Perak my 34700</t>
  </si>
  <si>
    <t>NVMY34535000004661</t>
  </si>
  <si>
    <t>NUR SULWANA BINTI ZAILANI</t>
  </si>
  <si>
    <t>LOT 13542 KAMPUNG TERATAK PULAI JELAWAT 16070 BACHOK KELANTAN   Kelantan my 16070</t>
  </si>
  <si>
    <t>NVMY34535000004653</t>
  </si>
  <si>
    <t>MOHD NORFAIZ BIN ZAHRIN</t>
  </si>
  <si>
    <t>BATALION KE 23 REJIMEN ASKAR MELAYU DIRAJA KEM GUA PERMAI 30350 IPOH PERAK   Perak my 30350</t>
  </si>
  <si>
    <t>8-IPH-58</t>
  </si>
  <si>
    <t>NVMY34535000004662</t>
  </si>
  <si>
    <t>CHE MOHD KAMARUL ZAMAN</t>
  </si>
  <si>
    <t>NO 50 RKT KESEDAR LEBIR 01 18300 GUA MUSANG KELANTAN   Kelantan my 18300</t>
  </si>
  <si>
    <t>NVMY34535000004648</t>
  </si>
  <si>
    <t>ISKANDAR BIN AHMAD</t>
  </si>
  <si>
    <t>30 JALAN BISTARI 3/3 TAMAN YAYASAN 1 85000 SEGAMAT JOHOR   Johor my 85000</t>
  </si>
  <si>
    <t>7-SGT-44</t>
  </si>
  <si>
    <t>NVMY34535000004673</t>
  </si>
  <si>
    <t>FAIZAL MOHAMED</t>
  </si>
  <si>
    <t>PT 2928 JALAN JATI BANDAR UTAMA 18300 GUA MUSANG, KELANTAN   Kelantan my 18300</t>
  </si>
  <si>
    <t>1B-GUA-106</t>
  </si>
  <si>
    <t>NVMY34535000004672</t>
  </si>
  <si>
    <t>MOHD FAIZULHAFIZI</t>
  </si>
  <si>
    <t>LOT 2722 RMR KG TASEK PASIR AKAR 22000 JERTEH TERENGGANU   Terengganu my 22000</t>
  </si>
  <si>
    <t>1A-JTH-6</t>
  </si>
  <si>
    <t>NVMY34535000004671</t>
  </si>
  <si>
    <t>NIK MOHD RIDZUAN BIN NIK MUHAMMAD</t>
  </si>
  <si>
    <t>NO 61A, JALAN BALAM, BATU 9 1/2, JALAN CHERAS, 43200 CHERAS SELANGOR   Selangor my 43200</t>
  </si>
  <si>
    <t>12A-CHE-89</t>
  </si>
  <si>
    <t>NVMY34535000004664</t>
  </si>
  <si>
    <t>ARRA</t>
  </si>
  <si>
    <t>9-3-10 BLOCK CHENGAL DESAMINIUM RIMBA 43300 SERI KEMBANGAN SELANGOR   Selangor my 43300</t>
  </si>
  <si>
    <t>NVMY34535000004663</t>
  </si>
  <si>
    <t>NVMY34535000004670</t>
  </si>
  <si>
    <t>NURUL HAZIQAH BINTI ISHAK</t>
  </si>
  <si>
    <t>BLOK 27-04-09, FASA 3, PANGSAPURI DBKL BANDAR BARU SENTUL 51000 KUALA LUMPUR   Kuala Lumpur my 51000</t>
  </si>
  <si>
    <t>NVMY34535000004649</t>
  </si>
  <si>
    <t>NORFARAHIN BT MOHAMMAD</t>
  </si>
  <si>
    <t>262 PT MOIN 2, MK 2 BAGAN 83000 BATU PAHAT JOHOR   Johor my 83000</t>
  </si>
  <si>
    <t>7-BPT-47</t>
  </si>
  <si>
    <t>NVMY34535000004668</t>
  </si>
  <si>
    <t>RAA'ZILAWAHI</t>
  </si>
  <si>
    <t>116C KG KAYU KELAT, 22300 KUALA BESUT TERENGGANU   Terengganu my 22300</t>
  </si>
  <si>
    <t>NVMY34535000004665</t>
  </si>
  <si>
    <t>MUHAMMAD  AZWARI BIN MAT YUSOF</t>
  </si>
  <si>
    <t>NO 8 JALAN BUNGA KEMBOJA 11 TAMAN MUDA 56100 KUALA LUMPUR   Kuala Lumpur my 56100</t>
  </si>
  <si>
    <t>11-TMJ-186</t>
  </si>
  <si>
    <t>NVMY34535000004654</t>
  </si>
  <si>
    <t>AQILAH SOFIYAH</t>
  </si>
  <si>
    <t>Pulau Pinang</t>
  </si>
  <si>
    <t>33-03-26 TAMAN PEKAKA JALAN PEKAKA 1 11700 SUNGAI DUA PULAU PINANG   Pulau Pinang my 11700</t>
  </si>
  <si>
    <t>NVMY34535000004676</t>
  </si>
  <si>
    <t>FADHLINA BINTI BASRI</t>
  </si>
  <si>
    <t>SK SERIPAKA 23100 PAKA TERENGGANU   Terengganu my 23100</t>
  </si>
  <si>
    <t>2-PAK-10</t>
  </si>
  <si>
    <t>NVMY34535000004666</t>
  </si>
  <si>
    <t>NORAZELA BINTI MAT YUSOF</t>
  </si>
  <si>
    <t>NO 36, LALUAN PENGKALAN TIMAH 11, DESA PENGKALAN TIMAH 31500 KINTA PERAK   Perak my 31500</t>
  </si>
  <si>
    <t>8-HLD-139</t>
  </si>
  <si>
    <t>NVMY34535000004685</t>
  </si>
  <si>
    <t>NORLI BTE MISKON</t>
  </si>
  <si>
    <t>NO 1, LORONG NANGKA KANAN, JALAN CEMPAKA, KANCHONG DARAT 42700 BANTING SELANGOR   Selangor my 42700</t>
  </si>
  <si>
    <t>13-BAN-98</t>
  </si>
  <si>
    <t>NVMY34535000004669</t>
  </si>
  <si>
    <t>YD COLLECTION</t>
  </si>
  <si>
    <t>NO 161 PERSIARAN KKCC 09300 KUALA KETIL KEDAH   Kedah my 09300</t>
  </si>
  <si>
    <t>NVMY34535000004686</t>
  </si>
  <si>
    <t>NOR AZURA BT TAIB</t>
  </si>
  <si>
    <t>1755-B, JALAN PANJI ALAM 21100 KUALA TERENGGANU   Terengganu my 21100</t>
  </si>
  <si>
    <t>2-PYG-170</t>
  </si>
  <si>
    <t>NVMY34535000004682</t>
  </si>
  <si>
    <t>RABIATUL ADAWIYAH BT SULAIMAN</t>
  </si>
  <si>
    <t>NO 1271 KAMPUNG BESUT 24000 KEMAMAN TERENGGANU   Terengganu my 24000</t>
  </si>
  <si>
    <t>6A-CHU-34</t>
  </si>
  <si>
    <t>NVMY34535000004674</t>
  </si>
  <si>
    <t>NORHAFIZAH KHAMIS</t>
  </si>
  <si>
    <t>NO 24C KAMPUNG OLAK BATU MK7 PARIT RAJA BATU PAHAT 86400  JOHOR    Johor my 86400</t>
  </si>
  <si>
    <t>7-HTM-135</t>
  </si>
  <si>
    <t>NVMY34535000004683</t>
  </si>
  <si>
    <t>AZWANIZAM BT JOHARI</t>
  </si>
  <si>
    <t>NO 53 JALAN RI 4, TAMAN RAMBAI IDAMAN BUKIT RAMBAI 75250 MELAKA   Melaka my 75250</t>
  </si>
  <si>
    <t>9A-MYK-63</t>
  </si>
  <si>
    <t>NVMY34535000004691</t>
  </si>
  <si>
    <t>CIK NOR ANIS NADIA</t>
  </si>
  <si>
    <t>NO 12-22 RESIDENSI MEDAN, JLN PJS 3/54, PJS 3, 46000 PETALING JAYA SELANGOR   Selangor my 46000</t>
  </si>
  <si>
    <t>NVMY34535000004667</t>
  </si>
  <si>
    <t>YAYA</t>
  </si>
  <si>
    <t>AIM SOLUTIONS SDN BHD, SUITE 2/8, NO 3, JALAN CEMPAKA, SD12/1A, BANDAR SRI DAMANSARA PJU9, 52200 KUALA LUMPUR   Kuala Lumpur my 52200</t>
  </si>
  <si>
    <t>11A-KEP-79</t>
  </si>
  <si>
    <t>NVMY34535000004698</t>
  </si>
  <si>
    <t>UMMI ZULAIKHA BINTI JEFRI</t>
  </si>
  <si>
    <t>LOT 9967 TAMAN BUKIT INDAH 3 RHU RENGGEH 21080 MARANG TERENGGANU   Terengganu my 21080</t>
  </si>
  <si>
    <t>NVMY34535000004677</t>
  </si>
  <si>
    <t>SARAH ALYAA SHUKRI</t>
  </si>
  <si>
    <t>NO 254 JALAN ANGGERIK 2/7 BANDAR TENGGARA 81000 BANDAR TENGGARA JOHOR   Johor my 81000</t>
  </si>
  <si>
    <t>4A-KLI-19</t>
  </si>
  <si>
    <t>NVMY34535000004675</t>
  </si>
  <si>
    <t>ZAITON BT SIDI AHMAD</t>
  </si>
  <si>
    <t>NO 39 KAMPUNG CHAROK TOK MIN MUKIM RAMBAI PENDANG 06760 KEDAH   Kedah my 06760</t>
  </si>
  <si>
    <t>3A-PDG-15</t>
  </si>
  <si>
    <t>NVMY34535000004678</t>
  </si>
  <si>
    <t>NUR FADHLIN</t>
  </si>
  <si>
    <t>C-09-30 PANGSAPURI DAMAI MEWAH B OFF JALAN SEMENYIH 43000 KAJANG SELANGOR   Selangor my 43000</t>
  </si>
  <si>
    <t>NVMY34535000004684</t>
  </si>
  <si>
    <t>NOOR AZIZAH BINTI MD MUHAYATDIN</t>
  </si>
  <si>
    <t>NO 60 JALAN BESTARI 8/3 TAMAN BESTARI INDAH 81800 ULU TIRAM JOHOR   Johor my 81800</t>
  </si>
  <si>
    <t>4-TRM-173</t>
  </si>
  <si>
    <t>NVMY34535000004687</t>
  </si>
  <si>
    <t>SIS ERIENA</t>
  </si>
  <si>
    <t>NO 1 LOT 5425, BT 29 JALAN SHEIKH JALALLUDIN, KAMPUNG JENDERAM HULU 43800 DENGKIL SELANGOR   Selangor my 43800</t>
  </si>
  <si>
    <t>10-BSP-182</t>
  </si>
  <si>
    <t>NVMY34535000004689</t>
  </si>
  <si>
    <t>AZLINA MUHAMAD</t>
  </si>
  <si>
    <t>9683 AIR MELINTAS BESAR, 13300 TASEK GELUGOR PULAU PINANG   Pulau Pinang my 13300</t>
  </si>
  <si>
    <t>5-BTS-29</t>
  </si>
  <si>
    <t>NVMY34535000004679</t>
  </si>
  <si>
    <t>LAI JUN WAH</t>
  </si>
  <si>
    <t>NO 8 JALAN BUNGA MAWAR TAMAN MAJU JAYA CHERAS 56100 KUALA LUMPUR   Kuala Lumpur my 56100</t>
  </si>
  <si>
    <t>CBS-Manual</t>
  </si>
  <si>
    <t>NVMY34535000004695</t>
  </si>
  <si>
    <t>NURFATIN FATNIN BT MOHD YATIM</t>
  </si>
  <si>
    <t>LOT 60932 JALAN TANAH BELIA, KG LUBOK KAWOH 24200 KEMSASIK, KEMAMAN TERENGGANU   Terengganu my 24200</t>
  </si>
  <si>
    <t>NVMY34535000004680</t>
  </si>
  <si>
    <t>FAIRUZA SYAHIRA</t>
  </si>
  <si>
    <t>BLOK A-T08-U22 , PANGSAPURI PUTRA DAMAI,JALAN P11G,PRESINT 11,62300 PUTRAJAYA   Putrajaya my 62300</t>
  </si>
  <si>
    <t>NVMY34535000004696</t>
  </si>
  <si>
    <t>AZIZAH BT HARUN</t>
  </si>
  <si>
    <t>NO 2D-3 LORONG KANCIL, KG KLANG GATE BARU 53100 SETAPAK KUALA LUMPUR   Selangor my 53100</t>
  </si>
  <si>
    <t>NVMY34535000004692</t>
  </si>
  <si>
    <t>AMIRA</t>
  </si>
  <si>
    <t>30, JALAN DESA TROPIKA 6, TAMAN DESA TROPIKA 83000 BATU PAHAT JOHOR   Johor my 83000</t>
  </si>
  <si>
    <t>NVMY34535000004703</t>
  </si>
  <si>
    <t>Ahmad Syariffuddin Bin Wahib</t>
  </si>
  <si>
    <t>4187 Kg Pulau Bahagai Manir 21200 Kuala Terengganu Terenggamu   Terengganu my 21200</t>
  </si>
  <si>
    <t>TGG-TGG</t>
  </si>
  <si>
    <t>NVMY34535000004707</t>
  </si>
  <si>
    <t>ALWIN MAH</t>
  </si>
  <si>
    <t>NO 20 LORONG GALING 127 JALAN AIR PUTIH 25300 KUANTAN PAHANG    Pahang my 25300</t>
  </si>
  <si>
    <t>NVMY34535000004693</t>
  </si>
  <si>
    <t>SYAFIQA ELLYANA BT KAMARULZAMAN</t>
  </si>
  <si>
    <t>LOT 1951 BATU 3 1/2 JALAN MARAN 28000 TEMERLOH PAHANG   Pahang my 28000</t>
  </si>
  <si>
    <t>NVMY34535000004690</t>
  </si>
  <si>
    <t>FAEZ BT ZA'BAR</t>
  </si>
  <si>
    <t>NO 45, JALAN BAYAM 4, FELDA MAOKIL 3, 85300 LABIS SEGAMAT JOHOR   Johor my 85300</t>
  </si>
  <si>
    <t>NVMY34535000004700</t>
  </si>
  <si>
    <t>NOR ' AINI YUSOF</t>
  </si>
  <si>
    <t>NO 58 KG BARU BUKIT GAJAH 28740 PELANGI BENTONG PAHANG   Pahang my 28740</t>
  </si>
  <si>
    <t>6A-TRI-36</t>
  </si>
  <si>
    <t>NVMY34535000004697</t>
  </si>
  <si>
    <t>NOOR HANAN ZAKARIA</t>
  </si>
  <si>
    <t>NO 10 PT1129, JALAN MOHAMED PERAK 4, TAMAN DESA KPMP PERAK TENGAH 36800 PERAK    Perak my 36800</t>
  </si>
  <si>
    <t>NVMY34535000004699</t>
  </si>
  <si>
    <t>ZARINA MOHD NOOR</t>
  </si>
  <si>
    <t>PT 19147 JALAN CEMPAKA 7 TAMAN DESA CEMPAKA 3 71800 NILAI NEGERI SMEBILAN   Negeri Sembilan my 71800</t>
  </si>
  <si>
    <t>NVMY34535000004719</t>
  </si>
  <si>
    <t>NURUL ASMIRA BT MOHD YUSOF</t>
  </si>
  <si>
    <t>KAMPUNG WEK BATU 23 LABOK 18500 MACHANG KELANTAN   Kelantan my 18500</t>
  </si>
  <si>
    <t>NVMY34535000004694</t>
  </si>
  <si>
    <t>MEMORY HASNON</t>
  </si>
  <si>
    <t>NO 167-33-7, GURNEY PARK CONDOMINIUM, PERSIARAN GURNEY 10250 GEORGETOWN, PULAU PINANG   Pulau Pinang my 10250</t>
  </si>
  <si>
    <t>5-GEO-31</t>
  </si>
  <si>
    <t>NVMY34535000004655</t>
  </si>
  <si>
    <t>NUR SYAHIRAH BT SUFIAN</t>
  </si>
  <si>
    <t>LOT 747 JALAN BUNGA RAYA 1C TAMAN BUMIKO 98000 MIRI SARAWAK   Sarawak my 98000</t>
  </si>
  <si>
    <t>16A-MYY-115</t>
  </si>
  <si>
    <t>NVMY34535000004711</t>
  </si>
  <si>
    <t>SITI ROKIAH SALLEH</t>
  </si>
  <si>
    <t>31 JALAN ENGGANG UTARA TAMAN KERAMAT 54200 KUALA LUMPUR   Kuala Lumpur my 54200</t>
  </si>
  <si>
    <t>NVMY34535000004732</t>
  </si>
  <si>
    <t>ADIERA YUSOF</t>
  </si>
  <si>
    <t>445U JALAN KAMARUDDIN JALAN BATU BURUK GONG KAPAS 20400 KUALA TERENGGANU TERENGGANU   Terengganu my 20400</t>
  </si>
  <si>
    <t>NVMY34535000004717</t>
  </si>
  <si>
    <t>MOHAMAD AIDIL</t>
  </si>
  <si>
    <t>NO 2 LOT 4782 C LORONG CEMPAKA 41050 MERU KLANG SELANGOR   Selangor my 41050</t>
  </si>
  <si>
    <t>NVMY34535000004714</t>
  </si>
  <si>
    <t>NVMY34535000004716</t>
  </si>
  <si>
    <t>NVMY34535000004722</t>
  </si>
  <si>
    <t>NIK AMNI</t>
  </si>
  <si>
    <t>RESTORAN FENOMENA NO 2 PERSIARAN PINGGIRAN PUTRA 4A DESA PINGGIRAN PUTRA SG MERAB 43650 BANGI SEPANG SELANGOR    Selangor my 43650</t>
  </si>
  <si>
    <t>12-CJY-96</t>
  </si>
  <si>
    <t>NVMY34535000004715</t>
  </si>
  <si>
    <t>NVMY34535000004728</t>
  </si>
  <si>
    <t>NORSALWA BT OTHMAN</t>
  </si>
  <si>
    <t>NO 21 LORONG TERATAI 2, TAMAN TERATAI KG MARHUM 26660 PEKAN PAHANG   Pahang my 26660</t>
  </si>
  <si>
    <t>6-PKN-40</t>
  </si>
  <si>
    <t>NVMY34535000004702</t>
  </si>
  <si>
    <t>MUHAMMAD ALIF MAIZAT BIN MUHAMMAD HISHAMUDIN</t>
  </si>
  <si>
    <t>NO 18A BLOK6, FELCRA SUNGAI TEMAU ,27200 ,KUALA LIPIS PAHANG  Pahang  Pahang my 27200</t>
  </si>
  <si>
    <t>NVMY34535000004734</t>
  </si>
  <si>
    <t>SAHIDA ANGAH</t>
  </si>
  <si>
    <t>(WARISAN MAMA MIAH) NO 50 KAMPUNG BARU JALAN MALAYSIA 17600 JELI KELANTAN   Kelantan my 17600</t>
  </si>
  <si>
    <t>NVMY34535000004688</t>
  </si>
  <si>
    <t>FADILAH BINTI MOHAMAD</t>
  </si>
  <si>
    <t>NO 259 JALAN TERATAI 9, TAMAN TERATAI NILAI 7, 71800 NILAI NEGERI SEMBILAN   Negeri Sembilan my 71800</t>
  </si>
  <si>
    <t>9-NIL-61</t>
  </si>
  <si>
    <t>NVMY34535000004721</t>
  </si>
  <si>
    <t>RESTORAN FENOMENA NO 2 PERSIARAN PINGGIRAN PUTRA 4A DESA PINGGIRAN PUTRA SG MERAB 43650 BANGI SEPANG SELANGOR   Selangor my 43650</t>
  </si>
  <si>
    <t>NVMY34535000004706</t>
  </si>
  <si>
    <t>AZLINDA KAMAL</t>
  </si>
  <si>
    <t>NO 70 TAMAN VILLA LAKSAMANA KG LAKSAMANA 68100 BATU CAVES SELANGOR   Selangor my 68100</t>
  </si>
  <si>
    <t>12-SLG-95</t>
  </si>
  <si>
    <t>NVMY34535000004713</t>
  </si>
  <si>
    <t>SITI ROHAIDA ZAINUDDIN</t>
  </si>
  <si>
    <t>LOT 1489 KAMPUNG SURAU KOTA 15100 KOTA BHARU KELANTAN  Kelantan  Kelantan my 15100</t>
  </si>
  <si>
    <t>NVMY34535000004705</t>
  </si>
  <si>
    <t>NUR WAHIDA</t>
  </si>
  <si>
    <t>SP 55 JALAN SUNGAI PETAI PERMAI 1 78000 ALOR GAJAH MELAKA   Melaka my 78000</t>
  </si>
  <si>
    <t>NVMY34535000004720</t>
  </si>
  <si>
    <t>ATTN : DAVID</t>
  </si>
  <si>
    <t>MELIUM DESIGNER OUTLET SUITE 526 GENTING HIGHLANDS PREMIUM OUTLET KM13 GENTING HIGLANDS 69000 PAHANG (0136038744)   Pahang my 69000</t>
  </si>
  <si>
    <t>NVMY34535000004641</t>
  </si>
  <si>
    <t>NVMY34535000004724</t>
  </si>
  <si>
    <t>RAZILEE</t>
  </si>
  <si>
    <t>F251 KAMPUNG PERMATANG PASIR 08500 KOTA KUALA MUDA  KEDAH   Kedah my 08500</t>
  </si>
  <si>
    <t>3-SPT-17</t>
  </si>
  <si>
    <t>NVMY34535000004725</t>
  </si>
  <si>
    <t>AZHAR BIN ISHAK</t>
  </si>
  <si>
    <t>POWER LIGHT TECHNOLOGY SDN BHD NO 2361 JALAN PERMAI UTAMA 1 PUSAT PERNIAGAAN UTAMA 14000 BUKIT MERTAJAM PULAU PINANG   Pulau Pinang my 14000</t>
  </si>
  <si>
    <t>5-BKM-144</t>
  </si>
  <si>
    <t>NVMY34535000004727</t>
  </si>
  <si>
    <t>SURIATI</t>
  </si>
  <si>
    <t>GOODMORNINGGLOBAL SDN BHD NO 56 TAMAN PERINDUSTRIAN TIONG NAM JALAN 15/22 SEKSYEN 15 40200 SHAH ALAM SELANGOR   Selangor  my 40200</t>
  </si>
  <si>
    <t>NVMY34535000004739</t>
  </si>
  <si>
    <t>MAJLIS DAERAH TANAH MERAH (MDTM)</t>
  </si>
  <si>
    <t>1750 TANAH MERAH KELANTAN DARUL NAIM (U/P: UNIT PUSAT SETEMPAT (OSC))   Kelantan my 17500</t>
  </si>
  <si>
    <t>NVMY34535000004730</t>
  </si>
  <si>
    <t>NARDIAH SHAHABUDIN</t>
  </si>
  <si>
    <t>KG BANGGOL SANAI PAYA JENUN 06720 PENDANG KEDAH   Kedah my 06720</t>
  </si>
  <si>
    <t>NVMY34535000004723</t>
  </si>
  <si>
    <t>ZUELLIG PHARMA SDN BHD  ATTN: REGENE CHEONG (CREDIT DEPT)</t>
  </si>
  <si>
    <t>NO 15 PERSIARAN PASAK BUMI SECTION U8 PERINDUSTRIAN BUKIT JELUTONG 40150 SHAH ALAM SELANGOR   Selangor my 40150</t>
  </si>
  <si>
    <t>NVMY34535000004710</t>
  </si>
  <si>
    <t>KALSOM OSMAN</t>
  </si>
  <si>
    <t>310 LORONG BAIDURI 7/4 TAMAN DELIMA 08000 SUNGAI PETANI KEDAH   Kedah my 08000</t>
  </si>
  <si>
    <t>NVMY34535000004733</t>
  </si>
  <si>
    <t>BTK INTEGRATED TRANSPORT SDN  BHD (ATTN: MISS SIEW)</t>
  </si>
  <si>
    <t>LOT 1030 &amp; 1070 JLN KUALA KANGSAR 34700 SIMPANG TAIPING PERAK   Perak  my 34700</t>
  </si>
  <si>
    <t>NVMY34535000004718</t>
  </si>
  <si>
    <t>ARANORDIN</t>
  </si>
  <si>
    <t>NO 15 JALAN MERPATI 10 TAMAN DESA MERPATI 43900 SALAK SEPANG SELANGOR   Selangor my 43900</t>
  </si>
  <si>
    <t>NVMY34535000004738</t>
  </si>
  <si>
    <t>NVMY34535000004712</t>
  </si>
  <si>
    <t>ARISHAH BT HASHIM</t>
  </si>
  <si>
    <t>312 LORONG INAI 2 TAMAN AICHI KM 4 JALAN MATANG 93050 KUCHING SARAWAK   Sarawak my 93050</t>
  </si>
  <si>
    <t>16-KCH-112</t>
  </si>
  <si>
    <t>NVMY34535000004708</t>
  </si>
  <si>
    <t>NOROHANA ISHAK</t>
  </si>
  <si>
    <t>NO 11 JALAN AU 1C/3E TAMAN KERAMAT PERMAI 54200 KUALA LUMPUR  Kuala Lumpur  Kuala Lumpur my 54200</t>
  </si>
  <si>
    <t>NVMY34535000004681</t>
  </si>
  <si>
    <t>JUAN DANAR</t>
  </si>
  <si>
    <t>10 A LORONG OYA 8, 96000 SIBU SARAWAK   Sarawak my 96000</t>
  </si>
  <si>
    <t>16-SBW-113</t>
  </si>
  <si>
    <t>NVMY34535000004731</t>
  </si>
  <si>
    <t>SITI AMIRA BT ABDULLAH CHEK</t>
  </si>
  <si>
    <t>LOT 2910-D JLN RDU 2 KG LABOHAN DAGANG 42700 BANTING SELANGOR   Selangor my 42700</t>
  </si>
  <si>
    <t>NVMY34535000004709</t>
  </si>
  <si>
    <t>NORAAN BT HARUN</t>
  </si>
  <si>
    <t>724 JALAN AMAN 9 TAMAN AMAN 06550 ANAK BUKIT ALOR STAR KEDAH   Kedah my 06550</t>
  </si>
  <si>
    <t>NVMY34535000004740</t>
  </si>
  <si>
    <t>NORASILAH BINTI MAT HUSSAIN</t>
  </si>
  <si>
    <t>D-11A-2B  BLOK D JALAN OS 1/4 ONE SELAYANG APARTMENT 68100 BATU CAVES SELANGOR   Selangor my 68100</t>
  </si>
  <si>
    <t>NVMY34535000004744</t>
  </si>
  <si>
    <t>HASLINA BINTI HAMID</t>
  </si>
  <si>
    <t>NO 5 LORONG GUAR PERAHU 24 TAMAN GUAR PERAHU 14400 KUBANG SEMANG PULAU PINANG   Pulau Pinang my 14400</t>
  </si>
  <si>
    <t>5-BWH-28</t>
  </si>
  <si>
    <t>NVMY34535000004726</t>
  </si>
  <si>
    <t>KEMENTERIAN KESIHATAN MALAYSIA (PUAN SYAZLIDA BT ROSLY)</t>
  </si>
  <si>
    <t>BAHAGIAN PERKHIDMATAN KEJURUTERAAN ARAS 3-7 BLOK E3 KOMPLEKS E PUSAT PENTADBIRAN KERAJAAN PERSEKUTUAN 62590 PUTRAJAYA   Putrajaya  my 62590</t>
  </si>
  <si>
    <t>NVMY34535000004745</t>
  </si>
  <si>
    <t>PN SHAZLIDA BINTI ROSLY</t>
  </si>
  <si>
    <t>KEMENTERIAN KESIHATAN MALAYSIA, BAHAGIAN PERKHIDMATAN KEJURUTERAAN, ARAS 3-7, BLOK E3, KOMPLEKS E PUSAT PENTADBIRAN KERAJAAN PERSEKUTUAN 62590 PUTRAJAYA   Putrajaya my 62590</t>
  </si>
  <si>
    <t>NVMY34535000004743</t>
  </si>
  <si>
    <t>ATTN: NURUL AMIRA BINTI BADRUL HISHAM</t>
  </si>
  <si>
    <t>HUMAN RESAOURCES /  CORPORATE HEALTH TOP GLOVE CORPORATION BHD TOP GLOVE TOWER LEVEL 13A TOP GLOVE TOWER 16 PERSIARAN SETIA DAGANG SETIA ALAM SEKSYEN U13 40170 SHAH ALAM SELANGOR   Selangor my 40170</t>
  </si>
  <si>
    <t>NVMY34535000004737</t>
  </si>
  <si>
    <t>JULIYANA BT ISMAIL</t>
  </si>
  <si>
    <t>LOT 5199 JALAN INDAH 13 TAMAN SRI INDAH 45300 SUNGAI BESAR SELANGOR   Selangor my 45300</t>
  </si>
  <si>
    <t>13-SBR-103</t>
  </si>
  <si>
    <t>NVMY34535000004736</t>
  </si>
  <si>
    <t>MOHD YUNOS BIN SHAFIEE</t>
  </si>
  <si>
    <t>NO 13 JLN PP 1/4 TAMAN PADU PERMAI 45300 SUNGAI BESAR SELANGOR   Selangor my 45300</t>
  </si>
  <si>
    <t>NVMY34535000004749</t>
  </si>
  <si>
    <t>HAFIZAH ABDUL SALAM</t>
  </si>
  <si>
    <t>LOT 1322 KG MAT KILAU 1 27000 JERANTUT PAHANG   Pahang my 27000</t>
  </si>
  <si>
    <t>NVMY34535000004375</t>
  </si>
  <si>
    <t>RATNAWATI BINTI BUANG</t>
  </si>
  <si>
    <t>LOT 8529 DESA PUJUT 2L BANDAR BARU PERMYJAYA 98000 MIRI SARAWAK   Sarawak my 98000</t>
  </si>
  <si>
    <t>NVMY34535000004370</t>
  </si>
  <si>
    <t>IMRAN HAMSILANI</t>
  </si>
  <si>
    <t>Labuan</t>
  </si>
  <si>
    <t>C/O WILHELMSEN TECHNICAL, SERVICE- LAYUP DIVISION PRESTON SHIPYARD SDN BHD KM 9 BLOK 4 JALAN RANCA RANCA 87031 WP LABUAN   Labuan my 87031</t>
  </si>
  <si>
    <t>15B-LBN-111</t>
  </si>
  <si>
    <t>NVMY34535000004389</t>
  </si>
  <si>
    <t>MOHD SHAFIQ KAMARI</t>
  </si>
  <si>
    <t>149 JALAN SEREMBAN TIGA 4 SEREMBAN 3 70300 SEREMBAN NEGERI SMEBILAN    Negeri Sembilan my 70300</t>
  </si>
  <si>
    <t>NVMY34535000004365</t>
  </si>
  <si>
    <t>NELISA</t>
  </si>
  <si>
    <t>KAMPUNG TELUPID P/S 298, 89320 TELUPID SABAH   Sabah my 89320</t>
  </si>
  <si>
    <t>SBH-SBH</t>
  </si>
  <si>
    <t>NVMY34535000004390</t>
  </si>
  <si>
    <t>KHAIRUL NIZAM TAJUL ARIFFIN</t>
  </si>
  <si>
    <t>LADANG PAGOH P.O.BOX 101 BUKIT PASIR 84300 MUAR JOHOR   Johor my 84300</t>
  </si>
  <si>
    <t>NVMY34535000004404</t>
  </si>
  <si>
    <t>FAZRUL HADI</t>
  </si>
  <si>
    <t>LOT 742 NO 10 JALAN PAKAT 2 BATU 8 IJOK KUALA SELANGOR 45620 SELANGOR   Selangor my 45620</t>
  </si>
  <si>
    <t>13-KSR-97</t>
  </si>
  <si>
    <t>NVMY34535000004405</t>
  </si>
  <si>
    <t>AZIZAH DAUD</t>
  </si>
  <si>
    <t>NO 36 JALAN GR 1/3, CASSIA GARDEN RESIDENCE CYBER 3, CYBERJAYA, SEPANG 62000 SELANGOR   Selangor my 62000</t>
  </si>
  <si>
    <t>NVMY34535000004388</t>
  </si>
  <si>
    <t>MOHD FADZIL BIN JANJAM</t>
  </si>
  <si>
    <t>NO 7 KAMPUNG TENGAH SIMPANG EMPAT 31920 KAMPAR PERAK   Perak my 31920</t>
  </si>
  <si>
    <t>8A-TAP-54</t>
  </si>
  <si>
    <t>NVMY34535000004398</t>
  </si>
  <si>
    <t>MARIANI BINTI HUSNI</t>
  </si>
  <si>
    <t>IBU PEJABAT POLIS DAERAH PETI SURAT 28 89808 BEAUFORT SABAH   Sabah my 89808</t>
  </si>
  <si>
    <t>NVMY34535000004406</t>
  </si>
  <si>
    <t>LYNDA</t>
  </si>
  <si>
    <t>NO 66 LORONG 17/SS1 BANDAR TASEK MUTIARA 14120 SIMPANG AMPAT PULAU PINANG   Pulau Pinang my 14120</t>
  </si>
  <si>
    <t>5-SIM-30</t>
  </si>
  <si>
    <t>NVMY34535000004414</t>
  </si>
  <si>
    <t>NUR AZNIDA IZZATY BINTI ZAWAWI</t>
  </si>
  <si>
    <t>NO 5 JALAN EMAS 3 TAMAN EMAS 27200 KUALA LIPIS PAHANG   Pahang my 27200</t>
  </si>
  <si>
    <t>NVMY34535000004384</t>
  </si>
  <si>
    <t>Asrinah Mohd Yusof</t>
  </si>
  <si>
    <t>Tg Js/12/4 Lorong Kenanga 1, Taman Indah 86600 Paloh Johor   Johor my 86600</t>
  </si>
  <si>
    <t>NVMY34535000004409</t>
  </si>
  <si>
    <t>AFIFAH</t>
  </si>
  <si>
    <t>C-11-09 UTROPOLIS SUITES TOWER C, JLN KONTRAKTOR U1/14, HICOM GLENMARIE SHAH ALAM 40150 SELANGOR   Selangor my 40150</t>
  </si>
  <si>
    <t>12-HTC-153</t>
  </si>
  <si>
    <t>NVMY34535000004408</t>
  </si>
  <si>
    <t>ADIBAH HANIM BT AHMAD</t>
  </si>
  <si>
    <t>FAKULTI SAINS KESIHATAN BLOK MAIMUNAH UNIVERSITI SULTAN ZAINAL ABIDIN KAMPUS GONG BADAK 21300 KUALA NERUS TERENGGANU   Terengganu my 21300</t>
  </si>
  <si>
    <t>NVMY34535000004413</t>
  </si>
  <si>
    <t>FADZILAH BT MOHAMED</t>
  </si>
  <si>
    <t>NO 102 LRG JENAHAK, PERUMAH BERSEPADU KUALA PAHANG 26660 PEKAN PAHANG   Pahang my 26660</t>
  </si>
  <si>
    <t>NVMY34535000004411</t>
  </si>
  <si>
    <t>AZMYWAW</t>
  </si>
  <si>
    <t>NO 05-09, SKYAWANI COMMERCIAL, NO 27 JALAN SENTUL PERDANA 51100 KUALA LUMPUR   Kuala Lumpur my 51100</t>
  </si>
  <si>
    <t>10-CAV-75</t>
  </si>
  <si>
    <t>NVMY34535000004407</t>
  </si>
  <si>
    <t>SITI ROSWAZI BINTI ABDUL WAHAB</t>
  </si>
  <si>
    <t>POS LEMON 10 KOTAK 282A KAMPUNG PONDOK LABU 09000 KULIM KEDAH   Kedah my 09000</t>
  </si>
  <si>
    <t>NVMY34535000004396</t>
  </si>
  <si>
    <t>MIRA NATHASYA FAZDLE</t>
  </si>
  <si>
    <t>NO 733A TABUAN LOT NO 3 KUCHING 93450 SARAWAK   Sarawak my 93450</t>
  </si>
  <si>
    <t>NVMY34535000004417</t>
  </si>
  <si>
    <t>UMMI SALAMAH</t>
  </si>
  <si>
    <t>BB 2 5 PUCHONG UTAMA COURT 2 TAMAN PUCHONG UTAMA 47100 PUCHONG SELANGOR   Selangor my 47100</t>
  </si>
  <si>
    <t>NVMY34535000004415</t>
  </si>
  <si>
    <t>MOHD NOR FAIZ BIN ZAHRIN</t>
  </si>
  <si>
    <t>BN 23 RAMD KEM GUA PERMAI 30350 TAMBUN IPOH PERAK   Perak my 30350</t>
  </si>
  <si>
    <t>NVMY34535000004410</t>
  </si>
  <si>
    <t>NOR AZIMAH BT CHE AHMAD</t>
  </si>
  <si>
    <t>B10-00-08, APARTMENT ANGGERIK, DESA PANDAN, JALAN KAMPUNG PANDAN 55100 KUALA LUMPUR   Kuala Lumpur my 55100</t>
  </si>
  <si>
    <t>14-SHM-119</t>
  </si>
  <si>
    <t>NVMY34535000004401</t>
  </si>
  <si>
    <t>NURBAYA BINTI MOHD YUSUF</t>
  </si>
  <si>
    <t>BLOK G15 T1 P2 RKAT BATALION KE 7 RAMD KEM KABOTA 91000 TAWAU SABAH   Sabah my 91000</t>
  </si>
  <si>
    <t>15A-TWU-109</t>
  </si>
  <si>
    <t>NVMY34535000004412</t>
  </si>
  <si>
    <t>Returned to Sender</t>
  </si>
  <si>
    <t>DR NADIRA</t>
  </si>
  <si>
    <t>PT 1128, Perumahan PKINK Pengkalan Chepa, Kota Bharu, Kelantan  , Kelantan MY 16100</t>
  </si>
  <si>
    <t>1A-KBR-1</t>
  </si>
  <si>
    <t>NVMY34535000004425</t>
  </si>
  <si>
    <t>NUR ATIERAH</t>
  </si>
  <si>
    <t>LOT 822 KAMPUNG KETING 16390 GUNONG BACHOK KELANTAN   Kelantan my 16390</t>
  </si>
  <si>
    <t>NVMY34535000004422</t>
  </si>
  <si>
    <t>MOHD SUBKI</t>
  </si>
  <si>
    <t>CYBERIA SMARTHOMEJALAN CYBERIA 4 CYBER 11 E-63-B CYBERJAYA 63000 SELANGGOR   Selangor my 63000</t>
  </si>
  <si>
    <t>NVMY34535000004420</t>
  </si>
  <si>
    <t>NURHAZUIN JUMAAT</t>
  </si>
  <si>
    <t>NO 03-06 BLOK H JALAN TIRAM 1/32 RUMAH PANGSA SERI BAIDURI BANDAR TIRAM 81800 ULU TIRAM JOHOR   Johor my 81800</t>
  </si>
  <si>
    <t>NVMY34535000004397</t>
  </si>
  <si>
    <t>MUHIDIN GANDULING</t>
  </si>
  <si>
    <t>MAHKAMAH RENDAH SYARIAH JLN MAHKAMAH 91307 SEMPORNA SABAH   Sabah my 91307</t>
  </si>
  <si>
    <t>15A-SMM-124</t>
  </si>
  <si>
    <t>NVMY34535000004419</t>
  </si>
  <si>
    <t>HENRY CHONG</t>
  </si>
  <si>
    <t>2 LORONG BIDARA 8 TAMAN BIDARA 14020 BUKIT MERTAJAM PULAU PINANG   Pulau Pinang my 14020</t>
  </si>
  <si>
    <t>NVMY34535000004423</t>
  </si>
  <si>
    <t>HUSMARIZA BT HASSAN</t>
  </si>
  <si>
    <t>NO 7 LORONG 3 TAMAN GURUN JAYA 08300 GURUN KEDAH   Kedah my 08300</t>
  </si>
  <si>
    <t>NVMY34535000004438</t>
  </si>
  <si>
    <t>ABG JEF</t>
  </si>
  <si>
    <t>LOT 42A, JALAN SAIDINA UMAR AL KHATAB, KG BUKIT SG PUTIH, LEMBAH JAYA UTARA BUKIT BELACHAN AMPANG 68000 AMPANG SELANGOR   Selangor my 68000</t>
  </si>
  <si>
    <t>NVMY34535000004436</t>
  </si>
  <si>
    <t>NORIZA MAT RIPIN</t>
  </si>
  <si>
    <t>LOT 942, KG BATU HITAM 16800 PASIR PUTEH KELANTAN   Kelantan my 16800</t>
  </si>
  <si>
    <t>NVMY34535000004418</t>
  </si>
  <si>
    <t>MOHD FAIZ TARMIZI</t>
  </si>
  <si>
    <t>NO 32 JALAN DELIMA 14 TAMAN CAHAYA MASAI 81700 PASIR GUDANG JOHOR   Johor my 81700</t>
  </si>
  <si>
    <t>NVMY34535000004399</t>
  </si>
  <si>
    <t>ROSALIE SANTIAGO ALONSO</t>
  </si>
  <si>
    <t>D/A MUDIN HJ BUSTAM SM KOLEJ VOKASIONAL B1A-L-3 BEAUFORT 89808 SABAH   Sabah my 89808</t>
  </si>
  <si>
    <t>NVMY34535000004441</t>
  </si>
  <si>
    <t>REUBEN LOH</t>
  </si>
  <si>
    <t>SARTORIUS MALAYSIA SDN BHD LOT L3-E-3B HIVE 5 TAMAN TEKNOLOGI MRANTI LEBUHRAYA PUCHONG - SG.BESI BUKIT JALIL 57000 KUALA LUMPUR   Kuala Lumpur  my 57000</t>
  </si>
  <si>
    <t>10A-OUG-67</t>
  </si>
  <si>
    <t>NVMY34535000004403</t>
  </si>
  <si>
    <t>MIELA HUSSIN</t>
  </si>
  <si>
    <t>BLOK F5-3-4 FLAT TAMAN SRI TITIWANGSA JALAN TAWAU LAMA 91000 TAWAU SABAH  Sabah  Sabah my 91000</t>
  </si>
  <si>
    <t>NVMY34535000004449</t>
  </si>
  <si>
    <t>NOR FAZILAH BT MAT ISHAK</t>
  </si>
  <si>
    <t>JABATAN PENERANGAN MALAYSIA SELANGOR, TKT 21 BANGUNAN DARUL EHSAN, NO 3 JALAN INDAH, SEKSYEN 14, 40612 SHAH ALAM SELANGOR   Selangor my 40612</t>
  </si>
  <si>
    <t>NVMY34535000004426</t>
  </si>
  <si>
    <t>C-09-30 PANGSAPURI DAMAI MEWAH B, OFF JALAN SEMENYIH 43000 SELANGOR   Selangor my 43000</t>
  </si>
  <si>
    <t>10A-KAJ-68</t>
  </si>
  <si>
    <t>NVMY34535000004435</t>
  </si>
  <si>
    <t>NVMY34535000004434</t>
  </si>
  <si>
    <t>NVMY34535000004433</t>
  </si>
  <si>
    <t>NVMY34535000004437</t>
  </si>
  <si>
    <t>YUO CHUAN KUAN</t>
  </si>
  <si>
    <t>18, TAMAN KUBANG PASU 06000 JITRA KEDAH   Kedah my 06000</t>
  </si>
  <si>
    <t>NVMY34535000004421</t>
  </si>
  <si>
    <t>DIANA ANAK JABAH</t>
  </si>
  <si>
    <t>CENTRAL MEDICAL LABORATORY SDN BHD NO 14 JALAN TUKANG BESI 96000 SIBU SARAWAK   Sarawak my 96000</t>
  </si>
  <si>
    <t>SWK-SWK</t>
  </si>
  <si>
    <t>NVMY34535000004442</t>
  </si>
  <si>
    <t>HAIRUL ANUAR BIN NGADENAN</t>
  </si>
  <si>
    <t>NO 9 JALAN ORKID 4/4, TAMAN ORKID, JALAN TURI, SUNGAI LANG 42700 BANTING SELANGOR DARUL EHSAN   Selangor my 42700</t>
  </si>
  <si>
    <t>NVMY34535000004424</t>
  </si>
  <si>
    <t>LALA AMYLA</t>
  </si>
  <si>
    <t>NO 17 LORONG DAHLIA 2 TAMAN DAHLIA GELONG PEPUYU 32600 BOTA PERAK   Perak my 32600</t>
  </si>
  <si>
    <t>NVMY34535000004402</t>
  </si>
  <si>
    <t>NVMY34535000004416</t>
  </si>
  <si>
    <t>BANK PERTANIAN MALAYSIA BERHAD (AGROBANK)</t>
  </si>
  <si>
    <t>TRADE FINANCE DEPARTMENT SUITE 8.0 8TH FLOOR WISMA MARAN NO 28 MEDAN PASAR 50050 KUALA LUMPUR (ATTN: TRADE OPERATIONS SECTION)   Kuala Lumpur my 50050</t>
  </si>
  <si>
    <t>NVMY34535000004451</t>
  </si>
  <si>
    <t>ROHANI BINTI RAZALI</t>
  </si>
  <si>
    <t>SK PA' PURA BERIS KUBOR BESAR, 16350 BACHOK KELANTAN   Kelantan my 16350</t>
  </si>
  <si>
    <t>NVMY34535000004447</t>
  </si>
  <si>
    <t>NOOR HASNITA BINTI ABDUL WAHID</t>
  </si>
  <si>
    <t>C-10-08, AMANDESA RESORT CONDOMINIUM, JALAN 5/125, TAMAN DESA PETALING 57100 WILAYAH PERSEKUTUAN KUALA LUMPUR   Kuala Lumpur my 57100</t>
  </si>
  <si>
    <t>12A-BTR-88</t>
  </si>
  <si>
    <t>NVMY34535000004450</t>
  </si>
  <si>
    <t>NUR SYAFIKA AMIRA BINTI RAMLI</t>
  </si>
  <si>
    <t>BLOCK 14-3-02A, RUMAH PANGSA IMPIAN, JALAN SP 4/1, BANDAR SAUJANA PUTRA 42610 KUALA LANGAT SELANGOR   Selangor my 42610</t>
  </si>
  <si>
    <t>NVMY34535000004445</t>
  </si>
  <si>
    <t>NURUL HIDAYAH ABU KHANIPAH</t>
  </si>
  <si>
    <t>NO 78, JALAN RESTU 7, TAMAN SRI PUTERI 2, MERU 41050 KLANG SELANGOR   Selangor my 41050</t>
  </si>
  <si>
    <t>NVMY34535000004440</t>
  </si>
  <si>
    <t>YASMIN DAMIA</t>
  </si>
  <si>
    <t>53 JALAN PI 8/3 TAMAN PULAI INDAH JOHOR BAHRU 81300 JOHOR   Johor my 81300</t>
  </si>
  <si>
    <t>NVMY34535000004444</t>
  </si>
  <si>
    <t>SARA</t>
  </si>
  <si>
    <t>NO 1 JALAN PJS 2C/16 TAMAN MEDAN 46000 PETALING JAYA SELANGOR   Selangor my 46000</t>
  </si>
  <si>
    <t>10-SUN-77</t>
  </si>
  <si>
    <t>NVMY34535000004439</t>
  </si>
  <si>
    <t>YANA</t>
  </si>
  <si>
    <t>HERMOSA WEAR, UNIT 23A, JALAN PJS 8/17, BANDAR SUNWAY 46150 PETALING JAYA SELANGOR   Selangor my 46150</t>
  </si>
  <si>
    <t>NVMY34535000004443</t>
  </si>
  <si>
    <t>ANIS SHUHADA BT ABDULLAH</t>
  </si>
  <si>
    <t>1592, JALAN 2/29A, SEKSYEN 2, BANDAR PUTERI JAYA 08000 SG PETANI KEDAH   Kedah my 08000</t>
  </si>
  <si>
    <t>NVMY34535000004457</t>
  </si>
  <si>
    <t>NIK AHMAD FARHAN NIK AIZAM</t>
  </si>
  <si>
    <t>BILIK 3-07 BLOK UMAR KOLEJ KEDIAMAN INSTITUT PENDIDIKAN GURU KAMPUS DATO' RAZALI ISMAIL BATU RAKIT 21030 KUALA TERENGGANU TERENGGANU   Terengganu my 21030</t>
  </si>
  <si>
    <t>NVMY34535000004460</t>
  </si>
  <si>
    <t>BALQIS MARICAN</t>
  </si>
  <si>
    <t>PT 262 TAMAN PADANG GOLF PENGKALAN CHEPA 16100 KOTA BHARU KELANTAN   Kelantan my 16100</t>
  </si>
  <si>
    <t>NVMY34535000004392</t>
  </si>
  <si>
    <t>KHAIRUL AKMAL</t>
  </si>
  <si>
    <t>NO 6 JALAN PUTRA 3/2 BANDAR IOI 85000 SEGAMAT JOHOR   Johor my 85000</t>
  </si>
  <si>
    <t>NVMY34535000004459</t>
  </si>
  <si>
    <t>ASMIN NUR IZZATI</t>
  </si>
  <si>
    <t>malaysian sheet glass sdn bhd 21km, bandar baru sungai buloh, 47000 sungai buloh, selangor    Selangor my 47000</t>
  </si>
  <si>
    <t>14-SGB-179</t>
  </si>
  <si>
    <t>NVMY34535000004448</t>
  </si>
  <si>
    <t>FATIMATUL ZAHRA MOHD NAAIM</t>
  </si>
  <si>
    <t>NO 3 JALAN DESA RHU 5, TAMAN DESA RHU 70400 SEREMBAN, NEGERI SEMBILAN   Negeri Sembilan my 70400</t>
  </si>
  <si>
    <t>NVMY34535000004467</t>
  </si>
  <si>
    <t>NURFAZIDAH BT SAYUTI</t>
  </si>
  <si>
    <t>L8-01-08 PANGSAPURI PENDEKAR TAMAN TUN PERAK 43200 CHERAS SELANGOR   Selangor my 43200</t>
  </si>
  <si>
    <t>NVMY34535000004455</t>
  </si>
  <si>
    <t>NOREDAYU ABU ZARIN</t>
  </si>
  <si>
    <t>B9-14-17 BLOCK 9 DESA MENTARI JALAN PJS 2B/1 46000 PETALING JAYA SELANGOR   Selangor my 46000</t>
  </si>
  <si>
    <t>NVMY34535000004458</t>
  </si>
  <si>
    <t>MOHAMAD BIN JUSOH</t>
  </si>
  <si>
    <t>NO 36 KG PUTU KERAMBIT 27200 KUALA LIPIS PAHANG   Pahang my 27200</t>
  </si>
  <si>
    <t>6-LIP-105</t>
  </si>
  <si>
    <t>NVMY34535000004446</t>
  </si>
  <si>
    <t>MASIRAH BT METUSIN</t>
  </si>
  <si>
    <t>AHMAD DJASMAIL, LOT 5, BLOK D-0-7 GROUND FLOOR, KK TAIPAN, INANAM NEW TOWNSHIP 88450 KOTA KINABALU SABAH   Sabah my 88450</t>
  </si>
  <si>
    <t>NVMY34535000004465</t>
  </si>
  <si>
    <t>NURSHUHADA BT ZULKIPLY</t>
  </si>
  <si>
    <t>MAKMAL KLINIK KESIHATAN BUKIT MINYAK 14000 BUKIT MERTAJAM PENANG   Pulau Pinang my 14000</t>
  </si>
  <si>
    <t>NVMY34535000004476</t>
  </si>
  <si>
    <t>ATIHA HAYDA SCARF</t>
  </si>
  <si>
    <t>PT684 JALAN MASJID TOK SADANG / JALAN PCB KG TANJONG KOTA BHARU 15350 KELANTAN   Kelantan my 15350</t>
  </si>
  <si>
    <t>NVMY34535000004475</t>
  </si>
  <si>
    <t>RESTORAN FENOMENA NO 2 PERSIARAN PINGGIRAN PUTRA 4A DESA PINGGIRAN PUTRA SG MERAB 43650 BANGI SELANGOR   Selangor my 43650</t>
  </si>
  <si>
    <t>NVMY34535000004471</t>
  </si>
  <si>
    <t>UMI HARTINI MUHAMMAD</t>
  </si>
  <si>
    <t>KG DUSUN BULUH 16600 PULAI CHONDONG KELANTAN   Kelantan my 16600</t>
  </si>
  <si>
    <t>NVMY34535000004474</t>
  </si>
  <si>
    <t>SYAKILLA SHAMSUDDIN</t>
  </si>
  <si>
    <t>39 JALAN FREKUENSI U16/111C ELMINA EAST SEKSYEN U 16 40160 SHAH ALAM SELANGOR   Selangor my 40160</t>
  </si>
  <si>
    <t>NVMY34535000004453</t>
  </si>
  <si>
    <t>HEME PAHING</t>
  </si>
  <si>
    <t>JASARIA HOTEL 1ST FLOOR LOT 1-5 BLOK K BEAUFORT JAYA PHASE 1 COMMERCIAL DEVELOPMENT P.O BOX 123, 89808 BEAUFORT SABAH   Sabah my 89808</t>
  </si>
  <si>
    <t>NVMY34535000004427</t>
  </si>
  <si>
    <t>KLINIK PERGIGIAN BEAUFORT P.0 BOX 1152, 89808 BEAUFORT SABAH   Sabah my 89808</t>
  </si>
  <si>
    <t>NVMY34535000004429</t>
  </si>
  <si>
    <t>KARIM GHANI</t>
  </si>
  <si>
    <t>IBU PEJABAT POLIS DAERAH BEAUFORT P/SURAT 28, 89808 BEAUFORT SABAH   Sabah my 89808</t>
  </si>
  <si>
    <t>NVMY34535000004430</t>
  </si>
  <si>
    <t>NVMY34535000004454</t>
  </si>
  <si>
    <t>NVMY34535000004480</t>
  </si>
  <si>
    <t>Muhammad Izzat</t>
  </si>
  <si>
    <t>lot 25 kampung bukit yong pasir puteh 16800 kelantan   Kelantan my 16800</t>
  </si>
  <si>
    <t>NVMY34535000004431</t>
  </si>
  <si>
    <t>NURZALIA GAZALI</t>
  </si>
  <si>
    <t>BLOK L (i) 3RD FLOOR UNIT 1-7-3 UNIVERSITI APARTMENT PHASE 1, JALAN SULAMAN 88450 KOTA KINABALU SABAH   Sabah my 88450</t>
  </si>
  <si>
    <t>NVMY34535000004466</t>
  </si>
  <si>
    <t>FARAH</t>
  </si>
  <si>
    <t>56 LALUAN BERCHAM SELATAN 4 DESA BERCHAM 31400 IPOH PERAK, Perak   Perak my 31400</t>
  </si>
  <si>
    <t>NVMY34535000004483</t>
  </si>
  <si>
    <t>Megat Firdaus</t>
  </si>
  <si>
    <t>467-1 jalan air jernih  Kampung tok kaya kanan 24200 kemasik kemaman terenggnu    Terengganu my 24200</t>
  </si>
  <si>
    <t>NVMY34535000004473</t>
  </si>
  <si>
    <t>NUR HAZREEN REEN</t>
  </si>
  <si>
    <t>215 JALAN TAMAN BIDARA 1/7 TAMAN BIDARA  68100 BATU CAVES SELANGOR   Selangor my 68100</t>
  </si>
  <si>
    <t>NVMY34535000004464</t>
  </si>
  <si>
    <t>NORFADZLI NABIHAH</t>
  </si>
  <si>
    <t>PALMYRA RESIDENCES NO 25 JALAN SUNGAI NIPAH 6 11020 BALIK PULAU PULAU PINANG   Pulau Pinang my 11020</t>
  </si>
  <si>
    <t>5-BAY-32</t>
  </si>
  <si>
    <t>NVMY34535000004428</t>
  </si>
  <si>
    <t>ARRYSA DYA</t>
  </si>
  <si>
    <t>TAMAN PENGALAT BESAR PHASE 4, LORONG 8, LOT 17 89600 PAPAR SABAH   Sabah my 89600</t>
  </si>
  <si>
    <t>15-PPR-122</t>
  </si>
  <si>
    <t>NVMY34535000004481</t>
  </si>
  <si>
    <t>NURUL ATIKAH BT CHE BDULLAH (AIN)</t>
  </si>
  <si>
    <t>LOT 3239, JALAN JEDOK (SUBWAY TANAH MERAH), 17500 TANAH MERAH, KELANTAN.   Kelantan my 17500</t>
  </si>
  <si>
    <t>NVMY34535000004462</t>
  </si>
  <si>
    <t>NOOR FATIN FAHIRA BINTI JAAFAR</t>
  </si>
  <si>
    <t>(RUMAH KELABU) 397 MUKIM 11 SUNGAI BATU TELUK KUMBAR 11920 BAYAN LEPAS PENANG   Pulau Pinang my 11920</t>
  </si>
  <si>
    <t>NVMY34535000004468</t>
  </si>
  <si>
    <t>NURUL SHARIZA BINTI AHMAD</t>
  </si>
  <si>
    <t>FLAT SEMARAK 12-G-6 JLN TS TMN SEMARAK 71800 NILAI NEGERI SEMBILAN   Negeri Sembilan my 71800</t>
  </si>
  <si>
    <t>NVMY34535000004469</t>
  </si>
  <si>
    <t>NVMY34535000004456</t>
  </si>
  <si>
    <t>AHMAD AWALUDDIN BIN JAMALUDDIN</t>
  </si>
  <si>
    <t>NO 18 PERSIARAN SEKSYEN 3/14, BANDAR BERTAM PERDANA 13200 KEPALA BATAS PULAU PINANG   Pulau Pinang my 13200</t>
  </si>
  <si>
    <t>NVMY34535000004463</t>
  </si>
  <si>
    <t>FATIN FATIMAH BINTI ZAINUDDIN</t>
  </si>
  <si>
    <t>11 LORONG SIAKAP 8 SEBERANG JAYA 13700 PERAI PULAU PINANG   Pulau Pinang my 13700</t>
  </si>
  <si>
    <t>NVMY34535000004472</t>
  </si>
  <si>
    <t>SYAZA NAJLAA</t>
  </si>
  <si>
    <t>DYNATION HOLDINGS NO 1 TINGKAT BASEMENT JALAN DAGANG 2 DYNATION BUKIT ANGIN 28000 TEMERLOH PAHANG   Pahang my 28000</t>
  </si>
  <si>
    <t>NVMY34535000004432</t>
  </si>
  <si>
    <t>NORASHIKIN BT MANSOR</t>
  </si>
  <si>
    <t>NO 29 TAMAN SRI PELANGI JALAN KELUBI 06000 JITRA KEDAH   Kedah my 06000</t>
  </si>
  <si>
    <t>NVMY34535000004470</t>
  </si>
  <si>
    <t>AZIAH AZMAN</t>
  </si>
  <si>
    <t xml:space="preserve"> PERUMAHAN LADANG KOSMA, PETI SURAT 25, 26900 BANDAR TUN RAZAK PAHANG   Pahang my 26900</t>
  </si>
  <si>
    <t>NVMY34535000004400</t>
  </si>
  <si>
    <t>DAYANG AMY BT ABG TARAKIP</t>
  </si>
  <si>
    <t>NO 51 B KAMPUNG LALANG 95500 DEBAK SARAWAK   Sarawak my 95500</t>
  </si>
  <si>
    <t>NVMY34535000004488</t>
  </si>
  <si>
    <t>ABDULLAH BIN ABDUL RAHMAN</t>
  </si>
  <si>
    <t>153-E, KAMPUNG SUNGAI ULAR JARAK BUJOK 26080 KUANTAN PAHANG ( 0102155105 )   Pahang my 26080</t>
  </si>
  <si>
    <t>6-BLK-169</t>
  </si>
  <si>
    <t>NVMY34535000004478</t>
  </si>
  <si>
    <t>NOR ASMIRA</t>
  </si>
  <si>
    <t>NO 30, LORONG BLM 1/2, BANDAR LAGUNA MERBOK, 08000  SUNGAI PETANI, KEDAH    Kedah my 08000</t>
  </si>
  <si>
    <t>3-GRN-143</t>
  </si>
  <si>
    <t>NVMY34535000004477</t>
  </si>
  <si>
    <t>Raja Muhammad Shafiq</t>
  </si>
  <si>
    <t>A1 lot 1414 jalan sultan Harun lembah pinggiran batu 7 3/4 sg chinchin gombak 68100 batu cave Selangor   Selangor  Selangor my 68100</t>
  </si>
  <si>
    <t>NVMY34535000004491</t>
  </si>
  <si>
    <t>NURUL AMIRA BINTI MOHAMMED</t>
  </si>
  <si>
    <t>D-15-16 PANGSAPURI HARMONI 1 RSKU PERSIARAN PUTRA MEGAH PUTRA HEIGHTS 47650 SUBANG JAYA SELANGOR   Selangor my 47650</t>
  </si>
  <si>
    <t>10-HGT-168</t>
  </si>
  <si>
    <t>NVMY34535000004485</t>
  </si>
  <si>
    <t>EREN FITRIKALIZA / MUHAMMAD ROIHAN</t>
  </si>
  <si>
    <t>10-12 RESIDENSI PLATINUM TERATAI NO 2 JALAN KURAMAN 53000 KUALA LUMPUR   Kuala Lumpur my 53000</t>
  </si>
  <si>
    <t>NVMY34535000004482</t>
  </si>
  <si>
    <t>Muzammil</t>
  </si>
  <si>
    <t>No 1309, Jalan Lagenda 20/2, Taman Lagenda, 09400, Padang Serai, Kedah   Kedah my 09400</t>
  </si>
  <si>
    <t>NVMY34535000004484</t>
  </si>
  <si>
    <t>Rozita</t>
  </si>
  <si>
    <t>33 jalan timun kampung  Bendahara 81100 Johor Bharu   Johor my 81100</t>
  </si>
  <si>
    <t>NVMY34535000004479</t>
  </si>
  <si>
    <t>Muhammad Hanif bin Harun.</t>
  </si>
  <si>
    <t>PT 289 KAMPUNG BARU UJONG BATU BAGAN DALAM BUTTERWORTH PULAU PINANG 12100    Pulau Pinang my 12100</t>
  </si>
  <si>
    <t>NVMY34535000004493</t>
  </si>
  <si>
    <t>QAISARA ZAIHAN</t>
  </si>
  <si>
    <t>SK RAHMAT 17200 RANTAU PANJANG KELANTAN   Kelantan my 17200</t>
  </si>
  <si>
    <t>NVMY34535000004490</t>
  </si>
  <si>
    <t>ROHANA RAHMAN</t>
  </si>
  <si>
    <t>LORONG PT MESJID (LRG KEJIRANAN) KG RIMBA TERJUN 82000 PONTIAN JOHOR   Johor my 82000</t>
  </si>
  <si>
    <t>NVMY34535000004495</t>
  </si>
  <si>
    <t>UMMI FITRAH AIN BINTI AWANG</t>
  </si>
  <si>
    <t>NO 73, KAMPUNG BUKIT PERPAT 21800 AJIL TERENGGANU   Terengganu my 21800</t>
  </si>
  <si>
    <t>NVMY34535000004494</t>
  </si>
  <si>
    <t>MUHAMMAD N.ADAM BIN NOORHISHAM</t>
  </si>
  <si>
    <t>NO 11 TAMAN RASA SAYANG FASA 1 LORONG 3 BEDONG 08100 KEDAH   Kedah  my 08100</t>
  </si>
  <si>
    <t>NVMY34535000004452</t>
  </si>
  <si>
    <t>ZUR'AIN NICHOL ABDULLAH</t>
  </si>
  <si>
    <t>NO 179, LORONG 2, TAMAN VILA INTAN, KELANAHAN, PAPAR 89608 SABAH   Sabah my 89608</t>
  </si>
  <si>
    <t>NVMY34535000004492</t>
  </si>
  <si>
    <t>NVMY34535000004500</t>
  </si>
  <si>
    <t>MUHAIDA MOHAIDIN</t>
  </si>
  <si>
    <t>BLOK TD-T05-U08, FASA 4C PRESINT 8, 62250 PUTRAJAYA   Putrajaya my 62250</t>
  </si>
  <si>
    <t>NVMY34535000004497</t>
  </si>
  <si>
    <t>ISMAWATI</t>
  </si>
  <si>
    <t>LOT 9877A, JALAN SANDORA, BATU 8, TELOK PANGLIMA GARANG 42500 SELANGOR   Selangor my 42500</t>
  </si>
  <si>
    <t>NVMY34535000004489</t>
  </si>
  <si>
    <t>WAN MOHD NASIR BIN WAN AHMAD</t>
  </si>
  <si>
    <t>3-1-6 TAMAN TELUK LINTANG KG MASJID TELUK KUMBAR 11920 BAYAN LEPAS PULAU PINANG   Pulau Pinang my 11920</t>
  </si>
  <si>
    <t>NVMY34535000004509</t>
  </si>
  <si>
    <t>NINJA LOGISTICS SDN BHD</t>
  </si>
  <si>
    <t>LOT 1-8 PERSIARAN JUBLI PERAK, SEKSYEN 22, 40300 SHAH ALAM SELANGOR   Selangor my 40300</t>
  </si>
  <si>
    <t>NVMY34535000004522</t>
  </si>
  <si>
    <t>SHARIFAH SHAHMIZA BTE IBRAHIM</t>
  </si>
  <si>
    <t>KERATONG AUTO TRADING, KEDAI NO 2,3 &amp; 5, SIMPANG TIGA ESSO FELDA KERATONG 5, BANDAR TUN RAZAK 26900 PAHANG   Pahang my 26900</t>
  </si>
  <si>
    <t>NVMY34535000004512</t>
  </si>
  <si>
    <t>Alif Hafizuddin</t>
  </si>
  <si>
    <t>No 28, Lorong Bukit Minyak 25, Taman Bukit Minyak Indah, 14000 Bukit Mertajam, Pulau Pinang   Pulau Pinang my 14000</t>
  </si>
  <si>
    <t>NVMY34535000004515</t>
  </si>
  <si>
    <t>NUR IRDANI SHAHIRANIE BT SAID</t>
  </si>
  <si>
    <t>NO 11 KG BURUNG BARU 23000 DUNGUN TERENGGANU   Terengganu my 23000</t>
  </si>
  <si>
    <t>NVMY34535000004521</t>
  </si>
  <si>
    <t>NVMY34535000004523</t>
  </si>
  <si>
    <t>NVMY34535000004517</t>
  </si>
  <si>
    <t>RAIHAN AIDA AZMI</t>
  </si>
  <si>
    <t>PT 880 TAMAN DESA SEMPURNA BERIS KUBUR BESAR 16050 BACHOK KELANTAN   Kelantan my 16050</t>
  </si>
  <si>
    <t>NVMY34535000004498</t>
  </si>
  <si>
    <t>ZURAIDA ASMANITA CHE MAT</t>
  </si>
  <si>
    <t>NO 688C LORONG SRI ASTANA, 11/4 BANDAR ASTANA 08000 SUNGAI PETANI KEDAH   Kedah my 08000</t>
  </si>
  <si>
    <t>NVMY34535000004508</t>
  </si>
  <si>
    <t>FARAH DINA</t>
  </si>
  <si>
    <t>NO 9 JALAN CILI 4 24/28D SEKSYEN 24 SHAH ALAM 40300 SELANGOR   Selangor my 40300</t>
  </si>
  <si>
    <t>NVMY34535000004503</t>
  </si>
  <si>
    <t>KU NURUL ATHIRAH</t>
  </si>
  <si>
    <t>BILIK NO 9,  NO 9 JALAN SEMERBAK 15, TAMAN BUKIT DAHLIA 81700 PASIR GUDANG JOHOR   Johor my 81700</t>
  </si>
  <si>
    <t>4A-PSG-24</t>
  </si>
  <si>
    <t>NVMY34535000004504</t>
  </si>
  <si>
    <t>NVMY34535000004487</t>
  </si>
  <si>
    <t>UKIN MAHIMIN</t>
  </si>
  <si>
    <t>KG TANAH MERAH, 89308, RANAU, SABAH   Sabah my 89308</t>
  </si>
  <si>
    <t>15-RNU-123</t>
  </si>
  <si>
    <t>NVMY34535000004496</t>
  </si>
  <si>
    <t>NOR AZIAN BINTI MOHD NOOR</t>
  </si>
  <si>
    <t>NO 12 PERSIARAN SEKSYEN 6/22 BANDAR PUTRA BERTAM 13200 KEPALA BATAS PULAU PINANG   Pulau Pinang my 13200</t>
  </si>
  <si>
    <t>NVMY34535000004461</t>
  </si>
  <si>
    <t>AMINAH BT MOHD YUSUF/IBU AQILAH</t>
  </si>
  <si>
    <t>D IRIS CAFE LOT 573 BLOCK 15 NIAH LAHAD DISTRICT 98200 NIAH SARAWAK   Sarawak my 98200</t>
  </si>
  <si>
    <t>16A-NIA-165</t>
  </si>
  <si>
    <t>NVMY34535000004525</t>
  </si>
  <si>
    <t>SAHILA BT MOHAMAD</t>
  </si>
  <si>
    <t>707 KAMPUNG PULAU MUSANG 20050 KUALA TERENGGANU   Terengganu my 20050</t>
  </si>
  <si>
    <t>NVMY34535000004514</t>
  </si>
  <si>
    <t>NUR AINIAH</t>
  </si>
  <si>
    <t>1056 JALAN MAS 1 TAMAN DELIMA 08000SUNGAI PETANI KEDAH   Kedah my 08000</t>
  </si>
  <si>
    <t>NVMY34535000004526</t>
  </si>
  <si>
    <t>NOR ASHIKIN BT CHE AHMAD</t>
  </si>
  <si>
    <t>LOT 812 KG TELUK JERING 16210 TUMPAT KELANTAN   Kelantan my 16210</t>
  </si>
  <si>
    <t>1-WKB-7</t>
  </si>
  <si>
    <t>NVMY34535000004507</t>
  </si>
  <si>
    <t>ABD HADI BIN ABD WAHAB</t>
  </si>
  <si>
    <t>NO 35 JALAN SUTERA EMAS 2 TAMAN SATU KRUBONG 75260 MELAKA   Melaka my 75260</t>
  </si>
  <si>
    <t>NVMY34535000004533</t>
  </si>
  <si>
    <t>AHMAD AMSYAR BIN AHMAD FATHI</t>
  </si>
  <si>
    <t>LOT 345 KG PERMATANG RAMBAI 16800 PASIR PUTIH KELANTAN   Kelantan my 16800</t>
  </si>
  <si>
    <t>1A-PTH-5</t>
  </si>
  <si>
    <t>NVMY34535000004524</t>
  </si>
  <si>
    <t>FATIMAH ABDULLAH</t>
  </si>
  <si>
    <t>NO 5618 PADANG CHEMPEDAK, LORONG 4, 13310 TASEK GELUGOR, PULAU PINANG   Pulau Pinang my 13310</t>
  </si>
  <si>
    <t>NVMY34535000004532</t>
  </si>
  <si>
    <t>SHAHRIL ANUAR BIN HUSSIN SHAH</t>
  </si>
  <si>
    <t>NO 321C JALAN DATIN KAMPUNG MANJOI 30020 IPOH PERAK   Perak my 30020</t>
  </si>
  <si>
    <t>NVMY34535000004550</t>
  </si>
  <si>
    <t>NUR AMALINA BINTI MOHD ZAHARRI</t>
  </si>
  <si>
    <t>1113 LORONG PERMAI UTAMA 33 TAMAN PERMAI UTAMA FASA 2B 08300 GURUN KEDAH   Kedah my 08300</t>
  </si>
  <si>
    <t>NVMY34535000004548</t>
  </si>
  <si>
    <t>NVMY34535000004530</t>
  </si>
  <si>
    <t>NORAFIZAH MOHD ZAN</t>
  </si>
  <si>
    <t>PM 113 JLN SERI TUAH 6, TMN SERI TUAH 76100 DURIAN TUNGGAL MELAKA   Melaka my 76100</t>
  </si>
  <si>
    <t>NVMY34535000004546</t>
  </si>
  <si>
    <t>NVMY34535000004547</t>
  </si>
  <si>
    <t>NVMY34535000004528</t>
  </si>
  <si>
    <t>NURUL AKMAR BINTI HASAN BASRI</t>
  </si>
  <si>
    <t>NO 59 KAMPUNG SERKAI JADI (LORONG ANGGERIK) 31750 TRONOH PERAK   Perak my 31750</t>
  </si>
  <si>
    <t>NVMY34535000004549</t>
  </si>
  <si>
    <t>NVMY34535000004534</t>
  </si>
  <si>
    <t>NIZAM</t>
  </si>
  <si>
    <t>22, JALAN INDAH 10/7, TAMAN BUKIT INDAH,79100 JOHOR BAHRU,JOHOR   Johor my 79100</t>
  </si>
  <si>
    <t>NVMY34535000004520</t>
  </si>
  <si>
    <t>YANA ZACK SEVEN</t>
  </si>
  <si>
    <t>A-3-301 APARTMENT SRI MERANTI JLN PJU 1A/5 ARA DAMANSARA, 47301 PETALING JAYA SELANGOR   Selangor my 47301</t>
  </si>
  <si>
    <t>NVMY34535000004543</t>
  </si>
  <si>
    <t>TUAN HAIRUDDIN BIN HAMID</t>
  </si>
  <si>
    <t>PEJABAT KCK, TINGKAT 3  MENARA 2, IBU PEJABAT POLIS KONTINGEN SELANGOR 40100 SHAH ALAM SELANGOR   Selangor my 40100</t>
  </si>
  <si>
    <t>NVMY34535000004537</t>
  </si>
  <si>
    <t>NVMY34535000004544</t>
  </si>
  <si>
    <t>NVMY34535000004541</t>
  </si>
  <si>
    <t>NVMY34535000004538</t>
  </si>
  <si>
    <t>NVMY34535000004542</t>
  </si>
  <si>
    <t>NVMY34535000004540</t>
  </si>
  <si>
    <t>NVMY34535000004545</t>
  </si>
  <si>
    <t>NVMY34535000004536</t>
  </si>
  <si>
    <t>NVMY34535000004552</t>
  </si>
  <si>
    <t>BYMADEEHA HQ TUKAR SAIZ</t>
  </si>
  <si>
    <t>NO 15 &amp; 15A JALAN PANDAN JAYA 1 TAMAN PANDAN JAYA 83100 RENGIT BATU PAHAT JOHOR   Johor my 83100</t>
  </si>
  <si>
    <t>NVMY34535000004539</t>
  </si>
  <si>
    <t>NVMY34535000004502</t>
  </si>
  <si>
    <t>JULITA SIDEK</t>
  </si>
  <si>
    <t>R-3-6 APARTMENT SERI SEROJA, BB7 48300 RAWANG SELANGOR   Selangor my 48300</t>
  </si>
  <si>
    <t>NVMY34535000004527</t>
  </si>
  <si>
    <t>NORFARHANIE BT ZAKARIA</t>
  </si>
  <si>
    <t>NO 31 TAMAN NANGKA MADU, JALAN BUKIT JENUN 06720 PENDANG KEDAH   Kedah my 06720</t>
  </si>
  <si>
    <t>NVMY34535000004535</t>
  </si>
  <si>
    <t>FARIDAH BT BUSRA</t>
  </si>
  <si>
    <t>NO 11 JALAN KEPAH 55100 KAMPUNG PANDAN KUALA LUMPUR   Kuala Lumpur my 55100</t>
  </si>
  <si>
    <t>NVMY34535000004486</t>
  </si>
  <si>
    <t>UNIT NO D6-3A-17 BANGUNAN PERDAGANGAN D6, SENTUL RAYA, 801 JLN SENTUL 51100 KUALA LUMPUR  Kuala Lumpur  Kuala Lumpur my 51100</t>
  </si>
  <si>
    <t>NVMY34535000004551</t>
  </si>
  <si>
    <t>YUSMAZIAH YAHYA</t>
  </si>
  <si>
    <t>2781-12 BATU 6 1/4 JALAN KAMPUNG TENGAH 1 53100 GOMBAK SELANGOR   Selangor my 53100</t>
  </si>
  <si>
    <t>NVMY34535000004501</t>
  </si>
  <si>
    <t>NURSHAFIQAH BT RAHMAN</t>
  </si>
  <si>
    <t>LOT 9 JALAN PATINGAN 93400 KUCHING KELANTAN   Sarawak my 93400</t>
  </si>
  <si>
    <t>NVMY34535000004506</t>
  </si>
  <si>
    <t>NURZANARIAH BINTI MD SELIHIN</t>
  </si>
  <si>
    <t>269 B JALAN PERUPOK LORONG 3 OFF JALAN MATANG 93050 KUCHING SARAWAK   Sarawak my 93050</t>
  </si>
  <si>
    <t>NVMY34535000004511</t>
  </si>
  <si>
    <t>ZULKIFLEE B</t>
  </si>
  <si>
    <t>INTERNATIONAL</t>
  </si>
  <si>
    <t>International</t>
  </si>
  <si>
    <t>BLK 299 YISHUN ST 20 (04-37 S'PURA 760299     SG 760299</t>
  </si>
  <si>
    <t>WEST</t>
  </si>
  <si>
    <t>MM-INTL</t>
  </si>
  <si>
    <t>Singapore</t>
  </si>
  <si>
    <t>NVMY34535000004554</t>
  </si>
  <si>
    <t>NVMY34535000004568</t>
  </si>
  <si>
    <t>MAT RAFEI BIN YAAKOB</t>
  </si>
  <si>
    <t>LOT 2080 LORONG AL FARISI 3, TMN SALMAN AL FARISI, KUALA KRAI, 18000, KELANTAN   Kelantan my 18000</t>
  </si>
  <si>
    <t>1A-RAI-4</t>
  </si>
  <si>
    <t>NVMY34535000004519</t>
  </si>
  <si>
    <t>D/A SAIMAN GANI KLINIK PERGIGIAN BEAUFORT PETI SURAT 1150 89808 BEAUFORT SABAH   Sabah my 89808</t>
  </si>
  <si>
    <t>NVMY34535000004558</t>
  </si>
  <si>
    <t>SYIERA JOHARI</t>
  </si>
  <si>
    <t>JKR 1652 AL-S PERUMAHAN KERAJAAN SERI PERMAI 34200 PARIT BUNTAR PERAK   Perak my 34200</t>
  </si>
  <si>
    <t>NVMY34535000004561</t>
  </si>
  <si>
    <t>MUHAMMAD HAFIZ SOLIHIN BIN MOHD MOHID</t>
  </si>
  <si>
    <t>NO 30 JALAN 3/60 43650 BANDAR BARU BANGI SELANGOR   Selangor my 43650</t>
  </si>
  <si>
    <t>NVMY34535000004553</t>
  </si>
  <si>
    <t>FERLAND K5</t>
  </si>
  <si>
    <t>NO 378-G JALAN DAHLIA 2 TAMAN BUNGA RAYA BUKIT BERUANG 75450 HANG TUAH JAYA MELAKA   Melaka my 75450</t>
  </si>
  <si>
    <t>NVMY34535000004529</t>
  </si>
  <si>
    <t>ESNIAH JABIR</t>
  </si>
  <si>
    <t>KAMPUNG PERIGI W.D.T 98, 91308 SEMPORNA SABAH   Sabah my 91308</t>
  </si>
  <si>
    <t>NVMY34535000004562</t>
  </si>
  <si>
    <t>SITI NURUL AIN</t>
  </si>
  <si>
    <t>NO 28 LORONG SUNGAI ISAP 76 SUNGAI ISAP 1 25150 KUANTAN PAHANG   Pahang my 25150</t>
  </si>
  <si>
    <t>NVMY34535000004555</t>
  </si>
  <si>
    <t>NVMY34535000004564</t>
  </si>
  <si>
    <t>MAZNAH AHMAD</t>
  </si>
  <si>
    <t>10468 TAMAN JABI INDAH 22020 JERTEH TERENGGANU   Terengganu my 22020</t>
  </si>
  <si>
    <t>NVMY34535000004516</t>
  </si>
  <si>
    <t>TANI MADRAAN</t>
  </si>
  <si>
    <t>DEPORT IMMIGRATION KG KELIANGAU-KOKOL 39 FARMHOUSE MENGGATAL 88450 KOTA KINABALU SABAH   Sabah my 88450</t>
  </si>
  <si>
    <t>NVMY34535000004563</t>
  </si>
  <si>
    <t>SENSEIDOTCO</t>
  </si>
  <si>
    <t>20-D JALAN BS 9 TAMAN BUKIT SEGAR 43200 CHERAS SELANGOR   Selangor my 43200</t>
  </si>
  <si>
    <t>11A-ECO-183</t>
  </si>
  <si>
    <t>NVMY34535000004556</t>
  </si>
  <si>
    <t>BTK INTEGRATED TRANSPORT SDN BHD (ATT : MISS SIEW)</t>
  </si>
  <si>
    <t>LOT 1303 &amp; 1070 JLN KUALA KANGSAR 34700 SIMPANG PERAK    Perak my 34700</t>
  </si>
  <si>
    <t>NVMY34535000004559</t>
  </si>
  <si>
    <t>AIN NORDIN</t>
  </si>
  <si>
    <t>NO 2 LORONG SP 2/8 TAMAN SAUJANA PUTRA 27000 JERANTUT PAHANG   Pahang my 27000</t>
  </si>
  <si>
    <t>NVMY34535000004574</t>
  </si>
  <si>
    <t>KU HAMIDAH</t>
  </si>
  <si>
    <t>KFC TAMAN KOK LIAN NO 32 JALAN BATU AMBAR 51200 KUALA LUMPUR   Kuala Lumpur my 51200</t>
  </si>
  <si>
    <t>NVMY34535000004560</t>
  </si>
  <si>
    <t>BALQIS NUR IBTISAM</t>
  </si>
  <si>
    <t>NO 164 KAMPUNG SUNGAI DULANG DARAT RENGIT 83100 BATU PAHAT JOHOR   Johor my 83100</t>
  </si>
  <si>
    <t>NVMY34535000004573</t>
  </si>
  <si>
    <t>NVMY34535000004565</t>
  </si>
  <si>
    <t>THEINS</t>
  </si>
  <si>
    <t>THEINS 21-1 JALAN PEGAGA D U12/D DESA ALAM SEKSYEN U12 40170 SHAH ALAM SELANGOR  Selangor  Selangor my 40170</t>
  </si>
  <si>
    <t>10-ALM-158</t>
  </si>
  <si>
    <t>NVMY34535000004567</t>
  </si>
  <si>
    <t>BASHAH BINTI BAHAUDIN</t>
  </si>
  <si>
    <t>G 01 PANGSAPURI TAMAN DESA PALMA 14000 BUKIT MERTAJAM PULAU PINANG   Pulau Pinang my 14000</t>
  </si>
  <si>
    <t>NVMY34535000004566</t>
  </si>
  <si>
    <t>NVMY34535000004569</t>
  </si>
  <si>
    <t>Norain Binti Yusof</t>
  </si>
  <si>
    <t>no.11 tj 1/1 taman temerloh jaya 28000 temerloh pahang   Pahang my 28000</t>
  </si>
  <si>
    <t>NVMY34535000004557</t>
  </si>
  <si>
    <t>SUHAILAH</t>
  </si>
  <si>
    <t>LOT 24249 KAMPUNG TERSUSUN JASIN BESTARI BANDAR JASIN BESTARI 77200 BEMBAN MELAKA   Melaka my 77200</t>
  </si>
  <si>
    <t>NVMY34535000004577</t>
  </si>
  <si>
    <t>SHAIRATTUL NAJWA BINTI SALIHADDIN</t>
  </si>
  <si>
    <t>NO 31 JALAN ANGGERIK TAMAN IDAMAN SERENDAH 48200 SELANGOR   Selangor my 48200</t>
  </si>
  <si>
    <t>12-RWG-93</t>
  </si>
  <si>
    <t>NVMY34535000004531</t>
  </si>
  <si>
    <t>TAMAN PENGALAT BESAR PHASE 4, LORONG 8, LOT 17, 89600 PAPAR SABAH   Sabah my 89600</t>
  </si>
  <si>
    <t>NVMY34535000004513</t>
  </si>
  <si>
    <t>DORIS @ MEKSUE</t>
  </si>
  <si>
    <t>JABATAN KESIHATAN MBJB TINGKAT 4 BANGUNAN JOTIC JALAN AIR MOLEK 80000 JOHOR BAHRU JOHOR   Johor my 80000</t>
  </si>
  <si>
    <t>NVMY34535000004571</t>
  </si>
  <si>
    <t>LIESA ARIF</t>
  </si>
  <si>
    <t>KAMPUNG KEMUBU 18000 KUALA KRAI KELANTAN   Kelantan my 18000</t>
  </si>
  <si>
    <t>NVMY34535000004575</t>
  </si>
  <si>
    <t>Mohd Hanif bin Othman</t>
  </si>
  <si>
    <t>E167, kampung merbau patah 20050 Kuala Terengganu, Terengganu   Terengganu my 20050</t>
  </si>
  <si>
    <t>NVMY34535000004586</t>
  </si>
  <si>
    <t>NORHAKIMAH</t>
  </si>
  <si>
    <t>NO 51, JALAN PULAU LUMUT, U10/76H, ALAM BUDIMAN 40170 SHAH ALAM SELANGOR   Selangor my 40170</t>
  </si>
  <si>
    <t>NVMY34535000004587</t>
  </si>
  <si>
    <t>MARIAM OMAR</t>
  </si>
  <si>
    <t>A-148 KAMPUNG PADANG MIDIN, JALAN PAYA RESAK 21400 KUALA TERENGGANU, TERENGGANU   Terengganu my 21400</t>
  </si>
  <si>
    <t>NVMY34535000004582</t>
  </si>
  <si>
    <t>NORLIZA BINTI AWANG</t>
  </si>
  <si>
    <t>A-1-4 TERATAK MUHIBBAH 1 TAMAN DESA OFF JLN KLANG LAMA 58100 KUALA LUMPUR   Kuala Lumpur my 58100</t>
  </si>
  <si>
    <t>11-DSA-86</t>
  </si>
  <si>
    <t>NVMY34535000004518</t>
  </si>
  <si>
    <t>SHARIDAH KUPLAN</t>
  </si>
  <si>
    <t>KAMPUNG SARANG PETI SURAT 240 89150 KOTA BELUD SABAH   Sabah my 89150</t>
  </si>
  <si>
    <t>15-KMR-127</t>
  </si>
  <si>
    <t>NVMY34535000004576</t>
  </si>
  <si>
    <t>Hamisah binti Hassan</t>
  </si>
  <si>
    <t>Kg badang,Blkg klinik desa kg badang 09700 Karangan Kulim Kedah   Kedah my 09700</t>
  </si>
  <si>
    <t>NVMY34535000004592</t>
  </si>
  <si>
    <t>AIMI SHAZWANI BINTI MOHAMAD SAHRIF</t>
  </si>
  <si>
    <t>33 JALAN ALAM PUTRA 3A/1 TAMAN ALAM PUTRA 43300 SERI KEMBANGAN SELANGOR   Selangor my 43300</t>
  </si>
  <si>
    <t>NVMY34535000004593</t>
  </si>
  <si>
    <t>NORIZAN MAHMUD</t>
  </si>
  <si>
    <t>KAMPUNG TOK FAKIR MERCHANG 21610 MARANG TERENGGANU   Terengganu my 21610</t>
  </si>
  <si>
    <t>NVMY34535000004583</t>
  </si>
  <si>
    <t>LT 9877A JALAN SANDORA BATU 8 42500 TELOK PANGLIMA GARANG SELANGOR   Selangor my 42500</t>
  </si>
  <si>
    <t>NVMY34535000004588</t>
  </si>
  <si>
    <t>D/A SUHAIMI BIN SAILIN</t>
  </si>
  <si>
    <t>JASARIA HOTEL 1ST FLOOR, LOT 1-5 BLOCK K, BEAUFORT JAYA PHASE 2, COMMERCIAL DEVELOPMENT 89808 BEAUFORT SABAH   Sabah my 89808</t>
  </si>
  <si>
    <t>NVMY34535000004578</t>
  </si>
  <si>
    <t>SAHUDIN BIN SEMAIL</t>
  </si>
  <si>
    <t>A193 PERSIARAN VENICE SUTERA 2 32200 LUMUT PERAK   Perak my 32200</t>
  </si>
  <si>
    <t>8A-STW-52</t>
  </si>
  <si>
    <t>NVMY34535000004572</t>
  </si>
  <si>
    <t>NORLIHA SALLEH</t>
  </si>
  <si>
    <t>LOT C 80 TAMAN MDK FASA 4B (2) JALAN GOLF CLUB 89008 KENINGAU SABAH   Sabah my 89008</t>
  </si>
  <si>
    <t>15-KGU-125</t>
  </si>
  <si>
    <t>NVMY34535000004590</t>
  </si>
  <si>
    <t>RAFIDAH TALIP</t>
  </si>
  <si>
    <t>KG BEKARANG 89760 MENUMBOK SABAH   Sabah my 89760</t>
  </si>
  <si>
    <t>NVMY34535000004579</t>
  </si>
  <si>
    <t>JUNAINAH BT YUSUF</t>
  </si>
  <si>
    <t>F323 KAMPUNG BELAU 08400 MERBOK KEDAH   Kedah my 08400</t>
  </si>
  <si>
    <t>NVMY34535000004602</t>
  </si>
  <si>
    <t>MOHD KHAIRUL ANWAR BIN ELIAS</t>
  </si>
  <si>
    <t>NO 52B JLN ANGGERIK, KG KANANGA 48000 RAWANG SELANGOR   Selangor my 48000</t>
  </si>
  <si>
    <t>NVMY34535000004598</t>
  </si>
  <si>
    <t>W. FARIDAH BT W. YAACOB</t>
  </si>
  <si>
    <t>LOT 2196 KG LARAK PENDEK 15100 KOTA BHARU KELANTAN   Kelantan my 15100</t>
  </si>
  <si>
    <t>NVMY34535000004596</t>
  </si>
  <si>
    <t>Zul Fadzlie</t>
  </si>
  <si>
    <t>55, Jalan Badminton 13/29, Tadisma Business Park, Offense st ore, 40100, Shah Alam, Selangor, Malaysia   Selangor my 40100</t>
  </si>
  <si>
    <t>NVMY34535000004584</t>
  </si>
  <si>
    <t>9683 AIR MELINTAS BESAR TASEK GELUGOR 13300 TASEK GELUGOR PULAU PINANG   Pulau Pinang my 13300</t>
  </si>
  <si>
    <t>NVMY34535000004581</t>
  </si>
  <si>
    <t>YAACOB AWANG</t>
  </si>
  <si>
    <t>NO 2 JLN KALOI TMN INDAH JAYA 3 86000 KLUANG JOHOR   Johor my 86000</t>
  </si>
  <si>
    <t>NVMY34535000004580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</si>
</sst>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FF1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2" fillId="4" borderId="0" xfId="0" applyNumberFormat="1" applyFont="1" applyFill="1" applyAlignment="1">
      <alignment horizontal="left"/>
    </xf>
    <xf numFmtId="0" fontId="2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164" fontId="3" fillId="6" borderId="0" xfId="0" applyNumberFormat="1" applyFont="1" applyFill="1"/>
    <xf numFmtId="43" fontId="0" fillId="7" borderId="0" xfId="0" applyNumberFormat="1" applyFill="1"/>
    <xf numFmtId="43" fontId="3" fillId="4" borderId="0" xfId="0" applyNumberFormat="1" applyFont="1" applyFill="1"/>
    <xf numFmtId="0" fontId="0" fillId="8" borderId="0" xfId="0" applyFill="1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7901-33D0-4851-9541-90EF162A2D14}">
  <dimension ref="A1:AG353"/>
  <sheetViews>
    <sheetView tabSelected="1" workbookViewId="0">
      <selection sqref="A1:AG351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690929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1</v>
      </c>
      <c r="O2" s="8">
        <v>45000.683379629627</v>
      </c>
      <c r="P2" s="9">
        <v>45002</v>
      </c>
      <c r="Q2" t="s">
        <v>36</v>
      </c>
      <c r="R2" t="s">
        <v>43</v>
      </c>
      <c r="S2" t="s">
        <v>44</v>
      </c>
      <c r="T2" t="s">
        <v>45</v>
      </c>
      <c r="U2" t="s">
        <v>46</v>
      </c>
      <c r="V2">
        <v>88586</v>
      </c>
      <c r="W2" t="s">
        <v>47</v>
      </c>
      <c r="X2" t="s">
        <v>48</v>
      </c>
      <c r="Y2" t="s">
        <v>49</v>
      </c>
      <c r="Z2" s="10">
        <f>IF(N2&lt;=1,13,IF(N2&lt;=2,23,IF(N2&lt;=3,35,IF(N2&lt;=4,43,IF(N2&lt;=5,53,IF(N2&lt;=6,63,IF(N2&lt;=7,71,IF(N2&lt;=8,79,IF(N2&lt;=9,87,IF(N2&lt;=10,95,IF(N2&lt;=11,105,IF(N2&lt;=12,114,IF(N2&lt;=13,119,IF(N2&lt;=14,127,IF(N2&lt;=15,135,IF(N2&lt;=16,143,IF(N2&lt;=17,153,IF(N2&lt;=18,163,IF(N2&lt;=19,171,IF(N2&lt;=20,185,IF(N2&lt;=21,193,IF(N2&lt;=22,201,IF(N2&lt;=23,210,IF(N2&lt;=24,220,IF(N2&lt;=25,230,IF(N2&lt;=26,240,IF(N2&lt;=27,250,IF(N2&lt;=28,260,IF(N2&lt;=29,270,IF(N2&lt;=30,280,280))))))))))))))))))))))))))))))</f>
        <v>13</v>
      </c>
      <c r="AA2" s="11">
        <v>0</v>
      </c>
      <c r="AB2" s="11">
        <v>0</v>
      </c>
      <c r="AC2" s="11">
        <v>0</v>
      </c>
      <c r="AD2" s="11">
        <v>0</v>
      </c>
      <c r="AE2" s="11">
        <f t="shared" ref="AE2:AE65" si="0">(Z2+AB2+AD2)*6%</f>
        <v>0.78</v>
      </c>
      <c r="AF2" s="11">
        <f t="shared" ref="AF2:AF65" si="1">Z2+AB2+AD2+AE2</f>
        <v>13.78</v>
      </c>
      <c r="AG2" t="s">
        <v>47</v>
      </c>
    </row>
    <row r="3" spans="1:33" ht="15" customHeight="1" x14ac:dyDescent="0.35">
      <c r="A3">
        <v>690929</v>
      </c>
      <c r="B3" t="s">
        <v>33</v>
      </c>
      <c r="C3" t="s">
        <v>34</v>
      </c>
      <c r="D3" s="6" t="s">
        <v>33</v>
      </c>
      <c r="E3" t="s">
        <v>50</v>
      </c>
      <c r="F3" t="s">
        <v>36</v>
      </c>
      <c r="G3" t="s">
        <v>37</v>
      </c>
      <c r="H3" t="s">
        <v>51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12</v>
      </c>
      <c r="O3" s="8">
        <v>45001.501296296294</v>
      </c>
      <c r="P3" s="9">
        <v>45002</v>
      </c>
      <c r="Q3" t="s">
        <v>36</v>
      </c>
      <c r="R3" t="s">
        <v>43</v>
      </c>
      <c r="S3" t="s">
        <v>44</v>
      </c>
      <c r="T3" t="s">
        <v>52</v>
      </c>
      <c r="U3" t="s">
        <v>53</v>
      </c>
      <c r="V3">
        <v>43300</v>
      </c>
      <c r="W3" t="s">
        <v>43</v>
      </c>
      <c r="X3" t="s">
        <v>54</v>
      </c>
      <c r="Y3" t="s">
        <v>49</v>
      </c>
      <c r="Z3" s="12">
        <f>IF(N3&lt;=1,7,7+0.8*ROUNDUP(N3-1,0))</f>
        <v>15.8</v>
      </c>
      <c r="AA3" s="11">
        <v>0</v>
      </c>
      <c r="AB3" s="11">
        <v>0</v>
      </c>
      <c r="AC3" s="11">
        <v>0</v>
      </c>
      <c r="AD3" s="11">
        <v>0</v>
      </c>
      <c r="AE3" s="11">
        <f t="shared" si="0"/>
        <v>0.94799999999999995</v>
      </c>
      <c r="AF3" s="11">
        <f t="shared" si="1"/>
        <v>16.748000000000001</v>
      </c>
      <c r="AG3" t="s">
        <v>43</v>
      </c>
    </row>
    <row r="4" spans="1:33" ht="15" customHeight="1" x14ac:dyDescent="0.35">
      <c r="A4">
        <v>690929</v>
      </c>
      <c r="B4" t="s">
        <v>33</v>
      </c>
      <c r="C4" t="s">
        <v>34</v>
      </c>
      <c r="D4" s="6" t="s">
        <v>33</v>
      </c>
      <c r="E4" t="s">
        <v>55</v>
      </c>
      <c r="F4" t="s">
        <v>36</v>
      </c>
      <c r="G4" t="s">
        <v>37</v>
      </c>
      <c r="H4" t="s">
        <v>56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2</v>
      </c>
      <c r="O4" s="8">
        <v>45001.467615740738</v>
      </c>
      <c r="P4" s="9">
        <v>45002</v>
      </c>
      <c r="Q4" t="s">
        <v>36</v>
      </c>
      <c r="R4" t="s">
        <v>43</v>
      </c>
      <c r="S4" t="s">
        <v>44</v>
      </c>
      <c r="T4" t="s">
        <v>52</v>
      </c>
      <c r="U4" t="s">
        <v>57</v>
      </c>
      <c r="V4">
        <v>42610</v>
      </c>
      <c r="W4" t="s">
        <v>43</v>
      </c>
      <c r="X4" t="s">
        <v>58</v>
      </c>
      <c r="Y4" t="s">
        <v>49</v>
      </c>
      <c r="Z4" s="12">
        <f>IF(N4&lt;=1,7,7+0.8*ROUNDUP(N4-1,0))</f>
        <v>7.8</v>
      </c>
      <c r="AA4" s="11">
        <v>0</v>
      </c>
      <c r="AB4" s="11">
        <v>0</v>
      </c>
      <c r="AC4" s="11">
        <v>0</v>
      </c>
      <c r="AD4" s="11">
        <v>0</v>
      </c>
      <c r="AE4" s="11">
        <f t="shared" si="0"/>
        <v>0.46799999999999997</v>
      </c>
      <c r="AF4" s="11">
        <f t="shared" si="1"/>
        <v>8.2680000000000007</v>
      </c>
      <c r="AG4" t="s">
        <v>43</v>
      </c>
    </row>
    <row r="5" spans="1:33" ht="15" customHeight="1" x14ac:dyDescent="0.35">
      <c r="A5">
        <v>690929</v>
      </c>
      <c r="B5" t="s">
        <v>33</v>
      </c>
      <c r="C5" t="s">
        <v>34</v>
      </c>
      <c r="D5" s="6" t="s">
        <v>33</v>
      </c>
      <c r="E5" t="s">
        <v>59</v>
      </c>
      <c r="F5" t="s">
        <v>36</v>
      </c>
      <c r="G5" t="s">
        <v>37</v>
      </c>
      <c r="H5" t="s">
        <v>60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4</v>
      </c>
      <c r="O5" s="8">
        <v>44998.738715277781</v>
      </c>
      <c r="P5" s="9">
        <v>45002</v>
      </c>
      <c r="Q5" t="s">
        <v>36</v>
      </c>
      <c r="R5" t="s">
        <v>43</v>
      </c>
      <c r="S5" t="s">
        <v>44</v>
      </c>
      <c r="T5" t="s">
        <v>45</v>
      </c>
      <c r="U5" t="s">
        <v>61</v>
      </c>
      <c r="V5">
        <v>91100</v>
      </c>
      <c r="W5" t="s">
        <v>47</v>
      </c>
      <c r="X5" t="s">
        <v>62</v>
      </c>
      <c r="Y5" t="s">
        <v>49</v>
      </c>
      <c r="Z5" s="10">
        <f>IF(N5&lt;=1,13,IF(N5&lt;=2,23,IF(N5&lt;=3,35,IF(N5&lt;=4,43,IF(N5&lt;=5,53,IF(N5&lt;=6,63,IF(N5&lt;=7,71,IF(N5&lt;=8,79,IF(N5&lt;=9,87,IF(N5&lt;=10,95,IF(N5&lt;=11,105,IF(N5&lt;=12,114,IF(N5&lt;=13,119,IF(N5&lt;=14,127,IF(N5&lt;=15,135,IF(N5&lt;=16,143,IF(N5&lt;=17,153,IF(N5&lt;=18,163,IF(N5&lt;=19,171,IF(N5&lt;=20,185,IF(N5&lt;=21,193,IF(N5&lt;=22,201,IF(N5&lt;=23,210,IF(N5&lt;=24,220,IF(N5&lt;=25,230,IF(N5&lt;=26,240,IF(N5&lt;=27,250,IF(N5&lt;=28,260,IF(N5&lt;=29,270,IF(N5&lt;=30,280,280))))))))))))))))))))))))))))))</f>
        <v>43</v>
      </c>
      <c r="AA5" s="11">
        <v>0</v>
      </c>
      <c r="AB5" s="11">
        <v>0</v>
      </c>
      <c r="AC5" s="11">
        <v>0</v>
      </c>
      <c r="AD5" s="11">
        <v>0</v>
      </c>
      <c r="AE5" s="11">
        <f t="shared" si="0"/>
        <v>2.58</v>
      </c>
      <c r="AF5" s="11">
        <f t="shared" si="1"/>
        <v>45.58</v>
      </c>
      <c r="AG5" t="s">
        <v>47</v>
      </c>
    </row>
    <row r="6" spans="1:33" ht="15" customHeight="1" x14ac:dyDescent="0.35">
      <c r="A6">
        <v>690929</v>
      </c>
      <c r="B6" t="s">
        <v>33</v>
      </c>
      <c r="C6" t="s">
        <v>34</v>
      </c>
      <c r="D6" s="6" t="s">
        <v>33</v>
      </c>
      <c r="E6" t="s">
        <v>63</v>
      </c>
      <c r="F6" t="s">
        <v>36</v>
      </c>
      <c r="G6" t="s">
        <v>37</v>
      </c>
      <c r="H6" t="s">
        <v>64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1</v>
      </c>
      <c r="O6" s="8">
        <v>45000.758576388886</v>
      </c>
      <c r="P6" s="9">
        <v>45002</v>
      </c>
      <c r="Q6" t="s">
        <v>36</v>
      </c>
      <c r="R6" t="s">
        <v>43</v>
      </c>
      <c r="S6" t="s">
        <v>44</v>
      </c>
      <c r="T6" t="s">
        <v>65</v>
      </c>
      <c r="U6" t="s">
        <v>66</v>
      </c>
      <c r="V6">
        <v>26900</v>
      </c>
      <c r="W6" t="s">
        <v>43</v>
      </c>
      <c r="X6" t="s">
        <v>67</v>
      </c>
      <c r="Y6" t="s">
        <v>49</v>
      </c>
      <c r="Z6" s="12">
        <f>IF(N6&lt;=1,7,7+0.8*ROUNDUP(N6-1,0))</f>
        <v>7</v>
      </c>
      <c r="AA6" s="11">
        <v>0</v>
      </c>
      <c r="AB6" s="11">
        <v>0</v>
      </c>
      <c r="AC6" s="11">
        <v>0</v>
      </c>
      <c r="AD6" s="11">
        <v>0</v>
      </c>
      <c r="AE6" s="11">
        <f t="shared" si="0"/>
        <v>0.42</v>
      </c>
      <c r="AF6" s="11">
        <f t="shared" si="1"/>
        <v>7.42</v>
      </c>
      <c r="AG6" t="s">
        <v>43</v>
      </c>
    </row>
    <row r="7" spans="1:33" ht="15" customHeight="1" x14ac:dyDescent="0.35">
      <c r="A7">
        <v>690929</v>
      </c>
      <c r="B7" t="s">
        <v>33</v>
      </c>
      <c r="C7" t="s">
        <v>34</v>
      </c>
      <c r="D7" s="6" t="s">
        <v>33</v>
      </c>
      <c r="E7" t="s">
        <v>68</v>
      </c>
      <c r="F7" t="s">
        <v>36</v>
      </c>
      <c r="G7" t="s">
        <v>37</v>
      </c>
      <c r="H7" t="s">
        <v>69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4</v>
      </c>
      <c r="O7" s="8">
        <v>45001.485983796294</v>
      </c>
      <c r="P7" s="9">
        <v>45002</v>
      </c>
      <c r="Q7" t="s">
        <v>36</v>
      </c>
      <c r="R7" t="s">
        <v>43</v>
      </c>
      <c r="S7" t="s">
        <v>44</v>
      </c>
      <c r="T7" t="s">
        <v>65</v>
      </c>
      <c r="U7" t="s">
        <v>70</v>
      </c>
      <c r="V7">
        <v>27000</v>
      </c>
      <c r="W7" t="s">
        <v>43</v>
      </c>
      <c r="X7" t="s">
        <v>71</v>
      </c>
      <c r="Y7" t="s">
        <v>49</v>
      </c>
      <c r="Z7" s="12">
        <f>IF(N7&lt;=1,7,7+0.8*ROUNDUP(N7-1,0))</f>
        <v>9.4</v>
      </c>
      <c r="AA7" s="11">
        <v>0</v>
      </c>
      <c r="AB7" s="11">
        <v>0</v>
      </c>
      <c r="AC7" s="11">
        <v>0</v>
      </c>
      <c r="AD7" s="11">
        <v>0</v>
      </c>
      <c r="AE7" s="11">
        <f t="shared" si="0"/>
        <v>0.56399999999999995</v>
      </c>
      <c r="AF7" s="11">
        <f t="shared" si="1"/>
        <v>9.9640000000000004</v>
      </c>
      <c r="AG7" t="s">
        <v>43</v>
      </c>
    </row>
    <row r="8" spans="1:33" ht="15" customHeight="1" x14ac:dyDescent="0.35">
      <c r="A8">
        <v>690929</v>
      </c>
      <c r="B8" t="s">
        <v>33</v>
      </c>
      <c r="C8" t="s">
        <v>34</v>
      </c>
      <c r="D8" s="6" t="s">
        <v>33</v>
      </c>
      <c r="E8" t="s">
        <v>72</v>
      </c>
      <c r="F8" t="s">
        <v>36</v>
      </c>
      <c r="G8" t="s">
        <v>37</v>
      </c>
      <c r="H8" t="s">
        <v>73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1</v>
      </c>
      <c r="O8" s="8">
        <v>45001.764166666668</v>
      </c>
      <c r="P8" s="9">
        <v>45003</v>
      </c>
      <c r="Q8" t="s">
        <v>36</v>
      </c>
      <c r="R8" t="s">
        <v>43</v>
      </c>
      <c r="S8" t="s">
        <v>74</v>
      </c>
      <c r="T8" t="s">
        <v>52</v>
      </c>
      <c r="U8" t="s">
        <v>75</v>
      </c>
      <c r="V8">
        <v>68000</v>
      </c>
      <c r="W8" t="s">
        <v>43</v>
      </c>
      <c r="X8" t="s">
        <v>76</v>
      </c>
      <c r="Y8" t="s">
        <v>49</v>
      </c>
      <c r="Z8" s="12">
        <f>IF(N8&lt;=1,7,7+0.8*ROUNDUP(N8-1,0))</f>
        <v>7</v>
      </c>
      <c r="AA8" s="11">
        <v>0</v>
      </c>
      <c r="AB8" s="11">
        <v>0</v>
      </c>
      <c r="AC8" s="11">
        <v>0</v>
      </c>
      <c r="AD8" s="11">
        <v>0</v>
      </c>
      <c r="AE8" s="11">
        <f t="shared" si="0"/>
        <v>0.42</v>
      </c>
      <c r="AF8" s="11">
        <f t="shared" si="1"/>
        <v>7.42</v>
      </c>
      <c r="AG8" t="s">
        <v>43</v>
      </c>
    </row>
    <row r="9" spans="1:33" ht="15" customHeight="1" x14ac:dyDescent="0.35">
      <c r="A9">
        <v>690929</v>
      </c>
      <c r="B9" t="s">
        <v>33</v>
      </c>
      <c r="C9" t="s">
        <v>34</v>
      </c>
      <c r="D9" s="6" t="s">
        <v>33</v>
      </c>
      <c r="E9" t="s">
        <v>77</v>
      </c>
      <c r="F9" t="s">
        <v>36</v>
      </c>
      <c r="G9" t="s">
        <v>37</v>
      </c>
      <c r="H9" t="s">
        <v>78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1</v>
      </c>
      <c r="O9" s="8">
        <v>45001.764166666668</v>
      </c>
      <c r="P9" s="9">
        <v>45003</v>
      </c>
      <c r="Q9" t="s">
        <v>36</v>
      </c>
      <c r="R9" t="s">
        <v>43</v>
      </c>
      <c r="S9" t="s">
        <v>74</v>
      </c>
      <c r="T9" t="s">
        <v>79</v>
      </c>
      <c r="U9" t="s">
        <v>80</v>
      </c>
      <c r="V9">
        <v>17500</v>
      </c>
      <c r="W9" t="s">
        <v>43</v>
      </c>
      <c r="X9" t="s">
        <v>81</v>
      </c>
      <c r="Y9" t="s">
        <v>49</v>
      </c>
      <c r="Z9" s="12">
        <f>IF(N9&lt;=1,7,7+0.8*ROUNDUP(N9-1,0))</f>
        <v>7</v>
      </c>
      <c r="AA9" s="11">
        <v>0</v>
      </c>
      <c r="AB9" s="11">
        <v>0</v>
      </c>
      <c r="AC9" s="11">
        <v>0</v>
      </c>
      <c r="AD9" s="11">
        <v>0</v>
      </c>
      <c r="AE9" s="11">
        <f t="shared" si="0"/>
        <v>0.42</v>
      </c>
      <c r="AF9" s="11">
        <f t="shared" si="1"/>
        <v>7.42</v>
      </c>
      <c r="AG9" t="s">
        <v>43</v>
      </c>
    </row>
    <row r="10" spans="1:33" ht="15" customHeight="1" x14ac:dyDescent="0.35">
      <c r="A10">
        <v>690929</v>
      </c>
      <c r="B10" t="s">
        <v>33</v>
      </c>
      <c r="C10" t="s">
        <v>34</v>
      </c>
      <c r="D10" s="6" t="s">
        <v>33</v>
      </c>
      <c r="E10" t="s">
        <v>82</v>
      </c>
      <c r="F10" t="s">
        <v>36</v>
      </c>
      <c r="G10" t="s">
        <v>37</v>
      </c>
      <c r="H10" t="s">
        <v>83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1</v>
      </c>
      <c r="O10" s="8">
        <v>45002.425937499997</v>
      </c>
      <c r="P10" s="9">
        <v>45003</v>
      </c>
      <c r="Q10" t="s">
        <v>36</v>
      </c>
      <c r="R10" t="s">
        <v>43</v>
      </c>
      <c r="S10" t="s">
        <v>74</v>
      </c>
      <c r="T10" t="s">
        <v>79</v>
      </c>
      <c r="U10" t="s">
        <v>84</v>
      </c>
      <c r="V10">
        <v>16200</v>
      </c>
      <c r="W10" t="s">
        <v>43</v>
      </c>
      <c r="X10" t="s">
        <v>74</v>
      </c>
      <c r="Y10" t="s">
        <v>49</v>
      </c>
      <c r="Z10" s="12">
        <f>IF(N10&lt;=1,7,7+0.8*ROUNDUP(N10-1,0))</f>
        <v>7</v>
      </c>
      <c r="AA10" s="11">
        <v>0</v>
      </c>
      <c r="AB10" s="11">
        <v>0</v>
      </c>
      <c r="AC10" s="11">
        <v>0</v>
      </c>
      <c r="AD10" s="11">
        <v>0</v>
      </c>
      <c r="AE10" s="11">
        <f t="shared" si="0"/>
        <v>0.42</v>
      </c>
      <c r="AF10" s="11">
        <f t="shared" si="1"/>
        <v>7.42</v>
      </c>
      <c r="AG10" t="s">
        <v>43</v>
      </c>
    </row>
    <row r="11" spans="1:33" ht="15" customHeight="1" x14ac:dyDescent="0.35">
      <c r="A11">
        <v>690929</v>
      </c>
      <c r="B11" t="s">
        <v>33</v>
      </c>
      <c r="C11" t="s">
        <v>34</v>
      </c>
      <c r="D11" s="6" t="s">
        <v>33</v>
      </c>
      <c r="E11" t="s">
        <v>85</v>
      </c>
      <c r="F11" t="s">
        <v>36</v>
      </c>
      <c r="G11" t="s">
        <v>37</v>
      </c>
      <c r="H11" t="s">
        <v>86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1</v>
      </c>
      <c r="O11" s="8">
        <v>45000.758576388886</v>
      </c>
      <c r="P11" s="9">
        <v>45003</v>
      </c>
      <c r="Q11" t="s">
        <v>36</v>
      </c>
      <c r="R11" t="s">
        <v>43</v>
      </c>
      <c r="S11" t="s">
        <v>44</v>
      </c>
      <c r="T11" t="s">
        <v>36</v>
      </c>
      <c r="U11" t="s">
        <v>87</v>
      </c>
      <c r="V11">
        <v>78000</v>
      </c>
      <c r="W11" t="s">
        <v>88</v>
      </c>
      <c r="X11" t="s">
        <v>89</v>
      </c>
      <c r="Y11" t="s">
        <v>49</v>
      </c>
      <c r="Z11" s="12">
        <f>IF(N11&lt;=1,7,7+0.8*ROUNDUP(N11-1,0))</f>
        <v>7</v>
      </c>
      <c r="AA11" s="11">
        <v>0</v>
      </c>
      <c r="AB11" s="11">
        <v>0</v>
      </c>
      <c r="AC11" s="11">
        <v>0</v>
      </c>
      <c r="AD11" s="11">
        <v>0</v>
      </c>
      <c r="AE11" s="11">
        <f t="shared" si="0"/>
        <v>0.42</v>
      </c>
      <c r="AF11" s="11">
        <f t="shared" si="1"/>
        <v>7.42</v>
      </c>
      <c r="AG11" t="s">
        <v>43</v>
      </c>
    </row>
    <row r="12" spans="1:33" ht="15" customHeight="1" x14ac:dyDescent="0.35">
      <c r="A12">
        <v>690929</v>
      </c>
      <c r="B12" t="s">
        <v>33</v>
      </c>
      <c r="C12" t="s">
        <v>34</v>
      </c>
      <c r="D12" s="6" t="s">
        <v>33</v>
      </c>
      <c r="E12" t="s">
        <v>90</v>
      </c>
      <c r="F12" t="s">
        <v>36</v>
      </c>
      <c r="G12" t="s">
        <v>37</v>
      </c>
      <c r="H12" t="s">
        <v>91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45000.683379629627</v>
      </c>
      <c r="P12" s="9">
        <v>45003</v>
      </c>
      <c r="Q12" t="s">
        <v>36</v>
      </c>
      <c r="R12" t="s">
        <v>43</v>
      </c>
      <c r="S12" t="s">
        <v>44</v>
      </c>
      <c r="T12" t="s">
        <v>92</v>
      </c>
      <c r="U12" t="s">
        <v>93</v>
      </c>
      <c r="V12">
        <v>24000</v>
      </c>
      <c r="W12" t="s">
        <v>43</v>
      </c>
      <c r="X12" t="s">
        <v>71</v>
      </c>
      <c r="Y12" t="s">
        <v>49</v>
      </c>
      <c r="Z12" s="12">
        <f>IF(N12&lt;=1,7,7+0.8*ROUNDUP(N12-1,0))</f>
        <v>7</v>
      </c>
      <c r="AA12" s="11">
        <v>0</v>
      </c>
      <c r="AB12" s="11">
        <v>0</v>
      </c>
      <c r="AC12" s="11">
        <v>0</v>
      </c>
      <c r="AD12" s="11">
        <v>0</v>
      </c>
      <c r="AE12" s="11">
        <f t="shared" si="0"/>
        <v>0.42</v>
      </c>
      <c r="AF12" s="11">
        <f t="shared" si="1"/>
        <v>7.42</v>
      </c>
      <c r="AG12" t="s">
        <v>43</v>
      </c>
    </row>
    <row r="13" spans="1:33" ht="15" customHeight="1" x14ac:dyDescent="0.35">
      <c r="A13">
        <v>690929</v>
      </c>
      <c r="B13" t="s">
        <v>33</v>
      </c>
      <c r="C13" t="s">
        <v>34</v>
      </c>
      <c r="D13" s="6" t="s">
        <v>33</v>
      </c>
      <c r="E13" t="s">
        <v>94</v>
      </c>
      <c r="F13" t="s">
        <v>36</v>
      </c>
      <c r="G13" t="s">
        <v>37</v>
      </c>
      <c r="H13" t="s">
        <v>95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1</v>
      </c>
      <c r="O13" s="8">
        <v>45001.764166666668</v>
      </c>
      <c r="P13" s="9">
        <v>45003</v>
      </c>
      <c r="Q13" t="s">
        <v>36</v>
      </c>
      <c r="R13" t="s">
        <v>43</v>
      </c>
      <c r="S13" t="s">
        <v>74</v>
      </c>
      <c r="T13" t="s">
        <v>79</v>
      </c>
      <c r="U13" t="s">
        <v>96</v>
      </c>
      <c r="V13">
        <v>18800</v>
      </c>
      <c r="W13" t="s">
        <v>43</v>
      </c>
      <c r="X13" t="s">
        <v>74</v>
      </c>
      <c r="Y13" t="s">
        <v>49</v>
      </c>
      <c r="Z13" s="12">
        <f>IF(N13&lt;=1,7,7+0.8*ROUNDUP(N13-1,0))</f>
        <v>7</v>
      </c>
      <c r="AA13" s="11">
        <v>0</v>
      </c>
      <c r="AB13" s="11">
        <v>0</v>
      </c>
      <c r="AC13" s="11">
        <v>0</v>
      </c>
      <c r="AD13" s="11">
        <v>0</v>
      </c>
      <c r="AE13" s="11">
        <f t="shared" si="0"/>
        <v>0.42</v>
      </c>
      <c r="AF13" s="11">
        <f t="shared" si="1"/>
        <v>7.42</v>
      </c>
      <c r="AG13" t="s">
        <v>43</v>
      </c>
    </row>
    <row r="14" spans="1:33" ht="15" customHeight="1" x14ac:dyDescent="0.35">
      <c r="A14">
        <v>690929</v>
      </c>
      <c r="B14" t="s">
        <v>33</v>
      </c>
      <c r="C14" t="s">
        <v>34</v>
      </c>
      <c r="D14" s="6" t="s">
        <v>33</v>
      </c>
      <c r="E14" t="s">
        <v>97</v>
      </c>
      <c r="F14" t="s">
        <v>36</v>
      </c>
      <c r="G14" t="s">
        <v>37</v>
      </c>
      <c r="H14" t="s">
        <v>98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6</v>
      </c>
      <c r="O14" s="8">
        <v>45000.668483796297</v>
      </c>
      <c r="P14" s="9">
        <v>45003</v>
      </c>
      <c r="Q14" t="s">
        <v>36</v>
      </c>
      <c r="R14" t="s">
        <v>43</v>
      </c>
      <c r="S14" t="s">
        <v>44</v>
      </c>
      <c r="T14" t="s">
        <v>99</v>
      </c>
      <c r="U14" t="s">
        <v>100</v>
      </c>
      <c r="V14">
        <v>70400</v>
      </c>
      <c r="W14" t="s">
        <v>43</v>
      </c>
      <c r="X14" t="s">
        <v>101</v>
      </c>
      <c r="Y14" t="s">
        <v>49</v>
      </c>
      <c r="Z14" s="12">
        <f>IF(N14&lt;=1,7,7+0.8*ROUNDUP(N14-1,0))</f>
        <v>11</v>
      </c>
      <c r="AA14" s="11">
        <v>0</v>
      </c>
      <c r="AB14" s="11">
        <v>0</v>
      </c>
      <c r="AC14" s="11">
        <v>0</v>
      </c>
      <c r="AD14" s="11">
        <v>0</v>
      </c>
      <c r="AE14" s="11">
        <f t="shared" si="0"/>
        <v>0.65999999999999992</v>
      </c>
      <c r="AF14" s="11">
        <f t="shared" si="1"/>
        <v>11.66</v>
      </c>
      <c r="AG14" t="s">
        <v>43</v>
      </c>
    </row>
    <row r="15" spans="1:33" ht="15" customHeight="1" x14ac:dyDescent="0.35">
      <c r="A15">
        <v>690929</v>
      </c>
      <c r="B15" t="s">
        <v>33</v>
      </c>
      <c r="C15" t="s">
        <v>34</v>
      </c>
      <c r="D15" s="6" t="s">
        <v>33</v>
      </c>
      <c r="E15" t="s">
        <v>102</v>
      </c>
      <c r="F15" t="s">
        <v>36</v>
      </c>
      <c r="G15" t="s">
        <v>37</v>
      </c>
      <c r="H15" t="s">
        <v>103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10</v>
      </c>
      <c r="O15" s="8">
        <v>45001.485983796294</v>
      </c>
      <c r="P15" s="9">
        <v>45003</v>
      </c>
      <c r="Q15" t="s">
        <v>36</v>
      </c>
      <c r="R15" t="s">
        <v>43</v>
      </c>
      <c r="S15" t="s">
        <v>44</v>
      </c>
      <c r="T15" t="s">
        <v>104</v>
      </c>
      <c r="U15" t="s">
        <v>105</v>
      </c>
      <c r="V15">
        <v>81500</v>
      </c>
      <c r="W15" t="s">
        <v>43</v>
      </c>
      <c r="X15" t="s">
        <v>106</v>
      </c>
      <c r="Y15" t="s">
        <v>49</v>
      </c>
      <c r="Z15" s="12">
        <f>IF(N15&lt;=1,7,7+0.8*ROUNDUP(N15-1,0))</f>
        <v>14.2</v>
      </c>
      <c r="AA15" s="11">
        <v>0</v>
      </c>
      <c r="AB15" s="11">
        <v>0</v>
      </c>
      <c r="AC15" s="11">
        <v>0</v>
      </c>
      <c r="AD15" s="11">
        <v>0</v>
      </c>
      <c r="AE15" s="11">
        <f t="shared" si="0"/>
        <v>0.85199999999999998</v>
      </c>
      <c r="AF15" s="11">
        <f t="shared" si="1"/>
        <v>15.052</v>
      </c>
      <c r="AG15" t="s">
        <v>43</v>
      </c>
    </row>
    <row r="16" spans="1:33" ht="15" customHeight="1" x14ac:dyDescent="0.35">
      <c r="A16">
        <v>690929</v>
      </c>
      <c r="B16" t="s">
        <v>33</v>
      </c>
      <c r="C16" t="s">
        <v>34</v>
      </c>
      <c r="D16" s="6" t="s">
        <v>33</v>
      </c>
      <c r="E16" t="s">
        <v>107</v>
      </c>
      <c r="F16" t="s">
        <v>36</v>
      </c>
      <c r="G16" t="s">
        <v>37</v>
      </c>
      <c r="H16" t="s">
        <v>108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1</v>
      </c>
      <c r="O16" s="8">
        <v>45001.764166666668</v>
      </c>
      <c r="P16" s="9">
        <v>45003</v>
      </c>
      <c r="Q16" t="s">
        <v>36</v>
      </c>
      <c r="R16" t="s">
        <v>43</v>
      </c>
      <c r="S16" t="s">
        <v>74</v>
      </c>
      <c r="T16" t="s">
        <v>52</v>
      </c>
      <c r="U16" t="s">
        <v>109</v>
      </c>
      <c r="V16">
        <v>43000</v>
      </c>
      <c r="W16" t="s">
        <v>43</v>
      </c>
      <c r="X16" t="s">
        <v>110</v>
      </c>
      <c r="Y16" t="s">
        <v>49</v>
      </c>
      <c r="Z16" s="12">
        <f>IF(N16&lt;=1,7,7+0.8*ROUNDUP(N16-1,0))</f>
        <v>7</v>
      </c>
      <c r="AA16" s="11">
        <v>0</v>
      </c>
      <c r="AB16" s="11">
        <v>0</v>
      </c>
      <c r="AC16" s="11">
        <v>0</v>
      </c>
      <c r="AD16" s="11">
        <v>0</v>
      </c>
      <c r="AE16" s="11">
        <f t="shared" si="0"/>
        <v>0.42</v>
      </c>
      <c r="AF16" s="11">
        <f t="shared" si="1"/>
        <v>7.42</v>
      </c>
      <c r="AG16" t="s">
        <v>43</v>
      </c>
    </row>
    <row r="17" spans="1:33" ht="15" customHeight="1" x14ac:dyDescent="0.35">
      <c r="A17">
        <v>690929</v>
      </c>
      <c r="B17" t="s">
        <v>33</v>
      </c>
      <c r="C17" t="s">
        <v>34</v>
      </c>
      <c r="D17" s="6" t="s">
        <v>33</v>
      </c>
      <c r="E17" t="s">
        <v>111</v>
      </c>
      <c r="F17" t="s">
        <v>36</v>
      </c>
      <c r="G17" t="s">
        <v>37</v>
      </c>
      <c r="H17" t="s">
        <v>112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1</v>
      </c>
      <c r="O17" s="8">
        <v>45001.588587962964</v>
      </c>
      <c r="P17" s="9">
        <v>45003</v>
      </c>
      <c r="Q17" t="s">
        <v>36</v>
      </c>
      <c r="R17" t="s">
        <v>43</v>
      </c>
      <c r="S17" t="s">
        <v>44</v>
      </c>
      <c r="T17" t="s">
        <v>104</v>
      </c>
      <c r="U17" t="s">
        <v>113</v>
      </c>
      <c r="V17">
        <v>81400</v>
      </c>
      <c r="W17" t="s">
        <v>43</v>
      </c>
      <c r="X17" t="s">
        <v>114</v>
      </c>
      <c r="Y17" t="s">
        <v>49</v>
      </c>
      <c r="Z17" s="12">
        <f>IF(N17&lt;=1,7,7+0.8*ROUNDUP(N17-1,0))</f>
        <v>7</v>
      </c>
      <c r="AA17" s="11">
        <v>0</v>
      </c>
      <c r="AB17" s="11">
        <v>0</v>
      </c>
      <c r="AC17" s="11">
        <v>0</v>
      </c>
      <c r="AD17" s="11">
        <v>0</v>
      </c>
      <c r="AE17" s="11">
        <f t="shared" si="0"/>
        <v>0.42</v>
      </c>
      <c r="AF17" s="11">
        <f t="shared" si="1"/>
        <v>7.42</v>
      </c>
      <c r="AG17" t="s">
        <v>43</v>
      </c>
    </row>
    <row r="18" spans="1:33" ht="15" customHeight="1" x14ac:dyDescent="0.35">
      <c r="A18">
        <v>690929</v>
      </c>
      <c r="B18" t="s">
        <v>33</v>
      </c>
      <c r="C18" t="s">
        <v>34</v>
      </c>
      <c r="D18" s="6" t="s">
        <v>33</v>
      </c>
      <c r="E18" t="s">
        <v>115</v>
      </c>
      <c r="F18" t="s">
        <v>36</v>
      </c>
      <c r="G18" t="s">
        <v>37</v>
      </c>
      <c r="H18" t="s">
        <v>116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</v>
      </c>
      <c r="O18" s="8">
        <v>45001.505983796298</v>
      </c>
      <c r="P18" s="9">
        <v>45004</v>
      </c>
      <c r="Q18" t="s">
        <v>36</v>
      </c>
      <c r="R18" t="s">
        <v>43</v>
      </c>
      <c r="S18" t="s">
        <v>44</v>
      </c>
      <c r="T18" t="s">
        <v>99</v>
      </c>
      <c r="U18" t="s">
        <v>117</v>
      </c>
      <c r="V18">
        <v>70450</v>
      </c>
      <c r="W18" t="s">
        <v>43</v>
      </c>
      <c r="X18" t="s">
        <v>101</v>
      </c>
      <c r="Y18" t="s">
        <v>49</v>
      </c>
      <c r="Z18" s="12">
        <f>IF(N18&lt;=1,7,7+0.8*ROUNDUP(N18-1,0))</f>
        <v>7</v>
      </c>
      <c r="AA18" s="11">
        <v>0</v>
      </c>
      <c r="AB18" s="11">
        <v>0</v>
      </c>
      <c r="AC18" s="11">
        <v>0</v>
      </c>
      <c r="AD18" s="11">
        <v>0</v>
      </c>
      <c r="AE18" s="11">
        <f t="shared" si="0"/>
        <v>0.42</v>
      </c>
      <c r="AF18" s="11">
        <f t="shared" si="1"/>
        <v>7.42</v>
      </c>
      <c r="AG18" t="s">
        <v>43</v>
      </c>
    </row>
    <row r="19" spans="1:33" ht="15" customHeight="1" x14ac:dyDescent="0.35">
      <c r="A19">
        <v>690929</v>
      </c>
      <c r="B19" t="s">
        <v>33</v>
      </c>
      <c r="C19" t="s">
        <v>34</v>
      </c>
      <c r="D19" s="6" t="s">
        <v>33</v>
      </c>
      <c r="E19" t="s">
        <v>118</v>
      </c>
      <c r="F19" t="s">
        <v>36</v>
      </c>
      <c r="G19" t="s">
        <v>37</v>
      </c>
      <c r="H19" t="s">
        <v>119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45002.724282407406</v>
      </c>
      <c r="P19" s="9">
        <v>45004</v>
      </c>
      <c r="Q19" t="s">
        <v>36</v>
      </c>
      <c r="R19" t="s">
        <v>43</v>
      </c>
      <c r="S19" t="s">
        <v>44</v>
      </c>
      <c r="T19" t="s">
        <v>79</v>
      </c>
      <c r="U19" t="s">
        <v>120</v>
      </c>
      <c r="V19">
        <v>16300</v>
      </c>
      <c r="W19" t="s">
        <v>43</v>
      </c>
      <c r="X19" t="s">
        <v>44</v>
      </c>
      <c r="Y19" t="s">
        <v>49</v>
      </c>
      <c r="Z19" s="12">
        <f>IF(N19&lt;=1,7,7+0.8*ROUNDUP(N19-1,0))</f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 t="shared" si="0"/>
        <v>0.42</v>
      </c>
      <c r="AF19" s="11">
        <f t="shared" si="1"/>
        <v>7.42</v>
      </c>
      <c r="AG19" t="s">
        <v>43</v>
      </c>
    </row>
    <row r="20" spans="1:33" ht="15" customHeight="1" x14ac:dyDescent="0.35">
      <c r="A20">
        <v>690929</v>
      </c>
      <c r="B20" t="s">
        <v>33</v>
      </c>
      <c r="C20" t="s">
        <v>34</v>
      </c>
      <c r="D20" s="6" t="s">
        <v>33</v>
      </c>
      <c r="E20" t="s">
        <v>121</v>
      </c>
      <c r="F20" t="s">
        <v>36</v>
      </c>
      <c r="G20" t="s">
        <v>37</v>
      </c>
      <c r="H20" t="s">
        <v>122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1</v>
      </c>
      <c r="O20" s="8">
        <v>45002.484571759262</v>
      </c>
      <c r="P20" s="9">
        <v>45004</v>
      </c>
      <c r="Q20" t="s">
        <v>36</v>
      </c>
      <c r="R20" t="s">
        <v>43</v>
      </c>
      <c r="S20" t="s">
        <v>44</v>
      </c>
      <c r="T20" t="s">
        <v>52</v>
      </c>
      <c r="U20" t="s">
        <v>123</v>
      </c>
      <c r="V20">
        <v>40100</v>
      </c>
      <c r="W20" t="s">
        <v>43</v>
      </c>
      <c r="X20" t="s">
        <v>124</v>
      </c>
      <c r="Y20" t="s">
        <v>49</v>
      </c>
      <c r="Z20" s="12">
        <f>IF(N20&lt;=1,7,7+0.8*ROUNDUP(N20-1,0))</f>
        <v>7</v>
      </c>
      <c r="AA20" s="11">
        <v>0</v>
      </c>
      <c r="AB20" s="11">
        <v>0</v>
      </c>
      <c r="AC20" s="11">
        <v>0</v>
      </c>
      <c r="AD20" s="11">
        <v>0</v>
      </c>
      <c r="AE20" s="11">
        <f t="shared" si="0"/>
        <v>0.42</v>
      </c>
      <c r="AF20" s="11">
        <f t="shared" si="1"/>
        <v>7.42</v>
      </c>
      <c r="AG20" t="s">
        <v>43</v>
      </c>
    </row>
    <row r="21" spans="1:33" ht="15" customHeight="1" x14ac:dyDescent="0.35">
      <c r="A21">
        <v>690929</v>
      </c>
      <c r="B21" t="s">
        <v>33</v>
      </c>
      <c r="C21" t="s">
        <v>34</v>
      </c>
      <c r="D21" s="6" t="s">
        <v>33</v>
      </c>
      <c r="E21" t="s">
        <v>125</v>
      </c>
      <c r="F21" t="s">
        <v>36</v>
      </c>
      <c r="G21" t="s">
        <v>37</v>
      </c>
      <c r="H21" t="s">
        <v>126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45003.656111111108</v>
      </c>
      <c r="P21" s="9">
        <v>45004</v>
      </c>
      <c r="Q21" t="s">
        <v>36</v>
      </c>
      <c r="R21" t="s">
        <v>43</v>
      </c>
      <c r="S21" t="s">
        <v>44</v>
      </c>
      <c r="T21" t="s">
        <v>79</v>
      </c>
      <c r="U21" t="s">
        <v>127</v>
      </c>
      <c r="V21">
        <v>17030</v>
      </c>
      <c r="W21" t="s">
        <v>43</v>
      </c>
      <c r="X21" t="s">
        <v>44</v>
      </c>
      <c r="Y21" t="s">
        <v>49</v>
      </c>
      <c r="Z21" s="12">
        <f>IF(N21&lt;=1,7,7+0.8*ROUNDUP(N21-1,0))</f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 t="shared" si="0"/>
        <v>0.42</v>
      </c>
      <c r="AF21" s="11">
        <f t="shared" si="1"/>
        <v>7.42</v>
      </c>
      <c r="AG21" t="s">
        <v>43</v>
      </c>
    </row>
    <row r="22" spans="1:33" ht="15" customHeight="1" x14ac:dyDescent="0.35">
      <c r="A22">
        <v>690929</v>
      </c>
      <c r="B22" t="s">
        <v>33</v>
      </c>
      <c r="C22" t="s">
        <v>34</v>
      </c>
      <c r="D22" s="6" t="s">
        <v>33</v>
      </c>
      <c r="E22" t="s">
        <v>128</v>
      </c>
      <c r="F22" t="s">
        <v>36</v>
      </c>
      <c r="G22" t="s">
        <v>37</v>
      </c>
      <c r="H22" t="s">
        <v>129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1</v>
      </c>
      <c r="O22" s="8">
        <v>45002.484571759262</v>
      </c>
      <c r="P22" s="9">
        <v>45004</v>
      </c>
      <c r="Q22" t="s">
        <v>36</v>
      </c>
      <c r="R22" t="s">
        <v>43</v>
      </c>
      <c r="S22" t="s">
        <v>44</v>
      </c>
      <c r="T22" t="s">
        <v>79</v>
      </c>
      <c r="U22" t="s">
        <v>130</v>
      </c>
      <c r="V22">
        <v>18400</v>
      </c>
      <c r="W22" t="s">
        <v>43</v>
      </c>
      <c r="X22" t="s">
        <v>44</v>
      </c>
      <c r="Y22" t="s">
        <v>49</v>
      </c>
      <c r="Z22" s="12">
        <f>IF(N22&lt;=1,7,7+0.8*ROUNDUP(N22-1,0))</f>
        <v>7</v>
      </c>
      <c r="AA22" s="11">
        <v>0</v>
      </c>
      <c r="AB22" s="11">
        <v>0</v>
      </c>
      <c r="AC22" s="11">
        <v>0</v>
      </c>
      <c r="AD22" s="11">
        <v>0</v>
      </c>
      <c r="AE22" s="11">
        <f t="shared" si="0"/>
        <v>0.42</v>
      </c>
      <c r="AF22" s="11">
        <f t="shared" si="1"/>
        <v>7.42</v>
      </c>
      <c r="AG22" t="s">
        <v>43</v>
      </c>
    </row>
    <row r="23" spans="1:33" ht="15" customHeight="1" x14ac:dyDescent="0.35">
      <c r="A23">
        <v>690929</v>
      </c>
      <c r="B23" t="s">
        <v>33</v>
      </c>
      <c r="C23" t="s">
        <v>34</v>
      </c>
      <c r="D23" s="6" t="s">
        <v>33</v>
      </c>
      <c r="E23" t="s">
        <v>131</v>
      </c>
      <c r="F23" t="s">
        <v>36</v>
      </c>
      <c r="G23" t="s">
        <v>37</v>
      </c>
      <c r="H23" t="s">
        <v>132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45003.710902777777</v>
      </c>
      <c r="P23" s="9">
        <v>45004</v>
      </c>
      <c r="Q23" t="s">
        <v>36</v>
      </c>
      <c r="R23" t="s">
        <v>43</v>
      </c>
      <c r="S23" t="s">
        <v>44</v>
      </c>
      <c r="T23" t="s">
        <v>52</v>
      </c>
      <c r="U23" t="s">
        <v>133</v>
      </c>
      <c r="V23">
        <v>68000</v>
      </c>
      <c r="W23" t="s">
        <v>43</v>
      </c>
      <c r="X23" t="s">
        <v>134</v>
      </c>
      <c r="Y23" t="s">
        <v>49</v>
      </c>
      <c r="Z23" s="12">
        <f>IF(N23&lt;=1,7,7+0.8*ROUNDUP(N23-1,0))</f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 t="shared" si="0"/>
        <v>0.42</v>
      </c>
      <c r="AF23" s="11">
        <f t="shared" si="1"/>
        <v>7.42</v>
      </c>
      <c r="AG23" t="s">
        <v>43</v>
      </c>
    </row>
    <row r="24" spans="1:33" ht="15" customHeight="1" x14ac:dyDescent="0.35">
      <c r="A24">
        <v>690929</v>
      </c>
      <c r="B24" t="s">
        <v>33</v>
      </c>
      <c r="C24" t="s">
        <v>34</v>
      </c>
      <c r="D24" s="6" t="s">
        <v>33</v>
      </c>
      <c r="E24" t="s">
        <v>135</v>
      </c>
      <c r="F24" t="s">
        <v>36</v>
      </c>
      <c r="G24" t="s">
        <v>37</v>
      </c>
      <c r="H24" t="s">
        <v>136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1</v>
      </c>
      <c r="O24" s="8">
        <v>45003.55395833333</v>
      </c>
      <c r="P24" s="9">
        <v>45004</v>
      </c>
      <c r="Q24" t="s">
        <v>36</v>
      </c>
      <c r="R24" t="s">
        <v>43</v>
      </c>
      <c r="S24" t="s">
        <v>44</v>
      </c>
      <c r="T24" t="s">
        <v>137</v>
      </c>
      <c r="U24" t="s">
        <v>138</v>
      </c>
      <c r="V24">
        <v>34400</v>
      </c>
      <c r="W24" t="s">
        <v>43</v>
      </c>
      <c r="X24" t="s">
        <v>139</v>
      </c>
      <c r="Y24" t="s">
        <v>49</v>
      </c>
      <c r="Z24" s="12">
        <f>IF(N24&lt;=1,7,7+0.8*ROUNDUP(N24-1,0))</f>
        <v>7</v>
      </c>
      <c r="AA24" s="11">
        <v>0</v>
      </c>
      <c r="AB24" s="11">
        <v>0</v>
      </c>
      <c r="AC24" s="11">
        <v>0</v>
      </c>
      <c r="AD24" s="11">
        <v>0</v>
      </c>
      <c r="AE24" s="11">
        <f t="shared" si="0"/>
        <v>0.42</v>
      </c>
      <c r="AF24" s="11">
        <f t="shared" si="1"/>
        <v>7.42</v>
      </c>
      <c r="AG24" t="s">
        <v>43</v>
      </c>
    </row>
    <row r="25" spans="1:33" ht="15" customHeight="1" x14ac:dyDescent="0.35">
      <c r="A25">
        <v>690929</v>
      </c>
      <c r="B25" t="s">
        <v>33</v>
      </c>
      <c r="C25" t="s">
        <v>34</v>
      </c>
      <c r="D25" s="6" t="s">
        <v>33</v>
      </c>
      <c r="E25" t="s">
        <v>140</v>
      </c>
      <c r="F25" t="s">
        <v>36</v>
      </c>
      <c r="G25" t="s">
        <v>37</v>
      </c>
      <c r="H25" t="s">
        <v>141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2</v>
      </c>
      <c r="O25" s="8">
        <v>45002.729398148149</v>
      </c>
      <c r="P25" s="9">
        <v>45005</v>
      </c>
      <c r="Q25" t="s">
        <v>36</v>
      </c>
      <c r="R25" t="s">
        <v>43</v>
      </c>
      <c r="S25" t="s">
        <v>44</v>
      </c>
      <c r="T25" t="s">
        <v>99</v>
      </c>
      <c r="U25" t="s">
        <v>142</v>
      </c>
      <c r="V25">
        <v>70300</v>
      </c>
      <c r="W25" t="s">
        <v>43</v>
      </c>
      <c r="X25" t="s">
        <v>143</v>
      </c>
      <c r="Y25" t="s">
        <v>49</v>
      </c>
      <c r="Z25" s="12">
        <f>IF(N25&lt;=1,7,7+0.8*ROUNDUP(N25-1,0))</f>
        <v>7.8</v>
      </c>
      <c r="AA25" s="11">
        <v>0</v>
      </c>
      <c r="AB25" s="11">
        <v>0</v>
      </c>
      <c r="AC25" s="11">
        <v>0</v>
      </c>
      <c r="AD25" s="11">
        <v>0</v>
      </c>
      <c r="AE25" s="11">
        <f t="shared" si="0"/>
        <v>0.46799999999999997</v>
      </c>
      <c r="AF25" s="11">
        <f t="shared" si="1"/>
        <v>8.2680000000000007</v>
      </c>
      <c r="AG25" t="s">
        <v>43</v>
      </c>
    </row>
    <row r="26" spans="1:33" ht="15" customHeight="1" x14ac:dyDescent="0.35">
      <c r="A26">
        <v>690929</v>
      </c>
      <c r="B26" t="s">
        <v>33</v>
      </c>
      <c r="C26" t="s">
        <v>34</v>
      </c>
      <c r="D26" s="6" t="s">
        <v>33</v>
      </c>
      <c r="E26" t="s">
        <v>144</v>
      </c>
      <c r="F26" t="s">
        <v>36</v>
      </c>
      <c r="G26" t="s">
        <v>37</v>
      </c>
      <c r="H26" t="s">
        <v>145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10</v>
      </c>
      <c r="O26" s="8">
        <v>45000.758576388886</v>
      </c>
      <c r="P26" s="9">
        <v>45005</v>
      </c>
      <c r="Q26" t="s">
        <v>36</v>
      </c>
      <c r="R26" t="s">
        <v>43</v>
      </c>
      <c r="S26" t="s">
        <v>44</v>
      </c>
      <c r="T26" t="s">
        <v>45</v>
      </c>
      <c r="U26" t="s">
        <v>146</v>
      </c>
      <c r="V26">
        <v>91207</v>
      </c>
      <c r="W26" t="s">
        <v>47</v>
      </c>
      <c r="X26" t="s">
        <v>62</v>
      </c>
      <c r="Y26" t="s">
        <v>49</v>
      </c>
      <c r="Z26" s="10">
        <f>IF(N26&lt;=1,13,IF(N26&lt;=2,23,IF(N26&lt;=3,35,IF(N26&lt;=4,43,IF(N26&lt;=5,53,IF(N26&lt;=6,63,IF(N26&lt;=7,71,IF(N26&lt;=8,79,IF(N26&lt;=9,87,IF(N26&lt;=10,95,IF(N26&lt;=11,105,IF(N26&lt;=12,114,IF(N26&lt;=13,119,IF(N26&lt;=14,127,IF(N26&lt;=15,135,IF(N26&lt;=16,143,IF(N26&lt;=17,153,IF(N26&lt;=18,163,IF(N26&lt;=19,171,IF(N26&lt;=20,185,IF(N26&lt;=21,193,IF(N26&lt;=22,201,IF(N26&lt;=23,210,IF(N26&lt;=24,220,IF(N26&lt;=25,230,IF(N26&lt;=26,240,IF(N26&lt;=27,250,IF(N26&lt;=28,260,IF(N26&lt;=29,270,IF(N26&lt;=30,280,280))))))))))))))))))))))))))))))</f>
        <v>95</v>
      </c>
      <c r="AA26" s="11">
        <v>0</v>
      </c>
      <c r="AB26" s="11">
        <v>0</v>
      </c>
      <c r="AC26" s="11">
        <v>0</v>
      </c>
      <c r="AD26" s="11">
        <v>0</v>
      </c>
      <c r="AE26" s="11">
        <f t="shared" si="0"/>
        <v>5.7</v>
      </c>
      <c r="AF26" s="11">
        <f t="shared" si="1"/>
        <v>100.7</v>
      </c>
      <c r="AG26" t="s">
        <v>47</v>
      </c>
    </row>
    <row r="27" spans="1:33" ht="15" customHeight="1" x14ac:dyDescent="0.35">
      <c r="A27">
        <v>690929</v>
      </c>
      <c r="B27" t="s">
        <v>33</v>
      </c>
      <c r="C27" t="s">
        <v>34</v>
      </c>
      <c r="D27" s="6" t="s">
        <v>33</v>
      </c>
      <c r="E27" t="s">
        <v>147</v>
      </c>
      <c r="F27" t="s">
        <v>36</v>
      </c>
      <c r="G27" t="s">
        <v>37</v>
      </c>
      <c r="H27" t="s">
        <v>148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1</v>
      </c>
      <c r="O27" s="8">
        <v>45002.752060185187</v>
      </c>
      <c r="P27" s="9">
        <v>45005</v>
      </c>
      <c r="Q27" t="s">
        <v>36</v>
      </c>
      <c r="R27" t="s">
        <v>43</v>
      </c>
      <c r="S27" t="s">
        <v>44</v>
      </c>
      <c r="T27" t="s">
        <v>149</v>
      </c>
      <c r="U27" t="s">
        <v>150</v>
      </c>
      <c r="V27">
        <v>6000</v>
      </c>
      <c r="W27" t="s">
        <v>43</v>
      </c>
      <c r="X27" t="s">
        <v>151</v>
      </c>
      <c r="Y27" t="s">
        <v>49</v>
      </c>
      <c r="Z27" s="12">
        <f>IF(N27&lt;=1,7,7+0.8*ROUNDUP(N27-1,0))</f>
        <v>7</v>
      </c>
      <c r="AA27" s="11">
        <v>0</v>
      </c>
      <c r="AB27" s="11">
        <v>0</v>
      </c>
      <c r="AC27" s="11">
        <v>0</v>
      </c>
      <c r="AD27" s="11">
        <v>0</v>
      </c>
      <c r="AE27" s="11">
        <f t="shared" si="0"/>
        <v>0.42</v>
      </c>
      <c r="AF27" s="11">
        <f t="shared" si="1"/>
        <v>7.42</v>
      </c>
      <c r="AG27" t="s">
        <v>43</v>
      </c>
    </row>
    <row r="28" spans="1:33" ht="15" customHeight="1" x14ac:dyDescent="0.35">
      <c r="A28">
        <v>690929</v>
      </c>
      <c r="B28" t="s">
        <v>33</v>
      </c>
      <c r="C28" t="s">
        <v>34</v>
      </c>
      <c r="D28" s="6" t="s">
        <v>33</v>
      </c>
      <c r="E28" t="s">
        <v>152</v>
      </c>
      <c r="F28" t="s">
        <v>36</v>
      </c>
      <c r="G28" t="s">
        <v>37</v>
      </c>
      <c r="H28" t="s">
        <v>153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1</v>
      </c>
      <c r="O28" s="8">
        <v>45003.654409722221</v>
      </c>
      <c r="P28" s="9">
        <v>45005</v>
      </c>
      <c r="Q28" t="s">
        <v>36</v>
      </c>
      <c r="R28" t="s">
        <v>43</v>
      </c>
      <c r="S28" t="s">
        <v>44</v>
      </c>
      <c r="T28" t="s">
        <v>104</v>
      </c>
      <c r="U28" t="s">
        <v>154</v>
      </c>
      <c r="V28">
        <v>86000</v>
      </c>
      <c r="W28" t="s">
        <v>43</v>
      </c>
      <c r="X28" t="s">
        <v>155</v>
      </c>
      <c r="Y28" t="s">
        <v>49</v>
      </c>
      <c r="Z28" s="12">
        <f>IF(N28&lt;=1,7,7+0.8*ROUNDUP(N28-1,0))</f>
        <v>7</v>
      </c>
      <c r="AA28" s="11">
        <v>0</v>
      </c>
      <c r="AB28" s="11">
        <v>0</v>
      </c>
      <c r="AC28" s="11">
        <v>0</v>
      </c>
      <c r="AD28" s="11">
        <v>0</v>
      </c>
      <c r="AE28" s="11">
        <f t="shared" si="0"/>
        <v>0.42</v>
      </c>
      <c r="AF28" s="11">
        <f t="shared" si="1"/>
        <v>7.42</v>
      </c>
      <c r="AG28" t="s">
        <v>43</v>
      </c>
    </row>
    <row r="29" spans="1:33" ht="15" customHeight="1" x14ac:dyDescent="0.35">
      <c r="A29">
        <v>690929</v>
      </c>
      <c r="B29" t="s">
        <v>33</v>
      </c>
      <c r="C29" t="s">
        <v>34</v>
      </c>
      <c r="D29" s="6" t="s">
        <v>33</v>
      </c>
      <c r="E29" t="s">
        <v>156</v>
      </c>
      <c r="F29" t="s">
        <v>36</v>
      </c>
      <c r="G29" t="s">
        <v>37</v>
      </c>
      <c r="H29" t="s">
        <v>157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1</v>
      </c>
      <c r="O29" s="8">
        <v>45004.488240740742</v>
      </c>
      <c r="P29" s="9">
        <v>45005</v>
      </c>
      <c r="Q29" t="s">
        <v>36</v>
      </c>
      <c r="R29" t="s">
        <v>43</v>
      </c>
      <c r="S29" t="s">
        <v>44</v>
      </c>
      <c r="T29" t="s">
        <v>52</v>
      </c>
      <c r="U29" t="s">
        <v>158</v>
      </c>
      <c r="V29">
        <v>43500</v>
      </c>
      <c r="W29" t="s">
        <v>43</v>
      </c>
      <c r="X29" t="s">
        <v>62</v>
      </c>
      <c r="Y29" t="s">
        <v>49</v>
      </c>
      <c r="Z29" s="12">
        <f>IF(N29&lt;=1,7,7+0.8*ROUNDUP(N29-1,0))</f>
        <v>7</v>
      </c>
      <c r="AA29" s="11">
        <v>0</v>
      </c>
      <c r="AB29" s="11">
        <v>0</v>
      </c>
      <c r="AC29" s="11">
        <v>0</v>
      </c>
      <c r="AD29" s="11">
        <v>0</v>
      </c>
      <c r="AE29" s="11">
        <f t="shared" si="0"/>
        <v>0.42</v>
      </c>
      <c r="AF29" s="11">
        <f t="shared" si="1"/>
        <v>7.42</v>
      </c>
      <c r="AG29" t="s">
        <v>43</v>
      </c>
    </row>
    <row r="30" spans="1:33" ht="15" customHeight="1" x14ac:dyDescent="0.35">
      <c r="A30">
        <v>690929</v>
      </c>
      <c r="B30" t="s">
        <v>33</v>
      </c>
      <c r="C30" t="s">
        <v>34</v>
      </c>
      <c r="D30" s="6" t="s">
        <v>33</v>
      </c>
      <c r="E30" t="s">
        <v>159</v>
      </c>
      <c r="F30" t="s">
        <v>36</v>
      </c>
      <c r="G30" t="s">
        <v>37</v>
      </c>
      <c r="H30" t="s">
        <v>160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45001.764166666668</v>
      </c>
      <c r="P30" s="9">
        <v>45006</v>
      </c>
      <c r="Q30" t="s">
        <v>36</v>
      </c>
      <c r="R30" t="s">
        <v>43</v>
      </c>
      <c r="S30" t="s">
        <v>74</v>
      </c>
      <c r="T30" t="s">
        <v>45</v>
      </c>
      <c r="U30" t="s">
        <v>161</v>
      </c>
      <c r="V30">
        <v>89808</v>
      </c>
      <c r="W30" t="s">
        <v>47</v>
      </c>
      <c r="X30" t="s">
        <v>162</v>
      </c>
      <c r="Y30" t="s">
        <v>49</v>
      </c>
      <c r="Z30" s="10">
        <f>IF(N30&lt;=1,13,IF(N30&lt;=2,23,IF(N30&lt;=3,35,IF(N30&lt;=4,43,IF(N30&lt;=5,53,IF(N30&lt;=6,63,IF(N30&lt;=7,71,IF(N30&lt;=8,79,IF(N30&lt;=9,87,IF(N30&lt;=10,95,IF(N30&lt;=11,105,IF(N30&lt;=12,114,IF(N30&lt;=13,119,IF(N30&lt;=14,127,IF(N30&lt;=15,135,IF(N30&lt;=16,143,IF(N30&lt;=17,153,IF(N30&lt;=18,163,IF(N30&lt;=19,171,IF(N30&lt;=20,185,IF(N30&lt;=21,193,IF(N30&lt;=22,201,IF(N30&lt;=23,210,IF(N30&lt;=24,220,IF(N30&lt;=25,230,IF(N30&lt;=26,240,IF(N30&lt;=27,250,IF(N30&lt;=28,260,IF(N30&lt;=29,270,IF(N30&lt;=30,280,280))))))))))))))))))))))))))))))</f>
        <v>13</v>
      </c>
      <c r="AA30" s="11">
        <v>0</v>
      </c>
      <c r="AB30" s="11">
        <v>0</v>
      </c>
      <c r="AC30" s="11">
        <v>0</v>
      </c>
      <c r="AD30" s="11">
        <v>0</v>
      </c>
      <c r="AE30" s="11">
        <f t="shared" si="0"/>
        <v>0.78</v>
      </c>
      <c r="AF30" s="11">
        <f t="shared" si="1"/>
        <v>13.78</v>
      </c>
      <c r="AG30" t="s">
        <v>47</v>
      </c>
    </row>
    <row r="31" spans="1:33" ht="15" customHeight="1" x14ac:dyDescent="0.35">
      <c r="A31">
        <v>690929</v>
      </c>
      <c r="B31" t="s">
        <v>33</v>
      </c>
      <c r="C31" t="s">
        <v>34</v>
      </c>
      <c r="D31" s="6" t="s">
        <v>33</v>
      </c>
      <c r="E31" t="s">
        <v>163</v>
      </c>
      <c r="F31" t="s">
        <v>36</v>
      </c>
      <c r="G31" t="s">
        <v>37</v>
      </c>
      <c r="H31" t="s">
        <v>164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2</v>
      </c>
      <c r="O31" s="8">
        <v>45001.764166666668</v>
      </c>
      <c r="P31" s="9">
        <v>45006</v>
      </c>
      <c r="Q31" t="s">
        <v>36</v>
      </c>
      <c r="R31" t="s">
        <v>43</v>
      </c>
      <c r="S31" t="s">
        <v>74</v>
      </c>
      <c r="T31" t="s">
        <v>45</v>
      </c>
      <c r="U31" t="s">
        <v>165</v>
      </c>
      <c r="V31">
        <v>89808</v>
      </c>
      <c r="W31" t="s">
        <v>47</v>
      </c>
      <c r="X31" t="s">
        <v>162</v>
      </c>
      <c r="Y31" t="s">
        <v>49</v>
      </c>
      <c r="Z31" s="10">
        <f>IF(N31&lt;=1,13,IF(N31&lt;=2,23,IF(N31&lt;=3,35,IF(N31&lt;=4,43,IF(N31&lt;=5,53,IF(N31&lt;=6,63,IF(N31&lt;=7,71,IF(N31&lt;=8,79,IF(N31&lt;=9,87,IF(N31&lt;=10,95,IF(N31&lt;=11,105,IF(N31&lt;=12,114,IF(N31&lt;=13,119,IF(N31&lt;=14,127,IF(N31&lt;=15,135,IF(N31&lt;=16,143,IF(N31&lt;=17,153,IF(N31&lt;=18,163,IF(N31&lt;=19,171,IF(N31&lt;=20,185,IF(N31&lt;=21,193,IF(N31&lt;=22,201,IF(N31&lt;=23,210,IF(N31&lt;=24,220,IF(N31&lt;=25,230,IF(N31&lt;=26,240,IF(N31&lt;=27,250,IF(N31&lt;=28,260,IF(N31&lt;=29,270,IF(N31&lt;=30,280,280))))))))))))))))))))))))))))))</f>
        <v>23</v>
      </c>
      <c r="AA31" s="11">
        <v>0</v>
      </c>
      <c r="AB31" s="11">
        <v>0</v>
      </c>
      <c r="AC31" s="11">
        <v>0</v>
      </c>
      <c r="AD31" s="11">
        <v>0</v>
      </c>
      <c r="AE31" s="11">
        <f t="shared" si="0"/>
        <v>1.38</v>
      </c>
      <c r="AF31" s="11">
        <f t="shared" si="1"/>
        <v>24.38</v>
      </c>
      <c r="AG31" t="s">
        <v>47</v>
      </c>
    </row>
    <row r="32" spans="1:33" ht="15" customHeight="1" x14ac:dyDescent="0.35">
      <c r="A32">
        <v>690929</v>
      </c>
      <c r="B32" t="s">
        <v>33</v>
      </c>
      <c r="C32" t="s">
        <v>34</v>
      </c>
      <c r="D32" s="6" t="s">
        <v>33</v>
      </c>
      <c r="E32" t="s">
        <v>166</v>
      </c>
      <c r="F32" t="s">
        <v>36</v>
      </c>
      <c r="G32" t="s">
        <v>37</v>
      </c>
      <c r="H32" t="s">
        <v>167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1</v>
      </c>
      <c r="O32" s="8">
        <v>45005.66170138889</v>
      </c>
      <c r="P32" s="9">
        <v>45006</v>
      </c>
      <c r="Q32" t="s">
        <v>36</v>
      </c>
      <c r="R32" t="s">
        <v>43</v>
      </c>
      <c r="S32" t="s">
        <v>44</v>
      </c>
      <c r="T32" t="s">
        <v>79</v>
      </c>
      <c r="U32" t="s">
        <v>168</v>
      </c>
      <c r="V32">
        <v>18300</v>
      </c>
      <c r="W32" t="s">
        <v>43</v>
      </c>
      <c r="X32" t="s">
        <v>44</v>
      </c>
      <c r="Y32" t="s">
        <v>49</v>
      </c>
      <c r="Z32" s="12">
        <f>IF(N32&lt;=1,7,7+0.8*ROUNDUP(N32-1,0))</f>
        <v>7</v>
      </c>
      <c r="AA32" s="11">
        <v>0</v>
      </c>
      <c r="AB32" s="11">
        <v>0</v>
      </c>
      <c r="AC32" s="11">
        <v>0</v>
      </c>
      <c r="AD32" s="11">
        <v>0</v>
      </c>
      <c r="AE32" s="11">
        <f t="shared" si="0"/>
        <v>0.42</v>
      </c>
      <c r="AF32" s="11">
        <f t="shared" si="1"/>
        <v>7.42</v>
      </c>
      <c r="AG32" t="s">
        <v>43</v>
      </c>
    </row>
    <row r="33" spans="1:33" ht="15" customHeight="1" x14ac:dyDescent="0.35">
      <c r="A33">
        <v>690929</v>
      </c>
      <c r="B33" t="s">
        <v>33</v>
      </c>
      <c r="C33" t="s">
        <v>34</v>
      </c>
      <c r="D33" s="6" t="s">
        <v>33</v>
      </c>
      <c r="E33" t="s">
        <v>169</v>
      </c>
      <c r="F33" t="s">
        <v>36</v>
      </c>
      <c r="G33" t="s">
        <v>37</v>
      </c>
      <c r="H33" t="s">
        <v>170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4</v>
      </c>
      <c r="O33" s="8">
        <v>45004.416342592594</v>
      </c>
      <c r="P33" s="9">
        <v>45006</v>
      </c>
      <c r="Q33" t="s">
        <v>36</v>
      </c>
      <c r="R33" t="s">
        <v>43</v>
      </c>
      <c r="S33" t="s">
        <v>44</v>
      </c>
      <c r="T33" t="s">
        <v>104</v>
      </c>
      <c r="U33" t="s">
        <v>171</v>
      </c>
      <c r="V33">
        <v>81310</v>
      </c>
      <c r="W33" t="s">
        <v>43</v>
      </c>
      <c r="X33" t="s">
        <v>114</v>
      </c>
      <c r="Y33" t="s">
        <v>49</v>
      </c>
      <c r="Z33" s="12">
        <f>IF(N33&lt;=1,7,7+0.8*ROUNDUP(N33-1,0))</f>
        <v>9.4</v>
      </c>
      <c r="AA33" s="11">
        <v>0</v>
      </c>
      <c r="AB33" s="11">
        <v>0</v>
      </c>
      <c r="AC33" s="11">
        <v>0</v>
      </c>
      <c r="AD33" s="11">
        <v>0</v>
      </c>
      <c r="AE33" s="11">
        <f t="shared" si="0"/>
        <v>0.56399999999999995</v>
      </c>
      <c r="AF33" s="11">
        <f t="shared" si="1"/>
        <v>9.9640000000000004</v>
      </c>
      <c r="AG33" t="s">
        <v>43</v>
      </c>
    </row>
    <row r="34" spans="1:33" ht="15" customHeight="1" x14ac:dyDescent="0.35">
      <c r="A34">
        <v>690929</v>
      </c>
      <c r="B34" t="s">
        <v>33</v>
      </c>
      <c r="C34" t="s">
        <v>34</v>
      </c>
      <c r="D34" s="6" t="s">
        <v>33</v>
      </c>
      <c r="E34" t="s">
        <v>172</v>
      </c>
      <c r="F34" t="s">
        <v>36</v>
      </c>
      <c r="G34" t="s">
        <v>37</v>
      </c>
      <c r="H34" t="s">
        <v>170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9</v>
      </c>
      <c r="O34" s="8">
        <v>45004.417268518519</v>
      </c>
      <c r="P34" s="9">
        <v>45006</v>
      </c>
      <c r="Q34" t="s">
        <v>36</v>
      </c>
      <c r="R34" t="s">
        <v>43</v>
      </c>
      <c r="S34" t="s">
        <v>44</v>
      </c>
      <c r="T34" t="s">
        <v>104</v>
      </c>
      <c r="U34" t="s">
        <v>171</v>
      </c>
      <c r="V34">
        <v>81310</v>
      </c>
      <c r="W34" t="s">
        <v>43</v>
      </c>
      <c r="X34" t="s">
        <v>114</v>
      </c>
      <c r="Y34" t="s">
        <v>49</v>
      </c>
      <c r="Z34" s="12">
        <f>IF(N34&lt;=1,7,7+0.8*ROUNDUP(N34-1,0))</f>
        <v>13.4</v>
      </c>
      <c r="AA34" s="11">
        <v>0</v>
      </c>
      <c r="AB34" s="11">
        <v>0</v>
      </c>
      <c r="AC34" s="11">
        <v>0</v>
      </c>
      <c r="AD34" s="11">
        <v>0</v>
      </c>
      <c r="AE34" s="11">
        <f t="shared" si="0"/>
        <v>0.80399999999999994</v>
      </c>
      <c r="AF34" s="11">
        <f t="shared" si="1"/>
        <v>14.204000000000001</v>
      </c>
      <c r="AG34" t="s">
        <v>43</v>
      </c>
    </row>
    <row r="35" spans="1:33" ht="15" customHeight="1" x14ac:dyDescent="0.35">
      <c r="A35">
        <v>690929</v>
      </c>
      <c r="B35" t="s">
        <v>33</v>
      </c>
      <c r="C35" t="s">
        <v>34</v>
      </c>
      <c r="D35" s="6" t="s">
        <v>33</v>
      </c>
      <c r="E35" t="s">
        <v>173</v>
      </c>
      <c r="F35" t="s">
        <v>36</v>
      </c>
      <c r="G35" t="s">
        <v>37</v>
      </c>
      <c r="H35" t="s">
        <v>174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1</v>
      </c>
      <c r="O35" s="8">
        <v>45004.759351851855</v>
      </c>
      <c r="P35" s="9">
        <v>45006</v>
      </c>
      <c r="Q35" t="s">
        <v>36</v>
      </c>
      <c r="R35" t="s">
        <v>43</v>
      </c>
      <c r="S35" t="s">
        <v>44</v>
      </c>
      <c r="T35" t="s">
        <v>79</v>
      </c>
      <c r="U35" t="s">
        <v>175</v>
      </c>
      <c r="V35">
        <v>18000</v>
      </c>
      <c r="W35" t="s">
        <v>43</v>
      </c>
      <c r="X35" t="s">
        <v>44</v>
      </c>
      <c r="Y35" t="s">
        <v>49</v>
      </c>
      <c r="Z35" s="12">
        <f>IF(N35&lt;=1,7,7+0.8*ROUNDUP(N35-1,0))</f>
        <v>7</v>
      </c>
      <c r="AA35" s="11">
        <v>0</v>
      </c>
      <c r="AB35" s="11">
        <v>0</v>
      </c>
      <c r="AC35" s="11">
        <v>0</v>
      </c>
      <c r="AD35" s="11">
        <v>0</v>
      </c>
      <c r="AE35" s="11">
        <f t="shared" si="0"/>
        <v>0.42</v>
      </c>
      <c r="AF35" s="11">
        <f t="shared" si="1"/>
        <v>7.42</v>
      </c>
      <c r="AG35" t="s">
        <v>43</v>
      </c>
    </row>
    <row r="36" spans="1:33" ht="15" customHeight="1" x14ac:dyDescent="0.35">
      <c r="A36">
        <v>690929</v>
      </c>
      <c r="B36" t="s">
        <v>33</v>
      </c>
      <c r="C36" t="s">
        <v>34</v>
      </c>
      <c r="D36" s="6" t="s">
        <v>33</v>
      </c>
      <c r="E36" t="s">
        <v>176</v>
      </c>
      <c r="F36" t="s">
        <v>36</v>
      </c>
      <c r="G36" t="s">
        <v>37</v>
      </c>
      <c r="H36" t="s">
        <v>177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13</v>
      </c>
      <c r="O36" s="8">
        <v>45005.669490740744</v>
      </c>
      <c r="P36" s="9">
        <v>45006</v>
      </c>
      <c r="Q36" t="s">
        <v>36</v>
      </c>
      <c r="R36" t="s">
        <v>43</v>
      </c>
      <c r="S36" t="s">
        <v>44</v>
      </c>
      <c r="T36" t="s">
        <v>178</v>
      </c>
      <c r="U36" t="s">
        <v>179</v>
      </c>
      <c r="V36">
        <v>54200</v>
      </c>
      <c r="W36" t="s">
        <v>43</v>
      </c>
      <c r="X36" t="s">
        <v>134</v>
      </c>
      <c r="Y36" t="s">
        <v>49</v>
      </c>
      <c r="Z36" s="12">
        <f>IF(N36&lt;=1,7,7+0.8*ROUNDUP(N36-1,0))</f>
        <v>16.600000000000001</v>
      </c>
      <c r="AA36" s="11">
        <v>0</v>
      </c>
      <c r="AB36" s="11">
        <v>0</v>
      </c>
      <c r="AC36" s="11">
        <v>0</v>
      </c>
      <c r="AD36" s="11">
        <v>0</v>
      </c>
      <c r="AE36" s="11">
        <f t="shared" si="0"/>
        <v>0.996</v>
      </c>
      <c r="AF36" s="11">
        <f t="shared" si="1"/>
        <v>17.596</v>
      </c>
      <c r="AG36" t="s">
        <v>43</v>
      </c>
    </row>
    <row r="37" spans="1:33" ht="15" customHeight="1" x14ac:dyDescent="0.35">
      <c r="A37">
        <v>690929</v>
      </c>
      <c r="B37" t="s">
        <v>33</v>
      </c>
      <c r="C37" t="s">
        <v>34</v>
      </c>
      <c r="D37" s="6" t="s">
        <v>33</v>
      </c>
      <c r="E37" t="s">
        <v>180</v>
      </c>
      <c r="F37" t="s">
        <v>36</v>
      </c>
      <c r="G37" t="s">
        <v>37</v>
      </c>
      <c r="H37" t="s">
        <v>170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10</v>
      </c>
      <c r="O37" s="8">
        <v>45004.415127314816</v>
      </c>
      <c r="P37" s="9">
        <v>45006</v>
      </c>
      <c r="Q37" t="s">
        <v>36</v>
      </c>
      <c r="R37" t="s">
        <v>43</v>
      </c>
      <c r="S37" t="s">
        <v>44</v>
      </c>
      <c r="T37" t="s">
        <v>104</v>
      </c>
      <c r="U37" t="s">
        <v>171</v>
      </c>
      <c r="V37">
        <v>81310</v>
      </c>
      <c r="W37" t="s">
        <v>43</v>
      </c>
      <c r="X37" t="s">
        <v>114</v>
      </c>
      <c r="Y37" t="s">
        <v>49</v>
      </c>
      <c r="Z37" s="12">
        <f>IF(N37&lt;=1,7,7+0.8*ROUNDUP(N37-1,0))</f>
        <v>14.2</v>
      </c>
      <c r="AA37" s="11">
        <v>0</v>
      </c>
      <c r="AB37" s="11">
        <v>0</v>
      </c>
      <c r="AC37" s="11">
        <v>0</v>
      </c>
      <c r="AD37" s="11">
        <v>0</v>
      </c>
      <c r="AE37" s="11">
        <f t="shared" si="0"/>
        <v>0.85199999999999998</v>
      </c>
      <c r="AF37" s="11">
        <f t="shared" si="1"/>
        <v>15.052</v>
      </c>
      <c r="AG37" t="s">
        <v>43</v>
      </c>
    </row>
    <row r="38" spans="1:33" ht="15" customHeight="1" x14ac:dyDescent="0.35">
      <c r="A38">
        <v>690929</v>
      </c>
      <c r="B38" t="s">
        <v>33</v>
      </c>
      <c r="C38" t="s">
        <v>34</v>
      </c>
      <c r="D38" s="6" t="s">
        <v>33</v>
      </c>
      <c r="E38" t="s">
        <v>181</v>
      </c>
      <c r="F38" t="s">
        <v>36</v>
      </c>
      <c r="G38" t="s">
        <v>37</v>
      </c>
      <c r="H38" t="s">
        <v>182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1</v>
      </c>
      <c r="O38" s="8">
        <v>45004.545243055552</v>
      </c>
      <c r="P38" s="9">
        <v>45006</v>
      </c>
      <c r="Q38" t="s">
        <v>36</v>
      </c>
      <c r="R38" t="s">
        <v>43</v>
      </c>
      <c r="S38" t="s">
        <v>44</v>
      </c>
      <c r="T38" t="s">
        <v>183</v>
      </c>
      <c r="U38" t="s">
        <v>184</v>
      </c>
      <c r="V38">
        <v>75450</v>
      </c>
      <c r="W38" t="s">
        <v>43</v>
      </c>
      <c r="X38" t="s">
        <v>62</v>
      </c>
      <c r="Y38" t="s">
        <v>49</v>
      </c>
      <c r="Z38" s="12">
        <f>IF(N38&lt;=1,7,7+0.8*ROUNDUP(N38-1,0))</f>
        <v>7</v>
      </c>
      <c r="AA38" s="11">
        <v>0</v>
      </c>
      <c r="AB38" s="11">
        <v>0</v>
      </c>
      <c r="AC38" s="11">
        <v>0</v>
      </c>
      <c r="AD38" s="11">
        <v>0</v>
      </c>
      <c r="AE38" s="11">
        <f t="shared" si="0"/>
        <v>0.42</v>
      </c>
      <c r="AF38" s="11">
        <f t="shared" si="1"/>
        <v>7.42</v>
      </c>
      <c r="AG38" t="s">
        <v>43</v>
      </c>
    </row>
    <row r="39" spans="1:33" ht="15" customHeight="1" x14ac:dyDescent="0.35">
      <c r="A39">
        <v>690929</v>
      </c>
      <c r="B39" t="s">
        <v>33</v>
      </c>
      <c r="C39" t="s">
        <v>34</v>
      </c>
      <c r="D39" s="6" t="s">
        <v>33</v>
      </c>
      <c r="E39" t="s">
        <v>185</v>
      </c>
      <c r="F39" t="s">
        <v>36</v>
      </c>
      <c r="G39" t="s">
        <v>37</v>
      </c>
      <c r="H39" t="s">
        <v>186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4</v>
      </c>
      <c r="O39" s="8">
        <v>45005.567523148151</v>
      </c>
      <c r="P39" s="9">
        <v>45006</v>
      </c>
      <c r="Q39" t="s">
        <v>36</v>
      </c>
      <c r="R39" t="s">
        <v>43</v>
      </c>
      <c r="S39" t="s">
        <v>44</v>
      </c>
      <c r="T39" t="s">
        <v>65</v>
      </c>
      <c r="U39" t="s">
        <v>187</v>
      </c>
      <c r="V39">
        <v>69000</v>
      </c>
      <c r="W39" t="s">
        <v>43</v>
      </c>
      <c r="X39" t="s">
        <v>188</v>
      </c>
      <c r="Y39" t="s">
        <v>49</v>
      </c>
      <c r="Z39" s="12">
        <f>IF(N39&lt;=1,7,7+0.8*ROUNDUP(N39-1,0))</f>
        <v>9.4</v>
      </c>
      <c r="AA39" s="11">
        <v>0</v>
      </c>
      <c r="AB39" s="11">
        <v>0</v>
      </c>
      <c r="AC39" s="11">
        <v>0</v>
      </c>
      <c r="AD39" s="11">
        <v>0</v>
      </c>
      <c r="AE39" s="11">
        <f t="shared" si="0"/>
        <v>0.56399999999999995</v>
      </c>
      <c r="AF39" s="11">
        <f t="shared" si="1"/>
        <v>9.9640000000000004</v>
      </c>
      <c r="AG39" t="s">
        <v>43</v>
      </c>
    </row>
    <row r="40" spans="1:33" ht="15" customHeight="1" x14ac:dyDescent="0.35">
      <c r="A40">
        <v>690929</v>
      </c>
      <c r="B40" t="s">
        <v>33</v>
      </c>
      <c r="C40" t="s">
        <v>34</v>
      </c>
      <c r="D40" s="6" t="s">
        <v>33</v>
      </c>
      <c r="E40" t="s">
        <v>189</v>
      </c>
      <c r="F40" t="s">
        <v>36</v>
      </c>
      <c r="G40" t="s">
        <v>37</v>
      </c>
      <c r="H40" t="s">
        <v>190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12</v>
      </c>
      <c r="O40" s="8">
        <v>45004.631979166668</v>
      </c>
      <c r="P40" s="9">
        <v>45006</v>
      </c>
      <c r="Q40" t="s">
        <v>36</v>
      </c>
      <c r="R40" t="s">
        <v>43</v>
      </c>
      <c r="S40" t="s">
        <v>44</v>
      </c>
      <c r="T40" t="s">
        <v>149</v>
      </c>
      <c r="U40" t="s">
        <v>191</v>
      </c>
      <c r="V40">
        <v>9300</v>
      </c>
      <c r="W40" t="s">
        <v>43</v>
      </c>
      <c r="X40" t="s">
        <v>192</v>
      </c>
      <c r="Y40" t="s">
        <v>49</v>
      </c>
      <c r="Z40" s="12">
        <f>IF(N40&lt;=1,7,7+0.8*ROUNDUP(N40-1,0))</f>
        <v>15.8</v>
      </c>
      <c r="AA40" s="11">
        <v>0</v>
      </c>
      <c r="AB40" s="11">
        <v>0</v>
      </c>
      <c r="AC40" s="11">
        <v>0</v>
      </c>
      <c r="AD40" s="11">
        <v>0</v>
      </c>
      <c r="AE40" s="11">
        <f t="shared" si="0"/>
        <v>0.94799999999999995</v>
      </c>
      <c r="AF40" s="11">
        <f t="shared" si="1"/>
        <v>16.748000000000001</v>
      </c>
      <c r="AG40" t="s">
        <v>43</v>
      </c>
    </row>
    <row r="41" spans="1:33" ht="15" customHeight="1" x14ac:dyDescent="0.35">
      <c r="A41">
        <v>690929</v>
      </c>
      <c r="B41" t="s">
        <v>33</v>
      </c>
      <c r="C41" t="s">
        <v>34</v>
      </c>
      <c r="D41" s="6" t="s">
        <v>33</v>
      </c>
      <c r="E41" t="s">
        <v>193</v>
      </c>
      <c r="F41" t="s">
        <v>36</v>
      </c>
      <c r="G41" t="s">
        <v>37</v>
      </c>
      <c r="H41" t="s">
        <v>194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9</v>
      </c>
      <c r="O41" s="8">
        <v>45005.669490740744</v>
      </c>
      <c r="P41" s="9">
        <v>45007</v>
      </c>
      <c r="Q41" t="s">
        <v>36</v>
      </c>
      <c r="R41" t="s">
        <v>43</v>
      </c>
      <c r="S41" t="s">
        <v>44</v>
      </c>
      <c r="T41" t="s">
        <v>52</v>
      </c>
      <c r="U41" t="s">
        <v>195</v>
      </c>
      <c r="V41">
        <v>40150</v>
      </c>
      <c r="W41" t="s">
        <v>43</v>
      </c>
      <c r="X41" t="s">
        <v>196</v>
      </c>
      <c r="Y41" t="s">
        <v>49</v>
      </c>
      <c r="Z41" s="12">
        <f>IF(N41&lt;=1,7,7+0.8*ROUNDUP(N41-1,0))</f>
        <v>13.4</v>
      </c>
      <c r="AA41" s="11">
        <v>0</v>
      </c>
      <c r="AB41" s="11">
        <v>0</v>
      </c>
      <c r="AC41" s="11">
        <v>0</v>
      </c>
      <c r="AD41" s="11">
        <v>0</v>
      </c>
      <c r="AE41" s="11">
        <f t="shared" si="0"/>
        <v>0.80399999999999994</v>
      </c>
      <c r="AF41" s="11">
        <f t="shared" si="1"/>
        <v>14.204000000000001</v>
      </c>
      <c r="AG41" t="s">
        <v>43</v>
      </c>
    </row>
    <row r="42" spans="1:33" ht="15" customHeight="1" x14ac:dyDescent="0.35">
      <c r="A42">
        <v>690929</v>
      </c>
      <c r="B42" t="s">
        <v>33</v>
      </c>
      <c r="C42" t="s">
        <v>34</v>
      </c>
      <c r="D42" s="6" t="s">
        <v>33</v>
      </c>
      <c r="E42" t="s">
        <v>197</v>
      </c>
      <c r="F42" t="s">
        <v>36</v>
      </c>
      <c r="G42" t="s">
        <v>37</v>
      </c>
      <c r="H42" t="s">
        <v>198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1</v>
      </c>
      <c r="O42" s="8">
        <v>45006.559513888889</v>
      </c>
      <c r="P42" s="9">
        <v>45007</v>
      </c>
      <c r="Q42" t="s">
        <v>36</v>
      </c>
      <c r="R42" t="s">
        <v>43</v>
      </c>
      <c r="S42" t="s">
        <v>44</v>
      </c>
      <c r="T42" t="s">
        <v>178</v>
      </c>
      <c r="U42" t="s">
        <v>199</v>
      </c>
      <c r="V42">
        <v>50480</v>
      </c>
      <c r="W42" t="s">
        <v>43</v>
      </c>
      <c r="X42" t="s">
        <v>200</v>
      </c>
      <c r="Y42" t="s">
        <v>49</v>
      </c>
      <c r="Z42" s="12">
        <f>IF(N42&lt;=1,7,7+0.8*ROUNDUP(N42-1,0))</f>
        <v>7</v>
      </c>
      <c r="AA42" s="11">
        <v>0</v>
      </c>
      <c r="AB42" s="11">
        <v>0</v>
      </c>
      <c r="AC42" s="11">
        <v>0</v>
      </c>
      <c r="AD42" s="11">
        <v>0</v>
      </c>
      <c r="AE42" s="11">
        <f t="shared" si="0"/>
        <v>0.42</v>
      </c>
      <c r="AF42" s="11">
        <f t="shared" si="1"/>
        <v>7.42</v>
      </c>
      <c r="AG42" t="s">
        <v>43</v>
      </c>
    </row>
    <row r="43" spans="1:33" ht="15" customHeight="1" x14ac:dyDescent="0.35">
      <c r="A43">
        <v>690929</v>
      </c>
      <c r="B43" t="s">
        <v>33</v>
      </c>
      <c r="C43" t="s">
        <v>34</v>
      </c>
      <c r="D43" s="6" t="s">
        <v>33</v>
      </c>
      <c r="E43" t="s">
        <v>201</v>
      </c>
      <c r="F43" t="s">
        <v>36</v>
      </c>
      <c r="G43" t="s">
        <v>37</v>
      </c>
      <c r="H43" t="s">
        <v>202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8</v>
      </c>
      <c r="O43" s="8">
        <v>45005.769166666665</v>
      </c>
      <c r="P43" s="9">
        <v>45007</v>
      </c>
      <c r="Q43" t="s">
        <v>36</v>
      </c>
      <c r="R43" t="s">
        <v>43</v>
      </c>
      <c r="S43" t="s">
        <v>44</v>
      </c>
      <c r="T43" t="s">
        <v>52</v>
      </c>
      <c r="U43" t="s">
        <v>203</v>
      </c>
      <c r="V43">
        <v>43000</v>
      </c>
      <c r="W43" t="s">
        <v>43</v>
      </c>
      <c r="X43" t="s">
        <v>204</v>
      </c>
      <c r="Y43" t="s">
        <v>49</v>
      </c>
      <c r="Z43" s="12">
        <f>IF(N43&lt;=1,7,7+0.8*ROUNDUP(N43-1,0))</f>
        <v>12.600000000000001</v>
      </c>
      <c r="AA43" s="11">
        <v>0</v>
      </c>
      <c r="AB43" s="11">
        <v>0</v>
      </c>
      <c r="AC43" s="11">
        <v>0</v>
      </c>
      <c r="AD43" s="11">
        <v>0</v>
      </c>
      <c r="AE43" s="11">
        <f t="shared" si="0"/>
        <v>0.75600000000000001</v>
      </c>
      <c r="AF43" s="11">
        <f t="shared" si="1"/>
        <v>13.356000000000002</v>
      </c>
      <c r="AG43" t="s">
        <v>43</v>
      </c>
    </row>
    <row r="44" spans="1:33" ht="15" customHeight="1" x14ac:dyDescent="0.35">
      <c r="A44">
        <v>690929</v>
      </c>
      <c r="B44" t="s">
        <v>33</v>
      </c>
      <c r="C44" t="s">
        <v>34</v>
      </c>
      <c r="D44" s="6" t="s">
        <v>33</v>
      </c>
      <c r="E44" t="s">
        <v>205</v>
      </c>
      <c r="F44" t="s">
        <v>36</v>
      </c>
      <c r="G44" t="s">
        <v>37</v>
      </c>
      <c r="H44" t="s">
        <v>206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1</v>
      </c>
      <c r="O44" s="8">
        <v>45005.716203703705</v>
      </c>
      <c r="P44" s="9">
        <v>45007</v>
      </c>
      <c r="Q44" t="s">
        <v>36</v>
      </c>
      <c r="R44" t="s">
        <v>43</v>
      </c>
      <c r="S44" t="s">
        <v>44</v>
      </c>
      <c r="T44" t="s">
        <v>52</v>
      </c>
      <c r="U44" t="s">
        <v>207</v>
      </c>
      <c r="V44">
        <v>48300</v>
      </c>
      <c r="W44" t="s">
        <v>43</v>
      </c>
      <c r="X44" t="s">
        <v>62</v>
      </c>
      <c r="Y44" t="s">
        <v>49</v>
      </c>
      <c r="Z44" s="12">
        <f>IF(N44&lt;=1,7,7+0.8*ROUNDUP(N44-1,0))</f>
        <v>7</v>
      </c>
      <c r="AA44" s="11">
        <v>0</v>
      </c>
      <c r="AB44" s="11">
        <v>0</v>
      </c>
      <c r="AC44" s="11">
        <v>0</v>
      </c>
      <c r="AD44" s="11">
        <v>0</v>
      </c>
      <c r="AE44" s="11">
        <f t="shared" si="0"/>
        <v>0.42</v>
      </c>
      <c r="AF44" s="11">
        <f t="shared" si="1"/>
        <v>7.42</v>
      </c>
      <c r="AG44" t="s">
        <v>43</v>
      </c>
    </row>
    <row r="45" spans="1:33" ht="15" customHeight="1" x14ac:dyDescent="0.35">
      <c r="A45">
        <v>690929</v>
      </c>
      <c r="B45" t="s">
        <v>33</v>
      </c>
      <c r="C45" t="s">
        <v>34</v>
      </c>
      <c r="D45" s="6" t="s">
        <v>33</v>
      </c>
      <c r="E45" t="s">
        <v>208</v>
      </c>
      <c r="F45" t="s">
        <v>36</v>
      </c>
      <c r="G45" t="s">
        <v>37</v>
      </c>
      <c r="H45" t="s">
        <v>209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1</v>
      </c>
      <c r="O45" s="8">
        <v>45005.669502314813</v>
      </c>
      <c r="P45" s="9">
        <v>45007</v>
      </c>
      <c r="Q45" t="s">
        <v>36</v>
      </c>
      <c r="R45" t="s">
        <v>43</v>
      </c>
      <c r="S45" t="s">
        <v>44</v>
      </c>
      <c r="T45" t="s">
        <v>104</v>
      </c>
      <c r="U45" t="s">
        <v>210</v>
      </c>
      <c r="V45">
        <v>83010</v>
      </c>
      <c r="W45" t="s">
        <v>43</v>
      </c>
      <c r="X45" t="s">
        <v>62</v>
      </c>
      <c r="Y45" t="s">
        <v>49</v>
      </c>
      <c r="Z45" s="12">
        <f>IF(N45&lt;=1,7,7+0.8*ROUNDUP(N45-1,0))</f>
        <v>7</v>
      </c>
      <c r="AA45" s="11">
        <v>0</v>
      </c>
      <c r="AB45" s="11">
        <v>0</v>
      </c>
      <c r="AC45" s="11">
        <v>0</v>
      </c>
      <c r="AD45" s="11">
        <v>0</v>
      </c>
      <c r="AE45" s="11">
        <f t="shared" si="0"/>
        <v>0.42</v>
      </c>
      <c r="AF45" s="11">
        <f t="shared" si="1"/>
        <v>7.42</v>
      </c>
      <c r="AG45" t="s">
        <v>43</v>
      </c>
    </row>
    <row r="46" spans="1:33" ht="15" customHeight="1" x14ac:dyDescent="0.35">
      <c r="A46">
        <v>690929</v>
      </c>
      <c r="B46" t="s">
        <v>33</v>
      </c>
      <c r="C46" t="s">
        <v>34</v>
      </c>
      <c r="D46" s="6" t="s">
        <v>33</v>
      </c>
      <c r="E46" t="s">
        <v>211</v>
      </c>
      <c r="F46" t="s">
        <v>36</v>
      </c>
      <c r="G46" t="s">
        <v>37</v>
      </c>
      <c r="H46" t="s">
        <v>212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3</v>
      </c>
      <c r="O46" s="8">
        <v>45005.716203703705</v>
      </c>
      <c r="P46" s="9">
        <v>45007</v>
      </c>
      <c r="Q46" t="s">
        <v>36</v>
      </c>
      <c r="R46" t="s">
        <v>43</v>
      </c>
      <c r="S46" t="s">
        <v>44</v>
      </c>
      <c r="T46" t="s">
        <v>92</v>
      </c>
      <c r="U46" t="s">
        <v>213</v>
      </c>
      <c r="V46">
        <v>21300</v>
      </c>
      <c r="W46" t="s">
        <v>43</v>
      </c>
      <c r="X46" t="s">
        <v>214</v>
      </c>
      <c r="Y46" t="s">
        <v>49</v>
      </c>
      <c r="Z46" s="12">
        <f>IF(N46&lt;=1,7,7+0.8*ROUNDUP(N46-1,0))</f>
        <v>8.6</v>
      </c>
      <c r="AA46" s="11">
        <v>0</v>
      </c>
      <c r="AB46" s="11">
        <v>0</v>
      </c>
      <c r="AC46" s="11">
        <v>0</v>
      </c>
      <c r="AD46" s="11">
        <v>0</v>
      </c>
      <c r="AE46" s="11">
        <f t="shared" si="0"/>
        <v>0.51600000000000001</v>
      </c>
      <c r="AF46" s="11">
        <f t="shared" si="1"/>
        <v>9.1159999999999997</v>
      </c>
      <c r="AG46" t="s">
        <v>43</v>
      </c>
    </row>
    <row r="47" spans="1:33" ht="15" customHeight="1" x14ac:dyDescent="0.35">
      <c r="A47">
        <v>690929</v>
      </c>
      <c r="B47" t="s">
        <v>33</v>
      </c>
      <c r="C47" t="s">
        <v>34</v>
      </c>
      <c r="D47" s="6" t="s">
        <v>33</v>
      </c>
      <c r="E47" t="s">
        <v>215</v>
      </c>
      <c r="F47" t="s">
        <v>36</v>
      </c>
      <c r="G47" t="s">
        <v>37</v>
      </c>
      <c r="H47" t="s">
        <v>216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3</v>
      </c>
      <c r="O47" s="8">
        <v>45001.608229166668</v>
      </c>
      <c r="P47" s="9">
        <v>45008</v>
      </c>
      <c r="Q47" t="s">
        <v>36</v>
      </c>
      <c r="R47" t="s">
        <v>43</v>
      </c>
      <c r="S47" t="s">
        <v>44</v>
      </c>
      <c r="T47" t="s">
        <v>217</v>
      </c>
      <c r="U47" t="s">
        <v>218</v>
      </c>
      <c r="V47">
        <v>94300</v>
      </c>
      <c r="W47" t="s">
        <v>47</v>
      </c>
      <c r="X47" t="s">
        <v>62</v>
      </c>
      <c r="Y47" t="s">
        <v>49</v>
      </c>
      <c r="Z47" s="10">
        <f>IF(N47&lt;=1,13,IF(N47&lt;=2,23,IF(N47&lt;=3,35,IF(N47&lt;=4,43,IF(N47&lt;=5,53,IF(N47&lt;=6,63,IF(N47&lt;=7,71,IF(N47&lt;=8,79,IF(N47&lt;=9,87,IF(N47&lt;=10,95,IF(N47&lt;=11,105,IF(N47&lt;=12,114,IF(N47&lt;=13,119,IF(N47&lt;=14,127,IF(N47&lt;=15,135,IF(N47&lt;=16,143,IF(N47&lt;=17,153,IF(N47&lt;=18,163,IF(N47&lt;=19,171,IF(N47&lt;=20,185,IF(N47&lt;=21,193,IF(N47&lt;=22,201,IF(N47&lt;=23,210,IF(N47&lt;=24,220,IF(N47&lt;=25,230,IF(N47&lt;=26,240,IF(N47&lt;=27,250,IF(N47&lt;=28,260,IF(N47&lt;=29,270,IF(N47&lt;=30,280,280))))))))))))))))))))))))))))))</f>
        <v>35</v>
      </c>
      <c r="AA47" s="11">
        <v>0</v>
      </c>
      <c r="AB47" s="11">
        <v>0</v>
      </c>
      <c r="AC47" s="11">
        <v>0</v>
      </c>
      <c r="AD47" s="11">
        <v>0</v>
      </c>
      <c r="AE47" s="11">
        <f t="shared" si="0"/>
        <v>2.1</v>
      </c>
      <c r="AF47" s="11">
        <f t="shared" si="1"/>
        <v>37.1</v>
      </c>
      <c r="AG47" t="s">
        <v>47</v>
      </c>
    </row>
    <row r="48" spans="1:33" ht="15" customHeight="1" x14ac:dyDescent="0.35">
      <c r="A48">
        <v>690929</v>
      </c>
      <c r="B48" t="s">
        <v>33</v>
      </c>
      <c r="C48" t="s">
        <v>34</v>
      </c>
      <c r="D48" s="6" t="s">
        <v>33</v>
      </c>
      <c r="E48" t="s">
        <v>219</v>
      </c>
      <c r="F48" t="s">
        <v>36</v>
      </c>
      <c r="G48" t="s">
        <v>37</v>
      </c>
      <c r="H48" t="s">
        <v>220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1</v>
      </c>
      <c r="O48" s="8">
        <v>45004.759340277778</v>
      </c>
      <c r="P48" s="9">
        <v>45008</v>
      </c>
      <c r="Q48" t="s">
        <v>36</v>
      </c>
      <c r="R48" t="s">
        <v>43</v>
      </c>
      <c r="S48" t="s">
        <v>44</v>
      </c>
      <c r="T48" t="s">
        <v>45</v>
      </c>
      <c r="U48" t="s">
        <v>221</v>
      </c>
      <c r="V48">
        <v>89808</v>
      </c>
      <c r="W48" t="s">
        <v>47</v>
      </c>
      <c r="X48" t="s">
        <v>162</v>
      </c>
      <c r="Y48" t="s">
        <v>49</v>
      </c>
      <c r="Z48" s="10">
        <f>IF(N48&lt;=1,13,IF(N48&lt;=2,23,IF(N48&lt;=3,35,IF(N48&lt;=4,43,IF(N48&lt;=5,53,IF(N48&lt;=6,63,IF(N48&lt;=7,71,IF(N48&lt;=8,79,IF(N48&lt;=9,87,IF(N48&lt;=10,95,IF(N48&lt;=11,105,IF(N48&lt;=12,114,IF(N48&lt;=13,119,IF(N48&lt;=14,127,IF(N48&lt;=15,135,IF(N48&lt;=16,143,IF(N48&lt;=17,153,IF(N48&lt;=18,163,IF(N48&lt;=19,171,IF(N48&lt;=20,185,IF(N48&lt;=21,193,IF(N48&lt;=22,201,IF(N48&lt;=23,210,IF(N48&lt;=24,220,IF(N48&lt;=25,230,IF(N48&lt;=26,240,IF(N48&lt;=27,250,IF(N48&lt;=28,260,IF(N48&lt;=29,270,IF(N48&lt;=30,280,280))))))))))))))))))))))))))))))</f>
        <v>13</v>
      </c>
      <c r="AA48" s="11">
        <v>0</v>
      </c>
      <c r="AB48" s="11">
        <v>0</v>
      </c>
      <c r="AC48" s="11">
        <v>0</v>
      </c>
      <c r="AD48" s="11">
        <v>0</v>
      </c>
      <c r="AE48" s="11">
        <f t="shared" si="0"/>
        <v>0.78</v>
      </c>
      <c r="AF48" s="11">
        <f t="shared" si="1"/>
        <v>13.78</v>
      </c>
      <c r="AG48" t="s">
        <v>47</v>
      </c>
    </row>
    <row r="49" spans="1:33" ht="15" customHeight="1" x14ac:dyDescent="0.35">
      <c r="A49">
        <v>690929</v>
      </c>
      <c r="B49" t="s">
        <v>33</v>
      </c>
      <c r="C49" t="s">
        <v>34</v>
      </c>
      <c r="D49" s="6" t="s">
        <v>33</v>
      </c>
      <c r="E49" t="s">
        <v>222</v>
      </c>
      <c r="F49" t="s">
        <v>36</v>
      </c>
      <c r="G49" t="s">
        <v>37</v>
      </c>
      <c r="H49" t="s">
        <v>216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1</v>
      </c>
      <c r="O49" s="8">
        <v>45001.608229166668</v>
      </c>
      <c r="P49" s="9">
        <v>45008</v>
      </c>
      <c r="Q49" t="s">
        <v>36</v>
      </c>
      <c r="R49" t="s">
        <v>43</v>
      </c>
      <c r="S49" t="s">
        <v>44</v>
      </c>
      <c r="T49" t="s">
        <v>217</v>
      </c>
      <c r="U49" t="s">
        <v>218</v>
      </c>
      <c r="V49">
        <v>94300</v>
      </c>
      <c r="W49" t="s">
        <v>47</v>
      </c>
      <c r="X49" t="s">
        <v>62</v>
      </c>
      <c r="Y49" t="s">
        <v>49</v>
      </c>
      <c r="Z49" s="10">
        <f>IF(N49&lt;=1,13,IF(N49&lt;=2,23,IF(N49&lt;=3,35,IF(N49&lt;=4,43,IF(N49&lt;=5,53,IF(N49&lt;=6,63,IF(N49&lt;=7,71,IF(N49&lt;=8,79,IF(N49&lt;=9,87,IF(N49&lt;=10,95,IF(N49&lt;=11,105,IF(N49&lt;=12,114,IF(N49&lt;=13,119,IF(N49&lt;=14,127,IF(N49&lt;=15,135,IF(N49&lt;=16,143,IF(N49&lt;=17,153,IF(N49&lt;=18,163,IF(N49&lt;=19,171,IF(N49&lt;=20,185,IF(N49&lt;=21,193,IF(N49&lt;=22,201,IF(N49&lt;=23,210,IF(N49&lt;=24,220,IF(N49&lt;=25,230,IF(N49&lt;=26,240,IF(N49&lt;=27,250,IF(N49&lt;=28,260,IF(N49&lt;=29,270,IF(N49&lt;=30,280,280))))))))))))))))))))))))))))))</f>
        <v>13</v>
      </c>
      <c r="AA49" s="11">
        <v>0</v>
      </c>
      <c r="AB49" s="11">
        <v>0</v>
      </c>
      <c r="AC49" s="11">
        <v>0</v>
      </c>
      <c r="AD49" s="11">
        <v>0</v>
      </c>
      <c r="AE49" s="11">
        <f t="shared" si="0"/>
        <v>0.78</v>
      </c>
      <c r="AF49" s="11">
        <f t="shared" si="1"/>
        <v>13.78</v>
      </c>
      <c r="AG49" t="s">
        <v>47</v>
      </c>
    </row>
    <row r="50" spans="1:33" ht="15" customHeight="1" x14ac:dyDescent="0.35">
      <c r="A50">
        <v>690929</v>
      </c>
      <c r="B50" t="s">
        <v>33</v>
      </c>
      <c r="C50" t="s">
        <v>34</v>
      </c>
      <c r="D50" s="6" t="s">
        <v>33</v>
      </c>
      <c r="E50" t="s">
        <v>223</v>
      </c>
      <c r="F50" t="s">
        <v>36</v>
      </c>
      <c r="G50" t="s">
        <v>37</v>
      </c>
      <c r="H50" t="s">
        <v>224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2</v>
      </c>
      <c r="O50" s="8">
        <v>45005.669490740744</v>
      </c>
      <c r="P50" s="9">
        <v>45008</v>
      </c>
      <c r="Q50" t="s">
        <v>36</v>
      </c>
      <c r="R50" t="s">
        <v>43</v>
      </c>
      <c r="S50" t="s">
        <v>44</v>
      </c>
      <c r="T50" t="s">
        <v>52</v>
      </c>
      <c r="U50" t="s">
        <v>225</v>
      </c>
      <c r="V50">
        <v>40150</v>
      </c>
      <c r="W50" t="s">
        <v>43</v>
      </c>
      <c r="X50" t="s">
        <v>196</v>
      </c>
      <c r="Y50" t="s">
        <v>49</v>
      </c>
      <c r="Z50" s="12">
        <f>IF(N50&lt;=1,7,7+0.8*ROUNDUP(N50-1,0))</f>
        <v>7.8</v>
      </c>
      <c r="AA50" s="11">
        <v>0</v>
      </c>
      <c r="AB50" s="11">
        <v>0</v>
      </c>
      <c r="AC50" s="11">
        <v>0</v>
      </c>
      <c r="AD50" s="11">
        <v>0</v>
      </c>
      <c r="AE50" s="11">
        <f t="shared" si="0"/>
        <v>0.46799999999999997</v>
      </c>
      <c r="AF50" s="11">
        <f t="shared" si="1"/>
        <v>8.2680000000000007</v>
      </c>
      <c r="AG50" t="s">
        <v>43</v>
      </c>
    </row>
    <row r="51" spans="1:33" ht="15" customHeight="1" x14ac:dyDescent="0.35">
      <c r="A51">
        <v>690929</v>
      </c>
      <c r="B51" t="s">
        <v>33</v>
      </c>
      <c r="C51" t="s">
        <v>34</v>
      </c>
      <c r="D51" s="6" t="s">
        <v>33</v>
      </c>
      <c r="E51" t="s">
        <v>226</v>
      </c>
      <c r="F51" t="s">
        <v>36</v>
      </c>
      <c r="G51" t="s">
        <v>37</v>
      </c>
      <c r="H51" t="s">
        <v>227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1</v>
      </c>
      <c r="O51" s="8">
        <v>45005.716203703705</v>
      </c>
      <c r="P51" s="9">
        <v>45008</v>
      </c>
      <c r="Q51" t="s">
        <v>36</v>
      </c>
      <c r="R51" t="s">
        <v>43</v>
      </c>
      <c r="S51" t="s">
        <v>44</v>
      </c>
      <c r="T51" t="s">
        <v>149</v>
      </c>
      <c r="U51" t="s">
        <v>228</v>
      </c>
      <c r="V51">
        <v>9400</v>
      </c>
      <c r="W51" t="s">
        <v>43</v>
      </c>
      <c r="X51" t="s">
        <v>229</v>
      </c>
      <c r="Y51" t="s">
        <v>49</v>
      </c>
      <c r="Z51" s="12">
        <f>IF(N51&lt;=1,7,7+0.8*ROUNDUP(N51-1,0))</f>
        <v>7</v>
      </c>
      <c r="AA51" s="11">
        <v>0</v>
      </c>
      <c r="AB51" s="11">
        <v>0</v>
      </c>
      <c r="AC51" s="11">
        <v>0</v>
      </c>
      <c r="AD51" s="11">
        <v>0</v>
      </c>
      <c r="AE51" s="11">
        <f t="shared" si="0"/>
        <v>0.42</v>
      </c>
      <c r="AF51" s="11">
        <f t="shared" si="1"/>
        <v>7.42</v>
      </c>
      <c r="AG51" t="s">
        <v>43</v>
      </c>
    </row>
    <row r="52" spans="1:33" ht="15" customHeight="1" x14ac:dyDescent="0.35">
      <c r="A52">
        <v>690929</v>
      </c>
      <c r="B52" t="s">
        <v>33</v>
      </c>
      <c r="C52" t="s">
        <v>34</v>
      </c>
      <c r="D52" s="6" t="s">
        <v>33</v>
      </c>
      <c r="E52" t="s">
        <v>230</v>
      </c>
      <c r="F52" t="s">
        <v>36</v>
      </c>
      <c r="G52" t="s">
        <v>37</v>
      </c>
      <c r="H52" t="s">
        <v>231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3</v>
      </c>
      <c r="O52" s="8">
        <v>45006.726307870369</v>
      </c>
      <c r="P52" s="9">
        <v>45008</v>
      </c>
      <c r="Q52" t="s">
        <v>36</v>
      </c>
      <c r="R52" t="s">
        <v>43</v>
      </c>
      <c r="S52" t="s">
        <v>44</v>
      </c>
      <c r="T52" t="s">
        <v>52</v>
      </c>
      <c r="U52" t="s">
        <v>232</v>
      </c>
      <c r="V52">
        <v>47100</v>
      </c>
      <c r="W52" t="s">
        <v>43</v>
      </c>
      <c r="X52" t="s">
        <v>233</v>
      </c>
      <c r="Y52" t="s">
        <v>49</v>
      </c>
      <c r="Z52" s="12">
        <f>IF(N52&lt;=1,7,7+0.8*ROUNDUP(N52-1,0))</f>
        <v>8.6</v>
      </c>
      <c r="AA52" s="11">
        <v>0</v>
      </c>
      <c r="AB52" s="11">
        <v>0</v>
      </c>
      <c r="AC52" s="11">
        <v>0</v>
      </c>
      <c r="AD52" s="11">
        <v>0</v>
      </c>
      <c r="AE52" s="11">
        <f t="shared" si="0"/>
        <v>0.51600000000000001</v>
      </c>
      <c r="AF52" s="11">
        <f t="shared" si="1"/>
        <v>9.1159999999999997</v>
      </c>
      <c r="AG52" t="s">
        <v>43</v>
      </c>
    </row>
    <row r="53" spans="1:33" ht="15" customHeight="1" x14ac:dyDescent="0.35">
      <c r="A53">
        <v>690929</v>
      </c>
      <c r="B53" t="s">
        <v>33</v>
      </c>
      <c r="C53" t="s">
        <v>34</v>
      </c>
      <c r="D53" s="6" t="s">
        <v>33</v>
      </c>
      <c r="E53" t="s">
        <v>234</v>
      </c>
      <c r="F53" t="s">
        <v>36</v>
      </c>
      <c r="G53" t="s">
        <v>37</v>
      </c>
      <c r="H53" t="s">
        <v>235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1</v>
      </c>
      <c r="O53" s="8">
        <v>45006.727569444447</v>
      </c>
      <c r="P53" s="9">
        <v>45008</v>
      </c>
      <c r="Q53" t="s">
        <v>36</v>
      </c>
      <c r="R53" t="s">
        <v>43</v>
      </c>
      <c r="S53" t="s">
        <v>44</v>
      </c>
      <c r="T53" t="s">
        <v>92</v>
      </c>
      <c r="U53" t="s">
        <v>236</v>
      </c>
      <c r="V53">
        <v>23100</v>
      </c>
      <c r="W53" t="s">
        <v>43</v>
      </c>
      <c r="X53" t="s">
        <v>44</v>
      </c>
      <c r="Y53" t="s">
        <v>49</v>
      </c>
      <c r="Z53" s="12">
        <f>IF(N53&lt;=1,7,7+0.8*ROUNDUP(N53-1,0))</f>
        <v>7</v>
      </c>
      <c r="AA53" s="11">
        <v>0</v>
      </c>
      <c r="AB53" s="11">
        <v>0</v>
      </c>
      <c r="AC53" s="11">
        <v>0</v>
      </c>
      <c r="AD53" s="11">
        <v>0</v>
      </c>
      <c r="AE53" s="11">
        <f t="shared" si="0"/>
        <v>0.42</v>
      </c>
      <c r="AF53" s="11">
        <f t="shared" si="1"/>
        <v>7.42</v>
      </c>
      <c r="AG53" t="s">
        <v>43</v>
      </c>
    </row>
    <row r="54" spans="1:33" ht="15" customHeight="1" x14ac:dyDescent="0.35">
      <c r="A54">
        <v>690929</v>
      </c>
      <c r="B54" t="s">
        <v>33</v>
      </c>
      <c r="C54" t="s">
        <v>34</v>
      </c>
      <c r="D54" s="6" t="s">
        <v>33</v>
      </c>
      <c r="E54" t="s">
        <v>237</v>
      </c>
      <c r="F54" t="s">
        <v>36</v>
      </c>
      <c r="G54" t="s">
        <v>37</v>
      </c>
      <c r="H54" t="s">
        <v>238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9</v>
      </c>
      <c r="O54" s="8">
        <v>45005.766724537039</v>
      </c>
      <c r="P54" s="9">
        <v>45008</v>
      </c>
      <c r="Q54" t="s">
        <v>36</v>
      </c>
      <c r="R54" t="s">
        <v>43</v>
      </c>
      <c r="S54" t="s">
        <v>44</v>
      </c>
      <c r="T54" t="s">
        <v>149</v>
      </c>
      <c r="U54" t="s">
        <v>239</v>
      </c>
      <c r="V54">
        <v>5150</v>
      </c>
      <c r="W54" t="s">
        <v>43</v>
      </c>
      <c r="X54" t="s">
        <v>240</v>
      </c>
      <c r="Y54" t="s">
        <v>49</v>
      </c>
      <c r="Z54" s="12">
        <f>IF(N54&lt;=1,7,7+0.8*ROUNDUP(N54-1,0))</f>
        <v>13.4</v>
      </c>
      <c r="AA54" s="11">
        <v>0</v>
      </c>
      <c r="AB54" s="11">
        <v>0</v>
      </c>
      <c r="AC54" s="11">
        <v>0</v>
      </c>
      <c r="AD54" s="11">
        <v>0</v>
      </c>
      <c r="AE54" s="11">
        <f t="shared" si="0"/>
        <v>0.80399999999999994</v>
      </c>
      <c r="AF54" s="11">
        <f t="shared" si="1"/>
        <v>14.204000000000001</v>
      </c>
      <c r="AG54" t="s">
        <v>43</v>
      </c>
    </row>
    <row r="55" spans="1:33" ht="15" customHeight="1" x14ac:dyDescent="0.35">
      <c r="A55">
        <v>690929</v>
      </c>
      <c r="B55" t="s">
        <v>33</v>
      </c>
      <c r="C55" t="s">
        <v>34</v>
      </c>
      <c r="D55" s="6" t="s">
        <v>33</v>
      </c>
      <c r="E55" t="s">
        <v>241</v>
      </c>
      <c r="F55" t="s">
        <v>36</v>
      </c>
      <c r="G55" t="s">
        <v>37</v>
      </c>
      <c r="H55" t="s">
        <v>242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5</v>
      </c>
      <c r="O55" s="8">
        <v>45006.535763888889</v>
      </c>
      <c r="P55" s="9">
        <v>45008</v>
      </c>
      <c r="Q55" t="s">
        <v>36</v>
      </c>
      <c r="R55" t="s">
        <v>43</v>
      </c>
      <c r="S55" t="s">
        <v>44</v>
      </c>
      <c r="T55" t="s">
        <v>137</v>
      </c>
      <c r="U55" t="s">
        <v>243</v>
      </c>
      <c r="V55">
        <v>35800</v>
      </c>
      <c r="W55" t="s">
        <v>43</v>
      </c>
      <c r="X55" t="s">
        <v>244</v>
      </c>
      <c r="Y55" t="s">
        <v>49</v>
      </c>
      <c r="Z55" s="12">
        <f>IF(N55&lt;=1,7,7+0.8*ROUNDUP(N55-1,0))</f>
        <v>10.199999999999999</v>
      </c>
      <c r="AA55" s="11">
        <v>0</v>
      </c>
      <c r="AB55" s="11">
        <v>0</v>
      </c>
      <c r="AC55" s="11">
        <v>0</v>
      </c>
      <c r="AD55" s="11">
        <v>0</v>
      </c>
      <c r="AE55" s="11">
        <f t="shared" si="0"/>
        <v>0.61199999999999999</v>
      </c>
      <c r="AF55" s="11">
        <f t="shared" si="1"/>
        <v>10.811999999999999</v>
      </c>
      <c r="AG55" t="s">
        <v>43</v>
      </c>
    </row>
    <row r="56" spans="1:33" ht="15" customHeight="1" x14ac:dyDescent="0.35">
      <c r="A56">
        <v>690929</v>
      </c>
      <c r="B56" t="s">
        <v>33</v>
      </c>
      <c r="C56" t="s">
        <v>34</v>
      </c>
      <c r="D56" s="6" t="s">
        <v>33</v>
      </c>
      <c r="E56" t="s">
        <v>245</v>
      </c>
      <c r="F56" t="s">
        <v>36</v>
      </c>
      <c r="G56" t="s">
        <v>37</v>
      </c>
      <c r="H56" t="s">
        <v>246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45007.620995370373</v>
      </c>
      <c r="P56" s="9">
        <v>45008</v>
      </c>
      <c r="Q56" t="s">
        <v>36</v>
      </c>
      <c r="R56" t="s">
        <v>43</v>
      </c>
      <c r="S56" t="s">
        <v>44</v>
      </c>
      <c r="T56" t="s">
        <v>178</v>
      </c>
      <c r="U56" t="s">
        <v>247</v>
      </c>
      <c r="V56">
        <v>51100</v>
      </c>
      <c r="W56" t="s">
        <v>43</v>
      </c>
      <c r="X56" t="s">
        <v>200</v>
      </c>
      <c r="Y56" t="s">
        <v>49</v>
      </c>
      <c r="Z56" s="12">
        <f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 t="shared" si="0"/>
        <v>0.42</v>
      </c>
      <c r="AF56" s="11">
        <f t="shared" si="1"/>
        <v>7.42</v>
      </c>
      <c r="AG56" t="s">
        <v>43</v>
      </c>
    </row>
    <row r="57" spans="1:33" ht="15" customHeight="1" x14ac:dyDescent="0.35">
      <c r="A57">
        <v>690929</v>
      </c>
      <c r="B57" t="s">
        <v>33</v>
      </c>
      <c r="C57" t="s">
        <v>34</v>
      </c>
      <c r="D57" s="6" t="s">
        <v>33</v>
      </c>
      <c r="E57" t="s">
        <v>248</v>
      </c>
      <c r="F57" t="s">
        <v>36</v>
      </c>
      <c r="G57" t="s">
        <v>37</v>
      </c>
      <c r="H57" t="s">
        <v>249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2</v>
      </c>
      <c r="O57" s="8">
        <v>45005.716215277775</v>
      </c>
      <c r="P57" s="9">
        <v>45008</v>
      </c>
      <c r="Q57" t="s">
        <v>36</v>
      </c>
      <c r="R57" t="s">
        <v>43</v>
      </c>
      <c r="S57" t="s">
        <v>44</v>
      </c>
      <c r="T57" t="s">
        <v>104</v>
      </c>
      <c r="U57" t="s">
        <v>250</v>
      </c>
      <c r="V57">
        <v>81200</v>
      </c>
      <c r="W57" t="s">
        <v>43</v>
      </c>
      <c r="X57" t="s">
        <v>251</v>
      </c>
      <c r="Y57" t="s">
        <v>49</v>
      </c>
      <c r="Z57" s="12">
        <f>IF(N57&lt;=1,7,7+0.8*ROUNDUP(N57-1,0))</f>
        <v>7.8</v>
      </c>
      <c r="AA57" s="11">
        <v>0</v>
      </c>
      <c r="AB57" s="11">
        <v>0</v>
      </c>
      <c r="AC57" s="11">
        <v>0</v>
      </c>
      <c r="AD57" s="11">
        <v>0</v>
      </c>
      <c r="AE57" s="11">
        <f t="shared" si="0"/>
        <v>0.46799999999999997</v>
      </c>
      <c r="AF57" s="11">
        <f t="shared" si="1"/>
        <v>8.2680000000000007</v>
      </c>
      <c r="AG57" t="s">
        <v>43</v>
      </c>
    </row>
    <row r="58" spans="1:33" ht="15" customHeight="1" x14ac:dyDescent="0.35">
      <c r="A58">
        <v>690929</v>
      </c>
      <c r="B58" t="s">
        <v>33</v>
      </c>
      <c r="C58" t="s">
        <v>34</v>
      </c>
      <c r="D58" s="6" t="s">
        <v>33</v>
      </c>
      <c r="E58" t="s">
        <v>252</v>
      </c>
      <c r="F58" t="s">
        <v>36</v>
      </c>
      <c r="G58" t="s">
        <v>37</v>
      </c>
      <c r="H58" t="s">
        <v>253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5</v>
      </c>
      <c r="O58" s="8">
        <v>45007.507986111108</v>
      </c>
      <c r="P58" s="9">
        <v>45008</v>
      </c>
      <c r="Q58" t="s">
        <v>36</v>
      </c>
      <c r="R58" t="s">
        <v>43</v>
      </c>
      <c r="S58" t="s">
        <v>44</v>
      </c>
      <c r="T58" t="s">
        <v>178</v>
      </c>
      <c r="U58" t="s">
        <v>254</v>
      </c>
      <c r="V58">
        <v>51200</v>
      </c>
      <c r="W58" t="s">
        <v>43</v>
      </c>
      <c r="X58" t="s">
        <v>200</v>
      </c>
      <c r="Y58" t="s">
        <v>49</v>
      </c>
      <c r="Z58" s="12">
        <f>IF(N58&lt;=1,7,7+0.8*ROUNDUP(N58-1,0))</f>
        <v>10.199999999999999</v>
      </c>
      <c r="AA58" s="11">
        <v>0</v>
      </c>
      <c r="AB58" s="11">
        <v>0</v>
      </c>
      <c r="AC58" s="11">
        <v>0</v>
      </c>
      <c r="AD58" s="11">
        <v>0</v>
      </c>
      <c r="AE58" s="11">
        <f t="shared" si="0"/>
        <v>0.61199999999999999</v>
      </c>
      <c r="AF58" s="11">
        <f t="shared" si="1"/>
        <v>10.811999999999999</v>
      </c>
      <c r="AG58" t="s">
        <v>43</v>
      </c>
    </row>
    <row r="59" spans="1:33" ht="15" customHeight="1" x14ac:dyDescent="0.35">
      <c r="A59">
        <v>690929</v>
      </c>
      <c r="B59" t="s">
        <v>33</v>
      </c>
      <c r="C59" t="s">
        <v>34</v>
      </c>
      <c r="D59" s="6" t="s">
        <v>33</v>
      </c>
      <c r="E59" t="s">
        <v>255</v>
      </c>
      <c r="F59" t="s">
        <v>36</v>
      </c>
      <c r="G59" t="s">
        <v>37</v>
      </c>
      <c r="H59" t="s">
        <v>256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3</v>
      </c>
      <c r="O59" s="8">
        <v>45006.464131944442</v>
      </c>
      <c r="P59" s="9">
        <v>45008</v>
      </c>
      <c r="Q59" t="s">
        <v>36</v>
      </c>
      <c r="R59" t="s">
        <v>43</v>
      </c>
      <c r="S59" t="s">
        <v>44</v>
      </c>
      <c r="T59" t="s">
        <v>52</v>
      </c>
      <c r="U59" t="s">
        <v>257</v>
      </c>
      <c r="V59">
        <v>53300</v>
      </c>
      <c r="W59" t="s">
        <v>43</v>
      </c>
      <c r="X59" t="s">
        <v>62</v>
      </c>
      <c r="Y59" t="s">
        <v>49</v>
      </c>
      <c r="Z59" s="12">
        <f>IF(N59&lt;=1,7,7+0.8*ROUNDUP(N59-1,0))</f>
        <v>8.6</v>
      </c>
      <c r="AA59" s="11">
        <v>0</v>
      </c>
      <c r="AB59" s="11">
        <v>0</v>
      </c>
      <c r="AC59" s="11">
        <v>0</v>
      </c>
      <c r="AD59" s="11">
        <v>0</v>
      </c>
      <c r="AE59" s="11">
        <f t="shared" si="0"/>
        <v>0.51600000000000001</v>
      </c>
      <c r="AF59" s="11">
        <f t="shared" si="1"/>
        <v>9.1159999999999997</v>
      </c>
      <c r="AG59" t="s">
        <v>43</v>
      </c>
    </row>
    <row r="60" spans="1:33" ht="15" customHeight="1" x14ac:dyDescent="0.35">
      <c r="A60">
        <v>690929</v>
      </c>
      <c r="B60" t="s">
        <v>33</v>
      </c>
      <c r="C60" t="s">
        <v>34</v>
      </c>
      <c r="D60" s="6" t="s">
        <v>33</v>
      </c>
      <c r="E60" t="s">
        <v>258</v>
      </c>
      <c r="F60" t="s">
        <v>36</v>
      </c>
      <c r="G60" t="s">
        <v>37</v>
      </c>
      <c r="H60" t="s">
        <v>246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2</v>
      </c>
      <c r="O60" s="8">
        <v>45007.620995370373</v>
      </c>
      <c r="P60" s="9">
        <v>45008</v>
      </c>
      <c r="Q60" t="s">
        <v>36</v>
      </c>
      <c r="R60" t="s">
        <v>43</v>
      </c>
      <c r="S60" t="s">
        <v>44</v>
      </c>
      <c r="T60" t="s">
        <v>92</v>
      </c>
      <c r="U60" t="s">
        <v>259</v>
      </c>
      <c r="V60">
        <v>21300</v>
      </c>
      <c r="W60" t="s">
        <v>43</v>
      </c>
      <c r="X60" t="s">
        <v>44</v>
      </c>
      <c r="Y60" t="s">
        <v>49</v>
      </c>
      <c r="Z60" s="12">
        <f>IF(N60&lt;=1,7,7+0.8*ROUNDUP(N60-1,0))</f>
        <v>7.8</v>
      </c>
      <c r="AA60" s="11">
        <v>0</v>
      </c>
      <c r="AB60" s="11">
        <v>0</v>
      </c>
      <c r="AC60" s="11">
        <v>0</v>
      </c>
      <c r="AD60" s="11">
        <v>0</v>
      </c>
      <c r="AE60" s="11">
        <f t="shared" si="0"/>
        <v>0.46799999999999997</v>
      </c>
      <c r="AF60" s="11">
        <f t="shared" si="1"/>
        <v>8.2680000000000007</v>
      </c>
      <c r="AG60" t="s">
        <v>43</v>
      </c>
    </row>
    <row r="61" spans="1:33" ht="15" customHeight="1" x14ac:dyDescent="0.35">
      <c r="A61">
        <v>690929</v>
      </c>
      <c r="B61" t="s">
        <v>33</v>
      </c>
      <c r="C61" t="s">
        <v>34</v>
      </c>
      <c r="D61" s="6" t="s">
        <v>33</v>
      </c>
      <c r="E61" t="s">
        <v>260</v>
      </c>
      <c r="F61" t="s">
        <v>36</v>
      </c>
      <c r="G61" t="s">
        <v>37</v>
      </c>
      <c r="H61" t="s">
        <v>261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5</v>
      </c>
      <c r="O61" s="8">
        <v>45007.507986111108</v>
      </c>
      <c r="P61" s="9">
        <v>45008</v>
      </c>
      <c r="Q61" t="s">
        <v>36</v>
      </c>
      <c r="R61" t="s">
        <v>43</v>
      </c>
      <c r="S61" t="s">
        <v>44</v>
      </c>
      <c r="T61" t="s">
        <v>52</v>
      </c>
      <c r="U61" t="s">
        <v>262</v>
      </c>
      <c r="V61">
        <v>42200</v>
      </c>
      <c r="W61" t="s">
        <v>43</v>
      </c>
      <c r="X61" t="s">
        <v>263</v>
      </c>
      <c r="Y61" t="s">
        <v>49</v>
      </c>
      <c r="Z61" s="12">
        <f>IF(N61&lt;=1,7,7+0.8*ROUNDUP(N61-1,0))</f>
        <v>10.199999999999999</v>
      </c>
      <c r="AA61" s="11">
        <v>0</v>
      </c>
      <c r="AB61" s="11">
        <v>0</v>
      </c>
      <c r="AC61" s="11">
        <v>0</v>
      </c>
      <c r="AD61" s="11">
        <v>0</v>
      </c>
      <c r="AE61" s="11">
        <f t="shared" si="0"/>
        <v>0.61199999999999999</v>
      </c>
      <c r="AF61" s="11">
        <f t="shared" si="1"/>
        <v>10.811999999999999</v>
      </c>
      <c r="AG61" t="s">
        <v>43</v>
      </c>
    </row>
    <row r="62" spans="1:33" ht="15" customHeight="1" x14ac:dyDescent="0.35">
      <c r="A62">
        <v>690929</v>
      </c>
      <c r="B62" t="s">
        <v>33</v>
      </c>
      <c r="C62" t="s">
        <v>34</v>
      </c>
      <c r="D62" s="6" t="s">
        <v>33</v>
      </c>
      <c r="E62" t="s">
        <v>264</v>
      </c>
      <c r="F62" t="s">
        <v>36</v>
      </c>
      <c r="G62" t="s">
        <v>37</v>
      </c>
      <c r="H62" t="s">
        <v>265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1</v>
      </c>
      <c r="O62" s="8">
        <v>45005.716203703705</v>
      </c>
      <c r="P62" s="9">
        <v>45009</v>
      </c>
      <c r="Q62" t="s">
        <v>36</v>
      </c>
      <c r="R62" t="s">
        <v>43</v>
      </c>
      <c r="S62" t="s">
        <v>44</v>
      </c>
      <c r="T62" t="s">
        <v>104</v>
      </c>
      <c r="U62" t="s">
        <v>266</v>
      </c>
      <c r="V62">
        <v>83100</v>
      </c>
      <c r="W62" t="s">
        <v>43</v>
      </c>
      <c r="X62" t="s">
        <v>62</v>
      </c>
      <c r="Y62" t="s">
        <v>49</v>
      </c>
      <c r="Z62" s="12">
        <f>IF(N62&lt;=1,7,7+0.8*ROUNDUP(N62-1,0))</f>
        <v>7</v>
      </c>
      <c r="AA62" s="11">
        <v>0</v>
      </c>
      <c r="AB62" s="11">
        <v>0</v>
      </c>
      <c r="AC62" s="11">
        <v>0</v>
      </c>
      <c r="AD62" s="11">
        <v>0</v>
      </c>
      <c r="AE62" s="11">
        <f t="shared" si="0"/>
        <v>0.42</v>
      </c>
      <c r="AF62" s="11">
        <f t="shared" si="1"/>
        <v>7.42</v>
      </c>
      <c r="AG62" t="s">
        <v>43</v>
      </c>
    </row>
    <row r="63" spans="1:33" ht="15" customHeight="1" x14ac:dyDescent="0.35">
      <c r="A63">
        <v>690929</v>
      </c>
      <c r="B63" t="s">
        <v>33</v>
      </c>
      <c r="C63" t="s">
        <v>34</v>
      </c>
      <c r="D63" s="6" t="s">
        <v>33</v>
      </c>
      <c r="E63" t="s">
        <v>267</v>
      </c>
      <c r="F63" t="s">
        <v>36</v>
      </c>
      <c r="G63" t="s">
        <v>37</v>
      </c>
      <c r="H63" t="s">
        <v>268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1</v>
      </c>
      <c r="O63" s="8">
        <v>45007.578726851854</v>
      </c>
      <c r="P63" s="9">
        <v>45009</v>
      </c>
      <c r="Q63" t="s">
        <v>36</v>
      </c>
      <c r="R63" t="s">
        <v>43</v>
      </c>
      <c r="S63" t="s">
        <v>44</v>
      </c>
      <c r="T63" t="s">
        <v>137</v>
      </c>
      <c r="U63" t="s">
        <v>269</v>
      </c>
      <c r="V63">
        <v>34700</v>
      </c>
      <c r="W63" t="s">
        <v>43</v>
      </c>
      <c r="X63" t="s">
        <v>62</v>
      </c>
      <c r="Y63" t="s">
        <v>49</v>
      </c>
      <c r="Z63" s="12">
        <f>IF(N63&lt;=1,7,7+0.8*ROUNDUP(N63-1,0))</f>
        <v>7</v>
      </c>
      <c r="AA63" s="11">
        <v>0</v>
      </c>
      <c r="AB63" s="11">
        <v>0</v>
      </c>
      <c r="AC63" s="11">
        <v>0</v>
      </c>
      <c r="AD63" s="11">
        <v>0</v>
      </c>
      <c r="AE63" s="11">
        <f t="shared" si="0"/>
        <v>0.42</v>
      </c>
      <c r="AF63" s="11">
        <f t="shared" si="1"/>
        <v>7.42</v>
      </c>
      <c r="AG63" t="s">
        <v>43</v>
      </c>
    </row>
    <row r="64" spans="1:33" ht="15" customHeight="1" x14ac:dyDescent="0.35">
      <c r="A64">
        <v>690929</v>
      </c>
      <c r="B64" t="s">
        <v>33</v>
      </c>
      <c r="C64" t="s">
        <v>34</v>
      </c>
      <c r="D64" s="6" t="s">
        <v>33</v>
      </c>
      <c r="E64" t="s">
        <v>270</v>
      </c>
      <c r="F64" t="s">
        <v>36</v>
      </c>
      <c r="G64" t="s">
        <v>37</v>
      </c>
      <c r="H64" t="s">
        <v>271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</v>
      </c>
      <c r="O64" s="8">
        <v>45007.752233796295</v>
      </c>
      <c r="P64" s="9">
        <v>45009</v>
      </c>
      <c r="Q64" t="s">
        <v>36</v>
      </c>
      <c r="R64" t="s">
        <v>43</v>
      </c>
      <c r="S64" t="s">
        <v>44</v>
      </c>
      <c r="T64" t="s">
        <v>79</v>
      </c>
      <c r="U64" t="s">
        <v>272</v>
      </c>
      <c r="V64">
        <v>16070</v>
      </c>
      <c r="W64" t="s">
        <v>43</v>
      </c>
      <c r="X64" t="s">
        <v>44</v>
      </c>
      <c r="Y64" t="s">
        <v>49</v>
      </c>
      <c r="Z64" s="12">
        <f>IF(N64&lt;=1,7,7+0.8*ROUNDUP(N64-1,0))</f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f t="shared" si="0"/>
        <v>0.42</v>
      </c>
      <c r="AF64" s="11">
        <f t="shared" si="1"/>
        <v>7.42</v>
      </c>
      <c r="AG64" t="s">
        <v>43</v>
      </c>
    </row>
    <row r="65" spans="1:33" ht="15" customHeight="1" x14ac:dyDescent="0.35">
      <c r="A65">
        <v>690929</v>
      </c>
      <c r="B65" t="s">
        <v>33</v>
      </c>
      <c r="C65" t="s">
        <v>34</v>
      </c>
      <c r="D65" s="6" t="s">
        <v>33</v>
      </c>
      <c r="E65" t="s">
        <v>273</v>
      </c>
      <c r="F65" t="s">
        <v>36</v>
      </c>
      <c r="G65" t="s">
        <v>37</v>
      </c>
      <c r="H65" t="s">
        <v>274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1</v>
      </c>
      <c r="O65" s="8">
        <v>45006.729699074072</v>
      </c>
      <c r="P65" s="9">
        <v>45009</v>
      </c>
      <c r="Q65" t="s">
        <v>36</v>
      </c>
      <c r="R65" t="s">
        <v>43</v>
      </c>
      <c r="S65" t="s">
        <v>44</v>
      </c>
      <c r="T65" t="s">
        <v>137</v>
      </c>
      <c r="U65" t="s">
        <v>275</v>
      </c>
      <c r="V65">
        <v>30350</v>
      </c>
      <c r="W65" t="s">
        <v>43</v>
      </c>
      <c r="X65" t="s">
        <v>276</v>
      </c>
      <c r="Y65" t="s">
        <v>49</v>
      </c>
      <c r="Z65" s="12">
        <f>IF(N65&lt;=1,7,7+0.8*ROUNDUP(N65-1,0))</f>
        <v>7</v>
      </c>
      <c r="AA65" s="11">
        <v>0</v>
      </c>
      <c r="AB65" s="11">
        <v>0</v>
      </c>
      <c r="AC65" s="11">
        <v>0</v>
      </c>
      <c r="AD65" s="11">
        <v>0</v>
      </c>
      <c r="AE65" s="11">
        <f t="shared" si="0"/>
        <v>0.42</v>
      </c>
      <c r="AF65" s="11">
        <f t="shared" si="1"/>
        <v>7.42</v>
      </c>
      <c r="AG65" t="s">
        <v>43</v>
      </c>
    </row>
    <row r="66" spans="1:33" ht="15" customHeight="1" x14ac:dyDescent="0.35">
      <c r="A66">
        <v>690929</v>
      </c>
      <c r="B66" t="s">
        <v>33</v>
      </c>
      <c r="C66" t="s">
        <v>34</v>
      </c>
      <c r="D66" s="6" t="s">
        <v>33</v>
      </c>
      <c r="E66" t="s">
        <v>277</v>
      </c>
      <c r="F66" t="s">
        <v>36</v>
      </c>
      <c r="G66" t="s">
        <v>37</v>
      </c>
      <c r="H66" t="s">
        <v>278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1</v>
      </c>
      <c r="O66" s="8">
        <v>45007.753738425927</v>
      </c>
      <c r="P66" s="9">
        <v>45009</v>
      </c>
      <c r="Q66" t="s">
        <v>36</v>
      </c>
      <c r="R66" t="s">
        <v>43</v>
      </c>
      <c r="S66" t="s">
        <v>44</v>
      </c>
      <c r="T66" t="s">
        <v>79</v>
      </c>
      <c r="U66" t="s">
        <v>279</v>
      </c>
      <c r="V66">
        <v>18300</v>
      </c>
      <c r="W66" t="s">
        <v>43</v>
      </c>
      <c r="X66" t="s">
        <v>44</v>
      </c>
      <c r="Y66" t="s">
        <v>49</v>
      </c>
      <c r="Z66" s="12">
        <f>IF(N66&lt;=1,7,7+0.8*ROUNDUP(N66-1,0))</f>
        <v>7</v>
      </c>
      <c r="AA66" s="11">
        <v>0</v>
      </c>
      <c r="AB66" s="11">
        <v>0</v>
      </c>
      <c r="AC66" s="11">
        <v>0</v>
      </c>
      <c r="AD66" s="11">
        <v>0</v>
      </c>
      <c r="AE66" s="11">
        <f t="shared" ref="AE66:AE129" si="2">(Z66+AB66+AD66)*6%</f>
        <v>0.42</v>
      </c>
      <c r="AF66" s="11">
        <f t="shared" ref="AF66:AF129" si="3">Z66+AB66+AD66+AE66</f>
        <v>7.42</v>
      </c>
      <c r="AG66" t="s">
        <v>43</v>
      </c>
    </row>
    <row r="67" spans="1:33" ht="15" customHeight="1" x14ac:dyDescent="0.35">
      <c r="A67">
        <v>690929</v>
      </c>
      <c r="B67" t="s">
        <v>33</v>
      </c>
      <c r="C67" t="s">
        <v>34</v>
      </c>
      <c r="D67" s="6" t="s">
        <v>33</v>
      </c>
      <c r="E67" t="s">
        <v>280</v>
      </c>
      <c r="F67" t="s">
        <v>36</v>
      </c>
      <c r="G67" t="s">
        <v>37</v>
      </c>
      <c r="H67" t="s">
        <v>281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4</v>
      </c>
      <c r="O67" s="8">
        <v>45006.552881944444</v>
      </c>
      <c r="P67" s="9">
        <v>45009</v>
      </c>
      <c r="Q67" t="s">
        <v>36</v>
      </c>
      <c r="R67" t="s">
        <v>43</v>
      </c>
      <c r="S67" t="s">
        <v>44</v>
      </c>
      <c r="T67" t="s">
        <v>104</v>
      </c>
      <c r="U67" t="s">
        <v>282</v>
      </c>
      <c r="V67">
        <v>85000</v>
      </c>
      <c r="W67" t="s">
        <v>43</v>
      </c>
      <c r="X67" t="s">
        <v>283</v>
      </c>
      <c r="Y67" t="s">
        <v>49</v>
      </c>
      <c r="Z67" s="12">
        <f>IF(N67&lt;=1,7,7+0.8*ROUNDUP(N67-1,0))</f>
        <v>9.4</v>
      </c>
      <c r="AA67" s="11">
        <v>0</v>
      </c>
      <c r="AB67" s="11">
        <v>0</v>
      </c>
      <c r="AC67" s="11">
        <v>0</v>
      </c>
      <c r="AD67" s="11">
        <v>0</v>
      </c>
      <c r="AE67" s="11">
        <f t="shared" si="2"/>
        <v>0.56399999999999995</v>
      </c>
      <c r="AF67" s="11">
        <f t="shared" si="3"/>
        <v>9.9640000000000004</v>
      </c>
      <c r="AG67" t="s">
        <v>43</v>
      </c>
    </row>
    <row r="68" spans="1:33" ht="15" customHeight="1" x14ac:dyDescent="0.35">
      <c r="A68">
        <v>690929</v>
      </c>
      <c r="B68" t="s">
        <v>33</v>
      </c>
      <c r="C68" t="s">
        <v>34</v>
      </c>
      <c r="D68" s="6" t="s">
        <v>33</v>
      </c>
      <c r="E68" t="s">
        <v>284</v>
      </c>
      <c r="F68" t="s">
        <v>36</v>
      </c>
      <c r="G68" t="s">
        <v>37</v>
      </c>
      <c r="H68" t="s">
        <v>285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4</v>
      </c>
      <c r="O68" s="8">
        <v>45009.467581018522</v>
      </c>
      <c r="P68" s="9">
        <v>45010</v>
      </c>
      <c r="Q68" t="s">
        <v>36</v>
      </c>
      <c r="R68" t="s">
        <v>43</v>
      </c>
      <c r="S68" t="s">
        <v>74</v>
      </c>
      <c r="T68" t="s">
        <v>79</v>
      </c>
      <c r="U68" t="s">
        <v>286</v>
      </c>
      <c r="V68">
        <v>18300</v>
      </c>
      <c r="W68" t="s">
        <v>43</v>
      </c>
      <c r="X68" t="s">
        <v>287</v>
      </c>
      <c r="Y68" t="s">
        <v>49</v>
      </c>
      <c r="Z68" s="12">
        <f>IF(N68&lt;=1,7,7+0.8*ROUNDUP(N68-1,0))</f>
        <v>9.4</v>
      </c>
      <c r="AA68" s="11">
        <v>0</v>
      </c>
      <c r="AB68" s="11">
        <v>0</v>
      </c>
      <c r="AC68" s="11">
        <v>0</v>
      </c>
      <c r="AD68" s="11">
        <v>0</v>
      </c>
      <c r="AE68" s="11">
        <f t="shared" si="2"/>
        <v>0.56399999999999995</v>
      </c>
      <c r="AF68" s="11">
        <f t="shared" si="3"/>
        <v>9.9640000000000004</v>
      </c>
      <c r="AG68" t="s">
        <v>43</v>
      </c>
    </row>
    <row r="69" spans="1:33" ht="15" customHeight="1" x14ac:dyDescent="0.35">
      <c r="A69">
        <v>690929</v>
      </c>
      <c r="B69" t="s">
        <v>33</v>
      </c>
      <c r="C69" t="s">
        <v>34</v>
      </c>
      <c r="D69" s="6" t="s">
        <v>33</v>
      </c>
      <c r="E69" t="s">
        <v>288</v>
      </c>
      <c r="F69" t="s">
        <v>36</v>
      </c>
      <c r="G69" t="s">
        <v>37</v>
      </c>
      <c r="H69" t="s">
        <v>289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4</v>
      </c>
      <c r="O69" s="8">
        <v>45009.467581018522</v>
      </c>
      <c r="P69" s="9">
        <v>45010</v>
      </c>
      <c r="Q69" t="s">
        <v>36</v>
      </c>
      <c r="R69" t="s">
        <v>43</v>
      </c>
      <c r="S69" t="s">
        <v>74</v>
      </c>
      <c r="T69" t="s">
        <v>92</v>
      </c>
      <c r="U69" t="s">
        <v>290</v>
      </c>
      <c r="V69">
        <v>22000</v>
      </c>
      <c r="W69" t="s">
        <v>43</v>
      </c>
      <c r="X69" t="s">
        <v>291</v>
      </c>
      <c r="Y69" t="s">
        <v>49</v>
      </c>
      <c r="Z69" s="12">
        <f>IF(N69&lt;=1,7,7+0.8*ROUNDUP(N69-1,0))</f>
        <v>9.4</v>
      </c>
      <c r="AA69" s="11">
        <v>0</v>
      </c>
      <c r="AB69" s="11">
        <v>0</v>
      </c>
      <c r="AC69" s="11">
        <v>0</v>
      </c>
      <c r="AD69" s="11">
        <v>0</v>
      </c>
      <c r="AE69" s="11">
        <f t="shared" si="2"/>
        <v>0.56399999999999995</v>
      </c>
      <c r="AF69" s="11">
        <f t="shared" si="3"/>
        <v>9.9640000000000004</v>
      </c>
      <c r="AG69" t="s">
        <v>43</v>
      </c>
    </row>
    <row r="70" spans="1:33" ht="15" customHeight="1" x14ac:dyDescent="0.35">
      <c r="A70">
        <v>690929</v>
      </c>
      <c r="B70" t="s">
        <v>33</v>
      </c>
      <c r="C70" t="s">
        <v>34</v>
      </c>
      <c r="D70" s="6" t="s">
        <v>33</v>
      </c>
      <c r="E70" t="s">
        <v>292</v>
      </c>
      <c r="F70" t="s">
        <v>36</v>
      </c>
      <c r="G70" t="s">
        <v>37</v>
      </c>
      <c r="H70" t="s">
        <v>293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7</v>
      </c>
      <c r="O70" s="8">
        <v>45009.41846064815</v>
      </c>
      <c r="P70" s="9">
        <v>45010</v>
      </c>
      <c r="Q70" t="s">
        <v>36</v>
      </c>
      <c r="R70" t="s">
        <v>43</v>
      </c>
      <c r="S70" t="s">
        <v>74</v>
      </c>
      <c r="T70" t="s">
        <v>52</v>
      </c>
      <c r="U70" t="s">
        <v>294</v>
      </c>
      <c r="V70">
        <v>43200</v>
      </c>
      <c r="W70" t="s">
        <v>43</v>
      </c>
      <c r="X70" t="s">
        <v>295</v>
      </c>
      <c r="Y70" t="s">
        <v>49</v>
      </c>
      <c r="Z70" s="12">
        <f>IF(N70&lt;=1,7,7+0.8*ROUNDUP(N70-1,0))</f>
        <v>11.8</v>
      </c>
      <c r="AA70" s="11">
        <v>0</v>
      </c>
      <c r="AB70" s="11">
        <v>0</v>
      </c>
      <c r="AC70" s="11">
        <v>0</v>
      </c>
      <c r="AD70" s="11">
        <v>0</v>
      </c>
      <c r="AE70" s="11">
        <f t="shared" si="2"/>
        <v>0.70799999999999996</v>
      </c>
      <c r="AF70" s="11">
        <f t="shared" si="3"/>
        <v>12.508000000000001</v>
      </c>
      <c r="AG70" t="s">
        <v>43</v>
      </c>
    </row>
    <row r="71" spans="1:33" ht="15" customHeight="1" x14ac:dyDescent="0.35">
      <c r="A71">
        <v>690929</v>
      </c>
      <c r="B71" t="s">
        <v>33</v>
      </c>
      <c r="C71" t="s">
        <v>34</v>
      </c>
      <c r="D71" s="6" t="s">
        <v>33</v>
      </c>
      <c r="E71" t="s">
        <v>296</v>
      </c>
      <c r="F71" t="s">
        <v>36</v>
      </c>
      <c r="G71" t="s">
        <v>37</v>
      </c>
      <c r="H71" t="s">
        <v>297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9</v>
      </c>
      <c r="O71" s="8">
        <v>45007.770509259259</v>
      </c>
      <c r="P71" s="9">
        <v>45010</v>
      </c>
      <c r="Q71" t="s">
        <v>36</v>
      </c>
      <c r="R71" t="s">
        <v>43</v>
      </c>
      <c r="S71" t="s">
        <v>44</v>
      </c>
      <c r="T71" t="s">
        <v>52</v>
      </c>
      <c r="U71" t="s">
        <v>298</v>
      </c>
      <c r="V71">
        <v>43300</v>
      </c>
      <c r="W71" t="s">
        <v>43</v>
      </c>
      <c r="X71" t="s">
        <v>62</v>
      </c>
      <c r="Y71" t="s">
        <v>49</v>
      </c>
      <c r="Z71" s="12">
        <f>IF(N71&lt;=1,7,7+0.8*ROUNDUP(N71-1,0))</f>
        <v>13.4</v>
      </c>
      <c r="AA71" s="11">
        <v>0</v>
      </c>
      <c r="AB71" s="11">
        <v>0</v>
      </c>
      <c r="AC71" s="11">
        <v>0</v>
      </c>
      <c r="AD71" s="11">
        <v>0</v>
      </c>
      <c r="AE71" s="11">
        <f t="shared" si="2"/>
        <v>0.80399999999999994</v>
      </c>
      <c r="AF71" s="11">
        <f t="shared" si="3"/>
        <v>14.204000000000001</v>
      </c>
      <c r="AG71" t="s">
        <v>43</v>
      </c>
    </row>
    <row r="72" spans="1:33" ht="15" customHeight="1" x14ac:dyDescent="0.35">
      <c r="A72">
        <v>690929</v>
      </c>
      <c r="B72" t="s">
        <v>33</v>
      </c>
      <c r="C72" t="s">
        <v>34</v>
      </c>
      <c r="D72" s="6" t="s">
        <v>33</v>
      </c>
      <c r="E72" t="s">
        <v>299</v>
      </c>
      <c r="F72" t="s">
        <v>36</v>
      </c>
      <c r="G72" t="s">
        <v>37</v>
      </c>
      <c r="H72" t="s">
        <v>297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8</v>
      </c>
      <c r="O72" s="8">
        <v>45007.768460648149</v>
      </c>
      <c r="P72" s="9">
        <v>45010</v>
      </c>
      <c r="Q72" t="s">
        <v>36</v>
      </c>
      <c r="R72" t="s">
        <v>43</v>
      </c>
      <c r="S72" t="s">
        <v>44</v>
      </c>
      <c r="T72" t="s">
        <v>52</v>
      </c>
      <c r="U72" t="s">
        <v>298</v>
      </c>
      <c r="V72">
        <v>43300</v>
      </c>
      <c r="W72" t="s">
        <v>43</v>
      </c>
      <c r="X72" t="s">
        <v>54</v>
      </c>
      <c r="Y72" t="s">
        <v>49</v>
      </c>
      <c r="Z72" s="12">
        <f>IF(N72&lt;=1,7,7+0.8*ROUNDUP(N72-1,0))</f>
        <v>12.600000000000001</v>
      </c>
      <c r="AA72" s="11">
        <v>0</v>
      </c>
      <c r="AB72" s="11">
        <v>0</v>
      </c>
      <c r="AC72" s="11">
        <v>0</v>
      </c>
      <c r="AD72" s="11">
        <v>0</v>
      </c>
      <c r="AE72" s="11">
        <f t="shared" si="2"/>
        <v>0.75600000000000001</v>
      </c>
      <c r="AF72" s="11">
        <f t="shared" si="3"/>
        <v>13.356000000000002</v>
      </c>
      <c r="AG72" t="s">
        <v>43</v>
      </c>
    </row>
    <row r="73" spans="1:33" ht="15" customHeight="1" x14ac:dyDescent="0.35">
      <c r="A73">
        <v>690929</v>
      </c>
      <c r="B73" t="s">
        <v>33</v>
      </c>
      <c r="C73" t="s">
        <v>34</v>
      </c>
      <c r="D73" s="6" t="s">
        <v>33</v>
      </c>
      <c r="E73" t="s">
        <v>300</v>
      </c>
      <c r="F73" t="s">
        <v>36</v>
      </c>
      <c r="G73" t="s">
        <v>37</v>
      </c>
      <c r="H73" t="s">
        <v>301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1</v>
      </c>
      <c r="O73" s="8">
        <v>45008.717013888891</v>
      </c>
      <c r="P73" s="9">
        <v>45010</v>
      </c>
      <c r="Q73" t="s">
        <v>36</v>
      </c>
      <c r="R73" t="s">
        <v>43</v>
      </c>
      <c r="S73" t="s">
        <v>74</v>
      </c>
      <c r="T73" t="s">
        <v>178</v>
      </c>
      <c r="U73" t="s">
        <v>302</v>
      </c>
      <c r="V73">
        <v>51000</v>
      </c>
      <c r="W73" t="s">
        <v>43</v>
      </c>
      <c r="X73" t="s">
        <v>200</v>
      </c>
      <c r="Y73" t="s">
        <v>49</v>
      </c>
      <c r="Z73" s="12">
        <f>IF(N73&lt;=1,7,7+0.8*ROUNDUP(N73-1,0))</f>
        <v>7</v>
      </c>
      <c r="AA73" s="11">
        <v>0</v>
      </c>
      <c r="AB73" s="11">
        <v>0</v>
      </c>
      <c r="AC73" s="11">
        <v>0</v>
      </c>
      <c r="AD73" s="11">
        <v>0</v>
      </c>
      <c r="AE73" s="11">
        <f t="shared" si="2"/>
        <v>0.42</v>
      </c>
      <c r="AF73" s="11">
        <f t="shared" si="3"/>
        <v>7.42</v>
      </c>
      <c r="AG73" t="s">
        <v>43</v>
      </c>
    </row>
    <row r="74" spans="1:33" ht="15" customHeight="1" x14ac:dyDescent="0.35">
      <c r="A74">
        <v>690929</v>
      </c>
      <c r="B74" t="s">
        <v>33</v>
      </c>
      <c r="C74" t="s">
        <v>34</v>
      </c>
      <c r="D74" s="6" t="s">
        <v>33</v>
      </c>
      <c r="E74" t="s">
        <v>303</v>
      </c>
      <c r="F74" t="s">
        <v>36</v>
      </c>
      <c r="G74" t="s">
        <v>37</v>
      </c>
      <c r="H74" t="s">
        <v>304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3</v>
      </c>
      <c r="O74" s="8">
        <v>45006.557650462964</v>
      </c>
      <c r="P74" s="9">
        <v>45010</v>
      </c>
      <c r="Q74" t="s">
        <v>36</v>
      </c>
      <c r="R74" t="s">
        <v>43</v>
      </c>
      <c r="S74" t="s">
        <v>44</v>
      </c>
      <c r="T74" t="s">
        <v>104</v>
      </c>
      <c r="U74" t="s">
        <v>305</v>
      </c>
      <c r="V74">
        <v>83000</v>
      </c>
      <c r="W74" t="s">
        <v>43</v>
      </c>
      <c r="X74" t="s">
        <v>306</v>
      </c>
      <c r="Y74" t="s">
        <v>49</v>
      </c>
      <c r="Z74" s="12">
        <f>IF(N74&lt;=1,7,7+0.8*ROUNDUP(N74-1,0))</f>
        <v>8.6</v>
      </c>
      <c r="AA74" s="11">
        <v>0</v>
      </c>
      <c r="AB74" s="11">
        <v>0</v>
      </c>
      <c r="AC74" s="11">
        <v>0</v>
      </c>
      <c r="AD74" s="11">
        <v>0</v>
      </c>
      <c r="AE74" s="11">
        <f t="shared" si="2"/>
        <v>0.51600000000000001</v>
      </c>
      <c r="AF74" s="11">
        <f t="shared" si="3"/>
        <v>9.1159999999999997</v>
      </c>
      <c r="AG74" t="s">
        <v>43</v>
      </c>
    </row>
    <row r="75" spans="1:33" ht="15" customHeight="1" x14ac:dyDescent="0.35">
      <c r="A75">
        <v>690929</v>
      </c>
      <c r="B75" t="s">
        <v>33</v>
      </c>
      <c r="C75" t="s">
        <v>34</v>
      </c>
      <c r="D75" s="6" t="s">
        <v>33</v>
      </c>
      <c r="E75" t="s">
        <v>307</v>
      </c>
      <c r="F75" t="s">
        <v>36</v>
      </c>
      <c r="G75" t="s">
        <v>37</v>
      </c>
      <c r="H75" t="s">
        <v>308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3</v>
      </c>
      <c r="O75" s="8">
        <v>45008.68650462963</v>
      </c>
      <c r="P75" s="9">
        <v>45010</v>
      </c>
      <c r="Q75" t="s">
        <v>36</v>
      </c>
      <c r="R75" t="s">
        <v>43</v>
      </c>
      <c r="S75" t="s">
        <v>74</v>
      </c>
      <c r="T75" t="s">
        <v>92</v>
      </c>
      <c r="U75" t="s">
        <v>309</v>
      </c>
      <c r="V75">
        <v>22300</v>
      </c>
      <c r="W75" t="s">
        <v>43</v>
      </c>
      <c r="X75" t="s">
        <v>291</v>
      </c>
      <c r="Y75" t="s">
        <v>49</v>
      </c>
      <c r="Z75" s="12">
        <f>IF(N75&lt;=1,7,7+0.8*ROUNDUP(N75-1,0))</f>
        <v>8.6</v>
      </c>
      <c r="AA75" s="11">
        <v>0</v>
      </c>
      <c r="AB75" s="11">
        <v>0</v>
      </c>
      <c r="AC75" s="11">
        <v>0</v>
      </c>
      <c r="AD75" s="11">
        <v>0</v>
      </c>
      <c r="AE75" s="11">
        <f t="shared" si="2"/>
        <v>0.51600000000000001</v>
      </c>
      <c r="AF75" s="11">
        <f t="shared" si="3"/>
        <v>9.1159999999999997</v>
      </c>
      <c r="AG75" t="s">
        <v>43</v>
      </c>
    </row>
    <row r="76" spans="1:33" ht="15" customHeight="1" x14ac:dyDescent="0.35">
      <c r="A76">
        <v>690929</v>
      </c>
      <c r="B76" t="s">
        <v>33</v>
      </c>
      <c r="C76" t="s">
        <v>34</v>
      </c>
      <c r="D76" s="6" t="s">
        <v>33</v>
      </c>
      <c r="E76" t="s">
        <v>310</v>
      </c>
      <c r="F76" t="s">
        <v>36</v>
      </c>
      <c r="G76" t="s">
        <v>37</v>
      </c>
      <c r="H76" t="s">
        <v>311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3</v>
      </c>
      <c r="O76" s="8">
        <v>45008.67119212963</v>
      </c>
      <c r="P76" s="9">
        <v>45010</v>
      </c>
      <c r="Q76" t="s">
        <v>36</v>
      </c>
      <c r="R76" t="s">
        <v>43</v>
      </c>
      <c r="S76" t="s">
        <v>74</v>
      </c>
      <c r="T76" t="s">
        <v>52</v>
      </c>
      <c r="U76" t="s">
        <v>312</v>
      </c>
      <c r="V76">
        <v>56100</v>
      </c>
      <c r="W76" t="s">
        <v>43</v>
      </c>
      <c r="X76" t="s">
        <v>313</v>
      </c>
      <c r="Y76" t="s">
        <v>49</v>
      </c>
      <c r="Z76" s="12">
        <f>IF(N76&lt;=1,7,7+0.8*ROUNDUP(N76-1,0))</f>
        <v>8.6</v>
      </c>
      <c r="AA76" s="11">
        <v>0</v>
      </c>
      <c r="AB76" s="11">
        <v>0</v>
      </c>
      <c r="AC76" s="11">
        <v>0</v>
      </c>
      <c r="AD76" s="11">
        <v>0</v>
      </c>
      <c r="AE76" s="11">
        <f t="shared" si="2"/>
        <v>0.51600000000000001</v>
      </c>
      <c r="AF76" s="11">
        <f t="shared" si="3"/>
        <v>9.1159999999999997</v>
      </c>
      <c r="AG76" t="s">
        <v>43</v>
      </c>
    </row>
    <row r="77" spans="1:33" ht="15" customHeight="1" x14ac:dyDescent="0.35">
      <c r="A77">
        <v>690929</v>
      </c>
      <c r="B77" t="s">
        <v>33</v>
      </c>
      <c r="C77" t="s">
        <v>34</v>
      </c>
      <c r="D77" s="6" t="s">
        <v>33</v>
      </c>
      <c r="E77" t="s">
        <v>314</v>
      </c>
      <c r="F77" t="s">
        <v>36</v>
      </c>
      <c r="G77" t="s">
        <v>37</v>
      </c>
      <c r="H77" t="s">
        <v>315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1</v>
      </c>
      <c r="O77" s="8">
        <v>45006.756793981483</v>
      </c>
      <c r="P77" s="9">
        <v>45010</v>
      </c>
      <c r="Q77" t="s">
        <v>36</v>
      </c>
      <c r="R77" t="s">
        <v>43</v>
      </c>
      <c r="S77" t="s">
        <v>44</v>
      </c>
      <c r="T77" t="s">
        <v>316</v>
      </c>
      <c r="U77" t="s">
        <v>317</v>
      </c>
      <c r="V77">
        <v>11700</v>
      </c>
      <c r="W77" t="s">
        <v>43</v>
      </c>
      <c r="X77" t="s">
        <v>62</v>
      </c>
      <c r="Y77" t="s">
        <v>49</v>
      </c>
      <c r="Z77" s="12">
        <f>IF(N77&lt;=1,7,7+0.8*ROUNDUP(N77-1,0))</f>
        <v>7</v>
      </c>
      <c r="AA77" s="11">
        <v>0</v>
      </c>
      <c r="AB77" s="11">
        <v>0</v>
      </c>
      <c r="AC77" s="11">
        <v>0</v>
      </c>
      <c r="AD77" s="11">
        <v>0</v>
      </c>
      <c r="AE77" s="11">
        <f t="shared" si="2"/>
        <v>0.42</v>
      </c>
      <c r="AF77" s="11">
        <f t="shared" si="3"/>
        <v>7.42</v>
      </c>
      <c r="AG77" t="s">
        <v>43</v>
      </c>
    </row>
    <row r="78" spans="1:33" ht="15" customHeight="1" x14ac:dyDescent="0.35">
      <c r="A78">
        <v>690929</v>
      </c>
      <c r="B78" t="s">
        <v>33</v>
      </c>
      <c r="C78" t="s">
        <v>34</v>
      </c>
      <c r="D78" s="6" t="s">
        <v>33</v>
      </c>
      <c r="E78" t="s">
        <v>318</v>
      </c>
      <c r="F78" t="s">
        <v>36</v>
      </c>
      <c r="G78" t="s">
        <v>37</v>
      </c>
      <c r="H78" t="s">
        <v>319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4</v>
      </c>
      <c r="O78" s="8">
        <v>45010.529305555552</v>
      </c>
      <c r="P78" s="9">
        <v>45011</v>
      </c>
      <c r="Q78" t="s">
        <v>36</v>
      </c>
      <c r="R78" t="s">
        <v>43</v>
      </c>
      <c r="S78" t="s">
        <v>44</v>
      </c>
      <c r="T78" t="s">
        <v>92</v>
      </c>
      <c r="U78" t="s">
        <v>320</v>
      </c>
      <c r="V78">
        <v>23100</v>
      </c>
      <c r="W78" t="s">
        <v>43</v>
      </c>
      <c r="X78" t="s">
        <v>321</v>
      </c>
      <c r="Y78" t="s">
        <v>49</v>
      </c>
      <c r="Z78" s="12">
        <f>IF(N78&lt;=1,7,7+0.8*ROUNDUP(N78-1,0))</f>
        <v>9.4</v>
      </c>
      <c r="AA78" s="11">
        <v>0</v>
      </c>
      <c r="AB78" s="11">
        <v>0</v>
      </c>
      <c r="AC78" s="11">
        <v>0</v>
      </c>
      <c r="AD78" s="11">
        <v>0</v>
      </c>
      <c r="AE78" s="11">
        <f t="shared" si="2"/>
        <v>0.56399999999999995</v>
      </c>
      <c r="AF78" s="11">
        <f t="shared" si="3"/>
        <v>9.9640000000000004</v>
      </c>
      <c r="AG78" t="s">
        <v>43</v>
      </c>
    </row>
    <row r="79" spans="1:33" ht="15" customHeight="1" x14ac:dyDescent="0.35">
      <c r="A79">
        <v>690929</v>
      </c>
      <c r="B79" t="s">
        <v>33</v>
      </c>
      <c r="C79" t="s">
        <v>34</v>
      </c>
      <c r="D79" s="6" t="s">
        <v>33</v>
      </c>
      <c r="E79" t="s">
        <v>322</v>
      </c>
      <c r="F79" t="s">
        <v>36</v>
      </c>
      <c r="G79" t="s">
        <v>37</v>
      </c>
      <c r="H79" t="s">
        <v>323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3</v>
      </c>
      <c r="O79" s="8">
        <v>45008.67114583333</v>
      </c>
      <c r="P79" s="9">
        <v>45011</v>
      </c>
      <c r="Q79" t="s">
        <v>36</v>
      </c>
      <c r="R79" t="s">
        <v>43</v>
      </c>
      <c r="S79" t="s">
        <v>74</v>
      </c>
      <c r="T79" t="s">
        <v>137</v>
      </c>
      <c r="U79" t="s">
        <v>324</v>
      </c>
      <c r="V79">
        <v>31500</v>
      </c>
      <c r="W79" t="s">
        <v>43</v>
      </c>
      <c r="X79" t="s">
        <v>325</v>
      </c>
      <c r="Y79" t="s">
        <v>49</v>
      </c>
      <c r="Z79" s="12">
        <f>IF(N79&lt;=1,7,7+0.8*ROUNDUP(N79-1,0))</f>
        <v>8.6</v>
      </c>
      <c r="AA79" s="11">
        <v>0</v>
      </c>
      <c r="AB79" s="11">
        <v>0</v>
      </c>
      <c r="AC79" s="11">
        <v>0</v>
      </c>
      <c r="AD79" s="11">
        <v>0</v>
      </c>
      <c r="AE79" s="11">
        <f t="shared" si="2"/>
        <v>0.51600000000000001</v>
      </c>
      <c r="AF79" s="11">
        <f t="shared" si="3"/>
        <v>9.1159999999999997</v>
      </c>
      <c r="AG79" t="s">
        <v>43</v>
      </c>
    </row>
    <row r="80" spans="1:33" ht="15" customHeight="1" x14ac:dyDescent="0.35">
      <c r="A80">
        <v>690929</v>
      </c>
      <c r="B80" t="s">
        <v>33</v>
      </c>
      <c r="C80" t="s">
        <v>34</v>
      </c>
      <c r="D80" s="6" t="s">
        <v>33</v>
      </c>
      <c r="E80" t="s">
        <v>326</v>
      </c>
      <c r="F80" t="s">
        <v>36</v>
      </c>
      <c r="G80" t="s">
        <v>37</v>
      </c>
      <c r="H80" t="s">
        <v>327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3</v>
      </c>
      <c r="O80" s="8">
        <v>45010.631840277776</v>
      </c>
      <c r="P80" s="9">
        <v>45011</v>
      </c>
      <c r="Q80" t="s">
        <v>36</v>
      </c>
      <c r="R80" t="s">
        <v>43</v>
      </c>
      <c r="S80" t="s">
        <v>44</v>
      </c>
      <c r="T80" t="s">
        <v>52</v>
      </c>
      <c r="U80" t="s">
        <v>328</v>
      </c>
      <c r="V80">
        <v>42700</v>
      </c>
      <c r="W80" t="s">
        <v>43</v>
      </c>
      <c r="X80" t="s">
        <v>329</v>
      </c>
      <c r="Y80" t="s">
        <v>49</v>
      </c>
      <c r="Z80" s="12">
        <f>IF(N80&lt;=1,7,7+0.8*ROUNDUP(N80-1,0))</f>
        <v>8.6</v>
      </c>
      <c r="AA80" s="11">
        <v>0</v>
      </c>
      <c r="AB80" s="11">
        <v>0</v>
      </c>
      <c r="AC80" s="11">
        <v>0</v>
      </c>
      <c r="AD80" s="11">
        <v>0</v>
      </c>
      <c r="AE80" s="11">
        <f t="shared" si="2"/>
        <v>0.51600000000000001</v>
      </c>
      <c r="AF80" s="11">
        <f t="shared" si="3"/>
        <v>9.1159999999999997</v>
      </c>
      <c r="AG80" t="s">
        <v>43</v>
      </c>
    </row>
    <row r="81" spans="1:33" ht="15" customHeight="1" x14ac:dyDescent="0.35">
      <c r="A81">
        <v>690929</v>
      </c>
      <c r="B81" t="s">
        <v>33</v>
      </c>
      <c r="C81" t="s">
        <v>34</v>
      </c>
      <c r="D81" s="6" t="s">
        <v>33</v>
      </c>
      <c r="E81" t="s">
        <v>330</v>
      </c>
      <c r="F81" t="s">
        <v>36</v>
      </c>
      <c r="G81" t="s">
        <v>37</v>
      </c>
      <c r="H81" t="s">
        <v>331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3</v>
      </c>
      <c r="O81" s="8">
        <v>45008.717013888891</v>
      </c>
      <c r="P81" s="9">
        <v>45011</v>
      </c>
      <c r="Q81" t="s">
        <v>36</v>
      </c>
      <c r="R81" t="s">
        <v>43</v>
      </c>
      <c r="S81" t="s">
        <v>74</v>
      </c>
      <c r="T81" t="s">
        <v>149</v>
      </c>
      <c r="U81" t="s">
        <v>332</v>
      </c>
      <c r="V81">
        <v>9300</v>
      </c>
      <c r="W81" t="s">
        <v>43</v>
      </c>
      <c r="X81" t="s">
        <v>192</v>
      </c>
      <c r="Y81" t="s">
        <v>49</v>
      </c>
      <c r="Z81" s="12">
        <f>IF(N81&lt;=1,7,7+0.8*ROUNDUP(N81-1,0))</f>
        <v>8.6</v>
      </c>
      <c r="AA81" s="11">
        <v>0</v>
      </c>
      <c r="AB81" s="11">
        <v>0</v>
      </c>
      <c r="AC81" s="11">
        <v>0</v>
      </c>
      <c r="AD81" s="11">
        <v>0</v>
      </c>
      <c r="AE81" s="11">
        <f t="shared" si="2"/>
        <v>0.51600000000000001</v>
      </c>
      <c r="AF81" s="11">
        <f t="shared" si="3"/>
        <v>9.1159999999999997</v>
      </c>
      <c r="AG81" t="s">
        <v>43</v>
      </c>
    </row>
    <row r="82" spans="1:33" ht="15" customHeight="1" x14ac:dyDescent="0.35">
      <c r="A82">
        <v>690929</v>
      </c>
      <c r="B82" t="s">
        <v>33</v>
      </c>
      <c r="C82" t="s">
        <v>34</v>
      </c>
      <c r="D82" s="6" t="s">
        <v>33</v>
      </c>
      <c r="E82" t="s">
        <v>333</v>
      </c>
      <c r="F82" t="s">
        <v>36</v>
      </c>
      <c r="G82" t="s">
        <v>37</v>
      </c>
      <c r="H82" t="s">
        <v>334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5</v>
      </c>
      <c r="O82" s="8">
        <v>45010.631840277776</v>
      </c>
      <c r="P82" s="9">
        <v>45011</v>
      </c>
      <c r="Q82" t="s">
        <v>36</v>
      </c>
      <c r="R82" t="s">
        <v>43</v>
      </c>
      <c r="S82" t="s">
        <v>44</v>
      </c>
      <c r="T82" t="s">
        <v>92</v>
      </c>
      <c r="U82" t="s">
        <v>335</v>
      </c>
      <c r="V82">
        <v>21100</v>
      </c>
      <c r="W82" t="s">
        <v>43</v>
      </c>
      <c r="X82" t="s">
        <v>336</v>
      </c>
      <c r="Y82" t="s">
        <v>49</v>
      </c>
      <c r="Z82" s="12">
        <f>IF(N82&lt;=1,7,7+0.8*ROUNDUP(N82-1,0))</f>
        <v>10.199999999999999</v>
      </c>
      <c r="AA82" s="11">
        <v>0</v>
      </c>
      <c r="AB82" s="11">
        <v>0</v>
      </c>
      <c r="AC82" s="11">
        <v>0</v>
      </c>
      <c r="AD82" s="11">
        <v>0</v>
      </c>
      <c r="AE82" s="11">
        <f t="shared" si="2"/>
        <v>0.61199999999999999</v>
      </c>
      <c r="AF82" s="11">
        <f t="shared" si="3"/>
        <v>10.811999999999999</v>
      </c>
      <c r="AG82" t="s">
        <v>43</v>
      </c>
    </row>
    <row r="83" spans="1:33" ht="15" customHeight="1" x14ac:dyDescent="0.35">
      <c r="A83">
        <v>690929</v>
      </c>
      <c r="B83" t="s">
        <v>33</v>
      </c>
      <c r="C83" t="s">
        <v>34</v>
      </c>
      <c r="D83" s="6" t="s">
        <v>33</v>
      </c>
      <c r="E83" t="s">
        <v>337</v>
      </c>
      <c r="F83" t="s">
        <v>36</v>
      </c>
      <c r="G83" t="s">
        <v>37</v>
      </c>
      <c r="H83" t="s">
        <v>338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14</v>
      </c>
      <c r="O83" s="8">
        <v>45010.631840277776</v>
      </c>
      <c r="P83" s="9">
        <v>45011</v>
      </c>
      <c r="Q83" t="s">
        <v>36</v>
      </c>
      <c r="R83" t="s">
        <v>43</v>
      </c>
      <c r="S83" t="s">
        <v>44</v>
      </c>
      <c r="T83" t="s">
        <v>92</v>
      </c>
      <c r="U83" t="s">
        <v>339</v>
      </c>
      <c r="V83">
        <v>24000</v>
      </c>
      <c r="W83" t="s">
        <v>43</v>
      </c>
      <c r="X83" t="s">
        <v>340</v>
      </c>
      <c r="Y83" t="s">
        <v>49</v>
      </c>
      <c r="Z83" s="12">
        <f>IF(N83&lt;=1,7,7+0.8*ROUNDUP(N83-1,0))</f>
        <v>17.399999999999999</v>
      </c>
      <c r="AA83" s="11">
        <v>0</v>
      </c>
      <c r="AB83" s="11">
        <v>0</v>
      </c>
      <c r="AC83" s="11">
        <v>0</v>
      </c>
      <c r="AD83" s="11">
        <v>0</v>
      </c>
      <c r="AE83" s="11">
        <f t="shared" si="2"/>
        <v>1.0439999999999998</v>
      </c>
      <c r="AF83" s="11">
        <f t="shared" si="3"/>
        <v>18.443999999999999</v>
      </c>
      <c r="AG83" t="s">
        <v>43</v>
      </c>
    </row>
    <row r="84" spans="1:33" ht="15" customHeight="1" x14ac:dyDescent="0.35">
      <c r="A84">
        <v>690929</v>
      </c>
      <c r="B84" t="s">
        <v>33</v>
      </c>
      <c r="C84" t="s">
        <v>34</v>
      </c>
      <c r="D84" s="6" t="s">
        <v>33</v>
      </c>
      <c r="E84" t="s">
        <v>341</v>
      </c>
      <c r="F84" t="s">
        <v>36</v>
      </c>
      <c r="G84" t="s">
        <v>37</v>
      </c>
      <c r="H84" t="s">
        <v>342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1</v>
      </c>
      <c r="O84" s="8">
        <v>45010.422037037039</v>
      </c>
      <c r="P84" s="9">
        <v>45012</v>
      </c>
      <c r="Q84" t="s">
        <v>36</v>
      </c>
      <c r="R84" t="s">
        <v>43</v>
      </c>
      <c r="S84" t="s">
        <v>44</v>
      </c>
      <c r="T84" t="s">
        <v>104</v>
      </c>
      <c r="U84" t="s">
        <v>343</v>
      </c>
      <c r="V84">
        <v>86400</v>
      </c>
      <c r="W84" t="s">
        <v>43</v>
      </c>
      <c r="X84" t="s">
        <v>344</v>
      </c>
      <c r="Y84" t="s">
        <v>49</v>
      </c>
      <c r="Z84" s="12">
        <f>IF(N84&lt;=1,7,7+0.8*ROUNDUP(N84-1,0))</f>
        <v>7</v>
      </c>
      <c r="AA84" s="11">
        <v>0</v>
      </c>
      <c r="AB84" s="11">
        <v>0</v>
      </c>
      <c r="AC84" s="11">
        <v>0</v>
      </c>
      <c r="AD84" s="11">
        <v>0</v>
      </c>
      <c r="AE84" s="11">
        <f t="shared" si="2"/>
        <v>0.42</v>
      </c>
      <c r="AF84" s="11">
        <f t="shared" si="3"/>
        <v>7.42</v>
      </c>
      <c r="AG84" t="s">
        <v>43</v>
      </c>
    </row>
    <row r="85" spans="1:33" ht="15" customHeight="1" x14ac:dyDescent="0.35">
      <c r="A85">
        <v>690929</v>
      </c>
      <c r="B85" t="s">
        <v>33</v>
      </c>
      <c r="C85" t="s">
        <v>34</v>
      </c>
      <c r="D85" s="6" t="s">
        <v>33</v>
      </c>
      <c r="E85" t="s">
        <v>345</v>
      </c>
      <c r="F85" t="s">
        <v>36</v>
      </c>
      <c r="G85" t="s">
        <v>37</v>
      </c>
      <c r="H85" t="s">
        <v>346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5</v>
      </c>
      <c r="O85" s="8">
        <v>45010.631840277776</v>
      </c>
      <c r="P85" s="9">
        <v>45012</v>
      </c>
      <c r="Q85" t="s">
        <v>36</v>
      </c>
      <c r="R85" t="s">
        <v>43</v>
      </c>
      <c r="S85" t="s">
        <v>44</v>
      </c>
      <c r="T85" t="s">
        <v>183</v>
      </c>
      <c r="U85" t="s">
        <v>347</v>
      </c>
      <c r="V85">
        <v>75250</v>
      </c>
      <c r="W85" t="s">
        <v>43</v>
      </c>
      <c r="X85" t="s">
        <v>348</v>
      </c>
      <c r="Y85" t="s">
        <v>49</v>
      </c>
      <c r="Z85" s="12">
        <f>IF(N85&lt;=1,7,7+0.8*ROUNDUP(N85-1,0))</f>
        <v>10.199999999999999</v>
      </c>
      <c r="AA85" s="11">
        <v>0</v>
      </c>
      <c r="AB85" s="11">
        <v>0</v>
      </c>
      <c r="AC85" s="11">
        <v>0</v>
      </c>
      <c r="AD85" s="11">
        <v>0</v>
      </c>
      <c r="AE85" s="11">
        <f t="shared" si="2"/>
        <v>0.61199999999999999</v>
      </c>
      <c r="AF85" s="11">
        <f t="shared" si="3"/>
        <v>10.811999999999999</v>
      </c>
      <c r="AG85" t="s">
        <v>43</v>
      </c>
    </row>
    <row r="86" spans="1:33" ht="15" customHeight="1" x14ac:dyDescent="0.35">
      <c r="A86">
        <v>690929</v>
      </c>
      <c r="B86" t="s">
        <v>33</v>
      </c>
      <c r="C86" t="s">
        <v>34</v>
      </c>
      <c r="D86" s="6" t="s">
        <v>33</v>
      </c>
      <c r="E86" t="s">
        <v>349</v>
      </c>
      <c r="F86" t="s">
        <v>36</v>
      </c>
      <c r="G86" t="s">
        <v>37</v>
      </c>
      <c r="H86" t="s">
        <v>350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1</v>
      </c>
      <c r="O86" s="8">
        <v>45010.651388888888</v>
      </c>
      <c r="P86" s="9">
        <v>45012</v>
      </c>
      <c r="Q86" t="s">
        <v>36</v>
      </c>
      <c r="R86" t="s">
        <v>43</v>
      </c>
      <c r="S86" t="s">
        <v>44</v>
      </c>
      <c r="T86" t="s">
        <v>52</v>
      </c>
      <c r="U86" t="s">
        <v>351</v>
      </c>
      <c r="V86">
        <v>46000</v>
      </c>
      <c r="W86" t="s">
        <v>43</v>
      </c>
      <c r="X86" t="s">
        <v>62</v>
      </c>
      <c r="Y86" t="s">
        <v>49</v>
      </c>
      <c r="Z86" s="12">
        <f>IF(N86&lt;=1,7,7+0.8*ROUNDUP(N86-1,0))</f>
        <v>7</v>
      </c>
      <c r="AA86" s="11">
        <v>0</v>
      </c>
      <c r="AB86" s="11">
        <v>0</v>
      </c>
      <c r="AC86" s="11">
        <v>0</v>
      </c>
      <c r="AD86" s="11">
        <v>0</v>
      </c>
      <c r="AE86" s="11">
        <f t="shared" si="2"/>
        <v>0.42</v>
      </c>
      <c r="AF86" s="11">
        <f t="shared" si="3"/>
        <v>7.42</v>
      </c>
      <c r="AG86" t="s">
        <v>43</v>
      </c>
    </row>
    <row r="87" spans="1:33" ht="15" customHeight="1" x14ac:dyDescent="0.35">
      <c r="A87">
        <v>690929</v>
      </c>
      <c r="B87" t="s">
        <v>33</v>
      </c>
      <c r="C87" t="s">
        <v>34</v>
      </c>
      <c r="D87" s="6" t="s">
        <v>33</v>
      </c>
      <c r="E87" t="s">
        <v>352</v>
      </c>
      <c r="F87" t="s">
        <v>36</v>
      </c>
      <c r="G87" t="s">
        <v>37</v>
      </c>
      <c r="H87" t="s">
        <v>353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1</v>
      </c>
      <c r="O87" s="8">
        <v>45008.67633101852</v>
      </c>
      <c r="P87" s="9">
        <v>45012</v>
      </c>
      <c r="Q87" t="s">
        <v>36</v>
      </c>
      <c r="R87" t="s">
        <v>43</v>
      </c>
      <c r="S87" t="s">
        <v>74</v>
      </c>
      <c r="T87" t="s">
        <v>52</v>
      </c>
      <c r="U87" t="s">
        <v>354</v>
      </c>
      <c r="V87">
        <v>52200</v>
      </c>
      <c r="W87" t="s">
        <v>43</v>
      </c>
      <c r="X87" t="s">
        <v>355</v>
      </c>
      <c r="Y87" t="s">
        <v>49</v>
      </c>
      <c r="Z87" s="12">
        <f>IF(N87&lt;=1,7,7+0.8*ROUNDUP(N87-1,0))</f>
        <v>7</v>
      </c>
      <c r="AA87" s="11">
        <v>0</v>
      </c>
      <c r="AB87" s="11">
        <v>0</v>
      </c>
      <c r="AC87" s="11">
        <v>0</v>
      </c>
      <c r="AD87" s="11">
        <v>0</v>
      </c>
      <c r="AE87" s="11">
        <f t="shared" si="2"/>
        <v>0.42</v>
      </c>
      <c r="AF87" s="11">
        <f t="shared" si="3"/>
        <v>7.42</v>
      </c>
      <c r="AG87" t="s">
        <v>43</v>
      </c>
    </row>
    <row r="88" spans="1:33" ht="15" customHeight="1" x14ac:dyDescent="0.35">
      <c r="A88">
        <v>690929</v>
      </c>
      <c r="B88" t="s">
        <v>33</v>
      </c>
      <c r="C88" t="s">
        <v>34</v>
      </c>
      <c r="D88" s="6" t="s">
        <v>33</v>
      </c>
      <c r="E88" t="s">
        <v>356</v>
      </c>
      <c r="F88" t="s">
        <v>36</v>
      </c>
      <c r="G88" t="s">
        <v>37</v>
      </c>
      <c r="H88" t="s">
        <v>357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1</v>
      </c>
      <c r="O88" s="8">
        <v>45011.542534722219</v>
      </c>
      <c r="P88" s="9">
        <v>45012</v>
      </c>
      <c r="Q88" t="s">
        <v>36</v>
      </c>
      <c r="R88" t="s">
        <v>43</v>
      </c>
      <c r="S88" t="s">
        <v>44</v>
      </c>
      <c r="T88" t="s">
        <v>92</v>
      </c>
      <c r="U88" t="s">
        <v>358</v>
      </c>
      <c r="V88">
        <v>21080</v>
      </c>
      <c r="W88" t="s">
        <v>43</v>
      </c>
      <c r="X88" t="s">
        <v>44</v>
      </c>
      <c r="Y88" t="s">
        <v>49</v>
      </c>
      <c r="Z88" s="12">
        <f>IF(N88&lt;=1,7,7+0.8*ROUNDUP(N88-1,0))</f>
        <v>7</v>
      </c>
      <c r="AA88" s="11">
        <v>0</v>
      </c>
      <c r="AB88" s="11">
        <v>0</v>
      </c>
      <c r="AC88" s="11">
        <v>0</v>
      </c>
      <c r="AD88" s="11">
        <v>0</v>
      </c>
      <c r="AE88" s="11">
        <f t="shared" si="2"/>
        <v>0.42</v>
      </c>
      <c r="AF88" s="11">
        <f t="shared" si="3"/>
        <v>7.42</v>
      </c>
      <c r="AG88" t="s">
        <v>43</v>
      </c>
    </row>
    <row r="89" spans="1:33" ht="15" customHeight="1" x14ac:dyDescent="0.35">
      <c r="A89">
        <v>690929</v>
      </c>
      <c r="B89" t="s">
        <v>33</v>
      </c>
      <c r="C89" t="s">
        <v>34</v>
      </c>
      <c r="D89" s="6" t="s">
        <v>33</v>
      </c>
      <c r="E89" t="s">
        <v>359</v>
      </c>
      <c r="F89" t="s">
        <v>36</v>
      </c>
      <c r="G89" t="s">
        <v>37</v>
      </c>
      <c r="H89" t="s">
        <v>360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5</v>
      </c>
      <c r="O89" s="8">
        <v>45010.549560185187</v>
      </c>
      <c r="P89" s="9">
        <v>45012</v>
      </c>
      <c r="Q89" t="s">
        <v>36</v>
      </c>
      <c r="R89" t="s">
        <v>43</v>
      </c>
      <c r="S89" t="s">
        <v>44</v>
      </c>
      <c r="T89" t="s">
        <v>104</v>
      </c>
      <c r="U89" t="s">
        <v>361</v>
      </c>
      <c r="V89">
        <v>81000</v>
      </c>
      <c r="W89" t="s">
        <v>43</v>
      </c>
      <c r="X89" t="s">
        <v>362</v>
      </c>
      <c r="Y89" t="s">
        <v>49</v>
      </c>
      <c r="Z89" s="12">
        <f>IF(N89&lt;=1,7,7+0.8*ROUNDUP(N89-1,0))</f>
        <v>10.199999999999999</v>
      </c>
      <c r="AA89" s="11">
        <v>0</v>
      </c>
      <c r="AB89" s="11">
        <v>0</v>
      </c>
      <c r="AC89" s="11">
        <v>0</v>
      </c>
      <c r="AD89" s="11">
        <v>0</v>
      </c>
      <c r="AE89" s="11">
        <f t="shared" si="2"/>
        <v>0.61199999999999999</v>
      </c>
      <c r="AF89" s="11">
        <f t="shared" si="3"/>
        <v>10.811999999999999</v>
      </c>
      <c r="AG89" t="s">
        <v>43</v>
      </c>
    </row>
    <row r="90" spans="1:33" ht="15" customHeight="1" x14ac:dyDescent="0.35">
      <c r="A90">
        <v>690929</v>
      </c>
      <c r="B90" t="s">
        <v>33</v>
      </c>
      <c r="C90" t="s">
        <v>34</v>
      </c>
      <c r="D90" s="6" t="s">
        <v>33</v>
      </c>
      <c r="E90" t="s">
        <v>363</v>
      </c>
      <c r="F90" t="s">
        <v>36</v>
      </c>
      <c r="G90" t="s">
        <v>37</v>
      </c>
      <c r="H90" t="s">
        <v>364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3</v>
      </c>
      <c r="O90" s="8">
        <v>45010.437071759261</v>
      </c>
      <c r="P90" s="9">
        <v>45012</v>
      </c>
      <c r="Q90" t="s">
        <v>36</v>
      </c>
      <c r="R90" t="s">
        <v>43</v>
      </c>
      <c r="S90" t="s">
        <v>44</v>
      </c>
      <c r="T90" t="s">
        <v>149</v>
      </c>
      <c r="U90" t="s">
        <v>365</v>
      </c>
      <c r="V90">
        <v>6760</v>
      </c>
      <c r="W90" t="s">
        <v>43</v>
      </c>
      <c r="X90" t="s">
        <v>366</v>
      </c>
      <c r="Y90" t="s">
        <v>49</v>
      </c>
      <c r="Z90" s="12">
        <f>IF(N90&lt;=1,7,7+0.8*ROUNDUP(N90-1,0))</f>
        <v>8.6</v>
      </c>
      <c r="AA90" s="11">
        <v>0</v>
      </c>
      <c r="AB90" s="11">
        <v>0</v>
      </c>
      <c r="AC90" s="11">
        <v>0</v>
      </c>
      <c r="AD90" s="11">
        <v>0</v>
      </c>
      <c r="AE90" s="11">
        <f t="shared" si="2"/>
        <v>0.51600000000000001</v>
      </c>
      <c r="AF90" s="11">
        <f t="shared" si="3"/>
        <v>9.1159999999999997</v>
      </c>
      <c r="AG90" t="s">
        <v>43</v>
      </c>
    </row>
    <row r="91" spans="1:33" ht="15" customHeight="1" x14ac:dyDescent="0.35">
      <c r="A91">
        <v>690929</v>
      </c>
      <c r="B91" t="s">
        <v>33</v>
      </c>
      <c r="C91" t="s">
        <v>34</v>
      </c>
      <c r="D91" s="6" t="s">
        <v>33</v>
      </c>
      <c r="E91" t="s">
        <v>367</v>
      </c>
      <c r="F91" t="s">
        <v>36</v>
      </c>
      <c r="G91" t="s">
        <v>37</v>
      </c>
      <c r="H91" t="s">
        <v>368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1</v>
      </c>
      <c r="O91" s="8">
        <v>45010.593946759262</v>
      </c>
      <c r="P91" s="9">
        <v>45012</v>
      </c>
      <c r="Q91" t="s">
        <v>36</v>
      </c>
      <c r="R91" t="s">
        <v>43</v>
      </c>
      <c r="S91" t="s">
        <v>44</v>
      </c>
      <c r="T91" t="s">
        <v>52</v>
      </c>
      <c r="U91" t="s">
        <v>369</v>
      </c>
      <c r="V91">
        <v>43000</v>
      </c>
      <c r="W91" t="s">
        <v>43</v>
      </c>
      <c r="X91" t="s">
        <v>62</v>
      </c>
      <c r="Y91" t="s">
        <v>49</v>
      </c>
      <c r="Z91" s="12">
        <f>IF(N91&lt;=1,7,7+0.8*ROUNDUP(N91-1,0))</f>
        <v>7</v>
      </c>
      <c r="AA91" s="11">
        <v>0</v>
      </c>
      <c r="AB91" s="11">
        <v>0</v>
      </c>
      <c r="AC91" s="11">
        <v>0</v>
      </c>
      <c r="AD91" s="11">
        <v>0</v>
      </c>
      <c r="AE91" s="11">
        <f t="shared" si="2"/>
        <v>0.42</v>
      </c>
      <c r="AF91" s="11">
        <f t="shared" si="3"/>
        <v>7.42</v>
      </c>
      <c r="AG91" t="s">
        <v>43</v>
      </c>
    </row>
    <row r="92" spans="1:33" ht="15" customHeight="1" x14ac:dyDescent="0.35">
      <c r="A92">
        <v>690929</v>
      </c>
      <c r="B92" t="s">
        <v>33</v>
      </c>
      <c r="C92" t="s">
        <v>34</v>
      </c>
      <c r="D92" s="6" t="s">
        <v>33</v>
      </c>
      <c r="E92" t="s">
        <v>370</v>
      </c>
      <c r="F92" t="s">
        <v>36</v>
      </c>
      <c r="G92" t="s">
        <v>37</v>
      </c>
      <c r="H92" t="s">
        <v>371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5</v>
      </c>
      <c r="O92" s="8">
        <v>45010.631840277776</v>
      </c>
      <c r="P92" s="9">
        <v>45012</v>
      </c>
      <c r="Q92" t="s">
        <v>36</v>
      </c>
      <c r="R92" t="s">
        <v>43</v>
      </c>
      <c r="S92" t="s">
        <v>44</v>
      </c>
      <c r="T92" t="s">
        <v>104</v>
      </c>
      <c r="U92" t="s">
        <v>372</v>
      </c>
      <c r="V92">
        <v>81800</v>
      </c>
      <c r="W92" t="s">
        <v>43</v>
      </c>
      <c r="X92" t="s">
        <v>373</v>
      </c>
      <c r="Y92" t="s">
        <v>49</v>
      </c>
      <c r="Z92" s="12">
        <f>IF(N92&lt;=1,7,7+0.8*ROUNDUP(N92-1,0))</f>
        <v>10.199999999999999</v>
      </c>
      <c r="AA92" s="11">
        <v>0</v>
      </c>
      <c r="AB92" s="11">
        <v>0</v>
      </c>
      <c r="AC92" s="11">
        <v>0</v>
      </c>
      <c r="AD92" s="11">
        <v>0</v>
      </c>
      <c r="AE92" s="11">
        <f t="shared" si="2"/>
        <v>0.61199999999999999</v>
      </c>
      <c r="AF92" s="11">
        <f t="shared" si="3"/>
        <v>10.811999999999999</v>
      </c>
      <c r="AG92" t="s">
        <v>43</v>
      </c>
    </row>
    <row r="93" spans="1:33" ht="15" customHeight="1" x14ac:dyDescent="0.35">
      <c r="A93">
        <v>690929</v>
      </c>
      <c r="B93" t="s">
        <v>33</v>
      </c>
      <c r="C93" t="s">
        <v>34</v>
      </c>
      <c r="D93" s="6" t="s">
        <v>33</v>
      </c>
      <c r="E93" t="s">
        <v>374</v>
      </c>
      <c r="F93" t="s">
        <v>36</v>
      </c>
      <c r="G93" t="s">
        <v>37</v>
      </c>
      <c r="H93" t="s">
        <v>375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5</v>
      </c>
      <c r="O93" s="8">
        <v>45010.631840277776</v>
      </c>
      <c r="P93" s="9">
        <v>45012</v>
      </c>
      <c r="Q93" t="s">
        <v>36</v>
      </c>
      <c r="R93" t="s">
        <v>43</v>
      </c>
      <c r="S93" t="s">
        <v>44</v>
      </c>
      <c r="T93" t="s">
        <v>52</v>
      </c>
      <c r="U93" t="s">
        <v>376</v>
      </c>
      <c r="V93">
        <v>43800</v>
      </c>
      <c r="W93" t="s">
        <v>43</v>
      </c>
      <c r="X93" t="s">
        <v>377</v>
      </c>
      <c r="Y93" t="s">
        <v>49</v>
      </c>
      <c r="Z93" s="12">
        <f>IF(N93&lt;=1,7,7+0.8*ROUNDUP(N93-1,0))</f>
        <v>10.199999999999999</v>
      </c>
      <c r="AA93" s="11">
        <v>0</v>
      </c>
      <c r="AB93" s="11">
        <v>0</v>
      </c>
      <c r="AC93" s="11">
        <v>0</v>
      </c>
      <c r="AD93" s="11">
        <v>0</v>
      </c>
      <c r="AE93" s="11">
        <f t="shared" si="2"/>
        <v>0.61199999999999999</v>
      </c>
      <c r="AF93" s="11">
        <f t="shared" si="3"/>
        <v>10.811999999999999</v>
      </c>
      <c r="AG93" t="s">
        <v>43</v>
      </c>
    </row>
    <row r="94" spans="1:33" ht="15" customHeight="1" x14ac:dyDescent="0.35">
      <c r="A94">
        <v>690929</v>
      </c>
      <c r="B94" t="s">
        <v>33</v>
      </c>
      <c r="C94" t="s">
        <v>34</v>
      </c>
      <c r="D94" s="6" t="s">
        <v>33</v>
      </c>
      <c r="E94" t="s">
        <v>378</v>
      </c>
      <c r="F94" t="s">
        <v>36</v>
      </c>
      <c r="G94" t="s">
        <v>37</v>
      </c>
      <c r="H94" t="s">
        <v>379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8</v>
      </c>
      <c r="O94" s="8">
        <v>45010.631840277776</v>
      </c>
      <c r="P94" s="9">
        <v>45012</v>
      </c>
      <c r="Q94" t="s">
        <v>36</v>
      </c>
      <c r="R94" t="s">
        <v>43</v>
      </c>
      <c r="S94" t="s">
        <v>44</v>
      </c>
      <c r="T94" t="s">
        <v>316</v>
      </c>
      <c r="U94" t="s">
        <v>380</v>
      </c>
      <c r="V94">
        <v>13300</v>
      </c>
      <c r="W94" t="s">
        <v>43</v>
      </c>
      <c r="X94" t="s">
        <v>381</v>
      </c>
      <c r="Y94" t="s">
        <v>49</v>
      </c>
      <c r="Z94" s="12">
        <f>IF(N94&lt;=1,7,7+0.8*ROUNDUP(N94-1,0))</f>
        <v>12.600000000000001</v>
      </c>
      <c r="AA94" s="11">
        <v>0</v>
      </c>
      <c r="AB94" s="11">
        <v>0</v>
      </c>
      <c r="AC94" s="11">
        <v>0</v>
      </c>
      <c r="AD94" s="11">
        <v>0</v>
      </c>
      <c r="AE94" s="11">
        <f t="shared" si="2"/>
        <v>0.75600000000000001</v>
      </c>
      <c r="AF94" s="11">
        <f t="shared" si="3"/>
        <v>13.356000000000002</v>
      </c>
      <c r="AG94" t="s">
        <v>43</v>
      </c>
    </row>
    <row r="95" spans="1:33" ht="15" customHeight="1" x14ac:dyDescent="0.35">
      <c r="A95">
        <v>690929</v>
      </c>
      <c r="B95" t="s">
        <v>33</v>
      </c>
      <c r="C95" t="s">
        <v>34</v>
      </c>
      <c r="D95" s="6" t="s">
        <v>33</v>
      </c>
      <c r="E95" t="s">
        <v>382</v>
      </c>
      <c r="F95" t="s">
        <v>36</v>
      </c>
      <c r="G95" t="s">
        <v>37</v>
      </c>
      <c r="H95" t="s">
        <v>383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45010.610231481478</v>
      </c>
      <c r="P95" s="9">
        <v>45012</v>
      </c>
      <c r="Q95" t="s">
        <v>36</v>
      </c>
      <c r="R95" t="s">
        <v>43</v>
      </c>
      <c r="S95" t="s">
        <v>44</v>
      </c>
      <c r="T95" t="s">
        <v>52</v>
      </c>
      <c r="U95" t="s">
        <v>384</v>
      </c>
      <c r="V95">
        <v>56100</v>
      </c>
      <c r="W95" t="s">
        <v>43</v>
      </c>
      <c r="X95" t="s">
        <v>385</v>
      </c>
      <c r="Y95" t="s">
        <v>49</v>
      </c>
      <c r="Z95" s="12">
        <f>IF(N95&lt;=1,7,7+0.8*ROUNDUP(N95-1,0))</f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 t="shared" si="2"/>
        <v>0.42</v>
      </c>
      <c r="AF95" s="11">
        <f t="shared" si="3"/>
        <v>7.42</v>
      </c>
      <c r="AG95" t="s">
        <v>43</v>
      </c>
    </row>
    <row r="96" spans="1:33" ht="15" customHeight="1" x14ac:dyDescent="0.35">
      <c r="A96">
        <v>690929</v>
      </c>
      <c r="B96" t="s">
        <v>33</v>
      </c>
      <c r="C96" t="s">
        <v>34</v>
      </c>
      <c r="D96" s="6" t="s">
        <v>33</v>
      </c>
      <c r="E96" t="s">
        <v>386</v>
      </c>
      <c r="F96" t="s">
        <v>36</v>
      </c>
      <c r="G96" t="s">
        <v>37</v>
      </c>
      <c r="H96" t="s">
        <v>387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2</v>
      </c>
      <c r="O96" s="8">
        <v>45010.714594907404</v>
      </c>
      <c r="P96" s="9">
        <v>45012</v>
      </c>
      <c r="Q96" t="s">
        <v>36</v>
      </c>
      <c r="R96" t="s">
        <v>43</v>
      </c>
      <c r="S96" t="s">
        <v>44</v>
      </c>
      <c r="T96" t="s">
        <v>92</v>
      </c>
      <c r="U96" t="s">
        <v>388</v>
      </c>
      <c r="V96">
        <v>24200</v>
      </c>
      <c r="W96" t="s">
        <v>43</v>
      </c>
      <c r="X96" t="s">
        <v>44</v>
      </c>
      <c r="Y96" t="s">
        <v>49</v>
      </c>
      <c r="Z96" s="12">
        <f>IF(N96&lt;=1,7,7+0.8*ROUNDUP(N96-1,0))</f>
        <v>7.8</v>
      </c>
      <c r="AA96" s="11">
        <v>0</v>
      </c>
      <c r="AB96" s="11">
        <v>0</v>
      </c>
      <c r="AC96" s="11">
        <v>0</v>
      </c>
      <c r="AD96" s="11">
        <v>0</v>
      </c>
      <c r="AE96" s="11">
        <f t="shared" si="2"/>
        <v>0.46799999999999997</v>
      </c>
      <c r="AF96" s="11">
        <f t="shared" si="3"/>
        <v>8.2680000000000007</v>
      </c>
      <c r="AG96" t="s">
        <v>43</v>
      </c>
    </row>
    <row r="97" spans="1:33" ht="15" customHeight="1" x14ac:dyDescent="0.35">
      <c r="A97">
        <v>690929</v>
      </c>
      <c r="B97" t="s">
        <v>33</v>
      </c>
      <c r="C97" t="s">
        <v>34</v>
      </c>
      <c r="D97" s="6" t="s">
        <v>33</v>
      </c>
      <c r="E97" t="s">
        <v>389</v>
      </c>
      <c r="F97" t="s">
        <v>36</v>
      </c>
      <c r="G97" t="s">
        <v>37</v>
      </c>
      <c r="H97" t="s">
        <v>390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1</v>
      </c>
      <c r="O97" s="8">
        <v>45010.619837962964</v>
      </c>
      <c r="P97" s="9">
        <v>45012</v>
      </c>
      <c r="Q97" t="s">
        <v>36</v>
      </c>
      <c r="R97" t="s">
        <v>43</v>
      </c>
      <c r="S97" t="s">
        <v>44</v>
      </c>
      <c r="T97" t="s">
        <v>52</v>
      </c>
      <c r="U97" t="s">
        <v>391</v>
      </c>
      <c r="V97">
        <v>62300</v>
      </c>
      <c r="W97" t="s">
        <v>43</v>
      </c>
      <c r="X97" t="s">
        <v>385</v>
      </c>
      <c r="Y97" t="s">
        <v>49</v>
      </c>
      <c r="Z97" s="12">
        <f>IF(N97&lt;=1,7,7+0.8*ROUNDUP(N97-1,0))</f>
        <v>7</v>
      </c>
      <c r="AA97" s="11">
        <v>0</v>
      </c>
      <c r="AB97" s="11">
        <v>0</v>
      </c>
      <c r="AC97" s="11">
        <v>0</v>
      </c>
      <c r="AD97" s="11">
        <v>0</v>
      </c>
      <c r="AE97" s="11">
        <f t="shared" si="2"/>
        <v>0.42</v>
      </c>
      <c r="AF97" s="11">
        <f t="shared" si="3"/>
        <v>7.42</v>
      </c>
      <c r="AG97" t="s">
        <v>43</v>
      </c>
    </row>
    <row r="98" spans="1:33" ht="15" customHeight="1" x14ac:dyDescent="0.35">
      <c r="A98">
        <v>690929</v>
      </c>
      <c r="B98" t="s">
        <v>33</v>
      </c>
      <c r="C98" t="s">
        <v>34</v>
      </c>
      <c r="D98" s="6" t="s">
        <v>33</v>
      </c>
      <c r="E98" t="s">
        <v>392</v>
      </c>
      <c r="F98" t="s">
        <v>36</v>
      </c>
      <c r="G98" t="s">
        <v>37</v>
      </c>
      <c r="H98" t="s">
        <v>393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1</v>
      </c>
      <c r="O98" s="8">
        <v>45010.714594907404</v>
      </c>
      <c r="P98" s="9">
        <v>45012</v>
      </c>
      <c r="Q98" t="s">
        <v>36</v>
      </c>
      <c r="R98" t="s">
        <v>43</v>
      </c>
      <c r="S98" t="s">
        <v>44</v>
      </c>
      <c r="T98" t="s">
        <v>52</v>
      </c>
      <c r="U98" t="s">
        <v>394</v>
      </c>
      <c r="V98">
        <v>53100</v>
      </c>
      <c r="W98" t="s">
        <v>43</v>
      </c>
      <c r="X98" t="s">
        <v>62</v>
      </c>
      <c r="Y98" t="s">
        <v>49</v>
      </c>
      <c r="Z98" s="12">
        <f>IF(N98&lt;=1,7,7+0.8*ROUNDUP(N98-1,0))</f>
        <v>7</v>
      </c>
      <c r="AA98" s="11">
        <v>0</v>
      </c>
      <c r="AB98" s="11">
        <v>0</v>
      </c>
      <c r="AC98" s="11">
        <v>0</v>
      </c>
      <c r="AD98" s="11">
        <v>0</v>
      </c>
      <c r="AE98" s="11">
        <f t="shared" si="2"/>
        <v>0.42</v>
      </c>
      <c r="AF98" s="11">
        <f t="shared" si="3"/>
        <v>7.42</v>
      </c>
      <c r="AG98" t="s">
        <v>43</v>
      </c>
    </row>
    <row r="99" spans="1:33" ht="15" customHeight="1" x14ac:dyDescent="0.35">
      <c r="A99">
        <v>690929</v>
      </c>
      <c r="B99" t="s">
        <v>33</v>
      </c>
      <c r="C99" t="s">
        <v>34</v>
      </c>
      <c r="D99" s="6" t="s">
        <v>33</v>
      </c>
      <c r="E99" t="s">
        <v>395</v>
      </c>
      <c r="F99" t="s">
        <v>36</v>
      </c>
      <c r="G99" t="s">
        <v>37</v>
      </c>
      <c r="H99" t="s">
        <v>396</v>
      </c>
      <c r="I99" t="s">
        <v>39</v>
      </c>
      <c r="J99">
        <v>2</v>
      </c>
      <c r="K99" t="s">
        <v>40</v>
      </c>
      <c r="L99" t="s">
        <v>41</v>
      </c>
      <c r="M99" t="s">
        <v>42</v>
      </c>
      <c r="N99" s="7">
        <v>1</v>
      </c>
      <c r="O99" s="8">
        <v>45010.651388888888</v>
      </c>
      <c r="P99" s="9">
        <v>45013</v>
      </c>
      <c r="Q99" t="s">
        <v>36</v>
      </c>
      <c r="R99" t="s">
        <v>43</v>
      </c>
      <c r="S99" t="s">
        <v>44</v>
      </c>
      <c r="T99" t="s">
        <v>104</v>
      </c>
      <c r="U99" t="s">
        <v>397</v>
      </c>
      <c r="V99">
        <v>83000</v>
      </c>
      <c r="W99" t="s">
        <v>43</v>
      </c>
      <c r="X99" t="s">
        <v>306</v>
      </c>
      <c r="Y99" t="s">
        <v>49</v>
      </c>
      <c r="Z99" s="12">
        <f>IF(N99&lt;=1,7,7+0.8*ROUNDUP(N99-1,0))</f>
        <v>7</v>
      </c>
      <c r="AA99" s="11">
        <v>0</v>
      </c>
      <c r="AB99" s="11">
        <v>0</v>
      </c>
      <c r="AC99" s="11">
        <v>0</v>
      </c>
      <c r="AD99" s="11">
        <v>0</v>
      </c>
      <c r="AE99" s="11">
        <f t="shared" si="2"/>
        <v>0.42</v>
      </c>
      <c r="AF99" s="11">
        <f t="shared" si="3"/>
        <v>7.42</v>
      </c>
      <c r="AG99" t="s">
        <v>43</v>
      </c>
    </row>
    <row r="100" spans="1:33" ht="15" customHeight="1" x14ac:dyDescent="0.35">
      <c r="A100">
        <v>690929</v>
      </c>
      <c r="B100" t="s">
        <v>33</v>
      </c>
      <c r="C100" t="s">
        <v>34</v>
      </c>
      <c r="D100" s="6" t="s">
        <v>33</v>
      </c>
      <c r="E100" t="s">
        <v>398</v>
      </c>
      <c r="F100" t="s">
        <v>36</v>
      </c>
      <c r="G100" t="s">
        <v>37</v>
      </c>
      <c r="H100" t="s">
        <v>399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1</v>
      </c>
      <c r="O100" s="8">
        <v>45011.712847222225</v>
      </c>
      <c r="P100" s="9">
        <v>45013</v>
      </c>
      <c r="Q100" t="s">
        <v>36</v>
      </c>
      <c r="R100" t="s">
        <v>43</v>
      </c>
      <c r="S100" t="s">
        <v>44</v>
      </c>
      <c r="T100" t="s">
        <v>92</v>
      </c>
      <c r="U100" t="s">
        <v>400</v>
      </c>
      <c r="V100">
        <v>21200</v>
      </c>
      <c r="W100" t="s">
        <v>43</v>
      </c>
      <c r="X100" t="s">
        <v>401</v>
      </c>
      <c r="Y100" t="s">
        <v>49</v>
      </c>
      <c r="Z100" s="12">
        <f>IF(N100&lt;=1,7,7+0.8*ROUNDUP(N100-1,0))</f>
        <v>7</v>
      </c>
      <c r="AA100" s="11">
        <v>0</v>
      </c>
      <c r="AB100" s="11">
        <v>0</v>
      </c>
      <c r="AC100" s="11">
        <v>0</v>
      </c>
      <c r="AD100" s="11">
        <v>0</v>
      </c>
      <c r="AE100" s="11">
        <f t="shared" si="2"/>
        <v>0.42</v>
      </c>
      <c r="AF100" s="11">
        <f t="shared" si="3"/>
        <v>7.42</v>
      </c>
      <c r="AG100" t="s">
        <v>43</v>
      </c>
    </row>
    <row r="101" spans="1:33" ht="15" customHeight="1" x14ac:dyDescent="0.35">
      <c r="A101">
        <v>690929</v>
      </c>
      <c r="B101" t="s">
        <v>33</v>
      </c>
      <c r="C101" t="s">
        <v>34</v>
      </c>
      <c r="D101" s="6" t="s">
        <v>33</v>
      </c>
      <c r="E101" t="s">
        <v>402</v>
      </c>
      <c r="F101" t="s">
        <v>36</v>
      </c>
      <c r="G101" t="s">
        <v>37</v>
      </c>
      <c r="H101" t="s">
        <v>403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1</v>
      </c>
      <c r="O101" s="8">
        <v>45011.720393518517</v>
      </c>
      <c r="P101" s="9">
        <v>45013</v>
      </c>
      <c r="Q101" t="s">
        <v>36</v>
      </c>
      <c r="R101" t="s">
        <v>43</v>
      </c>
      <c r="S101" t="s">
        <v>44</v>
      </c>
      <c r="T101" t="s">
        <v>65</v>
      </c>
      <c r="U101" t="s">
        <v>404</v>
      </c>
      <c r="V101">
        <v>25300</v>
      </c>
      <c r="W101" t="s">
        <v>43</v>
      </c>
      <c r="X101" t="s">
        <v>44</v>
      </c>
      <c r="Y101" t="s">
        <v>49</v>
      </c>
      <c r="Z101" s="12">
        <f>IF(N101&lt;=1,7,7+0.8*ROUNDUP(N101-1,0))</f>
        <v>7</v>
      </c>
      <c r="AA101" s="11">
        <v>0</v>
      </c>
      <c r="AB101" s="11">
        <v>0</v>
      </c>
      <c r="AC101" s="11">
        <v>0</v>
      </c>
      <c r="AD101" s="11">
        <v>0</v>
      </c>
      <c r="AE101" s="11">
        <f t="shared" si="2"/>
        <v>0.42</v>
      </c>
      <c r="AF101" s="11">
        <f t="shared" si="3"/>
        <v>7.42</v>
      </c>
      <c r="AG101" t="s">
        <v>43</v>
      </c>
    </row>
    <row r="102" spans="1:33" ht="15" customHeight="1" x14ac:dyDescent="0.35">
      <c r="A102">
        <v>690929</v>
      </c>
      <c r="B102" t="s">
        <v>33</v>
      </c>
      <c r="C102" t="s">
        <v>34</v>
      </c>
      <c r="D102" s="6" t="s">
        <v>33</v>
      </c>
      <c r="E102" t="s">
        <v>405</v>
      </c>
      <c r="F102" t="s">
        <v>36</v>
      </c>
      <c r="G102" t="s">
        <v>37</v>
      </c>
      <c r="H102" t="s">
        <v>406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1</v>
      </c>
      <c r="O102" s="8">
        <v>45010.651388888888</v>
      </c>
      <c r="P102" s="9">
        <v>45013</v>
      </c>
      <c r="Q102" t="s">
        <v>36</v>
      </c>
      <c r="R102" t="s">
        <v>43</v>
      </c>
      <c r="S102" t="s">
        <v>44</v>
      </c>
      <c r="T102" t="s">
        <v>65</v>
      </c>
      <c r="U102" t="s">
        <v>407</v>
      </c>
      <c r="V102">
        <v>28000</v>
      </c>
      <c r="W102" t="s">
        <v>43</v>
      </c>
      <c r="X102" t="s">
        <v>44</v>
      </c>
      <c r="Y102" t="s">
        <v>49</v>
      </c>
      <c r="Z102" s="12">
        <f>IF(N102&lt;=1,7,7+0.8*ROUNDUP(N102-1,0))</f>
        <v>7</v>
      </c>
      <c r="AA102" s="11">
        <v>0</v>
      </c>
      <c r="AB102" s="11">
        <v>0</v>
      </c>
      <c r="AC102" s="11">
        <v>0</v>
      </c>
      <c r="AD102" s="11">
        <v>0</v>
      </c>
      <c r="AE102" s="11">
        <f t="shared" si="2"/>
        <v>0.42</v>
      </c>
      <c r="AF102" s="11">
        <f t="shared" si="3"/>
        <v>7.42</v>
      </c>
      <c r="AG102" t="s">
        <v>43</v>
      </c>
    </row>
    <row r="103" spans="1:33" ht="15" customHeight="1" x14ac:dyDescent="0.35">
      <c r="A103">
        <v>690929</v>
      </c>
      <c r="B103" t="s">
        <v>33</v>
      </c>
      <c r="C103" t="s">
        <v>34</v>
      </c>
      <c r="D103" s="6" t="s">
        <v>33</v>
      </c>
      <c r="E103" t="s">
        <v>408</v>
      </c>
      <c r="F103" t="s">
        <v>36</v>
      </c>
      <c r="G103" t="s">
        <v>37</v>
      </c>
      <c r="H103" t="s">
        <v>409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1</v>
      </c>
      <c r="O103" s="8">
        <v>45010.651388888888</v>
      </c>
      <c r="P103" s="9">
        <v>45013</v>
      </c>
      <c r="Q103" t="s">
        <v>36</v>
      </c>
      <c r="R103" t="s">
        <v>43</v>
      </c>
      <c r="S103" t="s">
        <v>44</v>
      </c>
      <c r="T103" t="s">
        <v>104</v>
      </c>
      <c r="U103" t="s">
        <v>410</v>
      </c>
      <c r="V103">
        <v>85300</v>
      </c>
      <c r="W103" t="s">
        <v>43</v>
      </c>
      <c r="X103" t="s">
        <v>283</v>
      </c>
      <c r="Y103" t="s">
        <v>49</v>
      </c>
      <c r="Z103" s="12">
        <f>IF(N103&lt;=1,7,7+0.8*ROUNDUP(N103-1,0))</f>
        <v>7</v>
      </c>
      <c r="AA103" s="11">
        <v>0</v>
      </c>
      <c r="AB103" s="11">
        <v>0</v>
      </c>
      <c r="AC103" s="11">
        <v>0</v>
      </c>
      <c r="AD103" s="11">
        <v>0</v>
      </c>
      <c r="AE103" s="11">
        <f t="shared" si="2"/>
        <v>0.42</v>
      </c>
      <c r="AF103" s="11">
        <f t="shared" si="3"/>
        <v>7.42</v>
      </c>
      <c r="AG103" t="s">
        <v>43</v>
      </c>
    </row>
    <row r="104" spans="1:33" ht="15" customHeight="1" x14ac:dyDescent="0.35">
      <c r="A104">
        <v>690929</v>
      </c>
      <c r="B104" t="s">
        <v>33</v>
      </c>
      <c r="C104" t="s">
        <v>34</v>
      </c>
      <c r="D104" s="6" t="s">
        <v>33</v>
      </c>
      <c r="E104" t="s">
        <v>411</v>
      </c>
      <c r="F104" t="s">
        <v>36</v>
      </c>
      <c r="G104" t="s">
        <v>37</v>
      </c>
      <c r="H104" t="s">
        <v>412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1</v>
      </c>
      <c r="O104" s="8">
        <v>45011.691608796296</v>
      </c>
      <c r="P104" s="9">
        <v>45013</v>
      </c>
      <c r="Q104" t="s">
        <v>36</v>
      </c>
      <c r="R104" t="s">
        <v>43</v>
      </c>
      <c r="S104" t="s">
        <v>44</v>
      </c>
      <c r="T104" t="s">
        <v>65</v>
      </c>
      <c r="U104" t="s">
        <v>413</v>
      </c>
      <c r="V104">
        <v>28740</v>
      </c>
      <c r="W104" t="s">
        <v>43</v>
      </c>
      <c r="X104" t="s">
        <v>414</v>
      </c>
      <c r="Y104" t="s">
        <v>49</v>
      </c>
      <c r="Z104" s="12">
        <f>IF(N104&lt;=1,7,7+0.8*ROUNDUP(N104-1,0))</f>
        <v>7</v>
      </c>
      <c r="AA104" s="11">
        <v>0</v>
      </c>
      <c r="AB104" s="11">
        <v>0</v>
      </c>
      <c r="AC104" s="11">
        <v>0</v>
      </c>
      <c r="AD104" s="11">
        <v>0</v>
      </c>
      <c r="AE104" s="11">
        <f t="shared" si="2"/>
        <v>0.42</v>
      </c>
      <c r="AF104" s="11">
        <f t="shared" si="3"/>
        <v>7.42</v>
      </c>
      <c r="AG104" t="s">
        <v>43</v>
      </c>
    </row>
    <row r="105" spans="1:33" ht="15" customHeight="1" x14ac:dyDescent="0.35">
      <c r="A105">
        <v>690929</v>
      </c>
      <c r="B105" t="s">
        <v>33</v>
      </c>
      <c r="C105" t="s">
        <v>34</v>
      </c>
      <c r="D105" s="6" t="s">
        <v>33</v>
      </c>
      <c r="E105" t="s">
        <v>415</v>
      </c>
      <c r="F105" t="s">
        <v>36</v>
      </c>
      <c r="G105" t="s">
        <v>37</v>
      </c>
      <c r="H105" t="s">
        <v>416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6</v>
      </c>
      <c r="O105" s="8">
        <v>45010.737534722219</v>
      </c>
      <c r="P105" s="9">
        <v>45013</v>
      </c>
      <c r="Q105" t="s">
        <v>36</v>
      </c>
      <c r="R105" t="s">
        <v>43</v>
      </c>
      <c r="S105" t="s">
        <v>44</v>
      </c>
      <c r="T105" t="s">
        <v>137</v>
      </c>
      <c r="U105" t="s">
        <v>417</v>
      </c>
      <c r="V105">
        <v>36800</v>
      </c>
      <c r="W105" t="s">
        <v>43</v>
      </c>
      <c r="X105" t="s">
        <v>62</v>
      </c>
      <c r="Y105" t="s">
        <v>49</v>
      </c>
      <c r="Z105" s="12">
        <f>IF(N105&lt;=1,7,7+0.8*ROUNDUP(N105-1,0))</f>
        <v>11</v>
      </c>
      <c r="AA105" s="11">
        <v>0</v>
      </c>
      <c r="AB105" s="11">
        <v>0</v>
      </c>
      <c r="AC105" s="11">
        <v>0</v>
      </c>
      <c r="AD105" s="11">
        <v>0</v>
      </c>
      <c r="AE105" s="11">
        <f t="shared" si="2"/>
        <v>0.65999999999999992</v>
      </c>
      <c r="AF105" s="11">
        <f t="shared" si="3"/>
        <v>11.66</v>
      </c>
      <c r="AG105" t="s">
        <v>43</v>
      </c>
    </row>
    <row r="106" spans="1:33" ht="15" customHeight="1" x14ac:dyDescent="0.35">
      <c r="A106">
        <v>690929</v>
      </c>
      <c r="B106" t="s">
        <v>33</v>
      </c>
      <c r="C106" t="s">
        <v>34</v>
      </c>
      <c r="D106" s="6" t="s">
        <v>33</v>
      </c>
      <c r="E106" t="s">
        <v>418</v>
      </c>
      <c r="F106" t="s">
        <v>36</v>
      </c>
      <c r="G106" t="s">
        <v>37</v>
      </c>
      <c r="H106" t="s">
        <v>419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2</v>
      </c>
      <c r="O106" s="8">
        <v>45011.660127314812</v>
      </c>
      <c r="P106" s="9">
        <v>45013</v>
      </c>
      <c r="Q106" t="s">
        <v>36</v>
      </c>
      <c r="R106" t="s">
        <v>43</v>
      </c>
      <c r="S106" t="s">
        <v>44</v>
      </c>
      <c r="T106" t="s">
        <v>99</v>
      </c>
      <c r="U106" t="s">
        <v>420</v>
      </c>
      <c r="V106">
        <v>71800</v>
      </c>
      <c r="W106" t="s">
        <v>43</v>
      </c>
      <c r="X106" t="s">
        <v>62</v>
      </c>
      <c r="Y106" t="s">
        <v>49</v>
      </c>
      <c r="Z106" s="12">
        <f>IF(N106&lt;=1,7,7+0.8*ROUNDUP(N106-1,0))</f>
        <v>7.8</v>
      </c>
      <c r="AA106" s="11">
        <v>0</v>
      </c>
      <c r="AB106" s="11">
        <v>0</v>
      </c>
      <c r="AC106" s="11">
        <v>0</v>
      </c>
      <c r="AD106" s="11">
        <v>0</v>
      </c>
      <c r="AE106" s="11">
        <f t="shared" si="2"/>
        <v>0.46799999999999997</v>
      </c>
      <c r="AF106" s="11">
        <f t="shared" si="3"/>
        <v>8.2680000000000007</v>
      </c>
      <c r="AG106" t="s">
        <v>43</v>
      </c>
    </row>
    <row r="107" spans="1:33" ht="15" customHeight="1" x14ac:dyDescent="0.35">
      <c r="A107">
        <v>690929</v>
      </c>
      <c r="B107" t="s">
        <v>33</v>
      </c>
      <c r="C107" t="s">
        <v>34</v>
      </c>
      <c r="D107" s="6" t="s">
        <v>33</v>
      </c>
      <c r="E107" t="s">
        <v>421</v>
      </c>
      <c r="F107" t="s">
        <v>36</v>
      </c>
      <c r="G107" t="s">
        <v>37</v>
      </c>
      <c r="H107" t="s">
        <v>422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</v>
      </c>
      <c r="O107" s="8">
        <v>45012.553263888891</v>
      </c>
      <c r="P107" s="9">
        <v>45013</v>
      </c>
      <c r="Q107" t="s">
        <v>36</v>
      </c>
      <c r="R107" t="s">
        <v>43</v>
      </c>
      <c r="S107" t="s">
        <v>44</v>
      </c>
      <c r="T107" t="s">
        <v>79</v>
      </c>
      <c r="U107" t="s">
        <v>423</v>
      </c>
      <c r="V107">
        <v>18500</v>
      </c>
      <c r="W107" t="s">
        <v>43</v>
      </c>
      <c r="X107" t="s">
        <v>74</v>
      </c>
      <c r="Y107" t="s">
        <v>49</v>
      </c>
      <c r="Z107" s="12">
        <f>IF(N107&lt;=1,7,7+0.8*ROUNDUP(N107-1,0))</f>
        <v>7</v>
      </c>
      <c r="AA107" s="11">
        <v>0</v>
      </c>
      <c r="AB107" s="11">
        <v>0</v>
      </c>
      <c r="AC107" s="11">
        <v>0</v>
      </c>
      <c r="AD107" s="11">
        <v>0</v>
      </c>
      <c r="AE107" s="11">
        <f t="shared" si="2"/>
        <v>0.42</v>
      </c>
      <c r="AF107" s="11">
        <f t="shared" si="3"/>
        <v>7.42</v>
      </c>
      <c r="AG107" t="s">
        <v>43</v>
      </c>
    </row>
    <row r="108" spans="1:33" ht="15" customHeight="1" x14ac:dyDescent="0.35">
      <c r="A108">
        <v>690929</v>
      </c>
      <c r="B108" t="s">
        <v>33</v>
      </c>
      <c r="C108" t="s">
        <v>34</v>
      </c>
      <c r="D108" s="6" t="s">
        <v>33</v>
      </c>
      <c r="E108" t="s">
        <v>424</v>
      </c>
      <c r="F108" t="s">
        <v>36</v>
      </c>
      <c r="G108" t="s">
        <v>37</v>
      </c>
      <c r="H108" t="s">
        <v>425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1</v>
      </c>
      <c r="O108" s="8">
        <v>45010.711493055554</v>
      </c>
      <c r="P108" s="9">
        <v>45013</v>
      </c>
      <c r="Q108" t="s">
        <v>36</v>
      </c>
      <c r="R108" t="s">
        <v>43</v>
      </c>
      <c r="S108" t="s">
        <v>44</v>
      </c>
      <c r="T108" t="s">
        <v>316</v>
      </c>
      <c r="U108" t="s">
        <v>426</v>
      </c>
      <c r="V108">
        <v>10250</v>
      </c>
      <c r="W108" t="s">
        <v>43</v>
      </c>
      <c r="X108" t="s">
        <v>427</v>
      </c>
      <c r="Y108" t="s">
        <v>49</v>
      </c>
      <c r="Z108" s="12">
        <f>IF(N108&lt;=1,7,7+0.8*ROUNDUP(N108-1,0))</f>
        <v>7</v>
      </c>
      <c r="AA108" s="11">
        <v>0</v>
      </c>
      <c r="AB108" s="11">
        <v>0</v>
      </c>
      <c r="AC108" s="11">
        <v>0</v>
      </c>
      <c r="AD108" s="11">
        <v>0</v>
      </c>
      <c r="AE108" s="11">
        <f t="shared" si="2"/>
        <v>0.42</v>
      </c>
      <c r="AF108" s="11">
        <f t="shared" si="3"/>
        <v>7.42</v>
      </c>
      <c r="AG108" t="s">
        <v>43</v>
      </c>
    </row>
    <row r="109" spans="1:33" ht="15" customHeight="1" x14ac:dyDescent="0.35">
      <c r="A109">
        <v>690929</v>
      </c>
      <c r="B109" t="s">
        <v>33</v>
      </c>
      <c r="C109" t="s">
        <v>34</v>
      </c>
      <c r="D109" s="6" t="s">
        <v>33</v>
      </c>
      <c r="E109" t="s">
        <v>428</v>
      </c>
      <c r="F109" t="s">
        <v>36</v>
      </c>
      <c r="G109" t="s">
        <v>37</v>
      </c>
      <c r="H109" t="s">
        <v>429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4</v>
      </c>
      <c r="O109" s="8">
        <v>45007.50203703704</v>
      </c>
      <c r="P109" s="9">
        <v>45014</v>
      </c>
      <c r="Q109" t="s">
        <v>36</v>
      </c>
      <c r="R109" t="s">
        <v>43</v>
      </c>
      <c r="S109" t="s">
        <v>44</v>
      </c>
      <c r="T109" t="s">
        <v>217</v>
      </c>
      <c r="U109" t="s">
        <v>430</v>
      </c>
      <c r="V109">
        <v>98000</v>
      </c>
      <c r="W109" t="s">
        <v>47</v>
      </c>
      <c r="X109" t="s">
        <v>431</v>
      </c>
      <c r="Y109" t="s">
        <v>49</v>
      </c>
      <c r="Z109" s="10">
        <f>IF(N109&lt;=1,13,IF(N109&lt;=2,23,IF(N109&lt;=3,35,IF(N109&lt;=4,43,IF(N109&lt;=5,53,IF(N109&lt;=6,63,IF(N109&lt;=7,71,IF(N109&lt;=8,79,IF(N109&lt;=9,87,IF(N109&lt;=10,95,IF(N109&lt;=11,105,IF(N109&lt;=12,114,IF(N109&lt;=13,119,IF(N109&lt;=14,127,IF(N109&lt;=15,135,IF(N109&lt;=16,143,IF(N109&lt;=17,153,IF(N109&lt;=18,163,IF(N109&lt;=19,171,IF(N109&lt;=20,185,IF(N109&lt;=21,193,IF(N109&lt;=22,201,IF(N109&lt;=23,210,IF(N109&lt;=24,220,IF(N109&lt;=25,230,IF(N109&lt;=26,240,IF(N109&lt;=27,250,IF(N109&lt;=28,260,IF(N109&lt;=29,270,IF(N109&lt;=30,280,280))))))))))))))))))))))))))))))</f>
        <v>43</v>
      </c>
      <c r="AA109" s="11">
        <v>0</v>
      </c>
      <c r="AB109" s="11">
        <v>0</v>
      </c>
      <c r="AC109" s="11">
        <v>0</v>
      </c>
      <c r="AD109" s="11">
        <v>0</v>
      </c>
      <c r="AE109" s="11">
        <f t="shared" si="2"/>
        <v>2.58</v>
      </c>
      <c r="AF109" s="11">
        <f t="shared" si="3"/>
        <v>45.58</v>
      </c>
      <c r="AG109" t="s">
        <v>47</v>
      </c>
    </row>
    <row r="110" spans="1:33" ht="15" customHeight="1" x14ac:dyDescent="0.35">
      <c r="A110">
        <v>690929</v>
      </c>
      <c r="B110" t="s">
        <v>33</v>
      </c>
      <c r="C110" t="s">
        <v>34</v>
      </c>
      <c r="D110" s="6" t="s">
        <v>33</v>
      </c>
      <c r="E110" t="s">
        <v>432</v>
      </c>
      <c r="F110" t="s">
        <v>36</v>
      </c>
      <c r="G110" t="s">
        <v>37</v>
      </c>
      <c r="H110" t="s">
        <v>433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2</v>
      </c>
      <c r="O110" s="8">
        <v>45012.461898148147</v>
      </c>
      <c r="P110" s="9">
        <v>45014</v>
      </c>
      <c r="Q110" t="s">
        <v>36</v>
      </c>
      <c r="R110" t="s">
        <v>43</v>
      </c>
      <c r="S110" t="s">
        <v>44</v>
      </c>
      <c r="T110" t="s">
        <v>52</v>
      </c>
      <c r="U110" t="s">
        <v>434</v>
      </c>
      <c r="V110">
        <v>54200</v>
      </c>
      <c r="W110" t="s">
        <v>43</v>
      </c>
      <c r="X110" t="s">
        <v>62</v>
      </c>
      <c r="Y110" t="s">
        <v>49</v>
      </c>
      <c r="Z110" s="12">
        <f>IF(N110&lt;=1,7,7+0.8*ROUNDUP(N110-1,0))</f>
        <v>7.8</v>
      </c>
      <c r="AA110" s="11">
        <v>0</v>
      </c>
      <c r="AB110" s="11">
        <v>0</v>
      </c>
      <c r="AC110" s="11">
        <v>0</v>
      </c>
      <c r="AD110" s="11">
        <v>0</v>
      </c>
      <c r="AE110" s="11">
        <f t="shared" si="2"/>
        <v>0.46799999999999997</v>
      </c>
      <c r="AF110" s="11">
        <f t="shared" si="3"/>
        <v>8.2680000000000007</v>
      </c>
      <c r="AG110" t="s">
        <v>43</v>
      </c>
    </row>
    <row r="111" spans="1:33" ht="15" customHeight="1" x14ac:dyDescent="0.35">
      <c r="A111">
        <v>690929</v>
      </c>
      <c r="B111" t="s">
        <v>33</v>
      </c>
      <c r="C111" t="s">
        <v>34</v>
      </c>
      <c r="D111" s="6" t="s">
        <v>33</v>
      </c>
      <c r="E111" t="s">
        <v>435</v>
      </c>
      <c r="F111" t="s">
        <v>36</v>
      </c>
      <c r="G111" t="s">
        <v>37</v>
      </c>
      <c r="H111" t="s">
        <v>436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1</v>
      </c>
      <c r="O111" s="8">
        <v>45013.504930555559</v>
      </c>
      <c r="P111" s="9">
        <v>45014</v>
      </c>
      <c r="Q111" t="s">
        <v>36</v>
      </c>
      <c r="R111" t="s">
        <v>43</v>
      </c>
      <c r="S111" t="s">
        <v>44</v>
      </c>
      <c r="T111" t="s">
        <v>92</v>
      </c>
      <c r="U111" t="s">
        <v>437</v>
      </c>
      <c r="V111">
        <v>20400</v>
      </c>
      <c r="W111" t="s">
        <v>43</v>
      </c>
      <c r="X111" t="s">
        <v>44</v>
      </c>
      <c r="Y111" t="s">
        <v>49</v>
      </c>
      <c r="Z111" s="12">
        <f>IF(N111&lt;=1,7,7+0.8*ROUNDUP(N111-1,0))</f>
        <v>7</v>
      </c>
      <c r="AA111" s="11">
        <v>0</v>
      </c>
      <c r="AB111" s="11">
        <v>0</v>
      </c>
      <c r="AC111" s="11">
        <v>0</v>
      </c>
      <c r="AD111" s="11">
        <v>0</v>
      </c>
      <c r="AE111" s="11">
        <f t="shared" si="2"/>
        <v>0.42</v>
      </c>
      <c r="AF111" s="11">
        <f t="shared" si="3"/>
        <v>7.42</v>
      </c>
      <c r="AG111" t="s">
        <v>43</v>
      </c>
    </row>
    <row r="112" spans="1:33" ht="15" customHeight="1" x14ac:dyDescent="0.35">
      <c r="A112">
        <v>690929</v>
      </c>
      <c r="B112" t="s">
        <v>33</v>
      </c>
      <c r="C112" t="s">
        <v>34</v>
      </c>
      <c r="D112" s="6" t="s">
        <v>33</v>
      </c>
      <c r="E112" t="s">
        <v>438</v>
      </c>
      <c r="F112" t="s">
        <v>36</v>
      </c>
      <c r="G112" t="s">
        <v>37</v>
      </c>
      <c r="H112" t="s">
        <v>439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6</v>
      </c>
      <c r="O112" s="8">
        <v>45012.513067129628</v>
      </c>
      <c r="P112" s="9">
        <v>45014</v>
      </c>
      <c r="Q112" t="s">
        <v>36</v>
      </c>
      <c r="R112" t="s">
        <v>43</v>
      </c>
      <c r="S112" t="s">
        <v>44</v>
      </c>
      <c r="T112" t="s">
        <v>52</v>
      </c>
      <c r="U112" t="s">
        <v>440</v>
      </c>
      <c r="V112">
        <v>41050</v>
      </c>
      <c r="W112" t="s">
        <v>43</v>
      </c>
      <c r="X112" t="s">
        <v>263</v>
      </c>
      <c r="Y112" t="s">
        <v>49</v>
      </c>
      <c r="Z112" s="12">
        <f>IF(N112&lt;=1,7,7+0.8*ROUNDUP(N112-1,0))</f>
        <v>11</v>
      </c>
      <c r="AA112" s="11">
        <v>0</v>
      </c>
      <c r="AB112" s="11">
        <v>0</v>
      </c>
      <c r="AC112" s="11">
        <v>0</v>
      </c>
      <c r="AD112" s="11">
        <v>0</v>
      </c>
      <c r="AE112" s="11">
        <f t="shared" si="2"/>
        <v>0.65999999999999992</v>
      </c>
      <c r="AF112" s="11">
        <f t="shared" si="3"/>
        <v>11.66</v>
      </c>
      <c r="AG112" t="s">
        <v>43</v>
      </c>
    </row>
    <row r="113" spans="1:33" ht="15" customHeight="1" x14ac:dyDescent="0.35">
      <c r="A113">
        <v>690929</v>
      </c>
      <c r="B113" t="s">
        <v>33</v>
      </c>
      <c r="C113" t="s">
        <v>34</v>
      </c>
      <c r="D113" s="6" t="s">
        <v>33</v>
      </c>
      <c r="E113" t="s">
        <v>441</v>
      </c>
      <c r="F113" t="s">
        <v>36</v>
      </c>
      <c r="G113" t="s">
        <v>37</v>
      </c>
      <c r="H113" t="s">
        <v>439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6</v>
      </c>
      <c r="O113" s="8">
        <v>45012.511307870373</v>
      </c>
      <c r="P113" s="9">
        <v>45014</v>
      </c>
      <c r="Q113" t="s">
        <v>36</v>
      </c>
      <c r="R113" t="s">
        <v>43</v>
      </c>
      <c r="S113" t="s">
        <v>44</v>
      </c>
      <c r="T113" t="s">
        <v>52</v>
      </c>
      <c r="U113" t="s">
        <v>440</v>
      </c>
      <c r="V113">
        <v>41050</v>
      </c>
      <c r="W113" t="s">
        <v>43</v>
      </c>
      <c r="X113" t="s">
        <v>263</v>
      </c>
      <c r="Y113" t="s">
        <v>49</v>
      </c>
      <c r="Z113" s="12">
        <f>IF(N113&lt;=1,7,7+0.8*ROUNDUP(N113-1,0))</f>
        <v>11</v>
      </c>
      <c r="AA113" s="11">
        <v>0</v>
      </c>
      <c r="AB113" s="11">
        <v>0</v>
      </c>
      <c r="AC113" s="11">
        <v>0</v>
      </c>
      <c r="AD113" s="11">
        <v>0</v>
      </c>
      <c r="AE113" s="11">
        <f t="shared" si="2"/>
        <v>0.65999999999999992</v>
      </c>
      <c r="AF113" s="11">
        <f t="shared" si="3"/>
        <v>11.66</v>
      </c>
      <c r="AG113" t="s">
        <v>43</v>
      </c>
    </row>
    <row r="114" spans="1:33" ht="15" customHeight="1" x14ac:dyDescent="0.35">
      <c r="A114">
        <v>690929</v>
      </c>
      <c r="B114" t="s">
        <v>33</v>
      </c>
      <c r="C114" t="s">
        <v>34</v>
      </c>
      <c r="D114" s="6" t="s">
        <v>33</v>
      </c>
      <c r="E114" t="s">
        <v>442</v>
      </c>
      <c r="F114" t="s">
        <v>36</v>
      </c>
      <c r="G114" t="s">
        <v>37</v>
      </c>
      <c r="H114" t="s">
        <v>439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6</v>
      </c>
      <c r="O114" s="8">
        <v>45012.513067129628</v>
      </c>
      <c r="P114" s="9">
        <v>45014</v>
      </c>
      <c r="Q114" t="s">
        <v>36</v>
      </c>
      <c r="R114" t="s">
        <v>43</v>
      </c>
      <c r="S114" t="s">
        <v>44</v>
      </c>
      <c r="T114" t="s">
        <v>52</v>
      </c>
      <c r="U114" t="s">
        <v>440</v>
      </c>
      <c r="V114">
        <v>41050</v>
      </c>
      <c r="W114" t="s">
        <v>43</v>
      </c>
      <c r="X114" t="s">
        <v>263</v>
      </c>
      <c r="Y114" t="s">
        <v>49</v>
      </c>
      <c r="Z114" s="12">
        <f>IF(N114&lt;=1,7,7+0.8*ROUNDUP(N114-1,0))</f>
        <v>11</v>
      </c>
      <c r="AA114" s="11">
        <v>0</v>
      </c>
      <c r="AB114" s="11">
        <v>0</v>
      </c>
      <c r="AC114" s="11">
        <v>0</v>
      </c>
      <c r="AD114" s="11">
        <v>0</v>
      </c>
      <c r="AE114" s="11">
        <f t="shared" si="2"/>
        <v>0.65999999999999992</v>
      </c>
      <c r="AF114" s="11">
        <f t="shared" si="3"/>
        <v>11.66</v>
      </c>
      <c r="AG114" t="s">
        <v>43</v>
      </c>
    </row>
    <row r="115" spans="1:33" ht="15" customHeight="1" x14ac:dyDescent="0.35">
      <c r="A115">
        <v>690929</v>
      </c>
      <c r="B115" t="s">
        <v>33</v>
      </c>
      <c r="C115" t="s">
        <v>34</v>
      </c>
      <c r="D115" s="6" t="s">
        <v>33</v>
      </c>
      <c r="E115" t="s">
        <v>443</v>
      </c>
      <c r="F115" t="s">
        <v>36</v>
      </c>
      <c r="G115" t="s">
        <v>37</v>
      </c>
      <c r="H115" t="s">
        <v>444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1</v>
      </c>
      <c r="O115" s="8">
        <v>45012.638969907406</v>
      </c>
      <c r="P115" s="9">
        <v>45014</v>
      </c>
      <c r="Q115" t="s">
        <v>36</v>
      </c>
      <c r="R115" t="s">
        <v>43</v>
      </c>
      <c r="S115" t="s">
        <v>44</v>
      </c>
      <c r="T115" t="s">
        <v>52</v>
      </c>
      <c r="U115" t="s">
        <v>445</v>
      </c>
      <c r="V115">
        <v>43650</v>
      </c>
      <c r="W115" t="s">
        <v>43</v>
      </c>
      <c r="X115" t="s">
        <v>446</v>
      </c>
      <c r="Y115" t="s">
        <v>49</v>
      </c>
      <c r="Z115" s="12">
        <f>IF(N115&lt;=1,7,7+0.8*ROUNDUP(N115-1,0))</f>
        <v>7</v>
      </c>
      <c r="AA115" s="11">
        <v>0</v>
      </c>
      <c r="AB115" s="11">
        <v>0</v>
      </c>
      <c r="AC115" s="11">
        <v>0</v>
      </c>
      <c r="AD115" s="11">
        <v>0</v>
      </c>
      <c r="AE115" s="11">
        <f t="shared" si="2"/>
        <v>0.42</v>
      </c>
      <c r="AF115" s="11">
        <f t="shared" si="3"/>
        <v>7.42</v>
      </c>
      <c r="AG115" t="s">
        <v>43</v>
      </c>
    </row>
    <row r="116" spans="1:33" ht="15" customHeight="1" x14ac:dyDescent="0.35">
      <c r="A116">
        <v>690929</v>
      </c>
      <c r="B116" t="s">
        <v>33</v>
      </c>
      <c r="C116" t="s">
        <v>34</v>
      </c>
      <c r="D116" s="6" t="s">
        <v>33</v>
      </c>
      <c r="E116" t="s">
        <v>447</v>
      </c>
      <c r="F116" t="s">
        <v>36</v>
      </c>
      <c r="G116" t="s">
        <v>37</v>
      </c>
      <c r="H116" t="s">
        <v>439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6</v>
      </c>
      <c r="O116" s="8">
        <v>45012.513067129628</v>
      </c>
      <c r="P116" s="9">
        <v>45014</v>
      </c>
      <c r="Q116" t="s">
        <v>36</v>
      </c>
      <c r="R116" t="s">
        <v>43</v>
      </c>
      <c r="S116" t="s">
        <v>44</v>
      </c>
      <c r="T116" t="s">
        <v>52</v>
      </c>
      <c r="U116" t="s">
        <v>440</v>
      </c>
      <c r="V116">
        <v>41050</v>
      </c>
      <c r="W116" t="s">
        <v>43</v>
      </c>
      <c r="X116" t="s">
        <v>263</v>
      </c>
      <c r="Y116" t="s">
        <v>49</v>
      </c>
      <c r="Z116" s="12">
        <f>IF(N116&lt;=1,7,7+0.8*ROUNDUP(N116-1,0))</f>
        <v>11</v>
      </c>
      <c r="AA116" s="11">
        <v>0</v>
      </c>
      <c r="AB116" s="11">
        <v>0</v>
      </c>
      <c r="AC116" s="11">
        <v>0</v>
      </c>
      <c r="AD116" s="11">
        <v>0</v>
      </c>
      <c r="AE116" s="11">
        <f t="shared" si="2"/>
        <v>0.65999999999999992</v>
      </c>
      <c r="AF116" s="11">
        <f t="shared" si="3"/>
        <v>11.66</v>
      </c>
      <c r="AG116" t="s">
        <v>43</v>
      </c>
    </row>
    <row r="117" spans="1:33" ht="15" customHeight="1" x14ac:dyDescent="0.35">
      <c r="A117">
        <v>690929</v>
      </c>
      <c r="B117" t="s">
        <v>33</v>
      </c>
      <c r="C117" t="s">
        <v>34</v>
      </c>
      <c r="D117" s="6" t="s">
        <v>33</v>
      </c>
      <c r="E117" t="s">
        <v>448</v>
      </c>
      <c r="F117" t="s">
        <v>36</v>
      </c>
      <c r="G117" t="s">
        <v>37</v>
      </c>
      <c r="H117" t="s">
        <v>449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5</v>
      </c>
      <c r="O117" s="8">
        <v>45012.734560185185</v>
      </c>
      <c r="P117" s="9">
        <v>45014</v>
      </c>
      <c r="Q117" t="s">
        <v>36</v>
      </c>
      <c r="R117" t="s">
        <v>43</v>
      </c>
      <c r="S117" t="s">
        <v>44</v>
      </c>
      <c r="T117" t="s">
        <v>65</v>
      </c>
      <c r="U117" t="s">
        <v>450</v>
      </c>
      <c r="V117">
        <v>26660</v>
      </c>
      <c r="W117" t="s">
        <v>43</v>
      </c>
      <c r="X117" t="s">
        <v>451</v>
      </c>
      <c r="Y117" t="s">
        <v>49</v>
      </c>
      <c r="Z117" s="12">
        <f>IF(N117&lt;=1,7,7+0.8*ROUNDUP(N117-1,0))</f>
        <v>10.199999999999999</v>
      </c>
      <c r="AA117" s="11">
        <v>0</v>
      </c>
      <c r="AB117" s="11">
        <v>0</v>
      </c>
      <c r="AC117" s="11">
        <v>0</v>
      </c>
      <c r="AD117" s="11">
        <v>0</v>
      </c>
      <c r="AE117" s="11">
        <f t="shared" si="2"/>
        <v>0.61199999999999999</v>
      </c>
      <c r="AF117" s="11">
        <f t="shared" si="3"/>
        <v>10.811999999999999</v>
      </c>
      <c r="AG117" t="s">
        <v>43</v>
      </c>
    </row>
    <row r="118" spans="1:33" ht="15" customHeight="1" x14ac:dyDescent="0.35">
      <c r="A118">
        <v>690929</v>
      </c>
      <c r="B118" t="s">
        <v>33</v>
      </c>
      <c r="C118" t="s">
        <v>34</v>
      </c>
      <c r="D118" s="6" t="s">
        <v>33</v>
      </c>
      <c r="E118" t="s">
        <v>452</v>
      </c>
      <c r="F118" t="s">
        <v>36</v>
      </c>
      <c r="G118" t="s">
        <v>37</v>
      </c>
      <c r="H118" t="s">
        <v>453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1</v>
      </c>
      <c r="O118" s="8">
        <v>45011.712847222225</v>
      </c>
      <c r="P118" s="9">
        <v>45014</v>
      </c>
      <c r="Q118" t="s">
        <v>36</v>
      </c>
      <c r="R118" t="s">
        <v>43</v>
      </c>
      <c r="S118" t="s">
        <v>44</v>
      </c>
      <c r="T118" t="s">
        <v>65</v>
      </c>
      <c r="U118" t="s">
        <v>454</v>
      </c>
      <c r="V118">
        <v>27200</v>
      </c>
      <c r="W118" t="s">
        <v>43</v>
      </c>
      <c r="X118" t="s">
        <v>44</v>
      </c>
      <c r="Y118" t="s">
        <v>49</v>
      </c>
      <c r="Z118" s="12">
        <f>IF(N118&lt;=1,7,7+0.8*ROUNDUP(N118-1,0))</f>
        <v>7</v>
      </c>
      <c r="AA118" s="11">
        <v>0</v>
      </c>
      <c r="AB118" s="11">
        <v>0</v>
      </c>
      <c r="AC118" s="11">
        <v>0</v>
      </c>
      <c r="AD118" s="11">
        <v>0</v>
      </c>
      <c r="AE118" s="11">
        <f t="shared" si="2"/>
        <v>0.42</v>
      </c>
      <c r="AF118" s="11">
        <f t="shared" si="3"/>
        <v>7.42</v>
      </c>
      <c r="AG118" t="s">
        <v>43</v>
      </c>
    </row>
    <row r="119" spans="1:33" ht="15" customHeight="1" x14ac:dyDescent="0.35">
      <c r="A119">
        <v>690929</v>
      </c>
      <c r="B119" t="s">
        <v>33</v>
      </c>
      <c r="C119" t="s">
        <v>34</v>
      </c>
      <c r="D119" s="6" t="s">
        <v>33</v>
      </c>
      <c r="E119" t="s">
        <v>455</v>
      </c>
      <c r="F119" t="s">
        <v>36</v>
      </c>
      <c r="G119" t="s">
        <v>37</v>
      </c>
      <c r="H119" t="s">
        <v>456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1</v>
      </c>
      <c r="O119" s="8">
        <v>45013.561469907407</v>
      </c>
      <c r="P119" s="9">
        <v>45014</v>
      </c>
      <c r="Q119" t="s">
        <v>36</v>
      </c>
      <c r="R119" t="s">
        <v>43</v>
      </c>
      <c r="S119" t="s">
        <v>44</v>
      </c>
      <c r="T119" t="s">
        <v>79</v>
      </c>
      <c r="U119" t="s">
        <v>457</v>
      </c>
      <c r="V119">
        <v>17600</v>
      </c>
      <c r="W119" t="s">
        <v>43</v>
      </c>
      <c r="X119" t="s">
        <v>44</v>
      </c>
      <c r="Y119" t="s">
        <v>49</v>
      </c>
      <c r="Z119" s="12">
        <f>IF(N119&lt;=1,7,7+0.8*ROUNDUP(N119-1,0))</f>
        <v>7</v>
      </c>
      <c r="AA119" s="11">
        <v>0</v>
      </c>
      <c r="AB119" s="11">
        <v>0</v>
      </c>
      <c r="AC119" s="11">
        <v>0</v>
      </c>
      <c r="AD119" s="11">
        <v>0</v>
      </c>
      <c r="AE119" s="11">
        <f t="shared" si="2"/>
        <v>0.42</v>
      </c>
      <c r="AF119" s="11">
        <f t="shared" si="3"/>
        <v>7.42</v>
      </c>
      <c r="AG119" t="s">
        <v>43</v>
      </c>
    </row>
    <row r="120" spans="1:33" ht="15" customHeight="1" x14ac:dyDescent="0.35">
      <c r="A120">
        <v>690929</v>
      </c>
      <c r="B120" t="s">
        <v>33</v>
      </c>
      <c r="C120" t="s">
        <v>34</v>
      </c>
      <c r="D120" s="6" t="s">
        <v>33</v>
      </c>
      <c r="E120" t="s">
        <v>458</v>
      </c>
      <c r="F120" t="s">
        <v>36</v>
      </c>
      <c r="G120" t="s">
        <v>37</v>
      </c>
      <c r="H120" t="s">
        <v>459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5</v>
      </c>
      <c r="O120" s="8">
        <v>45010.631840277776</v>
      </c>
      <c r="P120" s="9">
        <v>45014</v>
      </c>
      <c r="Q120" t="s">
        <v>36</v>
      </c>
      <c r="R120" t="s">
        <v>43</v>
      </c>
      <c r="S120" t="s">
        <v>44</v>
      </c>
      <c r="T120" t="s">
        <v>99</v>
      </c>
      <c r="U120" t="s">
        <v>460</v>
      </c>
      <c r="V120">
        <v>71800</v>
      </c>
      <c r="W120" t="s">
        <v>43</v>
      </c>
      <c r="X120" t="s">
        <v>461</v>
      </c>
      <c r="Y120" t="s">
        <v>49</v>
      </c>
      <c r="Z120" s="12">
        <f>IF(N120&lt;=1,7,7+0.8*ROUNDUP(N120-1,0))</f>
        <v>10.199999999999999</v>
      </c>
      <c r="AA120" s="11">
        <v>0</v>
      </c>
      <c r="AB120" s="11">
        <v>0</v>
      </c>
      <c r="AC120" s="11">
        <v>0</v>
      </c>
      <c r="AD120" s="11">
        <v>0</v>
      </c>
      <c r="AE120" s="11">
        <f t="shared" si="2"/>
        <v>0.61199999999999999</v>
      </c>
      <c r="AF120" s="11">
        <f t="shared" si="3"/>
        <v>10.811999999999999</v>
      </c>
      <c r="AG120" t="s">
        <v>43</v>
      </c>
    </row>
    <row r="121" spans="1:33" ht="15" customHeight="1" x14ac:dyDescent="0.35">
      <c r="A121">
        <v>690929</v>
      </c>
      <c r="B121" t="s">
        <v>33</v>
      </c>
      <c r="C121" t="s">
        <v>34</v>
      </c>
      <c r="D121" s="6" t="s">
        <v>33</v>
      </c>
      <c r="E121" t="s">
        <v>462</v>
      </c>
      <c r="F121" t="s">
        <v>36</v>
      </c>
      <c r="G121" t="s">
        <v>37</v>
      </c>
      <c r="H121" t="s">
        <v>444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6</v>
      </c>
      <c r="O121" s="8">
        <v>45012.638425925928</v>
      </c>
      <c r="P121" s="9">
        <v>45014</v>
      </c>
      <c r="Q121" t="s">
        <v>36</v>
      </c>
      <c r="R121" t="s">
        <v>43</v>
      </c>
      <c r="S121" t="s">
        <v>44</v>
      </c>
      <c r="T121" t="s">
        <v>52</v>
      </c>
      <c r="U121" t="s">
        <v>463</v>
      </c>
      <c r="V121">
        <v>43650</v>
      </c>
      <c r="W121" t="s">
        <v>43</v>
      </c>
      <c r="X121" t="s">
        <v>446</v>
      </c>
      <c r="Y121" t="s">
        <v>49</v>
      </c>
      <c r="Z121" s="12">
        <f>IF(N121&lt;=1,7,7+0.8*ROUNDUP(N121-1,0))</f>
        <v>11</v>
      </c>
      <c r="AA121" s="11">
        <v>0</v>
      </c>
      <c r="AB121" s="11">
        <v>0</v>
      </c>
      <c r="AC121" s="11">
        <v>0</v>
      </c>
      <c r="AD121" s="11">
        <v>0</v>
      </c>
      <c r="AE121" s="11">
        <f t="shared" si="2"/>
        <v>0.65999999999999992</v>
      </c>
      <c r="AF121" s="11">
        <f t="shared" si="3"/>
        <v>11.66</v>
      </c>
      <c r="AG121" t="s">
        <v>43</v>
      </c>
    </row>
    <row r="122" spans="1:33" ht="15" customHeight="1" x14ac:dyDescent="0.35">
      <c r="A122">
        <v>690929</v>
      </c>
      <c r="B122" t="s">
        <v>33</v>
      </c>
      <c r="C122" t="s">
        <v>34</v>
      </c>
      <c r="D122" s="6" t="s">
        <v>33</v>
      </c>
      <c r="E122" t="s">
        <v>464</v>
      </c>
      <c r="F122" t="s">
        <v>36</v>
      </c>
      <c r="G122" t="s">
        <v>37</v>
      </c>
      <c r="H122" t="s">
        <v>465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2</v>
      </c>
      <c r="O122" s="8">
        <v>45011.718576388892</v>
      </c>
      <c r="P122" s="9">
        <v>45014</v>
      </c>
      <c r="Q122" t="s">
        <v>36</v>
      </c>
      <c r="R122" t="s">
        <v>43</v>
      </c>
      <c r="S122" t="s">
        <v>44</v>
      </c>
      <c r="T122" t="s">
        <v>52</v>
      </c>
      <c r="U122" t="s">
        <v>466</v>
      </c>
      <c r="V122">
        <v>68100</v>
      </c>
      <c r="W122" t="s">
        <v>43</v>
      </c>
      <c r="X122" t="s">
        <v>467</v>
      </c>
      <c r="Y122" t="s">
        <v>49</v>
      </c>
      <c r="Z122" s="12">
        <f>IF(N122&lt;=1,7,7+0.8*ROUNDUP(N122-1,0))</f>
        <v>7.8</v>
      </c>
      <c r="AA122" s="11">
        <v>0</v>
      </c>
      <c r="AB122" s="11">
        <v>0</v>
      </c>
      <c r="AC122" s="11">
        <v>0</v>
      </c>
      <c r="AD122" s="11">
        <v>0</v>
      </c>
      <c r="AE122" s="11">
        <f t="shared" si="2"/>
        <v>0.46799999999999997</v>
      </c>
      <c r="AF122" s="11">
        <f t="shared" si="3"/>
        <v>8.2680000000000007</v>
      </c>
      <c r="AG122" t="s">
        <v>43</v>
      </c>
    </row>
    <row r="123" spans="1:33" ht="15" customHeight="1" x14ac:dyDescent="0.35">
      <c r="A123">
        <v>690929</v>
      </c>
      <c r="B123" t="s">
        <v>33</v>
      </c>
      <c r="C123" t="s">
        <v>34</v>
      </c>
      <c r="D123" s="6" t="s">
        <v>33</v>
      </c>
      <c r="E123" t="s">
        <v>468</v>
      </c>
      <c r="F123" t="s">
        <v>36</v>
      </c>
      <c r="G123" t="s">
        <v>37</v>
      </c>
      <c r="H123" t="s">
        <v>469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1</v>
      </c>
      <c r="O123" s="8">
        <v>45012.480023148149</v>
      </c>
      <c r="P123" s="9">
        <v>45014</v>
      </c>
      <c r="Q123" t="s">
        <v>36</v>
      </c>
      <c r="R123" t="s">
        <v>43</v>
      </c>
      <c r="S123" t="s">
        <v>44</v>
      </c>
      <c r="T123" t="s">
        <v>79</v>
      </c>
      <c r="U123" t="s">
        <v>470</v>
      </c>
      <c r="V123">
        <v>15100</v>
      </c>
      <c r="W123" t="s">
        <v>43</v>
      </c>
      <c r="X123" t="s">
        <v>74</v>
      </c>
      <c r="Y123" t="s">
        <v>49</v>
      </c>
      <c r="Z123" s="12">
        <f>IF(N123&lt;=1,7,7+0.8*ROUNDUP(N123-1,0))</f>
        <v>7</v>
      </c>
      <c r="AA123" s="11">
        <v>0</v>
      </c>
      <c r="AB123" s="11">
        <v>0</v>
      </c>
      <c r="AC123" s="11">
        <v>0</v>
      </c>
      <c r="AD123" s="11">
        <v>0</v>
      </c>
      <c r="AE123" s="11">
        <f t="shared" si="2"/>
        <v>0.42</v>
      </c>
      <c r="AF123" s="11">
        <f t="shared" si="3"/>
        <v>7.42</v>
      </c>
      <c r="AG123" t="s">
        <v>43</v>
      </c>
    </row>
    <row r="124" spans="1:33" ht="15" customHeight="1" x14ac:dyDescent="0.35">
      <c r="A124">
        <v>690929</v>
      </c>
      <c r="B124" t="s">
        <v>33</v>
      </c>
      <c r="C124" t="s">
        <v>34</v>
      </c>
      <c r="D124" s="6" t="s">
        <v>33</v>
      </c>
      <c r="E124" t="s">
        <v>471</v>
      </c>
      <c r="F124" t="s">
        <v>36</v>
      </c>
      <c r="G124" t="s">
        <v>37</v>
      </c>
      <c r="H124" t="s">
        <v>472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2</v>
      </c>
      <c r="O124" s="8">
        <v>45011.718576388892</v>
      </c>
      <c r="P124" s="9">
        <v>45014</v>
      </c>
      <c r="Q124" t="s">
        <v>36</v>
      </c>
      <c r="R124" t="s">
        <v>43</v>
      </c>
      <c r="S124" t="s">
        <v>44</v>
      </c>
      <c r="T124" t="s">
        <v>183</v>
      </c>
      <c r="U124" t="s">
        <v>473</v>
      </c>
      <c r="V124">
        <v>78000</v>
      </c>
      <c r="W124" t="s">
        <v>43</v>
      </c>
      <c r="X124" t="s">
        <v>62</v>
      </c>
      <c r="Y124" t="s">
        <v>49</v>
      </c>
      <c r="Z124" s="12">
        <f>IF(N124&lt;=1,7,7+0.8*ROUNDUP(N124-1,0))</f>
        <v>7.8</v>
      </c>
      <c r="AA124" s="11">
        <v>0</v>
      </c>
      <c r="AB124" s="11">
        <v>0</v>
      </c>
      <c r="AC124" s="11">
        <v>0</v>
      </c>
      <c r="AD124" s="11">
        <v>0</v>
      </c>
      <c r="AE124" s="11">
        <f t="shared" si="2"/>
        <v>0.46799999999999997</v>
      </c>
      <c r="AF124" s="11">
        <f t="shared" si="3"/>
        <v>8.2680000000000007</v>
      </c>
      <c r="AG124" t="s">
        <v>43</v>
      </c>
    </row>
    <row r="125" spans="1:33" ht="15" customHeight="1" x14ac:dyDescent="0.35">
      <c r="A125">
        <v>690929</v>
      </c>
      <c r="B125" t="s">
        <v>33</v>
      </c>
      <c r="C125" t="s">
        <v>34</v>
      </c>
      <c r="D125" s="6" t="s">
        <v>33</v>
      </c>
      <c r="E125" t="s">
        <v>474</v>
      </c>
      <c r="F125" t="s">
        <v>36</v>
      </c>
      <c r="G125" t="s">
        <v>37</v>
      </c>
      <c r="H125" t="s">
        <v>475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1</v>
      </c>
      <c r="O125" s="8">
        <v>45012.621712962966</v>
      </c>
      <c r="P125" s="9">
        <v>45014</v>
      </c>
      <c r="Q125" t="s">
        <v>36</v>
      </c>
      <c r="R125" t="s">
        <v>43</v>
      </c>
      <c r="S125" t="s">
        <v>44</v>
      </c>
      <c r="T125" t="s">
        <v>65</v>
      </c>
      <c r="U125" t="s">
        <v>476</v>
      </c>
      <c r="V125">
        <v>69000</v>
      </c>
      <c r="W125" t="s">
        <v>43</v>
      </c>
      <c r="X125" t="s">
        <v>188</v>
      </c>
      <c r="Y125" t="s">
        <v>49</v>
      </c>
      <c r="Z125" s="12">
        <f>IF(N125&lt;=1,7,7+0.8*ROUNDUP(N125-1,0))</f>
        <v>7</v>
      </c>
      <c r="AA125" s="11">
        <v>0</v>
      </c>
      <c r="AB125" s="11">
        <v>0</v>
      </c>
      <c r="AC125" s="11">
        <v>0</v>
      </c>
      <c r="AD125" s="11">
        <v>0</v>
      </c>
      <c r="AE125" s="11">
        <f t="shared" si="2"/>
        <v>0.42</v>
      </c>
      <c r="AF125" s="11">
        <f t="shared" si="3"/>
        <v>7.42</v>
      </c>
      <c r="AG125" t="s">
        <v>43</v>
      </c>
    </row>
    <row r="126" spans="1:33" ht="15" customHeight="1" x14ac:dyDescent="0.35">
      <c r="A126">
        <v>690929</v>
      </c>
      <c r="B126" t="s">
        <v>33</v>
      </c>
      <c r="C126" t="s">
        <v>34</v>
      </c>
      <c r="D126" s="6" t="s">
        <v>33</v>
      </c>
      <c r="E126" t="s">
        <v>477</v>
      </c>
      <c r="F126" t="s">
        <v>36</v>
      </c>
      <c r="G126" t="s">
        <v>37</v>
      </c>
      <c r="H126" t="s">
        <v>145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10</v>
      </c>
      <c r="O126" s="8">
        <v>45005.716203703705</v>
      </c>
      <c r="P126" s="9">
        <v>45015</v>
      </c>
      <c r="Q126" t="s">
        <v>36</v>
      </c>
      <c r="R126" t="s">
        <v>43</v>
      </c>
      <c r="S126" t="s">
        <v>44</v>
      </c>
      <c r="T126" t="s">
        <v>45</v>
      </c>
      <c r="U126" t="s">
        <v>146</v>
      </c>
      <c r="V126">
        <v>91207</v>
      </c>
      <c r="W126" t="s">
        <v>47</v>
      </c>
      <c r="X126" t="s">
        <v>62</v>
      </c>
      <c r="Y126" t="s">
        <v>49</v>
      </c>
      <c r="Z126" s="10">
        <f>IF(N126&lt;=1,13,IF(N126&lt;=2,23,IF(N126&lt;=3,35,IF(N126&lt;=4,43,IF(N126&lt;=5,53,IF(N126&lt;=6,63,IF(N126&lt;=7,71,IF(N126&lt;=8,79,IF(N126&lt;=9,87,IF(N126&lt;=10,95,IF(N126&lt;=11,105,IF(N126&lt;=12,114,IF(N126&lt;=13,119,IF(N126&lt;=14,127,IF(N126&lt;=15,135,IF(N126&lt;=16,143,IF(N126&lt;=17,153,IF(N126&lt;=18,163,IF(N126&lt;=19,171,IF(N126&lt;=20,185,IF(N126&lt;=21,193,IF(N126&lt;=22,201,IF(N126&lt;=23,210,IF(N126&lt;=24,220,IF(N126&lt;=25,230,IF(N126&lt;=26,240,IF(N126&lt;=27,250,IF(N126&lt;=28,260,IF(N126&lt;=29,270,IF(N126&lt;=30,280,280))))))))))))))))))))))))))))))</f>
        <v>95</v>
      </c>
      <c r="AA126" s="11">
        <v>0</v>
      </c>
      <c r="AB126" s="11">
        <v>0</v>
      </c>
      <c r="AC126" s="11">
        <v>0</v>
      </c>
      <c r="AD126" s="11">
        <v>0</v>
      </c>
      <c r="AE126" s="11">
        <f t="shared" si="2"/>
        <v>5.7</v>
      </c>
      <c r="AF126" s="11">
        <f t="shared" si="3"/>
        <v>100.7</v>
      </c>
      <c r="AG126" t="s">
        <v>47</v>
      </c>
    </row>
    <row r="127" spans="1:33" ht="15" customHeight="1" x14ac:dyDescent="0.35">
      <c r="A127">
        <v>690929</v>
      </c>
      <c r="B127" t="s">
        <v>33</v>
      </c>
      <c r="C127" t="s">
        <v>34</v>
      </c>
      <c r="D127" s="6" t="s">
        <v>33</v>
      </c>
      <c r="E127" t="s">
        <v>478</v>
      </c>
      <c r="F127" t="s">
        <v>36</v>
      </c>
      <c r="G127" t="s">
        <v>37</v>
      </c>
      <c r="H127" t="s">
        <v>479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1</v>
      </c>
      <c r="O127" s="8">
        <v>45012.690486111111</v>
      </c>
      <c r="P127" s="9">
        <v>45015</v>
      </c>
      <c r="Q127" t="s">
        <v>36</v>
      </c>
      <c r="R127" t="s">
        <v>43</v>
      </c>
      <c r="S127" t="s">
        <v>44</v>
      </c>
      <c r="T127" t="s">
        <v>149</v>
      </c>
      <c r="U127" t="s">
        <v>480</v>
      </c>
      <c r="V127">
        <v>8500</v>
      </c>
      <c r="W127" t="s">
        <v>43</v>
      </c>
      <c r="X127" t="s">
        <v>481</v>
      </c>
      <c r="Y127" t="s">
        <v>49</v>
      </c>
      <c r="Z127" s="12">
        <f>IF(N127&lt;=1,7,7+0.8*ROUNDUP(N127-1,0))</f>
        <v>7</v>
      </c>
      <c r="AA127" s="11">
        <v>0</v>
      </c>
      <c r="AB127" s="11">
        <v>0</v>
      </c>
      <c r="AC127" s="11">
        <v>0</v>
      </c>
      <c r="AD127" s="11">
        <v>0</v>
      </c>
      <c r="AE127" s="11">
        <f t="shared" si="2"/>
        <v>0.42</v>
      </c>
      <c r="AF127" s="11">
        <f t="shared" si="3"/>
        <v>7.42</v>
      </c>
      <c r="AG127" t="s">
        <v>43</v>
      </c>
    </row>
    <row r="128" spans="1:33" ht="15" customHeight="1" x14ac:dyDescent="0.35">
      <c r="A128">
        <v>690929</v>
      </c>
      <c r="B128" t="s">
        <v>33</v>
      </c>
      <c r="C128" t="s">
        <v>34</v>
      </c>
      <c r="D128" s="6" t="s">
        <v>33</v>
      </c>
      <c r="E128" t="s">
        <v>482</v>
      </c>
      <c r="F128" t="s">
        <v>36</v>
      </c>
      <c r="G128" t="s">
        <v>37</v>
      </c>
      <c r="H128" t="s">
        <v>483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1</v>
      </c>
      <c r="O128" s="8">
        <v>45012.691469907404</v>
      </c>
      <c r="P128" s="9">
        <v>45015</v>
      </c>
      <c r="Q128" t="s">
        <v>36</v>
      </c>
      <c r="R128" t="s">
        <v>43</v>
      </c>
      <c r="S128" t="s">
        <v>44</v>
      </c>
      <c r="T128" t="s">
        <v>316</v>
      </c>
      <c r="U128" t="s">
        <v>484</v>
      </c>
      <c r="V128">
        <v>14000</v>
      </c>
      <c r="W128" t="s">
        <v>43</v>
      </c>
      <c r="X128" t="s">
        <v>485</v>
      </c>
      <c r="Y128" t="s">
        <v>49</v>
      </c>
      <c r="Z128" s="12">
        <f>IF(N128&lt;=1,7,7+0.8*ROUNDUP(N128-1,0))</f>
        <v>7</v>
      </c>
      <c r="AA128" s="11">
        <v>0</v>
      </c>
      <c r="AB128" s="11">
        <v>0</v>
      </c>
      <c r="AC128" s="11">
        <v>0</v>
      </c>
      <c r="AD128" s="11">
        <v>0</v>
      </c>
      <c r="AE128" s="11">
        <f t="shared" si="2"/>
        <v>0.42</v>
      </c>
      <c r="AF128" s="11">
        <f t="shared" si="3"/>
        <v>7.42</v>
      </c>
      <c r="AG128" t="s">
        <v>43</v>
      </c>
    </row>
    <row r="129" spans="1:33" ht="15" customHeight="1" x14ac:dyDescent="0.35">
      <c r="A129">
        <v>690929</v>
      </c>
      <c r="B129" t="s">
        <v>33</v>
      </c>
      <c r="C129" t="s">
        <v>34</v>
      </c>
      <c r="D129" s="6" t="s">
        <v>33</v>
      </c>
      <c r="E129" t="s">
        <v>486</v>
      </c>
      <c r="F129" t="s">
        <v>36</v>
      </c>
      <c r="G129" t="s">
        <v>37</v>
      </c>
      <c r="H129" t="s">
        <v>487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1</v>
      </c>
      <c r="O129" s="8">
        <v>45012.705833333333</v>
      </c>
      <c r="P129" s="9">
        <v>45015</v>
      </c>
      <c r="Q129" t="s">
        <v>36</v>
      </c>
      <c r="R129" t="s">
        <v>43</v>
      </c>
      <c r="S129" t="s">
        <v>44</v>
      </c>
      <c r="T129" t="s">
        <v>52</v>
      </c>
      <c r="U129" t="s">
        <v>488</v>
      </c>
      <c r="V129">
        <v>40200</v>
      </c>
      <c r="W129" t="s">
        <v>43</v>
      </c>
      <c r="X129" t="s">
        <v>124</v>
      </c>
      <c r="Y129" t="s">
        <v>49</v>
      </c>
      <c r="Z129" s="12">
        <f>IF(N129&lt;=1,7,7+0.8*ROUNDUP(N129-1,0))</f>
        <v>7</v>
      </c>
      <c r="AA129" s="11">
        <v>0</v>
      </c>
      <c r="AB129" s="11">
        <v>0</v>
      </c>
      <c r="AC129" s="11">
        <v>0</v>
      </c>
      <c r="AD129" s="11">
        <v>0</v>
      </c>
      <c r="AE129" s="11">
        <f t="shared" si="2"/>
        <v>0.42</v>
      </c>
      <c r="AF129" s="11">
        <f t="shared" si="3"/>
        <v>7.42</v>
      </c>
      <c r="AG129" t="s">
        <v>43</v>
      </c>
    </row>
    <row r="130" spans="1:33" ht="15" customHeight="1" x14ac:dyDescent="0.35">
      <c r="A130">
        <v>690929</v>
      </c>
      <c r="B130" t="s">
        <v>33</v>
      </c>
      <c r="C130" t="s">
        <v>34</v>
      </c>
      <c r="D130" s="6" t="s">
        <v>33</v>
      </c>
      <c r="E130" t="s">
        <v>489</v>
      </c>
      <c r="F130" t="s">
        <v>36</v>
      </c>
      <c r="G130" t="s">
        <v>37</v>
      </c>
      <c r="H130" t="s">
        <v>490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1</v>
      </c>
      <c r="O130" s="8">
        <v>45014.454687500001</v>
      </c>
      <c r="P130" s="9">
        <v>45015</v>
      </c>
      <c r="Q130" t="s">
        <v>36</v>
      </c>
      <c r="R130" t="s">
        <v>43</v>
      </c>
      <c r="S130" t="s">
        <v>44</v>
      </c>
      <c r="T130" t="s">
        <v>79</v>
      </c>
      <c r="U130" t="s">
        <v>491</v>
      </c>
      <c r="V130">
        <v>17500</v>
      </c>
      <c r="W130" t="s">
        <v>43</v>
      </c>
      <c r="X130" t="s">
        <v>44</v>
      </c>
      <c r="Y130" t="s">
        <v>49</v>
      </c>
      <c r="Z130" s="12">
        <f>IF(N130&lt;=1,7,7+0.8*ROUNDUP(N130-1,0))</f>
        <v>7</v>
      </c>
      <c r="AA130" s="11">
        <v>0</v>
      </c>
      <c r="AB130" s="11">
        <v>0</v>
      </c>
      <c r="AC130" s="11">
        <v>0</v>
      </c>
      <c r="AD130" s="11">
        <v>0</v>
      </c>
      <c r="AE130" s="11">
        <f t="shared" ref="AE130:AE193" si="4">(Z130+AB130+AD130)*6%</f>
        <v>0.42</v>
      </c>
      <c r="AF130" s="11">
        <f t="shared" ref="AF130:AF193" si="5">Z130+AB130+AD130+AE130</f>
        <v>7.42</v>
      </c>
      <c r="AG130" t="s">
        <v>43</v>
      </c>
    </row>
    <row r="131" spans="1:33" ht="15" customHeight="1" x14ac:dyDescent="0.35">
      <c r="A131">
        <v>690929</v>
      </c>
      <c r="B131" t="s">
        <v>33</v>
      </c>
      <c r="C131" t="s">
        <v>34</v>
      </c>
      <c r="D131" s="6" t="s">
        <v>33</v>
      </c>
      <c r="E131" t="s">
        <v>492</v>
      </c>
      <c r="F131" t="s">
        <v>36</v>
      </c>
      <c r="G131" t="s">
        <v>37</v>
      </c>
      <c r="H131" t="s">
        <v>493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6</v>
      </c>
      <c r="O131" s="8">
        <v>45013.446458333332</v>
      </c>
      <c r="P131" s="9">
        <v>45015</v>
      </c>
      <c r="Q131" t="s">
        <v>36</v>
      </c>
      <c r="R131" t="s">
        <v>43</v>
      </c>
      <c r="S131" t="s">
        <v>44</v>
      </c>
      <c r="T131" t="s">
        <v>149</v>
      </c>
      <c r="U131" t="s">
        <v>494</v>
      </c>
      <c r="V131">
        <v>6720</v>
      </c>
      <c r="W131" t="s">
        <v>43</v>
      </c>
      <c r="X131" t="s">
        <v>366</v>
      </c>
      <c r="Y131" t="s">
        <v>49</v>
      </c>
      <c r="Z131" s="12">
        <f>IF(N131&lt;=1,7,7+0.8*ROUNDUP(N131-1,0))</f>
        <v>11</v>
      </c>
      <c r="AA131" s="11">
        <v>0</v>
      </c>
      <c r="AB131" s="11">
        <v>0</v>
      </c>
      <c r="AC131" s="11">
        <v>0</v>
      </c>
      <c r="AD131" s="11">
        <v>0</v>
      </c>
      <c r="AE131" s="11">
        <f t="shared" si="4"/>
        <v>0.65999999999999992</v>
      </c>
      <c r="AF131" s="11">
        <f t="shared" si="5"/>
        <v>11.66</v>
      </c>
      <c r="AG131" t="s">
        <v>43</v>
      </c>
    </row>
    <row r="132" spans="1:33" ht="15" customHeight="1" x14ac:dyDescent="0.35">
      <c r="A132">
        <v>690929</v>
      </c>
      <c r="B132" t="s">
        <v>33</v>
      </c>
      <c r="C132" t="s">
        <v>34</v>
      </c>
      <c r="D132" s="6" t="s">
        <v>33</v>
      </c>
      <c r="E132" t="s">
        <v>495</v>
      </c>
      <c r="F132" t="s">
        <v>36</v>
      </c>
      <c r="G132" t="s">
        <v>37</v>
      </c>
      <c r="H132" t="s">
        <v>496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1</v>
      </c>
      <c r="O132" s="8">
        <v>45012.681817129633</v>
      </c>
      <c r="P132" s="9">
        <v>45015</v>
      </c>
      <c r="Q132" t="s">
        <v>36</v>
      </c>
      <c r="R132" t="s">
        <v>43</v>
      </c>
      <c r="S132" t="s">
        <v>44</v>
      </c>
      <c r="T132" t="s">
        <v>52</v>
      </c>
      <c r="U132" t="s">
        <v>497</v>
      </c>
      <c r="V132">
        <v>40150</v>
      </c>
      <c r="W132" t="s">
        <v>43</v>
      </c>
      <c r="X132" t="s">
        <v>62</v>
      </c>
      <c r="Y132" t="s">
        <v>49</v>
      </c>
      <c r="Z132" s="12">
        <f>IF(N132&lt;=1,7,7+0.8*ROUNDUP(N132-1,0))</f>
        <v>7</v>
      </c>
      <c r="AA132" s="11">
        <v>0</v>
      </c>
      <c r="AB132" s="11">
        <v>0</v>
      </c>
      <c r="AC132" s="11">
        <v>0</v>
      </c>
      <c r="AD132" s="11">
        <v>0</v>
      </c>
      <c r="AE132" s="11">
        <f t="shared" si="4"/>
        <v>0.42</v>
      </c>
      <c r="AF132" s="11">
        <f t="shared" si="5"/>
        <v>7.42</v>
      </c>
      <c r="AG132" t="s">
        <v>43</v>
      </c>
    </row>
    <row r="133" spans="1:33" ht="15" customHeight="1" x14ac:dyDescent="0.35">
      <c r="A133">
        <v>690929</v>
      </c>
      <c r="B133" t="s">
        <v>33</v>
      </c>
      <c r="C133" t="s">
        <v>34</v>
      </c>
      <c r="D133" s="6" t="s">
        <v>33</v>
      </c>
      <c r="E133" t="s">
        <v>498</v>
      </c>
      <c r="F133" t="s">
        <v>36</v>
      </c>
      <c r="G133" t="s">
        <v>37</v>
      </c>
      <c r="H133" t="s">
        <v>499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2</v>
      </c>
      <c r="O133" s="8">
        <v>45012.461898148147</v>
      </c>
      <c r="P133" s="9">
        <v>45015</v>
      </c>
      <c r="Q133" t="s">
        <v>36</v>
      </c>
      <c r="R133" t="s">
        <v>43</v>
      </c>
      <c r="S133" t="s">
        <v>44</v>
      </c>
      <c r="T133" t="s">
        <v>149</v>
      </c>
      <c r="U133" t="s">
        <v>500</v>
      </c>
      <c r="V133">
        <v>8000</v>
      </c>
      <c r="W133" t="s">
        <v>43</v>
      </c>
      <c r="X133" t="s">
        <v>62</v>
      </c>
      <c r="Y133" t="s">
        <v>49</v>
      </c>
      <c r="Z133" s="12">
        <f>IF(N133&lt;=1,7,7+0.8*ROUNDUP(N133-1,0))</f>
        <v>7.8</v>
      </c>
      <c r="AA133" s="11">
        <v>0</v>
      </c>
      <c r="AB133" s="11">
        <v>0</v>
      </c>
      <c r="AC133" s="11">
        <v>0</v>
      </c>
      <c r="AD133" s="11">
        <v>0</v>
      </c>
      <c r="AE133" s="11">
        <f t="shared" si="4"/>
        <v>0.46799999999999997</v>
      </c>
      <c r="AF133" s="11">
        <f t="shared" si="5"/>
        <v>8.2680000000000007</v>
      </c>
      <c r="AG133" t="s">
        <v>43</v>
      </c>
    </row>
    <row r="134" spans="1:33" ht="15" customHeight="1" x14ac:dyDescent="0.35">
      <c r="A134">
        <v>690929</v>
      </c>
      <c r="B134" t="s">
        <v>33</v>
      </c>
      <c r="C134" t="s">
        <v>34</v>
      </c>
      <c r="D134" s="6" t="s">
        <v>33</v>
      </c>
      <c r="E134" t="s">
        <v>501</v>
      </c>
      <c r="F134" t="s">
        <v>36</v>
      </c>
      <c r="G134" t="s">
        <v>37</v>
      </c>
      <c r="H134" t="s">
        <v>502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1</v>
      </c>
      <c r="O134" s="8">
        <v>45013.519421296296</v>
      </c>
      <c r="P134" s="9">
        <v>45015</v>
      </c>
      <c r="Q134" t="s">
        <v>36</v>
      </c>
      <c r="R134" t="s">
        <v>43</v>
      </c>
      <c r="S134" t="s">
        <v>44</v>
      </c>
      <c r="T134" t="s">
        <v>137</v>
      </c>
      <c r="U134" t="s">
        <v>503</v>
      </c>
      <c r="V134">
        <v>34700</v>
      </c>
      <c r="W134" t="s">
        <v>43</v>
      </c>
      <c r="X134" t="s">
        <v>62</v>
      </c>
      <c r="Y134" t="s">
        <v>49</v>
      </c>
      <c r="Z134" s="12">
        <f>IF(N134&lt;=1,7,7+0.8*ROUNDUP(N134-1,0))</f>
        <v>7</v>
      </c>
      <c r="AA134" s="11">
        <v>0</v>
      </c>
      <c r="AB134" s="11">
        <v>0</v>
      </c>
      <c r="AC134" s="11">
        <v>0</v>
      </c>
      <c r="AD134" s="11">
        <v>0</v>
      </c>
      <c r="AE134" s="11">
        <f t="shared" si="4"/>
        <v>0.42</v>
      </c>
      <c r="AF134" s="11">
        <f t="shared" si="5"/>
        <v>7.42</v>
      </c>
      <c r="AG134" t="s">
        <v>43</v>
      </c>
    </row>
    <row r="135" spans="1:33" ht="15" customHeight="1" x14ac:dyDescent="0.35">
      <c r="A135">
        <v>690929</v>
      </c>
      <c r="B135" t="s">
        <v>33</v>
      </c>
      <c r="C135" t="s">
        <v>34</v>
      </c>
      <c r="D135" s="6" t="s">
        <v>33</v>
      </c>
      <c r="E135" t="s">
        <v>504</v>
      </c>
      <c r="F135" t="s">
        <v>36</v>
      </c>
      <c r="G135" t="s">
        <v>37</v>
      </c>
      <c r="H135" t="s">
        <v>505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45012.526550925926</v>
      </c>
      <c r="P135" s="9">
        <v>45015</v>
      </c>
      <c r="Q135" t="s">
        <v>36</v>
      </c>
      <c r="R135" t="s">
        <v>43</v>
      </c>
      <c r="S135" t="s">
        <v>44</v>
      </c>
      <c r="T135" t="s">
        <v>52</v>
      </c>
      <c r="U135" t="s">
        <v>506</v>
      </c>
      <c r="V135">
        <v>43900</v>
      </c>
      <c r="W135" t="s">
        <v>43</v>
      </c>
      <c r="X135" t="s">
        <v>62</v>
      </c>
      <c r="Y135" t="s">
        <v>49</v>
      </c>
      <c r="Z135" s="12">
        <f>IF(N135&lt;=1,7,7+0.8*ROUNDUP(N135-1,0))</f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 t="shared" si="4"/>
        <v>0.42</v>
      </c>
      <c r="AF135" s="11">
        <f t="shared" si="5"/>
        <v>7.42</v>
      </c>
      <c r="AG135" t="s">
        <v>43</v>
      </c>
    </row>
    <row r="136" spans="1:33" ht="15" customHeight="1" x14ac:dyDescent="0.35">
      <c r="A136">
        <v>690929</v>
      </c>
      <c r="B136" t="s">
        <v>33</v>
      </c>
      <c r="C136" t="s">
        <v>34</v>
      </c>
      <c r="D136" s="6" t="s">
        <v>33</v>
      </c>
      <c r="E136" t="s">
        <v>507</v>
      </c>
      <c r="F136" t="s">
        <v>36</v>
      </c>
      <c r="G136" t="s">
        <v>37</v>
      </c>
      <c r="H136" t="s">
        <v>334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5</v>
      </c>
      <c r="O136" s="8">
        <v>45013.703298611108</v>
      </c>
      <c r="P136" s="9">
        <v>45015</v>
      </c>
      <c r="Q136" t="s">
        <v>36</v>
      </c>
      <c r="R136" t="s">
        <v>43</v>
      </c>
      <c r="S136" t="s">
        <v>44</v>
      </c>
      <c r="T136" t="s">
        <v>92</v>
      </c>
      <c r="U136" t="s">
        <v>335</v>
      </c>
      <c r="V136">
        <v>21100</v>
      </c>
      <c r="W136" t="s">
        <v>43</v>
      </c>
      <c r="X136" t="s">
        <v>336</v>
      </c>
      <c r="Y136" t="s">
        <v>49</v>
      </c>
      <c r="Z136" s="12">
        <f>IF(N136&lt;=1,7,7+0.8*ROUNDUP(N136-1,0))</f>
        <v>10.199999999999999</v>
      </c>
      <c r="AA136" s="11">
        <v>0</v>
      </c>
      <c r="AB136" s="11">
        <v>0</v>
      </c>
      <c r="AC136" s="11">
        <v>0</v>
      </c>
      <c r="AD136" s="11">
        <v>0</v>
      </c>
      <c r="AE136" s="11">
        <f t="shared" si="4"/>
        <v>0.61199999999999999</v>
      </c>
      <c r="AF136" s="11">
        <f t="shared" si="5"/>
        <v>10.811999999999999</v>
      </c>
      <c r="AG136" t="s">
        <v>43</v>
      </c>
    </row>
    <row r="137" spans="1:33" ht="15" customHeight="1" x14ac:dyDescent="0.35">
      <c r="A137">
        <v>690929</v>
      </c>
      <c r="B137" t="s">
        <v>33</v>
      </c>
      <c r="C137" t="s">
        <v>34</v>
      </c>
      <c r="D137" s="6" t="s">
        <v>33</v>
      </c>
      <c r="E137" t="s">
        <v>508</v>
      </c>
      <c r="F137" t="s">
        <v>36</v>
      </c>
      <c r="G137" t="s">
        <v>37</v>
      </c>
      <c r="H137" t="s">
        <v>509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2</v>
      </c>
      <c r="O137" s="8">
        <v>45012.461898148147</v>
      </c>
      <c r="P137" s="9">
        <v>45015</v>
      </c>
      <c r="Q137" t="s">
        <v>36</v>
      </c>
      <c r="R137" t="s">
        <v>43</v>
      </c>
      <c r="S137" t="s">
        <v>44</v>
      </c>
      <c r="T137" t="s">
        <v>217</v>
      </c>
      <c r="U137" t="s">
        <v>510</v>
      </c>
      <c r="V137">
        <v>93050</v>
      </c>
      <c r="W137" t="s">
        <v>47</v>
      </c>
      <c r="X137" t="s">
        <v>511</v>
      </c>
      <c r="Y137" t="s">
        <v>49</v>
      </c>
      <c r="Z137" s="10">
        <f>IF(N137&lt;=1,13,IF(N137&lt;=2,23,IF(N137&lt;=3,35,IF(N137&lt;=4,43,IF(N137&lt;=5,53,IF(N137&lt;=6,63,IF(N137&lt;=7,71,IF(N137&lt;=8,79,IF(N137&lt;=9,87,IF(N137&lt;=10,95,IF(N137&lt;=11,105,IF(N137&lt;=12,114,IF(N137&lt;=13,119,IF(N137&lt;=14,127,IF(N137&lt;=15,135,IF(N137&lt;=16,143,IF(N137&lt;=17,153,IF(N137&lt;=18,163,IF(N137&lt;=19,171,IF(N137&lt;=20,185,IF(N137&lt;=21,193,IF(N137&lt;=22,201,IF(N137&lt;=23,210,IF(N137&lt;=24,220,IF(N137&lt;=25,230,IF(N137&lt;=26,240,IF(N137&lt;=27,250,IF(N137&lt;=28,260,IF(N137&lt;=29,270,IF(N137&lt;=30,280,280))))))))))))))))))))))))))))))</f>
        <v>23</v>
      </c>
      <c r="AA137" s="11">
        <v>0</v>
      </c>
      <c r="AB137" s="11">
        <v>0</v>
      </c>
      <c r="AC137" s="11">
        <v>0</v>
      </c>
      <c r="AD137" s="11">
        <v>0</v>
      </c>
      <c r="AE137" s="11">
        <f t="shared" si="4"/>
        <v>1.38</v>
      </c>
      <c r="AF137" s="11">
        <f t="shared" si="5"/>
        <v>24.38</v>
      </c>
      <c r="AG137" t="s">
        <v>47</v>
      </c>
    </row>
    <row r="138" spans="1:33" ht="15" customHeight="1" x14ac:dyDescent="0.35">
      <c r="A138">
        <v>690929</v>
      </c>
      <c r="B138" t="s">
        <v>33</v>
      </c>
      <c r="C138" t="s">
        <v>34</v>
      </c>
      <c r="D138" s="6" t="s">
        <v>33</v>
      </c>
      <c r="E138" t="s">
        <v>512</v>
      </c>
      <c r="F138" t="s">
        <v>36</v>
      </c>
      <c r="G138" t="s">
        <v>37</v>
      </c>
      <c r="H138" t="s">
        <v>513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2</v>
      </c>
      <c r="O138" s="8">
        <v>45012.461898148147</v>
      </c>
      <c r="P138" s="9">
        <v>45015</v>
      </c>
      <c r="Q138" t="s">
        <v>36</v>
      </c>
      <c r="R138" t="s">
        <v>43</v>
      </c>
      <c r="S138" t="s">
        <v>44</v>
      </c>
      <c r="T138" t="s">
        <v>52</v>
      </c>
      <c r="U138" t="s">
        <v>514</v>
      </c>
      <c r="V138">
        <v>54200</v>
      </c>
      <c r="W138" t="s">
        <v>43</v>
      </c>
      <c r="X138" t="s">
        <v>62</v>
      </c>
      <c r="Y138" t="s">
        <v>49</v>
      </c>
      <c r="Z138" s="12">
        <f>IF(N138&lt;=1,7,7+0.8*ROUNDUP(N138-1,0))</f>
        <v>7.8</v>
      </c>
      <c r="AA138" s="11">
        <v>0</v>
      </c>
      <c r="AB138" s="11">
        <v>0</v>
      </c>
      <c r="AC138" s="11">
        <v>0</v>
      </c>
      <c r="AD138" s="11">
        <v>0</v>
      </c>
      <c r="AE138" s="11">
        <f t="shared" si="4"/>
        <v>0.46799999999999997</v>
      </c>
      <c r="AF138" s="11">
        <f t="shared" si="5"/>
        <v>8.2680000000000007</v>
      </c>
      <c r="AG138" t="s">
        <v>43</v>
      </c>
    </row>
    <row r="139" spans="1:33" ht="15" customHeight="1" x14ac:dyDescent="0.35">
      <c r="A139">
        <v>690929</v>
      </c>
      <c r="B139" t="s">
        <v>33</v>
      </c>
      <c r="C139" t="s">
        <v>34</v>
      </c>
      <c r="D139" s="6" t="s">
        <v>33</v>
      </c>
      <c r="E139" t="s">
        <v>515</v>
      </c>
      <c r="F139" t="s">
        <v>36</v>
      </c>
      <c r="G139" t="s">
        <v>37</v>
      </c>
      <c r="H139" t="s">
        <v>516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15</v>
      </c>
      <c r="O139" s="8">
        <v>45010.622256944444</v>
      </c>
      <c r="P139" s="9">
        <v>45015</v>
      </c>
      <c r="Q139" t="s">
        <v>36</v>
      </c>
      <c r="R139" t="s">
        <v>43</v>
      </c>
      <c r="S139" t="s">
        <v>44</v>
      </c>
      <c r="T139" t="s">
        <v>217</v>
      </c>
      <c r="U139" t="s">
        <v>517</v>
      </c>
      <c r="V139">
        <v>96000</v>
      </c>
      <c r="W139" t="s">
        <v>47</v>
      </c>
      <c r="X139" t="s">
        <v>518</v>
      </c>
      <c r="Y139" t="s">
        <v>49</v>
      </c>
      <c r="Z139" s="10">
        <f>IF(N139&lt;=1,13,IF(N139&lt;=2,23,IF(N139&lt;=3,35,IF(N139&lt;=4,43,IF(N139&lt;=5,53,IF(N139&lt;=6,63,IF(N139&lt;=7,71,IF(N139&lt;=8,79,IF(N139&lt;=9,87,IF(N139&lt;=10,95,IF(N139&lt;=11,105,IF(N139&lt;=12,114,IF(N139&lt;=13,119,IF(N139&lt;=14,127,IF(N139&lt;=15,135,IF(N139&lt;=16,143,IF(N139&lt;=17,153,IF(N139&lt;=18,163,IF(N139&lt;=19,171,IF(N139&lt;=20,185,IF(N139&lt;=21,193,IF(N139&lt;=22,201,IF(N139&lt;=23,210,IF(N139&lt;=24,220,IF(N139&lt;=25,230,IF(N139&lt;=26,240,IF(N139&lt;=27,250,IF(N139&lt;=28,260,IF(N139&lt;=29,270,IF(N139&lt;=30,280,280))))))))))))))))))))))))))))))</f>
        <v>135</v>
      </c>
      <c r="AA139" s="11">
        <v>0</v>
      </c>
      <c r="AB139" s="11">
        <v>0</v>
      </c>
      <c r="AC139" s="11">
        <v>0</v>
      </c>
      <c r="AD139" s="11">
        <v>0</v>
      </c>
      <c r="AE139" s="11">
        <f t="shared" si="4"/>
        <v>8.1</v>
      </c>
      <c r="AF139" s="11">
        <f t="shared" si="5"/>
        <v>143.1</v>
      </c>
      <c r="AG139" t="s">
        <v>47</v>
      </c>
    </row>
    <row r="140" spans="1:33" ht="15" customHeight="1" x14ac:dyDescent="0.35">
      <c r="A140">
        <v>690929</v>
      </c>
      <c r="B140" t="s">
        <v>33</v>
      </c>
      <c r="C140" t="s">
        <v>34</v>
      </c>
      <c r="D140" s="6" t="s">
        <v>33</v>
      </c>
      <c r="E140" t="s">
        <v>519</v>
      </c>
      <c r="F140" t="s">
        <v>36</v>
      </c>
      <c r="G140" t="s">
        <v>37</v>
      </c>
      <c r="H140" t="s">
        <v>520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1</v>
      </c>
      <c r="O140" s="8">
        <v>45013.482314814813</v>
      </c>
      <c r="P140" s="9">
        <v>45015</v>
      </c>
      <c r="Q140" t="s">
        <v>36</v>
      </c>
      <c r="R140" t="s">
        <v>43</v>
      </c>
      <c r="S140" t="s">
        <v>44</v>
      </c>
      <c r="T140" t="s">
        <v>52</v>
      </c>
      <c r="U140" t="s">
        <v>521</v>
      </c>
      <c r="V140">
        <v>42700</v>
      </c>
      <c r="W140" t="s">
        <v>43</v>
      </c>
      <c r="X140" t="s">
        <v>329</v>
      </c>
      <c r="Y140" t="s">
        <v>49</v>
      </c>
      <c r="Z140" s="12">
        <f>IF(N140&lt;=1,7,7+0.8*ROUNDUP(N140-1,0))</f>
        <v>7</v>
      </c>
      <c r="AA140" s="11">
        <v>0</v>
      </c>
      <c r="AB140" s="11">
        <v>0</v>
      </c>
      <c r="AC140" s="11">
        <v>0</v>
      </c>
      <c r="AD140" s="11">
        <v>0</v>
      </c>
      <c r="AE140" s="11">
        <f t="shared" si="4"/>
        <v>0.42</v>
      </c>
      <c r="AF140" s="11">
        <f t="shared" si="5"/>
        <v>7.42</v>
      </c>
      <c r="AG140" t="s">
        <v>43</v>
      </c>
    </row>
    <row r="141" spans="1:33" ht="15" customHeight="1" x14ac:dyDescent="0.35">
      <c r="A141">
        <v>690929</v>
      </c>
      <c r="B141" t="s">
        <v>33</v>
      </c>
      <c r="C141" t="s">
        <v>34</v>
      </c>
      <c r="D141" s="6" t="s">
        <v>33</v>
      </c>
      <c r="E141" t="s">
        <v>522</v>
      </c>
      <c r="F141" t="s">
        <v>36</v>
      </c>
      <c r="G141" t="s">
        <v>37</v>
      </c>
      <c r="H141" t="s">
        <v>523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2</v>
      </c>
      <c r="O141" s="8">
        <v>45012.461898148147</v>
      </c>
      <c r="P141" s="9">
        <v>45015</v>
      </c>
      <c r="Q141" t="s">
        <v>36</v>
      </c>
      <c r="R141" t="s">
        <v>43</v>
      </c>
      <c r="S141" t="s">
        <v>44</v>
      </c>
      <c r="T141" t="s">
        <v>149</v>
      </c>
      <c r="U141" t="s">
        <v>524</v>
      </c>
      <c r="V141">
        <v>6550</v>
      </c>
      <c r="W141" t="s">
        <v>43</v>
      </c>
      <c r="X141" t="s">
        <v>240</v>
      </c>
      <c r="Y141" t="s">
        <v>49</v>
      </c>
      <c r="Z141" s="12">
        <f>IF(N141&lt;=1,7,7+0.8*ROUNDUP(N141-1,0))</f>
        <v>7.8</v>
      </c>
      <c r="AA141" s="11">
        <v>0</v>
      </c>
      <c r="AB141" s="11">
        <v>0</v>
      </c>
      <c r="AC141" s="11">
        <v>0</v>
      </c>
      <c r="AD141" s="11">
        <v>0</v>
      </c>
      <c r="AE141" s="11">
        <f t="shared" si="4"/>
        <v>0.46799999999999997</v>
      </c>
      <c r="AF141" s="11">
        <f t="shared" si="5"/>
        <v>8.2680000000000007</v>
      </c>
      <c r="AG141" t="s">
        <v>43</v>
      </c>
    </row>
    <row r="142" spans="1:33" ht="15" customHeight="1" x14ac:dyDescent="0.35">
      <c r="A142">
        <v>690929</v>
      </c>
      <c r="B142" t="s">
        <v>33</v>
      </c>
      <c r="C142" t="s">
        <v>34</v>
      </c>
      <c r="D142" s="6" t="s">
        <v>33</v>
      </c>
      <c r="E142" t="s">
        <v>525</v>
      </c>
      <c r="F142" t="s">
        <v>36</v>
      </c>
      <c r="G142" t="s">
        <v>37</v>
      </c>
      <c r="H142" t="s">
        <v>526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1</v>
      </c>
      <c r="O142" s="8">
        <v>45014.49728009259</v>
      </c>
      <c r="P142" s="9">
        <v>45016</v>
      </c>
      <c r="Q142" t="s">
        <v>36</v>
      </c>
      <c r="R142" t="s">
        <v>43</v>
      </c>
      <c r="S142" t="s">
        <v>44</v>
      </c>
      <c r="T142" t="s">
        <v>52</v>
      </c>
      <c r="U142" t="s">
        <v>527</v>
      </c>
      <c r="V142">
        <v>68100</v>
      </c>
      <c r="W142" t="s">
        <v>43</v>
      </c>
      <c r="X142" t="s">
        <v>467</v>
      </c>
      <c r="Y142" t="s">
        <v>49</v>
      </c>
      <c r="Z142" s="12">
        <f>IF(N142&lt;=1,7,7+0.8*ROUNDUP(N142-1,0))</f>
        <v>7</v>
      </c>
      <c r="AA142" s="11">
        <v>0</v>
      </c>
      <c r="AB142" s="11">
        <v>0</v>
      </c>
      <c r="AC142" s="11">
        <v>0</v>
      </c>
      <c r="AD142" s="11">
        <v>0</v>
      </c>
      <c r="AE142" s="11">
        <f t="shared" si="4"/>
        <v>0.42</v>
      </c>
      <c r="AF142" s="11">
        <f t="shared" si="5"/>
        <v>7.42</v>
      </c>
      <c r="AG142" t="s">
        <v>43</v>
      </c>
    </row>
    <row r="143" spans="1:33" ht="15" customHeight="1" x14ac:dyDescent="0.35">
      <c r="A143">
        <v>690929</v>
      </c>
      <c r="B143" t="s">
        <v>33</v>
      </c>
      <c r="C143" t="s">
        <v>34</v>
      </c>
      <c r="D143" s="6" t="s">
        <v>33</v>
      </c>
      <c r="E143" t="s">
        <v>528</v>
      </c>
      <c r="F143" t="s">
        <v>36</v>
      </c>
      <c r="G143" t="s">
        <v>37</v>
      </c>
      <c r="H143" t="s">
        <v>529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1</v>
      </c>
      <c r="O143" s="8">
        <v>45014.623518518521</v>
      </c>
      <c r="P143" s="9">
        <v>45016</v>
      </c>
      <c r="Q143" t="s">
        <v>36</v>
      </c>
      <c r="R143" t="s">
        <v>43</v>
      </c>
      <c r="S143" t="s">
        <v>44</v>
      </c>
      <c r="T143" t="s">
        <v>316</v>
      </c>
      <c r="U143" t="s">
        <v>530</v>
      </c>
      <c r="V143">
        <v>14400</v>
      </c>
      <c r="W143" t="s">
        <v>43</v>
      </c>
      <c r="X143" t="s">
        <v>531</v>
      </c>
      <c r="Y143" t="s">
        <v>49</v>
      </c>
      <c r="Z143" s="12">
        <f>IF(N143&lt;=1,7,7+0.8*ROUNDUP(N143-1,0))</f>
        <v>7</v>
      </c>
      <c r="AA143" s="11">
        <v>0</v>
      </c>
      <c r="AB143" s="11">
        <v>0</v>
      </c>
      <c r="AC143" s="11">
        <v>0</v>
      </c>
      <c r="AD143" s="11">
        <v>0</v>
      </c>
      <c r="AE143" s="11">
        <f t="shared" si="4"/>
        <v>0.42</v>
      </c>
      <c r="AF143" s="11">
        <f t="shared" si="5"/>
        <v>7.42</v>
      </c>
      <c r="AG143" t="s">
        <v>43</v>
      </c>
    </row>
    <row r="144" spans="1:33" ht="15" customHeight="1" x14ac:dyDescent="0.35">
      <c r="A144">
        <v>690929</v>
      </c>
      <c r="B144" t="s">
        <v>33</v>
      </c>
      <c r="C144" t="s">
        <v>34</v>
      </c>
      <c r="D144" s="6" t="s">
        <v>33</v>
      </c>
      <c r="E144" t="s">
        <v>532</v>
      </c>
      <c r="F144" t="s">
        <v>36</v>
      </c>
      <c r="G144" t="s">
        <v>37</v>
      </c>
      <c r="H144" t="s">
        <v>533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1</v>
      </c>
      <c r="O144" s="8">
        <v>45012.700358796297</v>
      </c>
      <c r="P144" s="9">
        <v>45016</v>
      </c>
      <c r="Q144" t="s">
        <v>36</v>
      </c>
      <c r="R144" t="s">
        <v>43</v>
      </c>
      <c r="S144" t="s">
        <v>44</v>
      </c>
      <c r="T144" t="s">
        <v>52</v>
      </c>
      <c r="U144" t="s">
        <v>534</v>
      </c>
      <c r="V144">
        <v>62590</v>
      </c>
      <c r="W144" t="s">
        <v>43</v>
      </c>
      <c r="X144" t="s">
        <v>62</v>
      </c>
      <c r="Y144" t="s">
        <v>49</v>
      </c>
      <c r="Z144" s="12">
        <f>IF(N144&lt;=1,7,7+0.8*ROUNDUP(N144-1,0))</f>
        <v>7</v>
      </c>
      <c r="AA144" s="11">
        <v>0</v>
      </c>
      <c r="AB144" s="11">
        <v>0</v>
      </c>
      <c r="AC144" s="11">
        <v>0</v>
      </c>
      <c r="AD144" s="11">
        <v>0</v>
      </c>
      <c r="AE144" s="11">
        <f t="shared" si="4"/>
        <v>0.42</v>
      </c>
      <c r="AF144" s="11">
        <f t="shared" si="5"/>
        <v>7.42</v>
      </c>
      <c r="AG144" t="s">
        <v>43</v>
      </c>
    </row>
    <row r="145" spans="1:33" ht="15" customHeight="1" x14ac:dyDescent="0.35">
      <c r="A145">
        <v>690929</v>
      </c>
      <c r="B145" t="s">
        <v>33</v>
      </c>
      <c r="C145" t="s">
        <v>34</v>
      </c>
      <c r="D145" s="6" t="s">
        <v>33</v>
      </c>
      <c r="E145" t="s">
        <v>535</v>
      </c>
      <c r="F145" t="s">
        <v>36</v>
      </c>
      <c r="G145" t="s">
        <v>37</v>
      </c>
      <c r="H145" t="s">
        <v>536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1</v>
      </c>
      <c r="O145" s="8">
        <v>45014.650381944448</v>
      </c>
      <c r="P145" s="9">
        <v>45016</v>
      </c>
      <c r="Q145" t="s">
        <v>36</v>
      </c>
      <c r="R145" t="s">
        <v>43</v>
      </c>
      <c r="S145" t="s">
        <v>44</v>
      </c>
      <c r="T145" t="s">
        <v>52</v>
      </c>
      <c r="U145" t="s">
        <v>537</v>
      </c>
      <c r="V145">
        <v>62590</v>
      </c>
      <c r="W145" t="s">
        <v>43</v>
      </c>
      <c r="X145" t="s">
        <v>62</v>
      </c>
      <c r="Y145" t="s">
        <v>49</v>
      </c>
      <c r="Z145" s="12">
        <f>IF(N145&lt;=1,7,7+0.8*ROUNDUP(N145-1,0))</f>
        <v>7</v>
      </c>
      <c r="AA145" s="11">
        <v>0</v>
      </c>
      <c r="AB145" s="11">
        <v>0</v>
      </c>
      <c r="AC145" s="11">
        <v>0</v>
      </c>
      <c r="AD145" s="11">
        <v>0</v>
      </c>
      <c r="AE145" s="11">
        <f t="shared" si="4"/>
        <v>0.42</v>
      </c>
      <c r="AF145" s="11">
        <f t="shared" si="5"/>
        <v>7.42</v>
      </c>
      <c r="AG145" t="s">
        <v>43</v>
      </c>
    </row>
    <row r="146" spans="1:33" ht="15" customHeight="1" x14ac:dyDescent="0.35">
      <c r="A146">
        <v>690929</v>
      </c>
      <c r="B146" t="s">
        <v>33</v>
      </c>
      <c r="C146" t="s">
        <v>34</v>
      </c>
      <c r="D146" s="6" t="s">
        <v>33</v>
      </c>
      <c r="E146" t="s">
        <v>538</v>
      </c>
      <c r="F146" t="s">
        <v>36</v>
      </c>
      <c r="G146" t="s">
        <v>37</v>
      </c>
      <c r="H146" t="s">
        <v>539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45014.550763888888</v>
      </c>
      <c r="P146" s="9">
        <v>45016</v>
      </c>
      <c r="Q146" t="s">
        <v>36</v>
      </c>
      <c r="R146" t="s">
        <v>43</v>
      </c>
      <c r="S146" t="s">
        <v>44</v>
      </c>
      <c r="T146" t="s">
        <v>52</v>
      </c>
      <c r="U146" t="s">
        <v>540</v>
      </c>
      <c r="V146">
        <v>40170</v>
      </c>
      <c r="W146" t="s">
        <v>43</v>
      </c>
      <c r="X146" t="s">
        <v>62</v>
      </c>
      <c r="Y146" t="s">
        <v>49</v>
      </c>
      <c r="Z146" s="12">
        <f>IF(N146&lt;=1,7,7+0.8*ROUNDUP(N146-1,0))</f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 t="shared" si="4"/>
        <v>0.42</v>
      </c>
      <c r="AF146" s="11">
        <f t="shared" si="5"/>
        <v>7.42</v>
      </c>
      <c r="AG146" t="s">
        <v>43</v>
      </c>
    </row>
    <row r="147" spans="1:33" ht="15" customHeight="1" x14ac:dyDescent="0.35">
      <c r="A147">
        <v>690929</v>
      </c>
      <c r="B147" t="s">
        <v>33</v>
      </c>
      <c r="C147" t="s">
        <v>34</v>
      </c>
      <c r="D147" s="6" t="s">
        <v>33</v>
      </c>
      <c r="E147" t="s">
        <v>541</v>
      </c>
      <c r="F147" t="s">
        <v>36</v>
      </c>
      <c r="G147" t="s">
        <v>37</v>
      </c>
      <c r="H147" t="s">
        <v>542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3</v>
      </c>
      <c r="O147" s="8">
        <v>45013.703472222223</v>
      </c>
      <c r="P147" s="9">
        <v>45016</v>
      </c>
      <c r="Q147" t="s">
        <v>36</v>
      </c>
      <c r="R147" t="s">
        <v>43</v>
      </c>
      <c r="S147" t="s">
        <v>44</v>
      </c>
      <c r="T147" t="s">
        <v>52</v>
      </c>
      <c r="U147" t="s">
        <v>543</v>
      </c>
      <c r="V147">
        <v>45300</v>
      </c>
      <c r="W147" t="s">
        <v>43</v>
      </c>
      <c r="X147" t="s">
        <v>544</v>
      </c>
      <c r="Y147" t="s">
        <v>49</v>
      </c>
      <c r="Z147" s="12">
        <f>IF(N147&lt;=1,7,7+0.8*ROUNDUP(N147-1,0))</f>
        <v>8.6</v>
      </c>
      <c r="AA147" s="11">
        <v>0</v>
      </c>
      <c r="AB147" s="11">
        <v>0</v>
      </c>
      <c r="AC147" s="11">
        <v>0</v>
      </c>
      <c r="AD147" s="11">
        <v>0</v>
      </c>
      <c r="AE147" s="11">
        <f t="shared" si="4"/>
        <v>0.51600000000000001</v>
      </c>
      <c r="AF147" s="11">
        <f t="shared" si="5"/>
        <v>9.1159999999999997</v>
      </c>
      <c r="AG147" t="s">
        <v>43</v>
      </c>
    </row>
    <row r="148" spans="1:33" ht="15" customHeight="1" x14ac:dyDescent="0.35">
      <c r="A148">
        <v>690929</v>
      </c>
      <c r="B148" t="s">
        <v>33</v>
      </c>
      <c r="C148" t="s">
        <v>34</v>
      </c>
      <c r="D148" s="6" t="s">
        <v>33</v>
      </c>
      <c r="E148" t="s">
        <v>545</v>
      </c>
      <c r="F148" t="s">
        <v>36</v>
      </c>
      <c r="G148" t="s">
        <v>37</v>
      </c>
      <c r="H148" t="s">
        <v>546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1</v>
      </c>
      <c r="O148" s="8">
        <v>45013.690868055557</v>
      </c>
      <c r="P148" s="9">
        <v>45016</v>
      </c>
      <c r="Q148" t="s">
        <v>36</v>
      </c>
      <c r="R148" t="s">
        <v>43</v>
      </c>
      <c r="S148" t="s">
        <v>44</v>
      </c>
      <c r="T148" t="s">
        <v>52</v>
      </c>
      <c r="U148" t="s">
        <v>547</v>
      </c>
      <c r="V148">
        <v>45300</v>
      </c>
      <c r="W148" t="s">
        <v>43</v>
      </c>
      <c r="X148" t="s">
        <v>544</v>
      </c>
      <c r="Y148" t="s">
        <v>49</v>
      </c>
      <c r="Z148" s="12">
        <f>IF(N148&lt;=1,7,7+0.8*ROUNDUP(N148-1,0))</f>
        <v>7</v>
      </c>
      <c r="AA148" s="11">
        <v>0</v>
      </c>
      <c r="AB148" s="11">
        <v>0</v>
      </c>
      <c r="AC148" s="11">
        <v>0</v>
      </c>
      <c r="AD148" s="11">
        <v>0</v>
      </c>
      <c r="AE148" s="11">
        <f t="shared" si="4"/>
        <v>0.42</v>
      </c>
      <c r="AF148" s="11">
        <f t="shared" si="5"/>
        <v>7.42</v>
      </c>
      <c r="AG148" t="s">
        <v>43</v>
      </c>
    </row>
    <row r="149" spans="1:33" ht="15" customHeight="1" x14ac:dyDescent="0.35">
      <c r="A149">
        <v>690929</v>
      </c>
      <c r="B149" t="s">
        <v>33</v>
      </c>
      <c r="C149" t="s">
        <v>34</v>
      </c>
      <c r="D149" s="6" t="s">
        <v>33</v>
      </c>
      <c r="E149" t="s">
        <v>548</v>
      </c>
      <c r="F149" t="s">
        <v>36</v>
      </c>
      <c r="G149" t="s">
        <v>37</v>
      </c>
      <c r="H149" t="s">
        <v>549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1</v>
      </c>
      <c r="O149" s="8">
        <v>45015.552071759259</v>
      </c>
      <c r="P149" s="9">
        <v>45016</v>
      </c>
      <c r="Q149" t="s">
        <v>36</v>
      </c>
      <c r="R149" t="s">
        <v>43</v>
      </c>
      <c r="S149" t="s">
        <v>44</v>
      </c>
      <c r="T149" t="s">
        <v>65</v>
      </c>
      <c r="U149" t="s">
        <v>550</v>
      </c>
      <c r="V149">
        <v>27000</v>
      </c>
      <c r="W149" t="s">
        <v>43</v>
      </c>
      <c r="X149" t="s">
        <v>44</v>
      </c>
      <c r="Y149" t="s">
        <v>49</v>
      </c>
      <c r="Z149" s="12">
        <f>IF(N149&lt;=1,7,7+0.8*ROUNDUP(N149-1,0))</f>
        <v>7</v>
      </c>
      <c r="AA149" s="11">
        <v>0</v>
      </c>
      <c r="AB149" s="11">
        <v>0</v>
      </c>
      <c r="AC149" s="11">
        <v>0</v>
      </c>
      <c r="AD149" s="11">
        <v>0</v>
      </c>
      <c r="AE149" s="11">
        <f t="shared" si="4"/>
        <v>0.42</v>
      </c>
      <c r="AF149" s="11">
        <f t="shared" si="5"/>
        <v>7.42</v>
      </c>
      <c r="AG149" t="s">
        <v>43</v>
      </c>
    </row>
    <row r="150" spans="1:33" ht="15" customHeight="1" x14ac:dyDescent="0.35">
      <c r="A150">
        <v>690929</v>
      </c>
      <c r="B150" t="s">
        <v>33</v>
      </c>
      <c r="C150" t="s">
        <v>34</v>
      </c>
      <c r="D150" s="6" t="s">
        <v>33</v>
      </c>
      <c r="E150" t="s">
        <v>551</v>
      </c>
      <c r="F150" t="s">
        <v>36</v>
      </c>
      <c r="G150" t="s">
        <v>37</v>
      </c>
      <c r="H150" t="s">
        <v>552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1</v>
      </c>
      <c r="O150" s="8">
        <v>44982.577604166669</v>
      </c>
      <c r="P150" s="9">
        <v>44986</v>
      </c>
      <c r="Q150" t="s">
        <v>36</v>
      </c>
      <c r="R150" t="s">
        <v>43</v>
      </c>
      <c r="S150" t="s">
        <v>44</v>
      </c>
      <c r="T150" t="s">
        <v>217</v>
      </c>
      <c r="U150" t="s">
        <v>553</v>
      </c>
      <c r="V150">
        <v>98000</v>
      </c>
      <c r="W150" t="s">
        <v>47</v>
      </c>
      <c r="X150" t="s">
        <v>431</v>
      </c>
      <c r="Y150" t="s">
        <v>49</v>
      </c>
      <c r="Z150" s="10">
        <f>IF(N150&lt;=1,13,IF(N150&lt;=2,23,IF(N150&lt;=3,35,IF(N150&lt;=4,43,IF(N150&lt;=5,53,IF(N150&lt;=6,63,IF(N150&lt;=7,71,IF(N150&lt;=8,79,IF(N150&lt;=9,87,IF(N150&lt;=10,95,IF(N150&lt;=11,105,IF(N150&lt;=12,114,IF(N150&lt;=13,119,IF(N150&lt;=14,127,IF(N150&lt;=15,135,IF(N150&lt;=16,143,IF(N150&lt;=17,153,IF(N150&lt;=18,163,IF(N150&lt;=19,171,IF(N150&lt;=20,185,IF(N150&lt;=21,193,IF(N150&lt;=22,201,IF(N150&lt;=23,210,IF(N150&lt;=24,220,IF(N150&lt;=25,230,IF(N150&lt;=26,240,IF(N150&lt;=27,250,IF(N150&lt;=28,260,IF(N150&lt;=29,270,IF(N150&lt;=30,280,280))))))))))))))))))))))))))))))</f>
        <v>13</v>
      </c>
      <c r="AA150" s="11">
        <v>0</v>
      </c>
      <c r="AB150" s="11">
        <v>0</v>
      </c>
      <c r="AC150" s="11">
        <v>0</v>
      </c>
      <c r="AD150" s="11">
        <v>0</v>
      </c>
      <c r="AE150" s="11">
        <f t="shared" si="4"/>
        <v>0.78</v>
      </c>
      <c r="AF150" s="11">
        <f t="shared" si="5"/>
        <v>13.78</v>
      </c>
      <c r="AG150" t="s">
        <v>47</v>
      </c>
    </row>
    <row r="151" spans="1:33" ht="15" customHeight="1" x14ac:dyDescent="0.35">
      <c r="A151">
        <v>690929</v>
      </c>
      <c r="B151" t="s">
        <v>33</v>
      </c>
      <c r="C151" t="s">
        <v>34</v>
      </c>
      <c r="D151" s="6" t="s">
        <v>33</v>
      </c>
      <c r="E151" t="s">
        <v>554</v>
      </c>
      <c r="F151" t="s">
        <v>36</v>
      </c>
      <c r="G151" t="s">
        <v>37</v>
      </c>
      <c r="H151" t="s">
        <v>555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1</v>
      </c>
      <c r="O151" s="8">
        <v>44982.567974537036</v>
      </c>
      <c r="P151" s="9">
        <v>44986</v>
      </c>
      <c r="Q151" t="s">
        <v>36</v>
      </c>
      <c r="R151" t="s">
        <v>43</v>
      </c>
      <c r="S151" t="s">
        <v>44</v>
      </c>
      <c r="T151" t="s">
        <v>556</v>
      </c>
      <c r="U151" t="s">
        <v>557</v>
      </c>
      <c r="V151">
        <v>87031</v>
      </c>
      <c r="W151" t="s">
        <v>47</v>
      </c>
      <c r="X151" t="s">
        <v>558</v>
      </c>
      <c r="Y151" t="s">
        <v>49</v>
      </c>
      <c r="Z151" s="10">
        <f>IF(N151&lt;=1,13,IF(N151&lt;=2,23,IF(N151&lt;=3,35,IF(N151&lt;=4,43,IF(N151&lt;=5,53,IF(N151&lt;=6,63,IF(N151&lt;=7,71,IF(N151&lt;=8,79,IF(N151&lt;=9,87,IF(N151&lt;=10,95,IF(N151&lt;=11,105,IF(N151&lt;=12,114,IF(N151&lt;=13,119,IF(N151&lt;=14,127,IF(N151&lt;=15,135,IF(N151&lt;=16,143,IF(N151&lt;=17,153,IF(N151&lt;=18,163,IF(N151&lt;=19,171,IF(N151&lt;=20,185,IF(N151&lt;=21,193,IF(N151&lt;=22,201,IF(N151&lt;=23,210,IF(N151&lt;=24,220,IF(N151&lt;=25,230,IF(N151&lt;=26,240,IF(N151&lt;=27,250,IF(N151&lt;=28,260,IF(N151&lt;=29,270,IF(N151&lt;=30,280,280))))))))))))))))))))))))))))))</f>
        <v>13</v>
      </c>
      <c r="AA151" s="11">
        <v>0</v>
      </c>
      <c r="AB151" s="11">
        <v>0</v>
      </c>
      <c r="AC151" s="11">
        <v>0</v>
      </c>
      <c r="AD151" s="11">
        <v>0</v>
      </c>
      <c r="AE151" s="11">
        <f t="shared" si="4"/>
        <v>0.78</v>
      </c>
      <c r="AF151" s="11">
        <f t="shared" si="5"/>
        <v>13.78</v>
      </c>
      <c r="AG151" t="s">
        <v>47</v>
      </c>
    </row>
    <row r="152" spans="1:33" ht="15" customHeight="1" x14ac:dyDescent="0.35">
      <c r="A152">
        <v>690929</v>
      </c>
      <c r="B152" t="s">
        <v>33</v>
      </c>
      <c r="C152" t="s">
        <v>34</v>
      </c>
      <c r="D152" s="6" t="s">
        <v>33</v>
      </c>
      <c r="E152" t="s">
        <v>559</v>
      </c>
      <c r="F152" t="s">
        <v>36</v>
      </c>
      <c r="G152" t="s">
        <v>37</v>
      </c>
      <c r="H152" t="s">
        <v>560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1</v>
      </c>
      <c r="O152" s="8">
        <v>44984.659907407404</v>
      </c>
      <c r="P152" s="9">
        <v>44986</v>
      </c>
      <c r="Q152" t="s">
        <v>36</v>
      </c>
      <c r="R152" t="s">
        <v>43</v>
      </c>
      <c r="S152" t="s">
        <v>44</v>
      </c>
      <c r="T152" t="s">
        <v>99</v>
      </c>
      <c r="U152" t="s">
        <v>561</v>
      </c>
      <c r="V152">
        <v>70300</v>
      </c>
      <c r="W152" t="s">
        <v>43</v>
      </c>
      <c r="X152" t="s">
        <v>143</v>
      </c>
      <c r="Y152" t="s">
        <v>49</v>
      </c>
      <c r="Z152" s="12">
        <f>IF(N152&lt;=1,7,7+0.8*ROUNDUP(N152-1,0))</f>
        <v>7</v>
      </c>
      <c r="AA152" s="11">
        <v>0</v>
      </c>
      <c r="AB152" s="11">
        <v>0</v>
      </c>
      <c r="AC152" s="11">
        <v>0</v>
      </c>
      <c r="AD152" s="11">
        <v>0</v>
      </c>
      <c r="AE152" s="11">
        <f t="shared" si="4"/>
        <v>0.42</v>
      </c>
      <c r="AF152" s="11">
        <f t="shared" si="5"/>
        <v>7.42</v>
      </c>
      <c r="AG152" t="s">
        <v>43</v>
      </c>
    </row>
    <row r="153" spans="1:33" ht="15" customHeight="1" x14ac:dyDescent="0.35">
      <c r="A153">
        <v>690929</v>
      </c>
      <c r="B153" t="s">
        <v>33</v>
      </c>
      <c r="C153" t="s">
        <v>34</v>
      </c>
      <c r="D153" s="6" t="s">
        <v>33</v>
      </c>
      <c r="E153" t="s">
        <v>562</v>
      </c>
      <c r="F153" t="s">
        <v>36</v>
      </c>
      <c r="G153" t="s">
        <v>37</v>
      </c>
      <c r="H153" t="s">
        <v>563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4</v>
      </c>
      <c r="O153" s="8">
        <v>44981.701817129629</v>
      </c>
      <c r="P153" s="9">
        <v>44986</v>
      </c>
      <c r="Q153" t="s">
        <v>36</v>
      </c>
      <c r="R153" t="s">
        <v>43</v>
      </c>
      <c r="S153" t="s">
        <v>44</v>
      </c>
      <c r="T153" t="s">
        <v>45</v>
      </c>
      <c r="U153" t="s">
        <v>564</v>
      </c>
      <c r="V153">
        <v>89320</v>
      </c>
      <c r="W153" t="s">
        <v>47</v>
      </c>
      <c r="X153" t="s">
        <v>565</v>
      </c>
      <c r="Y153" t="s">
        <v>49</v>
      </c>
      <c r="Z153" s="10">
        <f>IF(N153&lt;=1,13,IF(N153&lt;=2,23,IF(N153&lt;=3,35,IF(N153&lt;=4,43,IF(N153&lt;=5,53,IF(N153&lt;=6,63,IF(N153&lt;=7,71,IF(N153&lt;=8,79,IF(N153&lt;=9,87,IF(N153&lt;=10,95,IF(N153&lt;=11,105,IF(N153&lt;=12,114,IF(N153&lt;=13,119,IF(N153&lt;=14,127,IF(N153&lt;=15,135,IF(N153&lt;=16,143,IF(N153&lt;=17,153,IF(N153&lt;=18,163,IF(N153&lt;=19,171,IF(N153&lt;=20,185,IF(N153&lt;=21,193,IF(N153&lt;=22,201,IF(N153&lt;=23,210,IF(N153&lt;=24,220,IF(N153&lt;=25,230,IF(N153&lt;=26,240,IF(N153&lt;=27,250,IF(N153&lt;=28,260,IF(N153&lt;=29,270,IF(N153&lt;=30,280,280))))))))))))))))))))))))))))))</f>
        <v>43</v>
      </c>
      <c r="AA153" s="11">
        <v>0</v>
      </c>
      <c r="AB153" s="11">
        <v>0</v>
      </c>
      <c r="AC153" s="11">
        <v>0</v>
      </c>
      <c r="AD153" s="11">
        <v>0</v>
      </c>
      <c r="AE153" s="11">
        <f t="shared" si="4"/>
        <v>2.58</v>
      </c>
      <c r="AF153" s="11">
        <f t="shared" si="5"/>
        <v>45.58</v>
      </c>
      <c r="AG153" t="s">
        <v>47</v>
      </c>
    </row>
    <row r="154" spans="1:33" ht="15" customHeight="1" x14ac:dyDescent="0.35">
      <c r="A154">
        <v>690929</v>
      </c>
      <c r="B154" t="s">
        <v>33</v>
      </c>
      <c r="C154" t="s">
        <v>34</v>
      </c>
      <c r="D154" s="6" t="s">
        <v>33</v>
      </c>
      <c r="E154" t="s">
        <v>566</v>
      </c>
      <c r="F154" t="s">
        <v>36</v>
      </c>
      <c r="G154" t="s">
        <v>37</v>
      </c>
      <c r="H154" t="s">
        <v>567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1</v>
      </c>
      <c r="O154" s="8">
        <v>44984.659907407404</v>
      </c>
      <c r="P154" s="9">
        <v>44986</v>
      </c>
      <c r="Q154" t="s">
        <v>36</v>
      </c>
      <c r="R154" t="s">
        <v>43</v>
      </c>
      <c r="S154" t="s">
        <v>44</v>
      </c>
      <c r="T154" t="s">
        <v>104</v>
      </c>
      <c r="U154" t="s">
        <v>568</v>
      </c>
      <c r="V154">
        <v>84300</v>
      </c>
      <c r="W154" t="s">
        <v>43</v>
      </c>
      <c r="X154" t="s">
        <v>62</v>
      </c>
      <c r="Y154" t="s">
        <v>49</v>
      </c>
      <c r="Z154" s="12">
        <f>IF(N154&lt;=1,7,7+0.8*ROUNDUP(N154-1,0))</f>
        <v>7</v>
      </c>
      <c r="AA154" s="11">
        <v>0</v>
      </c>
      <c r="AB154" s="11">
        <v>0</v>
      </c>
      <c r="AC154" s="11">
        <v>0</v>
      </c>
      <c r="AD154" s="11">
        <v>0</v>
      </c>
      <c r="AE154" s="11">
        <f t="shared" si="4"/>
        <v>0.42</v>
      </c>
      <c r="AF154" s="11">
        <f t="shared" si="5"/>
        <v>7.42</v>
      </c>
      <c r="AG154" t="s">
        <v>43</v>
      </c>
    </row>
    <row r="155" spans="1:33" ht="15" customHeight="1" x14ac:dyDescent="0.35">
      <c r="A155">
        <v>690929</v>
      </c>
      <c r="B155" t="s">
        <v>33</v>
      </c>
      <c r="C155" t="s">
        <v>34</v>
      </c>
      <c r="D155" s="6" t="s">
        <v>33</v>
      </c>
      <c r="E155" t="s">
        <v>569</v>
      </c>
      <c r="F155" t="s">
        <v>36</v>
      </c>
      <c r="G155" t="s">
        <v>37</v>
      </c>
      <c r="H155" t="s">
        <v>570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1</v>
      </c>
      <c r="O155" s="8">
        <v>44985.575752314813</v>
      </c>
      <c r="P155" s="9">
        <v>44986</v>
      </c>
      <c r="Q155" t="s">
        <v>36</v>
      </c>
      <c r="R155" t="s">
        <v>43</v>
      </c>
      <c r="S155" t="s">
        <v>44</v>
      </c>
      <c r="T155" t="s">
        <v>52</v>
      </c>
      <c r="U155" t="s">
        <v>571</v>
      </c>
      <c r="V155">
        <v>45620</v>
      </c>
      <c r="W155" t="s">
        <v>43</v>
      </c>
      <c r="X155" t="s">
        <v>572</v>
      </c>
      <c r="Y155" t="s">
        <v>49</v>
      </c>
      <c r="Z155" s="12">
        <f>IF(N155&lt;=1,7,7+0.8*ROUNDUP(N155-1,0))</f>
        <v>7</v>
      </c>
      <c r="AA155" s="11">
        <v>0</v>
      </c>
      <c r="AB155" s="11">
        <v>0</v>
      </c>
      <c r="AC155" s="11">
        <v>0</v>
      </c>
      <c r="AD155" s="11">
        <v>0</v>
      </c>
      <c r="AE155" s="11">
        <f t="shared" si="4"/>
        <v>0.42</v>
      </c>
      <c r="AF155" s="11">
        <f t="shared" si="5"/>
        <v>7.42</v>
      </c>
      <c r="AG155" t="s">
        <v>43</v>
      </c>
    </row>
    <row r="156" spans="1:33" ht="15" customHeight="1" x14ac:dyDescent="0.35">
      <c r="A156">
        <v>690929</v>
      </c>
      <c r="B156" t="s">
        <v>33</v>
      </c>
      <c r="C156" t="s">
        <v>34</v>
      </c>
      <c r="D156" s="6" t="s">
        <v>33</v>
      </c>
      <c r="E156" t="s">
        <v>573</v>
      </c>
      <c r="F156" t="s">
        <v>36</v>
      </c>
      <c r="G156" t="s">
        <v>37</v>
      </c>
      <c r="H156" t="s">
        <v>574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1</v>
      </c>
      <c r="O156" s="8">
        <v>44985.632916666669</v>
      </c>
      <c r="P156" s="9">
        <v>44986</v>
      </c>
      <c r="Q156" t="s">
        <v>36</v>
      </c>
      <c r="R156" t="s">
        <v>43</v>
      </c>
      <c r="S156" t="s">
        <v>44</v>
      </c>
      <c r="T156" t="s">
        <v>52</v>
      </c>
      <c r="U156" t="s">
        <v>575</v>
      </c>
      <c r="V156">
        <v>62000</v>
      </c>
      <c r="W156" t="s">
        <v>43</v>
      </c>
      <c r="X156" t="s">
        <v>446</v>
      </c>
      <c r="Y156" t="s">
        <v>49</v>
      </c>
      <c r="Z156" s="12">
        <f>IF(N156&lt;=1,7,7+0.8*ROUNDUP(N156-1,0))</f>
        <v>7</v>
      </c>
      <c r="AA156" s="11">
        <v>0</v>
      </c>
      <c r="AB156" s="11">
        <v>0</v>
      </c>
      <c r="AC156" s="11">
        <v>0</v>
      </c>
      <c r="AD156" s="11">
        <v>0</v>
      </c>
      <c r="AE156" s="11">
        <f t="shared" si="4"/>
        <v>0.42</v>
      </c>
      <c r="AF156" s="11">
        <f t="shared" si="5"/>
        <v>7.42</v>
      </c>
      <c r="AG156" t="s">
        <v>43</v>
      </c>
    </row>
    <row r="157" spans="1:33" ht="15" customHeight="1" x14ac:dyDescent="0.35">
      <c r="A157">
        <v>690929</v>
      </c>
      <c r="B157" t="s">
        <v>33</v>
      </c>
      <c r="C157" t="s">
        <v>34</v>
      </c>
      <c r="D157" s="6" t="s">
        <v>33</v>
      </c>
      <c r="E157" t="s">
        <v>576</v>
      </c>
      <c r="F157" t="s">
        <v>36</v>
      </c>
      <c r="G157" t="s">
        <v>37</v>
      </c>
      <c r="H157" t="s">
        <v>577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13</v>
      </c>
      <c r="O157" s="8">
        <v>44984.640381944446</v>
      </c>
      <c r="P157" s="9">
        <v>44986</v>
      </c>
      <c r="Q157" t="s">
        <v>36</v>
      </c>
      <c r="R157" t="s">
        <v>43</v>
      </c>
      <c r="S157" t="s">
        <v>44</v>
      </c>
      <c r="T157" t="s">
        <v>137</v>
      </c>
      <c r="U157" t="s">
        <v>578</v>
      </c>
      <c r="V157">
        <v>31920</v>
      </c>
      <c r="W157" t="s">
        <v>43</v>
      </c>
      <c r="X157" t="s">
        <v>579</v>
      </c>
      <c r="Y157" t="s">
        <v>49</v>
      </c>
      <c r="Z157" s="12">
        <f>IF(N157&lt;=1,7,7+0.8*ROUNDUP(N157-1,0))</f>
        <v>16.600000000000001</v>
      </c>
      <c r="AA157" s="11">
        <v>0</v>
      </c>
      <c r="AB157" s="11">
        <v>0</v>
      </c>
      <c r="AC157" s="11">
        <v>0</v>
      </c>
      <c r="AD157" s="11">
        <v>0</v>
      </c>
      <c r="AE157" s="11">
        <f t="shared" si="4"/>
        <v>0.996</v>
      </c>
      <c r="AF157" s="11">
        <f t="shared" si="5"/>
        <v>17.596</v>
      </c>
      <c r="AG157" t="s">
        <v>43</v>
      </c>
    </row>
    <row r="158" spans="1:33" ht="15" customHeight="1" x14ac:dyDescent="0.35">
      <c r="A158">
        <v>690929</v>
      </c>
      <c r="B158" t="s">
        <v>33</v>
      </c>
      <c r="C158" t="s">
        <v>34</v>
      </c>
      <c r="D158" s="6" t="s">
        <v>33</v>
      </c>
      <c r="E158" t="s">
        <v>580</v>
      </c>
      <c r="F158" t="s">
        <v>36</v>
      </c>
      <c r="G158" t="s">
        <v>37</v>
      </c>
      <c r="H158" t="s">
        <v>581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1</v>
      </c>
      <c r="O158" s="8">
        <v>44984.739259259259</v>
      </c>
      <c r="P158" s="9">
        <v>44987</v>
      </c>
      <c r="Q158" t="s">
        <v>36</v>
      </c>
      <c r="R158" t="s">
        <v>43</v>
      </c>
      <c r="S158" t="s">
        <v>44</v>
      </c>
      <c r="T158" t="s">
        <v>45</v>
      </c>
      <c r="U158" t="s">
        <v>582</v>
      </c>
      <c r="V158">
        <v>89808</v>
      </c>
      <c r="W158" t="s">
        <v>47</v>
      </c>
      <c r="X158" t="s">
        <v>162</v>
      </c>
      <c r="Y158" t="s">
        <v>49</v>
      </c>
      <c r="Z158" s="10">
        <f>IF(N158&lt;=1,13,IF(N158&lt;=2,23,IF(N158&lt;=3,35,IF(N158&lt;=4,43,IF(N158&lt;=5,53,IF(N158&lt;=6,63,IF(N158&lt;=7,71,IF(N158&lt;=8,79,IF(N158&lt;=9,87,IF(N158&lt;=10,95,IF(N158&lt;=11,105,IF(N158&lt;=12,114,IF(N158&lt;=13,119,IF(N158&lt;=14,127,IF(N158&lt;=15,135,IF(N158&lt;=16,143,IF(N158&lt;=17,153,IF(N158&lt;=18,163,IF(N158&lt;=19,171,IF(N158&lt;=20,185,IF(N158&lt;=21,193,IF(N158&lt;=22,201,IF(N158&lt;=23,210,IF(N158&lt;=24,220,IF(N158&lt;=25,230,IF(N158&lt;=26,240,IF(N158&lt;=27,250,IF(N158&lt;=28,260,IF(N158&lt;=29,270,IF(N158&lt;=30,280,280))))))))))))))))))))))))))))))</f>
        <v>13</v>
      </c>
      <c r="AA158" s="11">
        <v>0</v>
      </c>
      <c r="AB158" s="11">
        <v>0</v>
      </c>
      <c r="AC158" s="11">
        <v>0</v>
      </c>
      <c r="AD158" s="11">
        <v>0</v>
      </c>
      <c r="AE158" s="11">
        <f t="shared" si="4"/>
        <v>0.78</v>
      </c>
      <c r="AF158" s="11">
        <f t="shared" si="5"/>
        <v>13.78</v>
      </c>
      <c r="AG158" t="s">
        <v>47</v>
      </c>
    </row>
    <row r="159" spans="1:33" ht="15" customHeight="1" x14ac:dyDescent="0.35">
      <c r="A159">
        <v>690929</v>
      </c>
      <c r="B159" t="s">
        <v>33</v>
      </c>
      <c r="C159" t="s">
        <v>34</v>
      </c>
      <c r="D159" s="6" t="s">
        <v>33</v>
      </c>
      <c r="E159" t="s">
        <v>583</v>
      </c>
      <c r="F159" t="s">
        <v>36</v>
      </c>
      <c r="G159" t="s">
        <v>37</v>
      </c>
      <c r="H159" t="s">
        <v>584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3</v>
      </c>
      <c r="O159" s="8">
        <v>44985.638668981483</v>
      </c>
      <c r="P159" s="9">
        <v>44987</v>
      </c>
      <c r="Q159" t="s">
        <v>36</v>
      </c>
      <c r="R159" t="s">
        <v>43</v>
      </c>
      <c r="S159" t="s">
        <v>44</v>
      </c>
      <c r="T159" t="s">
        <v>316</v>
      </c>
      <c r="U159" t="s">
        <v>585</v>
      </c>
      <c r="V159">
        <v>14120</v>
      </c>
      <c r="W159" t="s">
        <v>43</v>
      </c>
      <c r="X159" t="s">
        <v>586</v>
      </c>
      <c r="Y159" t="s">
        <v>49</v>
      </c>
      <c r="Z159" s="12">
        <f>IF(N159&lt;=1,7,7+0.8*ROUNDUP(N159-1,0))</f>
        <v>8.6</v>
      </c>
      <c r="AA159" s="11">
        <v>0</v>
      </c>
      <c r="AB159" s="11">
        <v>0</v>
      </c>
      <c r="AC159" s="11">
        <v>0</v>
      </c>
      <c r="AD159" s="11">
        <v>0</v>
      </c>
      <c r="AE159" s="11">
        <f t="shared" si="4"/>
        <v>0.51600000000000001</v>
      </c>
      <c r="AF159" s="11">
        <f t="shared" si="5"/>
        <v>9.1159999999999997</v>
      </c>
      <c r="AG159" t="s">
        <v>43</v>
      </c>
    </row>
    <row r="160" spans="1:33" ht="15" customHeight="1" x14ac:dyDescent="0.35">
      <c r="A160">
        <v>690929</v>
      </c>
      <c r="B160" t="s">
        <v>33</v>
      </c>
      <c r="C160" t="s">
        <v>34</v>
      </c>
      <c r="D160" s="6" t="s">
        <v>33</v>
      </c>
      <c r="E160" t="s">
        <v>587</v>
      </c>
      <c r="F160" t="s">
        <v>36</v>
      </c>
      <c r="G160" t="s">
        <v>37</v>
      </c>
      <c r="H160" t="s">
        <v>588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1</v>
      </c>
      <c r="O160" s="8">
        <v>44986.532106481478</v>
      </c>
      <c r="P160" s="9">
        <v>44987</v>
      </c>
      <c r="Q160" t="s">
        <v>36</v>
      </c>
      <c r="R160" t="s">
        <v>43</v>
      </c>
      <c r="S160" t="s">
        <v>44</v>
      </c>
      <c r="T160" t="s">
        <v>65</v>
      </c>
      <c r="U160" t="s">
        <v>589</v>
      </c>
      <c r="V160">
        <v>27200</v>
      </c>
      <c r="W160" t="s">
        <v>43</v>
      </c>
      <c r="X160" t="s">
        <v>44</v>
      </c>
      <c r="Y160" t="s">
        <v>49</v>
      </c>
      <c r="Z160" s="12">
        <f>IF(N160&lt;=1,7,7+0.8*ROUNDUP(N160-1,0))</f>
        <v>7</v>
      </c>
      <c r="AA160" s="11">
        <v>0</v>
      </c>
      <c r="AB160" s="11">
        <v>0</v>
      </c>
      <c r="AC160" s="11">
        <v>0</v>
      </c>
      <c r="AD160" s="11">
        <v>0</v>
      </c>
      <c r="AE160" s="11">
        <f t="shared" si="4"/>
        <v>0.42</v>
      </c>
      <c r="AF160" s="11">
        <f t="shared" si="5"/>
        <v>7.42</v>
      </c>
      <c r="AG160" t="s">
        <v>43</v>
      </c>
    </row>
    <row r="161" spans="1:33" ht="15" customHeight="1" x14ac:dyDescent="0.35">
      <c r="A161">
        <v>690929</v>
      </c>
      <c r="B161" t="s">
        <v>33</v>
      </c>
      <c r="C161" t="s">
        <v>34</v>
      </c>
      <c r="D161" s="6" t="s">
        <v>33</v>
      </c>
      <c r="E161" t="s">
        <v>590</v>
      </c>
      <c r="F161" t="s">
        <v>36</v>
      </c>
      <c r="G161" t="s">
        <v>37</v>
      </c>
      <c r="H161" t="s">
        <v>591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12</v>
      </c>
      <c r="O161" s="8">
        <v>44983.781863425924</v>
      </c>
      <c r="P161" s="9">
        <v>44987</v>
      </c>
      <c r="Q161" t="s">
        <v>36</v>
      </c>
      <c r="R161" t="s">
        <v>43</v>
      </c>
      <c r="S161" t="s">
        <v>44</v>
      </c>
      <c r="T161" t="s">
        <v>104</v>
      </c>
      <c r="U161" t="s">
        <v>592</v>
      </c>
      <c r="V161">
        <v>86600</v>
      </c>
      <c r="W161" t="s">
        <v>43</v>
      </c>
      <c r="X161" t="s">
        <v>155</v>
      </c>
      <c r="Y161" t="s">
        <v>49</v>
      </c>
      <c r="Z161" s="12">
        <f>IF(N161&lt;=1,7,7+0.8*ROUNDUP(N161-1,0))</f>
        <v>15.8</v>
      </c>
      <c r="AA161" s="11">
        <v>0</v>
      </c>
      <c r="AB161" s="11">
        <v>0</v>
      </c>
      <c r="AC161" s="11">
        <v>0</v>
      </c>
      <c r="AD161" s="11">
        <v>0</v>
      </c>
      <c r="AE161" s="11">
        <f t="shared" si="4"/>
        <v>0.94799999999999995</v>
      </c>
      <c r="AF161" s="11">
        <f t="shared" si="5"/>
        <v>16.748000000000001</v>
      </c>
      <c r="AG161" t="s">
        <v>43</v>
      </c>
    </row>
    <row r="162" spans="1:33" ht="15" customHeight="1" x14ac:dyDescent="0.35">
      <c r="A162">
        <v>690929</v>
      </c>
      <c r="B162" t="s">
        <v>33</v>
      </c>
      <c r="C162" t="s">
        <v>34</v>
      </c>
      <c r="D162" s="6" t="s">
        <v>33</v>
      </c>
      <c r="E162" t="s">
        <v>593</v>
      </c>
      <c r="F162" t="s">
        <v>36</v>
      </c>
      <c r="G162" t="s">
        <v>37</v>
      </c>
      <c r="H162" t="s">
        <v>594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1</v>
      </c>
      <c r="O162" s="8">
        <v>44985.748773148145</v>
      </c>
      <c r="P162" s="9">
        <v>44987</v>
      </c>
      <c r="Q162" t="s">
        <v>36</v>
      </c>
      <c r="R162" t="s">
        <v>43</v>
      </c>
      <c r="S162" t="s">
        <v>44</v>
      </c>
      <c r="T162" t="s">
        <v>52</v>
      </c>
      <c r="U162" t="s">
        <v>595</v>
      </c>
      <c r="V162">
        <v>40150</v>
      </c>
      <c r="W162" t="s">
        <v>43</v>
      </c>
      <c r="X162" t="s">
        <v>596</v>
      </c>
      <c r="Y162" t="s">
        <v>49</v>
      </c>
      <c r="Z162" s="12">
        <f>IF(N162&lt;=1,7,7+0.8*ROUNDUP(N162-1,0))</f>
        <v>7</v>
      </c>
      <c r="AA162" s="11">
        <v>0</v>
      </c>
      <c r="AB162" s="11">
        <v>0</v>
      </c>
      <c r="AC162" s="11">
        <v>0</v>
      </c>
      <c r="AD162" s="11">
        <v>0</v>
      </c>
      <c r="AE162" s="11">
        <f t="shared" si="4"/>
        <v>0.42</v>
      </c>
      <c r="AF162" s="11">
        <f t="shared" si="5"/>
        <v>7.42</v>
      </c>
      <c r="AG162" t="s">
        <v>43</v>
      </c>
    </row>
    <row r="163" spans="1:33" ht="15" customHeight="1" x14ac:dyDescent="0.35">
      <c r="A163">
        <v>690929</v>
      </c>
      <c r="B163" t="s">
        <v>33</v>
      </c>
      <c r="C163" t="s">
        <v>34</v>
      </c>
      <c r="D163" s="6" t="s">
        <v>33</v>
      </c>
      <c r="E163" t="s">
        <v>597</v>
      </c>
      <c r="F163" t="s">
        <v>36</v>
      </c>
      <c r="G163" t="s">
        <v>37</v>
      </c>
      <c r="H163" t="s">
        <v>598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44985.725659722222</v>
      </c>
      <c r="P163" s="9">
        <v>44987</v>
      </c>
      <c r="Q163" t="s">
        <v>36</v>
      </c>
      <c r="R163" t="s">
        <v>43</v>
      </c>
      <c r="S163" t="s">
        <v>44</v>
      </c>
      <c r="T163" t="s">
        <v>92</v>
      </c>
      <c r="U163" t="s">
        <v>599</v>
      </c>
      <c r="V163">
        <v>21300</v>
      </c>
      <c r="W163" t="s">
        <v>43</v>
      </c>
      <c r="X163" t="s">
        <v>44</v>
      </c>
      <c r="Y163" t="s">
        <v>49</v>
      </c>
      <c r="Z163" s="12">
        <f>IF(N163&lt;=1,7,7+0.8*ROUNDUP(N163-1,0))</f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 t="shared" si="4"/>
        <v>0.42</v>
      </c>
      <c r="AF163" s="11">
        <f t="shared" si="5"/>
        <v>7.42</v>
      </c>
      <c r="AG163" t="s">
        <v>43</v>
      </c>
    </row>
    <row r="164" spans="1:33" ht="15" customHeight="1" x14ac:dyDescent="0.35">
      <c r="A164">
        <v>690929</v>
      </c>
      <c r="B164" t="s">
        <v>33</v>
      </c>
      <c r="C164" t="s">
        <v>34</v>
      </c>
      <c r="D164" s="6" t="s">
        <v>33</v>
      </c>
      <c r="E164" t="s">
        <v>600</v>
      </c>
      <c r="F164" t="s">
        <v>36</v>
      </c>
      <c r="G164" t="s">
        <v>37</v>
      </c>
      <c r="H164" t="s">
        <v>601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2</v>
      </c>
      <c r="O164" s="8">
        <v>44986.488194444442</v>
      </c>
      <c r="P164" s="9">
        <v>44987</v>
      </c>
      <c r="Q164" t="s">
        <v>36</v>
      </c>
      <c r="R164" t="s">
        <v>43</v>
      </c>
      <c r="S164" t="s">
        <v>44</v>
      </c>
      <c r="T164" t="s">
        <v>65</v>
      </c>
      <c r="U164" t="s">
        <v>602</v>
      </c>
      <c r="V164">
        <v>26660</v>
      </c>
      <c r="W164" t="s">
        <v>43</v>
      </c>
      <c r="X164" t="s">
        <v>451</v>
      </c>
      <c r="Y164" t="s">
        <v>49</v>
      </c>
      <c r="Z164" s="12">
        <f>IF(N164&lt;=1,7,7+0.8*ROUNDUP(N164-1,0))</f>
        <v>7.8</v>
      </c>
      <c r="AA164" s="11">
        <v>0</v>
      </c>
      <c r="AB164" s="11">
        <v>0</v>
      </c>
      <c r="AC164" s="11">
        <v>0</v>
      </c>
      <c r="AD164" s="11">
        <v>0</v>
      </c>
      <c r="AE164" s="11">
        <f t="shared" si="4"/>
        <v>0.46799999999999997</v>
      </c>
      <c r="AF164" s="11">
        <f t="shared" si="5"/>
        <v>8.2680000000000007</v>
      </c>
      <c r="AG164" t="s">
        <v>43</v>
      </c>
    </row>
    <row r="165" spans="1:33" ht="15" customHeight="1" x14ac:dyDescent="0.35">
      <c r="A165">
        <v>690929</v>
      </c>
      <c r="B165" t="s">
        <v>33</v>
      </c>
      <c r="C165" t="s">
        <v>34</v>
      </c>
      <c r="D165" s="6" t="s">
        <v>33</v>
      </c>
      <c r="E165" t="s">
        <v>603</v>
      </c>
      <c r="F165" t="s">
        <v>36</v>
      </c>
      <c r="G165" t="s">
        <v>37</v>
      </c>
      <c r="H165" t="s">
        <v>604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44986.430995370371</v>
      </c>
      <c r="P165" s="9">
        <v>44987</v>
      </c>
      <c r="Q165" t="s">
        <v>36</v>
      </c>
      <c r="R165" t="s">
        <v>43</v>
      </c>
      <c r="S165" t="s">
        <v>44</v>
      </c>
      <c r="T165" t="s">
        <v>178</v>
      </c>
      <c r="U165" t="s">
        <v>605</v>
      </c>
      <c r="V165">
        <v>51100</v>
      </c>
      <c r="W165" t="s">
        <v>43</v>
      </c>
      <c r="X165" t="s">
        <v>606</v>
      </c>
      <c r="Y165" t="s">
        <v>49</v>
      </c>
      <c r="Z165" s="12">
        <f>IF(N165&lt;=1,7,7+0.8*ROUNDUP(N165-1,0))</f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 t="shared" si="4"/>
        <v>0.42</v>
      </c>
      <c r="AF165" s="11">
        <f t="shared" si="5"/>
        <v>7.42</v>
      </c>
      <c r="AG165" t="s">
        <v>43</v>
      </c>
    </row>
    <row r="166" spans="1:33" ht="15" customHeight="1" x14ac:dyDescent="0.35">
      <c r="A166">
        <v>690929</v>
      </c>
      <c r="B166" t="s">
        <v>33</v>
      </c>
      <c r="C166" t="s">
        <v>34</v>
      </c>
      <c r="D166" s="6" t="s">
        <v>33</v>
      </c>
      <c r="E166" t="s">
        <v>607</v>
      </c>
      <c r="F166" t="s">
        <v>36</v>
      </c>
      <c r="G166" t="s">
        <v>37</v>
      </c>
      <c r="H166" t="s">
        <v>608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5</v>
      </c>
      <c r="O166" s="8">
        <v>44985.640416666669</v>
      </c>
      <c r="P166" s="9">
        <v>44987</v>
      </c>
      <c r="Q166" t="s">
        <v>36</v>
      </c>
      <c r="R166" t="s">
        <v>43</v>
      </c>
      <c r="S166" t="s">
        <v>44</v>
      </c>
      <c r="T166" t="s">
        <v>149</v>
      </c>
      <c r="U166" t="s">
        <v>609</v>
      </c>
      <c r="V166">
        <v>9000</v>
      </c>
      <c r="W166" t="s">
        <v>43</v>
      </c>
      <c r="X166" t="s">
        <v>229</v>
      </c>
      <c r="Y166" t="s">
        <v>49</v>
      </c>
      <c r="Z166" s="12">
        <f>IF(N166&lt;=1,7,7+0.8*ROUNDUP(N166-1,0))</f>
        <v>10.199999999999999</v>
      </c>
      <c r="AA166" s="11">
        <v>0</v>
      </c>
      <c r="AB166" s="11">
        <v>0</v>
      </c>
      <c r="AC166" s="11">
        <v>0</v>
      </c>
      <c r="AD166" s="11">
        <v>0</v>
      </c>
      <c r="AE166" s="11">
        <f t="shared" si="4"/>
        <v>0.61199999999999999</v>
      </c>
      <c r="AF166" s="11">
        <f t="shared" si="5"/>
        <v>10.811999999999999</v>
      </c>
      <c r="AG166" t="s">
        <v>43</v>
      </c>
    </row>
    <row r="167" spans="1:33" ht="15" customHeight="1" x14ac:dyDescent="0.35">
      <c r="A167">
        <v>690929</v>
      </c>
      <c r="B167" t="s">
        <v>33</v>
      </c>
      <c r="C167" t="s">
        <v>34</v>
      </c>
      <c r="D167" s="6" t="s">
        <v>33</v>
      </c>
      <c r="E167" t="s">
        <v>610</v>
      </c>
      <c r="F167" t="s">
        <v>36</v>
      </c>
      <c r="G167" t="s">
        <v>37</v>
      </c>
      <c r="H167" t="s">
        <v>611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1</v>
      </c>
      <c r="O167" s="8">
        <v>44984.739259259259</v>
      </c>
      <c r="P167" s="9">
        <v>44988</v>
      </c>
      <c r="Q167" t="s">
        <v>36</v>
      </c>
      <c r="R167" t="s">
        <v>43</v>
      </c>
      <c r="S167" t="s">
        <v>44</v>
      </c>
      <c r="T167" t="s">
        <v>217</v>
      </c>
      <c r="U167" t="s">
        <v>612</v>
      </c>
      <c r="V167">
        <v>93450</v>
      </c>
      <c r="W167" t="s">
        <v>47</v>
      </c>
      <c r="X167" t="s">
        <v>511</v>
      </c>
      <c r="Y167" t="s">
        <v>49</v>
      </c>
      <c r="Z167" s="10">
        <f>IF(N167&lt;=1,13,IF(N167&lt;=2,23,IF(N167&lt;=3,35,IF(N167&lt;=4,43,IF(N167&lt;=5,53,IF(N167&lt;=6,63,IF(N167&lt;=7,71,IF(N167&lt;=8,79,IF(N167&lt;=9,87,IF(N167&lt;=10,95,IF(N167&lt;=11,105,IF(N167&lt;=12,114,IF(N167&lt;=13,119,IF(N167&lt;=14,127,IF(N167&lt;=15,135,IF(N167&lt;=16,143,IF(N167&lt;=17,153,IF(N167&lt;=18,163,IF(N167&lt;=19,171,IF(N167&lt;=20,185,IF(N167&lt;=21,193,IF(N167&lt;=22,201,IF(N167&lt;=23,210,IF(N167&lt;=24,220,IF(N167&lt;=25,230,IF(N167&lt;=26,240,IF(N167&lt;=27,250,IF(N167&lt;=28,260,IF(N167&lt;=29,270,IF(N167&lt;=30,280,280))))))))))))))))))))))))))))))</f>
        <v>13</v>
      </c>
      <c r="AA167" s="11">
        <v>0</v>
      </c>
      <c r="AB167" s="11">
        <v>0</v>
      </c>
      <c r="AC167" s="11">
        <v>0</v>
      </c>
      <c r="AD167" s="11">
        <v>0</v>
      </c>
      <c r="AE167" s="11">
        <f t="shared" si="4"/>
        <v>0.78</v>
      </c>
      <c r="AF167" s="11">
        <f t="shared" si="5"/>
        <v>13.78</v>
      </c>
      <c r="AG167" t="s">
        <v>47</v>
      </c>
    </row>
    <row r="168" spans="1:33" ht="15" customHeight="1" x14ac:dyDescent="0.35">
      <c r="A168">
        <v>690929</v>
      </c>
      <c r="B168" t="s">
        <v>33</v>
      </c>
      <c r="C168" t="s">
        <v>34</v>
      </c>
      <c r="D168" s="6" t="s">
        <v>33</v>
      </c>
      <c r="E168" t="s">
        <v>613</v>
      </c>
      <c r="F168" t="s">
        <v>36</v>
      </c>
      <c r="G168" t="s">
        <v>37</v>
      </c>
      <c r="H168" t="s">
        <v>614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1</v>
      </c>
      <c r="O168" s="8">
        <v>44987.408946759257</v>
      </c>
      <c r="P168" s="9">
        <v>44988</v>
      </c>
      <c r="Q168" t="s">
        <v>36</v>
      </c>
      <c r="R168" t="s">
        <v>43</v>
      </c>
      <c r="S168" t="s">
        <v>44</v>
      </c>
      <c r="T168" t="s">
        <v>52</v>
      </c>
      <c r="U168" t="s">
        <v>615</v>
      </c>
      <c r="V168">
        <v>47100</v>
      </c>
      <c r="W168" t="s">
        <v>43</v>
      </c>
      <c r="X168" t="s">
        <v>233</v>
      </c>
      <c r="Y168" t="s">
        <v>49</v>
      </c>
      <c r="Z168" s="12">
        <f>IF(N168&lt;=1,7,7+0.8*ROUNDUP(N168-1,0))</f>
        <v>7</v>
      </c>
      <c r="AA168" s="11">
        <v>0</v>
      </c>
      <c r="AB168" s="11">
        <v>0</v>
      </c>
      <c r="AC168" s="11">
        <v>0</v>
      </c>
      <c r="AD168" s="11">
        <v>0</v>
      </c>
      <c r="AE168" s="11">
        <f t="shared" si="4"/>
        <v>0.42</v>
      </c>
      <c r="AF168" s="11">
        <f t="shared" si="5"/>
        <v>7.42</v>
      </c>
      <c r="AG168" t="s">
        <v>43</v>
      </c>
    </row>
    <row r="169" spans="1:33" ht="15" customHeight="1" x14ac:dyDescent="0.35">
      <c r="A169">
        <v>690929</v>
      </c>
      <c r="B169" t="s">
        <v>33</v>
      </c>
      <c r="C169" t="s">
        <v>34</v>
      </c>
      <c r="D169" s="6" t="s">
        <v>33</v>
      </c>
      <c r="E169" t="s">
        <v>616</v>
      </c>
      <c r="F169" t="s">
        <v>36</v>
      </c>
      <c r="G169" t="s">
        <v>37</v>
      </c>
      <c r="H169" t="s">
        <v>617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1</v>
      </c>
      <c r="O169" s="8">
        <v>44986.685370370367</v>
      </c>
      <c r="P169" s="9">
        <v>44988</v>
      </c>
      <c r="Q169" t="s">
        <v>36</v>
      </c>
      <c r="R169" t="s">
        <v>43</v>
      </c>
      <c r="S169" t="s">
        <v>44</v>
      </c>
      <c r="T169" t="s">
        <v>137</v>
      </c>
      <c r="U169" t="s">
        <v>618</v>
      </c>
      <c r="V169">
        <v>30350</v>
      </c>
      <c r="W169" t="s">
        <v>43</v>
      </c>
      <c r="X169" t="s">
        <v>276</v>
      </c>
      <c r="Y169" t="s">
        <v>49</v>
      </c>
      <c r="Z169" s="12">
        <f>IF(N169&lt;=1,7,7+0.8*ROUNDUP(N169-1,0))</f>
        <v>7</v>
      </c>
      <c r="AA169" s="11">
        <v>0</v>
      </c>
      <c r="AB169" s="11">
        <v>0</v>
      </c>
      <c r="AC169" s="11">
        <v>0</v>
      </c>
      <c r="AD169" s="11">
        <v>0</v>
      </c>
      <c r="AE169" s="11">
        <f t="shared" si="4"/>
        <v>0.42</v>
      </c>
      <c r="AF169" s="11">
        <f t="shared" si="5"/>
        <v>7.42</v>
      </c>
      <c r="AG169" t="s">
        <v>43</v>
      </c>
    </row>
    <row r="170" spans="1:33" ht="15" customHeight="1" x14ac:dyDescent="0.35">
      <c r="A170">
        <v>690929</v>
      </c>
      <c r="B170" t="s">
        <v>33</v>
      </c>
      <c r="C170" t="s">
        <v>34</v>
      </c>
      <c r="D170" s="6" t="s">
        <v>33</v>
      </c>
      <c r="E170" t="s">
        <v>619</v>
      </c>
      <c r="F170" t="s">
        <v>36</v>
      </c>
      <c r="G170" t="s">
        <v>37</v>
      </c>
      <c r="H170" t="s">
        <v>620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3</v>
      </c>
      <c r="O170" s="8">
        <v>44986.424039351848</v>
      </c>
      <c r="P170" s="9">
        <v>44988</v>
      </c>
      <c r="Q170" t="s">
        <v>36</v>
      </c>
      <c r="R170" t="s">
        <v>43</v>
      </c>
      <c r="S170" t="s">
        <v>44</v>
      </c>
      <c r="T170" t="s">
        <v>178</v>
      </c>
      <c r="U170" t="s">
        <v>621</v>
      </c>
      <c r="V170">
        <v>55100</v>
      </c>
      <c r="W170" t="s">
        <v>43</v>
      </c>
      <c r="X170" t="s">
        <v>622</v>
      </c>
      <c r="Y170" t="s">
        <v>49</v>
      </c>
      <c r="Z170" s="12">
        <f>IF(N170&lt;=1,7,7+0.8*ROUNDUP(N170-1,0))</f>
        <v>8.6</v>
      </c>
      <c r="AA170" s="11">
        <v>0</v>
      </c>
      <c r="AB170" s="11">
        <v>0</v>
      </c>
      <c r="AC170" s="11">
        <v>0</v>
      </c>
      <c r="AD170" s="11">
        <v>0</v>
      </c>
      <c r="AE170" s="11">
        <f t="shared" si="4"/>
        <v>0.51600000000000001</v>
      </c>
      <c r="AF170" s="11">
        <f t="shared" si="5"/>
        <v>9.1159999999999997</v>
      </c>
      <c r="AG170" t="s">
        <v>43</v>
      </c>
    </row>
    <row r="171" spans="1:33" ht="15" customHeight="1" x14ac:dyDescent="0.35">
      <c r="A171">
        <v>690929</v>
      </c>
      <c r="B171" t="s">
        <v>33</v>
      </c>
      <c r="C171" t="s">
        <v>34</v>
      </c>
      <c r="D171" s="6" t="s">
        <v>33</v>
      </c>
      <c r="E171" t="s">
        <v>623</v>
      </c>
      <c r="F171" t="s">
        <v>36</v>
      </c>
      <c r="G171" t="s">
        <v>37</v>
      </c>
      <c r="H171" t="s">
        <v>624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1</v>
      </c>
      <c r="O171" s="8">
        <v>44984.739259259259</v>
      </c>
      <c r="P171" s="9">
        <v>44989</v>
      </c>
      <c r="Q171" t="s">
        <v>36</v>
      </c>
      <c r="R171" t="s">
        <v>43</v>
      </c>
      <c r="S171" t="s">
        <v>44</v>
      </c>
      <c r="T171" t="s">
        <v>45</v>
      </c>
      <c r="U171" t="s">
        <v>625</v>
      </c>
      <c r="V171">
        <v>91000</v>
      </c>
      <c r="W171" t="s">
        <v>47</v>
      </c>
      <c r="X171" t="s">
        <v>626</v>
      </c>
      <c r="Y171" t="s">
        <v>49</v>
      </c>
      <c r="Z171" s="10">
        <f>IF(N171&lt;=1,13,IF(N171&lt;=2,23,IF(N171&lt;=3,35,IF(N171&lt;=4,43,IF(N171&lt;=5,53,IF(N171&lt;=6,63,IF(N171&lt;=7,71,IF(N171&lt;=8,79,IF(N171&lt;=9,87,IF(N171&lt;=10,95,IF(N171&lt;=11,105,IF(N171&lt;=12,114,IF(N171&lt;=13,119,IF(N171&lt;=14,127,IF(N171&lt;=15,135,IF(N171&lt;=16,143,IF(N171&lt;=17,153,IF(N171&lt;=18,163,IF(N171&lt;=19,171,IF(N171&lt;=20,185,IF(N171&lt;=21,193,IF(N171&lt;=22,201,IF(N171&lt;=23,210,IF(N171&lt;=24,220,IF(N171&lt;=25,230,IF(N171&lt;=26,240,IF(N171&lt;=27,250,IF(N171&lt;=28,260,IF(N171&lt;=29,270,IF(N171&lt;=30,280,280))))))))))))))))))))))))))))))</f>
        <v>13</v>
      </c>
      <c r="AA171" s="11">
        <v>0</v>
      </c>
      <c r="AB171" s="11">
        <v>0</v>
      </c>
      <c r="AC171" s="11">
        <v>0</v>
      </c>
      <c r="AD171" s="11">
        <v>0</v>
      </c>
      <c r="AE171" s="11">
        <f t="shared" si="4"/>
        <v>0.78</v>
      </c>
      <c r="AF171" s="11">
        <f t="shared" si="5"/>
        <v>13.78</v>
      </c>
      <c r="AG171" t="s">
        <v>47</v>
      </c>
    </row>
    <row r="172" spans="1:33" ht="15" customHeight="1" x14ac:dyDescent="0.35">
      <c r="A172">
        <v>690929</v>
      </c>
      <c r="B172" t="s">
        <v>33</v>
      </c>
      <c r="C172" t="s">
        <v>34</v>
      </c>
      <c r="D172" s="6" t="s">
        <v>33</v>
      </c>
      <c r="E172" t="s">
        <v>627</v>
      </c>
      <c r="F172" t="s">
        <v>36</v>
      </c>
      <c r="G172" t="s">
        <v>628</v>
      </c>
      <c r="H172" t="s">
        <v>629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11</v>
      </c>
      <c r="O172" s="8">
        <v>44986.454837962963</v>
      </c>
      <c r="P172" s="9">
        <v>44989</v>
      </c>
      <c r="Q172" t="s">
        <v>36</v>
      </c>
      <c r="R172" t="s">
        <v>43</v>
      </c>
      <c r="S172" t="s">
        <v>44</v>
      </c>
      <c r="T172" t="s">
        <v>79</v>
      </c>
      <c r="U172" t="s">
        <v>630</v>
      </c>
      <c r="V172">
        <v>16100</v>
      </c>
      <c r="W172" t="s">
        <v>43</v>
      </c>
      <c r="X172" t="s">
        <v>631</v>
      </c>
      <c r="Y172" t="s">
        <v>49</v>
      </c>
      <c r="Z172" s="12">
        <f>IF(N172&lt;=1,7,7+0.8*ROUNDUP(N172-1,0))</f>
        <v>15</v>
      </c>
      <c r="AA172" s="11">
        <v>0</v>
      </c>
      <c r="AB172" s="11">
        <v>0</v>
      </c>
      <c r="AC172" s="11">
        <v>0</v>
      </c>
      <c r="AD172" s="11">
        <v>0</v>
      </c>
      <c r="AE172" s="11">
        <f t="shared" si="4"/>
        <v>0.89999999999999991</v>
      </c>
      <c r="AF172" s="11">
        <f t="shared" si="5"/>
        <v>15.9</v>
      </c>
      <c r="AG172" t="s">
        <v>43</v>
      </c>
    </row>
    <row r="173" spans="1:33" ht="15" customHeight="1" x14ac:dyDescent="0.35">
      <c r="A173">
        <v>690929</v>
      </c>
      <c r="B173" t="s">
        <v>33</v>
      </c>
      <c r="C173" t="s">
        <v>34</v>
      </c>
      <c r="D173" s="6" t="s">
        <v>33</v>
      </c>
      <c r="E173" t="s">
        <v>632</v>
      </c>
      <c r="F173" t="s">
        <v>36</v>
      </c>
      <c r="G173" t="s">
        <v>37</v>
      </c>
      <c r="H173" t="s">
        <v>633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44987.74895833333</v>
      </c>
      <c r="P173" s="9">
        <v>44989</v>
      </c>
      <c r="Q173" t="s">
        <v>36</v>
      </c>
      <c r="R173" t="s">
        <v>43</v>
      </c>
      <c r="S173" t="s">
        <v>74</v>
      </c>
      <c r="T173" t="s">
        <v>79</v>
      </c>
      <c r="U173" t="s">
        <v>634</v>
      </c>
      <c r="V173">
        <v>16390</v>
      </c>
      <c r="W173" t="s">
        <v>43</v>
      </c>
      <c r="X173" t="s">
        <v>74</v>
      </c>
      <c r="Y173" t="s">
        <v>49</v>
      </c>
      <c r="Z173" s="12">
        <f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 t="shared" si="4"/>
        <v>0.42</v>
      </c>
      <c r="AF173" s="11">
        <f t="shared" si="5"/>
        <v>7.42</v>
      </c>
      <c r="AG173" t="s">
        <v>43</v>
      </c>
    </row>
    <row r="174" spans="1:33" ht="15" customHeight="1" x14ac:dyDescent="0.35">
      <c r="A174">
        <v>690929</v>
      </c>
      <c r="B174" t="s">
        <v>33</v>
      </c>
      <c r="C174" t="s">
        <v>34</v>
      </c>
      <c r="D174" s="6" t="s">
        <v>33</v>
      </c>
      <c r="E174" t="s">
        <v>635</v>
      </c>
      <c r="F174" t="s">
        <v>36</v>
      </c>
      <c r="G174" t="s">
        <v>37</v>
      </c>
      <c r="H174" t="s">
        <v>636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1</v>
      </c>
      <c r="O174" s="8">
        <v>44987.720439814817</v>
      </c>
      <c r="P174" s="9">
        <v>44989</v>
      </c>
      <c r="Q174" t="s">
        <v>36</v>
      </c>
      <c r="R174" t="s">
        <v>43</v>
      </c>
      <c r="S174" t="s">
        <v>44</v>
      </c>
      <c r="T174" t="s">
        <v>52</v>
      </c>
      <c r="U174" t="s">
        <v>637</v>
      </c>
      <c r="V174">
        <v>63000</v>
      </c>
      <c r="W174" t="s">
        <v>43</v>
      </c>
      <c r="X174" t="s">
        <v>446</v>
      </c>
      <c r="Y174" t="s">
        <v>49</v>
      </c>
      <c r="Z174" s="12">
        <f>IF(N174&lt;=1,7,7+0.8*ROUNDUP(N174-1,0))</f>
        <v>7</v>
      </c>
      <c r="AA174" s="11">
        <v>0</v>
      </c>
      <c r="AB174" s="11">
        <v>0</v>
      </c>
      <c r="AC174" s="11">
        <v>0</v>
      </c>
      <c r="AD174" s="11">
        <v>0</v>
      </c>
      <c r="AE174" s="11">
        <f t="shared" si="4"/>
        <v>0.42</v>
      </c>
      <c r="AF174" s="11">
        <f t="shared" si="5"/>
        <v>7.42</v>
      </c>
      <c r="AG174" t="s">
        <v>43</v>
      </c>
    </row>
    <row r="175" spans="1:33" ht="15" customHeight="1" x14ac:dyDescent="0.35">
      <c r="A175">
        <v>690929</v>
      </c>
      <c r="B175" t="s">
        <v>33</v>
      </c>
      <c r="C175" t="s">
        <v>34</v>
      </c>
      <c r="D175" s="6" t="s">
        <v>33</v>
      </c>
      <c r="E175" t="s">
        <v>638</v>
      </c>
      <c r="F175" t="s">
        <v>36</v>
      </c>
      <c r="G175" t="s">
        <v>37</v>
      </c>
      <c r="H175" t="s">
        <v>639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1</v>
      </c>
      <c r="O175" s="8">
        <v>44987.648356481484</v>
      </c>
      <c r="P175" s="9">
        <v>44989</v>
      </c>
      <c r="Q175" t="s">
        <v>36</v>
      </c>
      <c r="R175" t="s">
        <v>43</v>
      </c>
      <c r="S175" t="s">
        <v>44</v>
      </c>
      <c r="T175" t="s">
        <v>104</v>
      </c>
      <c r="U175" t="s">
        <v>640</v>
      </c>
      <c r="V175">
        <v>81800</v>
      </c>
      <c r="W175" t="s">
        <v>43</v>
      </c>
      <c r="X175" t="s">
        <v>373</v>
      </c>
      <c r="Y175" t="s">
        <v>49</v>
      </c>
      <c r="Z175" s="12">
        <f>IF(N175&lt;=1,7,7+0.8*ROUNDUP(N175-1,0))</f>
        <v>7</v>
      </c>
      <c r="AA175" s="11">
        <v>0</v>
      </c>
      <c r="AB175" s="11">
        <v>0</v>
      </c>
      <c r="AC175" s="11">
        <v>0</v>
      </c>
      <c r="AD175" s="11">
        <v>0</v>
      </c>
      <c r="AE175" s="11">
        <f t="shared" si="4"/>
        <v>0.42</v>
      </c>
      <c r="AF175" s="11">
        <f t="shared" si="5"/>
        <v>7.42</v>
      </c>
      <c r="AG175" t="s">
        <v>43</v>
      </c>
    </row>
    <row r="176" spans="1:33" ht="15" customHeight="1" x14ac:dyDescent="0.35">
      <c r="A176">
        <v>690929</v>
      </c>
      <c r="B176" t="s">
        <v>33</v>
      </c>
      <c r="C176" t="s">
        <v>34</v>
      </c>
      <c r="D176" s="6" t="s">
        <v>33</v>
      </c>
      <c r="E176" t="s">
        <v>641</v>
      </c>
      <c r="F176" t="s">
        <v>36</v>
      </c>
      <c r="G176" t="s">
        <v>37</v>
      </c>
      <c r="H176" t="s">
        <v>642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1</v>
      </c>
      <c r="O176" s="8">
        <v>44984.739259259259</v>
      </c>
      <c r="P176" s="9">
        <v>44989</v>
      </c>
      <c r="Q176" t="s">
        <v>36</v>
      </c>
      <c r="R176" t="s">
        <v>43</v>
      </c>
      <c r="S176" t="s">
        <v>44</v>
      </c>
      <c r="T176" t="s">
        <v>45</v>
      </c>
      <c r="U176" t="s">
        <v>643</v>
      </c>
      <c r="V176">
        <v>91307</v>
      </c>
      <c r="W176" t="s">
        <v>47</v>
      </c>
      <c r="X176" t="s">
        <v>644</v>
      </c>
      <c r="Y176" t="s">
        <v>49</v>
      </c>
      <c r="Z176" s="10">
        <f>IF(N176&lt;=1,13,IF(N176&lt;=2,23,IF(N176&lt;=3,35,IF(N176&lt;=4,43,IF(N176&lt;=5,53,IF(N176&lt;=6,63,IF(N176&lt;=7,71,IF(N176&lt;=8,79,IF(N176&lt;=9,87,IF(N176&lt;=10,95,IF(N176&lt;=11,105,IF(N176&lt;=12,114,IF(N176&lt;=13,119,IF(N176&lt;=14,127,IF(N176&lt;=15,135,IF(N176&lt;=16,143,IF(N176&lt;=17,153,IF(N176&lt;=18,163,IF(N176&lt;=19,171,IF(N176&lt;=20,185,IF(N176&lt;=21,193,IF(N176&lt;=22,201,IF(N176&lt;=23,210,IF(N176&lt;=24,220,IF(N176&lt;=25,230,IF(N176&lt;=26,240,IF(N176&lt;=27,250,IF(N176&lt;=28,260,IF(N176&lt;=29,270,IF(N176&lt;=30,280,280))))))))))))))))))))))))))))))</f>
        <v>13</v>
      </c>
      <c r="AA176" s="11">
        <v>0</v>
      </c>
      <c r="AB176" s="11">
        <v>0</v>
      </c>
      <c r="AC176" s="11">
        <v>0</v>
      </c>
      <c r="AD176" s="11">
        <v>0</v>
      </c>
      <c r="AE176" s="11">
        <f t="shared" si="4"/>
        <v>0.78</v>
      </c>
      <c r="AF176" s="11">
        <f t="shared" si="5"/>
        <v>13.78</v>
      </c>
      <c r="AG176" t="s">
        <v>47</v>
      </c>
    </row>
    <row r="177" spans="1:33" ht="15" customHeight="1" x14ac:dyDescent="0.35">
      <c r="A177">
        <v>690929</v>
      </c>
      <c r="B177" t="s">
        <v>33</v>
      </c>
      <c r="C177" t="s">
        <v>34</v>
      </c>
      <c r="D177" s="6" t="s">
        <v>33</v>
      </c>
      <c r="E177" t="s">
        <v>645</v>
      </c>
      <c r="F177" t="s">
        <v>36</v>
      </c>
      <c r="G177" t="s">
        <v>37</v>
      </c>
      <c r="H177" t="s">
        <v>646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2</v>
      </c>
      <c r="O177" s="8">
        <v>44987.513854166667</v>
      </c>
      <c r="P177" s="9">
        <v>44989</v>
      </c>
      <c r="Q177" t="s">
        <v>36</v>
      </c>
      <c r="R177" t="s">
        <v>43</v>
      </c>
      <c r="S177" t="s">
        <v>44</v>
      </c>
      <c r="T177" t="s">
        <v>316</v>
      </c>
      <c r="U177" t="s">
        <v>647</v>
      </c>
      <c r="V177">
        <v>14020</v>
      </c>
      <c r="W177" t="s">
        <v>43</v>
      </c>
      <c r="X177" t="s">
        <v>62</v>
      </c>
      <c r="Y177" t="s">
        <v>49</v>
      </c>
      <c r="Z177" s="12">
        <f>IF(N177&lt;=1,7,7+0.8*ROUNDUP(N177-1,0))</f>
        <v>7.8</v>
      </c>
      <c r="AA177" s="11">
        <v>0</v>
      </c>
      <c r="AB177" s="11">
        <v>0</v>
      </c>
      <c r="AC177" s="11">
        <v>0</v>
      </c>
      <c r="AD177" s="11">
        <v>0</v>
      </c>
      <c r="AE177" s="11">
        <f t="shared" si="4"/>
        <v>0.46799999999999997</v>
      </c>
      <c r="AF177" s="11">
        <f t="shared" si="5"/>
        <v>8.2680000000000007</v>
      </c>
      <c r="AG177" t="s">
        <v>43</v>
      </c>
    </row>
    <row r="178" spans="1:33" ht="15" customHeight="1" x14ac:dyDescent="0.35">
      <c r="A178">
        <v>690929</v>
      </c>
      <c r="B178" t="s">
        <v>33</v>
      </c>
      <c r="C178" t="s">
        <v>34</v>
      </c>
      <c r="D178" s="6" t="s">
        <v>33</v>
      </c>
      <c r="E178" t="s">
        <v>648</v>
      </c>
      <c r="F178" t="s">
        <v>36</v>
      </c>
      <c r="G178" t="s">
        <v>37</v>
      </c>
      <c r="H178" t="s">
        <v>649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3</v>
      </c>
      <c r="O178" s="8">
        <v>44987.741875</v>
      </c>
      <c r="P178" s="9">
        <v>44990</v>
      </c>
      <c r="Q178" t="s">
        <v>36</v>
      </c>
      <c r="R178" t="s">
        <v>43</v>
      </c>
      <c r="S178" t="s">
        <v>74</v>
      </c>
      <c r="T178" t="s">
        <v>149</v>
      </c>
      <c r="U178" t="s">
        <v>650</v>
      </c>
      <c r="V178">
        <v>8300</v>
      </c>
      <c r="W178" t="s">
        <v>43</v>
      </c>
      <c r="X178" t="s">
        <v>62</v>
      </c>
      <c r="Y178" t="s">
        <v>49</v>
      </c>
      <c r="Z178" s="12">
        <f>IF(N178&lt;=1,7,7+0.8*ROUNDUP(N178-1,0))</f>
        <v>8.6</v>
      </c>
      <c r="AA178" s="11">
        <v>0</v>
      </c>
      <c r="AB178" s="11">
        <v>0</v>
      </c>
      <c r="AC178" s="11">
        <v>0</v>
      </c>
      <c r="AD178" s="11">
        <v>0</v>
      </c>
      <c r="AE178" s="11">
        <f t="shared" si="4"/>
        <v>0.51600000000000001</v>
      </c>
      <c r="AF178" s="11">
        <f t="shared" si="5"/>
        <v>9.1159999999999997</v>
      </c>
      <c r="AG178" t="s">
        <v>43</v>
      </c>
    </row>
    <row r="179" spans="1:33" ht="15" customHeight="1" x14ac:dyDescent="0.35">
      <c r="A179">
        <v>690929</v>
      </c>
      <c r="B179" t="s">
        <v>33</v>
      </c>
      <c r="C179" t="s">
        <v>34</v>
      </c>
      <c r="D179" s="6" t="s">
        <v>33</v>
      </c>
      <c r="E179" t="s">
        <v>651</v>
      </c>
      <c r="F179" t="s">
        <v>36</v>
      </c>
      <c r="G179" t="s">
        <v>37</v>
      </c>
      <c r="H179" t="s">
        <v>652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3</v>
      </c>
      <c r="O179" s="8">
        <v>44989.504652777781</v>
      </c>
      <c r="P179" s="9">
        <v>44990</v>
      </c>
      <c r="Q179" t="s">
        <v>36</v>
      </c>
      <c r="R179" t="s">
        <v>43</v>
      </c>
      <c r="S179" t="s">
        <v>44</v>
      </c>
      <c r="T179" t="s">
        <v>52</v>
      </c>
      <c r="U179" t="s">
        <v>653</v>
      </c>
      <c r="V179">
        <v>68000</v>
      </c>
      <c r="W179" t="s">
        <v>43</v>
      </c>
      <c r="X179" t="s">
        <v>76</v>
      </c>
      <c r="Y179" t="s">
        <v>49</v>
      </c>
      <c r="Z179" s="12">
        <f>IF(N179&lt;=1,7,7+0.8*ROUNDUP(N179-1,0))</f>
        <v>8.6</v>
      </c>
      <c r="AA179" s="11">
        <v>0</v>
      </c>
      <c r="AB179" s="11">
        <v>0</v>
      </c>
      <c r="AC179" s="11">
        <v>0</v>
      </c>
      <c r="AD179" s="11">
        <v>0</v>
      </c>
      <c r="AE179" s="11">
        <f t="shared" si="4"/>
        <v>0.51600000000000001</v>
      </c>
      <c r="AF179" s="11">
        <f t="shared" si="5"/>
        <v>9.1159999999999997</v>
      </c>
      <c r="AG179" t="s">
        <v>43</v>
      </c>
    </row>
    <row r="180" spans="1:33" ht="15" customHeight="1" x14ac:dyDescent="0.35">
      <c r="A180">
        <v>690929</v>
      </c>
      <c r="B180" t="s">
        <v>33</v>
      </c>
      <c r="C180" t="s">
        <v>34</v>
      </c>
      <c r="D180" s="6" t="s">
        <v>33</v>
      </c>
      <c r="E180" t="s">
        <v>654</v>
      </c>
      <c r="F180" t="s">
        <v>36</v>
      </c>
      <c r="G180" t="s">
        <v>37</v>
      </c>
      <c r="H180" t="s">
        <v>655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1</v>
      </c>
      <c r="O180" s="8">
        <v>44989.480856481481</v>
      </c>
      <c r="P180" s="9">
        <v>44990</v>
      </c>
      <c r="Q180" t="s">
        <v>36</v>
      </c>
      <c r="R180" t="s">
        <v>43</v>
      </c>
      <c r="S180" t="s">
        <v>44</v>
      </c>
      <c r="T180" t="s">
        <v>79</v>
      </c>
      <c r="U180" t="s">
        <v>656</v>
      </c>
      <c r="V180">
        <v>16800</v>
      </c>
      <c r="W180" t="s">
        <v>43</v>
      </c>
      <c r="X180" t="s">
        <v>44</v>
      </c>
      <c r="Y180" t="s">
        <v>49</v>
      </c>
      <c r="Z180" s="12">
        <f>IF(N180&lt;=1,7,7+0.8*ROUNDUP(N180-1,0))</f>
        <v>7</v>
      </c>
      <c r="AA180" s="11">
        <v>0</v>
      </c>
      <c r="AB180" s="11">
        <v>0</v>
      </c>
      <c r="AC180" s="11">
        <v>0</v>
      </c>
      <c r="AD180" s="11">
        <v>0</v>
      </c>
      <c r="AE180" s="11">
        <f t="shared" si="4"/>
        <v>0.42</v>
      </c>
      <c r="AF180" s="11">
        <f t="shared" si="5"/>
        <v>7.42</v>
      </c>
      <c r="AG180" t="s">
        <v>43</v>
      </c>
    </row>
    <row r="181" spans="1:33" ht="15" customHeight="1" x14ac:dyDescent="0.35">
      <c r="A181">
        <v>690929</v>
      </c>
      <c r="B181" t="s">
        <v>33</v>
      </c>
      <c r="C181" t="s">
        <v>34</v>
      </c>
      <c r="D181" s="6" t="s">
        <v>33</v>
      </c>
      <c r="E181" t="s">
        <v>657</v>
      </c>
      <c r="F181" t="s">
        <v>36</v>
      </c>
      <c r="G181" t="s">
        <v>37</v>
      </c>
      <c r="H181" t="s">
        <v>658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1</v>
      </c>
      <c r="O181" s="8">
        <v>44987.410150462965</v>
      </c>
      <c r="P181" s="9">
        <v>44990</v>
      </c>
      <c r="Q181" t="s">
        <v>36</v>
      </c>
      <c r="R181" t="s">
        <v>43</v>
      </c>
      <c r="S181" t="s">
        <v>44</v>
      </c>
      <c r="T181" t="s">
        <v>104</v>
      </c>
      <c r="U181" t="s">
        <v>659</v>
      </c>
      <c r="V181">
        <v>81700</v>
      </c>
      <c r="W181" t="s">
        <v>43</v>
      </c>
      <c r="X181" t="s">
        <v>62</v>
      </c>
      <c r="Y181" t="s">
        <v>49</v>
      </c>
      <c r="Z181" s="12">
        <f>IF(N181&lt;=1,7,7+0.8*ROUNDUP(N181-1,0))</f>
        <v>7</v>
      </c>
      <c r="AA181" s="11">
        <v>0</v>
      </c>
      <c r="AB181" s="11">
        <v>0</v>
      </c>
      <c r="AC181" s="11">
        <v>0</v>
      </c>
      <c r="AD181" s="11">
        <v>0</v>
      </c>
      <c r="AE181" s="11">
        <f t="shared" si="4"/>
        <v>0.42</v>
      </c>
      <c r="AF181" s="11">
        <f t="shared" si="5"/>
        <v>7.42</v>
      </c>
      <c r="AG181" t="s">
        <v>43</v>
      </c>
    </row>
    <row r="182" spans="1:33" ht="15" customHeight="1" x14ac:dyDescent="0.35">
      <c r="A182">
        <v>690929</v>
      </c>
      <c r="B182" t="s">
        <v>33</v>
      </c>
      <c r="C182" t="s">
        <v>34</v>
      </c>
      <c r="D182" s="6" t="s">
        <v>33</v>
      </c>
      <c r="E182" t="s">
        <v>660</v>
      </c>
      <c r="F182" t="s">
        <v>36</v>
      </c>
      <c r="G182" t="s">
        <v>37</v>
      </c>
      <c r="H182" t="s">
        <v>661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2</v>
      </c>
      <c r="O182" s="8">
        <v>44984.739259259259</v>
      </c>
      <c r="P182" s="9">
        <v>44991</v>
      </c>
      <c r="Q182" t="s">
        <v>36</v>
      </c>
      <c r="R182" t="s">
        <v>43</v>
      </c>
      <c r="S182" t="s">
        <v>44</v>
      </c>
      <c r="T182" t="s">
        <v>45</v>
      </c>
      <c r="U182" t="s">
        <v>662</v>
      </c>
      <c r="V182">
        <v>89808</v>
      </c>
      <c r="W182" t="s">
        <v>47</v>
      </c>
      <c r="X182" t="s">
        <v>162</v>
      </c>
      <c r="Y182" t="s">
        <v>49</v>
      </c>
      <c r="Z182" s="10">
        <f>IF(N182&lt;=1,13,IF(N182&lt;=2,23,IF(N182&lt;=3,35,IF(N182&lt;=4,43,IF(N182&lt;=5,53,IF(N182&lt;=6,63,IF(N182&lt;=7,71,IF(N182&lt;=8,79,IF(N182&lt;=9,87,IF(N182&lt;=10,95,IF(N182&lt;=11,105,IF(N182&lt;=12,114,IF(N182&lt;=13,119,IF(N182&lt;=14,127,IF(N182&lt;=15,135,IF(N182&lt;=16,143,IF(N182&lt;=17,153,IF(N182&lt;=18,163,IF(N182&lt;=19,171,IF(N182&lt;=20,185,IF(N182&lt;=21,193,IF(N182&lt;=22,201,IF(N182&lt;=23,210,IF(N182&lt;=24,220,IF(N182&lt;=25,230,IF(N182&lt;=26,240,IF(N182&lt;=27,250,IF(N182&lt;=28,260,IF(N182&lt;=29,270,IF(N182&lt;=30,280,280))))))))))))))))))))))))))))))</f>
        <v>23</v>
      </c>
      <c r="AA182" s="11">
        <v>0</v>
      </c>
      <c r="AB182" s="11">
        <v>0</v>
      </c>
      <c r="AC182" s="11">
        <v>0</v>
      </c>
      <c r="AD182" s="11">
        <v>0</v>
      </c>
      <c r="AE182" s="11">
        <f t="shared" si="4"/>
        <v>1.38</v>
      </c>
      <c r="AF182" s="11">
        <f t="shared" si="5"/>
        <v>24.38</v>
      </c>
      <c r="AG182" t="s">
        <v>47</v>
      </c>
    </row>
    <row r="183" spans="1:33" ht="15" customHeight="1" x14ac:dyDescent="0.35">
      <c r="A183">
        <v>690929</v>
      </c>
      <c r="B183" t="s">
        <v>33</v>
      </c>
      <c r="C183" t="s">
        <v>34</v>
      </c>
      <c r="D183" s="6" t="s">
        <v>33</v>
      </c>
      <c r="E183" t="s">
        <v>663</v>
      </c>
      <c r="F183" t="s">
        <v>36</v>
      </c>
      <c r="G183" t="s">
        <v>37</v>
      </c>
      <c r="H183" t="s">
        <v>664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1</v>
      </c>
      <c r="O183" s="8">
        <v>44989.610752314817</v>
      </c>
      <c r="P183" s="9">
        <v>44991</v>
      </c>
      <c r="Q183" t="s">
        <v>36</v>
      </c>
      <c r="R183" t="s">
        <v>43</v>
      </c>
      <c r="S183" t="s">
        <v>44</v>
      </c>
      <c r="T183" t="s">
        <v>178</v>
      </c>
      <c r="U183" t="s">
        <v>665</v>
      </c>
      <c r="V183">
        <v>57000</v>
      </c>
      <c r="W183" t="s">
        <v>43</v>
      </c>
      <c r="X183" t="s">
        <v>666</v>
      </c>
      <c r="Y183" t="s">
        <v>49</v>
      </c>
      <c r="Z183" s="12">
        <f>IF(N183&lt;=1,7,7+0.8*ROUNDUP(N183-1,0))</f>
        <v>7</v>
      </c>
      <c r="AA183" s="11">
        <v>0</v>
      </c>
      <c r="AB183" s="11">
        <v>0</v>
      </c>
      <c r="AC183" s="11">
        <v>0</v>
      </c>
      <c r="AD183" s="11">
        <v>0</v>
      </c>
      <c r="AE183" s="11">
        <f t="shared" si="4"/>
        <v>0.42</v>
      </c>
      <c r="AF183" s="11">
        <f t="shared" si="5"/>
        <v>7.42</v>
      </c>
      <c r="AG183" t="s">
        <v>43</v>
      </c>
    </row>
    <row r="184" spans="1:33" ht="15" customHeight="1" x14ac:dyDescent="0.35">
      <c r="A184">
        <v>690929</v>
      </c>
      <c r="B184" t="s">
        <v>33</v>
      </c>
      <c r="C184" t="s">
        <v>34</v>
      </c>
      <c r="D184" s="6" t="s">
        <v>33</v>
      </c>
      <c r="E184" t="s">
        <v>667</v>
      </c>
      <c r="F184" t="s">
        <v>36</v>
      </c>
      <c r="G184" t="s">
        <v>37</v>
      </c>
      <c r="H184" t="s">
        <v>668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1</v>
      </c>
      <c r="O184" s="8">
        <v>44984.739259259259</v>
      </c>
      <c r="P184" s="9">
        <v>44991</v>
      </c>
      <c r="Q184" t="s">
        <v>36</v>
      </c>
      <c r="R184" t="s">
        <v>43</v>
      </c>
      <c r="S184" t="s">
        <v>44</v>
      </c>
      <c r="T184" t="s">
        <v>45</v>
      </c>
      <c r="U184" t="s">
        <v>669</v>
      </c>
      <c r="V184">
        <v>91000</v>
      </c>
      <c r="W184" t="s">
        <v>47</v>
      </c>
      <c r="X184" t="s">
        <v>626</v>
      </c>
      <c r="Y184" t="s">
        <v>49</v>
      </c>
      <c r="Z184" s="10">
        <f>IF(N184&lt;=1,13,IF(N184&lt;=2,23,IF(N184&lt;=3,35,IF(N184&lt;=4,43,IF(N184&lt;=5,53,IF(N184&lt;=6,63,IF(N184&lt;=7,71,IF(N184&lt;=8,79,IF(N184&lt;=9,87,IF(N184&lt;=10,95,IF(N184&lt;=11,105,IF(N184&lt;=12,114,IF(N184&lt;=13,119,IF(N184&lt;=14,127,IF(N184&lt;=15,135,IF(N184&lt;=16,143,IF(N184&lt;=17,153,IF(N184&lt;=18,163,IF(N184&lt;=19,171,IF(N184&lt;=20,185,IF(N184&lt;=21,193,IF(N184&lt;=22,201,IF(N184&lt;=23,210,IF(N184&lt;=24,220,IF(N184&lt;=25,230,IF(N184&lt;=26,240,IF(N184&lt;=27,250,IF(N184&lt;=28,260,IF(N184&lt;=29,270,IF(N184&lt;=30,280,280))))))))))))))))))))))))))))))</f>
        <v>13</v>
      </c>
      <c r="AA184" s="11">
        <v>0</v>
      </c>
      <c r="AB184" s="11">
        <v>0</v>
      </c>
      <c r="AC184" s="11">
        <v>0</v>
      </c>
      <c r="AD184" s="11">
        <v>0</v>
      </c>
      <c r="AE184" s="11">
        <f t="shared" si="4"/>
        <v>0.78</v>
      </c>
      <c r="AF184" s="11">
        <f t="shared" si="5"/>
        <v>13.78</v>
      </c>
      <c r="AG184" t="s">
        <v>47</v>
      </c>
    </row>
    <row r="185" spans="1:33" ht="15" customHeight="1" x14ac:dyDescent="0.35">
      <c r="A185">
        <v>690929</v>
      </c>
      <c r="B185" t="s">
        <v>33</v>
      </c>
      <c r="C185" t="s">
        <v>34</v>
      </c>
      <c r="D185" s="6" t="s">
        <v>33</v>
      </c>
      <c r="E185" t="s">
        <v>670</v>
      </c>
      <c r="F185" t="s">
        <v>36</v>
      </c>
      <c r="G185" t="s">
        <v>37</v>
      </c>
      <c r="H185" t="s">
        <v>671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1</v>
      </c>
      <c r="O185" s="8">
        <v>44989.765266203707</v>
      </c>
      <c r="P185" s="9">
        <v>44991</v>
      </c>
      <c r="Q185" t="s">
        <v>36</v>
      </c>
      <c r="R185" t="s">
        <v>43</v>
      </c>
      <c r="S185" t="s">
        <v>44</v>
      </c>
      <c r="T185" t="s">
        <v>52</v>
      </c>
      <c r="U185" t="s">
        <v>672</v>
      </c>
      <c r="V185">
        <v>40612</v>
      </c>
      <c r="W185" t="s">
        <v>43</v>
      </c>
      <c r="X185" t="s">
        <v>62</v>
      </c>
      <c r="Y185" t="s">
        <v>49</v>
      </c>
      <c r="Z185" s="12">
        <f>IF(N185&lt;=1,7,7+0.8*ROUNDUP(N185-1,0))</f>
        <v>7</v>
      </c>
      <c r="AA185" s="11">
        <v>0</v>
      </c>
      <c r="AB185" s="11">
        <v>0</v>
      </c>
      <c r="AC185" s="11">
        <v>0</v>
      </c>
      <c r="AD185" s="11">
        <v>0</v>
      </c>
      <c r="AE185" s="11">
        <f t="shared" si="4"/>
        <v>0.42</v>
      </c>
      <c r="AF185" s="11">
        <f t="shared" si="5"/>
        <v>7.42</v>
      </c>
      <c r="AG185" t="s">
        <v>43</v>
      </c>
    </row>
    <row r="186" spans="1:33" ht="15" customHeight="1" x14ac:dyDescent="0.35">
      <c r="A186">
        <v>690929</v>
      </c>
      <c r="B186" t="s">
        <v>33</v>
      </c>
      <c r="C186" t="s">
        <v>34</v>
      </c>
      <c r="D186" s="6" t="s">
        <v>33</v>
      </c>
      <c r="E186" t="s">
        <v>673</v>
      </c>
      <c r="F186" t="s">
        <v>36</v>
      </c>
      <c r="G186" t="s">
        <v>37</v>
      </c>
      <c r="H186" t="s">
        <v>368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1</v>
      </c>
      <c r="O186" s="8">
        <v>44988.638020833336</v>
      </c>
      <c r="P186" s="9">
        <v>44991</v>
      </c>
      <c r="Q186" t="s">
        <v>36</v>
      </c>
      <c r="R186" t="s">
        <v>43</v>
      </c>
      <c r="S186" t="s">
        <v>44</v>
      </c>
      <c r="T186" t="s">
        <v>52</v>
      </c>
      <c r="U186" t="s">
        <v>674</v>
      </c>
      <c r="V186">
        <v>43000</v>
      </c>
      <c r="W186" t="s">
        <v>43</v>
      </c>
      <c r="X186" t="s">
        <v>675</v>
      </c>
      <c r="Y186" t="s">
        <v>49</v>
      </c>
      <c r="Z186" s="12">
        <f>IF(N186&lt;=1,7,7+0.8*ROUNDUP(N186-1,0))</f>
        <v>7</v>
      </c>
      <c r="AA186" s="11">
        <v>0</v>
      </c>
      <c r="AB186" s="11">
        <v>0</v>
      </c>
      <c r="AC186" s="11">
        <v>0</v>
      </c>
      <c r="AD186" s="11">
        <v>0</v>
      </c>
      <c r="AE186" s="11">
        <f t="shared" si="4"/>
        <v>0.42</v>
      </c>
      <c r="AF186" s="11">
        <f t="shared" si="5"/>
        <v>7.42</v>
      </c>
      <c r="AG186" t="s">
        <v>43</v>
      </c>
    </row>
    <row r="187" spans="1:33" ht="15" customHeight="1" x14ac:dyDescent="0.35">
      <c r="A187">
        <v>690929</v>
      </c>
      <c r="B187" t="s">
        <v>33</v>
      </c>
      <c r="C187" t="s">
        <v>34</v>
      </c>
      <c r="D187" s="6" t="s">
        <v>33</v>
      </c>
      <c r="E187" t="s">
        <v>676</v>
      </c>
      <c r="F187" t="s">
        <v>36</v>
      </c>
      <c r="G187" t="s">
        <v>37</v>
      </c>
      <c r="H187" t="s">
        <v>170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6</v>
      </c>
      <c r="O187" s="8">
        <v>44989.394259259258</v>
      </c>
      <c r="P187" s="9">
        <v>44991</v>
      </c>
      <c r="Q187" t="s">
        <v>36</v>
      </c>
      <c r="R187" t="s">
        <v>43</v>
      </c>
      <c r="S187" t="s">
        <v>44</v>
      </c>
      <c r="T187" t="s">
        <v>104</v>
      </c>
      <c r="U187" t="s">
        <v>171</v>
      </c>
      <c r="V187">
        <v>81310</v>
      </c>
      <c r="W187" t="s">
        <v>43</v>
      </c>
      <c r="X187" t="s">
        <v>114</v>
      </c>
      <c r="Y187" t="s">
        <v>49</v>
      </c>
      <c r="Z187" s="12">
        <f>IF(N187&lt;=1,7,7+0.8*ROUNDUP(N187-1,0))</f>
        <v>11</v>
      </c>
      <c r="AA187" s="11">
        <v>0</v>
      </c>
      <c r="AB187" s="11">
        <v>0</v>
      </c>
      <c r="AC187" s="11">
        <v>0</v>
      </c>
      <c r="AD187" s="11">
        <v>0</v>
      </c>
      <c r="AE187" s="11">
        <f t="shared" si="4"/>
        <v>0.65999999999999992</v>
      </c>
      <c r="AF187" s="11">
        <f t="shared" si="5"/>
        <v>11.66</v>
      </c>
      <c r="AG187" t="s">
        <v>43</v>
      </c>
    </row>
    <row r="188" spans="1:33" ht="15" customHeight="1" x14ac:dyDescent="0.35">
      <c r="A188">
        <v>690929</v>
      </c>
      <c r="B188" t="s">
        <v>33</v>
      </c>
      <c r="C188" t="s">
        <v>34</v>
      </c>
      <c r="D188" s="6" t="s">
        <v>33</v>
      </c>
      <c r="E188" t="s">
        <v>677</v>
      </c>
      <c r="F188" t="s">
        <v>36</v>
      </c>
      <c r="G188" t="s">
        <v>37</v>
      </c>
      <c r="H188" t="s">
        <v>170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6</v>
      </c>
      <c r="O188" s="8">
        <v>44989.394259259258</v>
      </c>
      <c r="P188" s="9">
        <v>44991</v>
      </c>
      <c r="Q188" t="s">
        <v>36</v>
      </c>
      <c r="R188" t="s">
        <v>43</v>
      </c>
      <c r="S188" t="s">
        <v>44</v>
      </c>
      <c r="T188" t="s">
        <v>104</v>
      </c>
      <c r="U188" t="s">
        <v>171</v>
      </c>
      <c r="V188">
        <v>81310</v>
      </c>
      <c r="W188" t="s">
        <v>43</v>
      </c>
      <c r="X188" t="s">
        <v>114</v>
      </c>
      <c r="Y188" t="s">
        <v>49</v>
      </c>
      <c r="Z188" s="12">
        <f>IF(N188&lt;=1,7,7+0.8*ROUNDUP(N188-1,0))</f>
        <v>11</v>
      </c>
      <c r="AA188" s="11">
        <v>0</v>
      </c>
      <c r="AB188" s="11">
        <v>0</v>
      </c>
      <c r="AC188" s="11">
        <v>0</v>
      </c>
      <c r="AD188" s="11">
        <v>0</v>
      </c>
      <c r="AE188" s="11">
        <f t="shared" si="4"/>
        <v>0.65999999999999992</v>
      </c>
      <c r="AF188" s="11">
        <f t="shared" si="5"/>
        <v>11.66</v>
      </c>
      <c r="AG188" t="s">
        <v>43</v>
      </c>
    </row>
    <row r="189" spans="1:33" ht="15" customHeight="1" x14ac:dyDescent="0.35">
      <c r="A189">
        <v>690929</v>
      </c>
      <c r="B189" t="s">
        <v>33</v>
      </c>
      <c r="C189" t="s">
        <v>34</v>
      </c>
      <c r="D189" s="6" t="s">
        <v>33</v>
      </c>
      <c r="E189" t="s">
        <v>678</v>
      </c>
      <c r="F189" t="s">
        <v>36</v>
      </c>
      <c r="G189" t="s">
        <v>37</v>
      </c>
      <c r="H189" t="s">
        <v>170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11</v>
      </c>
      <c r="O189" s="8">
        <v>44989.394259259258</v>
      </c>
      <c r="P189" s="9">
        <v>44991</v>
      </c>
      <c r="Q189" t="s">
        <v>36</v>
      </c>
      <c r="R189" t="s">
        <v>43</v>
      </c>
      <c r="S189" t="s">
        <v>44</v>
      </c>
      <c r="T189" t="s">
        <v>104</v>
      </c>
      <c r="U189" t="s">
        <v>171</v>
      </c>
      <c r="V189">
        <v>81310</v>
      </c>
      <c r="W189" t="s">
        <v>43</v>
      </c>
      <c r="X189" t="s">
        <v>114</v>
      </c>
      <c r="Y189" t="s">
        <v>49</v>
      </c>
      <c r="Z189" s="12">
        <f>IF(N189&lt;=1,7,7+0.8*ROUNDUP(N189-1,0))</f>
        <v>15</v>
      </c>
      <c r="AA189" s="11">
        <v>0</v>
      </c>
      <c r="AB189" s="11">
        <v>0</v>
      </c>
      <c r="AC189" s="11">
        <v>0</v>
      </c>
      <c r="AD189" s="11">
        <v>0</v>
      </c>
      <c r="AE189" s="11">
        <f t="shared" si="4"/>
        <v>0.89999999999999991</v>
      </c>
      <c r="AF189" s="11">
        <f t="shared" si="5"/>
        <v>15.9</v>
      </c>
      <c r="AG189" t="s">
        <v>43</v>
      </c>
    </row>
    <row r="190" spans="1:33" ht="15" customHeight="1" x14ac:dyDescent="0.35">
      <c r="A190">
        <v>690929</v>
      </c>
      <c r="B190" t="s">
        <v>33</v>
      </c>
      <c r="C190" t="s">
        <v>34</v>
      </c>
      <c r="D190" s="6" t="s">
        <v>33</v>
      </c>
      <c r="E190" t="s">
        <v>679</v>
      </c>
      <c r="F190" t="s">
        <v>36</v>
      </c>
      <c r="G190" t="s">
        <v>37</v>
      </c>
      <c r="H190" t="s">
        <v>680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1</v>
      </c>
      <c r="O190" s="8">
        <v>44989.504652777781</v>
      </c>
      <c r="P190" s="9">
        <v>44991</v>
      </c>
      <c r="Q190" t="s">
        <v>36</v>
      </c>
      <c r="R190" t="s">
        <v>43</v>
      </c>
      <c r="S190" t="s">
        <v>44</v>
      </c>
      <c r="T190" t="s">
        <v>149</v>
      </c>
      <c r="U190" t="s">
        <v>681</v>
      </c>
      <c r="V190">
        <v>6000</v>
      </c>
      <c r="W190" t="s">
        <v>43</v>
      </c>
      <c r="X190" t="s">
        <v>151</v>
      </c>
      <c r="Y190" t="s">
        <v>49</v>
      </c>
      <c r="Z190" s="12">
        <f>IF(N190&lt;=1,7,7+0.8*ROUNDUP(N190-1,0))</f>
        <v>7</v>
      </c>
      <c r="AA190" s="11">
        <v>0</v>
      </c>
      <c r="AB190" s="11">
        <v>0</v>
      </c>
      <c r="AC190" s="11">
        <v>0</v>
      </c>
      <c r="AD190" s="11">
        <v>0</v>
      </c>
      <c r="AE190" s="11">
        <f t="shared" si="4"/>
        <v>0.42</v>
      </c>
      <c r="AF190" s="11">
        <f t="shared" si="5"/>
        <v>7.42</v>
      </c>
      <c r="AG190" t="s">
        <v>43</v>
      </c>
    </row>
    <row r="191" spans="1:33" ht="15" customHeight="1" x14ac:dyDescent="0.35">
      <c r="A191">
        <v>690929</v>
      </c>
      <c r="B191" t="s">
        <v>33</v>
      </c>
      <c r="C191" t="s">
        <v>34</v>
      </c>
      <c r="D191" s="6" t="s">
        <v>33</v>
      </c>
      <c r="E191" t="s">
        <v>682</v>
      </c>
      <c r="F191" t="s">
        <v>36</v>
      </c>
      <c r="G191" t="s">
        <v>37</v>
      </c>
      <c r="H191" t="s">
        <v>683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1</v>
      </c>
      <c r="O191" s="8">
        <v>44987.68540509259</v>
      </c>
      <c r="P191" s="9">
        <v>44991</v>
      </c>
      <c r="Q191" t="s">
        <v>36</v>
      </c>
      <c r="R191" t="s">
        <v>43</v>
      </c>
      <c r="S191" t="s">
        <v>44</v>
      </c>
      <c r="T191" t="s">
        <v>217</v>
      </c>
      <c r="U191" t="s">
        <v>684</v>
      </c>
      <c r="V191">
        <v>96000</v>
      </c>
      <c r="W191" t="s">
        <v>47</v>
      </c>
      <c r="X191" t="s">
        <v>685</v>
      </c>
      <c r="Y191" t="s">
        <v>49</v>
      </c>
      <c r="Z191" s="10">
        <f>IF(N191&lt;=1,13,IF(N191&lt;=2,23,IF(N191&lt;=3,35,IF(N191&lt;=4,43,IF(N191&lt;=5,53,IF(N191&lt;=6,63,IF(N191&lt;=7,71,IF(N191&lt;=8,79,IF(N191&lt;=9,87,IF(N191&lt;=10,95,IF(N191&lt;=11,105,IF(N191&lt;=12,114,IF(N191&lt;=13,119,IF(N191&lt;=14,127,IF(N191&lt;=15,135,IF(N191&lt;=16,143,IF(N191&lt;=17,153,IF(N191&lt;=18,163,IF(N191&lt;=19,171,IF(N191&lt;=20,185,IF(N191&lt;=21,193,IF(N191&lt;=22,201,IF(N191&lt;=23,210,IF(N191&lt;=24,220,IF(N191&lt;=25,230,IF(N191&lt;=26,240,IF(N191&lt;=27,250,IF(N191&lt;=28,260,IF(N191&lt;=29,270,IF(N191&lt;=30,280,280))))))))))))))))))))))))))))))</f>
        <v>13</v>
      </c>
      <c r="AA191" s="11">
        <v>0</v>
      </c>
      <c r="AB191" s="11">
        <v>0</v>
      </c>
      <c r="AC191" s="11">
        <v>0</v>
      </c>
      <c r="AD191" s="11">
        <v>0</v>
      </c>
      <c r="AE191" s="11">
        <f t="shared" si="4"/>
        <v>0.78</v>
      </c>
      <c r="AF191" s="11">
        <f t="shared" si="5"/>
        <v>13.78</v>
      </c>
      <c r="AG191" t="s">
        <v>47</v>
      </c>
    </row>
    <row r="192" spans="1:33" ht="15" customHeight="1" x14ac:dyDescent="0.35">
      <c r="A192">
        <v>690929</v>
      </c>
      <c r="B192" t="s">
        <v>33</v>
      </c>
      <c r="C192" t="s">
        <v>34</v>
      </c>
      <c r="D192" s="6" t="s">
        <v>33</v>
      </c>
      <c r="E192" t="s">
        <v>686</v>
      </c>
      <c r="F192" t="s">
        <v>36</v>
      </c>
      <c r="G192" t="s">
        <v>37</v>
      </c>
      <c r="H192" t="s">
        <v>687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44989.676631944443</v>
      </c>
      <c r="P192" s="9">
        <v>44991</v>
      </c>
      <c r="Q192" t="s">
        <v>36</v>
      </c>
      <c r="R192" t="s">
        <v>43</v>
      </c>
      <c r="S192" t="s">
        <v>44</v>
      </c>
      <c r="T192" t="s">
        <v>52</v>
      </c>
      <c r="U192" t="s">
        <v>688</v>
      </c>
      <c r="V192">
        <v>42700</v>
      </c>
      <c r="W192" t="s">
        <v>43</v>
      </c>
      <c r="X192" t="s">
        <v>329</v>
      </c>
      <c r="Y192" t="s">
        <v>49</v>
      </c>
      <c r="Z192" s="12">
        <f>IF(N192&lt;=1,7,7+0.8*ROUNDUP(N192-1,0))</f>
        <v>7</v>
      </c>
      <c r="AA192" s="11">
        <v>0</v>
      </c>
      <c r="AB192" s="11">
        <v>0</v>
      </c>
      <c r="AC192" s="11">
        <v>0</v>
      </c>
      <c r="AD192" s="11">
        <v>0</v>
      </c>
      <c r="AE192" s="11">
        <f t="shared" si="4"/>
        <v>0.42</v>
      </c>
      <c r="AF192" s="11">
        <f t="shared" si="5"/>
        <v>7.42</v>
      </c>
      <c r="AG192" t="s">
        <v>43</v>
      </c>
    </row>
    <row r="193" spans="1:33" ht="15" customHeight="1" x14ac:dyDescent="0.35">
      <c r="A193">
        <v>690929</v>
      </c>
      <c r="B193" t="s">
        <v>33</v>
      </c>
      <c r="C193" t="s">
        <v>34</v>
      </c>
      <c r="D193" s="6" t="s">
        <v>33</v>
      </c>
      <c r="E193" t="s">
        <v>689</v>
      </c>
      <c r="F193" t="s">
        <v>36</v>
      </c>
      <c r="G193" t="s">
        <v>37</v>
      </c>
      <c r="H193" t="s">
        <v>690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1</v>
      </c>
      <c r="O193" s="8">
        <v>44987.747314814813</v>
      </c>
      <c r="P193" s="9">
        <v>44991</v>
      </c>
      <c r="Q193" t="s">
        <v>36</v>
      </c>
      <c r="R193" t="s">
        <v>43</v>
      </c>
      <c r="S193" t="s">
        <v>74</v>
      </c>
      <c r="T193" t="s">
        <v>137</v>
      </c>
      <c r="U193" t="s">
        <v>691</v>
      </c>
      <c r="V193">
        <v>32600</v>
      </c>
      <c r="W193" t="s">
        <v>43</v>
      </c>
      <c r="X193" t="s">
        <v>62</v>
      </c>
      <c r="Y193" t="s">
        <v>49</v>
      </c>
      <c r="Z193" s="12">
        <f>IF(N193&lt;=1,7,7+0.8*ROUNDUP(N193-1,0))</f>
        <v>7</v>
      </c>
      <c r="AA193" s="11">
        <v>0</v>
      </c>
      <c r="AB193" s="11">
        <v>0</v>
      </c>
      <c r="AC193" s="11">
        <v>0</v>
      </c>
      <c r="AD193" s="11">
        <v>0</v>
      </c>
      <c r="AE193" s="11">
        <f t="shared" si="4"/>
        <v>0.42</v>
      </c>
      <c r="AF193" s="11">
        <f t="shared" si="5"/>
        <v>7.42</v>
      </c>
      <c r="AG193" t="s">
        <v>43</v>
      </c>
    </row>
    <row r="194" spans="1:33" ht="15" customHeight="1" x14ac:dyDescent="0.35">
      <c r="A194">
        <v>690929</v>
      </c>
      <c r="B194" t="s">
        <v>33</v>
      </c>
      <c r="C194" t="s">
        <v>34</v>
      </c>
      <c r="D194" s="6" t="s">
        <v>33</v>
      </c>
      <c r="E194" t="s">
        <v>692</v>
      </c>
      <c r="F194" t="s">
        <v>36</v>
      </c>
      <c r="G194" t="s">
        <v>37</v>
      </c>
      <c r="H194" t="s">
        <v>552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1</v>
      </c>
      <c r="O194" s="8">
        <v>44984.739259259259</v>
      </c>
      <c r="P194" s="9">
        <v>44991</v>
      </c>
      <c r="Q194" t="s">
        <v>36</v>
      </c>
      <c r="R194" t="s">
        <v>43</v>
      </c>
      <c r="S194" t="s">
        <v>44</v>
      </c>
      <c r="T194" t="s">
        <v>217</v>
      </c>
      <c r="U194" t="s">
        <v>553</v>
      </c>
      <c r="V194">
        <v>98000</v>
      </c>
      <c r="W194" t="s">
        <v>47</v>
      </c>
      <c r="X194" t="s">
        <v>431</v>
      </c>
      <c r="Y194" t="s">
        <v>49</v>
      </c>
      <c r="Z194" s="10">
        <f>IF(N194&lt;=1,13,IF(N194&lt;=2,23,IF(N194&lt;=3,35,IF(N194&lt;=4,43,IF(N194&lt;=5,53,IF(N194&lt;=6,63,IF(N194&lt;=7,71,IF(N194&lt;=8,79,IF(N194&lt;=9,87,IF(N194&lt;=10,95,IF(N194&lt;=11,105,IF(N194&lt;=12,114,IF(N194&lt;=13,119,IF(N194&lt;=14,127,IF(N194&lt;=15,135,IF(N194&lt;=16,143,IF(N194&lt;=17,153,IF(N194&lt;=18,163,IF(N194&lt;=19,171,IF(N194&lt;=20,185,IF(N194&lt;=21,193,IF(N194&lt;=22,201,IF(N194&lt;=23,210,IF(N194&lt;=24,220,IF(N194&lt;=25,230,IF(N194&lt;=26,240,IF(N194&lt;=27,250,IF(N194&lt;=28,260,IF(N194&lt;=29,270,IF(N194&lt;=30,280,280))))))))))))))))))))))))))))))</f>
        <v>13</v>
      </c>
      <c r="AA194" s="11">
        <v>0</v>
      </c>
      <c r="AB194" s="11">
        <v>0</v>
      </c>
      <c r="AC194" s="11">
        <v>0</v>
      </c>
      <c r="AD194" s="11">
        <v>0</v>
      </c>
      <c r="AE194" s="11">
        <f t="shared" ref="AE194:AE257" si="6">(Z194+AB194+AD194)*6%</f>
        <v>0.78</v>
      </c>
      <c r="AF194" s="11">
        <f t="shared" ref="AF194:AF257" si="7">Z194+AB194+AD194+AE194</f>
        <v>13.78</v>
      </c>
      <c r="AG194" t="s">
        <v>47</v>
      </c>
    </row>
    <row r="195" spans="1:33" ht="15" customHeight="1" x14ac:dyDescent="0.35">
      <c r="A195">
        <v>690929</v>
      </c>
      <c r="B195" t="s">
        <v>33</v>
      </c>
      <c r="C195" t="s">
        <v>34</v>
      </c>
      <c r="D195" s="6" t="s">
        <v>33</v>
      </c>
      <c r="E195" t="s">
        <v>693</v>
      </c>
      <c r="F195" t="s">
        <v>36</v>
      </c>
      <c r="G195" t="s">
        <v>37</v>
      </c>
      <c r="H195" t="s">
        <v>694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1</v>
      </c>
      <c r="O195" s="8">
        <v>44986.766134259262</v>
      </c>
      <c r="P195" s="9">
        <v>44991</v>
      </c>
      <c r="Q195" t="s">
        <v>36</v>
      </c>
      <c r="R195" t="s">
        <v>43</v>
      </c>
      <c r="S195" t="s">
        <v>44</v>
      </c>
      <c r="T195" t="s">
        <v>178</v>
      </c>
      <c r="U195" t="s">
        <v>695</v>
      </c>
      <c r="V195">
        <v>50050</v>
      </c>
      <c r="W195" t="s">
        <v>43</v>
      </c>
      <c r="X195" t="s">
        <v>62</v>
      </c>
      <c r="Y195" t="s">
        <v>49</v>
      </c>
      <c r="Z195" s="12">
        <f>IF(N195&lt;=1,7,7+0.8*ROUNDUP(N195-1,0))</f>
        <v>7</v>
      </c>
      <c r="AA195" s="11">
        <v>0</v>
      </c>
      <c r="AB195" s="11">
        <v>0</v>
      </c>
      <c r="AC195" s="11">
        <v>0</v>
      </c>
      <c r="AD195" s="11">
        <v>0</v>
      </c>
      <c r="AE195" s="11">
        <f t="shared" si="6"/>
        <v>0.42</v>
      </c>
      <c r="AF195" s="11">
        <f t="shared" si="7"/>
        <v>7.42</v>
      </c>
      <c r="AG195" t="s">
        <v>43</v>
      </c>
    </row>
    <row r="196" spans="1:33" ht="15" customHeight="1" x14ac:dyDescent="0.35">
      <c r="A196">
        <v>690929</v>
      </c>
      <c r="B196" t="s">
        <v>33</v>
      </c>
      <c r="C196" t="s">
        <v>34</v>
      </c>
      <c r="D196" s="6" t="s">
        <v>33</v>
      </c>
      <c r="E196" t="s">
        <v>696</v>
      </c>
      <c r="F196" t="s">
        <v>36</v>
      </c>
      <c r="G196" t="s">
        <v>37</v>
      </c>
      <c r="H196" t="s">
        <v>697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1</v>
      </c>
      <c r="O196" s="8">
        <v>44989.765266203707</v>
      </c>
      <c r="P196" s="9">
        <v>44991</v>
      </c>
      <c r="Q196" t="s">
        <v>36</v>
      </c>
      <c r="R196" t="s">
        <v>43</v>
      </c>
      <c r="S196" t="s">
        <v>44</v>
      </c>
      <c r="T196" t="s">
        <v>79</v>
      </c>
      <c r="U196" t="s">
        <v>698</v>
      </c>
      <c r="V196">
        <v>16350</v>
      </c>
      <c r="W196" t="s">
        <v>43</v>
      </c>
      <c r="X196" t="s">
        <v>44</v>
      </c>
      <c r="Y196" t="s">
        <v>49</v>
      </c>
      <c r="Z196" s="12">
        <f>IF(N196&lt;=1,7,7+0.8*ROUNDUP(N196-1,0))</f>
        <v>7</v>
      </c>
      <c r="AA196" s="11">
        <v>0</v>
      </c>
      <c r="AB196" s="11">
        <v>0</v>
      </c>
      <c r="AC196" s="11">
        <v>0</v>
      </c>
      <c r="AD196" s="11">
        <v>0</v>
      </c>
      <c r="AE196" s="11">
        <f t="shared" si="6"/>
        <v>0.42</v>
      </c>
      <c r="AF196" s="11">
        <f t="shared" si="7"/>
        <v>7.42</v>
      </c>
      <c r="AG196" t="s">
        <v>43</v>
      </c>
    </row>
    <row r="197" spans="1:33" ht="15" customHeight="1" x14ac:dyDescent="0.35">
      <c r="A197">
        <v>690929</v>
      </c>
      <c r="B197" t="s">
        <v>33</v>
      </c>
      <c r="C197" t="s">
        <v>34</v>
      </c>
      <c r="D197" s="6" t="s">
        <v>33</v>
      </c>
      <c r="E197" t="s">
        <v>699</v>
      </c>
      <c r="F197" t="s">
        <v>36</v>
      </c>
      <c r="G197" t="s">
        <v>37</v>
      </c>
      <c r="H197" t="s">
        <v>700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1</v>
      </c>
      <c r="O197" s="8">
        <v>44989.765266203707</v>
      </c>
      <c r="P197" s="9">
        <v>44991</v>
      </c>
      <c r="Q197" t="s">
        <v>36</v>
      </c>
      <c r="R197" t="s">
        <v>43</v>
      </c>
      <c r="S197" t="s">
        <v>44</v>
      </c>
      <c r="T197" t="s">
        <v>178</v>
      </c>
      <c r="U197" t="s">
        <v>701</v>
      </c>
      <c r="V197">
        <v>57100</v>
      </c>
      <c r="W197" t="s">
        <v>43</v>
      </c>
      <c r="X197" t="s">
        <v>702</v>
      </c>
      <c r="Y197" t="s">
        <v>49</v>
      </c>
      <c r="Z197" s="12">
        <f>IF(N197&lt;=1,7,7+0.8*ROUNDUP(N197-1,0))</f>
        <v>7</v>
      </c>
      <c r="AA197" s="11">
        <v>0</v>
      </c>
      <c r="AB197" s="11">
        <v>0</v>
      </c>
      <c r="AC197" s="11">
        <v>0</v>
      </c>
      <c r="AD197" s="11">
        <v>0</v>
      </c>
      <c r="AE197" s="11">
        <f t="shared" si="6"/>
        <v>0.42</v>
      </c>
      <c r="AF197" s="11">
        <f t="shared" si="7"/>
        <v>7.42</v>
      </c>
      <c r="AG197" t="s">
        <v>43</v>
      </c>
    </row>
    <row r="198" spans="1:33" ht="15" customHeight="1" x14ac:dyDescent="0.35">
      <c r="A198">
        <v>690929</v>
      </c>
      <c r="B198" t="s">
        <v>33</v>
      </c>
      <c r="C198" t="s">
        <v>34</v>
      </c>
      <c r="D198" s="6" t="s">
        <v>33</v>
      </c>
      <c r="E198" t="s">
        <v>703</v>
      </c>
      <c r="F198" t="s">
        <v>36</v>
      </c>
      <c r="G198" t="s">
        <v>37</v>
      </c>
      <c r="H198" t="s">
        <v>704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1</v>
      </c>
      <c r="O198" s="8">
        <v>44989.765266203707</v>
      </c>
      <c r="P198" s="9">
        <v>44991</v>
      </c>
      <c r="Q198" t="s">
        <v>36</v>
      </c>
      <c r="R198" t="s">
        <v>43</v>
      </c>
      <c r="S198" t="s">
        <v>44</v>
      </c>
      <c r="T198" t="s">
        <v>52</v>
      </c>
      <c r="U198" t="s">
        <v>705</v>
      </c>
      <c r="V198">
        <v>42610</v>
      </c>
      <c r="W198" t="s">
        <v>43</v>
      </c>
      <c r="X198" t="s">
        <v>62</v>
      </c>
      <c r="Y198" t="s">
        <v>49</v>
      </c>
      <c r="Z198" s="12">
        <f>IF(N198&lt;=1,7,7+0.8*ROUNDUP(N198-1,0))</f>
        <v>7</v>
      </c>
      <c r="AA198" s="11">
        <v>0</v>
      </c>
      <c r="AB198" s="11">
        <v>0</v>
      </c>
      <c r="AC198" s="11">
        <v>0</v>
      </c>
      <c r="AD198" s="11">
        <v>0</v>
      </c>
      <c r="AE198" s="11">
        <f t="shared" si="6"/>
        <v>0.42</v>
      </c>
      <c r="AF198" s="11">
        <f t="shared" si="7"/>
        <v>7.42</v>
      </c>
      <c r="AG198" t="s">
        <v>43</v>
      </c>
    </row>
    <row r="199" spans="1:33" ht="15" customHeight="1" x14ac:dyDescent="0.35">
      <c r="A199">
        <v>690929</v>
      </c>
      <c r="B199" t="s">
        <v>33</v>
      </c>
      <c r="C199" t="s">
        <v>34</v>
      </c>
      <c r="D199" s="6" t="s">
        <v>33</v>
      </c>
      <c r="E199" t="s">
        <v>706</v>
      </c>
      <c r="F199" t="s">
        <v>36</v>
      </c>
      <c r="G199" t="s">
        <v>37</v>
      </c>
      <c r="H199" t="s">
        <v>707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</v>
      </c>
      <c r="O199" s="8">
        <v>44989.689398148148</v>
      </c>
      <c r="P199" s="9">
        <v>44991</v>
      </c>
      <c r="Q199" t="s">
        <v>36</v>
      </c>
      <c r="R199" t="s">
        <v>43</v>
      </c>
      <c r="S199" t="s">
        <v>44</v>
      </c>
      <c r="T199" t="s">
        <v>52</v>
      </c>
      <c r="U199" t="s">
        <v>708</v>
      </c>
      <c r="V199">
        <v>41050</v>
      </c>
      <c r="W199" t="s">
        <v>43</v>
      </c>
      <c r="X199" t="s">
        <v>263</v>
      </c>
      <c r="Y199" t="s">
        <v>49</v>
      </c>
      <c r="Z199" s="12">
        <f>IF(N199&lt;=1,7,7+0.8*ROUNDUP(N199-1,0))</f>
        <v>7</v>
      </c>
      <c r="AA199" s="11">
        <v>0</v>
      </c>
      <c r="AB199" s="11">
        <v>0</v>
      </c>
      <c r="AC199" s="11">
        <v>0</v>
      </c>
      <c r="AD199" s="11">
        <v>0</v>
      </c>
      <c r="AE199" s="11">
        <f t="shared" si="6"/>
        <v>0.42</v>
      </c>
      <c r="AF199" s="11">
        <f t="shared" si="7"/>
        <v>7.42</v>
      </c>
      <c r="AG199" t="s">
        <v>43</v>
      </c>
    </row>
    <row r="200" spans="1:33" ht="15" customHeight="1" x14ac:dyDescent="0.35">
      <c r="A200">
        <v>690929</v>
      </c>
      <c r="B200" t="s">
        <v>33</v>
      </c>
      <c r="C200" t="s">
        <v>34</v>
      </c>
      <c r="D200" s="6" t="s">
        <v>33</v>
      </c>
      <c r="E200" t="s">
        <v>709</v>
      </c>
      <c r="F200" t="s">
        <v>36</v>
      </c>
      <c r="G200" t="s">
        <v>37</v>
      </c>
      <c r="H200" t="s">
        <v>710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1</v>
      </c>
      <c r="O200" s="8">
        <v>44989.584687499999</v>
      </c>
      <c r="P200" s="9">
        <v>44991</v>
      </c>
      <c r="Q200" t="s">
        <v>36</v>
      </c>
      <c r="R200" t="s">
        <v>43</v>
      </c>
      <c r="S200" t="s">
        <v>44</v>
      </c>
      <c r="T200" t="s">
        <v>104</v>
      </c>
      <c r="U200" t="s">
        <v>711</v>
      </c>
      <c r="V200">
        <v>81300</v>
      </c>
      <c r="W200" t="s">
        <v>43</v>
      </c>
      <c r="X200" t="s">
        <v>62</v>
      </c>
      <c r="Y200" t="s">
        <v>49</v>
      </c>
      <c r="Z200" s="12">
        <f>IF(N200&lt;=1,7,7+0.8*ROUNDUP(N200-1,0))</f>
        <v>7</v>
      </c>
      <c r="AA200" s="11">
        <v>0</v>
      </c>
      <c r="AB200" s="11">
        <v>0</v>
      </c>
      <c r="AC200" s="11">
        <v>0</v>
      </c>
      <c r="AD200" s="11">
        <v>0</v>
      </c>
      <c r="AE200" s="11">
        <f t="shared" si="6"/>
        <v>0.42</v>
      </c>
      <c r="AF200" s="11">
        <f t="shared" si="7"/>
        <v>7.42</v>
      </c>
      <c r="AG200" t="s">
        <v>43</v>
      </c>
    </row>
    <row r="201" spans="1:33" ht="15" customHeight="1" x14ac:dyDescent="0.35">
      <c r="A201">
        <v>690929</v>
      </c>
      <c r="B201" t="s">
        <v>33</v>
      </c>
      <c r="C201" t="s">
        <v>34</v>
      </c>
      <c r="D201" s="6" t="s">
        <v>33</v>
      </c>
      <c r="E201" t="s">
        <v>712</v>
      </c>
      <c r="F201" t="s">
        <v>36</v>
      </c>
      <c r="G201" t="s">
        <v>37</v>
      </c>
      <c r="H201" t="s">
        <v>713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1</v>
      </c>
      <c r="O201" s="8">
        <v>44989.689398148148</v>
      </c>
      <c r="P201" s="9">
        <v>44991</v>
      </c>
      <c r="Q201" t="s">
        <v>36</v>
      </c>
      <c r="R201" t="s">
        <v>43</v>
      </c>
      <c r="S201" t="s">
        <v>44</v>
      </c>
      <c r="T201" t="s">
        <v>52</v>
      </c>
      <c r="U201" t="s">
        <v>714</v>
      </c>
      <c r="V201">
        <v>46000</v>
      </c>
      <c r="W201" t="s">
        <v>43</v>
      </c>
      <c r="X201" t="s">
        <v>715</v>
      </c>
      <c r="Y201" t="s">
        <v>49</v>
      </c>
      <c r="Z201" s="12">
        <f>IF(N201&lt;=1,7,7+0.8*ROUNDUP(N201-1,0))</f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f t="shared" si="6"/>
        <v>0.42</v>
      </c>
      <c r="AF201" s="11">
        <f t="shared" si="7"/>
        <v>7.42</v>
      </c>
      <c r="AG201" t="s">
        <v>43</v>
      </c>
    </row>
    <row r="202" spans="1:33" ht="15" customHeight="1" x14ac:dyDescent="0.35">
      <c r="A202">
        <v>690929</v>
      </c>
      <c r="B202" t="s">
        <v>33</v>
      </c>
      <c r="C202" t="s">
        <v>34</v>
      </c>
      <c r="D202" s="6" t="s">
        <v>33</v>
      </c>
      <c r="E202" t="s">
        <v>716</v>
      </c>
      <c r="F202" t="s">
        <v>36</v>
      </c>
      <c r="G202" t="s">
        <v>37</v>
      </c>
      <c r="H202" t="s">
        <v>717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1</v>
      </c>
      <c r="O202" s="8">
        <v>44989.521249999998</v>
      </c>
      <c r="P202" s="9">
        <v>44991</v>
      </c>
      <c r="Q202" t="s">
        <v>36</v>
      </c>
      <c r="R202" t="s">
        <v>43</v>
      </c>
      <c r="S202" t="s">
        <v>44</v>
      </c>
      <c r="T202" t="s">
        <v>52</v>
      </c>
      <c r="U202" t="s">
        <v>718</v>
      </c>
      <c r="V202">
        <v>46150</v>
      </c>
      <c r="W202" t="s">
        <v>43</v>
      </c>
      <c r="X202" t="s">
        <v>715</v>
      </c>
      <c r="Y202" t="s">
        <v>49</v>
      </c>
      <c r="Z202" s="12">
        <f>IF(N202&lt;=1,7,7+0.8*ROUNDUP(N202-1,0))</f>
        <v>7</v>
      </c>
      <c r="AA202" s="11">
        <v>0</v>
      </c>
      <c r="AB202" s="11">
        <v>0</v>
      </c>
      <c r="AC202" s="11">
        <v>0</v>
      </c>
      <c r="AD202" s="11">
        <v>0</v>
      </c>
      <c r="AE202" s="11">
        <f t="shared" si="6"/>
        <v>0.42</v>
      </c>
      <c r="AF202" s="11">
        <f t="shared" si="7"/>
        <v>7.42</v>
      </c>
      <c r="AG202" t="s">
        <v>43</v>
      </c>
    </row>
    <row r="203" spans="1:33" ht="15" customHeight="1" x14ac:dyDescent="0.35">
      <c r="A203">
        <v>690929</v>
      </c>
      <c r="B203" t="s">
        <v>33</v>
      </c>
      <c r="C203" t="s">
        <v>34</v>
      </c>
      <c r="D203" s="6" t="s">
        <v>33</v>
      </c>
      <c r="E203" t="s">
        <v>719</v>
      </c>
      <c r="F203" t="s">
        <v>36</v>
      </c>
      <c r="G203" t="s">
        <v>37</v>
      </c>
      <c r="H203" t="s">
        <v>720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1</v>
      </c>
      <c r="O203" s="8">
        <v>44989.689398148148</v>
      </c>
      <c r="P203" s="9">
        <v>44992</v>
      </c>
      <c r="Q203" t="s">
        <v>36</v>
      </c>
      <c r="R203" t="s">
        <v>43</v>
      </c>
      <c r="S203" t="s">
        <v>44</v>
      </c>
      <c r="T203" t="s">
        <v>149</v>
      </c>
      <c r="U203" t="s">
        <v>721</v>
      </c>
      <c r="V203">
        <v>8000</v>
      </c>
      <c r="W203" t="s">
        <v>43</v>
      </c>
      <c r="X203" t="s">
        <v>481</v>
      </c>
      <c r="Y203" t="s">
        <v>49</v>
      </c>
      <c r="Z203" s="12">
        <f>IF(N203&lt;=1,7,7+0.8*ROUNDUP(N203-1,0))</f>
        <v>7</v>
      </c>
      <c r="AA203" s="11">
        <v>0</v>
      </c>
      <c r="AB203" s="11">
        <v>0</v>
      </c>
      <c r="AC203" s="11">
        <v>0</v>
      </c>
      <c r="AD203" s="11">
        <v>0</v>
      </c>
      <c r="AE203" s="11">
        <f t="shared" si="6"/>
        <v>0.42</v>
      </c>
      <c r="AF203" s="11">
        <f t="shared" si="7"/>
        <v>7.42</v>
      </c>
      <c r="AG203" t="s">
        <v>43</v>
      </c>
    </row>
    <row r="204" spans="1:33" ht="15" customHeight="1" x14ac:dyDescent="0.35">
      <c r="A204">
        <v>690929</v>
      </c>
      <c r="B204" t="s">
        <v>33</v>
      </c>
      <c r="C204" t="s">
        <v>34</v>
      </c>
      <c r="D204" s="6" t="s">
        <v>33</v>
      </c>
      <c r="E204" t="s">
        <v>722</v>
      </c>
      <c r="F204" t="s">
        <v>36</v>
      </c>
      <c r="G204" t="s">
        <v>37</v>
      </c>
      <c r="H204" t="s">
        <v>723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1</v>
      </c>
      <c r="O204" s="8">
        <v>44991.430555555555</v>
      </c>
      <c r="P204" s="9">
        <v>44992</v>
      </c>
      <c r="Q204" t="s">
        <v>36</v>
      </c>
      <c r="R204" t="s">
        <v>43</v>
      </c>
      <c r="S204" t="s">
        <v>44</v>
      </c>
      <c r="T204" t="s">
        <v>92</v>
      </c>
      <c r="U204" t="s">
        <v>724</v>
      </c>
      <c r="V204">
        <v>21030</v>
      </c>
      <c r="W204" t="s">
        <v>43</v>
      </c>
      <c r="X204" t="s">
        <v>44</v>
      </c>
      <c r="Y204" t="s">
        <v>49</v>
      </c>
      <c r="Z204" s="12">
        <f>IF(N204&lt;=1,7,7+0.8*ROUNDUP(N204-1,0))</f>
        <v>7</v>
      </c>
      <c r="AA204" s="11">
        <v>0</v>
      </c>
      <c r="AB204" s="11">
        <v>0</v>
      </c>
      <c r="AC204" s="11">
        <v>0</v>
      </c>
      <c r="AD204" s="11">
        <v>0</v>
      </c>
      <c r="AE204" s="11">
        <f t="shared" si="6"/>
        <v>0.42</v>
      </c>
      <c r="AF204" s="11">
        <f t="shared" si="7"/>
        <v>7.42</v>
      </c>
      <c r="AG204" t="s">
        <v>43</v>
      </c>
    </row>
    <row r="205" spans="1:33" ht="15" customHeight="1" x14ac:dyDescent="0.35">
      <c r="A205">
        <v>690929</v>
      </c>
      <c r="B205" t="s">
        <v>33</v>
      </c>
      <c r="C205" t="s">
        <v>34</v>
      </c>
      <c r="D205" s="6" t="s">
        <v>33</v>
      </c>
      <c r="E205" t="s">
        <v>725</v>
      </c>
      <c r="F205" t="s">
        <v>36</v>
      </c>
      <c r="G205" t="s">
        <v>37</v>
      </c>
      <c r="H205" t="s">
        <v>726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1</v>
      </c>
      <c r="O205" s="8">
        <v>44991.500972222224</v>
      </c>
      <c r="P205" s="9">
        <v>44992</v>
      </c>
      <c r="Q205" t="s">
        <v>36</v>
      </c>
      <c r="R205" t="s">
        <v>43</v>
      </c>
      <c r="S205" t="s">
        <v>44</v>
      </c>
      <c r="T205" t="s">
        <v>79</v>
      </c>
      <c r="U205" t="s">
        <v>727</v>
      </c>
      <c r="V205">
        <v>16100</v>
      </c>
      <c r="W205" t="s">
        <v>43</v>
      </c>
      <c r="X205" t="s">
        <v>44</v>
      </c>
      <c r="Y205" t="s">
        <v>49</v>
      </c>
      <c r="Z205" s="12">
        <f>IF(N205&lt;=1,7,7+0.8*ROUNDUP(N205-1,0))</f>
        <v>7</v>
      </c>
      <c r="AA205" s="11">
        <v>0</v>
      </c>
      <c r="AB205" s="11">
        <v>0</v>
      </c>
      <c r="AC205" s="11">
        <v>0</v>
      </c>
      <c r="AD205" s="11">
        <v>0</v>
      </c>
      <c r="AE205" s="11">
        <f t="shared" si="6"/>
        <v>0.42</v>
      </c>
      <c r="AF205" s="11">
        <f t="shared" si="7"/>
        <v>7.42</v>
      </c>
      <c r="AG205" t="s">
        <v>43</v>
      </c>
    </row>
    <row r="206" spans="1:33" ht="15" customHeight="1" x14ac:dyDescent="0.35">
      <c r="A206">
        <v>690929</v>
      </c>
      <c r="B206" t="s">
        <v>33</v>
      </c>
      <c r="C206" t="s">
        <v>34</v>
      </c>
      <c r="D206" s="6" t="s">
        <v>33</v>
      </c>
      <c r="E206" t="s">
        <v>728</v>
      </c>
      <c r="F206" t="s">
        <v>36</v>
      </c>
      <c r="G206" t="s">
        <v>37</v>
      </c>
      <c r="H206" t="s">
        <v>729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1</v>
      </c>
      <c r="O206" s="8">
        <v>44984.659907407404</v>
      </c>
      <c r="P206" s="9">
        <v>44992</v>
      </c>
      <c r="Q206" t="s">
        <v>36</v>
      </c>
      <c r="R206" t="s">
        <v>43</v>
      </c>
      <c r="S206" t="s">
        <v>44</v>
      </c>
      <c r="T206" t="s">
        <v>104</v>
      </c>
      <c r="U206" t="s">
        <v>730</v>
      </c>
      <c r="V206">
        <v>85000</v>
      </c>
      <c r="W206" t="s">
        <v>43</v>
      </c>
      <c r="X206" t="s">
        <v>283</v>
      </c>
      <c r="Y206" t="s">
        <v>49</v>
      </c>
      <c r="Z206" s="12">
        <f>IF(N206&lt;=1,7,7+0.8*ROUNDUP(N206-1,0))</f>
        <v>7</v>
      </c>
      <c r="AA206" s="11">
        <v>0</v>
      </c>
      <c r="AB206" s="11">
        <v>0</v>
      </c>
      <c r="AC206" s="11">
        <v>0</v>
      </c>
      <c r="AD206" s="11">
        <v>0</v>
      </c>
      <c r="AE206" s="11">
        <f t="shared" si="6"/>
        <v>0.42</v>
      </c>
      <c r="AF206" s="11">
        <f t="shared" si="7"/>
        <v>7.42</v>
      </c>
      <c r="AG206" t="s">
        <v>43</v>
      </c>
    </row>
    <row r="207" spans="1:33" ht="15" customHeight="1" x14ac:dyDescent="0.35">
      <c r="A207">
        <v>690929</v>
      </c>
      <c r="B207" t="s">
        <v>33</v>
      </c>
      <c r="C207" t="s">
        <v>34</v>
      </c>
      <c r="D207" s="6" t="s">
        <v>33</v>
      </c>
      <c r="E207" t="s">
        <v>731</v>
      </c>
      <c r="F207" t="s">
        <v>36</v>
      </c>
      <c r="G207" t="s">
        <v>37</v>
      </c>
      <c r="H207" t="s">
        <v>732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3</v>
      </c>
      <c r="O207" s="8">
        <v>44991.493333333332</v>
      </c>
      <c r="P207" s="9">
        <v>44992</v>
      </c>
      <c r="Q207" t="s">
        <v>36</v>
      </c>
      <c r="R207" t="s">
        <v>43</v>
      </c>
      <c r="S207" t="s">
        <v>44</v>
      </c>
      <c r="T207" t="s">
        <v>52</v>
      </c>
      <c r="U207" t="s">
        <v>733</v>
      </c>
      <c r="V207">
        <v>47000</v>
      </c>
      <c r="W207" t="s">
        <v>43</v>
      </c>
      <c r="X207" t="s">
        <v>734</v>
      </c>
      <c r="Y207" t="s">
        <v>49</v>
      </c>
      <c r="Z207" s="12">
        <f>IF(N207&lt;=1,7,7+0.8*ROUNDUP(N207-1,0))</f>
        <v>8.6</v>
      </c>
      <c r="AA207" s="11">
        <v>0</v>
      </c>
      <c r="AB207" s="11">
        <v>0</v>
      </c>
      <c r="AC207" s="11">
        <v>0</v>
      </c>
      <c r="AD207" s="11">
        <v>0</v>
      </c>
      <c r="AE207" s="11">
        <f t="shared" si="6"/>
        <v>0.51600000000000001</v>
      </c>
      <c r="AF207" s="11">
        <f t="shared" si="7"/>
        <v>9.1159999999999997</v>
      </c>
      <c r="AG207" t="s">
        <v>43</v>
      </c>
    </row>
    <row r="208" spans="1:33" ht="15" customHeight="1" x14ac:dyDescent="0.35">
      <c r="A208">
        <v>690929</v>
      </c>
      <c r="B208" t="s">
        <v>33</v>
      </c>
      <c r="C208" t="s">
        <v>34</v>
      </c>
      <c r="D208" s="6" t="s">
        <v>33</v>
      </c>
      <c r="E208" t="s">
        <v>735</v>
      </c>
      <c r="F208" t="s">
        <v>36</v>
      </c>
      <c r="G208" t="s">
        <v>37</v>
      </c>
      <c r="H208" t="s">
        <v>736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1</v>
      </c>
      <c r="O208" s="8">
        <v>44989.765266203707</v>
      </c>
      <c r="P208" s="9">
        <v>44992</v>
      </c>
      <c r="Q208" t="s">
        <v>36</v>
      </c>
      <c r="R208" t="s">
        <v>43</v>
      </c>
      <c r="S208" t="s">
        <v>44</v>
      </c>
      <c r="T208" t="s">
        <v>99</v>
      </c>
      <c r="U208" t="s">
        <v>737</v>
      </c>
      <c r="V208">
        <v>70400</v>
      </c>
      <c r="W208" t="s">
        <v>43</v>
      </c>
      <c r="X208" t="s">
        <v>143</v>
      </c>
      <c r="Y208" t="s">
        <v>49</v>
      </c>
      <c r="Z208" s="12">
        <f>IF(N208&lt;=1,7,7+0.8*ROUNDUP(N208-1,0))</f>
        <v>7</v>
      </c>
      <c r="AA208" s="11">
        <v>0</v>
      </c>
      <c r="AB208" s="11">
        <v>0</v>
      </c>
      <c r="AC208" s="11">
        <v>0</v>
      </c>
      <c r="AD208" s="11">
        <v>0</v>
      </c>
      <c r="AE208" s="11">
        <f t="shared" si="6"/>
        <v>0.42</v>
      </c>
      <c r="AF208" s="11">
        <f t="shared" si="7"/>
        <v>7.42</v>
      </c>
      <c r="AG208" t="s">
        <v>43</v>
      </c>
    </row>
    <row r="209" spans="1:33" ht="15" customHeight="1" x14ac:dyDescent="0.35">
      <c r="A209">
        <v>690929</v>
      </c>
      <c r="B209" t="s">
        <v>33</v>
      </c>
      <c r="C209" t="s">
        <v>34</v>
      </c>
      <c r="D209" s="6" t="s">
        <v>33</v>
      </c>
      <c r="E209" t="s">
        <v>738</v>
      </c>
      <c r="F209" t="s">
        <v>36</v>
      </c>
      <c r="G209" t="s">
        <v>37</v>
      </c>
      <c r="H209" t="s">
        <v>739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2</v>
      </c>
      <c r="O209" s="8">
        <v>44991.606319444443</v>
      </c>
      <c r="P209" s="9">
        <v>44992</v>
      </c>
      <c r="Q209" t="s">
        <v>36</v>
      </c>
      <c r="R209" t="s">
        <v>43</v>
      </c>
      <c r="S209" t="s">
        <v>44</v>
      </c>
      <c r="T209" t="s">
        <v>52</v>
      </c>
      <c r="U209" t="s">
        <v>740</v>
      </c>
      <c r="V209">
        <v>43200</v>
      </c>
      <c r="W209" t="s">
        <v>43</v>
      </c>
      <c r="X209" t="s">
        <v>295</v>
      </c>
      <c r="Y209" t="s">
        <v>49</v>
      </c>
      <c r="Z209" s="12">
        <f>IF(N209&lt;=1,7,7+0.8*ROUNDUP(N209-1,0))</f>
        <v>7.8</v>
      </c>
      <c r="AA209" s="11">
        <v>0</v>
      </c>
      <c r="AB209" s="11">
        <v>0</v>
      </c>
      <c r="AC209" s="11">
        <v>0</v>
      </c>
      <c r="AD209" s="11">
        <v>0</v>
      </c>
      <c r="AE209" s="11">
        <f t="shared" si="6"/>
        <v>0.46799999999999997</v>
      </c>
      <c r="AF209" s="11">
        <f t="shared" si="7"/>
        <v>8.2680000000000007</v>
      </c>
      <c r="AG209" t="s">
        <v>43</v>
      </c>
    </row>
    <row r="210" spans="1:33" ht="15" customHeight="1" x14ac:dyDescent="0.35">
      <c r="A210">
        <v>690929</v>
      </c>
      <c r="B210" t="s">
        <v>33</v>
      </c>
      <c r="C210" t="s">
        <v>34</v>
      </c>
      <c r="D210" s="6" t="s">
        <v>33</v>
      </c>
      <c r="E210" t="s">
        <v>741</v>
      </c>
      <c r="F210" t="s">
        <v>36</v>
      </c>
      <c r="G210" t="s">
        <v>37</v>
      </c>
      <c r="H210" t="s">
        <v>742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1</v>
      </c>
      <c r="O210" s="8">
        <v>44990.699120370373</v>
      </c>
      <c r="P210" s="9">
        <v>44992</v>
      </c>
      <c r="Q210" t="s">
        <v>36</v>
      </c>
      <c r="R210" t="s">
        <v>43</v>
      </c>
      <c r="S210" t="s">
        <v>44</v>
      </c>
      <c r="T210" t="s">
        <v>52</v>
      </c>
      <c r="U210" t="s">
        <v>743</v>
      </c>
      <c r="V210">
        <v>46000</v>
      </c>
      <c r="W210" t="s">
        <v>43</v>
      </c>
      <c r="X210" t="s">
        <v>62</v>
      </c>
      <c r="Y210" t="s">
        <v>49</v>
      </c>
      <c r="Z210" s="12">
        <f>IF(N210&lt;=1,7,7+0.8*ROUNDUP(N210-1,0))</f>
        <v>7</v>
      </c>
      <c r="AA210" s="11">
        <v>0</v>
      </c>
      <c r="AB210" s="11">
        <v>0</v>
      </c>
      <c r="AC210" s="11">
        <v>0</v>
      </c>
      <c r="AD210" s="11">
        <v>0</v>
      </c>
      <c r="AE210" s="11">
        <f t="shared" si="6"/>
        <v>0.42</v>
      </c>
      <c r="AF210" s="11">
        <f t="shared" si="7"/>
        <v>7.42</v>
      </c>
      <c r="AG210" t="s">
        <v>43</v>
      </c>
    </row>
    <row r="211" spans="1:33" ht="15" customHeight="1" x14ac:dyDescent="0.35">
      <c r="A211">
        <v>690929</v>
      </c>
      <c r="B211" t="s">
        <v>33</v>
      </c>
      <c r="C211" t="s">
        <v>34</v>
      </c>
      <c r="D211" s="6" t="s">
        <v>33</v>
      </c>
      <c r="E211" t="s">
        <v>744</v>
      </c>
      <c r="F211" t="s">
        <v>36</v>
      </c>
      <c r="G211" t="s">
        <v>37</v>
      </c>
      <c r="H211" t="s">
        <v>745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2</v>
      </c>
      <c r="O211" s="8">
        <v>44991.463136574072</v>
      </c>
      <c r="P211" s="9">
        <v>44992</v>
      </c>
      <c r="Q211" t="s">
        <v>36</v>
      </c>
      <c r="R211" t="s">
        <v>43</v>
      </c>
      <c r="S211" t="s">
        <v>44</v>
      </c>
      <c r="T211" t="s">
        <v>65</v>
      </c>
      <c r="U211" t="s">
        <v>746</v>
      </c>
      <c r="V211">
        <v>27200</v>
      </c>
      <c r="W211" t="s">
        <v>43</v>
      </c>
      <c r="X211" t="s">
        <v>747</v>
      </c>
      <c r="Y211" t="s">
        <v>49</v>
      </c>
      <c r="Z211" s="12">
        <f>IF(N211&lt;=1,7,7+0.8*ROUNDUP(N211-1,0))</f>
        <v>7.8</v>
      </c>
      <c r="AA211" s="11">
        <v>0</v>
      </c>
      <c r="AB211" s="11">
        <v>0</v>
      </c>
      <c r="AC211" s="11">
        <v>0</v>
      </c>
      <c r="AD211" s="11">
        <v>0</v>
      </c>
      <c r="AE211" s="11">
        <f t="shared" si="6"/>
        <v>0.46799999999999997</v>
      </c>
      <c r="AF211" s="11">
        <f t="shared" si="7"/>
        <v>8.2680000000000007</v>
      </c>
      <c r="AG211" t="s">
        <v>43</v>
      </c>
    </row>
    <row r="212" spans="1:33" ht="15" customHeight="1" x14ac:dyDescent="0.35">
      <c r="A212">
        <v>690929</v>
      </c>
      <c r="B212" t="s">
        <v>33</v>
      </c>
      <c r="C212" t="s">
        <v>34</v>
      </c>
      <c r="D212" s="6" t="s">
        <v>33</v>
      </c>
      <c r="E212" t="s">
        <v>748</v>
      </c>
      <c r="F212" t="s">
        <v>36</v>
      </c>
      <c r="G212" t="s">
        <v>37</v>
      </c>
      <c r="H212" t="s">
        <v>749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1</v>
      </c>
      <c r="O212" s="8">
        <v>44989.689398148148</v>
      </c>
      <c r="P212" s="9">
        <v>44993</v>
      </c>
      <c r="Q212" t="s">
        <v>36</v>
      </c>
      <c r="R212" t="s">
        <v>43</v>
      </c>
      <c r="S212" t="s">
        <v>44</v>
      </c>
      <c r="T212" t="s">
        <v>45</v>
      </c>
      <c r="U212" t="s">
        <v>750</v>
      </c>
      <c r="V212">
        <v>88450</v>
      </c>
      <c r="W212" t="s">
        <v>47</v>
      </c>
      <c r="X212" t="s">
        <v>48</v>
      </c>
      <c r="Y212" t="s">
        <v>49</v>
      </c>
      <c r="Z212" s="10">
        <f>IF(N212&lt;=1,13,IF(N212&lt;=2,23,IF(N212&lt;=3,35,IF(N212&lt;=4,43,IF(N212&lt;=5,53,IF(N212&lt;=6,63,IF(N212&lt;=7,71,IF(N212&lt;=8,79,IF(N212&lt;=9,87,IF(N212&lt;=10,95,IF(N212&lt;=11,105,IF(N212&lt;=12,114,IF(N212&lt;=13,119,IF(N212&lt;=14,127,IF(N212&lt;=15,135,IF(N212&lt;=16,143,IF(N212&lt;=17,153,IF(N212&lt;=18,163,IF(N212&lt;=19,171,IF(N212&lt;=20,185,IF(N212&lt;=21,193,IF(N212&lt;=22,201,IF(N212&lt;=23,210,IF(N212&lt;=24,220,IF(N212&lt;=25,230,IF(N212&lt;=26,240,IF(N212&lt;=27,250,IF(N212&lt;=28,260,IF(N212&lt;=29,270,IF(N212&lt;=30,280,280))))))))))))))))))))))))))))))</f>
        <v>13</v>
      </c>
      <c r="AA212" s="11">
        <v>0</v>
      </c>
      <c r="AB212" s="11">
        <v>0</v>
      </c>
      <c r="AC212" s="11">
        <v>0</v>
      </c>
      <c r="AD212" s="11">
        <v>0</v>
      </c>
      <c r="AE212" s="11">
        <f t="shared" si="6"/>
        <v>0.78</v>
      </c>
      <c r="AF212" s="11">
        <f t="shared" si="7"/>
        <v>13.78</v>
      </c>
      <c r="AG212" t="s">
        <v>47</v>
      </c>
    </row>
    <row r="213" spans="1:33" ht="15" customHeight="1" x14ac:dyDescent="0.35">
      <c r="A213">
        <v>690929</v>
      </c>
      <c r="B213" t="s">
        <v>33</v>
      </c>
      <c r="C213" t="s">
        <v>34</v>
      </c>
      <c r="D213" s="6" t="s">
        <v>33</v>
      </c>
      <c r="E213" t="s">
        <v>751</v>
      </c>
      <c r="F213" t="s">
        <v>36</v>
      </c>
      <c r="G213" t="s">
        <v>37</v>
      </c>
      <c r="H213" t="s">
        <v>752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1</v>
      </c>
      <c r="O213" s="8">
        <v>44991.500972222224</v>
      </c>
      <c r="P213" s="9">
        <v>44993</v>
      </c>
      <c r="Q213" t="s">
        <v>36</v>
      </c>
      <c r="R213" t="s">
        <v>43</v>
      </c>
      <c r="S213" t="s">
        <v>44</v>
      </c>
      <c r="T213" t="s">
        <v>316</v>
      </c>
      <c r="U213" t="s">
        <v>753</v>
      </c>
      <c r="V213">
        <v>14000</v>
      </c>
      <c r="W213" t="s">
        <v>43</v>
      </c>
      <c r="X213" t="s">
        <v>485</v>
      </c>
      <c r="Y213" t="s">
        <v>49</v>
      </c>
      <c r="Z213" s="12">
        <f>IF(N213&lt;=1,7,7+0.8*ROUNDUP(N213-1,0))</f>
        <v>7</v>
      </c>
      <c r="AA213" s="11">
        <v>0</v>
      </c>
      <c r="AB213" s="11">
        <v>0</v>
      </c>
      <c r="AC213" s="11">
        <v>0</v>
      </c>
      <c r="AD213" s="11">
        <v>0</v>
      </c>
      <c r="AE213" s="11">
        <f t="shared" si="6"/>
        <v>0.42</v>
      </c>
      <c r="AF213" s="11">
        <f t="shared" si="7"/>
        <v>7.42</v>
      </c>
      <c r="AG213" t="s">
        <v>43</v>
      </c>
    </row>
    <row r="214" spans="1:33" ht="15" customHeight="1" x14ac:dyDescent="0.35">
      <c r="A214">
        <v>690929</v>
      </c>
      <c r="B214" t="s">
        <v>33</v>
      </c>
      <c r="C214" t="s">
        <v>34</v>
      </c>
      <c r="D214" s="6" t="s">
        <v>33</v>
      </c>
      <c r="E214" t="s">
        <v>754</v>
      </c>
      <c r="F214" t="s">
        <v>36</v>
      </c>
      <c r="G214" t="s">
        <v>37</v>
      </c>
      <c r="H214" t="s">
        <v>755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1</v>
      </c>
      <c r="O214" s="8">
        <v>44992.579826388886</v>
      </c>
      <c r="P214" s="9">
        <v>44993</v>
      </c>
      <c r="Q214" t="s">
        <v>36</v>
      </c>
      <c r="R214" t="s">
        <v>43</v>
      </c>
      <c r="S214" t="s">
        <v>44</v>
      </c>
      <c r="T214" t="s">
        <v>79</v>
      </c>
      <c r="U214" t="s">
        <v>756</v>
      </c>
      <c r="V214">
        <v>15350</v>
      </c>
      <c r="W214" t="s">
        <v>43</v>
      </c>
      <c r="X214" t="s">
        <v>44</v>
      </c>
      <c r="Y214" t="s">
        <v>49</v>
      </c>
      <c r="Z214" s="12">
        <f>IF(N214&lt;=1,7,7+0.8*ROUNDUP(N214-1,0))</f>
        <v>7</v>
      </c>
      <c r="AA214" s="11">
        <v>0</v>
      </c>
      <c r="AB214" s="11">
        <v>0</v>
      </c>
      <c r="AC214" s="11">
        <v>0</v>
      </c>
      <c r="AD214" s="11">
        <v>0</v>
      </c>
      <c r="AE214" s="11">
        <f t="shared" si="6"/>
        <v>0.42</v>
      </c>
      <c r="AF214" s="11">
        <f t="shared" si="7"/>
        <v>7.42</v>
      </c>
      <c r="AG214" t="s">
        <v>43</v>
      </c>
    </row>
    <row r="215" spans="1:33" ht="15" customHeight="1" x14ac:dyDescent="0.35">
      <c r="A215">
        <v>690929</v>
      </c>
      <c r="B215" t="s">
        <v>33</v>
      </c>
      <c r="C215" t="s">
        <v>34</v>
      </c>
      <c r="D215" s="6" t="s">
        <v>33</v>
      </c>
      <c r="E215" t="s">
        <v>757</v>
      </c>
      <c r="F215" t="s">
        <v>36</v>
      </c>
      <c r="G215" t="s">
        <v>37</v>
      </c>
      <c r="H215" t="s">
        <v>444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1</v>
      </c>
      <c r="O215" s="8">
        <v>44992.393854166665</v>
      </c>
      <c r="P215" s="9">
        <v>44993</v>
      </c>
      <c r="Q215" t="s">
        <v>36</v>
      </c>
      <c r="R215" t="s">
        <v>43</v>
      </c>
      <c r="S215" t="s">
        <v>44</v>
      </c>
      <c r="T215" t="s">
        <v>52</v>
      </c>
      <c r="U215" t="s">
        <v>758</v>
      </c>
      <c r="V215">
        <v>43650</v>
      </c>
      <c r="W215" t="s">
        <v>43</v>
      </c>
      <c r="X215" t="s">
        <v>62</v>
      </c>
      <c r="Y215" t="s">
        <v>49</v>
      </c>
      <c r="Z215" s="12">
        <f>IF(N215&lt;=1,7,7+0.8*ROUNDUP(N215-1,0))</f>
        <v>7</v>
      </c>
      <c r="AA215" s="11">
        <v>0</v>
      </c>
      <c r="AB215" s="11">
        <v>0</v>
      </c>
      <c r="AC215" s="11">
        <v>0</v>
      </c>
      <c r="AD215" s="11">
        <v>0</v>
      </c>
      <c r="AE215" s="11">
        <f t="shared" si="6"/>
        <v>0.42</v>
      </c>
      <c r="AF215" s="11">
        <f t="shared" si="7"/>
        <v>7.42</v>
      </c>
      <c r="AG215" t="s">
        <v>43</v>
      </c>
    </row>
    <row r="216" spans="1:33" ht="15" customHeight="1" x14ac:dyDescent="0.35">
      <c r="A216">
        <v>690929</v>
      </c>
      <c r="B216" t="s">
        <v>33</v>
      </c>
      <c r="C216" t="s">
        <v>34</v>
      </c>
      <c r="D216" s="6" t="s">
        <v>33</v>
      </c>
      <c r="E216" t="s">
        <v>759</v>
      </c>
      <c r="F216" t="s">
        <v>36</v>
      </c>
      <c r="G216" t="s">
        <v>37</v>
      </c>
      <c r="H216" t="s">
        <v>760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3</v>
      </c>
      <c r="O216" s="8">
        <v>44991.769583333335</v>
      </c>
      <c r="P216" s="9">
        <v>44993</v>
      </c>
      <c r="Q216" t="s">
        <v>36</v>
      </c>
      <c r="R216" t="s">
        <v>43</v>
      </c>
      <c r="S216" t="s">
        <v>44</v>
      </c>
      <c r="T216" t="s">
        <v>79</v>
      </c>
      <c r="U216" t="s">
        <v>761</v>
      </c>
      <c r="V216">
        <v>16600</v>
      </c>
      <c r="W216" t="s">
        <v>43</v>
      </c>
      <c r="X216" t="s">
        <v>81</v>
      </c>
      <c r="Y216" t="s">
        <v>49</v>
      </c>
      <c r="Z216" s="12">
        <f>IF(N216&lt;=1,7,7+0.8*ROUNDUP(N216-1,0))</f>
        <v>8.6</v>
      </c>
      <c r="AA216" s="11">
        <v>0</v>
      </c>
      <c r="AB216" s="11">
        <v>0</v>
      </c>
      <c r="AC216" s="11">
        <v>0</v>
      </c>
      <c r="AD216" s="11">
        <v>0</v>
      </c>
      <c r="AE216" s="11">
        <f t="shared" si="6"/>
        <v>0.51600000000000001</v>
      </c>
      <c r="AF216" s="11">
        <f t="shared" si="7"/>
        <v>9.1159999999999997</v>
      </c>
      <c r="AG216" t="s">
        <v>43</v>
      </c>
    </row>
    <row r="217" spans="1:33" ht="15" customHeight="1" x14ac:dyDescent="0.35">
      <c r="A217">
        <v>690929</v>
      </c>
      <c r="B217" t="s">
        <v>33</v>
      </c>
      <c r="C217" t="s">
        <v>34</v>
      </c>
      <c r="D217" s="6" t="s">
        <v>33</v>
      </c>
      <c r="E217" t="s">
        <v>762</v>
      </c>
      <c r="F217" t="s">
        <v>36</v>
      </c>
      <c r="G217" t="s">
        <v>37</v>
      </c>
      <c r="H217" t="s">
        <v>763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1</v>
      </c>
      <c r="O217" s="8">
        <v>44992.393854166665</v>
      </c>
      <c r="P217" s="9">
        <v>44993</v>
      </c>
      <c r="Q217" t="s">
        <v>36</v>
      </c>
      <c r="R217" t="s">
        <v>43</v>
      </c>
      <c r="S217" t="s">
        <v>44</v>
      </c>
      <c r="T217" t="s">
        <v>52</v>
      </c>
      <c r="U217" t="s">
        <v>764</v>
      </c>
      <c r="V217">
        <v>40160</v>
      </c>
      <c r="W217" t="s">
        <v>43</v>
      </c>
      <c r="X217" t="s">
        <v>196</v>
      </c>
      <c r="Y217" t="s">
        <v>49</v>
      </c>
      <c r="Z217" s="12">
        <f>IF(N217&lt;=1,7,7+0.8*ROUNDUP(N217-1,0))</f>
        <v>7</v>
      </c>
      <c r="AA217" s="11">
        <v>0</v>
      </c>
      <c r="AB217" s="11">
        <v>0</v>
      </c>
      <c r="AC217" s="11">
        <v>0</v>
      </c>
      <c r="AD217" s="11">
        <v>0</v>
      </c>
      <c r="AE217" s="11">
        <f t="shared" si="6"/>
        <v>0.42</v>
      </c>
      <c r="AF217" s="11">
        <f t="shared" si="7"/>
        <v>7.42</v>
      </c>
      <c r="AG217" t="s">
        <v>43</v>
      </c>
    </row>
    <row r="218" spans="1:33" ht="15" customHeight="1" x14ac:dyDescent="0.35">
      <c r="A218">
        <v>690929</v>
      </c>
      <c r="B218" t="s">
        <v>33</v>
      </c>
      <c r="C218" t="s">
        <v>34</v>
      </c>
      <c r="D218" s="6" t="s">
        <v>33</v>
      </c>
      <c r="E218" t="s">
        <v>765</v>
      </c>
      <c r="F218" t="s">
        <v>36</v>
      </c>
      <c r="G218" t="s">
        <v>37</v>
      </c>
      <c r="H218" t="s">
        <v>766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1</v>
      </c>
      <c r="O218" s="8">
        <v>44990.659386574072</v>
      </c>
      <c r="P218" s="9">
        <v>44993</v>
      </c>
      <c r="Q218" t="s">
        <v>36</v>
      </c>
      <c r="R218" t="s">
        <v>43</v>
      </c>
      <c r="S218" t="s">
        <v>44</v>
      </c>
      <c r="T218" t="s">
        <v>45</v>
      </c>
      <c r="U218" t="s">
        <v>767</v>
      </c>
      <c r="V218">
        <v>89808</v>
      </c>
      <c r="W218" t="s">
        <v>47</v>
      </c>
      <c r="X218" t="s">
        <v>162</v>
      </c>
      <c r="Y218" t="s">
        <v>49</v>
      </c>
      <c r="Z218" s="10">
        <f>IF(N218&lt;=1,13,IF(N218&lt;=2,23,IF(N218&lt;=3,35,IF(N218&lt;=4,43,IF(N218&lt;=5,53,IF(N218&lt;=6,63,IF(N218&lt;=7,71,IF(N218&lt;=8,79,IF(N218&lt;=9,87,IF(N218&lt;=10,95,IF(N218&lt;=11,105,IF(N218&lt;=12,114,IF(N218&lt;=13,119,IF(N218&lt;=14,127,IF(N218&lt;=15,135,IF(N218&lt;=16,143,IF(N218&lt;=17,153,IF(N218&lt;=18,163,IF(N218&lt;=19,171,IF(N218&lt;=20,185,IF(N218&lt;=21,193,IF(N218&lt;=22,201,IF(N218&lt;=23,210,IF(N218&lt;=24,220,IF(N218&lt;=25,230,IF(N218&lt;=26,240,IF(N218&lt;=27,250,IF(N218&lt;=28,260,IF(N218&lt;=29,270,IF(N218&lt;=30,280,280))))))))))))))))))))))))))))))</f>
        <v>13</v>
      </c>
      <c r="AA218" s="11">
        <v>0</v>
      </c>
      <c r="AB218" s="11">
        <v>0</v>
      </c>
      <c r="AC218" s="11">
        <v>0</v>
      </c>
      <c r="AD218" s="11">
        <v>0</v>
      </c>
      <c r="AE218" s="11">
        <f t="shared" si="6"/>
        <v>0.78</v>
      </c>
      <c r="AF218" s="11">
        <f t="shared" si="7"/>
        <v>13.78</v>
      </c>
      <c r="AG218" t="s">
        <v>47</v>
      </c>
    </row>
    <row r="219" spans="1:33" ht="15" customHeight="1" x14ac:dyDescent="0.35">
      <c r="A219">
        <v>690929</v>
      </c>
      <c r="B219" t="s">
        <v>33</v>
      </c>
      <c r="C219" t="s">
        <v>34</v>
      </c>
      <c r="D219" s="6" t="s">
        <v>33</v>
      </c>
      <c r="E219" t="s">
        <v>768</v>
      </c>
      <c r="F219" t="s">
        <v>36</v>
      </c>
      <c r="G219" t="s">
        <v>37</v>
      </c>
      <c r="H219" t="s">
        <v>164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1</v>
      </c>
      <c r="O219" s="8">
        <v>44988.714259259257</v>
      </c>
      <c r="P219" s="9">
        <v>44993</v>
      </c>
      <c r="Q219" t="s">
        <v>36</v>
      </c>
      <c r="R219" t="s">
        <v>43</v>
      </c>
      <c r="S219" t="s">
        <v>44</v>
      </c>
      <c r="T219" t="s">
        <v>45</v>
      </c>
      <c r="U219" t="s">
        <v>769</v>
      </c>
      <c r="V219">
        <v>89808</v>
      </c>
      <c r="W219" t="s">
        <v>47</v>
      </c>
      <c r="X219" t="s">
        <v>162</v>
      </c>
      <c r="Y219" t="s">
        <v>49</v>
      </c>
      <c r="Z219" s="10">
        <f>IF(N219&lt;=1,13,IF(N219&lt;=2,23,IF(N219&lt;=3,35,IF(N219&lt;=4,43,IF(N219&lt;=5,53,IF(N219&lt;=6,63,IF(N219&lt;=7,71,IF(N219&lt;=8,79,IF(N219&lt;=9,87,IF(N219&lt;=10,95,IF(N219&lt;=11,105,IF(N219&lt;=12,114,IF(N219&lt;=13,119,IF(N219&lt;=14,127,IF(N219&lt;=15,135,IF(N219&lt;=16,143,IF(N219&lt;=17,153,IF(N219&lt;=18,163,IF(N219&lt;=19,171,IF(N219&lt;=20,185,IF(N219&lt;=21,193,IF(N219&lt;=22,201,IF(N219&lt;=23,210,IF(N219&lt;=24,220,IF(N219&lt;=25,230,IF(N219&lt;=26,240,IF(N219&lt;=27,250,IF(N219&lt;=28,260,IF(N219&lt;=29,270,IF(N219&lt;=30,280,280))))))))))))))))))))))))))))))</f>
        <v>13</v>
      </c>
      <c r="AA219" s="11">
        <v>0</v>
      </c>
      <c r="AB219" s="11">
        <v>0</v>
      </c>
      <c r="AC219" s="11">
        <v>0</v>
      </c>
      <c r="AD219" s="11">
        <v>0</v>
      </c>
      <c r="AE219" s="11">
        <f t="shared" si="6"/>
        <v>0.78</v>
      </c>
      <c r="AF219" s="11">
        <f t="shared" si="7"/>
        <v>13.78</v>
      </c>
      <c r="AG219" t="s">
        <v>47</v>
      </c>
    </row>
    <row r="220" spans="1:33" ht="15" customHeight="1" x14ac:dyDescent="0.35">
      <c r="A220">
        <v>690929</v>
      </c>
      <c r="B220" t="s">
        <v>33</v>
      </c>
      <c r="C220" t="s">
        <v>34</v>
      </c>
      <c r="D220" s="6" t="s">
        <v>33</v>
      </c>
      <c r="E220" t="s">
        <v>770</v>
      </c>
      <c r="F220" t="s">
        <v>36</v>
      </c>
      <c r="G220" t="s">
        <v>37</v>
      </c>
      <c r="H220" t="s">
        <v>771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1</v>
      </c>
      <c r="O220" s="8">
        <v>44988.714270833334</v>
      </c>
      <c r="P220" s="9">
        <v>44993</v>
      </c>
      <c r="Q220" t="s">
        <v>36</v>
      </c>
      <c r="R220" t="s">
        <v>43</v>
      </c>
      <c r="S220" t="s">
        <v>44</v>
      </c>
      <c r="T220" t="s">
        <v>45</v>
      </c>
      <c r="U220" t="s">
        <v>772</v>
      </c>
      <c r="V220">
        <v>89808</v>
      </c>
      <c r="W220" t="s">
        <v>47</v>
      </c>
      <c r="X220" t="s">
        <v>162</v>
      </c>
      <c r="Y220" t="s">
        <v>49</v>
      </c>
      <c r="Z220" s="10">
        <f>IF(N220&lt;=1,13,IF(N220&lt;=2,23,IF(N220&lt;=3,35,IF(N220&lt;=4,43,IF(N220&lt;=5,53,IF(N220&lt;=6,63,IF(N220&lt;=7,71,IF(N220&lt;=8,79,IF(N220&lt;=9,87,IF(N220&lt;=10,95,IF(N220&lt;=11,105,IF(N220&lt;=12,114,IF(N220&lt;=13,119,IF(N220&lt;=14,127,IF(N220&lt;=15,135,IF(N220&lt;=16,143,IF(N220&lt;=17,153,IF(N220&lt;=18,163,IF(N220&lt;=19,171,IF(N220&lt;=20,185,IF(N220&lt;=21,193,IF(N220&lt;=22,201,IF(N220&lt;=23,210,IF(N220&lt;=24,220,IF(N220&lt;=25,230,IF(N220&lt;=26,240,IF(N220&lt;=27,250,IF(N220&lt;=28,260,IF(N220&lt;=29,270,IF(N220&lt;=30,280,280))))))))))))))))))))))))))))))</f>
        <v>13</v>
      </c>
      <c r="AA220" s="11">
        <v>0</v>
      </c>
      <c r="AB220" s="11">
        <v>0</v>
      </c>
      <c r="AC220" s="11">
        <v>0</v>
      </c>
      <c r="AD220" s="11">
        <v>0</v>
      </c>
      <c r="AE220" s="11">
        <f t="shared" si="6"/>
        <v>0.78</v>
      </c>
      <c r="AF220" s="11">
        <f t="shared" si="7"/>
        <v>13.78</v>
      </c>
      <c r="AG220" t="s">
        <v>47</v>
      </c>
    </row>
    <row r="221" spans="1:33" ht="15" customHeight="1" x14ac:dyDescent="0.35">
      <c r="A221">
        <v>690929</v>
      </c>
      <c r="B221" t="s">
        <v>33</v>
      </c>
      <c r="C221" t="s">
        <v>34</v>
      </c>
      <c r="D221" s="6" t="s">
        <v>33</v>
      </c>
      <c r="E221" t="s">
        <v>773</v>
      </c>
      <c r="F221" t="s">
        <v>36</v>
      </c>
      <c r="G221" t="s">
        <v>37</v>
      </c>
      <c r="H221" t="s">
        <v>581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1</v>
      </c>
      <c r="O221" s="8">
        <v>44988.714270833334</v>
      </c>
      <c r="P221" s="9">
        <v>44993</v>
      </c>
      <c r="Q221" t="s">
        <v>36</v>
      </c>
      <c r="R221" t="s">
        <v>43</v>
      </c>
      <c r="S221" t="s">
        <v>44</v>
      </c>
      <c r="T221" t="s">
        <v>45</v>
      </c>
      <c r="U221" t="s">
        <v>582</v>
      </c>
      <c r="V221">
        <v>89808</v>
      </c>
      <c r="W221" t="s">
        <v>47</v>
      </c>
      <c r="X221" t="s">
        <v>162</v>
      </c>
      <c r="Y221" t="s">
        <v>49</v>
      </c>
      <c r="Z221" s="10">
        <f>IF(N221&lt;=1,13,IF(N221&lt;=2,23,IF(N221&lt;=3,35,IF(N221&lt;=4,43,IF(N221&lt;=5,53,IF(N221&lt;=6,63,IF(N221&lt;=7,71,IF(N221&lt;=8,79,IF(N221&lt;=9,87,IF(N221&lt;=10,95,IF(N221&lt;=11,105,IF(N221&lt;=12,114,IF(N221&lt;=13,119,IF(N221&lt;=14,127,IF(N221&lt;=15,135,IF(N221&lt;=16,143,IF(N221&lt;=17,153,IF(N221&lt;=18,163,IF(N221&lt;=19,171,IF(N221&lt;=20,185,IF(N221&lt;=21,193,IF(N221&lt;=22,201,IF(N221&lt;=23,210,IF(N221&lt;=24,220,IF(N221&lt;=25,230,IF(N221&lt;=26,240,IF(N221&lt;=27,250,IF(N221&lt;=28,260,IF(N221&lt;=29,270,IF(N221&lt;=30,280,280))))))))))))))))))))))))))))))</f>
        <v>13</v>
      </c>
      <c r="AA221" s="11">
        <v>0</v>
      </c>
      <c r="AB221" s="11">
        <v>0</v>
      </c>
      <c r="AC221" s="11">
        <v>0</v>
      </c>
      <c r="AD221" s="11">
        <v>0</v>
      </c>
      <c r="AE221" s="11">
        <f t="shared" si="6"/>
        <v>0.78</v>
      </c>
      <c r="AF221" s="11">
        <f t="shared" si="7"/>
        <v>13.78</v>
      </c>
      <c r="AG221" t="s">
        <v>47</v>
      </c>
    </row>
    <row r="222" spans="1:33" ht="15" customHeight="1" x14ac:dyDescent="0.35">
      <c r="A222">
        <v>690929</v>
      </c>
      <c r="B222" t="s">
        <v>33</v>
      </c>
      <c r="C222" t="s">
        <v>34</v>
      </c>
      <c r="D222" s="6" t="s">
        <v>33</v>
      </c>
      <c r="E222" t="s">
        <v>774</v>
      </c>
      <c r="F222" t="s">
        <v>36</v>
      </c>
      <c r="G222" t="s">
        <v>37</v>
      </c>
      <c r="H222" t="s">
        <v>661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1</v>
      </c>
      <c r="O222" s="8">
        <v>44990.659386574072</v>
      </c>
      <c r="P222" s="9">
        <v>44993</v>
      </c>
      <c r="Q222" t="s">
        <v>36</v>
      </c>
      <c r="R222" t="s">
        <v>43</v>
      </c>
      <c r="S222" t="s">
        <v>44</v>
      </c>
      <c r="T222" t="s">
        <v>45</v>
      </c>
      <c r="U222" t="s">
        <v>662</v>
      </c>
      <c r="V222">
        <v>89808</v>
      </c>
      <c r="W222" t="s">
        <v>47</v>
      </c>
      <c r="X222" t="s">
        <v>162</v>
      </c>
      <c r="Y222" t="s">
        <v>49</v>
      </c>
      <c r="Z222" s="10">
        <f>IF(N222&lt;=1,13,IF(N222&lt;=2,23,IF(N222&lt;=3,35,IF(N222&lt;=4,43,IF(N222&lt;=5,53,IF(N222&lt;=6,63,IF(N222&lt;=7,71,IF(N222&lt;=8,79,IF(N222&lt;=9,87,IF(N222&lt;=10,95,IF(N222&lt;=11,105,IF(N222&lt;=12,114,IF(N222&lt;=13,119,IF(N222&lt;=14,127,IF(N222&lt;=15,135,IF(N222&lt;=16,143,IF(N222&lt;=17,153,IF(N222&lt;=18,163,IF(N222&lt;=19,171,IF(N222&lt;=20,185,IF(N222&lt;=21,193,IF(N222&lt;=22,201,IF(N222&lt;=23,210,IF(N222&lt;=24,220,IF(N222&lt;=25,230,IF(N222&lt;=26,240,IF(N222&lt;=27,250,IF(N222&lt;=28,260,IF(N222&lt;=29,270,IF(N222&lt;=30,280,280))))))))))))))))))))))))))))))</f>
        <v>13</v>
      </c>
      <c r="AA222" s="11">
        <v>0</v>
      </c>
      <c r="AB222" s="11">
        <v>0</v>
      </c>
      <c r="AC222" s="11">
        <v>0</v>
      </c>
      <c r="AD222" s="11">
        <v>0</v>
      </c>
      <c r="AE222" s="11">
        <f t="shared" si="6"/>
        <v>0.78</v>
      </c>
      <c r="AF222" s="11">
        <f t="shared" si="7"/>
        <v>13.78</v>
      </c>
      <c r="AG222" t="s">
        <v>47</v>
      </c>
    </row>
    <row r="223" spans="1:33" ht="15" customHeight="1" x14ac:dyDescent="0.35">
      <c r="A223">
        <v>690929</v>
      </c>
      <c r="B223" t="s">
        <v>33</v>
      </c>
      <c r="C223" t="s">
        <v>34</v>
      </c>
      <c r="D223" s="6" t="s">
        <v>33</v>
      </c>
      <c r="E223" t="s">
        <v>775</v>
      </c>
      <c r="F223" t="s">
        <v>36</v>
      </c>
      <c r="G223" t="s">
        <v>37</v>
      </c>
      <c r="H223" t="s">
        <v>776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1</v>
      </c>
      <c r="O223" s="8">
        <v>44992.673634259256</v>
      </c>
      <c r="P223" s="9">
        <v>44993</v>
      </c>
      <c r="Q223" t="s">
        <v>36</v>
      </c>
      <c r="R223" t="s">
        <v>43</v>
      </c>
      <c r="S223" t="s">
        <v>44</v>
      </c>
      <c r="T223" t="s">
        <v>79</v>
      </c>
      <c r="U223" t="s">
        <v>777</v>
      </c>
      <c r="V223">
        <v>16800</v>
      </c>
      <c r="W223" t="s">
        <v>43</v>
      </c>
      <c r="X223" t="s">
        <v>44</v>
      </c>
      <c r="Y223" t="s">
        <v>49</v>
      </c>
      <c r="Z223" s="12">
        <f>IF(N223&lt;=1,7,7+0.8*ROUNDUP(N223-1,0))</f>
        <v>7</v>
      </c>
      <c r="AA223" s="11">
        <v>0</v>
      </c>
      <c r="AB223" s="11">
        <v>0</v>
      </c>
      <c r="AC223" s="11">
        <v>0</v>
      </c>
      <c r="AD223" s="11">
        <v>0</v>
      </c>
      <c r="AE223" s="11">
        <f t="shared" si="6"/>
        <v>0.42</v>
      </c>
      <c r="AF223" s="11">
        <f t="shared" si="7"/>
        <v>7.42</v>
      </c>
      <c r="AG223" t="s">
        <v>43</v>
      </c>
    </row>
    <row r="224" spans="1:33" ht="15" customHeight="1" x14ac:dyDescent="0.35">
      <c r="A224">
        <v>690929</v>
      </c>
      <c r="B224" t="s">
        <v>33</v>
      </c>
      <c r="C224" t="s">
        <v>34</v>
      </c>
      <c r="D224" s="6" t="s">
        <v>33</v>
      </c>
      <c r="E224" t="s">
        <v>778</v>
      </c>
      <c r="F224" t="s">
        <v>36</v>
      </c>
      <c r="G224" t="s">
        <v>37</v>
      </c>
      <c r="H224" t="s">
        <v>779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1</v>
      </c>
      <c r="O224" s="8">
        <v>44988.714270833334</v>
      </c>
      <c r="P224" s="9">
        <v>44993</v>
      </c>
      <c r="Q224" t="s">
        <v>36</v>
      </c>
      <c r="R224" t="s">
        <v>43</v>
      </c>
      <c r="S224" t="s">
        <v>44</v>
      </c>
      <c r="T224" t="s">
        <v>45</v>
      </c>
      <c r="U224" t="s">
        <v>780</v>
      </c>
      <c r="V224">
        <v>88450</v>
      </c>
      <c r="W224" t="s">
        <v>47</v>
      </c>
      <c r="X224" t="s">
        <v>48</v>
      </c>
      <c r="Y224" t="s">
        <v>49</v>
      </c>
      <c r="Z224" s="10">
        <f>IF(N224&lt;=1,13,IF(N224&lt;=2,23,IF(N224&lt;=3,35,IF(N224&lt;=4,43,IF(N224&lt;=5,53,IF(N224&lt;=6,63,IF(N224&lt;=7,71,IF(N224&lt;=8,79,IF(N224&lt;=9,87,IF(N224&lt;=10,95,IF(N224&lt;=11,105,IF(N224&lt;=12,114,IF(N224&lt;=13,119,IF(N224&lt;=14,127,IF(N224&lt;=15,135,IF(N224&lt;=16,143,IF(N224&lt;=17,153,IF(N224&lt;=18,163,IF(N224&lt;=19,171,IF(N224&lt;=20,185,IF(N224&lt;=21,193,IF(N224&lt;=22,201,IF(N224&lt;=23,210,IF(N224&lt;=24,220,IF(N224&lt;=25,230,IF(N224&lt;=26,240,IF(N224&lt;=27,250,IF(N224&lt;=28,260,IF(N224&lt;=29,270,IF(N224&lt;=30,280,280))))))))))))))))))))))))))))))</f>
        <v>13</v>
      </c>
      <c r="AA224" s="11">
        <v>0</v>
      </c>
      <c r="AB224" s="11">
        <v>0</v>
      </c>
      <c r="AC224" s="11">
        <v>0</v>
      </c>
      <c r="AD224" s="11">
        <v>0</v>
      </c>
      <c r="AE224" s="11">
        <f t="shared" si="6"/>
        <v>0.78</v>
      </c>
      <c r="AF224" s="11">
        <f t="shared" si="7"/>
        <v>13.78</v>
      </c>
      <c r="AG224" t="s">
        <v>47</v>
      </c>
    </row>
    <row r="225" spans="1:33" ht="15" customHeight="1" x14ac:dyDescent="0.35">
      <c r="A225">
        <v>690929</v>
      </c>
      <c r="B225" t="s">
        <v>33</v>
      </c>
      <c r="C225" t="s">
        <v>34</v>
      </c>
      <c r="D225" s="6" t="s">
        <v>33</v>
      </c>
      <c r="E225" t="s">
        <v>781</v>
      </c>
      <c r="F225" t="s">
        <v>36</v>
      </c>
      <c r="G225" t="s">
        <v>37</v>
      </c>
      <c r="H225" t="s">
        <v>782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1</v>
      </c>
      <c r="O225" s="8">
        <v>44991.500983796293</v>
      </c>
      <c r="P225" s="9">
        <v>44993</v>
      </c>
      <c r="Q225" t="s">
        <v>36</v>
      </c>
      <c r="R225" t="s">
        <v>43</v>
      </c>
      <c r="S225" t="s">
        <v>44</v>
      </c>
      <c r="T225" t="s">
        <v>137</v>
      </c>
      <c r="U225" t="s">
        <v>783</v>
      </c>
      <c r="V225">
        <v>31400</v>
      </c>
      <c r="W225" t="s">
        <v>43</v>
      </c>
      <c r="X225" t="s">
        <v>276</v>
      </c>
      <c r="Y225" t="s">
        <v>49</v>
      </c>
      <c r="Z225" s="12">
        <f>IF(N225&lt;=1,7,7+0.8*ROUNDUP(N225-1,0))</f>
        <v>7</v>
      </c>
      <c r="AA225" s="11">
        <v>0</v>
      </c>
      <c r="AB225" s="11">
        <v>0</v>
      </c>
      <c r="AC225" s="11">
        <v>0</v>
      </c>
      <c r="AD225" s="11">
        <v>0</v>
      </c>
      <c r="AE225" s="11">
        <f t="shared" si="6"/>
        <v>0.42</v>
      </c>
      <c r="AF225" s="11">
        <f t="shared" si="7"/>
        <v>7.42</v>
      </c>
      <c r="AG225" t="s">
        <v>43</v>
      </c>
    </row>
    <row r="226" spans="1:33" ht="15" customHeight="1" x14ac:dyDescent="0.35">
      <c r="A226">
        <v>690929</v>
      </c>
      <c r="B226" t="s">
        <v>33</v>
      </c>
      <c r="C226" t="s">
        <v>34</v>
      </c>
      <c r="D226" s="6" t="s">
        <v>33</v>
      </c>
      <c r="E226" t="s">
        <v>784</v>
      </c>
      <c r="F226" t="s">
        <v>36</v>
      </c>
      <c r="G226" t="s">
        <v>37</v>
      </c>
      <c r="H226" t="s">
        <v>785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1</v>
      </c>
      <c r="O226" s="8">
        <v>44992.675127314818</v>
      </c>
      <c r="P226" s="9">
        <v>44993</v>
      </c>
      <c r="Q226" t="s">
        <v>36</v>
      </c>
      <c r="R226" t="s">
        <v>43</v>
      </c>
      <c r="S226" t="s">
        <v>44</v>
      </c>
      <c r="T226" t="s">
        <v>92</v>
      </c>
      <c r="U226" t="s">
        <v>786</v>
      </c>
      <c r="V226">
        <v>24200</v>
      </c>
      <c r="W226" t="s">
        <v>43</v>
      </c>
      <c r="X226" t="s">
        <v>321</v>
      </c>
      <c r="Y226" t="s">
        <v>49</v>
      </c>
      <c r="Z226" s="12">
        <f>IF(N226&lt;=1,7,7+0.8*ROUNDUP(N226-1,0))</f>
        <v>7</v>
      </c>
      <c r="AA226" s="11">
        <v>0</v>
      </c>
      <c r="AB226" s="11">
        <v>0</v>
      </c>
      <c r="AC226" s="11">
        <v>0</v>
      </c>
      <c r="AD226" s="11">
        <v>0</v>
      </c>
      <c r="AE226" s="11">
        <f t="shared" si="6"/>
        <v>0.42</v>
      </c>
      <c r="AF226" s="11">
        <f t="shared" si="7"/>
        <v>7.42</v>
      </c>
      <c r="AG226" t="s">
        <v>43</v>
      </c>
    </row>
    <row r="227" spans="1:33" ht="15" customHeight="1" x14ac:dyDescent="0.35">
      <c r="A227">
        <v>690929</v>
      </c>
      <c r="B227" t="s">
        <v>33</v>
      </c>
      <c r="C227" t="s">
        <v>34</v>
      </c>
      <c r="D227" s="6" t="s">
        <v>33</v>
      </c>
      <c r="E227" t="s">
        <v>787</v>
      </c>
      <c r="F227" t="s">
        <v>36</v>
      </c>
      <c r="G227" t="s">
        <v>37</v>
      </c>
      <c r="H227" t="s">
        <v>788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1</v>
      </c>
      <c r="O227" s="8">
        <v>44992.393854166665</v>
      </c>
      <c r="P227" s="9">
        <v>44993</v>
      </c>
      <c r="Q227" t="s">
        <v>36</v>
      </c>
      <c r="R227" t="s">
        <v>43</v>
      </c>
      <c r="S227" t="s">
        <v>44</v>
      </c>
      <c r="T227" t="s">
        <v>52</v>
      </c>
      <c r="U227" t="s">
        <v>789</v>
      </c>
      <c r="V227">
        <v>68100</v>
      </c>
      <c r="W227" t="s">
        <v>43</v>
      </c>
      <c r="X227" t="s">
        <v>467</v>
      </c>
      <c r="Y227" t="s">
        <v>49</v>
      </c>
      <c r="Z227" s="12">
        <f>IF(N227&lt;=1,7,7+0.8*ROUNDUP(N227-1,0))</f>
        <v>7</v>
      </c>
      <c r="AA227" s="11">
        <v>0</v>
      </c>
      <c r="AB227" s="11">
        <v>0</v>
      </c>
      <c r="AC227" s="11">
        <v>0</v>
      </c>
      <c r="AD227" s="11">
        <v>0</v>
      </c>
      <c r="AE227" s="11">
        <f t="shared" si="6"/>
        <v>0.42</v>
      </c>
      <c r="AF227" s="11">
        <f t="shared" si="7"/>
        <v>7.42</v>
      </c>
      <c r="AG227" t="s">
        <v>43</v>
      </c>
    </row>
    <row r="228" spans="1:33" ht="15" customHeight="1" x14ac:dyDescent="0.35">
      <c r="A228">
        <v>690929</v>
      </c>
      <c r="B228" t="s">
        <v>33</v>
      </c>
      <c r="C228" t="s">
        <v>34</v>
      </c>
      <c r="D228" s="6" t="s">
        <v>33</v>
      </c>
      <c r="E228" t="s">
        <v>790</v>
      </c>
      <c r="F228" t="s">
        <v>36</v>
      </c>
      <c r="G228" t="s">
        <v>37</v>
      </c>
      <c r="H228" t="s">
        <v>791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1</v>
      </c>
      <c r="O228" s="8">
        <v>44991.500972222224</v>
      </c>
      <c r="P228" s="9">
        <v>44993</v>
      </c>
      <c r="Q228" t="s">
        <v>36</v>
      </c>
      <c r="R228" t="s">
        <v>43</v>
      </c>
      <c r="S228" t="s">
        <v>44</v>
      </c>
      <c r="T228" t="s">
        <v>316</v>
      </c>
      <c r="U228" t="s">
        <v>792</v>
      </c>
      <c r="V228">
        <v>11020</v>
      </c>
      <c r="W228" t="s">
        <v>43</v>
      </c>
      <c r="X228" t="s">
        <v>793</v>
      </c>
      <c r="Y228" t="s">
        <v>49</v>
      </c>
      <c r="Z228" s="12">
        <f>IF(N228&lt;=1,7,7+0.8*ROUNDUP(N228-1,0))</f>
        <v>7</v>
      </c>
      <c r="AA228" s="11">
        <v>0</v>
      </c>
      <c r="AB228" s="11">
        <v>0</v>
      </c>
      <c r="AC228" s="11">
        <v>0</v>
      </c>
      <c r="AD228" s="11">
        <v>0</v>
      </c>
      <c r="AE228" s="11">
        <f t="shared" si="6"/>
        <v>0.42</v>
      </c>
      <c r="AF228" s="11">
        <f t="shared" si="7"/>
        <v>7.42</v>
      </c>
      <c r="AG228" t="s">
        <v>43</v>
      </c>
    </row>
    <row r="229" spans="1:33" ht="15" customHeight="1" x14ac:dyDescent="0.35">
      <c r="A229">
        <v>690929</v>
      </c>
      <c r="B229" t="s">
        <v>33</v>
      </c>
      <c r="C229" t="s">
        <v>34</v>
      </c>
      <c r="D229" s="6" t="s">
        <v>33</v>
      </c>
      <c r="E229" t="s">
        <v>794</v>
      </c>
      <c r="F229" t="s">
        <v>36</v>
      </c>
      <c r="G229" t="s">
        <v>37</v>
      </c>
      <c r="H229" t="s">
        <v>795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1</v>
      </c>
      <c r="O229" s="8">
        <v>44988.714259259257</v>
      </c>
      <c r="P229" s="9">
        <v>44993</v>
      </c>
      <c r="Q229" t="s">
        <v>36</v>
      </c>
      <c r="R229" t="s">
        <v>43</v>
      </c>
      <c r="S229" t="s">
        <v>44</v>
      </c>
      <c r="T229" t="s">
        <v>45</v>
      </c>
      <c r="U229" t="s">
        <v>796</v>
      </c>
      <c r="V229">
        <v>89600</v>
      </c>
      <c r="W229" t="s">
        <v>47</v>
      </c>
      <c r="X229" t="s">
        <v>797</v>
      </c>
      <c r="Y229" t="s">
        <v>49</v>
      </c>
      <c r="Z229" s="10">
        <f>IF(N229&lt;=1,13,IF(N229&lt;=2,23,IF(N229&lt;=3,35,IF(N229&lt;=4,43,IF(N229&lt;=5,53,IF(N229&lt;=6,63,IF(N229&lt;=7,71,IF(N229&lt;=8,79,IF(N229&lt;=9,87,IF(N229&lt;=10,95,IF(N229&lt;=11,105,IF(N229&lt;=12,114,IF(N229&lt;=13,119,IF(N229&lt;=14,127,IF(N229&lt;=15,135,IF(N229&lt;=16,143,IF(N229&lt;=17,153,IF(N229&lt;=18,163,IF(N229&lt;=19,171,IF(N229&lt;=20,185,IF(N229&lt;=21,193,IF(N229&lt;=22,201,IF(N229&lt;=23,210,IF(N229&lt;=24,220,IF(N229&lt;=25,230,IF(N229&lt;=26,240,IF(N229&lt;=27,250,IF(N229&lt;=28,260,IF(N229&lt;=29,270,IF(N229&lt;=30,280,280))))))))))))))))))))))))))))))</f>
        <v>13</v>
      </c>
      <c r="AA229" s="11">
        <v>0</v>
      </c>
      <c r="AB229" s="11">
        <v>0</v>
      </c>
      <c r="AC229" s="11">
        <v>0</v>
      </c>
      <c r="AD229" s="11">
        <v>0</v>
      </c>
      <c r="AE229" s="11">
        <f t="shared" si="6"/>
        <v>0.78</v>
      </c>
      <c r="AF229" s="11">
        <f t="shared" si="7"/>
        <v>13.78</v>
      </c>
      <c r="AG229" t="s">
        <v>47</v>
      </c>
    </row>
    <row r="230" spans="1:33" ht="15" customHeight="1" x14ac:dyDescent="0.35">
      <c r="A230">
        <v>690929</v>
      </c>
      <c r="B230" t="s">
        <v>33</v>
      </c>
      <c r="C230" t="s">
        <v>34</v>
      </c>
      <c r="D230" s="6" t="s">
        <v>33</v>
      </c>
      <c r="E230" t="s">
        <v>798</v>
      </c>
      <c r="F230" t="s">
        <v>36</v>
      </c>
      <c r="G230" t="s">
        <v>37</v>
      </c>
      <c r="H230" t="s">
        <v>799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1</v>
      </c>
      <c r="O230" s="8">
        <v>44992.674108796295</v>
      </c>
      <c r="P230" s="9">
        <v>44993</v>
      </c>
      <c r="Q230" t="s">
        <v>36</v>
      </c>
      <c r="R230" t="s">
        <v>43</v>
      </c>
      <c r="S230" t="s">
        <v>44</v>
      </c>
      <c r="T230" t="s">
        <v>79</v>
      </c>
      <c r="U230" t="s">
        <v>800</v>
      </c>
      <c r="V230">
        <v>17500</v>
      </c>
      <c r="W230" t="s">
        <v>43</v>
      </c>
      <c r="X230" t="s">
        <v>44</v>
      </c>
      <c r="Y230" t="s">
        <v>49</v>
      </c>
      <c r="Z230" s="12">
        <f>IF(N230&lt;=1,7,7+0.8*ROUNDUP(N230-1,0))</f>
        <v>7</v>
      </c>
      <c r="AA230" s="11">
        <v>0</v>
      </c>
      <c r="AB230" s="11">
        <v>0</v>
      </c>
      <c r="AC230" s="11">
        <v>0</v>
      </c>
      <c r="AD230" s="11">
        <v>0</v>
      </c>
      <c r="AE230" s="11">
        <f t="shared" si="6"/>
        <v>0.42</v>
      </c>
      <c r="AF230" s="11">
        <f t="shared" si="7"/>
        <v>7.42</v>
      </c>
      <c r="AG230" t="s">
        <v>43</v>
      </c>
    </row>
    <row r="231" spans="1:33" ht="15" customHeight="1" x14ac:dyDescent="0.35">
      <c r="A231">
        <v>690929</v>
      </c>
      <c r="B231" t="s">
        <v>33</v>
      </c>
      <c r="C231" t="s">
        <v>34</v>
      </c>
      <c r="D231" s="6" t="s">
        <v>33</v>
      </c>
      <c r="E231" t="s">
        <v>801</v>
      </c>
      <c r="F231" t="s">
        <v>36</v>
      </c>
      <c r="G231" t="s">
        <v>37</v>
      </c>
      <c r="H231" t="s">
        <v>802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1</v>
      </c>
      <c r="O231" s="8">
        <v>44991.500972222224</v>
      </c>
      <c r="P231" s="9">
        <v>44993</v>
      </c>
      <c r="Q231" t="s">
        <v>36</v>
      </c>
      <c r="R231" t="s">
        <v>43</v>
      </c>
      <c r="S231" t="s">
        <v>44</v>
      </c>
      <c r="T231" t="s">
        <v>316</v>
      </c>
      <c r="U231" t="s">
        <v>803</v>
      </c>
      <c r="V231">
        <v>11920</v>
      </c>
      <c r="W231" t="s">
        <v>43</v>
      </c>
      <c r="X231" t="s">
        <v>793</v>
      </c>
      <c r="Y231" t="s">
        <v>49</v>
      </c>
      <c r="Z231" s="12">
        <f>IF(N231&lt;=1,7,7+0.8*ROUNDUP(N231-1,0))</f>
        <v>7</v>
      </c>
      <c r="AA231" s="11">
        <v>0</v>
      </c>
      <c r="AB231" s="11">
        <v>0</v>
      </c>
      <c r="AC231" s="11">
        <v>0</v>
      </c>
      <c r="AD231" s="11">
        <v>0</v>
      </c>
      <c r="AE231" s="11">
        <f t="shared" si="6"/>
        <v>0.42</v>
      </c>
      <c r="AF231" s="11">
        <f t="shared" si="7"/>
        <v>7.42</v>
      </c>
      <c r="AG231" t="s">
        <v>43</v>
      </c>
    </row>
    <row r="232" spans="1:33" ht="15" customHeight="1" x14ac:dyDescent="0.35">
      <c r="A232">
        <v>690929</v>
      </c>
      <c r="B232" t="s">
        <v>33</v>
      </c>
      <c r="C232" t="s">
        <v>34</v>
      </c>
      <c r="D232" s="6" t="s">
        <v>33</v>
      </c>
      <c r="E232" t="s">
        <v>804</v>
      </c>
      <c r="F232" t="s">
        <v>36</v>
      </c>
      <c r="G232" t="s">
        <v>37</v>
      </c>
      <c r="H232" t="s">
        <v>805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13</v>
      </c>
      <c r="O232" s="8">
        <v>44991.748379629629</v>
      </c>
      <c r="P232" s="9">
        <v>44993</v>
      </c>
      <c r="Q232" t="s">
        <v>36</v>
      </c>
      <c r="R232" t="s">
        <v>43</v>
      </c>
      <c r="S232" t="s">
        <v>44</v>
      </c>
      <c r="T232" t="s">
        <v>99</v>
      </c>
      <c r="U232" t="s">
        <v>806</v>
      </c>
      <c r="V232">
        <v>71800</v>
      </c>
      <c r="W232" t="s">
        <v>43</v>
      </c>
      <c r="X232" t="s">
        <v>461</v>
      </c>
      <c r="Y232" t="s">
        <v>49</v>
      </c>
      <c r="Z232" s="12">
        <f>IF(N232&lt;=1,7,7+0.8*ROUNDUP(N232-1,0))</f>
        <v>16.600000000000001</v>
      </c>
      <c r="AA232" s="11">
        <v>0</v>
      </c>
      <c r="AB232" s="11">
        <v>0</v>
      </c>
      <c r="AC232" s="11">
        <v>0</v>
      </c>
      <c r="AD232" s="11">
        <v>0</v>
      </c>
      <c r="AE232" s="11">
        <f t="shared" si="6"/>
        <v>0.996</v>
      </c>
      <c r="AF232" s="11">
        <f t="shared" si="7"/>
        <v>17.596</v>
      </c>
      <c r="AG232" t="s">
        <v>43</v>
      </c>
    </row>
    <row r="233" spans="1:33" ht="15" customHeight="1" x14ac:dyDescent="0.35">
      <c r="A233">
        <v>690929</v>
      </c>
      <c r="B233" t="s">
        <v>33</v>
      </c>
      <c r="C233" t="s">
        <v>34</v>
      </c>
      <c r="D233" s="6" t="s">
        <v>33</v>
      </c>
      <c r="E233" t="s">
        <v>807</v>
      </c>
      <c r="F233" t="s">
        <v>36</v>
      </c>
      <c r="G233" t="s">
        <v>37</v>
      </c>
      <c r="H233" t="s">
        <v>805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12</v>
      </c>
      <c r="O233" s="8">
        <v>44991.749502314815</v>
      </c>
      <c r="P233" s="9">
        <v>44993</v>
      </c>
      <c r="Q233" t="s">
        <v>36</v>
      </c>
      <c r="R233" t="s">
        <v>43</v>
      </c>
      <c r="S233" t="s">
        <v>44</v>
      </c>
      <c r="T233" t="s">
        <v>99</v>
      </c>
      <c r="U233" t="s">
        <v>806</v>
      </c>
      <c r="V233">
        <v>71800</v>
      </c>
      <c r="W233" t="s">
        <v>43</v>
      </c>
      <c r="X233" t="s">
        <v>461</v>
      </c>
      <c r="Y233" t="s">
        <v>49</v>
      </c>
      <c r="Z233" s="12">
        <f>IF(N233&lt;=1,7,7+0.8*ROUNDUP(N233-1,0))</f>
        <v>15.8</v>
      </c>
      <c r="AA233" s="11">
        <v>0</v>
      </c>
      <c r="AB233" s="11">
        <v>0</v>
      </c>
      <c r="AC233" s="11">
        <v>0</v>
      </c>
      <c r="AD233" s="11">
        <v>0</v>
      </c>
      <c r="AE233" s="11">
        <f t="shared" si="6"/>
        <v>0.94799999999999995</v>
      </c>
      <c r="AF233" s="11">
        <f t="shared" si="7"/>
        <v>16.748000000000001</v>
      </c>
      <c r="AG233" t="s">
        <v>43</v>
      </c>
    </row>
    <row r="234" spans="1:33" ht="15" customHeight="1" x14ac:dyDescent="0.35">
      <c r="A234">
        <v>690929</v>
      </c>
      <c r="B234" t="s">
        <v>33</v>
      </c>
      <c r="C234" t="s">
        <v>34</v>
      </c>
      <c r="D234" s="6" t="s">
        <v>33</v>
      </c>
      <c r="E234" t="s">
        <v>808</v>
      </c>
      <c r="F234" t="s">
        <v>36</v>
      </c>
      <c r="G234" t="s">
        <v>37</v>
      </c>
      <c r="H234" t="s">
        <v>809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1</v>
      </c>
      <c r="O234" s="8">
        <v>44990.759270833332</v>
      </c>
      <c r="P234" s="9">
        <v>44993</v>
      </c>
      <c r="Q234" t="s">
        <v>36</v>
      </c>
      <c r="R234" t="s">
        <v>43</v>
      </c>
      <c r="S234" t="s">
        <v>44</v>
      </c>
      <c r="T234" t="s">
        <v>316</v>
      </c>
      <c r="U234" t="s">
        <v>810</v>
      </c>
      <c r="V234">
        <v>13200</v>
      </c>
      <c r="W234" t="s">
        <v>43</v>
      </c>
      <c r="X234" t="s">
        <v>381</v>
      </c>
      <c r="Y234" t="s">
        <v>49</v>
      </c>
      <c r="Z234" s="12">
        <f>IF(N234&lt;=1,7,7+0.8*ROUNDUP(N234-1,0))</f>
        <v>7</v>
      </c>
      <c r="AA234" s="11">
        <v>0</v>
      </c>
      <c r="AB234" s="11">
        <v>0</v>
      </c>
      <c r="AC234" s="11">
        <v>0</v>
      </c>
      <c r="AD234" s="11">
        <v>0</v>
      </c>
      <c r="AE234" s="11">
        <f t="shared" si="6"/>
        <v>0.42</v>
      </c>
      <c r="AF234" s="11">
        <f t="shared" si="7"/>
        <v>7.42</v>
      </c>
      <c r="AG234" t="s">
        <v>43</v>
      </c>
    </row>
    <row r="235" spans="1:33" ht="15" customHeight="1" x14ac:dyDescent="0.35">
      <c r="A235">
        <v>690929</v>
      </c>
      <c r="B235" t="s">
        <v>33</v>
      </c>
      <c r="C235" t="s">
        <v>34</v>
      </c>
      <c r="D235" s="6" t="s">
        <v>33</v>
      </c>
      <c r="E235" t="s">
        <v>811</v>
      </c>
      <c r="F235" t="s">
        <v>36</v>
      </c>
      <c r="G235" t="s">
        <v>37</v>
      </c>
      <c r="H235" t="s">
        <v>812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1</v>
      </c>
      <c r="O235" s="8">
        <v>44991.500972222224</v>
      </c>
      <c r="P235" s="9">
        <v>44993</v>
      </c>
      <c r="Q235" t="s">
        <v>36</v>
      </c>
      <c r="R235" t="s">
        <v>43</v>
      </c>
      <c r="S235" t="s">
        <v>44</v>
      </c>
      <c r="T235" t="s">
        <v>316</v>
      </c>
      <c r="U235" t="s">
        <v>813</v>
      </c>
      <c r="V235">
        <v>13700</v>
      </c>
      <c r="W235" t="s">
        <v>43</v>
      </c>
      <c r="X235" t="s">
        <v>62</v>
      </c>
      <c r="Y235" t="s">
        <v>49</v>
      </c>
      <c r="Z235" s="12">
        <f>IF(N235&lt;=1,7,7+0.8*ROUNDUP(N235-1,0))</f>
        <v>7</v>
      </c>
      <c r="AA235" s="11">
        <v>0</v>
      </c>
      <c r="AB235" s="11">
        <v>0</v>
      </c>
      <c r="AC235" s="11">
        <v>0</v>
      </c>
      <c r="AD235" s="11">
        <v>0</v>
      </c>
      <c r="AE235" s="11">
        <f t="shared" si="6"/>
        <v>0.42</v>
      </c>
      <c r="AF235" s="11">
        <f t="shared" si="7"/>
        <v>7.42</v>
      </c>
      <c r="AG235" t="s">
        <v>43</v>
      </c>
    </row>
    <row r="236" spans="1:33" ht="15" customHeight="1" x14ac:dyDescent="0.35">
      <c r="A236">
        <v>690929</v>
      </c>
      <c r="B236" t="s">
        <v>33</v>
      </c>
      <c r="C236" t="s">
        <v>34</v>
      </c>
      <c r="D236" s="6" t="s">
        <v>33</v>
      </c>
      <c r="E236" t="s">
        <v>814</v>
      </c>
      <c r="F236" t="s">
        <v>36</v>
      </c>
      <c r="G236" t="s">
        <v>37</v>
      </c>
      <c r="H236" t="s">
        <v>815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1</v>
      </c>
      <c r="O236" s="8">
        <v>44992.393854166665</v>
      </c>
      <c r="P236" s="9">
        <v>44993</v>
      </c>
      <c r="Q236" t="s">
        <v>36</v>
      </c>
      <c r="R236" t="s">
        <v>43</v>
      </c>
      <c r="S236" t="s">
        <v>44</v>
      </c>
      <c r="T236" t="s">
        <v>65</v>
      </c>
      <c r="U236" t="s">
        <v>816</v>
      </c>
      <c r="V236">
        <v>28000</v>
      </c>
      <c r="W236" t="s">
        <v>43</v>
      </c>
      <c r="X236" t="s">
        <v>44</v>
      </c>
      <c r="Y236" t="s">
        <v>49</v>
      </c>
      <c r="Z236" s="12">
        <f>IF(N236&lt;=1,7,7+0.8*ROUNDUP(N236-1,0))</f>
        <v>7</v>
      </c>
      <c r="AA236" s="11">
        <v>0</v>
      </c>
      <c r="AB236" s="11">
        <v>0</v>
      </c>
      <c r="AC236" s="11">
        <v>0</v>
      </c>
      <c r="AD236" s="11">
        <v>0</v>
      </c>
      <c r="AE236" s="11">
        <f t="shared" si="6"/>
        <v>0.42</v>
      </c>
      <c r="AF236" s="11">
        <f t="shared" si="7"/>
        <v>7.42</v>
      </c>
      <c r="AG236" t="s">
        <v>43</v>
      </c>
    </row>
    <row r="237" spans="1:33" ht="15" customHeight="1" x14ac:dyDescent="0.35">
      <c r="A237">
        <v>690929</v>
      </c>
      <c r="B237" t="s">
        <v>33</v>
      </c>
      <c r="C237" t="s">
        <v>34</v>
      </c>
      <c r="D237" s="6" t="s">
        <v>33</v>
      </c>
      <c r="E237" t="s">
        <v>817</v>
      </c>
      <c r="F237" t="s">
        <v>36</v>
      </c>
      <c r="G237" t="s">
        <v>37</v>
      </c>
      <c r="H237" t="s">
        <v>818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2</v>
      </c>
      <c r="O237" s="8">
        <v>44988.750821759262</v>
      </c>
      <c r="P237" s="9">
        <v>44993</v>
      </c>
      <c r="Q237" t="s">
        <v>36</v>
      </c>
      <c r="R237" t="s">
        <v>43</v>
      </c>
      <c r="S237" t="s">
        <v>44</v>
      </c>
      <c r="T237" t="s">
        <v>149</v>
      </c>
      <c r="U237" t="s">
        <v>819</v>
      </c>
      <c r="V237">
        <v>6000</v>
      </c>
      <c r="W237" t="s">
        <v>43</v>
      </c>
      <c r="X237" t="s">
        <v>240</v>
      </c>
      <c r="Y237" t="s">
        <v>49</v>
      </c>
      <c r="Z237" s="12">
        <f>IF(N237&lt;=1,7,7+0.8*ROUNDUP(N237-1,0))</f>
        <v>7.8</v>
      </c>
      <c r="AA237" s="11">
        <v>0</v>
      </c>
      <c r="AB237" s="11">
        <v>0</v>
      </c>
      <c r="AC237" s="11">
        <v>0</v>
      </c>
      <c r="AD237" s="11">
        <v>0</v>
      </c>
      <c r="AE237" s="11">
        <f t="shared" si="6"/>
        <v>0.46799999999999997</v>
      </c>
      <c r="AF237" s="11">
        <f t="shared" si="7"/>
        <v>8.2680000000000007</v>
      </c>
      <c r="AG237" t="s">
        <v>43</v>
      </c>
    </row>
    <row r="238" spans="1:33" ht="15" customHeight="1" x14ac:dyDescent="0.35">
      <c r="A238">
        <v>690929</v>
      </c>
      <c r="B238" t="s">
        <v>33</v>
      </c>
      <c r="C238" t="s">
        <v>34</v>
      </c>
      <c r="D238" s="6" t="s">
        <v>33</v>
      </c>
      <c r="E238" t="s">
        <v>820</v>
      </c>
      <c r="F238" t="s">
        <v>36</v>
      </c>
      <c r="G238" t="s">
        <v>37</v>
      </c>
      <c r="H238" t="s">
        <v>821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44991.766851851855</v>
      </c>
      <c r="P238" s="9">
        <v>44993</v>
      </c>
      <c r="Q238" t="s">
        <v>36</v>
      </c>
      <c r="R238" t="s">
        <v>43</v>
      </c>
      <c r="S238" t="s">
        <v>44</v>
      </c>
      <c r="T238" t="s">
        <v>65</v>
      </c>
      <c r="U238" t="s">
        <v>822</v>
      </c>
      <c r="V238">
        <v>26900</v>
      </c>
      <c r="W238" t="s">
        <v>43</v>
      </c>
      <c r="X238" t="s">
        <v>67</v>
      </c>
      <c r="Y238" t="s">
        <v>49</v>
      </c>
      <c r="Z238" s="12">
        <f>IF(N238&lt;=1,7,7+0.8*ROUNDUP(N238-1,0))</f>
        <v>7</v>
      </c>
      <c r="AA238" s="11">
        <v>0</v>
      </c>
      <c r="AB238" s="11">
        <v>0</v>
      </c>
      <c r="AC238" s="11">
        <v>0</v>
      </c>
      <c r="AD238" s="11">
        <v>0</v>
      </c>
      <c r="AE238" s="11">
        <f t="shared" si="6"/>
        <v>0.42</v>
      </c>
      <c r="AF238" s="11">
        <f t="shared" si="7"/>
        <v>7.42</v>
      </c>
      <c r="AG238" t="s">
        <v>43</v>
      </c>
    </row>
    <row r="239" spans="1:33" ht="15" customHeight="1" x14ac:dyDescent="0.35">
      <c r="A239">
        <v>690929</v>
      </c>
      <c r="B239" t="s">
        <v>33</v>
      </c>
      <c r="C239" t="s">
        <v>34</v>
      </c>
      <c r="D239" s="6" t="s">
        <v>33</v>
      </c>
      <c r="E239" t="s">
        <v>823</v>
      </c>
      <c r="F239" t="s">
        <v>36</v>
      </c>
      <c r="G239" t="s">
        <v>37</v>
      </c>
      <c r="H239" t="s">
        <v>824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4</v>
      </c>
      <c r="O239" s="8">
        <v>44984.739259259259</v>
      </c>
      <c r="P239" s="9">
        <v>44994</v>
      </c>
      <c r="Q239" t="s">
        <v>36</v>
      </c>
      <c r="R239" t="s">
        <v>43</v>
      </c>
      <c r="S239" t="s">
        <v>44</v>
      </c>
      <c r="T239" t="s">
        <v>217</v>
      </c>
      <c r="U239" t="s">
        <v>825</v>
      </c>
      <c r="V239">
        <v>95500</v>
      </c>
      <c r="W239" t="s">
        <v>47</v>
      </c>
      <c r="X239" t="s">
        <v>385</v>
      </c>
      <c r="Y239" t="s">
        <v>49</v>
      </c>
      <c r="Z239" s="10">
        <f>IF(N239&lt;=1,13,IF(N239&lt;=2,23,IF(N239&lt;=3,35,IF(N239&lt;=4,43,IF(N239&lt;=5,53,IF(N239&lt;=6,63,IF(N239&lt;=7,71,IF(N239&lt;=8,79,IF(N239&lt;=9,87,IF(N239&lt;=10,95,IF(N239&lt;=11,105,IF(N239&lt;=12,114,IF(N239&lt;=13,119,IF(N239&lt;=14,127,IF(N239&lt;=15,135,IF(N239&lt;=16,143,IF(N239&lt;=17,153,IF(N239&lt;=18,163,IF(N239&lt;=19,171,IF(N239&lt;=20,185,IF(N239&lt;=21,193,IF(N239&lt;=22,201,IF(N239&lt;=23,210,IF(N239&lt;=24,220,IF(N239&lt;=25,230,IF(N239&lt;=26,240,IF(N239&lt;=27,250,IF(N239&lt;=28,260,IF(N239&lt;=29,270,IF(N239&lt;=30,280,280))))))))))))))))))))))))))))))</f>
        <v>43</v>
      </c>
      <c r="AA239" s="11">
        <v>0</v>
      </c>
      <c r="AB239" s="11">
        <v>0</v>
      </c>
      <c r="AC239" s="11">
        <v>0</v>
      </c>
      <c r="AD239" s="11">
        <v>0</v>
      </c>
      <c r="AE239" s="11">
        <f t="shared" si="6"/>
        <v>2.58</v>
      </c>
      <c r="AF239" s="11">
        <f t="shared" si="7"/>
        <v>45.58</v>
      </c>
      <c r="AG239" t="s">
        <v>47</v>
      </c>
    </row>
    <row r="240" spans="1:33" ht="15" customHeight="1" x14ac:dyDescent="0.35">
      <c r="A240">
        <v>690929</v>
      </c>
      <c r="B240" t="s">
        <v>33</v>
      </c>
      <c r="C240" t="s">
        <v>34</v>
      </c>
      <c r="D240" s="6" t="s">
        <v>33</v>
      </c>
      <c r="E240" t="s">
        <v>826</v>
      </c>
      <c r="F240" t="s">
        <v>36</v>
      </c>
      <c r="G240" t="s">
        <v>37</v>
      </c>
      <c r="H240" t="s">
        <v>827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6</v>
      </c>
      <c r="O240" s="8">
        <v>44993.417071759257</v>
      </c>
      <c r="P240" s="9">
        <v>44994</v>
      </c>
      <c r="Q240" t="s">
        <v>36</v>
      </c>
      <c r="R240" t="s">
        <v>43</v>
      </c>
      <c r="S240" t="s">
        <v>44</v>
      </c>
      <c r="T240" t="s">
        <v>65</v>
      </c>
      <c r="U240" t="s">
        <v>828</v>
      </c>
      <c r="V240">
        <v>26080</v>
      </c>
      <c r="W240" t="s">
        <v>43</v>
      </c>
      <c r="X240" t="s">
        <v>829</v>
      </c>
      <c r="Y240" t="s">
        <v>49</v>
      </c>
      <c r="Z240" s="12">
        <f>IF(N240&lt;=1,7,7+0.8*ROUNDUP(N240-1,0))</f>
        <v>11</v>
      </c>
      <c r="AA240" s="11">
        <v>0</v>
      </c>
      <c r="AB240" s="11">
        <v>0</v>
      </c>
      <c r="AC240" s="11">
        <v>0</v>
      </c>
      <c r="AD240" s="11">
        <v>0</v>
      </c>
      <c r="AE240" s="11">
        <f t="shared" si="6"/>
        <v>0.65999999999999992</v>
      </c>
      <c r="AF240" s="11">
        <f t="shared" si="7"/>
        <v>11.66</v>
      </c>
      <c r="AG240" t="s">
        <v>43</v>
      </c>
    </row>
    <row r="241" spans="1:33" ht="15" customHeight="1" x14ac:dyDescent="0.35">
      <c r="A241">
        <v>690929</v>
      </c>
      <c r="B241" t="s">
        <v>33</v>
      </c>
      <c r="C241" t="s">
        <v>34</v>
      </c>
      <c r="D241" s="6" t="s">
        <v>33</v>
      </c>
      <c r="E241" t="s">
        <v>830</v>
      </c>
      <c r="F241" t="s">
        <v>36</v>
      </c>
      <c r="G241" t="s">
        <v>37</v>
      </c>
      <c r="H241" t="s">
        <v>831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1</v>
      </c>
      <c r="O241" s="8">
        <v>44992.664733796293</v>
      </c>
      <c r="P241" s="9">
        <v>44994</v>
      </c>
      <c r="Q241" t="s">
        <v>36</v>
      </c>
      <c r="R241" t="s">
        <v>43</v>
      </c>
      <c r="S241" t="s">
        <v>44</v>
      </c>
      <c r="T241" t="s">
        <v>149</v>
      </c>
      <c r="U241" t="s">
        <v>832</v>
      </c>
      <c r="V241">
        <v>8000</v>
      </c>
      <c r="W241" t="s">
        <v>43</v>
      </c>
      <c r="X241" t="s">
        <v>833</v>
      </c>
      <c r="Y241" t="s">
        <v>49</v>
      </c>
      <c r="Z241" s="12">
        <f>IF(N241&lt;=1,7,7+0.8*ROUNDUP(N241-1,0))</f>
        <v>7</v>
      </c>
      <c r="AA241" s="11">
        <v>0</v>
      </c>
      <c r="AB241" s="11">
        <v>0</v>
      </c>
      <c r="AC241" s="11">
        <v>0</v>
      </c>
      <c r="AD241" s="11">
        <v>0</v>
      </c>
      <c r="AE241" s="11">
        <f t="shared" si="6"/>
        <v>0.42</v>
      </c>
      <c r="AF241" s="11">
        <f t="shared" si="7"/>
        <v>7.42</v>
      </c>
      <c r="AG241" t="s">
        <v>43</v>
      </c>
    </row>
    <row r="242" spans="1:33" ht="15" customHeight="1" x14ac:dyDescent="0.35">
      <c r="A242">
        <v>690929</v>
      </c>
      <c r="B242" t="s">
        <v>33</v>
      </c>
      <c r="C242" t="s">
        <v>34</v>
      </c>
      <c r="D242" s="6" t="s">
        <v>33</v>
      </c>
      <c r="E242" t="s">
        <v>834</v>
      </c>
      <c r="F242" t="s">
        <v>36</v>
      </c>
      <c r="G242" t="s">
        <v>37</v>
      </c>
      <c r="H242" t="s">
        <v>835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2</v>
      </c>
      <c r="O242" s="8">
        <v>44992.662754629629</v>
      </c>
      <c r="P242" s="9">
        <v>44994</v>
      </c>
      <c r="Q242" t="s">
        <v>36</v>
      </c>
      <c r="R242" t="s">
        <v>43</v>
      </c>
      <c r="S242" t="s">
        <v>44</v>
      </c>
      <c r="T242" t="s">
        <v>52</v>
      </c>
      <c r="U242" t="s">
        <v>836</v>
      </c>
      <c r="V242">
        <v>68100</v>
      </c>
      <c r="W242" t="s">
        <v>43</v>
      </c>
      <c r="X242" t="s">
        <v>606</v>
      </c>
      <c r="Y242" t="s">
        <v>49</v>
      </c>
      <c r="Z242" s="12">
        <f>IF(N242&lt;=1,7,7+0.8*ROUNDUP(N242-1,0))</f>
        <v>7.8</v>
      </c>
      <c r="AA242" s="11">
        <v>0</v>
      </c>
      <c r="AB242" s="11">
        <v>0</v>
      </c>
      <c r="AC242" s="11">
        <v>0</v>
      </c>
      <c r="AD242" s="11">
        <v>0</v>
      </c>
      <c r="AE242" s="11">
        <f t="shared" si="6"/>
        <v>0.46799999999999997</v>
      </c>
      <c r="AF242" s="11">
        <f t="shared" si="7"/>
        <v>8.2680000000000007</v>
      </c>
      <c r="AG242" t="s">
        <v>43</v>
      </c>
    </row>
    <row r="243" spans="1:33" ht="15" customHeight="1" x14ac:dyDescent="0.35">
      <c r="A243">
        <v>690929</v>
      </c>
      <c r="B243" t="s">
        <v>33</v>
      </c>
      <c r="C243" t="s">
        <v>34</v>
      </c>
      <c r="D243" s="6" t="s">
        <v>33</v>
      </c>
      <c r="E243" t="s">
        <v>837</v>
      </c>
      <c r="F243" t="s">
        <v>36</v>
      </c>
      <c r="G243" t="s">
        <v>37</v>
      </c>
      <c r="H243" t="s">
        <v>838</v>
      </c>
      <c r="I243" t="s">
        <v>39</v>
      </c>
      <c r="J243">
        <v>2</v>
      </c>
      <c r="K243" t="s">
        <v>40</v>
      </c>
      <c r="L243" t="s">
        <v>41</v>
      </c>
      <c r="M243" t="s">
        <v>42</v>
      </c>
      <c r="N243" s="7">
        <v>1</v>
      </c>
      <c r="O243" s="8">
        <v>44993.493101851855</v>
      </c>
      <c r="P243" s="9">
        <v>44994</v>
      </c>
      <c r="Q243" t="s">
        <v>36</v>
      </c>
      <c r="R243" t="s">
        <v>43</v>
      </c>
      <c r="S243" t="s">
        <v>44</v>
      </c>
      <c r="T243" t="s">
        <v>52</v>
      </c>
      <c r="U243" t="s">
        <v>839</v>
      </c>
      <c r="V243">
        <v>47650</v>
      </c>
      <c r="W243" t="s">
        <v>43</v>
      </c>
      <c r="X243" t="s">
        <v>840</v>
      </c>
      <c r="Y243" t="s">
        <v>49</v>
      </c>
      <c r="Z243" s="12">
        <f>IF(N243&lt;=1,7,7+0.8*ROUNDUP(N243-1,0))</f>
        <v>7</v>
      </c>
      <c r="AA243" s="11">
        <v>0</v>
      </c>
      <c r="AB243" s="11">
        <v>0</v>
      </c>
      <c r="AC243" s="11">
        <v>0</v>
      </c>
      <c r="AD243" s="11">
        <v>0</v>
      </c>
      <c r="AE243" s="11">
        <f t="shared" si="6"/>
        <v>0.42</v>
      </c>
      <c r="AF243" s="11">
        <f t="shared" si="7"/>
        <v>7.42</v>
      </c>
      <c r="AG243" t="s">
        <v>43</v>
      </c>
    </row>
    <row r="244" spans="1:33" ht="15" customHeight="1" x14ac:dyDescent="0.35">
      <c r="A244">
        <v>690929</v>
      </c>
      <c r="B244" t="s">
        <v>33</v>
      </c>
      <c r="C244" t="s">
        <v>34</v>
      </c>
      <c r="D244" s="6" t="s">
        <v>33</v>
      </c>
      <c r="E244" t="s">
        <v>841</v>
      </c>
      <c r="F244" t="s">
        <v>36</v>
      </c>
      <c r="G244" t="s">
        <v>37</v>
      </c>
      <c r="H244" t="s">
        <v>842</v>
      </c>
      <c r="I244" t="s">
        <v>39</v>
      </c>
      <c r="J244">
        <v>2</v>
      </c>
      <c r="K244" t="s">
        <v>40</v>
      </c>
      <c r="L244" t="s">
        <v>41</v>
      </c>
      <c r="M244" t="s">
        <v>42</v>
      </c>
      <c r="N244" s="7">
        <v>1</v>
      </c>
      <c r="O244" s="8">
        <v>44992.721238425926</v>
      </c>
      <c r="P244" s="9">
        <v>44994</v>
      </c>
      <c r="Q244" t="s">
        <v>36</v>
      </c>
      <c r="R244" t="s">
        <v>43</v>
      </c>
      <c r="S244" t="s">
        <v>62</v>
      </c>
      <c r="T244" t="s">
        <v>178</v>
      </c>
      <c r="U244" t="s">
        <v>843</v>
      </c>
      <c r="V244">
        <v>53000</v>
      </c>
      <c r="W244" t="s">
        <v>43</v>
      </c>
      <c r="X244" t="s">
        <v>44</v>
      </c>
      <c r="Y244" t="s">
        <v>49</v>
      </c>
      <c r="Z244" s="12">
        <f>IF(N244&lt;=1,7,7+0.8*ROUNDUP(N244-1,0))</f>
        <v>7</v>
      </c>
      <c r="AA244" s="11">
        <v>0</v>
      </c>
      <c r="AB244" s="11">
        <v>0</v>
      </c>
      <c r="AC244" s="11">
        <v>0</v>
      </c>
      <c r="AD244" s="11">
        <v>0</v>
      </c>
      <c r="AE244" s="11">
        <f t="shared" si="6"/>
        <v>0.42</v>
      </c>
      <c r="AF244" s="11">
        <f t="shared" si="7"/>
        <v>7.42</v>
      </c>
      <c r="AG244" t="s">
        <v>43</v>
      </c>
    </row>
    <row r="245" spans="1:33" ht="15" customHeight="1" x14ac:dyDescent="0.35">
      <c r="A245">
        <v>690929</v>
      </c>
      <c r="B245" t="s">
        <v>33</v>
      </c>
      <c r="C245" t="s">
        <v>34</v>
      </c>
      <c r="D245" s="6" t="s">
        <v>33</v>
      </c>
      <c r="E245" t="s">
        <v>844</v>
      </c>
      <c r="F245" t="s">
        <v>36</v>
      </c>
      <c r="G245" t="s">
        <v>37</v>
      </c>
      <c r="H245" t="s">
        <v>845</v>
      </c>
      <c r="I245" t="s">
        <v>39</v>
      </c>
      <c r="J245">
        <v>2</v>
      </c>
      <c r="K245" t="s">
        <v>40</v>
      </c>
      <c r="L245" t="s">
        <v>41</v>
      </c>
      <c r="M245" t="s">
        <v>42</v>
      </c>
      <c r="N245" s="7">
        <v>1</v>
      </c>
      <c r="O245" s="8">
        <v>44992.674583333333</v>
      </c>
      <c r="P245" s="9">
        <v>44994</v>
      </c>
      <c r="Q245" t="s">
        <v>36</v>
      </c>
      <c r="R245" t="s">
        <v>43</v>
      </c>
      <c r="S245" t="s">
        <v>44</v>
      </c>
      <c r="T245" t="s">
        <v>149</v>
      </c>
      <c r="U245" t="s">
        <v>846</v>
      </c>
      <c r="V245">
        <v>9400</v>
      </c>
      <c r="W245" t="s">
        <v>43</v>
      </c>
      <c r="X245" t="s">
        <v>229</v>
      </c>
      <c r="Y245" t="s">
        <v>49</v>
      </c>
      <c r="Z245" s="12">
        <f>IF(N245&lt;=1,7,7+0.8*ROUNDUP(N245-1,0))</f>
        <v>7</v>
      </c>
      <c r="AA245" s="11">
        <v>0</v>
      </c>
      <c r="AB245" s="11">
        <v>0</v>
      </c>
      <c r="AC245" s="11">
        <v>0</v>
      </c>
      <c r="AD245" s="11">
        <v>0</v>
      </c>
      <c r="AE245" s="11">
        <f t="shared" si="6"/>
        <v>0.42</v>
      </c>
      <c r="AF245" s="11">
        <f t="shared" si="7"/>
        <v>7.42</v>
      </c>
      <c r="AG245" t="s">
        <v>43</v>
      </c>
    </row>
    <row r="246" spans="1:33" ht="15" customHeight="1" x14ac:dyDescent="0.35">
      <c r="A246">
        <v>690929</v>
      </c>
      <c r="B246" t="s">
        <v>33</v>
      </c>
      <c r="C246" t="s">
        <v>34</v>
      </c>
      <c r="D246" s="6" t="s">
        <v>33</v>
      </c>
      <c r="E246" t="s">
        <v>847</v>
      </c>
      <c r="F246" t="s">
        <v>36</v>
      </c>
      <c r="G246" t="s">
        <v>37</v>
      </c>
      <c r="H246" t="s">
        <v>848</v>
      </c>
      <c r="I246" t="s">
        <v>39</v>
      </c>
      <c r="J246">
        <v>2</v>
      </c>
      <c r="K246" t="s">
        <v>40</v>
      </c>
      <c r="L246" t="s">
        <v>41</v>
      </c>
      <c r="M246" t="s">
        <v>42</v>
      </c>
      <c r="N246" s="7">
        <v>1</v>
      </c>
      <c r="O246" s="8">
        <v>44992.675706018519</v>
      </c>
      <c r="P246" s="9">
        <v>44994</v>
      </c>
      <c r="Q246" t="s">
        <v>36</v>
      </c>
      <c r="R246" t="s">
        <v>43</v>
      </c>
      <c r="S246" t="s">
        <v>44</v>
      </c>
      <c r="T246" t="s">
        <v>104</v>
      </c>
      <c r="U246" t="s">
        <v>849</v>
      </c>
      <c r="V246">
        <v>81100</v>
      </c>
      <c r="W246" t="s">
        <v>43</v>
      </c>
      <c r="X246" t="s">
        <v>251</v>
      </c>
      <c r="Y246" t="s">
        <v>49</v>
      </c>
      <c r="Z246" s="12">
        <f>IF(N246&lt;=1,7,7+0.8*ROUNDUP(N246-1,0))</f>
        <v>7</v>
      </c>
      <c r="AA246" s="11">
        <v>0</v>
      </c>
      <c r="AB246" s="11">
        <v>0</v>
      </c>
      <c r="AC246" s="11">
        <v>0</v>
      </c>
      <c r="AD246" s="11">
        <v>0</v>
      </c>
      <c r="AE246" s="11">
        <f t="shared" si="6"/>
        <v>0.42</v>
      </c>
      <c r="AF246" s="11">
        <f t="shared" si="7"/>
        <v>7.42</v>
      </c>
      <c r="AG246" t="s">
        <v>43</v>
      </c>
    </row>
    <row r="247" spans="1:33" ht="15" customHeight="1" x14ac:dyDescent="0.35">
      <c r="A247">
        <v>690929</v>
      </c>
      <c r="B247" t="s">
        <v>33</v>
      </c>
      <c r="C247" t="s">
        <v>34</v>
      </c>
      <c r="D247" s="6" t="s">
        <v>33</v>
      </c>
      <c r="E247" t="s">
        <v>850</v>
      </c>
      <c r="F247" t="s">
        <v>36</v>
      </c>
      <c r="G247" t="s">
        <v>37</v>
      </c>
      <c r="H247" t="s">
        <v>851</v>
      </c>
      <c r="I247" t="s">
        <v>39</v>
      </c>
      <c r="J247">
        <v>2</v>
      </c>
      <c r="K247" t="s">
        <v>40</v>
      </c>
      <c r="L247" t="s">
        <v>41</v>
      </c>
      <c r="M247" t="s">
        <v>42</v>
      </c>
      <c r="N247" s="7">
        <v>1</v>
      </c>
      <c r="O247" s="8">
        <v>44992.672789351855</v>
      </c>
      <c r="P247" s="9">
        <v>44994</v>
      </c>
      <c r="Q247" t="s">
        <v>36</v>
      </c>
      <c r="R247" t="s">
        <v>43</v>
      </c>
      <c r="S247" t="s">
        <v>44</v>
      </c>
      <c r="T247" t="s">
        <v>316</v>
      </c>
      <c r="U247" t="s">
        <v>852</v>
      </c>
      <c r="V247">
        <v>12100</v>
      </c>
      <c r="W247" t="s">
        <v>43</v>
      </c>
      <c r="X247" t="s">
        <v>531</v>
      </c>
      <c r="Y247" t="s">
        <v>49</v>
      </c>
      <c r="Z247" s="12">
        <f>IF(N247&lt;=1,7,7+0.8*ROUNDUP(N247-1,0))</f>
        <v>7</v>
      </c>
      <c r="AA247" s="11">
        <v>0</v>
      </c>
      <c r="AB247" s="11">
        <v>0</v>
      </c>
      <c r="AC247" s="11">
        <v>0</v>
      </c>
      <c r="AD247" s="11">
        <v>0</v>
      </c>
      <c r="AE247" s="11">
        <f t="shared" si="6"/>
        <v>0.42</v>
      </c>
      <c r="AF247" s="11">
        <f t="shared" si="7"/>
        <v>7.42</v>
      </c>
      <c r="AG247" t="s">
        <v>43</v>
      </c>
    </row>
    <row r="248" spans="1:33" ht="15" customHeight="1" x14ac:dyDescent="0.35">
      <c r="A248">
        <v>690929</v>
      </c>
      <c r="B248" t="s">
        <v>33</v>
      </c>
      <c r="C248" t="s">
        <v>34</v>
      </c>
      <c r="D248" s="6" t="s">
        <v>33</v>
      </c>
      <c r="E248" t="s">
        <v>853</v>
      </c>
      <c r="F248" t="s">
        <v>36</v>
      </c>
      <c r="G248" t="s">
        <v>37</v>
      </c>
      <c r="H248" t="s">
        <v>854</v>
      </c>
      <c r="I248" t="s">
        <v>39</v>
      </c>
      <c r="J248">
        <v>2</v>
      </c>
      <c r="K248" t="s">
        <v>40</v>
      </c>
      <c r="L248" t="s">
        <v>41</v>
      </c>
      <c r="M248" t="s">
        <v>42</v>
      </c>
      <c r="N248" s="7">
        <v>1</v>
      </c>
      <c r="O248" s="8">
        <v>44993.589884259258</v>
      </c>
      <c r="P248" s="9">
        <v>44994</v>
      </c>
      <c r="Q248" t="s">
        <v>36</v>
      </c>
      <c r="R248" t="s">
        <v>43</v>
      </c>
      <c r="S248" t="s">
        <v>44</v>
      </c>
      <c r="T248" t="s">
        <v>79</v>
      </c>
      <c r="U248" t="s">
        <v>855</v>
      </c>
      <c r="V248">
        <v>17200</v>
      </c>
      <c r="W248" t="s">
        <v>43</v>
      </c>
      <c r="X248" t="s">
        <v>44</v>
      </c>
      <c r="Y248" t="s">
        <v>49</v>
      </c>
      <c r="Z248" s="12">
        <f>IF(N248&lt;=1,7,7+0.8*ROUNDUP(N248-1,0))</f>
        <v>7</v>
      </c>
      <c r="AA248" s="11">
        <v>0</v>
      </c>
      <c r="AB248" s="11">
        <v>0</v>
      </c>
      <c r="AC248" s="11">
        <v>0</v>
      </c>
      <c r="AD248" s="11">
        <v>0</v>
      </c>
      <c r="AE248" s="11">
        <f t="shared" si="6"/>
        <v>0.42</v>
      </c>
      <c r="AF248" s="11">
        <f t="shared" si="7"/>
        <v>7.42</v>
      </c>
      <c r="AG248" t="s">
        <v>43</v>
      </c>
    </row>
    <row r="249" spans="1:33" ht="15" customHeight="1" x14ac:dyDescent="0.35">
      <c r="A249">
        <v>690929</v>
      </c>
      <c r="B249" t="s">
        <v>33</v>
      </c>
      <c r="C249" t="s">
        <v>34</v>
      </c>
      <c r="D249" s="6" t="s">
        <v>33</v>
      </c>
      <c r="E249" t="s">
        <v>856</v>
      </c>
      <c r="F249" t="s">
        <v>36</v>
      </c>
      <c r="G249" t="s">
        <v>37</v>
      </c>
      <c r="H249" t="s">
        <v>857</v>
      </c>
      <c r="I249" t="s">
        <v>39</v>
      </c>
      <c r="J249">
        <v>2</v>
      </c>
      <c r="K249" t="s">
        <v>40</v>
      </c>
      <c r="L249" t="s">
        <v>41</v>
      </c>
      <c r="M249" t="s">
        <v>42</v>
      </c>
      <c r="N249" s="7">
        <v>1</v>
      </c>
      <c r="O249" s="8">
        <v>44993.462685185186</v>
      </c>
      <c r="P249" s="9">
        <v>44995</v>
      </c>
      <c r="Q249" t="s">
        <v>36</v>
      </c>
      <c r="R249" t="s">
        <v>43</v>
      </c>
      <c r="S249" t="s">
        <v>44</v>
      </c>
      <c r="T249" t="s">
        <v>104</v>
      </c>
      <c r="U249" t="s">
        <v>858</v>
      </c>
      <c r="V249">
        <v>82000</v>
      </c>
      <c r="W249" t="s">
        <v>43</v>
      </c>
      <c r="X249" t="s">
        <v>106</v>
      </c>
      <c r="Y249" t="s">
        <v>49</v>
      </c>
      <c r="Z249" s="12">
        <f>IF(N249&lt;=1,7,7+0.8*ROUNDUP(N249-1,0))</f>
        <v>7</v>
      </c>
      <c r="AA249" s="11">
        <v>0</v>
      </c>
      <c r="AB249" s="11">
        <v>0</v>
      </c>
      <c r="AC249" s="11">
        <v>0</v>
      </c>
      <c r="AD249" s="11">
        <v>0</v>
      </c>
      <c r="AE249" s="11">
        <f t="shared" si="6"/>
        <v>0.42</v>
      </c>
      <c r="AF249" s="11">
        <f t="shared" si="7"/>
        <v>7.42</v>
      </c>
      <c r="AG249" t="s">
        <v>43</v>
      </c>
    </row>
    <row r="250" spans="1:33" ht="15" customHeight="1" x14ac:dyDescent="0.35">
      <c r="A250">
        <v>690929</v>
      </c>
      <c r="B250" t="s">
        <v>33</v>
      </c>
      <c r="C250" t="s">
        <v>34</v>
      </c>
      <c r="D250" s="6" t="s">
        <v>33</v>
      </c>
      <c r="E250" t="s">
        <v>859</v>
      </c>
      <c r="F250" t="s">
        <v>36</v>
      </c>
      <c r="G250" t="s">
        <v>37</v>
      </c>
      <c r="H250" t="s">
        <v>860</v>
      </c>
      <c r="I250" t="s">
        <v>39</v>
      </c>
      <c r="J250">
        <v>2</v>
      </c>
      <c r="K250" t="s">
        <v>40</v>
      </c>
      <c r="L250" t="s">
        <v>41</v>
      </c>
      <c r="M250" t="s">
        <v>42</v>
      </c>
      <c r="N250" s="7">
        <v>1</v>
      </c>
      <c r="O250" s="8">
        <v>44993.730590277781</v>
      </c>
      <c r="P250" s="9">
        <v>44995</v>
      </c>
      <c r="Q250" t="s">
        <v>36</v>
      </c>
      <c r="R250" t="s">
        <v>43</v>
      </c>
      <c r="S250" t="s">
        <v>44</v>
      </c>
      <c r="T250" t="s">
        <v>92</v>
      </c>
      <c r="U250" t="s">
        <v>861</v>
      </c>
      <c r="V250">
        <v>21800</v>
      </c>
      <c r="W250" t="s">
        <v>43</v>
      </c>
      <c r="X250" t="s">
        <v>44</v>
      </c>
      <c r="Y250" t="s">
        <v>49</v>
      </c>
      <c r="Z250" s="12">
        <f>IF(N250&lt;=1,7,7+0.8*ROUNDUP(N250-1,0))</f>
        <v>7</v>
      </c>
      <c r="AA250" s="11">
        <v>0</v>
      </c>
      <c r="AB250" s="11">
        <v>0</v>
      </c>
      <c r="AC250" s="11">
        <v>0</v>
      </c>
      <c r="AD250" s="11">
        <v>0</v>
      </c>
      <c r="AE250" s="11">
        <f t="shared" si="6"/>
        <v>0.42</v>
      </c>
      <c r="AF250" s="11">
        <f t="shared" si="7"/>
        <v>7.42</v>
      </c>
      <c r="AG250" t="s">
        <v>43</v>
      </c>
    </row>
    <row r="251" spans="1:33" ht="15" customHeight="1" x14ac:dyDescent="0.35">
      <c r="A251">
        <v>690929</v>
      </c>
      <c r="B251" t="s">
        <v>33</v>
      </c>
      <c r="C251" t="s">
        <v>34</v>
      </c>
      <c r="D251" s="6" t="s">
        <v>33</v>
      </c>
      <c r="E251" t="s">
        <v>862</v>
      </c>
      <c r="F251" t="s">
        <v>36</v>
      </c>
      <c r="G251" t="s">
        <v>37</v>
      </c>
      <c r="H251" t="s">
        <v>863</v>
      </c>
      <c r="I251" t="s">
        <v>39</v>
      </c>
      <c r="J251">
        <v>2</v>
      </c>
      <c r="K251" t="s">
        <v>40</v>
      </c>
      <c r="L251" t="s">
        <v>41</v>
      </c>
      <c r="M251" t="s">
        <v>42</v>
      </c>
      <c r="N251" s="7">
        <v>1</v>
      </c>
      <c r="O251" s="8">
        <v>44993.645057870373</v>
      </c>
      <c r="P251" s="9">
        <v>44995</v>
      </c>
      <c r="Q251" t="s">
        <v>36</v>
      </c>
      <c r="R251" t="s">
        <v>43</v>
      </c>
      <c r="S251" t="s">
        <v>44</v>
      </c>
      <c r="T251" t="s">
        <v>149</v>
      </c>
      <c r="U251" t="s">
        <v>864</v>
      </c>
      <c r="V251">
        <v>8100</v>
      </c>
      <c r="W251" t="s">
        <v>43</v>
      </c>
      <c r="X251" t="s">
        <v>833</v>
      </c>
      <c r="Y251" t="s">
        <v>49</v>
      </c>
      <c r="Z251" s="12">
        <f>IF(N251&lt;=1,7,7+0.8*ROUNDUP(N251-1,0))</f>
        <v>7</v>
      </c>
      <c r="AA251" s="11">
        <v>0</v>
      </c>
      <c r="AB251" s="11">
        <v>0</v>
      </c>
      <c r="AC251" s="11">
        <v>0</v>
      </c>
      <c r="AD251" s="11">
        <v>0</v>
      </c>
      <c r="AE251" s="11">
        <f t="shared" si="6"/>
        <v>0.42</v>
      </c>
      <c r="AF251" s="11">
        <f t="shared" si="7"/>
        <v>7.42</v>
      </c>
      <c r="AG251" t="s">
        <v>43</v>
      </c>
    </row>
    <row r="252" spans="1:33" ht="15" customHeight="1" x14ac:dyDescent="0.35">
      <c r="A252">
        <v>690929</v>
      </c>
      <c r="B252" t="s">
        <v>33</v>
      </c>
      <c r="C252" t="s">
        <v>34</v>
      </c>
      <c r="D252" s="6" t="s">
        <v>33</v>
      </c>
      <c r="E252" t="s">
        <v>865</v>
      </c>
      <c r="F252" t="s">
        <v>36</v>
      </c>
      <c r="G252" t="s">
        <v>37</v>
      </c>
      <c r="H252" t="s">
        <v>866</v>
      </c>
      <c r="I252" t="s">
        <v>39</v>
      </c>
      <c r="J252">
        <v>2</v>
      </c>
      <c r="K252" t="s">
        <v>40</v>
      </c>
      <c r="L252" t="s">
        <v>41</v>
      </c>
      <c r="M252" t="s">
        <v>42</v>
      </c>
      <c r="N252" s="7">
        <v>3</v>
      </c>
      <c r="O252" s="8">
        <v>44989.765266203707</v>
      </c>
      <c r="P252" s="9">
        <v>44995</v>
      </c>
      <c r="Q252" t="s">
        <v>36</v>
      </c>
      <c r="R252" t="s">
        <v>43</v>
      </c>
      <c r="S252" t="s">
        <v>44</v>
      </c>
      <c r="T252" t="s">
        <v>45</v>
      </c>
      <c r="U252" t="s">
        <v>867</v>
      </c>
      <c r="V252">
        <v>89608</v>
      </c>
      <c r="W252" t="s">
        <v>47</v>
      </c>
      <c r="X252" t="s">
        <v>565</v>
      </c>
      <c r="Y252" t="s">
        <v>49</v>
      </c>
      <c r="Z252" s="10">
        <f>IF(N252&lt;=1,13,IF(N252&lt;=2,23,IF(N252&lt;=3,35,IF(N252&lt;=4,43,IF(N252&lt;=5,53,IF(N252&lt;=6,63,IF(N252&lt;=7,71,IF(N252&lt;=8,79,IF(N252&lt;=9,87,IF(N252&lt;=10,95,IF(N252&lt;=11,105,IF(N252&lt;=12,114,IF(N252&lt;=13,119,IF(N252&lt;=14,127,IF(N252&lt;=15,135,IF(N252&lt;=16,143,IF(N252&lt;=17,153,IF(N252&lt;=18,163,IF(N252&lt;=19,171,IF(N252&lt;=20,185,IF(N252&lt;=21,193,IF(N252&lt;=22,201,IF(N252&lt;=23,210,IF(N252&lt;=24,220,IF(N252&lt;=25,230,IF(N252&lt;=26,240,IF(N252&lt;=27,250,IF(N252&lt;=28,260,IF(N252&lt;=29,270,IF(N252&lt;=30,280,280))))))))))))))))))))))))))))))</f>
        <v>35</v>
      </c>
      <c r="AA252" s="11">
        <v>0</v>
      </c>
      <c r="AB252" s="11">
        <v>0</v>
      </c>
      <c r="AC252" s="11">
        <v>0</v>
      </c>
      <c r="AD252" s="11">
        <v>0</v>
      </c>
      <c r="AE252" s="11">
        <f t="shared" si="6"/>
        <v>2.1</v>
      </c>
      <c r="AF252" s="11">
        <f t="shared" si="7"/>
        <v>37.1</v>
      </c>
      <c r="AG252" t="s">
        <v>47</v>
      </c>
    </row>
    <row r="253" spans="1:33" ht="15" customHeight="1" x14ac:dyDescent="0.35">
      <c r="A253">
        <v>690929</v>
      </c>
      <c r="B253" t="s">
        <v>33</v>
      </c>
      <c r="C253" t="s">
        <v>34</v>
      </c>
      <c r="D253" s="6" t="s">
        <v>33</v>
      </c>
      <c r="E253" t="s">
        <v>868</v>
      </c>
      <c r="F253" t="s">
        <v>36</v>
      </c>
      <c r="G253" t="s">
        <v>37</v>
      </c>
      <c r="H253" t="s">
        <v>364</v>
      </c>
      <c r="I253" t="s">
        <v>39</v>
      </c>
      <c r="J253">
        <v>2</v>
      </c>
      <c r="K253" t="s">
        <v>40</v>
      </c>
      <c r="L253" t="s">
        <v>41</v>
      </c>
      <c r="M253" t="s">
        <v>42</v>
      </c>
      <c r="N253" s="7">
        <v>1</v>
      </c>
      <c r="O253" s="8">
        <v>44993.555520833332</v>
      </c>
      <c r="P253" s="9">
        <v>44995</v>
      </c>
      <c r="Q253" t="s">
        <v>36</v>
      </c>
      <c r="R253" t="s">
        <v>43</v>
      </c>
      <c r="S253" t="s">
        <v>44</v>
      </c>
      <c r="T253" t="s">
        <v>149</v>
      </c>
      <c r="U253" t="s">
        <v>365</v>
      </c>
      <c r="V253">
        <v>6760</v>
      </c>
      <c r="W253" t="s">
        <v>43</v>
      </c>
      <c r="X253" t="s">
        <v>366</v>
      </c>
      <c r="Y253" t="s">
        <v>49</v>
      </c>
      <c r="Z253" s="12">
        <f>IF(N253&lt;=1,7,7+0.8*ROUNDUP(N253-1,0))</f>
        <v>7</v>
      </c>
      <c r="AA253" s="11">
        <v>0</v>
      </c>
      <c r="AB253" s="11">
        <v>0</v>
      </c>
      <c r="AC253" s="11">
        <v>0</v>
      </c>
      <c r="AD253" s="11">
        <v>0</v>
      </c>
      <c r="AE253" s="11">
        <f t="shared" si="6"/>
        <v>0.42</v>
      </c>
      <c r="AF253" s="11">
        <f t="shared" si="7"/>
        <v>7.42</v>
      </c>
      <c r="AG253" t="s">
        <v>43</v>
      </c>
    </row>
    <row r="254" spans="1:33" ht="15" customHeight="1" x14ac:dyDescent="0.35">
      <c r="A254">
        <v>690929</v>
      </c>
      <c r="B254" t="s">
        <v>33</v>
      </c>
      <c r="C254" t="s">
        <v>34</v>
      </c>
      <c r="D254" s="6" t="s">
        <v>33</v>
      </c>
      <c r="E254" t="s">
        <v>869</v>
      </c>
      <c r="F254" t="s">
        <v>36</v>
      </c>
      <c r="G254" t="s">
        <v>37</v>
      </c>
      <c r="H254" t="s">
        <v>870</v>
      </c>
      <c r="I254" t="s">
        <v>39</v>
      </c>
      <c r="J254">
        <v>2</v>
      </c>
      <c r="K254" t="s">
        <v>40</v>
      </c>
      <c r="L254" t="s">
        <v>41</v>
      </c>
      <c r="M254" t="s">
        <v>42</v>
      </c>
      <c r="N254" s="7">
        <v>1</v>
      </c>
      <c r="O254" s="8">
        <v>44993.756053240744</v>
      </c>
      <c r="P254" s="9">
        <v>44995</v>
      </c>
      <c r="Q254" t="s">
        <v>36</v>
      </c>
      <c r="R254" t="s">
        <v>43</v>
      </c>
      <c r="S254" t="s">
        <v>44</v>
      </c>
      <c r="T254" t="s">
        <v>52</v>
      </c>
      <c r="U254" t="s">
        <v>871</v>
      </c>
      <c r="V254">
        <v>62250</v>
      </c>
      <c r="W254" t="s">
        <v>43</v>
      </c>
      <c r="X254" t="s">
        <v>446</v>
      </c>
      <c r="Y254" t="s">
        <v>49</v>
      </c>
      <c r="Z254" s="12">
        <f>IF(N254&lt;=1,7,7+0.8*ROUNDUP(N254-1,0))</f>
        <v>7</v>
      </c>
      <c r="AA254" s="11">
        <v>0</v>
      </c>
      <c r="AB254" s="11">
        <v>0</v>
      </c>
      <c r="AC254" s="11">
        <v>0</v>
      </c>
      <c r="AD254" s="11">
        <v>0</v>
      </c>
      <c r="AE254" s="11">
        <f t="shared" si="6"/>
        <v>0.42</v>
      </c>
      <c r="AF254" s="11">
        <f t="shared" si="7"/>
        <v>7.42</v>
      </c>
      <c r="AG254" t="s">
        <v>43</v>
      </c>
    </row>
    <row r="255" spans="1:33" ht="15" customHeight="1" x14ac:dyDescent="0.35">
      <c r="A255">
        <v>690929</v>
      </c>
      <c r="B255" t="s">
        <v>33</v>
      </c>
      <c r="C255" t="s">
        <v>34</v>
      </c>
      <c r="D255" s="6" t="s">
        <v>33</v>
      </c>
      <c r="E255" t="s">
        <v>872</v>
      </c>
      <c r="F255" t="s">
        <v>36</v>
      </c>
      <c r="G255" t="s">
        <v>37</v>
      </c>
      <c r="H255" t="s">
        <v>873</v>
      </c>
      <c r="I255" t="s">
        <v>39</v>
      </c>
      <c r="J255">
        <v>2</v>
      </c>
      <c r="K255" t="s">
        <v>40</v>
      </c>
      <c r="L255" t="s">
        <v>41</v>
      </c>
      <c r="M255" t="s">
        <v>42</v>
      </c>
      <c r="N255" s="7">
        <v>1</v>
      </c>
      <c r="O255" s="8">
        <v>44993.749155092592</v>
      </c>
      <c r="P255" s="9">
        <v>44995</v>
      </c>
      <c r="Q255" t="s">
        <v>36</v>
      </c>
      <c r="R255" t="s">
        <v>43</v>
      </c>
      <c r="S255" t="s">
        <v>44</v>
      </c>
      <c r="T255" t="s">
        <v>52</v>
      </c>
      <c r="U255" t="s">
        <v>874</v>
      </c>
      <c r="V255">
        <v>42500</v>
      </c>
      <c r="W255" t="s">
        <v>43</v>
      </c>
      <c r="X255" t="s">
        <v>58</v>
      </c>
      <c r="Y255" t="s">
        <v>49</v>
      </c>
      <c r="Z255" s="12">
        <f>IF(N255&lt;=1,7,7+0.8*ROUNDUP(N255-1,0))</f>
        <v>7</v>
      </c>
      <c r="AA255" s="11">
        <v>0</v>
      </c>
      <c r="AB255" s="11">
        <v>0</v>
      </c>
      <c r="AC255" s="11">
        <v>0</v>
      </c>
      <c r="AD255" s="11">
        <v>0</v>
      </c>
      <c r="AE255" s="11">
        <f t="shared" si="6"/>
        <v>0.42</v>
      </c>
      <c r="AF255" s="11">
        <f t="shared" si="7"/>
        <v>7.42</v>
      </c>
      <c r="AG255" t="s">
        <v>43</v>
      </c>
    </row>
    <row r="256" spans="1:33" ht="15" customHeight="1" x14ac:dyDescent="0.35">
      <c r="A256">
        <v>690929</v>
      </c>
      <c r="B256" t="s">
        <v>33</v>
      </c>
      <c r="C256" t="s">
        <v>34</v>
      </c>
      <c r="D256" s="6" t="s">
        <v>33</v>
      </c>
      <c r="E256" t="s">
        <v>875</v>
      </c>
      <c r="F256" t="s">
        <v>36</v>
      </c>
      <c r="G256" t="s">
        <v>37</v>
      </c>
      <c r="H256" t="s">
        <v>876</v>
      </c>
      <c r="I256" t="s">
        <v>39</v>
      </c>
      <c r="J256">
        <v>2</v>
      </c>
      <c r="K256" t="s">
        <v>40</v>
      </c>
      <c r="L256" t="s">
        <v>41</v>
      </c>
      <c r="M256" t="s">
        <v>42</v>
      </c>
      <c r="N256" s="7">
        <v>5</v>
      </c>
      <c r="O256" s="8">
        <v>44993.418587962966</v>
      </c>
      <c r="P256" s="9">
        <v>44995</v>
      </c>
      <c r="Q256" t="s">
        <v>36</v>
      </c>
      <c r="R256" t="s">
        <v>43</v>
      </c>
      <c r="S256" t="s">
        <v>44</v>
      </c>
      <c r="T256" t="s">
        <v>316</v>
      </c>
      <c r="U256" t="s">
        <v>877</v>
      </c>
      <c r="V256">
        <v>11920</v>
      </c>
      <c r="W256" t="s">
        <v>43</v>
      </c>
      <c r="X256" t="s">
        <v>793</v>
      </c>
      <c r="Y256" t="s">
        <v>49</v>
      </c>
      <c r="Z256" s="12">
        <f>IF(N256&lt;=1,7,7+0.8*ROUNDUP(N256-1,0))</f>
        <v>10.199999999999999</v>
      </c>
      <c r="AA256" s="11">
        <v>0</v>
      </c>
      <c r="AB256" s="11">
        <v>0</v>
      </c>
      <c r="AC256" s="11">
        <v>0</v>
      </c>
      <c r="AD256" s="11">
        <v>0</v>
      </c>
      <c r="AE256" s="11">
        <f t="shared" si="6"/>
        <v>0.61199999999999999</v>
      </c>
      <c r="AF256" s="11">
        <f t="shared" si="7"/>
        <v>10.811999999999999</v>
      </c>
      <c r="AG256" t="s">
        <v>43</v>
      </c>
    </row>
    <row r="257" spans="1:33" ht="15" customHeight="1" x14ac:dyDescent="0.35">
      <c r="A257">
        <v>690929</v>
      </c>
      <c r="B257" t="s">
        <v>33</v>
      </c>
      <c r="C257" t="s">
        <v>34</v>
      </c>
      <c r="D257" s="6" t="s">
        <v>33</v>
      </c>
      <c r="E257" t="s">
        <v>878</v>
      </c>
      <c r="F257" t="s">
        <v>36</v>
      </c>
      <c r="G257" t="s">
        <v>37</v>
      </c>
      <c r="H257" t="s">
        <v>879</v>
      </c>
      <c r="I257" t="s">
        <v>39</v>
      </c>
      <c r="J257">
        <v>2</v>
      </c>
      <c r="K257" t="s">
        <v>40</v>
      </c>
      <c r="L257" t="s">
        <v>41</v>
      </c>
      <c r="M257" t="s">
        <v>42</v>
      </c>
      <c r="N257" s="7">
        <v>2</v>
      </c>
      <c r="O257" s="8">
        <v>44994.658067129632</v>
      </c>
      <c r="P257" s="9">
        <v>44996</v>
      </c>
      <c r="Q257" t="s">
        <v>36</v>
      </c>
      <c r="R257" t="s">
        <v>43</v>
      </c>
      <c r="S257" t="s">
        <v>44</v>
      </c>
      <c r="T257" t="s">
        <v>52</v>
      </c>
      <c r="U257" t="s">
        <v>880</v>
      </c>
      <c r="V257">
        <v>40300</v>
      </c>
      <c r="W257" t="s">
        <v>43</v>
      </c>
      <c r="X257" t="s">
        <v>62</v>
      </c>
      <c r="Y257" t="s">
        <v>49</v>
      </c>
      <c r="Z257" s="12">
        <f>IF(N257&lt;=1,7,7+0.8*ROUNDUP(N257-1,0))</f>
        <v>7.8</v>
      </c>
      <c r="AA257" s="11">
        <v>0</v>
      </c>
      <c r="AB257" s="11">
        <v>0</v>
      </c>
      <c r="AC257" s="11">
        <v>0</v>
      </c>
      <c r="AD257" s="11">
        <v>0</v>
      </c>
      <c r="AE257" s="11">
        <f t="shared" si="6"/>
        <v>0.46799999999999997</v>
      </c>
      <c r="AF257" s="11">
        <f t="shared" si="7"/>
        <v>8.2680000000000007</v>
      </c>
      <c r="AG257" t="s">
        <v>43</v>
      </c>
    </row>
    <row r="258" spans="1:33" ht="15" customHeight="1" x14ac:dyDescent="0.35">
      <c r="A258">
        <v>690929</v>
      </c>
      <c r="B258" t="s">
        <v>33</v>
      </c>
      <c r="C258" t="s">
        <v>34</v>
      </c>
      <c r="D258" s="6" t="s">
        <v>33</v>
      </c>
      <c r="E258" t="s">
        <v>881</v>
      </c>
      <c r="F258" t="s">
        <v>36</v>
      </c>
      <c r="G258" t="s">
        <v>37</v>
      </c>
      <c r="H258" t="s">
        <v>882</v>
      </c>
      <c r="I258" t="s">
        <v>39</v>
      </c>
      <c r="J258">
        <v>2</v>
      </c>
      <c r="K258" t="s">
        <v>40</v>
      </c>
      <c r="L258" t="s">
        <v>41</v>
      </c>
      <c r="M258" t="s">
        <v>42</v>
      </c>
      <c r="N258" s="7">
        <v>20</v>
      </c>
      <c r="O258" s="8">
        <v>44995.406365740739</v>
      </c>
      <c r="P258" s="9">
        <v>44996</v>
      </c>
      <c r="Q258" t="s">
        <v>36</v>
      </c>
      <c r="R258" t="s">
        <v>43</v>
      </c>
      <c r="S258" t="s">
        <v>74</v>
      </c>
      <c r="T258" t="s">
        <v>65</v>
      </c>
      <c r="U258" t="s">
        <v>883</v>
      </c>
      <c r="V258">
        <v>26900</v>
      </c>
      <c r="W258" t="s">
        <v>43</v>
      </c>
      <c r="X258" t="s">
        <v>67</v>
      </c>
      <c r="Y258" t="s">
        <v>49</v>
      </c>
      <c r="Z258" s="12">
        <f>IF(N258&lt;=1,7,7+0.8*ROUNDUP(N258-1,0))</f>
        <v>22.200000000000003</v>
      </c>
      <c r="AA258" s="11">
        <v>0</v>
      </c>
      <c r="AB258" s="11">
        <v>0</v>
      </c>
      <c r="AC258" s="11">
        <v>0</v>
      </c>
      <c r="AD258" s="11">
        <v>0</v>
      </c>
      <c r="AE258" s="11">
        <f t="shared" ref="AE258:AE304" si="8">(Z258+AB258+AD258)*6%</f>
        <v>1.3320000000000001</v>
      </c>
      <c r="AF258" s="11">
        <f t="shared" ref="AF258:AF321" si="9">Z258+AB258+AD258+AE258</f>
        <v>23.532000000000004</v>
      </c>
      <c r="AG258" t="s">
        <v>43</v>
      </c>
    </row>
    <row r="259" spans="1:33" ht="15" customHeight="1" x14ac:dyDescent="0.35">
      <c r="A259">
        <v>690929</v>
      </c>
      <c r="B259" t="s">
        <v>33</v>
      </c>
      <c r="C259" t="s">
        <v>34</v>
      </c>
      <c r="D259" s="6" t="s">
        <v>33</v>
      </c>
      <c r="E259" t="s">
        <v>884</v>
      </c>
      <c r="F259" t="s">
        <v>36</v>
      </c>
      <c r="G259" t="s">
        <v>37</v>
      </c>
      <c r="H259" t="s">
        <v>885</v>
      </c>
      <c r="I259" t="s">
        <v>39</v>
      </c>
      <c r="J259">
        <v>2</v>
      </c>
      <c r="K259" t="s">
        <v>40</v>
      </c>
      <c r="L259" t="s">
        <v>41</v>
      </c>
      <c r="M259" t="s">
        <v>42</v>
      </c>
      <c r="N259" s="7">
        <v>1</v>
      </c>
      <c r="O259" s="8">
        <v>44994.677766203706</v>
      </c>
      <c r="P259" s="9">
        <v>44996</v>
      </c>
      <c r="Q259" t="s">
        <v>36</v>
      </c>
      <c r="R259" t="s">
        <v>43</v>
      </c>
      <c r="S259" t="s">
        <v>44</v>
      </c>
      <c r="T259" t="s">
        <v>316</v>
      </c>
      <c r="U259" t="s">
        <v>886</v>
      </c>
      <c r="V259">
        <v>14000</v>
      </c>
      <c r="W259" t="s">
        <v>43</v>
      </c>
      <c r="X259" t="s">
        <v>485</v>
      </c>
      <c r="Y259" t="s">
        <v>49</v>
      </c>
      <c r="Z259" s="12">
        <f>IF(N259&lt;=1,7,7+0.8*ROUNDUP(N259-1,0))</f>
        <v>7</v>
      </c>
      <c r="AA259" s="11">
        <v>0</v>
      </c>
      <c r="AB259" s="11">
        <v>0</v>
      </c>
      <c r="AC259" s="11">
        <v>0</v>
      </c>
      <c r="AD259" s="11">
        <v>0</v>
      </c>
      <c r="AE259" s="11">
        <f t="shared" si="8"/>
        <v>0.42</v>
      </c>
      <c r="AF259" s="11">
        <f t="shared" si="9"/>
        <v>7.42</v>
      </c>
      <c r="AG259" t="s">
        <v>43</v>
      </c>
    </row>
    <row r="260" spans="1:33" ht="15" customHeight="1" x14ac:dyDescent="0.35">
      <c r="A260">
        <v>690929</v>
      </c>
      <c r="B260" t="s">
        <v>33</v>
      </c>
      <c r="C260" t="s">
        <v>34</v>
      </c>
      <c r="D260" s="6" t="s">
        <v>33</v>
      </c>
      <c r="E260" t="s">
        <v>887</v>
      </c>
      <c r="F260" t="s">
        <v>36</v>
      </c>
      <c r="G260" t="s">
        <v>37</v>
      </c>
      <c r="H260" t="s">
        <v>888</v>
      </c>
      <c r="I260" t="s">
        <v>39</v>
      </c>
      <c r="J260">
        <v>2</v>
      </c>
      <c r="K260" t="s">
        <v>40</v>
      </c>
      <c r="L260" t="s">
        <v>41</v>
      </c>
      <c r="M260" t="s">
        <v>42</v>
      </c>
      <c r="N260" s="7">
        <v>1</v>
      </c>
      <c r="O260" s="8">
        <v>44994.770243055558</v>
      </c>
      <c r="P260" s="9">
        <v>44996</v>
      </c>
      <c r="Q260" t="s">
        <v>36</v>
      </c>
      <c r="R260" t="s">
        <v>43</v>
      </c>
      <c r="S260" t="s">
        <v>74</v>
      </c>
      <c r="T260" t="s">
        <v>92</v>
      </c>
      <c r="U260" t="s">
        <v>889</v>
      </c>
      <c r="V260">
        <v>23000</v>
      </c>
      <c r="W260" t="s">
        <v>43</v>
      </c>
      <c r="X260" t="s">
        <v>74</v>
      </c>
      <c r="Y260" t="s">
        <v>49</v>
      </c>
      <c r="Z260" s="12">
        <f>IF(N260&lt;=1,7,7+0.8*ROUNDUP(N260-1,0))</f>
        <v>7</v>
      </c>
      <c r="AA260" s="11">
        <v>0</v>
      </c>
      <c r="AB260" s="11">
        <v>0</v>
      </c>
      <c r="AC260" s="11">
        <v>0</v>
      </c>
      <c r="AD260" s="11">
        <v>0</v>
      </c>
      <c r="AE260" s="11">
        <f t="shared" si="8"/>
        <v>0.42</v>
      </c>
      <c r="AF260" s="11">
        <f t="shared" si="9"/>
        <v>7.42</v>
      </c>
      <c r="AG260" t="s">
        <v>43</v>
      </c>
    </row>
    <row r="261" spans="1:33" ht="15" customHeight="1" x14ac:dyDescent="0.35">
      <c r="A261">
        <v>690929</v>
      </c>
      <c r="B261" t="s">
        <v>33</v>
      </c>
      <c r="C261" t="s">
        <v>34</v>
      </c>
      <c r="D261" s="6" t="s">
        <v>33</v>
      </c>
      <c r="E261" t="s">
        <v>890</v>
      </c>
      <c r="F261" t="s">
        <v>36</v>
      </c>
      <c r="G261" t="s">
        <v>37</v>
      </c>
      <c r="H261" t="s">
        <v>882</v>
      </c>
      <c r="I261" t="s">
        <v>39</v>
      </c>
      <c r="J261">
        <v>2</v>
      </c>
      <c r="K261" t="s">
        <v>40</v>
      </c>
      <c r="L261" t="s">
        <v>41</v>
      </c>
      <c r="M261" t="s">
        <v>42</v>
      </c>
      <c r="N261" s="7">
        <v>20</v>
      </c>
      <c r="O261" s="8">
        <v>44995.406365740739</v>
      </c>
      <c r="P261" s="9">
        <v>44996</v>
      </c>
      <c r="Q261" t="s">
        <v>36</v>
      </c>
      <c r="R261" t="s">
        <v>43</v>
      </c>
      <c r="S261" t="s">
        <v>74</v>
      </c>
      <c r="T261" t="s">
        <v>65</v>
      </c>
      <c r="U261" t="s">
        <v>883</v>
      </c>
      <c r="V261">
        <v>26900</v>
      </c>
      <c r="W261" t="s">
        <v>43</v>
      </c>
      <c r="X261" t="s">
        <v>67</v>
      </c>
      <c r="Y261" t="s">
        <v>49</v>
      </c>
      <c r="Z261" s="12">
        <f>IF(N261&lt;=1,7,7+0.8*ROUNDUP(N261-1,0))</f>
        <v>22.200000000000003</v>
      </c>
      <c r="AA261" s="11">
        <v>0</v>
      </c>
      <c r="AB261" s="11">
        <v>0</v>
      </c>
      <c r="AC261" s="11">
        <v>0</v>
      </c>
      <c r="AD261" s="11">
        <v>0</v>
      </c>
      <c r="AE261" s="11">
        <f t="shared" si="8"/>
        <v>1.3320000000000001</v>
      </c>
      <c r="AF261" s="11">
        <f t="shared" si="9"/>
        <v>23.532000000000004</v>
      </c>
      <c r="AG261" t="s">
        <v>43</v>
      </c>
    </row>
    <row r="262" spans="1:33" ht="15" customHeight="1" x14ac:dyDescent="0.35">
      <c r="A262">
        <v>690929</v>
      </c>
      <c r="B262" t="s">
        <v>33</v>
      </c>
      <c r="C262" t="s">
        <v>34</v>
      </c>
      <c r="D262" s="6" t="s">
        <v>33</v>
      </c>
      <c r="E262" t="s">
        <v>891</v>
      </c>
      <c r="F262" t="s">
        <v>36</v>
      </c>
      <c r="G262" t="s">
        <v>37</v>
      </c>
      <c r="H262" t="s">
        <v>882</v>
      </c>
      <c r="I262" t="s">
        <v>39</v>
      </c>
      <c r="J262">
        <v>2</v>
      </c>
      <c r="K262" t="s">
        <v>40</v>
      </c>
      <c r="L262" t="s">
        <v>41</v>
      </c>
      <c r="M262" t="s">
        <v>42</v>
      </c>
      <c r="N262" s="7">
        <v>8</v>
      </c>
      <c r="O262" s="8">
        <v>44995.406365740739</v>
      </c>
      <c r="P262" s="9">
        <v>44996</v>
      </c>
      <c r="Q262" t="s">
        <v>36</v>
      </c>
      <c r="R262" t="s">
        <v>43</v>
      </c>
      <c r="S262" t="s">
        <v>74</v>
      </c>
      <c r="T262" t="s">
        <v>65</v>
      </c>
      <c r="U262" t="s">
        <v>883</v>
      </c>
      <c r="V262">
        <v>26900</v>
      </c>
      <c r="W262" t="s">
        <v>43</v>
      </c>
      <c r="X262" t="s">
        <v>67</v>
      </c>
      <c r="Y262" t="s">
        <v>49</v>
      </c>
      <c r="Z262" s="12">
        <f>IF(N262&lt;=1,7,7+0.8*ROUNDUP(N262-1,0))</f>
        <v>12.600000000000001</v>
      </c>
      <c r="AA262" s="11">
        <v>0</v>
      </c>
      <c r="AB262" s="11">
        <v>0</v>
      </c>
      <c r="AC262" s="11">
        <v>0</v>
      </c>
      <c r="AD262" s="11">
        <v>0</v>
      </c>
      <c r="AE262" s="11">
        <f t="shared" si="8"/>
        <v>0.75600000000000001</v>
      </c>
      <c r="AF262" s="11">
        <f t="shared" si="9"/>
        <v>13.356000000000002</v>
      </c>
      <c r="AG262" t="s">
        <v>43</v>
      </c>
    </row>
    <row r="263" spans="1:33" ht="15" customHeight="1" x14ac:dyDescent="0.35">
      <c r="A263">
        <v>690929</v>
      </c>
      <c r="B263" t="s">
        <v>33</v>
      </c>
      <c r="C263" t="s">
        <v>34</v>
      </c>
      <c r="D263" s="6" t="s">
        <v>33</v>
      </c>
      <c r="E263" t="s">
        <v>892</v>
      </c>
      <c r="F263" t="s">
        <v>36</v>
      </c>
      <c r="G263" t="s">
        <v>37</v>
      </c>
      <c r="H263" t="s">
        <v>893</v>
      </c>
      <c r="I263" t="s">
        <v>39</v>
      </c>
      <c r="J263">
        <v>2</v>
      </c>
      <c r="K263" t="s">
        <v>40</v>
      </c>
      <c r="L263" t="s">
        <v>41</v>
      </c>
      <c r="M263" t="s">
        <v>42</v>
      </c>
      <c r="N263" s="7">
        <v>1</v>
      </c>
      <c r="O263" s="8">
        <v>44994.773321759261</v>
      </c>
      <c r="P263" s="9">
        <v>44996</v>
      </c>
      <c r="Q263" t="s">
        <v>36</v>
      </c>
      <c r="R263" t="s">
        <v>43</v>
      </c>
      <c r="S263" t="s">
        <v>74</v>
      </c>
      <c r="T263" t="s">
        <v>79</v>
      </c>
      <c r="U263" t="s">
        <v>894</v>
      </c>
      <c r="V263">
        <v>16050</v>
      </c>
      <c r="W263" t="s">
        <v>43</v>
      </c>
      <c r="X263" t="s">
        <v>74</v>
      </c>
      <c r="Y263" t="s">
        <v>49</v>
      </c>
      <c r="Z263" s="12">
        <f>IF(N263&lt;=1,7,7+0.8*ROUNDUP(N263-1,0))</f>
        <v>7</v>
      </c>
      <c r="AA263" s="11">
        <v>0</v>
      </c>
      <c r="AB263" s="11">
        <v>0</v>
      </c>
      <c r="AC263" s="11">
        <v>0</v>
      </c>
      <c r="AD263" s="11">
        <v>0</v>
      </c>
      <c r="AE263" s="11">
        <f t="shared" si="8"/>
        <v>0.42</v>
      </c>
      <c r="AF263" s="11">
        <f t="shared" si="9"/>
        <v>7.42</v>
      </c>
      <c r="AG263" t="s">
        <v>43</v>
      </c>
    </row>
    <row r="264" spans="1:33" ht="15" customHeight="1" x14ac:dyDescent="0.35">
      <c r="A264">
        <v>690929</v>
      </c>
      <c r="B264" t="s">
        <v>33</v>
      </c>
      <c r="C264" t="s">
        <v>34</v>
      </c>
      <c r="D264" s="6" t="s">
        <v>33</v>
      </c>
      <c r="E264" t="s">
        <v>895</v>
      </c>
      <c r="F264" t="s">
        <v>36</v>
      </c>
      <c r="G264" t="s">
        <v>37</v>
      </c>
      <c r="H264" t="s">
        <v>896</v>
      </c>
      <c r="I264" t="s">
        <v>39</v>
      </c>
      <c r="J264">
        <v>2</v>
      </c>
      <c r="K264" t="s">
        <v>40</v>
      </c>
      <c r="L264" t="s">
        <v>41</v>
      </c>
      <c r="M264" t="s">
        <v>42</v>
      </c>
      <c r="N264" s="7">
        <v>3</v>
      </c>
      <c r="O264" s="8">
        <v>44993.749155092592</v>
      </c>
      <c r="P264" s="9">
        <v>44996</v>
      </c>
      <c r="Q264" t="s">
        <v>36</v>
      </c>
      <c r="R264" t="s">
        <v>43</v>
      </c>
      <c r="S264" t="s">
        <v>44</v>
      </c>
      <c r="T264" t="s">
        <v>149</v>
      </c>
      <c r="U264" t="s">
        <v>897</v>
      </c>
      <c r="V264">
        <v>8000</v>
      </c>
      <c r="W264" t="s">
        <v>43</v>
      </c>
      <c r="X264" t="s">
        <v>62</v>
      </c>
      <c r="Y264" t="s">
        <v>49</v>
      </c>
      <c r="Z264" s="12">
        <f>IF(N264&lt;=1,7,7+0.8*ROUNDUP(N264-1,0))</f>
        <v>8.6</v>
      </c>
      <c r="AA264" s="11">
        <v>0</v>
      </c>
      <c r="AB264" s="11">
        <v>0</v>
      </c>
      <c r="AC264" s="11">
        <v>0</v>
      </c>
      <c r="AD264" s="11">
        <v>0</v>
      </c>
      <c r="AE264" s="11">
        <f t="shared" si="8"/>
        <v>0.51600000000000001</v>
      </c>
      <c r="AF264" s="11">
        <f t="shared" si="9"/>
        <v>9.1159999999999997</v>
      </c>
      <c r="AG264" t="s">
        <v>43</v>
      </c>
    </row>
    <row r="265" spans="1:33" ht="15" customHeight="1" x14ac:dyDescent="0.35">
      <c r="A265">
        <v>690929</v>
      </c>
      <c r="B265" t="s">
        <v>33</v>
      </c>
      <c r="C265" t="s">
        <v>34</v>
      </c>
      <c r="D265" s="6" t="s">
        <v>33</v>
      </c>
      <c r="E265" t="s">
        <v>898</v>
      </c>
      <c r="F265" t="s">
        <v>36</v>
      </c>
      <c r="G265" t="s">
        <v>37</v>
      </c>
      <c r="H265" t="s">
        <v>899</v>
      </c>
      <c r="I265" t="s">
        <v>39</v>
      </c>
      <c r="J265">
        <v>2</v>
      </c>
      <c r="K265" t="s">
        <v>40</v>
      </c>
      <c r="L265" t="s">
        <v>41</v>
      </c>
      <c r="M265" t="s">
        <v>42</v>
      </c>
      <c r="N265" s="7">
        <v>1</v>
      </c>
      <c r="O265" s="8">
        <v>44994.614537037036</v>
      </c>
      <c r="P265" s="9">
        <v>44996</v>
      </c>
      <c r="Q265" t="s">
        <v>36</v>
      </c>
      <c r="R265" t="s">
        <v>43</v>
      </c>
      <c r="S265" t="s">
        <v>44</v>
      </c>
      <c r="T265" t="s">
        <v>52</v>
      </c>
      <c r="U265" t="s">
        <v>900</v>
      </c>
      <c r="V265">
        <v>40300</v>
      </c>
      <c r="W265" t="s">
        <v>43</v>
      </c>
      <c r="X265" t="s">
        <v>385</v>
      </c>
      <c r="Y265" t="s">
        <v>49</v>
      </c>
      <c r="Z265" s="12">
        <f>IF(N265&lt;=1,7,7+0.8*ROUNDUP(N265-1,0))</f>
        <v>7</v>
      </c>
      <c r="AA265" s="11">
        <v>0</v>
      </c>
      <c r="AB265" s="11">
        <v>0</v>
      </c>
      <c r="AC265" s="11">
        <v>0</v>
      </c>
      <c r="AD265" s="11">
        <v>0</v>
      </c>
      <c r="AE265" s="11">
        <f t="shared" si="8"/>
        <v>0.42</v>
      </c>
      <c r="AF265" s="11">
        <f t="shared" si="9"/>
        <v>7.42</v>
      </c>
      <c r="AG265" t="s">
        <v>43</v>
      </c>
    </row>
    <row r="266" spans="1:33" ht="15" customHeight="1" x14ac:dyDescent="0.35">
      <c r="A266">
        <v>690929</v>
      </c>
      <c r="B266" t="s">
        <v>33</v>
      </c>
      <c r="C266" t="s">
        <v>34</v>
      </c>
      <c r="D266" s="6" t="s">
        <v>33</v>
      </c>
      <c r="E266" t="s">
        <v>901</v>
      </c>
      <c r="F266" t="s">
        <v>36</v>
      </c>
      <c r="G266" t="s">
        <v>37</v>
      </c>
      <c r="H266" t="s">
        <v>902</v>
      </c>
      <c r="I266" t="s">
        <v>39</v>
      </c>
      <c r="J266">
        <v>2</v>
      </c>
      <c r="K266" t="s">
        <v>40</v>
      </c>
      <c r="L266" t="s">
        <v>41</v>
      </c>
      <c r="M266" t="s">
        <v>42</v>
      </c>
      <c r="N266" s="7">
        <v>7</v>
      </c>
      <c r="O266" s="8">
        <v>44994.486388888887</v>
      </c>
      <c r="P266" s="9">
        <v>44996</v>
      </c>
      <c r="Q266" t="s">
        <v>36</v>
      </c>
      <c r="R266" t="s">
        <v>43</v>
      </c>
      <c r="S266" t="s">
        <v>44</v>
      </c>
      <c r="T266" t="s">
        <v>104</v>
      </c>
      <c r="U266" t="s">
        <v>903</v>
      </c>
      <c r="V266">
        <v>81700</v>
      </c>
      <c r="W266" t="s">
        <v>43</v>
      </c>
      <c r="X266" t="s">
        <v>904</v>
      </c>
      <c r="Y266" t="s">
        <v>49</v>
      </c>
      <c r="Z266" s="12">
        <f>IF(N266&lt;=1,7,7+0.8*ROUNDUP(N266-1,0))</f>
        <v>11.8</v>
      </c>
      <c r="AA266" s="11">
        <v>0</v>
      </c>
      <c r="AB266" s="11">
        <v>0</v>
      </c>
      <c r="AC266" s="11">
        <v>0</v>
      </c>
      <c r="AD266" s="11">
        <v>0</v>
      </c>
      <c r="AE266" s="11">
        <f t="shared" si="8"/>
        <v>0.70799999999999996</v>
      </c>
      <c r="AF266" s="11">
        <f t="shared" si="9"/>
        <v>12.508000000000001</v>
      </c>
      <c r="AG266" t="s">
        <v>43</v>
      </c>
    </row>
    <row r="267" spans="1:33" ht="15" customHeight="1" x14ac:dyDescent="0.35">
      <c r="A267">
        <v>690929</v>
      </c>
      <c r="B267" t="s">
        <v>33</v>
      </c>
      <c r="C267" t="s">
        <v>34</v>
      </c>
      <c r="D267" s="6" t="s">
        <v>33</v>
      </c>
      <c r="E267" t="s">
        <v>905</v>
      </c>
      <c r="F267" t="s">
        <v>36</v>
      </c>
      <c r="G267" t="s">
        <v>37</v>
      </c>
      <c r="H267" t="s">
        <v>902</v>
      </c>
      <c r="I267" t="s">
        <v>39</v>
      </c>
      <c r="J267">
        <v>2</v>
      </c>
      <c r="K267" t="s">
        <v>40</v>
      </c>
      <c r="L267" t="s">
        <v>41</v>
      </c>
      <c r="M267" t="s">
        <v>42</v>
      </c>
      <c r="N267" s="7">
        <v>1</v>
      </c>
      <c r="O267" s="8">
        <v>44994.486990740741</v>
      </c>
      <c r="P267" s="9">
        <v>44996</v>
      </c>
      <c r="Q267" t="s">
        <v>36</v>
      </c>
      <c r="R267" t="s">
        <v>43</v>
      </c>
      <c r="S267" t="s">
        <v>44</v>
      </c>
      <c r="T267" t="s">
        <v>104</v>
      </c>
      <c r="U267" t="s">
        <v>903</v>
      </c>
      <c r="V267">
        <v>81700</v>
      </c>
      <c r="W267" t="s">
        <v>43</v>
      </c>
      <c r="X267" t="s">
        <v>62</v>
      </c>
      <c r="Y267" t="s">
        <v>49</v>
      </c>
      <c r="Z267" s="12">
        <f>IF(N267&lt;=1,7,7+0.8*ROUNDUP(N267-1,0))</f>
        <v>7</v>
      </c>
      <c r="AA267" s="11">
        <v>0</v>
      </c>
      <c r="AB267" s="11">
        <v>0</v>
      </c>
      <c r="AC267" s="11">
        <v>0</v>
      </c>
      <c r="AD267" s="11">
        <v>0</v>
      </c>
      <c r="AE267" s="11">
        <f t="shared" si="8"/>
        <v>0.42</v>
      </c>
      <c r="AF267" s="11">
        <f t="shared" si="9"/>
        <v>7.42</v>
      </c>
      <c r="AG267" t="s">
        <v>43</v>
      </c>
    </row>
    <row r="268" spans="1:33" ht="15" customHeight="1" x14ac:dyDescent="0.35">
      <c r="A268">
        <v>690929</v>
      </c>
      <c r="B268" t="s">
        <v>33</v>
      </c>
      <c r="C268" t="s">
        <v>34</v>
      </c>
      <c r="D268" s="6" t="s">
        <v>33</v>
      </c>
      <c r="E268" t="s">
        <v>906</v>
      </c>
      <c r="F268" t="s">
        <v>36</v>
      </c>
      <c r="G268" t="s">
        <v>37</v>
      </c>
      <c r="H268" t="s">
        <v>907</v>
      </c>
      <c r="I268" t="s">
        <v>39</v>
      </c>
      <c r="J268">
        <v>2</v>
      </c>
      <c r="K268" t="s">
        <v>40</v>
      </c>
      <c r="L268" t="s">
        <v>41</v>
      </c>
      <c r="M268" t="s">
        <v>42</v>
      </c>
      <c r="N268" s="7">
        <v>1</v>
      </c>
      <c r="O268" s="8">
        <v>44993.415219907409</v>
      </c>
      <c r="P268" s="9">
        <v>44996</v>
      </c>
      <c r="Q268" t="s">
        <v>36</v>
      </c>
      <c r="R268" t="s">
        <v>43</v>
      </c>
      <c r="S268" t="s">
        <v>44</v>
      </c>
      <c r="T268" t="s">
        <v>45</v>
      </c>
      <c r="U268" t="s">
        <v>908</v>
      </c>
      <c r="V268">
        <v>89308</v>
      </c>
      <c r="W268" t="s">
        <v>47</v>
      </c>
      <c r="X268" t="s">
        <v>909</v>
      </c>
      <c r="Y268" t="s">
        <v>49</v>
      </c>
      <c r="Z268" s="10">
        <f>IF(N268&lt;=1,13,IF(N268&lt;=2,23,IF(N268&lt;=3,35,IF(N268&lt;=4,43,IF(N268&lt;=5,53,IF(N268&lt;=6,63,IF(N268&lt;=7,71,IF(N268&lt;=8,79,IF(N268&lt;=9,87,IF(N268&lt;=10,95,IF(N268&lt;=11,105,IF(N268&lt;=12,114,IF(N268&lt;=13,119,IF(N268&lt;=14,127,IF(N268&lt;=15,135,IF(N268&lt;=16,143,IF(N268&lt;=17,153,IF(N268&lt;=18,163,IF(N268&lt;=19,171,IF(N268&lt;=20,185,IF(N268&lt;=21,193,IF(N268&lt;=22,201,IF(N268&lt;=23,210,IF(N268&lt;=24,220,IF(N268&lt;=25,230,IF(N268&lt;=26,240,IF(N268&lt;=27,250,IF(N268&lt;=28,260,IF(N268&lt;=29,270,IF(N268&lt;=30,280,280))))))))))))))))))))))))))))))</f>
        <v>13</v>
      </c>
      <c r="AA268" s="11">
        <v>0</v>
      </c>
      <c r="AB268" s="11">
        <v>0</v>
      </c>
      <c r="AC268" s="11">
        <v>0</v>
      </c>
      <c r="AD268" s="11">
        <v>0</v>
      </c>
      <c r="AE268" s="11">
        <f t="shared" si="8"/>
        <v>0.78</v>
      </c>
      <c r="AF268" s="11">
        <f t="shared" si="9"/>
        <v>13.78</v>
      </c>
      <c r="AG268" t="s">
        <v>47</v>
      </c>
    </row>
    <row r="269" spans="1:33" ht="15" customHeight="1" x14ac:dyDescent="0.35">
      <c r="A269">
        <v>690929</v>
      </c>
      <c r="B269" t="s">
        <v>33</v>
      </c>
      <c r="C269" t="s">
        <v>34</v>
      </c>
      <c r="D269" s="6" t="s">
        <v>33</v>
      </c>
      <c r="E269" t="s">
        <v>910</v>
      </c>
      <c r="F269" t="s">
        <v>36</v>
      </c>
      <c r="G269" t="s">
        <v>37</v>
      </c>
      <c r="H269" t="s">
        <v>911</v>
      </c>
      <c r="I269" t="s">
        <v>39</v>
      </c>
      <c r="J269">
        <v>2</v>
      </c>
      <c r="K269" t="s">
        <v>40</v>
      </c>
      <c r="L269" t="s">
        <v>41</v>
      </c>
      <c r="M269" t="s">
        <v>42</v>
      </c>
      <c r="N269" s="7">
        <v>6</v>
      </c>
      <c r="O269" s="8">
        <v>44993.749155092592</v>
      </c>
      <c r="P269" s="9">
        <v>44996</v>
      </c>
      <c r="Q269" t="s">
        <v>36</v>
      </c>
      <c r="R269" t="s">
        <v>43</v>
      </c>
      <c r="S269" t="s">
        <v>44</v>
      </c>
      <c r="T269" t="s">
        <v>316</v>
      </c>
      <c r="U269" t="s">
        <v>912</v>
      </c>
      <c r="V269">
        <v>13200</v>
      </c>
      <c r="W269" t="s">
        <v>43</v>
      </c>
      <c r="X269" t="s">
        <v>62</v>
      </c>
      <c r="Y269" t="s">
        <v>49</v>
      </c>
      <c r="Z269" s="12">
        <f>IF(N269&lt;=1,7,7+0.8*ROUNDUP(N269-1,0))</f>
        <v>11</v>
      </c>
      <c r="AA269" s="11">
        <v>0</v>
      </c>
      <c r="AB269" s="11">
        <v>0</v>
      </c>
      <c r="AC269" s="11">
        <v>0</v>
      </c>
      <c r="AD269" s="11">
        <v>0</v>
      </c>
      <c r="AE269" s="11">
        <f t="shared" si="8"/>
        <v>0.65999999999999992</v>
      </c>
      <c r="AF269" s="11">
        <f t="shared" si="9"/>
        <v>11.66</v>
      </c>
      <c r="AG269" t="s">
        <v>43</v>
      </c>
    </row>
    <row r="270" spans="1:33" ht="15" customHeight="1" x14ac:dyDescent="0.35">
      <c r="A270">
        <v>690929</v>
      </c>
      <c r="B270" t="s">
        <v>33</v>
      </c>
      <c r="C270" t="s">
        <v>34</v>
      </c>
      <c r="D270" s="6" t="s">
        <v>33</v>
      </c>
      <c r="E270" t="s">
        <v>913</v>
      </c>
      <c r="F270" t="s">
        <v>36</v>
      </c>
      <c r="G270" t="s">
        <v>37</v>
      </c>
      <c r="H270" t="s">
        <v>914</v>
      </c>
      <c r="I270" t="s">
        <v>39</v>
      </c>
      <c r="J270">
        <v>2</v>
      </c>
      <c r="K270" t="s">
        <v>40</v>
      </c>
      <c r="L270" t="s">
        <v>41</v>
      </c>
      <c r="M270" t="s">
        <v>42</v>
      </c>
      <c r="N270" s="7">
        <v>1</v>
      </c>
      <c r="O270" s="8">
        <v>44991.500972222224</v>
      </c>
      <c r="P270" s="9">
        <v>44996</v>
      </c>
      <c r="Q270" t="s">
        <v>36</v>
      </c>
      <c r="R270" t="s">
        <v>43</v>
      </c>
      <c r="S270" t="s">
        <v>44</v>
      </c>
      <c r="T270" t="s">
        <v>217</v>
      </c>
      <c r="U270" t="s">
        <v>915</v>
      </c>
      <c r="V270">
        <v>98200</v>
      </c>
      <c r="W270" t="s">
        <v>47</v>
      </c>
      <c r="X270" t="s">
        <v>916</v>
      </c>
      <c r="Y270" t="s">
        <v>49</v>
      </c>
      <c r="Z270" s="10">
        <f>IF(N270&lt;=1,13,IF(N270&lt;=2,23,IF(N270&lt;=3,35,IF(N270&lt;=4,43,IF(N270&lt;=5,53,IF(N270&lt;=6,63,IF(N270&lt;=7,71,IF(N270&lt;=8,79,IF(N270&lt;=9,87,IF(N270&lt;=10,95,IF(N270&lt;=11,105,IF(N270&lt;=12,114,IF(N270&lt;=13,119,IF(N270&lt;=14,127,IF(N270&lt;=15,135,IF(N270&lt;=16,143,IF(N270&lt;=17,153,IF(N270&lt;=18,163,IF(N270&lt;=19,171,IF(N270&lt;=20,185,IF(N270&lt;=21,193,IF(N270&lt;=22,201,IF(N270&lt;=23,210,IF(N270&lt;=24,220,IF(N270&lt;=25,230,IF(N270&lt;=26,240,IF(N270&lt;=27,250,IF(N270&lt;=28,260,IF(N270&lt;=29,270,IF(N270&lt;=30,280,280))))))))))))))))))))))))))))))</f>
        <v>13</v>
      </c>
      <c r="AA270" s="11">
        <v>0</v>
      </c>
      <c r="AB270" s="11">
        <v>0</v>
      </c>
      <c r="AC270" s="11">
        <v>0</v>
      </c>
      <c r="AD270" s="11">
        <v>0</v>
      </c>
      <c r="AE270" s="11">
        <f t="shared" si="8"/>
        <v>0.78</v>
      </c>
      <c r="AF270" s="11">
        <f t="shared" si="9"/>
        <v>13.78</v>
      </c>
      <c r="AG270" t="s">
        <v>47</v>
      </c>
    </row>
    <row r="271" spans="1:33" ht="15" customHeight="1" x14ac:dyDescent="0.35">
      <c r="A271">
        <v>690929</v>
      </c>
      <c r="B271" t="s">
        <v>33</v>
      </c>
      <c r="C271" t="s">
        <v>34</v>
      </c>
      <c r="D271" s="6" t="s">
        <v>33</v>
      </c>
      <c r="E271" t="s">
        <v>917</v>
      </c>
      <c r="F271" t="s">
        <v>36</v>
      </c>
      <c r="G271" t="s">
        <v>37</v>
      </c>
      <c r="H271" t="s">
        <v>918</v>
      </c>
      <c r="I271" t="s">
        <v>39</v>
      </c>
      <c r="J271">
        <v>2</v>
      </c>
      <c r="K271" t="s">
        <v>40</v>
      </c>
      <c r="L271" t="s">
        <v>41</v>
      </c>
      <c r="M271" t="s">
        <v>42</v>
      </c>
      <c r="N271" s="7">
        <v>1</v>
      </c>
      <c r="O271" s="8">
        <v>44995.487881944442</v>
      </c>
      <c r="P271" s="9">
        <v>44997</v>
      </c>
      <c r="Q271" t="s">
        <v>36</v>
      </c>
      <c r="R271" t="s">
        <v>43</v>
      </c>
      <c r="S271" t="s">
        <v>44</v>
      </c>
      <c r="T271" t="s">
        <v>92</v>
      </c>
      <c r="U271" t="s">
        <v>919</v>
      </c>
      <c r="V271">
        <v>20050</v>
      </c>
      <c r="W271" t="s">
        <v>43</v>
      </c>
      <c r="X271" t="s">
        <v>44</v>
      </c>
      <c r="Y271" t="s">
        <v>49</v>
      </c>
      <c r="Z271" s="12">
        <f>IF(N271&lt;=1,7,7+0.8*ROUNDUP(N271-1,0))</f>
        <v>7</v>
      </c>
      <c r="AA271" s="11">
        <v>0</v>
      </c>
      <c r="AB271" s="11">
        <v>0</v>
      </c>
      <c r="AC271" s="11">
        <v>0</v>
      </c>
      <c r="AD271" s="11">
        <v>0</v>
      </c>
      <c r="AE271" s="11">
        <f t="shared" si="8"/>
        <v>0.42</v>
      </c>
      <c r="AF271" s="11">
        <f t="shared" si="9"/>
        <v>7.42</v>
      </c>
      <c r="AG271" t="s">
        <v>43</v>
      </c>
    </row>
    <row r="272" spans="1:33" ht="15" customHeight="1" x14ac:dyDescent="0.35">
      <c r="A272">
        <v>690929</v>
      </c>
      <c r="B272" t="s">
        <v>33</v>
      </c>
      <c r="C272" t="s">
        <v>34</v>
      </c>
      <c r="D272" s="6" t="s">
        <v>33</v>
      </c>
      <c r="E272" t="s">
        <v>920</v>
      </c>
      <c r="F272" t="s">
        <v>36</v>
      </c>
      <c r="G272" t="s">
        <v>37</v>
      </c>
      <c r="H272" t="s">
        <v>921</v>
      </c>
      <c r="I272" t="s">
        <v>39</v>
      </c>
      <c r="J272">
        <v>2</v>
      </c>
      <c r="K272" t="s">
        <v>40</v>
      </c>
      <c r="L272" t="s">
        <v>41</v>
      </c>
      <c r="M272" t="s">
        <v>42</v>
      </c>
      <c r="N272" s="7">
        <v>1</v>
      </c>
      <c r="O272" s="8">
        <v>44994.740347222221</v>
      </c>
      <c r="P272" s="9">
        <v>44997</v>
      </c>
      <c r="Q272" t="s">
        <v>36</v>
      </c>
      <c r="R272" t="s">
        <v>43</v>
      </c>
      <c r="S272" t="s">
        <v>74</v>
      </c>
      <c r="T272" t="s">
        <v>149</v>
      </c>
      <c r="U272" t="s">
        <v>922</v>
      </c>
      <c r="V272">
        <v>8000</v>
      </c>
      <c r="W272" t="s">
        <v>43</v>
      </c>
      <c r="X272" t="s">
        <v>481</v>
      </c>
      <c r="Y272" t="s">
        <v>49</v>
      </c>
      <c r="Z272" s="12">
        <f>IF(N272&lt;=1,7,7+0.8*ROUNDUP(N272-1,0))</f>
        <v>7</v>
      </c>
      <c r="AA272" s="11">
        <v>0</v>
      </c>
      <c r="AB272" s="11">
        <v>0</v>
      </c>
      <c r="AC272" s="11">
        <v>0</v>
      </c>
      <c r="AD272" s="11">
        <v>0</v>
      </c>
      <c r="AE272" s="11">
        <f t="shared" si="8"/>
        <v>0.42</v>
      </c>
      <c r="AF272" s="11">
        <f t="shared" si="9"/>
        <v>7.42</v>
      </c>
      <c r="AG272" t="s">
        <v>43</v>
      </c>
    </row>
    <row r="273" spans="1:33" ht="15" customHeight="1" x14ac:dyDescent="0.35">
      <c r="A273">
        <v>690929</v>
      </c>
      <c r="B273" t="s">
        <v>33</v>
      </c>
      <c r="C273" t="s">
        <v>34</v>
      </c>
      <c r="D273" s="6" t="s">
        <v>33</v>
      </c>
      <c r="E273" t="s">
        <v>923</v>
      </c>
      <c r="F273" t="s">
        <v>36</v>
      </c>
      <c r="G273" t="s">
        <v>37</v>
      </c>
      <c r="H273" t="s">
        <v>924</v>
      </c>
      <c r="I273" t="s">
        <v>39</v>
      </c>
      <c r="J273">
        <v>2</v>
      </c>
      <c r="K273" t="s">
        <v>40</v>
      </c>
      <c r="L273" t="s">
        <v>41</v>
      </c>
      <c r="M273" t="s">
        <v>42</v>
      </c>
      <c r="N273" s="7">
        <v>2</v>
      </c>
      <c r="O273" s="8">
        <v>44995.533425925925</v>
      </c>
      <c r="P273" s="9">
        <v>44997</v>
      </c>
      <c r="Q273" t="s">
        <v>36</v>
      </c>
      <c r="R273" t="s">
        <v>43</v>
      </c>
      <c r="S273" t="s">
        <v>44</v>
      </c>
      <c r="T273" t="s">
        <v>79</v>
      </c>
      <c r="U273" t="s">
        <v>925</v>
      </c>
      <c r="V273">
        <v>16210</v>
      </c>
      <c r="W273" t="s">
        <v>43</v>
      </c>
      <c r="X273" t="s">
        <v>926</v>
      </c>
      <c r="Y273" t="s">
        <v>49</v>
      </c>
      <c r="Z273" s="12">
        <f>IF(N273&lt;=1,7,7+0.8*ROUNDUP(N273-1,0))</f>
        <v>7.8</v>
      </c>
      <c r="AA273" s="11">
        <v>0</v>
      </c>
      <c r="AB273" s="11">
        <v>0</v>
      </c>
      <c r="AC273" s="11">
        <v>0</v>
      </c>
      <c r="AD273" s="11">
        <v>0</v>
      </c>
      <c r="AE273" s="11">
        <f t="shared" si="8"/>
        <v>0.46799999999999997</v>
      </c>
      <c r="AF273" s="11">
        <f t="shared" si="9"/>
        <v>8.2680000000000007</v>
      </c>
      <c r="AG273" t="s">
        <v>43</v>
      </c>
    </row>
    <row r="274" spans="1:33" ht="15" customHeight="1" x14ac:dyDescent="0.35">
      <c r="A274">
        <v>690929</v>
      </c>
      <c r="B274" t="s">
        <v>33</v>
      </c>
      <c r="C274" t="s">
        <v>34</v>
      </c>
      <c r="D274" s="6" t="s">
        <v>33</v>
      </c>
      <c r="E274" t="s">
        <v>927</v>
      </c>
      <c r="F274" t="s">
        <v>36</v>
      </c>
      <c r="G274" t="s">
        <v>37</v>
      </c>
      <c r="H274" t="s">
        <v>928</v>
      </c>
      <c r="I274" t="s">
        <v>39</v>
      </c>
      <c r="J274">
        <v>2</v>
      </c>
      <c r="K274" t="s">
        <v>40</v>
      </c>
      <c r="L274" t="s">
        <v>41</v>
      </c>
      <c r="M274" t="s">
        <v>42</v>
      </c>
      <c r="N274" s="7">
        <v>1</v>
      </c>
      <c r="O274" s="8">
        <v>44994.606087962966</v>
      </c>
      <c r="P274" s="9">
        <v>44997</v>
      </c>
      <c r="Q274" t="s">
        <v>36</v>
      </c>
      <c r="R274" t="s">
        <v>43</v>
      </c>
      <c r="S274" t="s">
        <v>44</v>
      </c>
      <c r="T274" t="s">
        <v>183</v>
      </c>
      <c r="U274" t="s">
        <v>929</v>
      </c>
      <c r="V274">
        <v>75260</v>
      </c>
      <c r="W274" t="s">
        <v>43</v>
      </c>
      <c r="X274" t="s">
        <v>62</v>
      </c>
      <c r="Y274" t="s">
        <v>49</v>
      </c>
      <c r="Z274" s="12">
        <f>IF(N274&lt;=1,7,7+0.8*ROUNDUP(N274-1,0))</f>
        <v>7</v>
      </c>
      <c r="AA274" s="11">
        <v>0</v>
      </c>
      <c r="AB274" s="11">
        <v>0</v>
      </c>
      <c r="AC274" s="11">
        <v>0</v>
      </c>
      <c r="AD274" s="11">
        <v>0</v>
      </c>
      <c r="AE274" s="11">
        <f t="shared" si="8"/>
        <v>0.42</v>
      </c>
      <c r="AF274" s="11">
        <f t="shared" si="9"/>
        <v>7.42</v>
      </c>
      <c r="AG274" t="s">
        <v>43</v>
      </c>
    </row>
    <row r="275" spans="1:33" ht="15" customHeight="1" x14ac:dyDescent="0.35">
      <c r="A275">
        <v>690929</v>
      </c>
      <c r="B275" t="s">
        <v>33</v>
      </c>
      <c r="C275" t="s">
        <v>34</v>
      </c>
      <c r="D275" s="6" t="s">
        <v>33</v>
      </c>
      <c r="E275" t="s">
        <v>930</v>
      </c>
      <c r="F275" t="s">
        <v>36</v>
      </c>
      <c r="G275" t="s">
        <v>37</v>
      </c>
      <c r="H275" t="s">
        <v>931</v>
      </c>
      <c r="I275" t="s">
        <v>39</v>
      </c>
      <c r="J275">
        <v>2</v>
      </c>
      <c r="K275" t="s">
        <v>40</v>
      </c>
      <c r="L275" t="s">
        <v>41</v>
      </c>
      <c r="M275" t="s">
        <v>42</v>
      </c>
      <c r="N275" s="7">
        <v>2</v>
      </c>
      <c r="O275" s="8">
        <v>44996.436145833337</v>
      </c>
      <c r="P275" s="9">
        <v>44997</v>
      </c>
      <c r="Q275" t="s">
        <v>36</v>
      </c>
      <c r="R275" t="s">
        <v>43</v>
      </c>
      <c r="S275" t="s">
        <v>44</v>
      </c>
      <c r="T275" t="s">
        <v>79</v>
      </c>
      <c r="U275" t="s">
        <v>932</v>
      </c>
      <c r="V275">
        <v>16800</v>
      </c>
      <c r="W275" t="s">
        <v>43</v>
      </c>
      <c r="X275" t="s">
        <v>933</v>
      </c>
      <c r="Y275" t="s">
        <v>49</v>
      </c>
      <c r="Z275" s="12">
        <f>IF(N275&lt;=1,7,7+0.8*ROUNDUP(N275-1,0))</f>
        <v>7.8</v>
      </c>
      <c r="AA275" s="11">
        <v>0</v>
      </c>
      <c r="AB275" s="11">
        <v>0</v>
      </c>
      <c r="AC275" s="11">
        <v>0</v>
      </c>
      <c r="AD275" s="11">
        <v>0</v>
      </c>
      <c r="AE275" s="11">
        <f t="shared" si="8"/>
        <v>0.46799999999999997</v>
      </c>
      <c r="AF275" s="11">
        <f t="shared" si="9"/>
        <v>8.2680000000000007</v>
      </c>
      <c r="AG275" t="s">
        <v>43</v>
      </c>
    </row>
    <row r="276" spans="1:33" ht="15" customHeight="1" x14ac:dyDescent="0.35">
      <c r="A276">
        <v>690929</v>
      </c>
      <c r="B276" t="s">
        <v>33</v>
      </c>
      <c r="C276" t="s">
        <v>34</v>
      </c>
      <c r="D276" s="6" t="s">
        <v>33</v>
      </c>
      <c r="E276" t="s">
        <v>934</v>
      </c>
      <c r="F276" t="s">
        <v>36</v>
      </c>
      <c r="G276" t="s">
        <v>37</v>
      </c>
      <c r="H276" t="s">
        <v>935</v>
      </c>
      <c r="I276" t="s">
        <v>39</v>
      </c>
      <c r="J276">
        <v>2</v>
      </c>
      <c r="K276" t="s">
        <v>40</v>
      </c>
      <c r="L276" t="s">
        <v>41</v>
      </c>
      <c r="M276" t="s">
        <v>42</v>
      </c>
      <c r="N276" s="7">
        <v>1</v>
      </c>
      <c r="O276" s="8">
        <v>44995.43886574074</v>
      </c>
      <c r="P276" s="9">
        <v>44997</v>
      </c>
      <c r="Q276" t="s">
        <v>36</v>
      </c>
      <c r="R276" t="s">
        <v>43</v>
      </c>
      <c r="S276" t="s">
        <v>74</v>
      </c>
      <c r="T276" t="s">
        <v>316</v>
      </c>
      <c r="U276" t="s">
        <v>936</v>
      </c>
      <c r="V276">
        <v>13310</v>
      </c>
      <c r="W276" t="s">
        <v>43</v>
      </c>
      <c r="X276" t="s">
        <v>381</v>
      </c>
      <c r="Y276" t="s">
        <v>49</v>
      </c>
      <c r="Z276" s="12">
        <f>IF(N276&lt;=1,7,7+0.8*ROUNDUP(N276-1,0))</f>
        <v>7</v>
      </c>
      <c r="AA276" s="11">
        <v>0</v>
      </c>
      <c r="AB276" s="11">
        <v>0</v>
      </c>
      <c r="AC276" s="11">
        <v>0</v>
      </c>
      <c r="AD276" s="11">
        <v>0</v>
      </c>
      <c r="AE276" s="11">
        <f t="shared" si="8"/>
        <v>0.42</v>
      </c>
      <c r="AF276" s="11">
        <f t="shared" si="9"/>
        <v>7.42</v>
      </c>
      <c r="AG276" t="s">
        <v>43</v>
      </c>
    </row>
    <row r="277" spans="1:33" ht="15" customHeight="1" x14ac:dyDescent="0.35">
      <c r="A277">
        <v>690929</v>
      </c>
      <c r="B277" t="s">
        <v>33</v>
      </c>
      <c r="C277" t="s">
        <v>34</v>
      </c>
      <c r="D277" s="6" t="s">
        <v>33</v>
      </c>
      <c r="E277" t="s">
        <v>937</v>
      </c>
      <c r="F277" t="s">
        <v>36</v>
      </c>
      <c r="G277" t="s">
        <v>37</v>
      </c>
      <c r="H277" t="s">
        <v>938</v>
      </c>
      <c r="I277" t="s">
        <v>39</v>
      </c>
      <c r="J277">
        <v>2</v>
      </c>
      <c r="K277" t="s">
        <v>40</v>
      </c>
      <c r="L277" t="s">
        <v>41</v>
      </c>
      <c r="M277" t="s">
        <v>42</v>
      </c>
      <c r="N277" s="7">
        <v>1</v>
      </c>
      <c r="O277" s="8">
        <v>44996.418726851851</v>
      </c>
      <c r="P277" s="9">
        <v>44998</v>
      </c>
      <c r="Q277" t="s">
        <v>36</v>
      </c>
      <c r="R277" t="s">
        <v>43</v>
      </c>
      <c r="S277" t="s">
        <v>44</v>
      </c>
      <c r="T277" t="s">
        <v>137</v>
      </c>
      <c r="U277" t="s">
        <v>939</v>
      </c>
      <c r="V277">
        <v>30020</v>
      </c>
      <c r="W277" t="s">
        <v>43</v>
      </c>
      <c r="X277" t="s">
        <v>62</v>
      </c>
      <c r="Y277" t="s">
        <v>49</v>
      </c>
      <c r="Z277" s="12">
        <f>IF(N277&lt;=1,7,7+0.8*ROUNDUP(N277-1,0))</f>
        <v>7</v>
      </c>
      <c r="AA277" s="11">
        <v>0</v>
      </c>
      <c r="AB277" s="11">
        <v>0</v>
      </c>
      <c r="AC277" s="11">
        <v>0</v>
      </c>
      <c r="AD277" s="11">
        <v>0</v>
      </c>
      <c r="AE277" s="11">
        <f t="shared" si="8"/>
        <v>0.42</v>
      </c>
      <c r="AF277" s="11">
        <f t="shared" si="9"/>
        <v>7.42</v>
      </c>
      <c r="AG277" t="s">
        <v>43</v>
      </c>
    </row>
    <row r="278" spans="1:33" ht="15" customHeight="1" x14ac:dyDescent="0.35">
      <c r="A278">
        <v>690929</v>
      </c>
      <c r="B278" t="s">
        <v>33</v>
      </c>
      <c r="C278" t="s">
        <v>34</v>
      </c>
      <c r="D278" s="6" t="s">
        <v>33</v>
      </c>
      <c r="E278" t="s">
        <v>940</v>
      </c>
      <c r="F278" t="s">
        <v>36</v>
      </c>
      <c r="G278" t="s">
        <v>37</v>
      </c>
      <c r="H278" t="s">
        <v>941</v>
      </c>
      <c r="I278" t="s">
        <v>39</v>
      </c>
      <c r="J278">
        <v>2</v>
      </c>
      <c r="K278" t="s">
        <v>40</v>
      </c>
      <c r="L278" t="s">
        <v>41</v>
      </c>
      <c r="M278" t="s">
        <v>42</v>
      </c>
      <c r="N278" s="7">
        <v>6</v>
      </c>
      <c r="O278" s="8">
        <v>44996.571099537039</v>
      </c>
      <c r="P278" s="9">
        <v>44998</v>
      </c>
      <c r="Q278" t="s">
        <v>36</v>
      </c>
      <c r="R278" t="s">
        <v>43</v>
      </c>
      <c r="S278" t="s">
        <v>44</v>
      </c>
      <c r="T278" t="s">
        <v>149</v>
      </c>
      <c r="U278" t="s">
        <v>942</v>
      </c>
      <c r="V278">
        <v>8300</v>
      </c>
      <c r="W278" t="s">
        <v>43</v>
      </c>
      <c r="X278" t="s">
        <v>833</v>
      </c>
      <c r="Y278" t="s">
        <v>49</v>
      </c>
      <c r="Z278" s="12">
        <f>IF(N278&lt;=1,7,7+0.8*ROUNDUP(N278-1,0))</f>
        <v>11</v>
      </c>
      <c r="AA278" s="11">
        <v>0</v>
      </c>
      <c r="AB278" s="11">
        <v>0</v>
      </c>
      <c r="AC278" s="11">
        <v>0</v>
      </c>
      <c r="AD278" s="11">
        <v>0</v>
      </c>
      <c r="AE278" s="11">
        <f t="shared" si="8"/>
        <v>0.65999999999999992</v>
      </c>
      <c r="AF278" s="11">
        <f t="shared" si="9"/>
        <v>11.66</v>
      </c>
      <c r="AG278" t="s">
        <v>43</v>
      </c>
    </row>
    <row r="279" spans="1:33" ht="15" customHeight="1" x14ac:dyDescent="0.35">
      <c r="A279">
        <v>690929</v>
      </c>
      <c r="B279" t="s">
        <v>33</v>
      </c>
      <c r="C279" t="s">
        <v>34</v>
      </c>
      <c r="D279" s="6" t="s">
        <v>33</v>
      </c>
      <c r="E279" t="s">
        <v>943</v>
      </c>
      <c r="F279" t="s">
        <v>36</v>
      </c>
      <c r="G279" t="s">
        <v>37</v>
      </c>
      <c r="H279" t="s">
        <v>941</v>
      </c>
      <c r="I279" t="s">
        <v>39</v>
      </c>
      <c r="J279">
        <v>2</v>
      </c>
      <c r="K279" t="s">
        <v>40</v>
      </c>
      <c r="L279" t="s">
        <v>41</v>
      </c>
      <c r="M279" t="s">
        <v>42</v>
      </c>
      <c r="N279" s="7">
        <v>6</v>
      </c>
      <c r="O279" s="8">
        <v>44996.571099537039</v>
      </c>
      <c r="P279" s="9">
        <v>44998</v>
      </c>
      <c r="Q279" t="s">
        <v>36</v>
      </c>
      <c r="R279" t="s">
        <v>43</v>
      </c>
      <c r="S279" t="s">
        <v>44</v>
      </c>
      <c r="T279" t="s">
        <v>149</v>
      </c>
      <c r="U279" t="s">
        <v>942</v>
      </c>
      <c r="V279">
        <v>8300</v>
      </c>
      <c r="W279" t="s">
        <v>43</v>
      </c>
      <c r="X279" t="s">
        <v>833</v>
      </c>
      <c r="Y279" t="s">
        <v>49</v>
      </c>
      <c r="Z279" s="12">
        <f>IF(N279&lt;=1,7,7+0.8*ROUNDUP(N279-1,0))</f>
        <v>11</v>
      </c>
      <c r="AA279" s="11">
        <v>0</v>
      </c>
      <c r="AB279" s="11">
        <v>0</v>
      </c>
      <c r="AC279" s="11">
        <v>0</v>
      </c>
      <c r="AD279" s="11">
        <v>0</v>
      </c>
      <c r="AE279" s="11">
        <f t="shared" si="8"/>
        <v>0.65999999999999992</v>
      </c>
      <c r="AF279" s="11">
        <f t="shared" si="9"/>
        <v>11.66</v>
      </c>
      <c r="AG279" t="s">
        <v>43</v>
      </c>
    </row>
    <row r="280" spans="1:33" ht="15" customHeight="1" x14ac:dyDescent="0.35">
      <c r="A280">
        <v>690929</v>
      </c>
      <c r="B280" t="s">
        <v>33</v>
      </c>
      <c r="C280" t="s">
        <v>34</v>
      </c>
      <c r="D280" s="6" t="s">
        <v>33</v>
      </c>
      <c r="E280" t="s">
        <v>944</v>
      </c>
      <c r="F280" t="s">
        <v>36</v>
      </c>
      <c r="G280" t="s">
        <v>37</v>
      </c>
      <c r="H280" t="s">
        <v>945</v>
      </c>
      <c r="I280" t="s">
        <v>39</v>
      </c>
      <c r="J280">
        <v>2</v>
      </c>
      <c r="K280" t="s">
        <v>40</v>
      </c>
      <c r="L280" t="s">
        <v>41</v>
      </c>
      <c r="M280" t="s">
        <v>42</v>
      </c>
      <c r="N280" s="7">
        <v>1</v>
      </c>
      <c r="O280" s="8">
        <v>44995.72587962963</v>
      </c>
      <c r="P280" s="9">
        <v>44998</v>
      </c>
      <c r="Q280" t="s">
        <v>36</v>
      </c>
      <c r="R280" t="s">
        <v>43</v>
      </c>
      <c r="S280" t="s">
        <v>44</v>
      </c>
      <c r="T280" t="s">
        <v>183</v>
      </c>
      <c r="U280" t="s">
        <v>946</v>
      </c>
      <c r="V280">
        <v>76100</v>
      </c>
      <c r="W280" t="s">
        <v>43</v>
      </c>
      <c r="X280" t="s">
        <v>62</v>
      </c>
      <c r="Y280" t="s">
        <v>49</v>
      </c>
      <c r="Z280" s="12">
        <f>IF(N280&lt;=1,7,7+0.8*ROUNDUP(N280-1,0))</f>
        <v>7</v>
      </c>
      <c r="AA280" s="11">
        <v>0</v>
      </c>
      <c r="AB280" s="11">
        <v>0</v>
      </c>
      <c r="AC280" s="11">
        <v>0</v>
      </c>
      <c r="AD280" s="11">
        <v>0</v>
      </c>
      <c r="AE280" s="11">
        <f t="shared" si="8"/>
        <v>0.42</v>
      </c>
      <c r="AF280" s="11">
        <f t="shared" si="9"/>
        <v>7.42</v>
      </c>
      <c r="AG280" t="s">
        <v>43</v>
      </c>
    </row>
    <row r="281" spans="1:33" ht="15" customHeight="1" x14ac:dyDescent="0.35">
      <c r="A281">
        <v>690929</v>
      </c>
      <c r="B281" t="s">
        <v>33</v>
      </c>
      <c r="C281" t="s">
        <v>34</v>
      </c>
      <c r="D281" s="6" t="s">
        <v>33</v>
      </c>
      <c r="E281" t="s">
        <v>947</v>
      </c>
      <c r="F281" t="s">
        <v>36</v>
      </c>
      <c r="G281" t="s">
        <v>37</v>
      </c>
      <c r="H281" t="s">
        <v>941</v>
      </c>
      <c r="I281" t="s">
        <v>39</v>
      </c>
      <c r="J281">
        <v>2</v>
      </c>
      <c r="K281" t="s">
        <v>40</v>
      </c>
      <c r="L281" t="s">
        <v>41</v>
      </c>
      <c r="M281" t="s">
        <v>42</v>
      </c>
      <c r="N281" s="7">
        <v>6</v>
      </c>
      <c r="O281" s="8">
        <v>44996.571099537039</v>
      </c>
      <c r="P281" s="9">
        <v>44998</v>
      </c>
      <c r="Q281" t="s">
        <v>36</v>
      </c>
      <c r="R281" t="s">
        <v>43</v>
      </c>
      <c r="S281" t="s">
        <v>44</v>
      </c>
      <c r="T281" t="s">
        <v>149</v>
      </c>
      <c r="U281" t="s">
        <v>942</v>
      </c>
      <c r="V281">
        <v>8300</v>
      </c>
      <c r="W281" t="s">
        <v>43</v>
      </c>
      <c r="X281" t="s">
        <v>833</v>
      </c>
      <c r="Y281" t="s">
        <v>49</v>
      </c>
      <c r="Z281" s="12">
        <f>IF(N281&lt;=1,7,7+0.8*ROUNDUP(N281-1,0))</f>
        <v>11</v>
      </c>
      <c r="AA281" s="11">
        <v>0</v>
      </c>
      <c r="AB281" s="11">
        <v>0</v>
      </c>
      <c r="AC281" s="11">
        <v>0</v>
      </c>
      <c r="AD281" s="11">
        <v>0</v>
      </c>
      <c r="AE281" s="11">
        <f t="shared" si="8"/>
        <v>0.65999999999999992</v>
      </c>
      <c r="AF281" s="11">
        <f t="shared" si="9"/>
        <v>11.66</v>
      </c>
      <c r="AG281" t="s">
        <v>43</v>
      </c>
    </row>
    <row r="282" spans="1:33" ht="15" customHeight="1" x14ac:dyDescent="0.35">
      <c r="A282">
        <v>690929</v>
      </c>
      <c r="B282" t="s">
        <v>33</v>
      </c>
      <c r="C282" t="s">
        <v>34</v>
      </c>
      <c r="D282" s="6" t="s">
        <v>33</v>
      </c>
      <c r="E282" t="s">
        <v>948</v>
      </c>
      <c r="F282" t="s">
        <v>36</v>
      </c>
      <c r="G282" t="s">
        <v>37</v>
      </c>
      <c r="H282" t="s">
        <v>941</v>
      </c>
      <c r="I282" t="s">
        <v>39</v>
      </c>
      <c r="J282">
        <v>2</v>
      </c>
      <c r="K282" t="s">
        <v>40</v>
      </c>
      <c r="L282" t="s">
        <v>41</v>
      </c>
      <c r="M282" t="s">
        <v>42</v>
      </c>
      <c r="N282" s="7">
        <v>6</v>
      </c>
      <c r="O282" s="8">
        <v>44996.571099537039</v>
      </c>
      <c r="P282" s="9">
        <v>44998</v>
      </c>
      <c r="Q282" t="s">
        <v>36</v>
      </c>
      <c r="R282" t="s">
        <v>43</v>
      </c>
      <c r="S282" t="s">
        <v>44</v>
      </c>
      <c r="T282" t="s">
        <v>149</v>
      </c>
      <c r="U282" t="s">
        <v>942</v>
      </c>
      <c r="V282">
        <v>8300</v>
      </c>
      <c r="W282" t="s">
        <v>43</v>
      </c>
      <c r="X282" t="s">
        <v>833</v>
      </c>
      <c r="Y282" t="s">
        <v>49</v>
      </c>
      <c r="Z282" s="12">
        <f>IF(N282&lt;=1,7,7+0.8*ROUNDUP(N282-1,0))</f>
        <v>11</v>
      </c>
      <c r="AA282" s="11">
        <v>0</v>
      </c>
      <c r="AB282" s="11">
        <v>0</v>
      </c>
      <c r="AC282" s="11">
        <v>0</v>
      </c>
      <c r="AD282" s="11">
        <v>0</v>
      </c>
      <c r="AE282" s="11">
        <f t="shared" si="8"/>
        <v>0.65999999999999992</v>
      </c>
      <c r="AF282" s="11">
        <f t="shared" si="9"/>
        <v>11.66</v>
      </c>
      <c r="AG282" t="s">
        <v>43</v>
      </c>
    </row>
    <row r="283" spans="1:33" ht="15" customHeight="1" x14ac:dyDescent="0.35">
      <c r="A283">
        <v>690929</v>
      </c>
      <c r="B283" t="s">
        <v>33</v>
      </c>
      <c r="C283" t="s">
        <v>34</v>
      </c>
      <c r="D283" s="6" t="s">
        <v>33</v>
      </c>
      <c r="E283" t="s">
        <v>949</v>
      </c>
      <c r="F283" t="s">
        <v>36</v>
      </c>
      <c r="G283" t="s">
        <v>37</v>
      </c>
      <c r="H283" t="s">
        <v>950</v>
      </c>
      <c r="I283" t="s">
        <v>39</v>
      </c>
      <c r="J283">
        <v>2</v>
      </c>
      <c r="K283" t="s">
        <v>40</v>
      </c>
      <c r="L283" t="s">
        <v>41</v>
      </c>
      <c r="M283" t="s">
        <v>42</v>
      </c>
      <c r="N283" s="7">
        <v>1</v>
      </c>
      <c r="O283" s="8">
        <v>44995.72587962963</v>
      </c>
      <c r="P283" s="9">
        <v>44998</v>
      </c>
      <c r="Q283" t="s">
        <v>36</v>
      </c>
      <c r="R283" t="s">
        <v>43</v>
      </c>
      <c r="S283" t="s">
        <v>44</v>
      </c>
      <c r="T283" t="s">
        <v>137</v>
      </c>
      <c r="U283" t="s">
        <v>951</v>
      </c>
      <c r="V283">
        <v>31750</v>
      </c>
      <c r="W283" t="s">
        <v>43</v>
      </c>
      <c r="X283" t="s">
        <v>62</v>
      </c>
      <c r="Y283" t="s">
        <v>49</v>
      </c>
      <c r="Z283" s="12">
        <f>IF(N283&lt;=1,7,7+0.8*ROUNDUP(N283-1,0))</f>
        <v>7</v>
      </c>
      <c r="AA283" s="11">
        <v>0</v>
      </c>
      <c r="AB283" s="11">
        <v>0</v>
      </c>
      <c r="AC283" s="11">
        <v>0</v>
      </c>
      <c r="AD283" s="11">
        <v>0</v>
      </c>
      <c r="AE283" s="11">
        <f t="shared" si="8"/>
        <v>0.42</v>
      </c>
      <c r="AF283" s="11">
        <f t="shared" si="9"/>
        <v>7.42</v>
      </c>
      <c r="AG283" t="s">
        <v>43</v>
      </c>
    </row>
    <row r="284" spans="1:33" ht="15" customHeight="1" x14ac:dyDescent="0.35">
      <c r="A284">
        <v>690929</v>
      </c>
      <c r="B284" t="s">
        <v>33</v>
      </c>
      <c r="C284" t="s">
        <v>34</v>
      </c>
      <c r="D284" s="6" t="s">
        <v>33</v>
      </c>
      <c r="E284" t="s">
        <v>952</v>
      </c>
      <c r="F284" t="s">
        <v>36</v>
      </c>
      <c r="G284" t="s">
        <v>37</v>
      </c>
      <c r="H284" t="s">
        <v>941</v>
      </c>
      <c r="I284" t="s">
        <v>39</v>
      </c>
      <c r="J284">
        <v>2</v>
      </c>
      <c r="K284" t="s">
        <v>40</v>
      </c>
      <c r="L284" t="s">
        <v>41</v>
      </c>
      <c r="M284" t="s">
        <v>42</v>
      </c>
      <c r="N284" s="7">
        <v>6</v>
      </c>
      <c r="O284" s="8">
        <v>44996.571099537039</v>
      </c>
      <c r="P284" s="9">
        <v>44998</v>
      </c>
      <c r="Q284" t="s">
        <v>36</v>
      </c>
      <c r="R284" t="s">
        <v>43</v>
      </c>
      <c r="S284" t="s">
        <v>44</v>
      </c>
      <c r="T284" t="s">
        <v>149</v>
      </c>
      <c r="U284" t="s">
        <v>942</v>
      </c>
      <c r="V284">
        <v>8300</v>
      </c>
      <c r="W284" t="s">
        <v>43</v>
      </c>
      <c r="X284" t="s">
        <v>833</v>
      </c>
      <c r="Y284" t="s">
        <v>49</v>
      </c>
      <c r="Z284" s="12">
        <f>IF(N284&lt;=1,7,7+0.8*ROUNDUP(N284-1,0))</f>
        <v>11</v>
      </c>
      <c r="AA284" s="11">
        <v>0</v>
      </c>
      <c r="AB284" s="11">
        <v>0</v>
      </c>
      <c r="AC284" s="11">
        <v>0</v>
      </c>
      <c r="AD284" s="11">
        <v>0</v>
      </c>
      <c r="AE284" s="11">
        <f t="shared" si="8"/>
        <v>0.65999999999999992</v>
      </c>
      <c r="AF284" s="11">
        <f t="shared" si="9"/>
        <v>11.66</v>
      </c>
      <c r="AG284" t="s">
        <v>43</v>
      </c>
    </row>
    <row r="285" spans="1:33" ht="15" customHeight="1" x14ac:dyDescent="0.35">
      <c r="A285">
        <v>690929</v>
      </c>
      <c r="B285" t="s">
        <v>33</v>
      </c>
      <c r="C285" t="s">
        <v>34</v>
      </c>
      <c r="D285" s="6" t="s">
        <v>33</v>
      </c>
      <c r="E285" t="s">
        <v>953</v>
      </c>
      <c r="F285" t="s">
        <v>36</v>
      </c>
      <c r="G285" t="s">
        <v>37</v>
      </c>
      <c r="H285" t="s">
        <v>954</v>
      </c>
      <c r="I285" t="s">
        <v>39</v>
      </c>
      <c r="J285">
        <v>2</v>
      </c>
      <c r="K285" t="s">
        <v>40</v>
      </c>
      <c r="L285" t="s">
        <v>41</v>
      </c>
      <c r="M285" t="s">
        <v>42</v>
      </c>
      <c r="N285" s="7">
        <v>1</v>
      </c>
      <c r="O285" s="8">
        <v>44996.53365740741</v>
      </c>
      <c r="P285" s="9">
        <v>44998</v>
      </c>
      <c r="Q285" t="s">
        <v>36</v>
      </c>
      <c r="R285" t="s">
        <v>43</v>
      </c>
      <c r="S285" t="s">
        <v>44</v>
      </c>
      <c r="T285" t="s">
        <v>104</v>
      </c>
      <c r="U285" t="s">
        <v>955</v>
      </c>
      <c r="V285">
        <v>79100</v>
      </c>
      <c r="W285" t="s">
        <v>43</v>
      </c>
      <c r="X285" t="s">
        <v>62</v>
      </c>
      <c r="Y285" t="s">
        <v>49</v>
      </c>
      <c r="Z285" s="12">
        <f>IF(N285&lt;=1,7,7+0.8*ROUNDUP(N285-1,0))</f>
        <v>7</v>
      </c>
      <c r="AA285" s="11">
        <v>0</v>
      </c>
      <c r="AB285" s="11">
        <v>0</v>
      </c>
      <c r="AC285" s="11">
        <v>0</v>
      </c>
      <c r="AD285" s="11">
        <v>0</v>
      </c>
      <c r="AE285" s="11">
        <f t="shared" si="8"/>
        <v>0.42</v>
      </c>
      <c r="AF285" s="11">
        <f t="shared" si="9"/>
        <v>7.42</v>
      </c>
      <c r="AG285" t="s">
        <v>43</v>
      </c>
    </row>
    <row r="286" spans="1:33" ht="15" customHeight="1" x14ac:dyDescent="0.35">
      <c r="A286">
        <v>690929</v>
      </c>
      <c r="B286" t="s">
        <v>33</v>
      </c>
      <c r="C286" t="s">
        <v>34</v>
      </c>
      <c r="D286" s="6" t="s">
        <v>33</v>
      </c>
      <c r="E286" t="s">
        <v>956</v>
      </c>
      <c r="F286" t="s">
        <v>36</v>
      </c>
      <c r="G286" t="s">
        <v>37</v>
      </c>
      <c r="H286" t="s">
        <v>957</v>
      </c>
      <c r="I286" t="s">
        <v>39</v>
      </c>
      <c r="J286">
        <v>2</v>
      </c>
      <c r="K286" t="s">
        <v>40</v>
      </c>
      <c r="L286" t="s">
        <v>41</v>
      </c>
      <c r="M286" t="s">
        <v>42</v>
      </c>
      <c r="N286" s="7">
        <v>10</v>
      </c>
      <c r="O286" s="8">
        <v>44995.401608796295</v>
      </c>
      <c r="P286" s="9">
        <v>44998</v>
      </c>
      <c r="Q286" t="s">
        <v>36</v>
      </c>
      <c r="R286" t="s">
        <v>43</v>
      </c>
      <c r="S286" t="s">
        <v>74</v>
      </c>
      <c r="T286" t="s">
        <v>52</v>
      </c>
      <c r="U286" t="s">
        <v>958</v>
      </c>
      <c r="V286">
        <v>47301</v>
      </c>
      <c r="W286" t="s">
        <v>43</v>
      </c>
      <c r="X286" t="s">
        <v>62</v>
      </c>
      <c r="Y286" t="s">
        <v>49</v>
      </c>
      <c r="Z286" s="12">
        <f>IF(N286&lt;=1,7,7+0.8*ROUNDUP(N286-1,0))</f>
        <v>14.2</v>
      </c>
      <c r="AA286" s="11">
        <v>0</v>
      </c>
      <c r="AB286" s="11">
        <v>0</v>
      </c>
      <c r="AC286" s="11">
        <v>0</v>
      </c>
      <c r="AD286" s="11">
        <v>0</v>
      </c>
      <c r="AE286" s="11">
        <f t="shared" si="8"/>
        <v>0.85199999999999998</v>
      </c>
      <c r="AF286" s="11">
        <f t="shared" si="9"/>
        <v>15.052</v>
      </c>
      <c r="AG286" t="s">
        <v>43</v>
      </c>
    </row>
    <row r="287" spans="1:33" ht="15" customHeight="1" x14ac:dyDescent="0.35">
      <c r="A287">
        <v>690929</v>
      </c>
      <c r="B287" t="s">
        <v>33</v>
      </c>
      <c r="C287" t="s">
        <v>34</v>
      </c>
      <c r="D287" s="6" t="s">
        <v>33</v>
      </c>
      <c r="E287" t="s">
        <v>959</v>
      </c>
      <c r="F287" t="s">
        <v>36</v>
      </c>
      <c r="G287" t="s">
        <v>37</v>
      </c>
      <c r="H287" t="s">
        <v>960</v>
      </c>
      <c r="I287" t="s">
        <v>39</v>
      </c>
      <c r="J287">
        <v>2</v>
      </c>
      <c r="K287" t="s">
        <v>40</v>
      </c>
      <c r="L287" t="s">
        <v>41</v>
      </c>
      <c r="M287" t="s">
        <v>42</v>
      </c>
      <c r="N287" s="7">
        <v>6</v>
      </c>
      <c r="O287" s="8">
        <v>44996.559641203705</v>
      </c>
      <c r="P287" s="9">
        <v>44998</v>
      </c>
      <c r="Q287" t="s">
        <v>36</v>
      </c>
      <c r="R287" t="s">
        <v>43</v>
      </c>
      <c r="S287" t="s">
        <v>44</v>
      </c>
      <c r="T287" t="s">
        <v>52</v>
      </c>
      <c r="U287" t="s">
        <v>961</v>
      </c>
      <c r="V287">
        <v>40100</v>
      </c>
      <c r="W287" t="s">
        <v>43</v>
      </c>
      <c r="X287" t="s">
        <v>124</v>
      </c>
      <c r="Y287" t="s">
        <v>49</v>
      </c>
      <c r="Z287" s="12">
        <f>IF(N287&lt;=1,7,7+0.8*ROUNDUP(N287-1,0))</f>
        <v>11</v>
      </c>
      <c r="AA287" s="11">
        <v>0</v>
      </c>
      <c r="AB287" s="11">
        <v>0</v>
      </c>
      <c r="AC287" s="11">
        <v>0</v>
      </c>
      <c r="AD287" s="11">
        <v>0</v>
      </c>
      <c r="AE287" s="11">
        <f t="shared" si="8"/>
        <v>0.65999999999999992</v>
      </c>
      <c r="AF287" s="11">
        <f t="shared" si="9"/>
        <v>11.66</v>
      </c>
      <c r="AG287" t="s">
        <v>43</v>
      </c>
    </row>
    <row r="288" spans="1:33" ht="15" customHeight="1" x14ac:dyDescent="0.35">
      <c r="A288">
        <v>690929</v>
      </c>
      <c r="B288" t="s">
        <v>33</v>
      </c>
      <c r="C288" t="s">
        <v>34</v>
      </c>
      <c r="D288" s="6" t="s">
        <v>33</v>
      </c>
      <c r="E288" t="s">
        <v>962</v>
      </c>
      <c r="F288" t="s">
        <v>36</v>
      </c>
      <c r="G288" t="s">
        <v>37</v>
      </c>
      <c r="H288" t="s">
        <v>960</v>
      </c>
      <c r="I288" t="s">
        <v>39</v>
      </c>
      <c r="J288">
        <v>2</v>
      </c>
      <c r="K288" t="s">
        <v>40</v>
      </c>
      <c r="L288" t="s">
        <v>41</v>
      </c>
      <c r="M288" t="s">
        <v>42</v>
      </c>
      <c r="N288" s="7">
        <v>6</v>
      </c>
      <c r="O288" s="8">
        <v>44996.559641203705</v>
      </c>
      <c r="P288" s="9">
        <v>44998</v>
      </c>
      <c r="Q288" t="s">
        <v>36</v>
      </c>
      <c r="R288" t="s">
        <v>43</v>
      </c>
      <c r="S288" t="s">
        <v>44</v>
      </c>
      <c r="T288" t="s">
        <v>52</v>
      </c>
      <c r="U288" t="s">
        <v>961</v>
      </c>
      <c r="V288">
        <v>40100</v>
      </c>
      <c r="W288" t="s">
        <v>43</v>
      </c>
      <c r="X288" t="s">
        <v>124</v>
      </c>
      <c r="Y288" t="s">
        <v>49</v>
      </c>
      <c r="Z288" s="12">
        <f>IF(N288&lt;=1,7,7+0.8*ROUNDUP(N288-1,0))</f>
        <v>11</v>
      </c>
      <c r="AA288" s="11">
        <v>0</v>
      </c>
      <c r="AB288" s="11">
        <v>0</v>
      </c>
      <c r="AC288" s="11">
        <v>0</v>
      </c>
      <c r="AD288" s="11">
        <v>0</v>
      </c>
      <c r="AE288" s="11">
        <f t="shared" si="8"/>
        <v>0.65999999999999992</v>
      </c>
      <c r="AF288" s="11">
        <f t="shared" si="9"/>
        <v>11.66</v>
      </c>
      <c r="AG288" t="s">
        <v>43</v>
      </c>
    </row>
    <row r="289" spans="1:33" ht="15" customHeight="1" x14ac:dyDescent="0.35">
      <c r="A289">
        <v>690929</v>
      </c>
      <c r="B289" t="s">
        <v>33</v>
      </c>
      <c r="C289" t="s">
        <v>34</v>
      </c>
      <c r="D289" s="6" t="s">
        <v>33</v>
      </c>
      <c r="E289" t="s">
        <v>963</v>
      </c>
      <c r="F289" t="s">
        <v>36</v>
      </c>
      <c r="G289" t="s">
        <v>37</v>
      </c>
      <c r="H289" t="s">
        <v>960</v>
      </c>
      <c r="I289" t="s">
        <v>39</v>
      </c>
      <c r="J289">
        <v>2</v>
      </c>
      <c r="K289" t="s">
        <v>40</v>
      </c>
      <c r="L289" t="s">
        <v>41</v>
      </c>
      <c r="M289" t="s">
        <v>42</v>
      </c>
      <c r="N289" s="7">
        <v>6</v>
      </c>
      <c r="O289" s="8">
        <v>44996.559641203705</v>
      </c>
      <c r="P289" s="9">
        <v>44998</v>
      </c>
      <c r="Q289" t="s">
        <v>36</v>
      </c>
      <c r="R289" t="s">
        <v>43</v>
      </c>
      <c r="S289" t="s">
        <v>44</v>
      </c>
      <c r="T289" t="s">
        <v>52</v>
      </c>
      <c r="U289" t="s">
        <v>961</v>
      </c>
      <c r="V289">
        <v>40100</v>
      </c>
      <c r="W289" t="s">
        <v>43</v>
      </c>
      <c r="X289" t="s">
        <v>124</v>
      </c>
      <c r="Y289" t="s">
        <v>49</v>
      </c>
      <c r="Z289" s="12">
        <f>IF(N289&lt;=1,7,7+0.8*ROUNDUP(N289-1,0))</f>
        <v>11</v>
      </c>
      <c r="AA289" s="11">
        <v>0</v>
      </c>
      <c r="AB289" s="11">
        <v>0</v>
      </c>
      <c r="AC289" s="11">
        <v>0</v>
      </c>
      <c r="AD289" s="11">
        <v>0</v>
      </c>
      <c r="AE289" s="11">
        <f t="shared" si="8"/>
        <v>0.65999999999999992</v>
      </c>
      <c r="AF289" s="11">
        <f t="shared" si="9"/>
        <v>11.66</v>
      </c>
      <c r="AG289" t="s">
        <v>43</v>
      </c>
    </row>
    <row r="290" spans="1:33" ht="15" customHeight="1" x14ac:dyDescent="0.35">
      <c r="A290">
        <v>690929</v>
      </c>
      <c r="B290" t="s">
        <v>33</v>
      </c>
      <c r="C290" t="s">
        <v>34</v>
      </c>
      <c r="D290" s="6" t="s">
        <v>33</v>
      </c>
      <c r="E290" t="s">
        <v>964</v>
      </c>
      <c r="F290" t="s">
        <v>36</v>
      </c>
      <c r="G290" t="s">
        <v>37</v>
      </c>
      <c r="H290" t="s">
        <v>960</v>
      </c>
      <c r="I290" t="s">
        <v>39</v>
      </c>
      <c r="J290">
        <v>2</v>
      </c>
      <c r="K290" t="s">
        <v>40</v>
      </c>
      <c r="L290" t="s">
        <v>41</v>
      </c>
      <c r="M290" t="s">
        <v>42</v>
      </c>
      <c r="N290" s="7">
        <v>6</v>
      </c>
      <c r="O290" s="8">
        <v>44996.559641203705</v>
      </c>
      <c r="P290" s="9">
        <v>44998</v>
      </c>
      <c r="Q290" t="s">
        <v>36</v>
      </c>
      <c r="R290" t="s">
        <v>43</v>
      </c>
      <c r="S290" t="s">
        <v>44</v>
      </c>
      <c r="T290" t="s">
        <v>52</v>
      </c>
      <c r="U290" t="s">
        <v>961</v>
      </c>
      <c r="V290">
        <v>40100</v>
      </c>
      <c r="W290" t="s">
        <v>43</v>
      </c>
      <c r="X290" t="s">
        <v>124</v>
      </c>
      <c r="Y290" t="s">
        <v>49</v>
      </c>
      <c r="Z290" s="12">
        <f>IF(N290&lt;=1,7,7+0.8*ROUNDUP(N290-1,0))</f>
        <v>11</v>
      </c>
      <c r="AA290" s="11">
        <v>0</v>
      </c>
      <c r="AB290" s="11">
        <v>0</v>
      </c>
      <c r="AC290" s="11">
        <v>0</v>
      </c>
      <c r="AD290" s="11">
        <v>0</v>
      </c>
      <c r="AE290" s="11">
        <f t="shared" si="8"/>
        <v>0.65999999999999992</v>
      </c>
      <c r="AF290" s="11">
        <f t="shared" si="9"/>
        <v>11.66</v>
      </c>
      <c r="AG290" t="s">
        <v>43</v>
      </c>
    </row>
    <row r="291" spans="1:33" ht="15" customHeight="1" x14ac:dyDescent="0.35">
      <c r="A291">
        <v>690929</v>
      </c>
      <c r="B291" t="s">
        <v>33</v>
      </c>
      <c r="C291" t="s">
        <v>34</v>
      </c>
      <c r="D291" s="6" t="s">
        <v>33</v>
      </c>
      <c r="E291" t="s">
        <v>965</v>
      </c>
      <c r="F291" t="s">
        <v>36</v>
      </c>
      <c r="G291" t="s">
        <v>37</v>
      </c>
      <c r="H291" t="s">
        <v>960</v>
      </c>
      <c r="I291" t="s">
        <v>39</v>
      </c>
      <c r="J291">
        <v>2</v>
      </c>
      <c r="K291" t="s">
        <v>40</v>
      </c>
      <c r="L291" t="s">
        <v>41</v>
      </c>
      <c r="M291" t="s">
        <v>42</v>
      </c>
      <c r="N291" s="7">
        <v>6</v>
      </c>
      <c r="O291" s="8">
        <v>44996.559641203705</v>
      </c>
      <c r="P291" s="9">
        <v>44998</v>
      </c>
      <c r="Q291" t="s">
        <v>36</v>
      </c>
      <c r="R291" t="s">
        <v>43</v>
      </c>
      <c r="S291" t="s">
        <v>44</v>
      </c>
      <c r="T291" t="s">
        <v>52</v>
      </c>
      <c r="U291" t="s">
        <v>961</v>
      </c>
      <c r="V291">
        <v>40100</v>
      </c>
      <c r="W291" t="s">
        <v>43</v>
      </c>
      <c r="X291" t="s">
        <v>124</v>
      </c>
      <c r="Y291" t="s">
        <v>49</v>
      </c>
      <c r="Z291" s="12">
        <f>IF(N291&lt;=1,7,7+0.8*ROUNDUP(N291-1,0))</f>
        <v>11</v>
      </c>
      <c r="AA291" s="11">
        <v>0</v>
      </c>
      <c r="AB291" s="11">
        <v>0</v>
      </c>
      <c r="AC291" s="11">
        <v>0</v>
      </c>
      <c r="AD291" s="11">
        <v>0</v>
      </c>
      <c r="AE291" s="11">
        <f t="shared" si="8"/>
        <v>0.65999999999999992</v>
      </c>
      <c r="AF291" s="11">
        <f t="shared" si="9"/>
        <v>11.66</v>
      </c>
      <c r="AG291" t="s">
        <v>43</v>
      </c>
    </row>
    <row r="292" spans="1:33" ht="15" customHeight="1" x14ac:dyDescent="0.35">
      <c r="A292">
        <v>690929</v>
      </c>
      <c r="B292" t="s">
        <v>33</v>
      </c>
      <c r="C292" t="s">
        <v>34</v>
      </c>
      <c r="D292" s="6" t="s">
        <v>33</v>
      </c>
      <c r="E292" t="s">
        <v>966</v>
      </c>
      <c r="F292" t="s">
        <v>36</v>
      </c>
      <c r="G292" t="s">
        <v>37</v>
      </c>
      <c r="H292" t="s">
        <v>960</v>
      </c>
      <c r="I292" t="s">
        <v>39</v>
      </c>
      <c r="J292">
        <v>2</v>
      </c>
      <c r="K292" t="s">
        <v>40</v>
      </c>
      <c r="L292" t="s">
        <v>41</v>
      </c>
      <c r="M292" t="s">
        <v>42</v>
      </c>
      <c r="N292" s="7">
        <v>6</v>
      </c>
      <c r="O292" s="8">
        <v>44996.559641203705</v>
      </c>
      <c r="P292" s="9">
        <v>44998</v>
      </c>
      <c r="Q292" t="s">
        <v>36</v>
      </c>
      <c r="R292" t="s">
        <v>43</v>
      </c>
      <c r="S292" t="s">
        <v>44</v>
      </c>
      <c r="T292" t="s">
        <v>52</v>
      </c>
      <c r="U292" t="s">
        <v>961</v>
      </c>
      <c r="V292">
        <v>40100</v>
      </c>
      <c r="W292" t="s">
        <v>43</v>
      </c>
      <c r="X292" t="s">
        <v>124</v>
      </c>
      <c r="Y292" t="s">
        <v>49</v>
      </c>
      <c r="Z292" s="12">
        <f>IF(N292&lt;=1,7,7+0.8*ROUNDUP(N292-1,0))</f>
        <v>11</v>
      </c>
      <c r="AA292" s="11">
        <v>0</v>
      </c>
      <c r="AB292" s="11">
        <v>0</v>
      </c>
      <c r="AC292" s="11">
        <v>0</v>
      </c>
      <c r="AD292" s="11">
        <v>0</v>
      </c>
      <c r="AE292" s="11">
        <f t="shared" si="8"/>
        <v>0.65999999999999992</v>
      </c>
      <c r="AF292" s="11">
        <f t="shared" si="9"/>
        <v>11.66</v>
      </c>
      <c r="AG292" t="s">
        <v>43</v>
      </c>
    </row>
    <row r="293" spans="1:33" ht="15" customHeight="1" x14ac:dyDescent="0.35">
      <c r="A293">
        <v>690929</v>
      </c>
      <c r="B293" t="s">
        <v>33</v>
      </c>
      <c r="C293" t="s">
        <v>34</v>
      </c>
      <c r="D293" s="6" t="s">
        <v>33</v>
      </c>
      <c r="E293" t="s">
        <v>967</v>
      </c>
      <c r="F293" t="s">
        <v>36</v>
      </c>
      <c r="G293" t="s">
        <v>37</v>
      </c>
      <c r="H293" t="s">
        <v>960</v>
      </c>
      <c r="I293" t="s">
        <v>39</v>
      </c>
      <c r="J293">
        <v>2</v>
      </c>
      <c r="K293" t="s">
        <v>40</v>
      </c>
      <c r="L293" t="s">
        <v>41</v>
      </c>
      <c r="M293" t="s">
        <v>42</v>
      </c>
      <c r="N293" s="7">
        <v>6</v>
      </c>
      <c r="O293" s="8">
        <v>44996.559641203705</v>
      </c>
      <c r="P293" s="9">
        <v>44998</v>
      </c>
      <c r="Q293" t="s">
        <v>36</v>
      </c>
      <c r="R293" t="s">
        <v>43</v>
      </c>
      <c r="S293" t="s">
        <v>44</v>
      </c>
      <c r="T293" t="s">
        <v>52</v>
      </c>
      <c r="U293" t="s">
        <v>961</v>
      </c>
      <c r="V293">
        <v>40100</v>
      </c>
      <c r="W293" t="s">
        <v>43</v>
      </c>
      <c r="X293" t="s">
        <v>124</v>
      </c>
      <c r="Y293" t="s">
        <v>49</v>
      </c>
      <c r="Z293" s="12">
        <f>IF(N293&lt;=1,7,7+0.8*ROUNDUP(N293-1,0))</f>
        <v>11</v>
      </c>
      <c r="AA293" s="11">
        <v>0</v>
      </c>
      <c r="AB293" s="11">
        <v>0</v>
      </c>
      <c r="AC293" s="11">
        <v>0</v>
      </c>
      <c r="AD293" s="11">
        <v>0</v>
      </c>
      <c r="AE293" s="11">
        <f t="shared" si="8"/>
        <v>0.65999999999999992</v>
      </c>
      <c r="AF293" s="11">
        <f t="shared" si="9"/>
        <v>11.66</v>
      </c>
      <c r="AG293" t="s">
        <v>43</v>
      </c>
    </row>
    <row r="294" spans="1:33" ht="15" customHeight="1" x14ac:dyDescent="0.35">
      <c r="A294">
        <v>690929</v>
      </c>
      <c r="B294" t="s">
        <v>33</v>
      </c>
      <c r="C294" t="s">
        <v>34</v>
      </c>
      <c r="D294" s="6" t="s">
        <v>33</v>
      </c>
      <c r="E294" t="s">
        <v>968</v>
      </c>
      <c r="F294" t="s">
        <v>36</v>
      </c>
      <c r="G294" t="s">
        <v>37</v>
      </c>
      <c r="H294" t="s">
        <v>960</v>
      </c>
      <c r="I294" t="s">
        <v>39</v>
      </c>
      <c r="J294">
        <v>2</v>
      </c>
      <c r="K294" t="s">
        <v>40</v>
      </c>
      <c r="L294" t="s">
        <v>41</v>
      </c>
      <c r="M294" t="s">
        <v>42</v>
      </c>
      <c r="N294" s="7">
        <v>6</v>
      </c>
      <c r="O294" s="8">
        <v>44996.559641203705</v>
      </c>
      <c r="P294" s="9">
        <v>44998</v>
      </c>
      <c r="Q294" t="s">
        <v>36</v>
      </c>
      <c r="R294" t="s">
        <v>43</v>
      </c>
      <c r="S294" t="s">
        <v>44</v>
      </c>
      <c r="T294" t="s">
        <v>52</v>
      </c>
      <c r="U294" t="s">
        <v>961</v>
      </c>
      <c r="V294">
        <v>40100</v>
      </c>
      <c r="W294" t="s">
        <v>43</v>
      </c>
      <c r="X294" t="s">
        <v>124</v>
      </c>
      <c r="Y294" t="s">
        <v>49</v>
      </c>
      <c r="Z294" s="12">
        <f>IF(N294&lt;=1,7,7+0.8*ROUNDUP(N294-1,0))</f>
        <v>11</v>
      </c>
      <c r="AA294" s="11">
        <v>0</v>
      </c>
      <c r="AB294" s="11">
        <v>0</v>
      </c>
      <c r="AC294" s="11">
        <v>0</v>
      </c>
      <c r="AD294" s="11">
        <v>0</v>
      </c>
      <c r="AE294" s="11">
        <f t="shared" si="8"/>
        <v>0.65999999999999992</v>
      </c>
      <c r="AF294" s="11">
        <f t="shared" si="9"/>
        <v>11.66</v>
      </c>
      <c r="AG294" t="s">
        <v>43</v>
      </c>
    </row>
    <row r="295" spans="1:33" ht="15" customHeight="1" x14ac:dyDescent="0.35">
      <c r="A295">
        <v>690929</v>
      </c>
      <c r="B295" t="s">
        <v>33</v>
      </c>
      <c r="C295" t="s">
        <v>34</v>
      </c>
      <c r="D295" s="6" t="s">
        <v>33</v>
      </c>
      <c r="E295" t="s">
        <v>969</v>
      </c>
      <c r="F295" t="s">
        <v>36</v>
      </c>
      <c r="G295" t="s">
        <v>37</v>
      </c>
      <c r="H295" t="s">
        <v>960</v>
      </c>
      <c r="I295" t="s">
        <v>39</v>
      </c>
      <c r="J295">
        <v>2</v>
      </c>
      <c r="K295" t="s">
        <v>40</v>
      </c>
      <c r="L295" t="s">
        <v>41</v>
      </c>
      <c r="M295" t="s">
        <v>42</v>
      </c>
      <c r="N295" s="7">
        <v>6</v>
      </c>
      <c r="O295" s="8">
        <v>44996.559641203705</v>
      </c>
      <c r="P295" s="9">
        <v>44998</v>
      </c>
      <c r="Q295" t="s">
        <v>36</v>
      </c>
      <c r="R295" t="s">
        <v>43</v>
      </c>
      <c r="S295" t="s">
        <v>44</v>
      </c>
      <c r="T295" t="s">
        <v>52</v>
      </c>
      <c r="U295" t="s">
        <v>961</v>
      </c>
      <c r="V295">
        <v>40100</v>
      </c>
      <c r="W295" t="s">
        <v>43</v>
      </c>
      <c r="X295" t="s">
        <v>124</v>
      </c>
      <c r="Y295" t="s">
        <v>49</v>
      </c>
      <c r="Z295" s="12">
        <f>IF(N295&lt;=1,7,7+0.8*ROUNDUP(N295-1,0))</f>
        <v>11</v>
      </c>
      <c r="AA295" s="11">
        <v>0</v>
      </c>
      <c r="AB295" s="11">
        <v>0</v>
      </c>
      <c r="AC295" s="11">
        <v>0</v>
      </c>
      <c r="AD295" s="11">
        <v>0</v>
      </c>
      <c r="AE295" s="11">
        <f t="shared" si="8"/>
        <v>0.65999999999999992</v>
      </c>
      <c r="AF295" s="11">
        <f t="shared" si="9"/>
        <v>11.66</v>
      </c>
      <c r="AG295" t="s">
        <v>43</v>
      </c>
    </row>
    <row r="296" spans="1:33" ht="15" customHeight="1" x14ac:dyDescent="0.35">
      <c r="A296">
        <v>690929</v>
      </c>
      <c r="B296" t="s">
        <v>33</v>
      </c>
      <c r="C296" t="s">
        <v>34</v>
      </c>
      <c r="D296" s="6" t="s">
        <v>33</v>
      </c>
      <c r="E296" t="s">
        <v>970</v>
      </c>
      <c r="F296" t="s">
        <v>36</v>
      </c>
      <c r="G296" t="s">
        <v>37</v>
      </c>
      <c r="H296" t="s">
        <v>971</v>
      </c>
      <c r="I296" t="s">
        <v>39</v>
      </c>
      <c r="J296">
        <v>2</v>
      </c>
      <c r="K296" t="s">
        <v>40</v>
      </c>
      <c r="L296" t="s">
        <v>41</v>
      </c>
      <c r="M296" t="s">
        <v>42</v>
      </c>
      <c r="N296" s="7">
        <v>1</v>
      </c>
      <c r="O296" s="8">
        <v>44996.657800925925</v>
      </c>
      <c r="P296" s="9">
        <v>44998</v>
      </c>
      <c r="Q296" t="s">
        <v>36</v>
      </c>
      <c r="R296" t="s">
        <v>43</v>
      </c>
      <c r="S296" t="s">
        <v>44</v>
      </c>
      <c r="T296" t="s">
        <v>104</v>
      </c>
      <c r="U296" t="s">
        <v>972</v>
      </c>
      <c r="V296">
        <v>83100</v>
      </c>
      <c r="W296" t="s">
        <v>43</v>
      </c>
      <c r="X296" t="s">
        <v>62</v>
      </c>
      <c r="Y296" t="s">
        <v>49</v>
      </c>
      <c r="Z296" s="12">
        <f>IF(N296&lt;=1,7,7+0.8*ROUNDUP(N296-1,0))</f>
        <v>7</v>
      </c>
      <c r="AA296" s="11">
        <v>0</v>
      </c>
      <c r="AB296" s="11">
        <v>0</v>
      </c>
      <c r="AC296" s="11">
        <v>0</v>
      </c>
      <c r="AD296" s="11">
        <v>0</v>
      </c>
      <c r="AE296" s="11">
        <f t="shared" si="8"/>
        <v>0.42</v>
      </c>
      <c r="AF296" s="11">
        <f t="shared" si="9"/>
        <v>7.42</v>
      </c>
      <c r="AG296" t="s">
        <v>43</v>
      </c>
    </row>
    <row r="297" spans="1:33" ht="15" customHeight="1" x14ac:dyDescent="0.35">
      <c r="A297">
        <v>690929</v>
      </c>
      <c r="B297" t="s">
        <v>33</v>
      </c>
      <c r="C297" t="s">
        <v>34</v>
      </c>
      <c r="D297" s="6" t="s">
        <v>33</v>
      </c>
      <c r="E297" t="s">
        <v>973</v>
      </c>
      <c r="F297" t="s">
        <v>36</v>
      </c>
      <c r="G297" t="s">
        <v>37</v>
      </c>
      <c r="H297" t="s">
        <v>960</v>
      </c>
      <c r="I297" t="s">
        <v>39</v>
      </c>
      <c r="J297">
        <v>2</v>
      </c>
      <c r="K297" t="s">
        <v>40</v>
      </c>
      <c r="L297" t="s">
        <v>41</v>
      </c>
      <c r="M297" t="s">
        <v>42</v>
      </c>
      <c r="N297" s="7">
        <v>6</v>
      </c>
      <c r="O297" s="8">
        <v>44996.559641203705</v>
      </c>
      <c r="P297" s="9">
        <v>44998</v>
      </c>
      <c r="Q297" t="s">
        <v>36</v>
      </c>
      <c r="R297" t="s">
        <v>43</v>
      </c>
      <c r="S297" t="s">
        <v>44</v>
      </c>
      <c r="T297" t="s">
        <v>52</v>
      </c>
      <c r="U297" t="s">
        <v>961</v>
      </c>
      <c r="V297">
        <v>40100</v>
      </c>
      <c r="W297" t="s">
        <v>43</v>
      </c>
      <c r="X297" t="s">
        <v>124</v>
      </c>
      <c r="Y297" t="s">
        <v>49</v>
      </c>
      <c r="Z297" s="12">
        <f>IF(N297&lt;=1,7,7+0.8*ROUNDUP(N297-1,0))</f>
        <v>11</v>
      </c>
      <c r="AA297" s="11">
        <v>0</v>
      </c>
      <c r="AB297" s="11">
        <v>0</v>
      </c>
      <c r="AC297" s="11">
        <v>0</v>
      </c>
      <c r="AD297" s="11">
        <v>0</v>
      </c>
      <c r="AE297" s="11">
        <f t="shared" si="8"/>
        <v>0.65999999999999992</v>
      </c>
      <c r="AF297" s="11">
        <f t="shared" si="9"/>
        <v>11.66</v>
      </c>
      <c r="AG297" t="s">
        <v>43</v>
      </c>
    </row>
    <row r="298" spans="1:33" ht="15" customHeight="1" x14ac:dyDescent="0.35">
      <c r="A298">
        <v>690929</v>
      </c>
      <c r="B298" t="s">
        <v>33</v>
      </c>
      <c r="C298" t="s">
        <v>34</v>
      </c>
      <c r="D298" s="6" t="s">
        <v>33</v>
      </c>
      <c r="E298" t="s">
        <v>974</v>
      </c>
      <c r="F298" t="s">
        <v>36</v>
      </c>
      <c r="G298" t="s">
        <v>37</v>
      </c>
      <c r="H298" t="s">
        <v>975</v>
      </c>
      <c r="I298" t="s">
        <v>39</v>
      </c>
      <c r="J298">
        <v>2</v>
      </c>
      <c r="K298" t="s">
        <v>40</v>
      </c>
      <c r="L298" t="s">
        <v>41</v>
      </c>
      <c r="M298" t="s">
        <v>42</v>
      </c>
      <c r="N298" s="7">
        <v>3</v>
      </c>
      <c r="O298" s="8">
        <v>44993.76289351852</v>
      </c>
      <c r="P298" s="9">
        <v>44998</v>
      </c>
      <c r="Q298" t="s">
        <v>36</v>
      </c>
      <c r="R298" t="s">
        <v>43</v>
      </c>
      <c r="S298" t="s">
        <v>44</v>
      </c>
      <c r="T298" t="s">
        <v>52</v>
      </c>
      <c r="U298" t="s">
        <v>976</v>
      </c>
      <c r="V298">
        <v>48300</v>
      </c>
      <c r="W298" t="s">
        <v>43</v>
      </c>
      <c r="X298" t="s">
        <v>62</v>
      </c>
      <c r="Y298" t="s">
        <v>49</v>
      </c>
      <c r="Z298" s="12">
        <f>IF(N298&lt;=1,7,7+0.8*ROUNDUP(N298-1,0))</f>
        <v>8.6</v>
      </c>
      <c r="AA298" s="11">
        <v>0</v>
      </c>
      <c r="AB298" s="11">
        <v>0</v>
      </c>
      <c r="AC298" s="11">
        <v>0</v>
      </c>
      <c r="AD298" s="11">
        <v>0</v>
      </c>
      <c r="AE298" s="11">
        <f t="shared" si="8"/>
        <v>0.51600000000000001</v>
      </c>
      <c r="AF298" s="11">
        <f t="shared" si="9"/>
        <v>9.1159999999999997</v>
      </c>
      <c r="AG298" t="s">
        <v>43</v>
      </c>
    </row>
    <row r="299" spans="1:33" ht="15" customHeight="1" x14ac:dyDescent="0.35">
      <c r="A299">
        <v>690929</v>
      </c>
      <c r="B299" t="s">
        <v>33</v>
      </c>
      <c r="C299" t="s">
        <v>34</v>
      </c>
      <c r="D299" s="6" t="s">
        <v>33</v>
      </c>
      <c r="E299" t="s">
        <v>977</v>
      </c>
      <c r="F299" t="s">
        <v>36</v>
      </c>
      <c r="G299" t="s">
        <v>37</v>
      </c>
      <c r="H299" t="s">
        <v>978</v>
      </c>
      <c r="I299" t="s">
        <v>39</v>
      </c>
      <c r="J299">
        <v>2</v>
      </c>
      <c r="K299" t="s">
        <v>40</v>
      </c>
      <c r="L299" t="s">
        <v>41</v>
      </c>
      <c r="M299" t="s">
        <v>42</v>
      </c>
      <c r="N299" s="7">
        <v>1</v>
      </c>
      <c r="O299" s="8">
        <v>44995.675034722219</v>
      </c>
      <c r="P299" s="9">
        <v>44998</v>
      </c>
      <c r="Q299" t="s">
        <v>36</v>
      </c>
      <c r="R299" t="s">
        <v>43</v>
      </c>
      <c r="S299" t="s">
        <v>44</v>
      </c>
      <c r="T299" t="s">
        <v>149</v>
      </c>
      <c r="U299" t="s">
        <v>979</v>
      </c>
      <c r="V299">
        <v>6720</v>
      </c>
      <c r="W299" t="s">
        <v>43</v>
      </c>
      <c r="X299" t="s">
        <v>62</v>
      </c>
      <c r="Y299" t="s">
        <v>49</v>
      </c>
      <c r="Z299" s="12">
        <f>IF(N299&lt;=1,7,7+0.8*ROUNDUP(N299-1,0))</f>
        <v>7</v>
      </c>
      <c r="AA299" s="11">
        <v>0</v>
      </c>
      <c r="AB299" s="11">
        <v>0</v>
      </c>
      <c r="AC299" s="11">
        <v>0</v>
      </c>
      <c r="AD299" s="11">
        <v>0</v>
      </c>
      <c r="AE299" s="11">
        <f t="shared" si="8"/>
        <v>0.42</v>
      </c>
      <c r="AF299" s="11">
        <f t="shared" si="9"/>
        <v>7.42</v>
      </c>
      <c r="AG299" t="s">
        <v>43</v>
      </c>
    </row>
    <row r="300" spans="1:33" ht="15" customHeight="1" x14ac:dyDescent="0.35">
      <c r="A300">
        <v>690929</v>
      </c>
      <c r="B300" t="s">
        <v>33</v>
      </c>
      <c r="C300" t="s">
        <v>34</v>
      </c>
      <c r="D300" s="6" t="s">
        <v>33</v>
      </c>
      <c r="E300" t="s">
        <v>980</v>
      </c>
      <c r="F300" t="s">
        <v>36</v>
      </c>
      <c r="G300" t="s">
        <v>37</v>
      </c>
      <c r="H300" t="s">
        <v>981</v>
      </c>
      <c r="I300" t="s">
        <v>39</v>
      </c>
      <c r="J300">
        <v>2</v>
      </c>
      <c r="K300" t="s">
        <v>40</v>
      </c>
      <c r="L300" t="s">
        <v>41</v>
      </c>
      <c r="M300" t="s">
        <v>42</v>
      </c>
      <c r="N300" s="7">
        <v>1</v>
      </c>
      <c r="O300" s="8">
        <v>44996.536412037036</v>
      </c>
      <c r="P300" s="9">
        <v>44998</v>
      </c>
      <c r="Q300" t="s">
        <v>36</v>
      </c>
      <c r="R300" t="s">
        <v>43</v>
      </c>
      <c r="S300" t="s">
        <v>44</v>
      </c>
      <c r="T300" t="s">
        <v>178</v>
      </c>
      <c r="U300" t="s">
        <v>982</v>
      </c>
      <c r="V300">
        <v>55100</v>
      </c>
      <c r="W300" t="s">
        <v>43</v>
      </c>
      <c r="X300" t="s">
        <v>62</v>
      </c>
      <c r="Y300" t="s">
        <v>49</v>
      </c>
      <c r="Z300" s="12">
        <f>IF(N300&lt;=1,7,7+0.8*ROUNDUP(N300-1,0))</f>
        <v>7</v>
      </c>
      <c r="AA300" s="11">
        <v>0</v>
      </c>
      <c r="AB300" s="11">
        <v>0</v>
      </c>
      <c r="AC300" s="11">
        <v>0</v>
      </c>
      <c r="AD300" s="11">
        <v>0</v>
      </c>
      <c r="AE300" s="11">
        <f t="shared" si="8"/>
        <v>0.42</v>
      </c>
      <c r="AF300" s="11">
        <f t="shared" si="9"/>
        <v>7.42</v>
      </c>
      <c r="AG300" t="s">
        <v>43</v>
      </c>
    </row>
    <row r="301" spans="1:33" ht="15" customHeight="1" x14ac:dyDescent="0.35">
      <c r="A301">
        <v>690929</v>
      </c>
      <c r="B301" t="s">
        <v>33</v>
      </c>
      <c r="C301" t="s">
        <v>34</v>
      </c>
      <c r="D301" s="6" t="s">
        <v>33</v>
      </c>
      <c r="E301" t="s">
        <v>983</v>
      </c>
      <c r="F301" t="s">
        <v>36</v>
      </c>
      <c r="G301" t="s">
        <v>37</v>
      </c>
      <c r="H301" t="s">
        <v>246</v>
      </c>
      <c r="I301" t="s">
        <v>39</v>
      </c>
      <c r="J301">
        <v>2</v>
      </c>
      <c r="K301" t="s">
        <v>40</v>
      </c>
      <c r="L301" t="s">
        <v>41</v>
      </c>
      <c r="M301" t="s">
        <v>42</v>
      </c>
      <c r="N301" s="7">
        <v>1</v>
      </c>
      <c r="O301" s="8">
        <v>44993.38486111111</v>
      </c>
      <c r="P301" s="9">
        <v>44998</v>
      </c>
      <c r="Q301" t="s">
        <v>36</v>
      </c>
      <c r="R301" t="s">
        <v>43</v>
      </c>
      <c r="S301" t="s">
        <v>44</v>
      </c>
      <c r="T301" t="s">
        <v>178</v>
      </c>
      <c r="U301" t="s">
        <v>984</v>
      </c>
      <c r="V301">
        <v>51100</v>
      </c>
      <c r="W301" t="s">
        <v>43</v>
      </c>
      <c r="X301" t="s">
        <v>200</v>
      </c>
      <c r="Y301" t="s">
        <v>49</v>
      </c>
      <c r="Z301" s="12">
        <f>IF(N301&lt;=1,7,7+0.8*ROUNDUP(N301-1,0))</f>
        <v>7</v>
      </c>
      <c r="AA301" s="11">
        <v>0</v>
      </c>
      <c r="AB301" s="11">
        <v>0</v>
      </c>
      <c r="AC301" s="11">
        <v>0</v>
      </c>
      <c r="AD301" s="11">
        <v>0</v>
      </c>
      <c r="AE301" s="11">
        <f t="shared" si="8"/>
        <v>0.42</v>
      </c>
      <c r="AF301" s="11">
        <f t="shared" si="9"/>
        <v>7.42</v>
      </c>
      <c r="AG301" t="s">
        <v>43</v>
      </c>
    </row>
    <row r="302" spans="1:33" ht="15" customHeight="1" x14ac:dyDescent="0.35">
      <c r="A302">
        <v>690929</v>
      </c>
      <c r="B302" t="s">
        <v>33</v>
      </c>
      <c r="C302" t="s">
        <v>34</v>
      </c>
      <c r="D302" s="6" t="s">
        <v>33</v>
      </c>
      <c r="E302" t="s">
        <v>985</v>
      </c>
      <c r="F302" t="s">
        <v>36</v>
      </c>
      <c r="G302" t="s">
        <v>37</v>
      </c>
      <c r="H302" t="s">
        <v>986</v>
      </c>
      <c r="I302" t="s">
        <v>39</v>
      </c>
      <c r="J302">
        <v>2</v>
      </c>
      <c r="K302" t="s">
        <v>40</v>
      </c>
      <c r="L302" t="s">
        <v>41</v>
      </c>
      <c r="M302" t="s">
        <v>42</v>
      </c>
      <c r="N302" s="7">
        <v>1</v>
      </c>
      <c r="O302" s="8">
        <v>44996.637453703705</v>
      </c>
      <c r="P302" s="9">
        <v>44998</v>
      </c>
      <c r="Q302" t="s">
        <v>36</v>
      </c>
      <c r="R302" t="s">
        <v>43</v>
      </c>
      <c r="S302" t="s">
        <v>44</v>
      </c>
      <c r="T302" t="s">
        <v>52</v>
      </c>
      <c r="U302" t="s">
        <v>987</v>
      </c>
      <c r="V302">
        <v>53100</v>
      </c>
      <c r="W302" t="s">
        <v>43</v>
      </c>
      <c r="X302" t="s">
        <v>62</v>
      </c>
      <c r="Y302" t="s">
        <v>49</v>
      </c>
      <c r="Z302" s="12">
        <f>IF(N302&lt;=1,7,7+0.8*ROUNDUP(N302-1,0))</f>
        <v>7</v>
      </c>
      <c r="AA302" s="11">
        <v>0</v>
      </c>
      <c r="AB302" s="11">
        <v>0</v>
      </c>
      <c r="AC302" s="11">
        <v>0</v>
      </c>
      <c r="AD302" s="11">
        <v>0</v>
      </c>
      <c r="AE302" s="11">
        <f t="shared" si="8"/>
        <v>0.42</v>
      </c>
      <c r="AF302" s="11">
        <f t="shared" si="9"/>
        <v>7.42</v>
      </c>
      <c r="AG302" t="s">
        <v>43</v>
      </c>
    </row>
    <row r="303" spans="1:33" ht="15" customHeight="1" x14ac:dyDescent="0.35">
      <c r="A303">
        <v>690929</v>
      </c>
      <c r="B303" t="s">
        <v>33</v>
      </c>
      <c r="C303" t="s">
        <v>34</v>
      </c>
      <c r="D303" s="6" t="s">
        <v>33</v>
      </c>
      <c r="E303" t="s">
        <v>988</v>
      </c>
      <c r="F303" t="s">
        <v>36</v>
      </c>
      <c r="G303" t="s">
        <v>37</v>
      </c>
      <c r="H303" t="s">
        <v>989</v>
      </c>
      <c r="I303" t="s">
        <v>39</v>
      </c>
      <c r="J303">
        <v>2</v>
      </c>
      <c r="K303" t="s">
        <v>40</v>
      </c>
      <c r="L303" t="s">
        <v>41</v>
      </c>
      <c r="M303" t="s">
        <v>42</v>
      </c>
      <c r="N303" s="7">
        <v>1</v>
      </c>
      <c r="O303" s="8">
        <v>44993.76289351852</v>
      </c>
      <c r="P303" s="9">
        <v>44998</v>
      </c>
      <c r="Q303" t="s">
        <v>36</v>
      </c>
      <c r="R303" t="s">
        <v>43</v>
      </c>
      <c r="S303" t="s">
        <v>44</v>
      </c>
      <c r="T303" t="s">
        <v>217</v>
      </c>
      <c r="U303" t="s">
        <v>990</v>
      </c>
      <c r="V303">
        <v>93400</v>
      </c>
      <c r="W303" t="s">
        <v>47</v>
      </c>
      <c r="X303" t="s">
        <v>685</v>
      </c>
      <c r="Y303" t="s">
        <v>49</v>
      </c>
      <c r="Z303" s="10">
        <f>IF(N303&lt;=1,13,IF(N303&lt;=2,23,IF(N303&lt;=3,35,IF(N303&lt;=4,43,IF(N303&lt;=5,53,IF(N303&lt;=6,63,IF(N303&lt;=7,71,IF(N303&lt;=8,79,IF(N303&lt;=9,87,IF(N303&lt;=10,95,IF(N303&lt;=11,105,IF(N303&lt;=12,114,IF(N303&lt;=13,119,IF(N303&lt;=14,127,IF(N303&lt;=15,135,IF(N303&lt;=16,143,IF(N303&lt;=17,153,IF(N303&lt;=18,163,IF(N303&lt;=19,171,IF(N303&lt;=20,185,IF(N303&lt;=21,193,IF(N303&lt;=22,201,IF(N303&lt;=23,210,IF(N303&lt;=24,220,IF(N303&lt;=25,230,IF(N303&lt;=26,240,IF(N303&lt;=27,250,IF(N303&lt;=28,260,IF(N303&lt;=29,270,IF(N303&lt;=30,280,280))))))))))))))))))))))))))))))</f>
        <v>13</v>
      </c>
      <c r="AA303" s="11">
        <v>0</v>
      </c>
      <c r="AB303" s="11">
        <v>0</v>
      </c>
      <c r="AC303" s="11">
        <v>0</v>
      </c>
      <c r="AD303" s="11">
        <v>0</v>
      </c>
      <c r="AE303" s="11">
        <f t="shared" si="8"/>
        <v>0.78</v>
      </c>
      <c r="AF303" s="11">
        <f t="shared" si="9"/>
        <v>13.78</v>
      </c>
      <c r="AG303" t="s">
        <v>47</v>
      </c>
    </row>
    <row r="304" spans="1:33" ht="15" customHeight="1" x14ac:dyDescent="0.35">
      <c r="A304">
        <v>690929</v>
      </c>
      <c r="B304" t="s">
        <v>33</v>
      </c>
      <c r="C304" t="s">
        <v>34</v>
      </c>
      <c r="D304" s="6" t="s">
        <v>33</v>
      </c>
      <c r="E304" t="s">
        <v>991</v>
      </c>
      <c r="F304" t="s">
        <v>36</v>
      </c>
      <c r="G304" t="s">
        <v>37</v>
      </c>
      <c r="H304" t="s">
        <v>992</v>
      </c>
      <c r="I304" t="s">
        <v>39</v>
      </c>
      <c r="J304">
        <v>2</v>
      </c>
      <c r="K304" t="s">
        <v>40</v>
      </c>
      <c r="L304" t="s">
        <v>41</v>
      </c>
      <c r="M304" t="s">
        <v>42</v>
      </c>
      <c r="N304" s="7">
        <v>7</v>
      </c>
      <c r="O304" s="8">
        <v>44994.510613425926</v>
      </c>
      <c r="P304" s="9">
        <v>44998</v>
      </c>
      <c r="Q304" t="s">
        <v>36</v>
      </c>
      <c r="R304" t="s">
        <v>43</v>
      </c>
      <c r="S304" t="s">
        <v>44</v>
      </c>
      <c r="T304" t="s">
        <v>217</v>
      </c>
      <c r="U304" t="s">
        <v>993</v>
      </c>
      <c r="V304">
        <v>93050</v>
      </c>
      <c r="W304" t="s">
        <v>47</v>
      </c>
      <c r="X304" t="s">
        <v>62</v>
      </c>
      <c r="Y304" t="s">
        <v>49</v>
      </c>
      <c r="Z304" s="10">
        <f>IF(N304&lt;=1,13,IF(N304&lt;=2,23,IF(N304&lt;=3,35,IF(N304&lt;=4,43,IF(N304&lt;=5,53,IF(N304&lt;=6,63,IF(N304&lt;=7,71,IF(N304&lt;=8,79,IF(N304&lt;=9,87,IF(N304&lt;=10,95,IF(N304&lt;=11,105,IF(N304&lt;=12,114,IF(N304&lt;=13,119,IF(N304&lt;=14,127,IF(N304&lt;=15,135,IF(N304&lt;=16,143,IF(N304&lt;=17,153,IF(N304&lt;=18,163,IF(N304&lt;=19,171,IF(N304&lt;=20,185,IF(N304&lt;=21,193,IF(N304&lt;=22,201,IF(N304&lt;=23,210,IF(N304&lt;=24,220,IF(N304&lt;=25,230,IF(N304&lt;=26,240,IF(N304&lt;=27,250,IF(N304&lt;=28,260,IF(N304&lt;=29,270,IF(N304&lt;=30,280,280))))))))))))))))))))))))))))))</f>
        <v>71</v>
      </c>
      <c r="AA304" s="11">
        <v>0</v>
      </c>
      <c r="AB304" s="11">
        <v>0</v>
      </c>
      <c r="AC304" s="11">
        <v>0</v>
      </c>
      <c r="AD304" s="11">
        <v>0</v>
      </c>
      <c r="AE304" s="11">
        <f t="shared" si="8"/>
        <v>4.26</v>
      </c>
      <c r="AF304" s="11">
        <f t="shared" si="9"/>
        <v>75.260000000000005</v>
      </c>
      <c r="AG304" t="s">
        <v>47</v>
      </c>
    </row>
    <row r="305" spans="1:33" ht="15" customHeight="1" x14ac:dyDescent="0.35">
      <c r="A305">
        <v>690929</v>
      </c>
      <c r="B305" t="s">
        <v>33</v>
      </c>
      <c r="C305" t="s">
        <v>34</v>
      </c>
      <c r="D305" s="6" t="s">
        <v>33</v>
      </c>
      <c r="E305" t="s">
        <v>994</v>
      </c>
      <c r="F305" t="s">
        <v>36</v>
      </c>
      <c r="G305" t="s">
        <v>37</v>
      </c>
      <c r="H305" t="s">
        <v>995</v>
      </c>
      <c r="I305" t="s">
        <v>996</v>
      </c>
      <c r="J305">
        <v>6</v>
      </c>
      <c r="K305" t="s">
        <v>997</v>
      </c>
      <c r="L305" t="s">
        <v>41</v>
      </c>
      <c r="M305" t="s">
        <v>42</v>
      </c>
      <c r="N305" s="7">
        <v>0.7</v>
      </c>
      <c r="O305" s="8">
        <v>44994.668935185182</v>
      </c>
      <c r="P305" s="9">
        <v>44999</v>
      </c>
      <c r="Q305" t="s">
        <v>36</v>
      </c>
      <c r="R305" t="s">
        <v>43</v>
      </c>
      <c r="S305" t="s">
        <v>44</v>
      </c>
      <c r="T305" t="s">
        <v>36</v>
      </c>
      <c r="U305" t="s">
        <v>998</v>
      </c>
      <c r="V305">
        <v>760299</v>
      </c>
      <c r="W305" t="s">
        <v>999</v>
      </c>
      <c r="X305" t="s">
        <v>1000</v>
      </c>
      <c r="Y305" t="s">
        <v>49</v>
      </c>
      <c r="Z305" s="13">
        <f>IF(N305&lt;=0.5,17.5,IF(N305&lt;=1,20.35,IF(N305&lt;=1.5,25.2,IF(N305&lt;=2,30.05,IF(N305&lt;=2.5,35.3,IF(N305&lt;=3,40.6,IF(N305&lt;=3.5,45.85,IF(N305&lt;=4,51.15,IF(N305&lt;=4.5,56.4,IF(N305&lt;=5,61.65,IF(N305&lt;=5.5,66.95,IF(N305&lt;=6,72.2,IF(N305&lt;=6.5,77.45,IF(N305&lt;=7,82.75,IF(N305&lt;=7.5,88,IF(N305&lt;=8,93.25,IF(N305&lt;=8.5,98.55,IF(N305&lt;=9,103.8,IF(N305&lt;=9.5,109.1,IF(N305&lt;=10,114.35,IF(N305&lt;=10.5,119.6,IF(N305&lt;=11,124.9,IF(N305&lt;=11.5,130.15,IF(N305&lt;=12,135.4,IF(N305&lt;=12.5,140.7,IF(N305&lt;=13,145.95,IF(N305&lt;=13.5,151.25,IF(N305&lt;=14,156.5,IF(N305&lt;=14.5,161.75,IF(N305&lt;=15,167.05,IF(N305&lt;=15.5,172.3,IF(N305&lt;=16,177.55,IF(N305&lt;=16.5,182.85,IF(N305&lt;=17,188.1,IF(N305&lt;=17.5,193.35,IF(N305&lt;=18,198.65,IF(N305&lt;=18.5,203.9,IF(N305&lt;=19,209.2,IF(N305&lt;=19.5,214.45,IF(N305&lt;=20,219.7,IF(N305&lt;=20.5,225,IF(N305&lt;=21,230.25,IF(N305&lt;=21.5,235.5,IF(N305&lt;=22,240.8,IF(N305&lt;=22.5,246.05,IF(N305&lt;=23,251.35,IF(N305&lt;=23.5,256.6,IF(N305&lt;=24,261.85,IF(N305&lt;=24.5,267.15,IF(N305&lt;=25,272.4,IF(N305&lt;=25.5,277.65,IF(N305&lt;=26,282.95,IF(N305&lt;=26.5,288.2,IF(N305&lt;=27,293.45,IF(N305&lt;=27.5,298.75,IF(N305&lt;=28,304,IF(N305&lt;=28.5,309.3,IF(N305&lt;=29,314.55,IF(N305&lt;=29.5,319.8,IF(N305&lt;=30,325.1,325.1))))))))))))))))))))))))))))))))))))))))))))))))))))))))))))</f>
        <v>20.350000000000001</v>
      </c>
      <c r="AA305" s="11">
        <v>0</v>
      </c>
      <c r="AB305" s="11">
        <v>0</v>
      </c>
      <c r="AC305" s="11">
        <v>0</v>
      </c>
      <c r="AD305" s="11">
        <v>0</v>
      </c>
      <c r="AE305" s="11">
        <f t="shared" ref="AE305" si="10">(Z305+AB305+AD305)*0%</f>
        <v>0</v>
      </c>
      <c r="AF305" s="11">
        <f t="shared" si="9"/>
        <v>20.350000000000001</v>
      </c>
      <c r="AG305" t="s">
        <v>1001</v>
      </c>
    </row>
    <row r="306" spans="1:33" ht="15" customHeight="1" x14ac:dyDescent="0.35">
      <c r="A306">
        <v>690929</v>
      </c>
      <c r="B306" t="s">
        <v>33</v>
      </c>
      <c r="C306" t="s">
        <v>34</v>
      </c>
      <c r="D306" s="6" t="s">
        <v>33</v>
      </c>
      <c r="E306" t="s">
        <v>1002</v>
      </c>
      <c r="F306" t="s">
        <v>36</v>
      </c>
      <c r="G306" t="s">
        <v>37</v>
      </c>
      <c r="H306" t="s">
        <v>483</v>
      </c>
      <c r="I306" t="s">
        <v>39</v>
      </c>
      <c r="J306">
        <v>2</v>
      </c>
      <c r="K306" t="s">
        <v>40</v>
      </c>
      <c r="L306" t="s">
        <v>41</v>
      </c>
      <c r="M306" t="s">
        <v>42</v>
      </c>
      <c r="N306" s="7">
        <v>1</v>
      </c>
      <c r="O306" s="8">
        <v>44996.678796296299</v>
      </c>
      <c r="P306" s="9">
        <v>44999</v>
      </c>
      <c r="Q306" t="s">
        <v>36</v>
      </c>
      <c r="R306" t="s">
        <v>43</v>
      </c>
      <c r="S306" t="s">
        <v>44</v>
      </c>
      <c r="T306" t="s">
        <v>316</v>
      </c>
      <c r="U306" t="s">
        <v>484</v>
      </c>
      <c r="V306">
        <v>14000</v>
      </c>
      <c r="W306" t="s">
        <v>43</v>
      </c>
      <c r="X306" t="s">
        <v>62</v>
      </c>
      <c r="Y306" t="s">
        <v>49</v>
      </c>
      <c r="Z306" s="12">
        <f>IF(N306&lt;=1,7,7+0.8*ROUNDUP(N306-1,0))</f>
        <v>7</v>
      </c>
      <c r="AA306" s="11">
        <v>0</v>
      </c>
      <c r="AB306" s="11">
        <v>0</v>
      </c>
      <c r="AC306" s="11">
        <v>0</v>
      </c>
      <c r="AD306" s="11">
        <v>0</v>
      </c>
      <c r="AE306" s="11">
        <f t="shared" ref="AE306:AE351" si="11">(Z306+AB306+AD306)*6%</f>
        <v>0.42</v>
      </c>
      <c r="AF306" s="11">
        <f t="shared" si="9"/>
        <v>7.42</v>
      </c>
      <c r="AG306" t="s">
        <v>43</v>
      </c>
    </row>
    <row r="307" spans="1:33" ht="15" customHeight="1" x14ac:dyDescent="0.35">
      <c r="A307">
        <v>690929</v>
      </c>
      <c r="B307" t="s">
        <v>33</v>
      </c>
      <c r="C307" t="s">
        <v>34</v>
      </c>
      <c r="D307" s="6" t="s">
        <v>33</v>
      </c>
      <c r="E307" t="s">
        <v>1003</v>
      </c>
      <c r="F307" t="s">
        <v>36</v>
      </c>
      <c r="G307" t="s">
        <v>37</v>
      </c>
      <c r="H307" t="s">
        <v>1004</v>
      </c>
      <c r="I307" t="s">
        <v>39</v>
      </c>
      <c r="J307">
        <v>2</v>
      </c>
      <c r="K307" t="s">
        <v>40</v>
      </c>
      <c r="L307" t="s">
        <v>41</v>
      </c>
      <c r="M307" t="s">
        <v>42</v>
      </c>
      <c r="N307" s="7">
        <v>7</v>
      </c>
      <c r="O307" s="8">
        <v>44998.651030092595</v>
      </c>
      <c r="P307" s="9">
        <v>44999</v>
      </c>
      <c r="Q307" t="s">
        <v>36</v>
      </c>
      <c r="R307" t="s">
        <v>43</v>
      </c>
      <c r="S307" t="s">
        <v>44</v>
      </c>
      <c r="T307" t="s">
        <v>79</v>
      </c>
      <c r="U307" t="s">
        <v>1005</v>
      </c>
      <c r="V307">
        <v>18000</v>
      </c>
      <c r="W307" t="s">
        <v>43</v>
      </c>
      <c r="X307" t="s">
        <v>1006</v>
      </c>
      <c r="Y307" t="s">
        <v>49</v>
      </c>
      <c r="Z307" s="12">
        <f>IF(N307&lt;=1,7,7+0.8*ROUNDUP(N307-1,0))</f>
        <v>11.8</v>
      </c>
      <c r="AA307" s="11">
        <v>0</v>
      </c>
      <c r="AB307" s="11">
        <v>0</v>
      </c>
      <c r="AC307" s="11">
        <v>0</v>
      </c>
      <c r="AD307" s="11">
        <v>0</v>
      </c>
      <c r="AE307" s="11">
        <f t="shared" si="11"/>
        <v>0.70799999999999996</v>
      </c>
      <c r="AF307" s="11">
        <f t="shared" si="9"/>
        <v>12.508000000000001</v>
      </c>
      <c r="AG307" t="s">
        <v>43</v>
      </c>
    </row>
    <row r="308" spans="1:33" ht="15" customHeight="1" x14ac:dyDescent="0.35">
      <c r="A308">
        <v>690929</v>
      </c>
      <c r="B308" t="s">
        <v>33</v>
      </c>
      <c r="C308" t="s">
        <v>34</v>
      </c>
      <c r="D308" s="6" t="s">
        <v>33</v>
      </c>
      <c r="E308" t="s">
        <v>1007</v>
      </c>
      <c r="F308" t="s">
        <v>36</v>
      </c>
      <c r="G308" t="s">
        <v>37</v>
      </c>
      <c r="H308" t="s">
        <v>164</v>
      </c>
      <c r="I308" t="s">
        <v>39</v>
      </c>
      <c r="J308">
        <v>2</v>
      </c>
      <c r="K308" t="s">
        <v>40</v>
      </c>
      <c r="L308" t="s">
        <v>41</v>
      </c>
      <c r="M308" t="s">
        <v>42</v>
      </c>
      <c r="N308" s="7">
        <v>1</v>
      </c>
      <c r="O308" s="8">
        <v>44994.775856481479</v>
      </c>
      <c r="P308" s="9">
        <v>44999</v>
      </c>
      <c r="Q308" t="s">
        <v>36</v>
      </c>
      <c r="R308" t="s">
        <v>43</v>
      </c>
      <c r="S308" t="s">
        <v>74</v>
      </c>
      <c r="T308" t="s">
        <v>45</v>
      </c>
      <c r="U308" t="s">
        <v>1008</v>
      </c>
      <c r="V308">
        <v>89808</v>
      </c>
      <c r="W308" t="s">
        <v>47</v>
      </c>
      <c r="X308" t="s">
        <v>162</v>
      </c>
      <c r="Y308" t="s">
        <v>49</v>
      </c>
      <c r="Z308" s="10">
        <f>IF(N308&lt;=1,13,IF(N308&lt;=2,23,IF(N308&lt;=3,35,IF(N308&lt;=4,43,IF(N308&lt;=5,53,IF(N308&lt;=6,63,IF(N308&lt;=7,71,IF(N308&lt;=8,79,IF(N308&lt;=9,87,IF(N308&lt;=10,95,IF(N308&lt;=11,105,IF(N308&lt;=12,114,IF(N308&lt;=13,119,IF(N308&lt;=14,127,IF(N308&lt;=15,135,IF(N308&lt;=16,143,IF(N308&lt;=17,153,IF(N308&lt;=18,163,IF(N308&lt;=19,171,IF(N308&lt;=20,185,IF(N308&lt;=21,193,IF(N308&lt;=22,201,IF(N308&lt;=23,210,IF(N308&lt;=24,220,IF(N308&lt;=25,230,IF(N308&lt;=26,240,IF(N308&lt;=27,250,IF(N308&lt;=28,260,IF(N308&lt;=29,270,IF(N308&lt;=30,280,280))))))))))))))))))))))))))))))</f>
        <v>13</v>
      </c>
      <c r="AA308" s="11">
        <v>0</v>
      </c>
      <c r="AB308" s="11">
        <v>0</v>
      </c>
      <c r="AC308" s="11">
        <v>0</v>
      </c>
      <c r="AD308" s="11">
        <v>0</v>
      </c>
      <c r="AE308" s="11">
        <f t="shared" si="11"/>
        <v>0.78</v>
      </c>
      <c r="AF308" s="11">
        <f t="shared" si="9"/>
        <v>13.78</v>
      </c>
      <c r="AG308" t="s">
        <v>47</v>
      </c>
    </row>
    <row r="309" spans="1:33" ht="15" customHeight="1" x14ac:dyDescent="0.35">
      <c r="A309">
        <v>690929</v>
      </c>
      <c r="B309" t="s">
        <v>33</v>
      </c>
      <c r="C309" t="s">
        <v>34</v>
      </c>
      <c r="D309" s="6" t="s">
        <v>33</v>
      </c>
      <c r="E309" t="s">
        <v>1009</v>
      </c>
      <c r="F309" t="s">
        <v>36</v>
      </c>
      <c r="G309" t="s">
        <v>37</v>
      </c>
      <c r="H309" t="s">
        <v>1010</v>
      </c>
      <c r="I309" t="s">
        <v>39</v>
      </c>
      <c r="J309">
        <v>2</v>
      </c>
      <c r="K309" t="s">
        <v>40</v>
      </c>
      <c r="L309" t="s">
        <v>41</v>
      </c>
      <c r="M309" t="s">
        <v>42</v>
      </c>
      <c r="N309" s="7">
        <v>1</v>
      </c>
      <c r="O309" s="8">
        <v>44997.663900462961</v>
      </c>
      <c r="P309" s="9">
        <v>44999</v>
      </c>
      <c r="Q309" t="s">
        <v>36</v>
      </c>
      <c r="R309" t="s">
        <v>43</v>
      </c>
      <c r="S309" t="s">
        <v>44</v>
      </c>
      <c r="T309" t="s">
        <v>137</v>
      </c>
      <c r="U309" t="s">
        <v>1011</v>
      </c>
      <c r="V309">
        <v>34200</v>
      </c>
      <c r="W309" t="s">
        <v>43</v>
      </c>
      <c r="X309" t="s">
        <v>62</v>
      </c>
      <c r="Y309" t="s">
        <v>49</v>
      </c>
      <c r="Z309" s="12">
        <f>IF(N309&lt;=1,7,7+0.8*ROUNDUP(N309-1,0))</f>
        <v>7</v>
      </c>
      <c r="AA309" s="11">
        <v>0</v>
      </c>
      <c r="AB309" s="11">
        <v>0</v>
      </c>
      <c r="AC309" s="11">
        <v>0</v>
      </c>
      <c r="AD309" s="11">
        <v>0</v>
      </c>
      <c r="AE309" s="11">
        <f t="shared" si="11"/>
        <v>0.42</v>
      </c>
      <c r="AF309" s="11">
        <f t="shared" si="9"/>
        <v>7.42</v>
      </c>
      <c r="AG309" t="s">
        <v>43</v>
      </c>
    </row>
    <row r="310" spans="1:33" ht="15" customHeight="1" x14ac:dyDescent="0.35">
      <c r="A310">
        <v>690929</v>
      </c>
      <c r="B310" t="s">
        <v>33</v>
      </c>
      <c r="C310" t="s">
        <v>34</v>
      </c>
      <c r="D310" s="6" t="s">
        <v>33</v>
      </c>
      <c r="E310" t="s">
        <v>1012</v>
      </c>
      <c r="F310" t="s">
        <v>36</v>
      </c>
      <c r="G310" t="s">
        <v>37</v>
      </c>
      <c r="H310" t="s">
        <v>1013</v>
      </c>
      <c r="I310" t="s">
        <v>39</v>
      </c>
      <c r="J310">
        <v>2</v>
      </c>
      <c r="K310" t="s">
        <v>40</v>
      </c>
      <c r="L310" t="s">
        <v>41</v>
      </c>
      <c r="M310" t="s">
        <v>42</v>
      </c>
      <c r="N310" s="7">
        <v>1</v>
      </c>
      <c r="O310" s="8">
        <v>44998.452106481483</v>
      </c>
      <c r="P310" s="9">
        <v>44999</v>
      </c>
      <c r="Q310" t="s">
        <v>36</v>
      </c>
      <c r="R310" t="s">
        <v>43</v>
      </c>
      <c r="S310" t="s">
        <v>44</v>
      </c>
      <c r="T310" t="s">
        <v>52</v>
      </c>
      <c r="U310" t="s">
        <v>1014</v>
      </c>
      <c r="V310">
        <v>43650</v>
      </c>
      <c r="W310" t="s">
        <v>43</v>
      </c>
      <c r="X310" t="s">
        <v>110</v>
      </c>
      <c r="Y310" t="s">
        <v>49</v>
      </c>
      <c r="Z310" s="12">
        <f>IF(N310&lt;=1,7,7+0.8*ROUNDUP(N310-1,0))</f>
        <v>7</v>
      </c>
      <c r="AA310" s="11">
        <v>0</v>
      </c>
      <c r="AB310" s="11">
        <v>0</v>
      </c>
      <c r="AC310" s="11">
        <v>0</v>
      </c>
      <c r="AD310" s="11">
        <v>0</v>
      </c>
      <c r="AE310" s="11">
        <f t="shared" si="11"/>
        <v>0.42</v>
      </c>
      <c r="AF310" s="11">
        <f t="shared" si="9"/>
        <v>7.42</v>
      </c>
      <c r="AG310" t="s">
        <v>43</v>
      </c>
    </row>
    <row r="311" spans="1:33" ht="15" customHeight="1" x14ac:dyDescent="0.35">
      <c r="A311">
        <v>690929</v>
      </c>
      <c r="B311" t="s">
        <v>33</v>
      </c>
      <c r="C311" t="s">
        <v>34</v>
      </c>
      <c r="D311" s="6" t="s">
        <v>33</v>
      </c>
      <c r="E311" t="s">
        <v>1015</v>
      </c>
      <c r="F311" t="s">
        <v>36</v>
      </c>
      <c r="G311" t="s">
        <v>37</v>
      </c>
      <c r="H311" t="s">
        <v>1016</v>
      </c>
      <c r="I311" t="s">
        <v>39</v>
      </c>
      <c r="J311">
        <v>2</v>
      </c>
      <c r="K311" t="s">
        <v>40</v>
      </c>
      <c r="L311" t="s">
        <v>41</v>
      </c>
      <c r="M311" t="s">
        <v>42</v>
      </c>
      <c r="N311" s="7">
        <v>1</v>
      </c>
      <c r="O311" s="8">
        <v>44996.678796296299</v>
      </c>
      <c r="P311" s="9">
        <v>44999</v>
      </c>
      <c r="Q311" t="s">
        <v>36</v>
      </c>
      <c r="R311" t="s">
        <v>43</v>
      </c>
      <c r="S311" t="s">
        <v>44</v>
      </c>
      <c r="T311" t="s">
        <v>183</v>
      </c>
      <c r="U311" t="s">
        <v>1017</v>
      </c>
      <c r="V311">
        <v>75450</v>
      </c>
      <c r="W311" t="s">
        <v>43</v>
      </c>
      <c r="X311" t="s">
        <v>62</v>
      </c>
      <c r="Y311" t="s">
        <v>49</v>
      </c>
      <c r="Z311" s="12">
        <f>IF(N311&lt;=1,7,7+0.8*ROUNDUP(N311-1,0))</f>
        <v>7</v>
      </c>
      <c r="AA311" s="11">
        <v>0</v>
      </c>
      <c r="AB311" s="11">
        <v>0</v>
      </c>
      <c r="AC311" s="11">
        <v>0</v>
      </c>
      <c r="AD311" s="11">
        <v>0</v>
      </c>
      <c r="AE311" s="11">
        <f t="shared" si="11"/>
        <v>0.42</v>
      </c>
      <c r="AF311" s="11">
        <f t="shared" si="9"/>
        <v>7.42</v>
      </c>
      <c r="AG311" t="s">
        <v>43</v>
      </c>
    </row>
    <row r="312" spans="1:33" ht="15" customHeight="1" x14ac:dyDescent="0.35">
      <c r="A312">
        <v>690929</v>
      </c>
      <c r="B312" t="s">
        <v>33</v>
      </c>
      <c r="C312" t="s">
        <v>34</v>
      </c>
      <c r="D312" s="6" t="s">
        <v>33</v>
      </c>
      <c r="E312" t="s">
        <v>1018</v>
      </c>
      <c r="F312" t="s">
        <v>36</v>
      </c>
      <c r="G312" t="s">
        <v>37</v>
      </c>
      <c r="H312" t="s">
        <v>1019</v>
      </c>
      <c r="I312" t="s">
        <v>39</v>
      </c>
      <c r="J312">
        <v>2</v>
      </c>
      <c r="K312" t="s">
        <v>40</v>
      </c>
      <c r="L312" t="s">
        <v>41</v>
      </c>
      <c r="M312" t="s">
        <v>42</v>
      </c>
      <c r="N312" s="7">
        <v>1</v>
      </c>
      <c r="O312" s="8">
        <v>44995.72587962963</v>
      </c>
      <c r="P312" s="9">
        <v>44999</v>
      </c>
      <c r="Q312" t="s">
        <v>36</v>
      </c>
      <c r="R312" t="s">
        <v>43</v>
      </c>
      <c r="S312" t="s">
        <v>44</v>
      </c>
      <c r="T312" t="s">
        <v>45</v>
      </c>
      <c r="U312" t="s">
        <v>1020</v>
      </c>
      <c r="V312">
        <v>91308</v>
      </c>
      <c r="W312" t="s">
        <v>47</v>
      </c>
      <c r="X312" t="s">
        <v>644</v>
      </c>
      <c r="Y312" t="s">
        <v>49</v>
      </c>
      <c r="Z312" s="10">
        <f>IF(N312&lt;=1,13,IF(N312&lt;=2,23,IF(N312&lt;=3,35,IF(N312&lt;=4,43,IF(N312&lt;=5,53,IF(N312&lt;=6,63,IF(N312&lt;=7,71,IF(N312&lt;=8,79,IF(N312&lt;=9,87,IF(N312&lt;=10,95,IF(N312&lt;=11,105,IF(N312&lt;=12,114,IF(N312&lt;=13,119,IF(N312&lt;=14,127,IF(N312&lt;=15,135,IF(N312&lt;=16,143,IF(N312&lt;=17,153,IF(N312&lt;=18,163,IF(N312&lt;=19,171,IF(N312&lt;=20,185,IF(N312&lt;=21,193,IF(N312&lt;=22,201,IF(N312&lt;=23,210,IF(N312&lt;=24,220,IF(N312&lt;=25,230,IF(N312&lt;=26,240,IF(N312&lt;=27,250,IF(N312&lt;=28,260,IF(N312&lt;=29,270,IF(N312&lt;=30,280,280))))))))))))))))))))))))))))))</f>
        <v>13</v>
      </c>
      <c r="AA312" s="11">
        <v>0</v>
      </c>
      <c r="AB312" s="11">
        <v>0</v>
      </c>
      <c r="AC312" s="11">
        <v>0</v>
      </c>
      <c r="AD312" s="11">
        <v>0</v>
      </c>
      <c r="AE312" s="11">
        <f t="shared" si="11"/>
        <v>0.78</v>
      </c>
      <c r="AF312" s="11">
        <f t="shared" si="9"/>
        <v>13.78</v>
      </c>
      <c r="AG312" t="s">
        <v>47</v>
      </c>
    </row>
    <row r="313" spans="1:33" ht="15" customHeight="1" x14ac:dyDescent="0.35">
      <c r="A313">
        <v>690929</v>
      </c>
      <c r="B313" t="s">
        <v>33</v>
      </c>
      <c r="C313" t="s">
        <v>34</v>
      </c>
      <c r="D313" s="6" t="s">
        <v>33</v>
      </c>
      <c r="E313" t="s">
        <v>1021</v>
      </c>
      <c r="F313" t="s">
        <v>36</v>
      </c>
      <c r="G313" t="s">
        <v>37</v>
      </c>
      <c r="H313" t="s">
        <v>1022</v>
      </c>
      <c r="I313" t="s">
        <v>39</v>
      </c>
      <c r="J313">
        <v>2</v>
      </c>
      <c r="K313" t="s">
        <v>40</v>
      </c>
      <c r="L313" t="s">
        <v>41</v>
      </c>
      <c r="M313" t="s">
        <v>42</v>
      </c>
      <c r="N313" s="7">
        <v>1</v>
      </c>
      <c r="O313" s="8">
        <v>44998.497083333335</v>
      </c>
      <c r="P313" s="9">
        <v>44999</v>
      </c>
      <c r="Q313" t="s">
        <v>36</v>
      </c>
      <c r="R313" t="s">
        <v>43</v>
      </c>
      <c r="S313" t="s">
        <v>44</v>
      </c>
      <c r="T313" t="s">
        <v>65</v>
      </c>
      <c r="U313" t="s">
        <v>1023</v>
      </c>
      <c r="V313">
        <v>25150</v>
      </c>
      <c r="W313" t="s">
        <v>43</v>
      </c>
      <c r="X313" t="s">
        <v>44</v>
      </c>
      <c r="Y313" t="s">
        <v>49</v>
      </c>
      <c r="Z313" s="12">
        <f>IF(N313&lt;=1,7,7+0.8*ROUNDUP(N313-1,0))</f>
        <v>7</v>
      </c>
      <c r="AA313" s="11">
        <v>0</v>
      </c>
      <c r="AB313" s="11">
        <v>0</v>
      </c>
      <c r="AC313" s="11">
        <v>0</v>
      </c>
      <c r="AD313" s="11">
        <v>0</v>
      </c>
      <c r="AE313" s="11">
        <f t="shared" si="11"/>
        <v>0.42</v>
      </c>
      <c r="AF313" s="11">
        <f t="shared" si="9"/>
        <v>7.42</v>
      </c>
      <c r="AG313" t="s">
        <v>43</v>
      </c>
    </row>
    <row r="314" spans="1:33" ht="15" customHeight="1" x14ac:dyDescent="0.35">
      <c r="A314">
        <v>690929</v>
      </c>
      <c r="B314" t="s">
        <v>33</v>
      </c>
      <c r="C314" t="s">
        <v>34</v>
      </c>
      <c r="D314" s="6" t="s">
        <v>33</v>
      </c>
      <c r="E314" t="s">
        <v>1024</v>
      </c>
      <c r="F314" t="s">
        <v>36</v>
      </c>
      <c r="G314" t="s">
        <v>37</v>
      </c>
      <c r="H314" t="s">
        <v>902</v>
      </c>
      <c r="I314" t="s">
        <v>39</v>
      </c>
      <c r="J314">
        <v>2</v>
      </c>
      <c r="K314" t="s">
        <v>40</v>
      </c>
      <c r="L314" t="s">
        <v>41</v>
      </c>
      <c r="M314" t="s">
        <v>42</v>
      </c>
      <c r="N314" s="7">
        <v>8</v>
      </c>
      <c r="O314" s="8">
        <v>44997.513842592591</v>
      </c>
      <c r="P314" s="9">
        <v>44999</v>
      </c>
      <c r="Q314" t="s">
        <v>36</v>
      </c>
      <c r="R314" t="s">
        <v>43</v>
      </c>
      <c r="S314" t="s">
        <v>44</v>
      </c>
      <c r="T314" t="s">
        <v>104</v>
      </c>
      <c r="U314" t="s">
        <v>903</v>
      </c>
      <c r="V314">
        <v>81700</v>
      </c>
      <c r="W314" t="s">
        <v>43</v>
      </c>
      <c r="X314" t="s">
        <v>904</v>
      </c>
      <c r="Y314" t="s">
        <v>49</v>
      </c>
      <c r="Z314" s="12">
        <f>IF(N314&lt;=1,7,7+0.8*ROUNDUP(N314-1,0))</f>
        <v>12.600000000000001</v>
      </c>
      <c r="AA314" s="11">
        <v>0</v>
      </c>
      <c r="AB314" s="11">
        <v>0</v>
      </c>
      <c r="AC314" s="11">
        <v>0</v>
      </c>
      <c r="AD314" s="11">
        <v>0</v>
      </c>
      <c r="AE314" s="11">
        <f t="shared" si="11"/>
        <v>0.75600000000000001</v>
      </c>
      <c r="AF314" s="11">
        <f t="shared" si="9"/>
        <v>13.356000000000002</v>
      </c>
      <c r="AG314" t="s">
        <v>43</v>
      </c>
    </row>
    <row r="315" spans="1:33" ht="15" customHeight="1" x14ac:dyDescent="0.35">
      <c r="A315">
        <v>690929</v>
      </c>
      <c r="B315" t="s">
        <v>33</v>
      </c>
      <c r="C315" t="s">
        <v>34</v>
      </c>
      <c r="D315" s="6" t="s">
        <v>33</v>
      </c>
      <c r="E315" t="s">
        <v>1025</v>
      </c>
      <c r="F315" t="s">
        <v>36</v>
      </c>
      <c r="G315" t="s">
        <v>37</v>
      </c>
      <c r="H315" t="s">
        <v>1026</v>
      </c>
      <c r="I315" t="s">
        <v>39</v>
      </c>
      <c r="J315">
        <v>2</v>
      </c>
      <c r="K315" t="s">
        <v>40</v>
      </c>
      <c r="L315" t="s">
        <v>41</v>
      </c>
      <c r="M315" t="s">
        <v>42</v>
      </c>
      <c r="N315" s="7">
        <v>1</v>
      </c>
      <c r="O315" s="8">
        <v>44998.502233796295</v>
      </c>
      <c r="P315" s="9">
        <v>44999</v>
      </c>
      <c r="Q315" t="s">
        <v>36</v>
      </c>
      <c r="R315" t="s">
        <v>43</v>
      </c>
      <c r="S315" t="s">
        <v>44</v>
      </c>
      <c r="T315" t="s">
        <v>92</v>
      </c>
      <c r="U315" t="s">
        <v>1027</v>
      </c>
      <c r="V315">
        <v>22020</v>
      </c>
      <c r="W315" t="s">
        <v>43</v>
      </c>
      <c r="X315" t="s">
        <v>44</v>
      </c>
      <c r="Y315" t="s">
        <v>49</v>
      </c>
      <c r="Z315" s="12">
        <f>IF(N315&lt;=1,7,7+0.8*ROUNDUP(N315-1,0))</f>
        <v>7</v>
      </c>
      <c r="AA315" s="11">
        <v>0</v>
      </c>
      <c r="AB315" s="11">
        <v>0</v>
      </c>
      <c r="AC315" s="11">
        <v>0</v>
      </c>
      <c r="AD315" s="11">
        <v>0</v>
      </c>
      <c r="AE315" s="11">
        <f t="shared" si="11"/>
        <v>0.42</v>
      </c>
      <c r="AF315" s="11">
        <f t="shared" si="9"/>
        <v>7.42</v>
      </c>
      <c r="AG315" t="s">
        <v>43</v>
      </c>
    </row>
    <row r="316" spans="1:33" ht="15" customHeight="1" x14ac:dyDescent="0.35">
      <c r="A316">
        <v>690929</v>
      </c>
      <c r="B316" t="s">
        <v>33</v>
      </c>
      <c r="C316" t="s">
        <v>34</v>
      </c>
      <c r="D316" s="6" t="s">
        <v>33</v>
      </c>
      <c r="E316" t="s">
        <v>1028</v>
      </c>
      <c r="F316" t="s">
        <v>36</v>
      </c>
      <c r="G316" t="s">
        <v>37</v>
      </c>
      <c r="H316" t="s">
        <v>1029</v>
      </c>
      <c r="I316" t="s">
        <v>39</v>
      </c>
      <c r="J316">
        <v>2</v>
      </c>
      <c r="K316" t="s">
        <v>40</v>
      </c>
      <c r="L316" t="s">
        <v>41</v>
      </c>
      <c r="M316" t="s">
        <v>42</v>
      </c>
      <c r="N316" s="7">
        <v>1</v>
      </c>
      <c r="O316" s="8">
        <v>44994.771990740737</v>
      </c>
      <c r="P316" s="9">
        <v>44999</v>
      </c>
      <c r="Q316" t="s">
        <v>36</v>
      </c>
      <c r="R316" t="s">
        <v>43</v>
      </c>
      <c r="S316" t="s">
        <v>74</v>
      </c>
      <c r="T316" t="s">
        <v>45</v>
      </c>
      <c r="U316" t="s">
        <v>1030</v>
      </c>
      <c r="V316">
        <v>88450</v>
      </c>
      <c r="W316" t="s">
        <v>47</v>
      </c>
      <c r="X316" t="s">
        <v>48</v>
      </c>
      <c r="Y316" t="s">
        <v>49</v>
      </c>
      <c r="Z316" s="10">
        <f>IF(N316&lt;=1,13,IF(N316&lt;=2,23,IF(N316&lt;=3,35,IF(N316&lt;=4,43,IF(N316&lt;=5,53,IF(N316&lt;=6,63,IF(N316&lt;=7,71,IF(N316&lt;=8,79,IF(N316&lt;=9,87,IF(N316&lt;=10,95,IF(N316&lt;=11,105,IF(N316&lt;=12,114,IF(N316&lt;=13,119,IF(N316&lt;=14,127,IF(N316&lt;=15,135,IF(N316&lt;=16,143,IF(N316&lt;=17,153,IF(N316&lt;=18,163,IF(N316&lt;=19,171,IF(N316&lt;=20,185,IF(N316&lt;=21,193,IF(N316&lt;=22,201,IF(N316&lt;=23,210,IF(N316&lt;=24,220,IF(N316&lt;=25,230,IF(N316&lt;=26,240,IF(N316&lt;=27,250,IF(N316&lt;=28,260,IF(N316&lt;=29,270,IF(N316&lt;=30,280,280))))))))))))))))))))))))))))))</f>
        <v>13</v>
      </c>
      <c r="AA316" s="11">
        <v>0</v>
      </c>
      <c r="AB316" s="11">
        <v>0</v>
      </c>
      <c r="AC316" s="11">
        <v>0</v>
      </c>
      <c r="AD316" s="11">
        <v>0</v>
      </c>
      <c r="AE316" s="11">
        <f t="shared" si="11"/>
        <v>0.78</v>
      </c>
      <c r="AF316" s="11">
        <f t="shared" si="9"/>
        <v>13.78</v>
      </c>
      <c r="AG316" t="s">
        <v>47</v>
      </c>
    </row>
    <row r="317" spans="1:33" ht="15" customHeight="1" x14ac:dyDescent="0.35">
      <c r="A317">
        <v>690929</v>
      </c>
      <c r="B317" t="s">
        <v>33</v>
      </c>
      <c r="C317" t="s">
        <v>34</v>
      </c>
      <c r="D317" s="6" t="s">
        <v>33</v>
      </c>
      <c r="E317" t="s">
        <v>1031</v>
      </c>
      <c r="F317" t="s">
        <v>36</v>
      </c>
      <c r="G317" t="s">
        <v>37</v>
      </c>
      <c r="H317" t="s">
        <v>1032</v>
      </c>
      <c r="I317" t="s">
        <v>39</v>
      </c>
      <c r="J317">
        <v>2</v>
      </c>
      <c r="K317" t="s">
        <v>40</v>
      </c>
      <c r="L317" t="s">
        <v>41</v>
      </c>
      <c r="M317" t="s">
        <v>42</v>
      </c>
      <c r="N317" s="7">
        <v>1</v>
      </c>
      <c r="O317" s="8">
        <v>44998.500115740739</v>
      </c>
      <c r="P317" s="9">
        <v>44999</v>
      </c>
      <c r="Q317" t="s">
        <v>36</v>
      </c>
      <c r="R317" t="s">
        <v>43</v>
      </c>
      <c r="S317" t="s">
        <v>44</v>
      </c>
      <c r="T317" t="s">
        <v>52</v>
      </c>
      <c r="U317" t="s">
        <v>1033</v>
      </c>
      <c r="V317">
        <v>43200</v>
      </c>
      <c r="W317" t="s">
        <v>43</v>
      </c>
      <c r="X317" t="s">
        <v>1034</v>
      </c>
      <c r="Y317" t="s">
        <v>49</v>
      </c>
      <c r="Z317" s="12">
        <f>IF(N317&lt;=1,7,7+0.8*ROUNDUP(N317-1,0))</f>
        <v>7</v>
      </c>
      <c r="AA317" s="11">
        <v>0</v>
      </c>
      <c r="AB317" s="11">
        <v>0</v>
      </c>
      <c r="AC317" s="11">
        <v>0</v>
      </c>
      <c r="AD317" s="11">
        <v>0</v>
      </c>
      <c r="AE317" s="11">
        <f t="shared" si="11"/>
        <v>0.42</v>
      </c>
      <c r="AF317" s="11">
        <f t="shared" si="9"/>
        <v>7.42</v>
      </c>
      <c r="AG317" t="s">
        <v>43</v>
      </c>
    </row>
    <row r="318" spans="1:33" ht="15" customHeight="1" x14ac:dyDescent="0.35">
      <c r="A318">
        <v>690929</v>
      </c>
      <c r="B318" t="s">
        <v>33</v>
      </c>
      <c r="C318" t="s">
        <v>34</v>
      </c>
      <c r="D318" s="6" t="s">
        <v>33</v>
      </c>
      <c r="E318" t="s">
        <v>1035</v>
      </c>
      <c r="F318" t="s">
        <v>36</v>
      </c>
      <c r="G318" t="s">
        <v>37</v>
      </c>
      <c r="H318" t="s">
        <v>1036</v>
      </c>
      <c r="I318" t="s">
        <v>39</v>
      </c>
      <c r="J318">
        <v>2</v>
      </c>
      <c r="K318" t="s">
        <v>40</v>
      </c>
      <c r="L318" t="s">
        <v>41</v>
      </c>
      <c r="M318" t="s">
        <v>42</v>
      </c>
      <c r="N318" s="7">
        <v>1</v>
      </c>
      <c r="O318" s="8">
        <v>44997.517905092594</v>
      </c>
      <c r="P318" s="9">
        <v>44999</v>
      </c>
      <c r="Q318" t="s">
        <v>36</v>
      </c>
      <c r="R318" t="s">
        <v>43</v>
      </c>
      <c r="S318" t="s">
        <v>44</v>
      </c>
      <c r="T318" t="s">
        <v>137</v>
      </c>
      <c r="U318" t="s">
        <v>1037</v>
      </c>
      <c r="V318">
        <v>34700</v>
      </c>
      <c r="W318" t="s">
        <v>43</v>
      </c>
      <c r="X318" t="s">
        <v>62</v>
      </c>
      <c r="Y318" t="s">
        <v>49</v>
      </c>
      <c r="Z318" s="12">
        <f>IF(N318&lt;=1,7,7+0.8*ROUNDUP(N318-1,0))</f>
        <v>7</v>
      </c>
      <c r="AA318" s="11">
        <v>0</v>
      </c>
      <c r="AB318" s="11">
        <v>0</v>
      </c>
      <c r="AC318" s="11">
        <v>0</v>
      </c>
      <c r="AD318" s="11">
        <v>0</v>
      </c>
      <c r="AE318" s="11">
        <f t="shared" si="11"/>
        <v>0.42</v>
      </c>
      <c r="AF318" s="11">
        <f t="shared" si="9"/>
        <v>7.42</v>
      </c>
      <c r="AG318" t="s">
        <v>43</v>
      </c>
    </row>
    <row r="319" spans="1:33" ht="15" customHeight="1" x14ac:dyDescent="0.35">
      <c r="A319">
        <v>690929</v>
      </c>
      <c r="B319" t="s">
        <v>33</v>
      </c>
      <c r="C319" t="s">
        <v>34</v>
      </c>
      <c r="D319" s="6" t="s">
        <v>33</v>
      </c>
      <c r="E319" t="s">
        <v>1038</v>
      </c>
      <c r="F319" t="s">
        <v>36</v>
      </c>
      <c r="G319" t="s">
        <v>37</v>
      </c>
      <c r="H319" t="s">
        <v>1039</v>
      </c>
      <c r="I319" t="s">
        <v>39</v>
      </c>
      <c r="J319">
        <v>2</v>
      </c>
      <c r="K319" t="s">
        <v>40</v>
      </c>
      <c r="L319" t="s">
        <v>41</v>
      </c>
      <c r="M319" t="s">
        <v>42</v>
      </c>
      <c r="N319" s="7">
        <v>1</v>
      </c>
      <c r="O319" s="8">
        <v>44997.707986111112</v>
      </c>
      <c r="P319" s="9">
        <v>44999</v>
      </c>
      <c r="Q319" t="s">
        <v>36</v>
      </c>
      <c r="R319" t="s">
        <v>43</v>
      </c>
      <c r="S319" t="s">
        <v>44</v>
      </c>
      <c r="T319" t="s">
        <v>65</v>
      </c>
      <c r="U319" t="s">
        <v>1040</v>
      </c>
      <c r="V319">
        <v>27000</v>
      </c>
      <c r="W319" t="s">
        <v>43</v>
      </c>
      <c r="X319" t="s">
        <v>44</v>
      </c>
      <c r="Y319" t="s">
        <v>49</v>
      </c>
      <c r="Z319" s="12">
        <f>IF(N319&lt;=1,7,7+0.8*ROUNDUP(N319-1,0))</f>
        <v>7</v>
      </c>
      <c r="AA319" s="11">
        <v>0</v>
      </c>
      <c r="AB319" s="11">
        <v>0</v>
      </c>
      <c r="AC319" s="11">
        <v>0</v>
      </c>
      <c r="AD319" s="11">
        <v>0</v>
      </c>
      <c r="AE319" s="11">
        <f t="shared" si="11"/>
        <v>0.42</v>
      </c>
      <c r="AF319" s="11">
        <f t="shared" si="9"/>
        <v>7.42</v>
      </c>
      <c r="AG319" t="s">
        <v>43</v>
      </c>
    </row>
    <row r="320" spans="1:33" ht="15" customHeight="1" x14ac:dyDescent="0.35">
      <c r="A320">
        <v>690929</v>
      </c>
      <c r="B320" t="s">
        <v>33</v>
      </c>
      <c r="C320" t="s">
        <v>34</v>
      </c>
      <c r="D320" s="6" t="s">
        <v>33</v>
      </c>
      <c r="E320" t="s">
        <v>1041</v>
      </c>
      <c r="F320" t="s">
        <v>36</v>
      </c>
      <c r="G320" t="s">
        <v>37</v>
      </c>
      <c r="H320" t="s">
        <v>1042</v>
      </c>
      <c r="I320" t="s">
        <v>39</v>
      </c>
      <c r="J320">
        <v>2</v>
      </c>
      <c r="K320" t="s">
        <v>40</v>
      </c>
      <c r="L320" t="s">
        <v>41</v>
      </c>
      <c r="M320" t="s">
        <v>42</v>
      </c>
      <c r="N320" s="7">
        <v>1</v>
      </c>
      <c r="O320" s="8">
        <v>44998.76153935185</v>
      </c>
      <c r="P320" s="9">
        <v>45000</v>
      </c>
      <c r="Q320" t="s">
        <v>36</v>
      </c>
      <c r="R320" t="s">
        <v>43</v>
      </c>
      <c r="S320" t="s">
        <v>44</v>
      </c>
      <c r="T320" t="s">
        <v>178</v>
      </c>
      <c r="U320" t="s">
        <v>1043</v>
      </c>
      <c r="V320">
        <v>51200</v>
      </c>
      <c r="W320" t="s">
        <v>43</v>
      </c>
      <c r="X320" t="s">
        <v>200</v>
      </c>
      <c r="Y320" t="s">
        <v>49</v>
      </c>
      <c r="Z320" s="12">
        <f>IF(N320&lt;=1,7,7+0.8*ROUNDUP(N320-1,0))</f>
        <v>7</v>
      </c>
      <c r="AA320" s="11">
        <v>0</v>
      </c>
      <c r="AB320" s="11">
        <v>0</v>
      </c>
      <c r="AC320" s="11">
        <v>0</v>
      </c>
      <c r="AD320" s="11">
        <v>0</v>
      </c>
      <c r="AE320" s="11">
        <f t="shared" si="11"/>
        <v>0.42</v>
      </c>
      <c r="AF320" s="11">
        <f t="shared" si="9"/>
        <v>7.42</v>
      </c>
      <c r="AG320" t="s">
        <v>43</v>
      </c>
    </row>
    <row r="321" spans="1:33" ht="15" customHeight="1" x14ac:dyDescent="0.35">
      <c r="A321">
        <v>690929</v>
      </c>
      <c r="B321" t="s">
        <v>33</v>
      </c>
      <c r="C321" t="s">
        <v>34</v>
      </c>
      <c r="D321" s="6" t="s">
        <v>33</v>
      </c>
      <c r="E321" t="s">
        <v>1044</v>
      </c>
      <c r="F321" t="s">
        <v>36</v>
      </c>
      <c r="G321" t="s">
        <v>37</v>
      </c>
      <c r="H321" t="s">
        <v>1045</v>
      </c>
      <c r="I321" t="s">
        <v>39</v>
      </c>
      <c r="J321">
        <v>2</v>
      </c>
      <c r="K321" t="s">
        <v>40</v>
      </c>
      <c r="L321" t="s">
        <v>41</v>
      </c>
      <c r="M321" t="s">
        <v>42</v>
      </c>
      <c r="N321" s="7">
        <v>1</v>
      </c>
      <c r="O321" s="8">
        <v>44997.768379629626</v>
      </c>
      <c r="P321" s="9">
        <v>45000</v>
      </c>
      <c r="Q321" t="s">
        <v>36</v>
      </c>
      <c r="R321" t="s">
        <v>43</v>
      </c>
      <c r="S321" t="s">
        <v>44</v>
      </c>
      <c r="T321" t="s">
        <v>104</v>
      </c>
      <c r="U321" t="s">
        <v>1046</v>
      </c>
      <c r="V321">
        <v>83100</v>
      </c>
      <c r="W321" t="s">
        <v>43</v>
      </c>
      <c r="X321" t="s">
        <v>62</v>
      </c>
      <c r="Y321" t="s">
        <v>49</v>
      </c>
      <c r="Z321" s="12">
        <f>IF(N321&lt;=1,7,7+0.8*ROUNDUP(N321-1,0))</f>
        <v>7</v>
      </c>
      <c r="AA321" s="11">
        <v>0</v>
      </c>
      <c r="AB321" s="11">
        <v>0</v>
      </c>
      <c r="AC321" s="11">
        <v>0</v>
      </c>
      <c r="AD321" s="11">
        <v>0</v>
      </c>
      <c r="AE321" s="11">
        <f t="shared" si="11"/>
        <v>0.42</v>
      </c>
      <c r="AF321" s="11">
        <f t="shared" si="9"/>
        <v>7.42</v>
      </c>
      <c r="AG321" t="s">
        <v>43</v>
      </c>
    </row>
    <row r="322" spans="1:33" ht="15" customHeight="1" x14ac:dyDescent="0.35">
      <c r="A322">
        <v>690929</v>
      </c>
      <c r="B322" t="s">
        <v>33</v>
      </c>
      <c r="C322" t="s">
        <v>34</v>
      </c>
      <c r="D322" s="6" t="s">
        <v>33</v>
      </c>
      <c r="E322" t="s">
        <v>1047</v>
      </c>
      <c r="F322" t="s">
        <v>36</v>
      </c>
      <c r="G322" t="s">
        <v>37</v>
      </c>
      <c r="H322" t="s">
        <v>174</v>
      </c>
      <c r="I322" t="s">
        <v>39</v>
      </c>
      <c r="J322">
        <v>2</v>
      </c>
      <c r="K322" t="s">
        <v>40</v>
      </c>
      <c r="L322" t="s">
        <v>41</v>
      </c>
      <c r="M322" t="s">
        <v>42</v>
      </c>
      <c r="N322" s="7">
        <v>1</v>
      </c>
      <c r="O322" s="8">
        <v>44998.76153935185</v>
      </c>
      <c r="P322" s="9">
        <v>45000</v>
      </c>
      <c r="Q322" t="s">
        <v>36</v>
      </c>
      <c r="R322" t="s">
        <v>43</v>
      </c>
      <c r="S322" t="s">
        <v>44</v>
      </c>
      <c r="T322" t="s">
        <v>79</v>
      </c>
      <c r="U322" t="s">
        <v>175</v>
      </c>
      <c r="V322">
        <v>18000</v>
      </c>
      <c r="W322" t="s">
        <v>43</v>
      </c>
      <c r="X322" t="s">
        <v>44</v>
      </c>
      <c r="Y322" t="s">
        <v>49</v>
      </c>
      <c r="Z322" s="12">
        <f>IF(N322&lt;=1,7,7+0.8*ROUNDUP(N322-1,0))</f>
        <v>7</v>
      </c>
      <c r="AA322" s="11">
        <v>0</v>
      </c>
      <c r="AB322" s="11">
        <v>0</v>
      </c>
      <c r="AC322" s="11">
        <v>0</v>
      </c>
      <c r="AD322" s="11">
        <v>0</v>
      </c>
      <c r="AE322" s="11">
        <f t="shared" si="11"/>
        <v>0.42</v>
      </c>
      <c r="AF322" s="11">
        <f t="shared" ref="AF322:AF351" si="12">Z322+AB322+AD322+AE322</f>
        <v>7.42</v>
      </c>
      <c r="AG322" t="s">
        <v>43</v>
      </c>
    </row>
    <row r="323" spans="1:33" ht="15" customHeight="1" x14ac:dyDescent="0.35">
      <c r="A323">
        <v>690929</v>
      </c>
      <c r="B323" t="s">
        <v>33</v>
      </c>
      <c r="C323" t="s">
        <v>34</v>
      </c>
      <c r="D323" s="6" t="s">
        <v>33</v>
      </c>
      <c r="E323" t="s">
        <v>1048</v>
      </c>
      <c r="F323" t="s">
        <v>36</v>
      </c>
      <c r="G323" t="s">
        <v>37</v>
      </c>
      <c r="H323" t="s">
        <v>1049</v>
      </c>
      <c r="I323" t="s">
        <v>39</v>
      </c>
      <c r="J323">
        <v>2</v>
      </c>
      <c r="K323" t="s">
        <v>40</v>
      </c>
      <c r="L323" t="s">
        <v>41</v>
      </c>
      <c r="M323" t="s">
        <v>42</v>
      </c>
      <c r="N323" s="7">
        <v>1</v>
      </c>
      <c r="O323" s="8">
        <v>44998.533449074072</v>
      </c>
      <c r="P323" s="9">
        <v>45000</v>
      </c>
      <c r="Q323" t="s">
        <v>36</v>
      </c>
      <c r="R323" t="s">
        <v>43</v>
      </c>
      <c r="S323" t="s">
        <v>44</v>
      </c>
      <c r="T323" t="s">
        <v>52</v>
      </c>
      <c r="U323" t="s">
        <v>1050</v>
      </c>
      <c r="V323">
        <v>40170</v>
      </c>
      <c r="W323" t="s">
        <v>43</v>
      </c>
      <c r="X323" t="s">
        <v>1051</v>
      </c>
      <c r="Y323" t="s">
        <v>49</v>
      </c>
      <c r="Z323" s="12">
        <f>IF(N323&lt;=1,7,7+0.8*ROUNDUP(N323-1,0))</f>
        <v>7</v>
      </c>
      <c r="AA323" s="11">
        <v>0</v>
      </c>
      <c r="AB323" s="11">
        <v>0</v>
      </c>
      <c r="AC323" s="11">
        <v>0</v>
      </c>
      <c r="AD323" s="11">
        <v>0</v>
      </c>
      <c r="AE323" s="11">
        <f t="shared" si="11"/>
        <v>0.42</v>
      </c>
      <c r="AF323" s="11">
        <f t="shared" si="12"/>
        <v>7.42</v>
      </c>
      <c r="AG323" t="s">
        <v>43</v>
      </c>
    </row>
    <row r="324" spans="1:33" ht="15" customHeight="1" x14ac:dyDescent="0.35">
      <c r="A324">
        <v>690929</v>
      </c>
      <c r="B324" t="s">
        <v>33</v>
      </c>
      <c r="C324" t="s">
        <v>34</v>
      </c>
      <c r="D324" s="6" t="s">
        <v>33</v>
      </c>
      <c r="E324" t="s">
        <v>1052</v>
      </c>
      <c r="F324" t="s">
        <v>36</v>
      </c>
      <c r="G324" t="s">
        <v>37</v>
      </c>
      <c r="H324" t="s">
        <v>1053</v>
      </c>
      <c r="I324" t="s">
        <v>39</v>
      </c>
      <c r="J324">
        <v>2</v>
      </c>
      <c r="K324" t="s">
        <v>40</v>
      </c>
      <c r="L324" t="s">
        <v>41</v>
      </c>
      <c r="M324" t="s">
        <v>42</v>
      </c>
      <c r="N324" s="7">
        <v>1</v>
      </c>
      <c r="O324" s="8">
        <v>44998.605740740742</v>
      </c>
      <c r="P324" s="9">
        <v>45000</v>
      </c>
      <c r="Q324" t="s">
        <v>36</v>
      </c>
      <c r="R324" t="s">
        <v>43</v>
      </c>
      <c r="S324" t="s">
        <v>44</v>
      </c>
      <c r="T324" t="s">
        <v>316</v>
      </c>
      <c r="U324" t="s">
        <v>1054</v>
      </c>
      <c r="V324">
        <v>14000</v>
      </c>
      <c r="W324" t="s">
        <v>43</v>
      </c>
      <c r="X324" t="s">
        <v>485</v>
      </c>
      <c r="Y324" t="s">
        <v>49</v>
      </c>
      <c r="Z324" s="12">
        <f>IF(N324&lt;=1,7,7+0.8*ROUNDUP(N324-1,0))</f>
        <v>7</v>
      </c>
      <c r="AA324" s="11">
        <v>0</v>
      </c>
      <c r="AB324" s="11">
        <v>0</v>
      </c>
      <c r="AC324" s="11">
        <v>0</v>
      </c>
      <c r="AD324" s="11">
        <v>0</v>
      </c>
      <c r="AE324" s="11">
        <f t="shared" si="11"/>
        <v>0.42</v>
      </c>
      <c r="AF324" s="11">
        <f t="shared" si="12"/>
        <v>7.42</v>
      </c>
      <c r="AG324" t="s">
        <v>43</v>
      </c>
    </row>
    <row r="325" spans="1:33" ht="15" customHeight="1" x14ac:dyDescent="0.35">
      <c r="A325">
        <v>690929</v>
      </c>
      <c r="B325" t="s">
        <v>33</v>
      </c>
      <c r="C325" t="s">
        <v>34</v>
      </c>
      <c r="D325" s="6" t="s">
        <v>33</v>
      </c>
      <c r="E325" t="s">
        <v>1055</v>
      </c>
      <c r="F325" t="s">
        <v>36</v>
      </c>
      <c r="G325" t="s">
        <v>37</v>
      </c>
      <c r="H325" t="s">
        <v>304</v>
      </c>
      <c r="I325" t="s">
        <v>39</v>
      </c>
      <c r="J325">
        <v>2</v>
      </c>
      <c r="K325" t="s">
        <v>40</v>
      </c>
      <c r="L325" t="s">
        <v>41</v>
      </c>
      <c r="M325" t="s">
        <v>42</v>
      </c>
      <c r="N325" s="7">
        <v>5</v>
      </c>
      <c r="O325" s="8">
        <v>44998.604398148149</v>
      </c>
      <c r="P325" s="9">
        <v>45000</v>
      </c>
      <c r="Q325" t="s">
        <v>36</v>
      </c>
      <c r="R325" t="s">
        <v>43</v>
      </c>
      <c r="S325" t="s">
        <v>44</v>
      </c>
      <c r="T325" t="s">
        <v>104</v>
      </c>
      <c r="U325" t="s">
        <v>305</v>
      </c>
      <c r="V325">
        <v>83000</v>
      </c>
      <c r="W325" t="s">
        <v>43</v>
      </c>
      <c r="X325" t="s">
        <v>62</v>
      </c>
      <c r="Y325" t="s">
        <v>49</v>
      </c>
      <c r="Z325" s="12">
        <f>IF(N325&lt;=1,7,7+0.8*ROUNDUP(N325-1,0))</f>
        <v>10.199999999999999</v>
      </c>
      <c r="AA325" s="11">
        <v>0</v>
      </c>
      <c r="AB325" s="11">
        <v>0</v>
      </c>
      <c r="AC325" s="11">
        <v>0</v>
      </c>
      <c r="AD325" s="11">
        <v>0</v>
      </c>
      <c r="AE325" s="11">
        <f t="shared" si="11"/>
        <v>0.61199999999999999</v>
      </c>
      <c r="AF325" s="11">
        <f t="shared" si="12"/>
        <v>10.811999999999999</v>
      </c>
      <c r="AG325" t="s">
        <v>43</v>
      </c>
    </row>
    <row r="326" spans="1:33" ht="15" customHeight="1" x14ac:dyDescent="0.35">
      <c r="A326">
        <v>690929</v>
      </c>
      <c r="B326" t="s">
        <v>33</v>
      </c>
      <c r="C326" t="s">
        <v>34</v>
      </c>
      <c r="D326" s="6" t="s">
        <v>33</v>
      </c>
      <c r="E326" t="s">
        <v>1056</v>
      </c>
      <c r="F326" t="s">
        <v>36</v>
      </c>
      <c r="G326" t="s">
        <v>37</v>
      </c>
      <c r="H326" t="s">
        <v>1057</v>
      </c>
      <c r="I326" t="s">
        <v>39</v>
      </c>
      <c r="J326">
        <v>2</v>
      </c>
      <c r="K326" t="s">
        <v>40</v>
      </c>
      <c r="L326" t="s">
        <v>41</v>
      </c>
      <c r="M326" t="s">
        <v>42</v>
      </c>
      <c r="N326" s="7">
        <v>1</v>
      </c>
      <c r="O326" s="8">
        <v>44998.72761574074</v>
      </c>
      <c r="P326" s="9">
        <v>45000</v>
      </c>
      <c r="Q326" t="s">
        <v>36</v>
      </c>
      <c r="R326" t="s">
        <v>43</v>
      </c>
      <c r="S326" t="s">
        <v>44</v>
      </c>
      <c r="T326" t="s">
        <v>65</v>
      </c>
      <c r="U326" t="s">
        <v>1058</v>
      </c>
      <c r="V326">
        <v>28000</v>
      </c>
      <c r="W326" t="s">
        <v>43</v>
      </c>
      <c r="X326" t="s">
        <v>44</v>
      </c>
      <c r="Y326" t="s">
        <v>49</v>
      </c>
      <c r="Z326" s="12">
        <f>IF(N326&lt;=1,7,7+0.8*ROUNDUP(N326-1,0))</f>
        <v>7</v>
      </c>
      <c r="AA326" s="11">
        <v>0</v>
      </c>
      <c r="AB326" s="11">
        <v>0</v>
      </c>
      <c r="AC326" s="11">
        <v>0</v>
      </c>
      <c r="AD326" s="11">
        <v>0</v>
      </c>
      <c r="AE326" s="11">
        <f t="shared" si="11"/>
        <v>0.42</v>
      </c>
      <c r="AF326" s="11">
        <f t="shared" si="12"/>
        <v>7.42</v>
      </c>
      <c r="AG326" t="s">
        <v>43</v>
      </c>
    </row>
    <row r="327" spans="1:33" ht="15" customHeight="1" x14ac:dyDescent="0.35">
      <c r="A327">
        <v>690929</v>
      </c>
      <c r="B327" t="s">
        <v>33</v>
      </c>
      <c r="C327" t="s">
        <v>34</v>
      </c>
      <c r="D327" s="6" t="s">
        <v>33</v>
      </c>
      <c r="E327" t="s">
        <v>1059</v>
      </c>
      <c r="F327" t="s">
        <v>36</v>
      </c>
      <c r="G327" t="s">
        <v>37</v>
      </c>
      <c r="H327" t="s">
        <v>1060</v>
      </c>
      <c r="I327" t="s">
        <v>39</v>
      </c>
      <c r="J327">
        <v>2</v>
      </c>
      <c r="K327" t="s">
        <v>40</v>
      </c>
      <c r="L327" t="s">
        <v>41</v>
      </c>
      <c r="M327" t="s">
        <v>42</v>
      </c>
      <c r="N327" s="7">
        <v>1</v>
      </c>
      <c r="O327" s="8">
        <v>44997.627743055556</v>
      </c>
      <c r="P327" s="9">
        <v>45000</v>
      </c>
      <c r="Q327" t="s">
        <v>36</v>
      </c>
      <c r="R327" t="s">
        <v>43</v>
      </c>
      <c r="S327" t="s">
        <v>44</v>
      </c>
      <c r="T327" t="s">
        <v>183</v>
      </c>
      <c r="U327" t="s">
        <v>1061</v>
      </c>
      <c r="V327">
        <v>77200</v>
      </c>
      <c r="W327" t="s">
        <v>43</v>
      </c>
      <c r="X327" t="s">
        <v>62</v>
      </c>
      <c r="Y327" t="s">
        <v>49</v>
      </c>
      <c r="Z327" s="12">
        <f>IF(N327&lt;=1,7,7+0.8*ROUNDUP(N327-1,0))</f>
        <v>7</v>
      </c>
      <c r="AA327" s="11">
        <v>0</v>
      </c>
      <c r="AB327" s="11">
        <v>0</v>
      </c>
      <c r="AC327" s="11">
        <v>0</v>
      </c>
      <c r="AD327" s="11">
        <v>0</v>
      </c>
      <c r="AE327" s="11">
        <f t="shared" si="11"/>
        <v>0.42</v>
      </c>
      <c r="AF327" s="11">
        <f t="shared" si="12"/>
        <v>7.42</v>
      </c>
      <c r="AG327" t="s">
        <v>43</v>
      </c>
    </row>
    <row r="328" spans="1:33" ht="15" customHeight="1" x14ac:dyDescent="0.35">
      <c r="A328">
        <v>690929</v>
      </c>
      <c r="B328" t="s">
        <v>33</v>
      </c>
      <c r="C328" t="s">
        <v>34</v>
      </c>
      <c r="D328" s="6" t="s">
        <v>33</v>
      </c>
      <c r="E328" t="s">
        <v>1062</v>
      </c>
      <c r="F328" t="s">
        <v>36</v>
      </c>
      <c r="G328" t="s">
        <v>37</v>
      </c>
      <c r="H328" t="s">
        <v>1063</v>
      </c>
      <c r="I328" t="s">
        <v>39</v>
      </c>
      <c r="J328">
        <v>2</v>
      </c>
      <c r="K328" t="s">
        <v>40</v>
      </c>
      <c r="L328" t="s">
        <v>41</v>
      </c>
      <c r="M328" t="s">
        <v>42</v>
      </c>
      <c r="N328" s="7">
        <v>6</v>
      </c>
      <c r="O328" s="8">
        <v>44999.527442129627</v>
      </c>
      <c r="P328" s="9">
        <v>45000</v>
      </c>
      <c r="Q328" t="s">
        <v>36</v>
      </c>
      <c r="R328" t="s">
        <v>43</v>
      </c>
      <c r="S328" t="s">
        <v>44</v>
      </c>
      <c r="T328" t="s">
        <v>52</v>
      </c>
      <c r="U328" t="s">
        <v>1064</v>
      </c>
      <c r="V328">
        <v>48200</v>
      </c>
      <c r="W328" t="s">
        <v>43</v>
      </c>
      <c r="X328" t="s">
        <v>1065</v>
      </c>
      <c r="Y328" t="s">
        <v>49</v>
      </c>
      <c r="Z328" s="12">
        <f>IF(N328&lt;=1,7,7+0.8*ROUNDUP(N328-1,0))</f>
        <v>11</v>
      </c>
      <c r="AA328" s="11">
        <v>0</v>
      </c>
      <c r="AB328" s="11">
        <v>0</v>
      </c>
      <c r="AC328" s="11">
        <v>0</v>
      </c>
      <c r="AD328" s="11">
        <v>0</v>
      </c>
      <c r="AE328" s="11">
        <f t="shared" si="11"/>
        <v>0.65999999999999992</v>
      </c>
      <c r="AF328" s="11">
        <f t="shared" si="12"/>
        <v>11.66</v>
      </c>
      <c r="AG328" t="s">
        <v>43</v>
      </c>
    </row>
    <row r="329" spans="1:33" ht="15" customHeight="1" x14ac:dyDescent="0.35">
      <c r="A329">
        <v>690929</v>
      </c>
      <c r="B329" t="s">
        <v>33</v>
      </c>
      <c r="C329" t="s">
        <v>34</v>
      </c>
      <c r="D329" s="6" t="s">
        <v>33</v>
      </c>
      <c r="E329" t="s">
        <v>1066</v>
      </c>
      <c r="F329" t="s">
        <v>36</v>
      </c>
      <c r="G329" t="s">
        <v>37</v>
      </c>
      <c r="H329" t="s">
        <v>795</v>
      </c>
      <c r="I329" t="s">
        <v>39</v>
      </c>
      <c r="J329">
        <v>2</v>
      </c>
      <c r="K329" t="s">
        <v>40</v>
      </c>
      <c r="L329" t="s">
        <v>41</v>
      </c>
      <c r="M329" t="s">
        <v>42</v>
      </c>
      <c r="N329" s="7">
        <v>1</v>
      </c>
      <c r="O329" s="8">
        <v>44995.72587962963</v>
      </c>
      <c r="P329" s="9">
        <v>45000</v>
      </c>
      <c r="Q329" t="s">
        <v>36</v>
      </c>
      <c r="R329" t="s">
        <v>43</v>
      </c>
      <c r="S329" t="s">
        <v>44</v>
      </c>
      <c r="T329" t="s">
        <v>45</v>
      </c>
      <c r="U329" t="s">
        <v>1067</v>
      </c>
      <c r="V329">
        <v>89600</v>
      </c>
      <c r="W329" t="s">
        <v>47</v>
      </c>
      <c r="X329" t="s">
        <v>565</v>
      </c>
      <c r="Y329" t="s">
        <v>49</v>
      </c>
      <c r="Z329" s="10">
        <f>IF(N329&lt;=1,13,IF(N329&lt;=2,23,IF(N329&lt;=3,35,IF(N329&lt;=4,43,IF(N329&lt;=5,53,IF(N329&lt;=6,63,IF(N329&lt;=7,71,IF(N329&lt;=8,79,IF(N329&lt;=9,87,IF(N329&lt;=10,95,IF(N329&lt;=11,105,IF(N329&lt;=12,114,IF(N329&lt;=13,119,IF(N329&lt;=14,127,IF(N329&lt;=15,135,IF(N329&lt;=16,143,IF(N329&lt;=17,153,IF(N329&lt;=18,163,IF(N329&lt;=19,171,IF(N329&lt;=20,185,IF(N329&lt;=21,193,IF(N329&lt;=22,201,IF(N329&lt;=23,210,IF(N329&lt;=24,220,IF(N329&lt;=25,230,IF(N329&lt;=26,240,IF(N329&lt;=27,250,IF(N329&lt;=28,260,IF(N329&lt;=29,270,IF(N329&lt;=30,280,280))))))))))))))))))))))))))))))</f>
        <v>13</v>
      </c>
      <c r="AA329" s="11">
        <v>0</v>
      </c>
      <c r="AB329" s="11">
        <v>0</v>
      </c>
      <c r="AC329" s="11">
        <v>0</v>
      </c>
      <c r="AD329" s="11">
        <v>0</v>
      </c>
      <c r="AE329" s="11">
        <f t="shared" si="11"/>
        <v>0.78</v>
      </c>
      <c r="AF329" s="11">
        <f t="shared" si="12"/>
        <v>13.78</v>
      </c>
      <c r="AG329" t="s">
        <v>47</v>
      </c>
    </row>
    <row r="330" spans="1:33" ht="15" customHeight="1" x14ac:dyDescent="0.35">
      <c r="A330">
        <v>690929</v>
      </c>
      <c r="B330" t="s">
        <v>33</v>
      </c>
      <c r="C330" t="s">
        <v>34</v>
      </c>
      <c r="D330" s="6" t="s">
        <v>33</v>
      </c>
      <c r="E330" t="s">
        <v>1068</v>
      </c>
      <c r="F330" t="s">
        <v>36</v>
      </c>
      <c r="G330" t="s">
        <v>37</v>
      </c>
      <c r="H330" t="s">
        <v>1069</v>
      </c>
      <c r="I330" t="s">
        <v>39</v>
      </c>
      <c r="J330">
        <v>2</v>
      </c>
      <c r="K330" t="s">
        <v>40</v>
      </c>
      <c r="L330" t="s">
        <v>41</v>
      </c>
      <c r="M330" t="s">
        <v>42</v>
      </c>
      <c r="N330" s="7">
        <v>1</v>
      </c>
      <c r="O330" s="8">
        <v>44994.700937499998</v>
      </c>
      <c r="P330" s="9">
        <v>45000</v>
      </c>
      <c r="Q330" t="s">
        <v>36</v>
      </c>
      <c r="R330" t="s">
        <v>43</v>
      </c>
      <c r="S330" t="s">
        <v>74</v>
      </c>
      <c r="T330" t="s">
        <v>104</v>
      </c>
      <c r="U330" t="s">
        <v>1070</v>
      </c>
      <c r="V330">
        <v>80000</v>
      </c>
      <c r="W330" t="s">
        <v>43</v>
      </c>
      <c r="X330" t="s">
        <v>114</v>
      </c>
      <c r="Y330" t="s">
        <v>49</v>
      </c>
      <c r="Z330" s="12">
        <f>IF(N330&lt;=1,7,7+0.8*ROUNDUP(N330-1,0))</f>
        <v>7</v>
      </c>
      <c r="AA330" s="11">
        <v>0</v>
      </c>
      <c r="AB330" s="11">
        <v>0</v>
      </c>
      <c r="AC330" s="11">
        <v>0</v>
      </c>
      <c r="AD330" s="11">
        <v>0</v>
      </c>
      <c r="AE330" s="11">
        <f t="shared" si="11"/>
        <v>0.42</v>
      </c>
      <c r="AF330" s="11">
        <f t="shared" si="12"/>
        <v>7.42</v>
      </c>
      <c r="AG330" t="s">
        <v>43</v>
      </c>
    </row>
    <row r="331" spans="1:33" ht="15" customHeight="1" x14ac:dyDescent="0.35">
      <c r="A331">
        <v>690929</v>
      </c>
      <c r="B331" t="s">
        <v>33</v>
      </c>
      <c r="C331" t="s">
        <v>34</v>
      </c>
      <c r="D331" s="6" t="s">
        <v>33</v>
      </c>
      <c r="E331" t="s">
        <v>1071</v>
      </c>
      <c r="F331" t="s">
        <v>36</v>
      </c>
      <c r="G331" t="s">
        <v>37</v>
      </c>
      <c r="H331" t="s">
        <v>1072</v>
      </c>
      <c r="I331" t="s">
        <v>39</v>
      </c>
      <c r="J331">
        <v>2</v>
      </c>
      <c r="K331" t="s">
        <v>40</v>
      </c>
      <c r="L331" t="s">
        <v>41</v>
      </c>
      <c r="M331" t="s">
        <v>42</v>
      </c>
      <c r="N331" s="7">
        <v>1</v>
      </c>
      <c r="O331" s="8">
        <v>44998.756435185183</v>
      </c>
      <c r="P331" s="9">
        <v>45000</v>
      </c>
      <c r="Q331" t="s">
        <v>36</v>
      </c>
      <c r="R331" t="s">
        <v>43</v>
      </c>
      <c r="S331" t="s">
        <v>44</v>
      </c>
      <c r="T331" t="s">
        <v>79</v>
      </c>
      <c r="U331" t="s">
        <v>1073</v>
      </c>
      <c r="V331">
        <v>18000</v>
      </c>
      <c r="W331" t="s">
        <v>43</v>
      </c>
      <c r="X331" t="s">
        <v>44</v>
      </c>
      <c r="Y331" t="s">
        <v>49</v>
      </c>
      <c r="Z331" s="12">
        <f>IF(N331&lt;=1,7,7+0.8*ROUNDUP(N331-1,0))</f>
        <v>7</v>
      </c>
      <c r="AA331" s="11">
        <v>0</v>
      </c>
      <c r="AB331" s="11">
        <v>0</v>
      </c>
      <c r="AC331" s="11">
        <v>0</v>
      </c>
      <c r="AD331" s="11">
        <v>0</v>
      </c>
      <c r="AE331" s="11">
        <f t="shared" si="11"/>
        <v>0.42</v>
      </c>
      <c r="AF331" s="11">
        <f t="shared" si="12"/>
        <v>7.42</v>
      </c>
      <c r="AG331" t="s">
        <v>43</v>
      </c>
    </row>
    <row r="332" spans="1:33" ht="15" customHeight="1" x14ac:dyDescent="0.35">
      <c r="A332">
        <v>690929</v>
      </c>
      <c r="B332" t="s">
        <v>33</v>
      </c>
      <c r="C332" t="s">
        <v>34</v>
      </c>
      <c r="D332" s="6" t="s">
        <v>33</v>
      </c>
      <c r="E332" t="s">
        <v>1074</v>
      </c>
      <c r="F332" t="s">
        <v>36</v>
      </c>
      <c r="G332" t="s">
        <v>37</v>
      </c>
      <c r="H332" t="s">
        <v>1075</v>
      </c>
      <c r="I332" t="s">
        <v>39</v>
      </c>
      <c r="J332">
        <v>2</v>
      </c>
      <c r="K332" t="s">
        <v>40</v>
      </c>
      <c r="L332" t="s">
        <v>41</v>
      </c>
      <c r="M332" t="s">
        <v>42</v>
      </c>
      <c r="N332" s="7">
        <v>4</v>
      </c>
      <c r="O332" s="8">
        <v>44998.767164351855</v>
      </c>
      <c r="P332" s="9">
        <v>45000</v>
      </c>
      <c r="Q332" t="s">
        <v>36</v>
      </c>
      <c r="R332" t="s">
        <v>43</v>
      </c>
      <c r="S332" t="s">
        <v>44</v>
      </c>
      <c r="T332" t="s">
        <v>92</v>
      </c>
      <c r="U332" t="s">
        <v>1076</v>
      </c>
      <c r="V332">
        <v>20050</v>
      </c>
      <c r="W332" t="s">
        <v>43</v>
      </c>
      <c r="X332" t="s">
        <v>336</v>
      </c>
      <c r="Y332" t="s">
        <v>49</v>
      </c>
      <c r="Z332" s="12">
        <f>IF(N332&lt;=1,7,7+0.8*ROUNDUP(N332-1,0))</f>
        <v>9.4</v>
      </c>
      <c r="AA332" s="11">
        <v>0</v>
      </c>
      <c r="AB332" s="11">
        <v>0</v>
      </c>
      <c r="AC332" s="11">
        <v>0</v>
      </c>
      <c r="AD332" s="11">
        <v>0</v>
      </c>
      <c r="AE332" s="11">
        <f t="shared" si="11"/>
        <v>0.56399999999999995</v>
      </c>
      <c r="AF332" s="11">
        <f t="shared" si="12"/>
        <v>9.9640000000000004</v>
      </c>
      <c r="AG332" t="s">
        <v>43</v>
      </c>
    </row>
    <row r="333" spans="1:33" ht="15" customHeight="1" x14ac:dyDescent="0.35">
      <c r="A333">
        <v>690929</v>
      </c>
      <c r="B333" t="s">
        <v>33</v>
      </c>
      <c r="C333" t="s">
        <v>34</v>
      </c>
      <c r="D333" s="6" t="s">
        <v>33</v>
      </c>
      <c r="E333" t="s">
        <v>1077</v>
      </c>
      <c r="F333" t="s">
        <v>36</v>
      </c>
      <c r="G333" t="s">
        <v>37</v>
      </c>
      <c r="H333" t="s">
        <v>1078</v>
      </c>
      <c r="I333" t="s">
        <v>39</v>
      </c>
      <c r="J333">
        <v>2</v>
      </c>
      <c r="K333" t="s">
        <v>40</v>
      </c>
      <c r="L333" t="s">
        <v>41</v>
      </c>
      <c r="M333" t="s">
        <v>42</v>
      </c>
      <c r="N333" s="7">
        <v>1</v>
      </c>
      <c r="O333" s="8">
        <v>45000.668483796297</v>
      </c>
      <c r="P333" s="9">
        <v>45001</v>
      </c>
      <c r="Q333" t="s">
        <v>36</v>
      </c>
      <c r="R333" t="s">
        <v>43</v>
      </c>
      <c r="S333" t="s">
        <v>44</v>
      </c>
      <c r="T333" t="s">
        <v>52</v>
      </c>
      <c r="U333" t="s">
        <v>1079</v>
      </c>
      <c r="V333">
        <v>40170</v>
      </c>
      <c r="W333" t="s">
        <v>43</v>
      </c>
      <c r="X333" t="s">
        <v>1051</v>
      </c>
      <c r="Y333" t="s">
        <v>49</v>
      </c>
      <c r="Z333" s="12">
        <f>IF(N333&lt;=1,7,7+0.8*ROUNDUP(N333-1,0))</f>
        <v>7</v>
      </c>
      <c r="AA333" s="11">
        <v>0</v>
      </c>
      <c r="AB333" s="11">
        <v>0</v>
      </c>
      <c r="AC333" s="11">
        <v>0</v>
      </c>
      <c r="AD333" s="11">
        <v>0</v>
      </c>
      <c r="AE333" s="11">
        <f t="shared" si="11"/>
        <v>0.42</v>
      </c>
      <c r="AF333" s="11">
        <f t="shared" si="12"/>
        <v>7.42</v>
      </c>
      <c r="AG333" t="s">
        <v>43</v>
      </c>
    </row>
    <row r="334" spans="1:33" ht="15" customHeight="1" x14ac:dyDescent="0.35">
      <c r="A334">
        <v>690929</v>
      </c>
      <c r="B334" t="s">
        <v>33</v>
      </c>
      <c r="C334" t="s">
        <v>34</v>
      </c>
      <c r="D334" s="6" t="s">
        <v>33</v>
      </c>
      <c r="E334" t="s">
        <v>1080</v>
      </c>
      <c r="F334" t="s">
        <v>36</v>
      </c>
      <c r="G334" t="s">
        <v>37</v>
      </c>
      <c r="H334" t="s">
        <v>1081</v>
      </c>
      <c r="I334" t="s">
        <v>39</v>
      </c>
      <c r="J334">
        <v>2</v>
      </c>
      <c r="K334" t="s">
        <v>40</v>
      </c>
      <c r="L334" t="s">
        <v>41</v>
      </c>
      <c r="M334" t="s">
        <v>42</v>
      </c>
      <c r="N334" s="7">
        <v>1</v>
      </c>
      <c r="O334" s="8">
        <v>45000.683379629627</v>
      </c>
      <c r="P334" s="9">
        <v>45001</v>
      </c>
      <c r="Q334" t="s">
        <v>36</v>
      </c>
      <c r="R334" t="s">
        <v>43</v>
      </c>
      <c r="S334" t="s">
        <v>44</v>
      </c>
      <c r="T334" t="s">
        <v>92</v>
      </c>
      <c r="U334" t="s">
        <v>1082</v>
      </c>
      <c r="V334">
        <v>21400</v>
      </c>
      <c r="W334" t="s">
        <v>43</v>
      </c>
      <c r="X334" t="s">
        <v>44</v>
      </c>
      <c r="Y334" t="s">
        <v>49</v>
      </c>
      <c r="Z334" s="12">
        <f>IF(N334&lt;=1,7,7+0.8*ROUNDUP(N334-1,0))</f>
        <v>7</v>
      </c>
      <c r="AA334" s="11">
        <v>0</v>
      </c>
      <c r="AB334" s="11">
        <v>0</v>
      </c>
      <c r="AC334" s="11">
        <v>0</v>
      </c>
      <c r="AD334" s="11">
        <v>0</v>
      </c>
      <c r="AE334" s="11">
        <f t="shared" si="11"/>
        <v>0.42</v>
      </c>
      <c r="AF334" s="11">
        <f t="shared" si="12"/>
        <v>7.42</v>
      </c>
      <c r="AG334" t="s">
        <v>43</v>
      </c>
    </row>
    <row r="335" spans="1:33" ht="15" customHeight="1" x14ac:dyDescent="0.35">
      <c r="A335">
        <v>690929</v>
      </c>
      <c r="B335" t="s">
        <v>33</v>
      </c>
      <c r="C335" t="s">
        <v>34</v>
      </c>
      <c r="D335" s="6" t="s">
        <v>33</v>
      </c>
      <c r="E335" t="s">
        <v>1083</v>
      </c>
      <c r="F335" t="s">
        <v>36</v>
      </c>
      <c r="G335" t="s">
        <v>37</v>
      </c>
      <c r="H335" t="s">
        <v>1084</v>
      </c>
      <c r="I335" t="s">
        <v>39</v>
      </c>
      <c r="J335">
        <v>2</v>
      </c>
      <c r="K335" t="s">
        <v>40</v>
      </c>
      <c r="L335" t="s">
        <v>41</v>
      </c>
      <c r="M335" t="s">
        <v>42</v>
      </c>
      <c r="N335" s="7">
        <v>1</v>
      </c>
      <c r="O335" s="8">
        <v>45000.412939814814</v>
      </c>
      <c r="P335" s="9">
        <v>45001</v>
      </c>
      <c r="Q335" t="s">
        <v>36</v>
      </c>
      <c r="R335" t="s">
        <v>43</v>
      </c>
      <c r="S335" t="s">
        <v>44</v>
      </c>
      <c r="T335" t="s">
        <v>178</v>
      </c>
      <c r="U335" t="s">
        <v>1085</v>
      </c>
      <c r="V335">
        <v>58100</v>
      </c>
      <c r="W335" t="s">
        <v>43</v>
      </c>
      <c r="X335" t="s">
        <v>1086</v>
      </c>
      <c r="Y335" t="s">
        <v>49</v>
      </c>
      <c r="Z335" s="12">
        <f>IF(N335&lt;=1,7,7+0.8*ROUNDUP(N335-1,0))</f>
        <v>7</v>
      </c>
      <c r="AA335" s="11">
        <v>0</v>
      </c>
      <c r="AB335" s="11">
        <v>0</v>
      </c>
      <c r="AC335" s="11">
        <v>0</v>
      </c>
      <c r="AD335" s="11">
        <v>0</v>
      </c>
      <c r="AE335" s="11">
        <f t="shared" si="11"/>
        <v>0.42</v>
      </c>
      <c r="AF335" s="11">
        <f t="shared" si="12"/>
        <v>7.42</v>
      </c>
      <c r="AG335" t="s">
        <v>43</v>
      </c>
    </row>
    <row r="336" spans="1:33" ht="15" customHeight="1" x14ac:dyDescent="0.35">
      <c r="A336">
        <v>690929</v>
      </c>
      <c r="B336" t="s">
        <v>33</v>
      </c>
      <c r="C336" t="s">
        <v>34</v>
      </c>
      <c r="D336" s="6" t="s">
        <v>33</v>
      </c>
      <c r="E336" t="s">
        <v>1087</v>
      </c>
      <c r="F336" t="s">
        <v>36</v>
      </c>
      <c r="G336" t="s">
        <v>37</v>
      </c>
      <c r="H336" t="s">
        <v>1088</v>
      </c>
      <c r="I336" t="s">
        <v>39</v>
      </c>
      <c r="J336">
        <v>2</v>
      </c>
      <c r="K336" t="s">
        <v>40</v>
      </c>
      <c r="L336" t="s">
        <v>41</v>
      </c>
      <c r="M336" t="s">
        <v>42</v>
      </c>
      <c r="N336" s="7">
        <v>1</v>
      </c>
      <c r="O336" s="8">
        <v>44994.774467592593</v>
      </c>
      <c r="P336" s="9">
        <v>45001</v>
      </c>
      <c r="Q336" t="s">
        <v>36</v>
      </c>
      <c r="R336" t="s">
        <v>43</v>
      </c>
      <c r="S336" t="s">
        <v>74</v>
      </c>
      <c r="T336" t="s">
        <v>45</v>
      </c>
      <c r="U336" t="s">
        <v>1089</v>
      </c>
      <c r="V336">
        <v>89150</v>
      </c>
      <c r="W336" t="s">
        <v>47</v>
      </c>
      <c r="X336" t="s">
        <v>1090</v>
      </c>
      <c r="Y336" t="s">
        <v>49</v>
      </c>
      <c r="Z336" s="10">
        <f>IF(N336&lt;=1,13,IF(N336&lt;=2,23,IF(N336&lt;=3,35,IF(N336&lt;=4,43,IF(N336&lt;=5,53,IF(N336&lt;=6,63,IF(N336&lt;=7,71,IF(N336&lt;=8,79,IF(N336&lt;=9,87,IF(N336&lt;=10,95,IF(N336&lt;=11,105,IF(N336&lt;=12,114,IF(N336&lt;=13,119,IF(N336&lt;=14,127,IF(N336&lt;=15,135,IF(N336&lt;=16,143,IF(N336&lt;=17,153,IF(N336&lt;=18,163,IF(N336&lt;=19,171,IF(N336&lt;=20,185,IF(N336&lt;=21,193,IF(N336&lt;=22,201,IF(N336&lt;=23,210,IF(N336&lt;=24,220,IF(N336&lt;=25,230,IF(N336&lt;=26,240,IF(N336&lt;=27,250,IF(N336&lt;=28,260,IF(N336&lt;=29,270,IF(N336&lt;=30,280,280))))))))))))))))))))))))))))))</f>
        <v>13</v>
      </c>
      <c r="AA336" s="11">
        <v>0</v>
      </c>
      <c r="AB336" s="11">
        <v>0</v>
      </c>
      <c r="AC336" s="11">
        <v>0</v>
      </c>
      <c r="AD336" s="11">
        <v>0</v>
      </c>
      <c r="AE336" s="11">
        <f t="shared" si="11"/>
        <v>0.78</v>
      </c>
      <c r="AF336" s="11">
        <f t="shared" si="12"/>
        <v>13.78</v>
      </c>
      <c r="AG336" t="s">
        <v>47</v>
      </c>
    </row>
    <row r="337" spans="1:33" ht="15" customHeight="1" x14ac:dyDescent="0.35">
      <c r="A337">
        <v>690929</v>
      </c>
      <c r="B337" t="s">
        <v>33</v>
      </c>
      <c r="C337" t="s">
        <v>34</v>
      </c>
      <c r="D337" s="6" t="s">
        <v>33</v>
      </c>
      <c r="E337" t="s">
        <v>1091</v>
      </c>
      <c r="F337" t="s">
        <v>36</v>
      </c>
      <c r="G337" t="s">
        <v>37</v>
      </c>
      <c r="H337" t="s">
        <v>1092</v>
      </c>
      <c r="I337" t="s">
        <v>39</v>
      </c>
      <c r="J337">
        <v>2</v>
      </c>
      <c r="K337" t="s">
        <v>40</v>
      </c>
      <c r="L337" t="s">
        <v>41</v>
      </c>
      <c r="M337" t="s">
        <v>42</v>
      </c>
      <c r="N337" s="7">
        <v>2</v>
      </c>
      <c r="O337" s="8">
        <v>44998.767164351855</v>
      </c>
      <c r="P337" s="9">
        <v>45001</v>
      </c>
      <c r="Q337" t="s">
        <v>36</v>
      </c>
      <c r="R337" t="s">
        <v>43</v>
      </c>
      <c r="S337" t="s">
        <v>44</v>
      </c>
      <c r="T337" t="s">
        <v>149</v>
      </c>
      <c r="U337" t="s">
        <v>1093</v>
      </c>
      <c r="V337">
        <v>9700</v>
      </c>
      <c r="W337" t="s">
        <v>43</v>
      </c>
      <c r="X337" t="s">
        <v>229</v>
      </c>
      <c r="Y337" t="s">
        <v>49</v>
      </c>
      <c r="Z337" s="12">
        <f>IF(N337&lt;=1,7,7+0.8*ROUNDUP(N337-1,0))</f>
        <v>7.8</v>
      </c>
      <c r="AA337" s="11">
        <v>0</v>
      </c>
      <c r="AB337" s="11">
        <v>0</v>
      </c>
      <c r="AC337" s="11">
        <v>0</v>
      </c>
      <c r="AD337" s="11">
        <v>0</v>
      </c>
      <c r="AE337" s="11">
        <f t="shared" si="11"/>
        <v>0.46799999999999997</v>
      </c>
      <c r="AF337" s="11">
        <f t="shared" si="12"/>
        <v>8.2680000000000007</v>
      </c>
      <c r="AG337" t="s">
        <v>43</v>
      </c>
    </row>
    <row r="338" spans="1:33" ht="15" customHeight="1" x14ac:dyDescent="0.35">
      <c r="A338">
        <v>690929</v>
      </c>
      <c r="B338" t="s">
        <v>33</v>
      </c>
      <c r="C338" t="s">
        <v>34</v>
      </c>
      <c r="D338" s="6" t="s">
        <v>33</v>
      </c>
      <c r="E338" t="s">
        <v>1094</v>
      </c>
      <c r="F338" t="s">
        <v>36</v>
      </c>
      <c r="G338" t="s">
        <v>37</v>
      </c>
      <c r="H338" t="s">
        <v>1095</v>
      </c>
      <c r="I338" t="s">
        <v>39</v>
      </c>
      <c r="J338">
        <v>2</v>
      </c>
      <c r="K338" t="s">
        <v>40</v>
      </c>
      <c r="L338" t="s">
        <v>41</v>
      </c>
      <c r="M338" t="s">
        <v>42</v>
      </c>
      <c r="N338" s="7">
        <v>1</v>
      </c>
      <c r="O338" s="8">
        <v>45000.683379629627</v>
      </c>
      <c r="P338" s="9">
        <v>45001</v>
      </c>
      <c r="Q338" t="s">
        <v>36</v>
      </c>
      <c r="R338" t="s">
        <v>43</v>
      </c>
      <c r="S338" t="s">
        <v>44</v>
      </c>
      <c r="T338" t="s">
        <v>52</v>
      </c>
      <c r="U338" t="s">
        <v>1096</v>
      </c>
      <c r="V338">
        <v>43300</v>
      </c>
      <c r="W338" t="s">
        <v>43</v>
      </c>
      <c r="X338" t="s">
        <v>54</v>
      </c>
      <c r="Y338" t="s">
        <v>49</v>
      </c>
      <c r="Z338" s="12">
        <f>IF(N338&lt;=1,7,7+0.8*ROUNDUP(N338-1,0))</f>
        <v>7</v>
      </c>
      <c r="AA338" s="11">
        <v>0</v>
      </c>
      <c r="AB338" s="11">
        <v>0</v>
      </c>
      <c r="AC338" s="11">
        <v>0</v>
      </c>
      <c r="AD338" s="11">
        <v>0</v>
      </c>
      <c r="AE338" s="11">
        <f t="shared" si="11"/>
        <v>0.42</v>
      </c>
      <c r="AF338" s="11">
        <f t="shared" si="12"/>
        <v>7.42</v>
      </c>
      <c r="AG338" t="s">
        <v>43</v>
      </c>
    </row>
    <row r="339" spans="1:33" ht="15" customHeight="1" x14ac:dyDescent="0.35">
      <c r="A339">
        <v>690929</v>
      </c>
      <c r="B339" t="s">
        <v>33</v>
      </c>
      <c r="C339" t="s">
        <v>34</v>
      </c>
      <c r="D339" s="6" t="s">
        <v>33</v>
      </c>
      <c r="E339" t="s">
        <v>1097</v>
      </c>
      <c r="F339" t="s">
        <v>36</v>
      </c>
      <c r="G339" t="s">
        <v>37</v>
      </c>
      <c r="H339" t="s">
        <v>1098</v>
      </c>
      <c r="I339" t="s">
        <v>39</v>
      </c>
      <c r="J339">
        <v>2</v>
      </c>
      <c r="K339" t="s">
        <v>40</v>
      </c>
      <c r="L339" t="s">
        <v>41</v>
      </c>
      <c r="M339" t="s">
        <v>42</v>
      </c>
      <c r="N339" s="7">
        <v>1</v>
      </c>
      <c r="O339" s="8">
        <v>45000.683379629627</v>
      </c>
      <c r="P339" s="9">
        <v>45001</v>
      </c>
      <c r="Q339" t="s">
        <v>36</v>
      </c>
      <c r="R339" t="s">
        <v>43</v>
      </c>
      <c r="S339" t="s">
        <v>44</v>
      </c>
      <c r="T339" t="s">
        <v>92</v>
      </c>
      <c r="U339" t="s">
        <v>1099</v>
      </c>
      <c r="V339">
        <v>21610</v>
      </c>
      <c r="W339" t="s">
        <v>43</v>
      </c>
      <c r="X339" t="s">
        <v>44</v>
      </c>
      <c r="Y339" t="s">
        <v>49</v>
      </c>
      <c r="Z339" s="12">
        <f>IF(N339&lt;=1,7,7+0.8*ROUNDUP(N339-1,0))</f>
        <v>7</v>
      </c>
      <c r="AA339" s="11">
        <v>0</v>
      </c>
      <c r="AB339" s="11">
        <v>0</v>
      </c>
      <c r="AC339" s="11">
        <v>0</v>
      </c>
      <c r="AD339" s="11">
        <v>0</v>
      </c>
      <c r="AE339" s="11">
        <f t="shared" si="11"/>
        <v>0.42</v>
      </c>
      <c r="AF339" s="11">
        <f t="shared" si="12"/>
        <v>7.42</v>
      </c>
      <c r="AG339" t="s">
        <v>43</v>
      </c>
    </row>
    <row r="340" spans="1:33" ht="15" customHeight="1" x14ac:dyDescent="0.35">
      <c r="A340">
        <v>690929</v>
      </c>
      <c r="B340" t="s">
        <v>33</v>
      </c>
      <c r="C340" t="s">
        <v>34</v>
      </c>
      <c r="D340" s="6" t="s">
        <v>33</v>
      </c>
      <c r="E340" t="s">
        <v>1100</v>
      </c>
      <c r="F340" t="s">
        <v>36</v>
      </c>
      <c r="G340" t="s">
        <v>37</v>
      </c>
      <c r="H340" t="s">
        <v>873</v>
      </c>
      <c r="I340" t="s">
        <v>39</v>
      </c>
      <c r="J340">
        <v>2</v>
      </c>
      <c r="K340" t="s">
        <v>40</v>
      </c>
      <c r="L340" t="s">
        <v>41</v>
      </c>
      <c r="M340" t="s">
        <v>42</v>
      </c>
      <c r="N340" s="7">
        <v>3</v>
      </c>
      <c r="O340" s="8">
        <v>45000.603472222225</v>
      </c>
      <c r="P340" s="9">
        <v>45001</v>
      </c>
      <c r="Q340" t="s">
        <v>36</v>
      </c>
      <c r="R340" t="s">
        <v>43</v>
      </c>
      <c r="S340" t="s">
        <v>44</v>
      </c>
      <c r="T340" t="s">
        <v>52</v>
      </c>
      <c r="U340" t="s">
        <v>1101</v>
      </c>
      <c r="V340">
        <v>42500</v>
      </c>
      <c r="W340" t="s">
        <v>43</v>
      </c>
      <c r="X340" t="s">
        <v>58</v>
      </c>
      <c r="Y340" t="s">
        <v>49</v>
      </c>
      <c r="Z340" s="12">
        <f>IF(N340&lt;=1,7,7+0.8*ROUNDUP(N340-1,0))</f>
        <v>8.6</v>
      </c>
      <c r="AA340" s="11">
        <v>0</v>
      </c>
      <c r="AB340" s="11">
        <v>0</v>
      </c>
      <c r="AC340" s="11">
        <v>0</v>
      </c>
      <c r="AD340" s="11">
        <v>0</v>
      </c>
      <c r="AE340" s="11">
        <f t="shared" si="11"/>
        <v>0.51600000000000001</v>
      </c>
      <c r="AF340" s="11">
        <f t="shared" si="12"/>
        <v>9.1159999999999997</v>
      </c>
      <c r="AG340" t="s">
        <v>43</v>
      </c>
    </row>
    <row r="341" spans="1:33" ht="15" customHeight="1" x14ac:dyDescent="0.35">
      <c r="A341">
        <v>690929</v>
      </c>
      <c r="B341" t="s">
        <v>33</v>
      </c>
      <c r="C341" t="s">
        <v>34</v>
      </c>
      <c r="D341" s="6" t="s">
        <v>33</v>
      </c>
      <c r="E341" t="s">
        <v>1102</v>
      </c>
      <c r="F341" t="s">
        <v>36</v>
      </c>
      <c r="G341" t="s">
        <v>37</v>
      </c>
      <c r="H341" t="s">
        <v>1103</v>
      </c>
      <c r="I341" t="s">
        <v>39</v>
      </c>
      <c r="J341">
        <v>2</v>
      </c>
      <c r="K341" t="s">
        <v>40</v>
      </c>
      <c r="L341" t="s">
        <v>41</v>
      </c>
      <c r="M341" t="s">
        <v>42</v>
      </c>
      <c r="N341" s="7">
        <v>1</v>
      </c>
      <c r="O341" s="8">
        <v>45000.683379629627</v>
      </c>
      <c r="P341" s="9">
        <v>45002</v>
      </c>
      <c r="Q341" t="s">
        <v>36</v>
      </c>
      <c r="R341" t="s">
        <v>43</v>
      </c>
      <c r="S341" t="s">
        <v>44</v>
      </c>
      <c r="T341" t="s">
        <v>45</v>
      </c>
      <c r="U341" t="s">
        <v>1104</v>
      </c>
      <c r="V341">
        <v>89808</v>
      </c>
      <c r="W341" t="s">
        <v>47</v>
      </c>
      <c r="X341" t="s">
        <v>162</v>
      </c>
      <c r="Y341" t="s">
        <v>49</v>
      </c>
      <c r="Z341" s="10">
        <f>IF(N341&lt;=1,13,IF(N341&lt;=2,23,IF(N341&lt;=3,35,IF(N341&lt;=4,43,IF(N341&lt;=5,53,IF(N341&lt;=6,63,IF(N341&lt;=7,71,IF(N341&lt;=8,79,IF(N341&lt;=9,87,IF(N341&lt;=10,95,IF(N341&lt;=11,105,IF(N341&lt;=12,114,IF(N341&lt;=13,119,IF(N341&lt;=14,127,IF(N341&lt;=15,135,IF(N341&lt;=16,143,IF(N341&lt;=17,153,IF(N341&lt;=18,163,IF(N341&lt;=19,171,IF(N341&lt;=20,185,IF(N341&lt;=21,193,IF(N341&lt;=22,201,IF(N341&lt;=23,210,IF(N341&lt;=24,220,IF(N341&lt;=25,230,IF(N341&lt;=26,240,IF(N341&lt;=27,250,IF(N341&lt;=28,260,IF(N341&lt;=29,270,IF(N341&lt;=30,280,280))))))))))))))))))))))))))))))</f>
        <v>13</v>
      </c>
      <c r="AA341" s="11">
        <v>0</v>
      </c>
      <c r="AB341" s="11">
        <v>0</v>
      </c>
      <c r="AC341" s="11">
        <v>0</v>
      </c>
      <c r="AD341" s="11">
        <v>0</v>
      </c>
      <c r="AE341" s="11">
        <f t="shared" si="11"/>
        <v>0.78</v>
      </c>
      <c r="AF341" s="11">
        <f t="shared" si="12"/>
        <v>13.78</v>
      </c>
      <c r="AG341" t="s">
        <v>47</v>
      </c>
    </row>
    <row r="342" spans="1:33" ht="15" customHeight="1" x14ac:dyDescent="0.35">
      <c r="A342">
        <v>690929</v>
      </c>
      <c r="B342" t="s">
        <v>33</v>
      </c>
      <c r="C342" t="s">
        <v>34</v>
      </c>
      <c r="D342" s="6" t="s">
        <v>33</v>
      </c>
      <c r="E342" t="s">
        <v>1105</v>
      </c>
      <c r="F342" t="s">
        <v>36</v>
      </c>
      <c r="G342" t="s">
        <v>37</v>
      </c>
      <c r="H342" t="s">
        <v>1106</v>
      </c>
      <c r="I342" t="s">
        <v>39</v>
      </c>
      <c r="J342">
        <v>2</v>
      </c>
      <c r="K342" t="s">
        <v>40</v>
      </c>
      <c r="L342" t="s">
        <v>41</v>
      </c>
      <c r="M342" t="s">
        <v>42</v>
      </c>
      <c r="N342" s="7">
        <v>6</v>
      </c>
      <c r="O342" s="8">
        <v>44999.550810185188</v>
      </c>
      <c r="P342" s="9">
        <v>45001</v>
      </c>
      <c r="Q342" t="s">
        <v>36</v>
      </c>
      <c r="R342" t="s">
        <v>43</v>
      </c>
      <c r="S342" t="s">
        <v>44</v>
      </c>
      <c r="T342" t="s">
        <v>137</v>
      </c>
      <c r="U342" t="s">
        <v>1107</v>
      </c>
      <c r="V342">
        <v>32200</v>
      </c>
      <c r="W342" t="s">
        <v>43</v>
      </c>
      <c r="X342" t="s">
        <v>1108</v>
      </c>
      <c r="Y342" t="s">
        <v>49</v>
      </c>
      <c r="Z342" s="12">
        <f>IF(N342&lt;=1,7,7+0.8*ROUNDUP(N342-1,0))</f>
        <v>11</v>
      </c>
      <c r="AA342" s="11">
        <v>0</v>
      </c>
      <c r="AB342" s="11">
        <v>0</v>
      </c>
      <c r="AC342" s="11">
        <v>0</v>
      </c>
      <c r="AD342" s="11">
        <v>0</v>
      </c>
      <c r="AE342" s="11">
        <f t="shared" si="11"/>
        <v>0.65999999999999992</v>
      </c>
      <c r="AF342" s="11">
        <f t="shared" si="12"/>
        <v>11.66</v>
      </c>
      <c r="AG342" t="s">
        <v>43</v>
      </c>
    </row>
    <row r="343" spans="1:33" ht="15" customHeight="1" x14ac:dyDescent="0.35">
      <c r="A343">
        <v>690929</v>
      </c>
      <c r="B343" t="s">
        <v>33</v>
      </c>
      <c r="C343" t="s">
        <v>34</v>
      </c>
      <c r="D343" s="6" t="s">
        <v>33</v>
      </c>
      <c r="E343" t="s">
        <v>1109</v>
      </c>
      <c r="F343" t="s">
        <v>36</v>
      </c>
      <c r="G343" t="s">
        <v>37</v>
      </c>
      <c r="H343" t="s">
        <v>1110</v>
      </c>
      <c r="I343" t="s">
        <v>39</v>
      </c>
      <c r="J343">
        <v>2</v>
      </c>
      <c r="K343" t="s">
        <v>40</v>
      </c>
      <c r="L343" t="s">
        <v>41</v>
      </c>
      <c r="M343" t="s">
        <v>42</v>
      </c>
      <c r="N343" s="7">
        <v>1</v>
      </c>
      <c r="O343" s="8">
        <v>44998.756435185183</v>
      </c>
      <c r="P343" s="9">
        <v>45002</v>
      </c>
      <c r="Q343" t="s">
        <v>36</v>
      </c>
      <c r="R343" t="s">
        <v>43</v>
      </c>
      <c r="S343" t="s">
        <v>44</v>
      </c>
      <c r="T343" t="s">
        <v>45</v>
      </c>
      <c r="U343" t="s">
        <v>1111</v>
      </c>
      <c r="V343">
        <v>89008</v>
      </c>
      <c r="W343" t="s">
        <v>47</v>
      </c>
      <c r="X343" t="s">
        <v>1112</v>
      </c>
      <c r="Y343" t="s">
        <v>49</v>
      </c>
      <c r="Z343" s="10">
        <f>IF(N343&lt;=1,13,IF(N343&lt;=2,23,IF(N343&lt;=3,35,IF(N343&lt;=4,43,IF(N343&lt;=5,53,IF(N343&lt;=6,63,IF(N343&lt;=7,71,IF(N343&lt;=8,79,IF(N343&lt;=9,87,IF(N343&lt;=10,95,IF(N343&lt;=11,105,IF(N343&lt;=12,114,IF(N343&lt;=13,119,IF(N343&lt;=14,127,IF(N343&lt;=15,135,IF(N343&lt;=16,143,IF(N343&lt;=17,153,IF(N343&lt;=18,163,IF(N343&lt;=19,171,IF(N343&lt;=20,185,IF(N343&lt;=21,193,IF(N343&lt;=22,201,IF(N343&lt;=23,210,IF(N343&lt;=24,220,IF(N343&lt;=25,230,IF(N343&lt;=26,240,IF(N343&lt;=27,250,IF(N343&lt;=28,260,IF(N343&lt;=29,270,IF(N343&lt;=30,280,280))))))))))))))))))))))))))))))</f>
        <v>13</v>
      </c>
      <c r="AA343" s="11">
        <v>0</v>
      </c>
      <c r="AB343" s="11">
        <v>0</v>
      </c>
      <c r="AC343" s="11">
        <v>0</v>
      </c>
      <c r="AD343" s="11">
        <v>0</v>
      </c>
      <c r="AE343" s="11">
        <f t="shared" si="11"/>
        <v>0.78</v>
      </c>
      <c r="AF343" s="11">
        <f t="shared" si="12"/>
        <v>13.78</v>
      </c>
      <c r="AG343" t="s">
        <v>47</v>
      </c>
    </row>
    <row r="344" spans="1:33" ht="15" customHeight="1" x14ac:dyDescent="0.35">
      <c r="A344">
        <v>690929</v>
      </c>
      <c r="B344" t="s">
        <v>33</v>
      </c>
      <c r="C344" t="s">
        <v>34</v>
      </c>
      <c r="D344" s="6" t="s">
        <v>33</v>
      </c>
      <c r="E344" t="s">
        <v>1113</v>
      </c>
      <c r="F344" t="s">
        <v>36</v>
      </c>
      <c r="G344" t="s">
        <v>37</v>
      </c>
      <c r="H344" t="s">
        <v>1114</v>
      </c>
      <c r="I344" t="s">
        <v>39</v>
      </c>
      <c r="J344">
        <v>2</v>
      </c>
      <c r="K344" t="s">
        <v>40</v>
      </c>
      <c r="L344" t="s">
        <v>41</v>
      </c>
      <c r="M344" t="s">
        <v>42</v>
      </c>
      <c r="N344" s="7">
        <v>1</v>
      </c>
      <c r="O344" s="8">
        <v>45000.683379629627</v>
      </c>
      <c r="P344" s="9">
        <v>45002</v>
      </c>
      <c r="Q344" t="s">
        <v>36</v>
      </c>
      <c r="R344" t="s">
        <v>43</v>
      </c>
      <c r="S344" t="s">
        <v>44</v>
      </c>
      <c r="T344" t="s">
        <v>45</v>
      </c>
      <c r="U344" t="s">
        <v>1115</v>
      </c>
      <c r="V344">
        <v>89760</v>
      </c>
      <c r="W344" t="s">
        <v>47</v>
      </c>
      <c r="X344" t="s">
        <v>162</v>
      </c>
      <c r="Y344" t="s">
        <v>49</v>
      </c>
      <c r="Z344" s="10">
        <f>IF(N344&lt;=1,13,IF(N344&lt;=2,23,IF(N344&lt;=3,35,IF(N344&lt;=4,43,IF(N344&lt;=5,53,IF(N344&lt;=6,63,IF(N344&lt;=7,71,IF(N344&lt;=8,79,IF(N344&lt;=9,87,IF(N344&lt;=10,95,IF(N344&lt;=11,105,IF(N344&lt;=12,114,IF(N344&lt;=13,119,IF(N344&lt;=14,127,IF(N344&lt;=15,135,IF(N344&lt;=16,143,IF(N344&lt;=17,153,IF(N344&lt;=18,163,IF(N344&lt;=19,171,IF(N344&lt;=20,185,IF(N344&lt;=21,193,IF(N344&lt;=22,201,IF(N344&lt;=23,210,IF(N344&lt;=24,220,IF(N344&lt;=25,230,IF(N344&lt;=26,240,IF(N344&lt;=27,250,IF(N344&lt;=28,260,IF(N344&lt;=29,270,IF(N344&lt;=30,280,280))))))))))))))))))))))))))))))</f>
        <v>13</v>
      </c>
      <c r="AA344" s="11">
        <v>0</v>
      </c>
      <c r="AB344" s="11">
        <v>0</v>
      </c>
      <c r="AC344" s="11">
        <v>0</v>
      </c>
      <c r="AD344" s="11">
        <v>0</v>
      </c>
      <c r="AE344" s="11">
        <f t="shared" si="11"/>
        <v>0.78</v>
      </c>
      <c r="AF344" s="11">
        <f t="shared" si="12"/>
        <v>13.78</v>
      </c>
      <c r="AG344" t="s">
        <v>47</v>
      </c>
    </row>
    <row r="345" spans="1:33" ht="15" customHeight="1" x14ac:dyDescent="0.35">
      <c r="A345">
        <v>690929</v>
      </c>
      <c r="B345" t="s">
        <v>33</v>
      </c>
      <c r="C345" t="s">
        <v>34</v>
      </c>
      <c r="D345" s="6" t="s">
        <v>33</v>
      </c>
      <c r="E345" t="s">
        <v>1116</v>
      </c>
      <c r="F345" t="s">
        <v>36</v>
      </c>
      <c r="G345" t="s">
        <v>37</v>
      </c>
      <c r="H345" t="s">
        <v>1117</v>
      </c>
      <c r="I345" t="s">
        <v>39</v>
      </c>
      <c r="J345">
        <v>2</v>
      </c>
      <c r="K345" t="s">
        <v>40</v>
      </c>
      <c r="L345" t="s">
        <v>41</v>
      </c>
      <c r="M345" t="s">
        <v>42</v>
      </c>
      <c r="N345" s="7">
        <v>2</v>
      </c>
      <c r="O345" s="8">
        <v>44999.743159722224</v>
      </c>
      <c r="P345" s="9">
        <v>45002</v>
      </c>
      <c r="Q345" t="s">
        <v>36</v>
      </c>
      <c r="R345" t="s">
        <v>43</v>
      </c>
      <c r="S345" t="s">
        <v>44</v>
      </c>
      <c r="T345" t="s">
        <v>149</v>
      </c>
      <c r="U345" t="s">
        <v>1118</v>
      </c>
      <c r="V345">
        <v>8400</v>
      </c>
      <c r="W345" t="s">
        <v>43</v>
      </c>
      <c r="X345" t="s">
        <v>833</v>
      </c>
      <c r="Y345" t="s">
        <v>49</v>
      </c>
      <c r="Z345" s="12">
        <f>IF(N345&lt;=1,7,7+0.8*ROUNDUP(N345-1,0))</f>
        <v>7.8</v>
      </c>
      <c r="AA345" s="11">
        <v>0</v>
      </c>
      <c r="AB345" s="11">
        <v>0</v>
      </c>
      <c r="AC345" s="11">
        <v>0</v>
      </c>
      <c r="AD345" s="11">
        <v>0</v>
      </c>
      <c r="AE345" s="11">
        <f t="shared" si="11"/>
        <v>0.46799999999999997</v>
      </c>
      <c r="AF345" s="11">
        <f t="shared" si="12"/>
        <v>8.2680000000000007</v>
      </c>
      <c r="AG345" t="s">
        <v>43</v>
      </c>
    </row>
    <row r="346" spans="1:33" ht="15" customHeight="1" x14ac:dyDescent="0.35">
      <c r="A346">
        <v>690929</v>
      </c>
      <c r="B346" t="s">
        <v>33</v>
      </c>
      <c r="C346" t="s">
        <v>34</v>
      </c>
      <c r="D346" s="6" t="s">
        <v>33</v>
      </c>
      <c r="E346" t="s">
        <v>1119</v>
      </c>
      <c r="F346" t="s">
        <v>36</v>
      </c>
      <c r="G346" t="s">
        <v>37</v>
      </c>
      <c r="H346" t="s">
        <v>1120</v>
      </c>
      <c r="I346" t="s">
        <v>39</v>
      </c>
      <c r="J346">
        <v>2</v>
      </c>
      <c r="K346" t="s">
        <v>40</v>
      </c>
      <c r="L346" t="s">
        <v>41</v>
      </c>
      <c r="M346" t="s">
        <v>42</v>
      </c>
      <c r="N346" s="7">
        <v>5</v>
      </c>
      <c r="O346" s="8">
        <v>45001.485983796294</v>
      </c>
      <c r="P346" s="9">
        <v>45002</v>
      </c>
      <c r="Q346" t="s">
        <v>36</v>
      </c>
      <c r="R346" t="s">
        <v>43</v>
      </c>
      <c r="S346" t="s">
        <v>44</v>
      </c>
      <c r="T346" t="s">
        <v>52</v>
      </c>
      <c r="U346" t="s">
        <v>1121</v>
      </c>
      <c r="V346">
        <v>48000</v>
      </c>
      <c r="W346" t="s">
        <v>43</v>
      </c>
      <c r="X346" t="s">
        <v>1065</v>
      </c>
      <c r="Y346" t="s">
        <v>49</v>
      </c>
      <c r="Z346" s="12">
        <f>IF(N346&lt;=1,7,7+0.8*ROUNDUP(N346-1,0))</f>
        <v>10.199999999999999</v>
      </c>
      <c r="AA346" s="11">
        <v>0</v>
      </c>
      <c r="AB346" s="11">
        <v>0</v>
      </c>
      <c r="AC346" s="11">
        <v>0</v>
      </c>
      <c r="AD346" s="11">
        <v>0</v>
      </c>
      <c r="AE346" s="11">
        <f t="shared" si="11"/>
        <v>0.61199999999999999</v>
      </c>
      <c r="AF346" s="11">
        <f t="shared" si="12"/>
        <v>10.811999999999999</v>
      </c>
      <c r="AG346" t="s">
        <v>43</v>
      </c>
    </row>
    <row r="347" spans="1:33" ht="15" customHeight="1" x14ac:dyDescent="0.35">
      <c r="A347">
        <v>690929</v>
      </c>
      <c r="B347" t="s">
        <v>33</v>
      </c>
      <c r="C347" t="s">
        <v>34</v>
      </c>
      <c r="D347" s="6" t="s">
        <v>33</v>
      </c>
      <c r="E347" t="s">
        <v>1122</v>
      </c>
      <c r="F347" t="s">
        <v>36</v>
      </c>
      <c r="G347" t="s">
        <v>37</v>
      </c>
      <c r="H347" t="s">
        <v>1123</v>
      </c>
      <c r="I347" t="s">
        <v>39</v>
      </c>
      <c r="J347">
        <v>2</v>
      </c>
      <c r="K347" t="s">
        <v>40</v>
      </c>
      <c r="L347" t="s">
        <v>41</v>
      </c>
      <c r="M347" t="s">
        <v>42</v>
      </c>
      <c r="N347" s="7">
        <v>1</v>
      </c>
      <c r="O347" s="8">
        <v>45001.431921296295</v>
      </c>
      <c r="P347" s="9">
        <v>45002</v>
      </c>
      <c r="Q347" t="s">
        <v>36</v>
      </c>
      <c r="R347" t="s">
        <v>43</v>
      </c>
      <c r="S347" t="s">
        <v>44</v>
      </c>
      <c r="T347" t="s">
        <v>79</v>
      </c>
      <c r="U347" t="s">
        <v>1124</v>
      </c>
      <c r="V347">
        <v>15100</v>
      </c>
      <c r="W347" t="s">
        <v>43</v>
      </c>
      <c r="X347" t="s">
        <v>44</v>
      </c>
      <c r="Y347" t="s">
        <v>49</v>
      </c>
      <c r="Z347" s="12">
        <f>IF(N347&lt;=1,7,7+0.8*ROUNDUP(N347-1,0))</f>
        <v>7</v>
      </c>
      <c r="AA347" s="11">
        <v>0</v>
      </c>
      <c r="AB347" s="11">
        <v>0</v>
      </c>
      <c r="AC347" s="11">
        <v>0</v>
      </c>
      <c r="AD347" s="11">
        <v>0</v>
      </c>
      <c r="AE347" s="11">
        <f t="shared" si="11"/>
        <v>0.42</v>
      </c>
      <c r="AF347" s="11">
        <f t="shared" si="12"/>
        <v>7.42</v>
      </c>
      <c r="AG347" t="s">
        <v>43</v>
      </c>
    </row>
    <row r="348" spans="1:33" ht="15" customHeight="1" x14ac:dyDescent="0.35">
      <c r="A348">
        <v>690929</v>
      </c>
      <c r="B348" t="s">
        <v>33</v>
      </c>
      <c r="C348" t="s">
        <v>34</v>
      </c>
      <c r="D348" s="6" t="s">
        <v>33</v>
      </c>
      <c r="E348" t="s">
        <v>1125</v>
      </c>
      <c r="F348" t="s">
        <v>36</v>
      </c>
      <c r="G348" t="s">
        <v>37</v>
      </c>
      <c r="H348" t="s">
        <v>1126</v>
      </c>
      <c r="I348" t="s">
        <v>39</v>
      </c>
      <c r="J348">
        <v>2</v>
      </c>
      <c r="K348" t="s">
        <v>40</v>
      </c>
      <c r="L348" t="s">
        <v>41</v>
      </c>
      <c r="M348" t="s">
        <v>42</v>
      </c>
      <c r="N348" s="7">
        <v>1</v>
      </c>
      <c r="O348" s="8">
        <v>45000.758576388886</v>
      </c>
      <c r="P348" s="9">
        <v>45002</v>
      </c>
      <c r="Q348" t="s">
        <v>36</v>
      </c>
      <c r="R348" t="s">
        <v>43</v>
      </c>
      <c r="S348" t="s">
        <v>44</v>
      </c>
      <c r="T348" t="s">
        <v>52</v>
      </c>
      <c r="U348" t="s">
        <v>1127</v>
      </c>
      <c r="V348">
        <v>40100</v>
      </c>
      <c r="W348" t="s">
        <v>43</v>
      </c>
      <c r="X348" t="s">
        <v>124</v>
      </c>
      <c r="Y348" t="s">
        <v>49</v>
      </c>
      <c r="Z348" s="12">
        <f>IF(N348&lt;=1,7,7+0.8*ROUNDUP(N348-1,0))</f>
        <v>7</v>
      </c>
      <c r="AA348" s="11">
        <v>0</v>
      </c>
      <c r="AB348" s="11">
        <v>0</v>
      </c>
      <c r="AC348" s="11">
        <v>0</v>
      </c>
      <c r="AD348" s="11">
        <v>0</v>
      </c>
      <c r="AE348" s="11">
        <f t="shared" si="11"/>
        <v>0.42</v>
      </c>
      <c r="AF348" s="11">
        <f t="shared" si="12"/>
        <v>7.42</v>
      </c>
      <c r="AG348" t="s">
        <v>43</v>
      </c>
    </row>
    <row r="349" spans="1:33" ht="15" customHeight="1" x14ac:dyDescent="0.35">
      <c r="A349">
        <v>690929</v>
      </c>
      <c r="B349" t="s">
        <v>33</v>
      </c>
      <c r="C349" t="s">
        <v>34</v>
      </c>
      <c r="D349" s="6" t="s">
        <v>33</v>
      </c>
      <c r="E349" t="s">
        <v>1128</v>
      </c>
      <c r="F349" t="s">
        <v>36</v>
      </c>
      <c r="G349" t="s">
        <v>37</v>
      </c>
      <c r="H349" t="s">
        <v>379</v>
      </c>
      <c r="I349" t="s">
        <v>39</v>
      </c>
      <c r="J349">
        <v>2</v>
      </c>
      <c r="K349" t="s">
        <v>40</v>
      </c>
      <c r="L349" t="s">
        <v>41</v>
      </c>
      <c r="M349" t="s">
        <v>42</v>
      </c>
      <c r="N349" s="7">
        <v>5</v>
      </c>
      <c r="O349" s="8">
        <v>45000.605231481481</v>
      </c>
      <c r="P349" s="9">
        <v>45002</v>
      </c>
      <c r="Q349" t="s">
        <v>36</v>
      </c>
      <c r="R349" t="s">
        <v>43</v>
      </c>
      <c r="S349" t="s">
        <v>44</v>
      </c>
      <c r="T349" t="s">
        <v>316</v>
      </c>
      <c r="U349" t="s">
        <v>1129</v>
      </c>
      <c r="V349">
        <v>13300</v>
      </c>
      <c r="W349" t="s">
        <v>43</v>
      </c>
      <c r="X349" t="s">
        <v>381</v>
      </c>
      <c r="Y349" t="s">
        <v>49</v>
      </c>
      <c r="Z349" s="12">
        <f>IF(N349&lt;=1,7,7+0.8*ROUNDUP(N349-1,0))</f>
        <v>10.199999999999999</v>
      </c>
      <c r="AA349" s="11">
        <v>0</v>
      </c>
      <c r="AB349" s="11">
        <v>0</v>
      </c>
      <c r="AC349" s="11">
        <v>0</v>
      </c>
      <c r="AD349" s="11">
        <v>0</v>
      </c>
      <c r="AE349" s="11">
        <f t="shared" si="11"/>
        <v>0.61199999999999999</v>
      </c>
      <c r="AF349" s="11">
        <f t="shared" si="12"/>
        <v>10.811999999999999</v>
      </c>
      <c r="AG349" t="s">
        <v>43</v>
      </c>
    </row>
    <row r="350" spans="1:33" ht="15" customHeight="1" x14ac:dyDescent="0.35">
      <c r="A350">
        <v>690929</v>
      </c>
      <c r="B350" t="s">
        <v>33</v>
      </c>
      <c r="C350" t="s">
        <v>34</v>
      </c>
      <c r="D350" s="6" t="s">
        <v>33</v>
      </c>
      <c r="E350" t="s">
        <v>1130</v>
      </c>
      <c r="F350" t="s">
        <v>36</v>
      </c>
      <c r="G350" t="s">
        <v>37</v>
      </c>
      <c r="H350" t="s">
        <v>1131</v>
      </c>
      <c r="I350" t="s">
        <v>39</v>
      </c>
      <c r="J350">
        <v>2</v>
      </c>
      <c r="K350" t="s">
        <v>40</v>
      </c>
      <c r="L350" t="s">
        <v>41</v>
      </c>
      <c r="M350" t="s">
        <v>42</v>
      </c>
      <c r="N350" s="7">
        <v>6</v>
      </c>
      <c r="O350" s="8">
        <v>45000.394166666665</v>
      </c>
      <c r="P350" s="9">
        <v>45002</v>
      </c>
      <c r="Q350" t="s">
        <v>36</v>
      </c>
      <c r="R350" t="s">
        <v>43</v>
      </c>
      <c r="S350" t="s">
        <v>44</v>
      </c>
      <c r="T350" t="s">
        <v>104</v>
      </c>
      <c r="U350" t="s">
        <v>1132</v>
      </c>
      <c r="V350">
        <v>86000</v>
      </c>
      <c r="W350" t="s">
        <v>43</v>
      </c>
      <c r="X350" t="s">
        <v>155</v>
      </c>
      <c r="Y350" t="s">
        <v>49</v>
      </c>
      <c r="Z350" s="12">
        <f>IF(N350&lt;=1,7,7+0.8*ROUNDUP(N350-1,0))</f>
        <v>11</v>
      </c>
      <c r="AA350" s="11">
        <v>0</v>
      </c>
      <c r="AB350" s="11">
        <v>0</v>
      </c>
      <c r="AC350" s="11">
        <v>0</v>
      </c>
      <c r="AD350" s="11">
        <v>0</v>
      </c>
      <c r="AE350" s="11">
        <f t="shared" si="11"/>
        <v>0.65999999999999992</v>
      </c>
      <c r="AF350" s="11">
        <f t="shared" si="12"/>
        <v>11.66</v>
      </c>
      <c r="AG350" t="s">
        <v>43</v>
      </c>
    </row>
    <row r="351" spans="1:33" ht="15" customHeight="1" x14ac:dyDescent="0.35">
      <c r="A351">
        <v>690929</v>
      </c>
      <c r="B351" t="s">
        <v>33</v>
      </c>
      <c r="C351" t="s">
        <v>34</v>
      </c>
      <c r="D351" s="6" t="s">
        <v>33</v>
      </c>
      <c r="E351" t="s">
        <v>1133</v>
      </c>
      <c r="F351" t="s">
        <v>36</v>
      </c>
      <c r="G351" t="s">
        <v>37</v>
      </c>
      <c r="H351" t="s">
        <v>1131</v>
      </c>
      <c r="I351" t="s">
        <v>39</v>
      </c>
      <c r="J351">
        <v>2</v>
      </c>
      <c r="K351" t="s">
        <v>40</v>
      </c>
      <c r="L351" t="s">
        <v>41</v>
      </c>
      <c r="M351" t="s">
        <v>42</v>
      </c>
      <c r="N351" s="7">
        <v>6</v>
      </c>
      <c r="O351" s="8">
        <v>45000.394166666665</v>
      </c>
      <c r="P351" s="9">
        <v>45002</v>
      </c>
      <c r="Q351" t="s">
        <v>36</v>
      </c>
      <c r="R351" t="s">
        <v>43</v>
      </c>
      <c r="S351" t="s">
        <v>44</v>
      </c>
      <c r="T351" t="s">
        <v>104</v>
      </c>
      <c r="U351" t="s">
        <v>1132</v>
      </c>
      <c r="V351">
        <v>86000</v>
      </c>
      <c r="W351" t="s">
        <v>43</v>
      </c>
      <c r="X351" t="s">
        <v>155</v>
      </c>
      <c r="Y351" t="s">
        <v>49</v>
      </c>
      <c r="Z351" s="12">
        <f>IF(N351&lt;=1,7,7+0.8*ROUNDUP(N351-1,0))</f>
        <v>11</v>
      </c>
      <c r="AA351" s="11">
        <v>0</v>
      </c>
      <c r="AB351" s="11">
        <v>0</v>
      </c>
      <c r="AC351" s="11">
        <v>0</v>
      </c>
      <c r="AD351" s="11">
        <v>0</v>
      </c>
      <c r="AE351" s="11">
        <f t="shared" si="11"/>
        <v>0.65999999999999992</v>
      </c>
      <c r="AF351" s="11">
        <f t="shared" si="12"/>
        <v>11.66</v>
      </c>
      <c r="AG351" t="s">
        <v>43</v>
      </c>
    </row>
    <row r="353" spans="26:32" x14ac:dyDescent="0.35">
      <c r="Z353" s="14">
        <f>SUM(Z2:Z351)</f>
        <v>3727.3499999999995</v>
      </c>
      <c r="AA353" s="15">
        <f>SUM(AA2:AA351)</f>
        <v>0</v>
      </c>
      <c r="AB353" s="15">
        <f>SUM(AB2:AB351)</f>
        <v>0</v>
      </c>
      <c r="AC353" s="15">
        <f>SUM(AC2:AC351)</f>
        <v>0</v>
      </c>
      <c r="AD353" s="15">
        <f>SUM(AD2:AD351)</f>
        <v>0</v>
      </c>
      <c r="AE353" s="15">
        <f>SUM(AE2:AE351)</f>
        <v>222.41999999999879</v>
      </c>
      <c r="AF353" s="15">
        <f>SUM(AF2:AF351)</f>
        <v>3949.7700000000118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2023-04-03T12:20:52Z</dcterms:created>
  <dcterms:modified xsi:type="dcterms:W3CDTF">2023-04-03T12:20:53Z</dcterms:modified>
</cp:coreProperties>
</file>